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5"/>
    <sheet state="visible" name="All Item Code" sheetId="2" r:id="rId6"/>
    <sheet state="hidden" name="On Hand" sheetId="3" r:id="rId7"/>
  </sheets>
  <definedNames/>
  <calcPr/>
</workbook>
</file>

<file path=xl/sharedStrings.xml><?xml version="1.0" encoding="utf-8"?>
<sst xmlns="http://schemas.openxmlformats.org/spreadsheetml/2006/main" count="12" uniqueCount="12">
  <si>
    <t>Item Code</t>
  </si>
  <si>
    <t>Deskripsi</t>
  </si>
  <si>
    <t>Qty</t>
  </si>
  <si>
    <t>Lokator</t>
  </si>
  <si>
    <t>Keyword 1</t>
  </si>
  <si>
    <t>Keyword 2</t>
  </si>
  <si>
    <t>Keyword 3</t>
  </si>
  <si>
    <t>Keyword 4</t>
  </si>
  <si>
    <t>Keyword 5</t>
  </si>
  <si>
    <t>Input Deskripsi</t>
  </si>
  <si>
    <t>Membrane valve</t>
  </si>
  <si>
    <t>Input Item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</si>
</sst>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Roboto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8FAFD"/>
        <bgColor rgb="FFF8FAF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1" fillId="3" fontId="2" numFmtId="0" xfId="0" applyBorder="1" applyFill="1" applyFont="1"/>
    <xf borderId="1" fillId="3" fontId="1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readingOrder="0" shrinkToFit="0" vertical="top" wrapText="0"/>
    </xf>
    <xf borderId="1" fillId="4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shrinkToFit="0" vertical="top" wrapText="0"/>
    </xf>
    <xf borderId="1" fillId="5" fontId="4" numFmtId="0" xfId="0" applyAlignment="1" applyBorder="1" applyFill="1" applyFont="1">
      <alignment readingOrder="0"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1143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5.38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3" t="str">
        <f t="array" ref="A2">ifna(_xlfn.xlookup(B2,'All Item Code'!B:B,'All Item Code'!A:A,),)</f>
        <v>O-15565-00</v>
      </c>
      <c r="B2" s="3" t="str">
        <f>IFERROR(__xludf.DUMMYFUNCTION("ifna(if(isblank(G3),filter('All Item Code'!B:B,isnumber(search($G$2,'All Item Code'!B:B)),isnumber(search($H$2,'All Item Code'!B:B)),isnumber(search($I$2,'All Item Code'!B:B)),isnumber(search($J$2,'All Item Code'!B:B)),isnumber(search($K$2,'All Item Code'"&amp;"!B:B))),filter('All Item Code'!B:B,isnumber(search($G$3,'All Item Code'!A:A)))),""Tidak Ada"")"),"EPDM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2" s="3" t="str">
        <f t="array" ref="C2">if(B2="Tidak Ada",,if(isblank(B2),,ifna(sumif('On Hand'!A:A,A2,'On Hand'!D:D)&amp;" "&amp;_xlfn.xlookup(A2,'All Item Code'!A:A,'All Item Code'!D:D,),0)))</f>
        <v>0 </v>
      </c>
      <c r="D2" s="3" t="str">
        <f>IFERROR(__xludf.DUMMYFUNCTION("if(isblank(B2),,ifna(textjoin(""; "",,filter('On Hand'!E:E,'On Hand'!A:A=A2)),ifna(xlookup(A2,'On Hand'!A:A,'On Hand'!E:E,),)))"),"")</f>
        <v/>
      </c>
      <c r="F2" s="4" t="s">
        <v>9</v>
      </c>
      <c r="G2" s="5" t="s">
        <v>10</v>
      </c>
      <c r="H2" s="5"/>
      <c r="I2" s="6"/>
      <c r="J2" s="7"/>
      <c r="K2" s="7"/>
    </row>
    <row r="3">
      <c r="A3" s="3" t="str">
        <f t="array" ref="A3">ifna(_xlfn.xlookup(B3,'All Item Code'!B:B,'All Item Code'!A:A,),)</f>
        <v>O-15585-00</v>
      </c>
      <c r="B3" s="3" t="str">
        <f>IFERROR(__xludf.DUMMYFUNCTION("""COMPUTED_VALUE"""),"EPDM GASKET FOR GEMU PNEUMATIC MEMBRANE VALVE 1/2 (DN15) HEAT NO. 133057;")</f>
        <v>EPDM GASKET FOR GEMU PNEUMATIC MEMBRANE VALVE 1/2 (DN15) HEAT NO. 133057;</v>
      </c>
      <c r="C3" s="3" t="str">
        <f t="array" ref="C3">if(B3="Tidak Ada",,if(isblank(B3),,ifna(sumif('On Hand'!A:A,A3,'On Hand'!D:D)&amp;" "&amp;_xlfn.xlookup(A3,'All Item Code'!A:A,'All Item Code'!D:D,),0)))</f>
        <v>0 </v>
      </c>
      <c r="D3" s="3" t="str">
        <f>IFERROR(__xludf.DUMMYFUNCTION("if(isblank(B3),,ifna(textjoin(""; "",,filter('On Hand'!E:E,'On Hand'!A:A=A3)),ifna(xlookup(A3,'On Hand'!A:A,'On Hand'!E:E,),)))"),"")</f>
        <v/>
      </c>
      <c r="F3" s="4" t="s">
        <v>11</v>
      </c>
      <c r="G3" s="8"/>
    </row>
    <row r="4">
      <c r="A4" s="3" t="str">
        <f t="array" ref="A4">ifna(_xlfn.xlookup(B4,'All Item Code'!B:B,'All Item Code'!A:A,),)</f>
        <v>O-15652-00</v>
      </c>
      <c r="B4" s="3" t="str">
        <f>IFERROR(__xludf.DUMMYFUNCTION("""COMPUTED_VALUE"""),"PNEUMATIC MEMBRANE VALVE 1/2' (DN15); STERILINE ; PART NO :5189")</f>
        <v>PNEUMATIC MEMBRANE VALVE 1/2' (DN15); STERILINE ; PART NO :5189</v>
      </c>
      <c r="C4" s="3" t="str">
        <f t="array" ref="C4">if(B4="Tidak Ada",,if(isblank(B4),,ifna(sumif('On Hand'!A:A,A4,'On Hand'!D:D)&amp;" "&amp;_xlfn.xlookup(A4,'All Item Code'!A:A,'All Item Code'!D:D,),0)))</f>
        <v>0 </v>
      </c>
      <c r="D4" s="3" t="str">
        <f>IFERROR(__xludf.DUMMYFUNCTION("if(isblank(B4),,ifna(textjoin(""; "",,filter('On Hand'!E:E,'On Hand'!A:A=A4)),ifna(xlookup(A4,'On Hand'!A:A,'On Hand'!E:E,),)))"),"")</f>
        <v/>
      </c>
    </row>
    <row r="5">
      <c r="A5" s="3" t="str">
        <f t="array" ref="A5">ifna(_xlfn.xlookup(B5,'All Item Code'!B:B,'All Item Code'!A:A,),)</f>
        <v>O-15653-00</v>
      </c>
      <c r="B5" s="3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5" s="3" t="str">
        <f t="array" ref="C5">if(B5="Tidak Ada",,if(isblank(B5),,ifna(sumif('On Hand'!A:A,A5,'On Hand'!D:D)&amp;" "&amp;_xlfn.xlookup(A5,'All Item Code'!A:A,'All Item Code'!D:D,),0)))</f>
        <v>0 </v>
      </c>
      <c r="D5" s="3" t="str">
        <f>IFERROR(__xludf.DUMMYFUNCTION("if(isblank(B5),,ifna(textjoin(""; "",,filter('On Hand'!E:E,'On Hand'!A:A=A5)),ifna(xlookup(A5,'On Hand'!A:A,'On Hand'!E:E,),)))"),"")</f>
        <v/>
      </c>
    </row>
    <row r="6">
      <c r="A6" s="3" t="str">
        <f t="array" ref="A6">ifna(_xlfn.xlookup(B6,'All Item Code'!B:B,'All Item Code'!A:A,),)</f>
        <v>O-18388-00</v>
      </c>
      <c r="B6" s="3" t="str">
        <f>IFERROR(__xludf.DUMMYFUNCTION("""COMPUTED_VALUE"""),"Membrane Valve PTFE/EPDM DN15 type 612 GEMU; ; ;")</f>
        <v>Membrane Valve PTFE/EPDM DN15 type 612 GEMU; ; ;</v>
      </c>
      <c r="C6" s="3" t="str">
        <f t="array" ref="C6">if(B6="Tidak Ada",,if(isblank(B6),,ifna(sumif('On Hand'!A:A,A6,'On Hand'!D:D)&amp;" "&amp;_xlfn.xlookup(A6,'All Item Code'!A:A,'All Item Code'!D:D,),0)))</f>
        <v>4 pc</v>
      </c>
      <c r="D6" s="3" t="str">
        <f>IFERROR(__xludf.DUMMYFUNCTION("if(isblank(B6),,ifna(textjoin(""; "",,filter('On Hand'!E:E,'On Hand'!A:A=A6)),ifna(xlookup(A6,'On Hand'!A:A,'On Hand'!E:E,),)))"),"F-1")</f>
        <v>F-1</v>
      </c>
      <c r="F6" s="2"/>
    </row>
    <row r="7">
      <c r="A7" s="3" t="str">
        <f t="array" ref="A7">ifna(_xlfn.xlookup(B7,'All Item Code'!B:B,'All Item Code'!A:A,),)</f>
        <v>O-21092-00</v>
      </c>
      <c r="B7" s="3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" s="3" t="str">
        <f t="array" ref="C7">if(B7="Tidak Ada",,if(isblank(B7),,ifna(sumif('On Hand'!A:A,A7,'On Hand'!D:D)&amp;" "&amp;_xlfn.xlookup(A7,'All Item Code'!A:A,'All Item Code'!D:D,),0)))</f>
        <v>0 </v>
      </c>
      <c r="D7" s="3" t="str">
        <f>IFERROR(__xludf.DUMMYFUNCTION("if(isblank(B7),,ifna(textjoin(""; "",,filter('On Hand'!E:E,'On Hand'!A:A=A7)),ifna(xlookup(A7,'On Hand'!A:A,'On Hand'!E:E,),)))"),"")</f>
        <v/>
      </c>
    </row>
    <row r="8">
      <c r="A8" s="3" t="str">
        <f t="array" ref="A8">ifna(_xlfn.xlookup(B8,'All Item Code'!B:B,'All Item Code'!A:A,),)</f>
        <v/>
      </c>
      <c r="B8" s="3"/>
      <c r="C8" s="3" t="str">
        <f t="array" ref="C8">if(B8="Tidak Ada",,if(isblank(B8),,ifna(sumif('On Hand'!A:A,A8,'On Hand'!D:D)&amp;" "&amp;_xlfn.xlookup(A8,'All Item Code'!A:A,'All Item Code'!D:D,),0)))</f>
        <v/>
      </c>
      <c r="D8" s="3" t="str">
        <f>IFERROR(__xludf.DUMMYFUNCTION("if(isblank(B8),,ifna(textjoin(""; "",,filter('On Hand'!E:E,'On Hand'!A:A=A8)),ifna(xlookup(A8,'On Hand'!A:A,'On Hand'!E:E,),)))"),"")</f>
        <v/>
      </c>
    </row>
    <row r="9">
      <c r="A9" s="3" t="str">
        <f t="array" ref="A9">ifna(_xlfn.xlookup(B9,'All Item Code'!B:B,'All Item Code'!A:A,),)</f>
        <v/>
      </c>
      <c r="B9" s="3"/>
      <c r="C9" s="3" t="str">
        <f t="array" ref="C9">if(B9="Tidak Ada",,if(isblank(B9),,ifna(sumif('On Hand'!A:A,A9,'On Hand'!D:D)&amp;" "&amp;_xlfn.xlookup(A9,'All Item Code'!A:A,'All Item Code'!D:D,),0)))</f>
        <v/>
      </c>
      <c r="D9" s="3" t="str">
        <f>IFERROR(__xludf.DUMMYFUNCTION("if(isblank(B9),,ifna(textjoin(""; "",,filter('On Hand'!E:E,'On Hand'!A:A=A9)),ifna(xlookup(A9,'On Hand'!A:A,'On Hand'!E:E,),)))"),"")</f>
        <v/>
      </c>
    </row>
    <row r="10">
      <c r="A10" s="3" t="str">
        <f t="array" ref="A10">ifna(_xlfn.xlookup(B10,'All Item Code'!B:B,'All Item Code'!A:A,),)</f>
        <v/>
      </c>
      <c r="B10" s="3"/>
      <c r="C10" s="3" t="str">
        <f t="array" ref="C10">if(B10="Tidak Ada",,if(isblank(B10),,ifna(sumif('On Hand'!A:A,A10,'On Hand'!D:D)&amp;" "&amp;_xlfn.xlookup(A10,'All Item Code'!A:A,'All Item Code'!D:D,),0)))</f>
        <v/>
      </c>
      <c r="D10" s="3" t="str">
        <f>IFERROR(__xludf.DUMMYFUNCTION("if(isblank(B10),,ifna(textjoin(""; "",,filter('On Hand'!E:E,'On Hand'!A:A=A10)),ifna(xlookup(A10,'On Hand'!A:A,'On Hand'!E:E,),)))"),"")</f>
        <v/>
      </c>
    </row>
    <row r="11">
      <c r="A11" s="3" t="str">
        <f t="array" ref="A11">ifna(_xlfn.xlookup(B11,'All Item Code'!B:B,'All Item Code'!A:A,),)</f>
        <v/>
      </c>
      <c r="B11" s="3"/>
      <c r="C11" s="3" t="str">
        <f t="array" ref="C11">if(B11="Tidak Ada",,if(isblank(B11),,ifna(sumif('On Hand'!A:A,A11,'On Hand'!D:D)&amp;" "&amp;_xlfn.xlookup(A11,'All Item Code'!A:A,'All Item Code'!D:D,),0)))</f>
        <v/>
      </c>
      <c r="D11" s="3" t="str">
        <f>IFERROR(__xludf.DUMMYFUNCTION("if(isblank(B11),,ifna(textjoin(""; "",,filter('On Hand'!E:E,'On Hand'!A:A=A11)),ifna(xlookup(A11,'On Hand'!A:A,'On Hand'!E:E,),)))"),"")</f>
        <v/>
      </c>
    </row>
    <row r="12">
      <c r="A12" s="3" t="str">
        <f t="array" ref="A12">ifna(_xlfn.xlookup(B12,'All Item Code'!B:B,'All Item Code'!A:A,),)</f>
        <v/>
      </c>
      <c r="B12" s="3"/>
      <c r="C12" s="3" t="str">
        <f t="array" ref="C12">if(B12="Tidak Ada",,if(isblank(B12),,ifna(sumif('On Hand'!A:A,A12,'On Hand'!D:D)&amp;" "&amp;_xlfn.xlookup(A12,'All Item Code'!A:A,'All Item Code'!D:D,),0)))</f>
        <v/>
      </c>
      <c r="D12" s="3" t="str">
        <f>IFERROR(__xludf.DUMMYFUNCTION("if(isblank(B12),,ifna(textjoin(""; "",,filter('On Hand'!E:E,'On Hand'!A:A=A12)),ifna(xlookup(A12,'On Hand'!A:A,'On Hand'!E:E,),)))"),"")</f>
        <v/>
      </c>
    </row>
    <row r="13">
      <c r="A13" s="3" t="str">
        <f t="array" ref="A13">ifna(_xlfn.xlookup(B13,'All Item Code'!B:B,'All Item Code'!A:A,),)</f>
        <v/>
      </c>
      <c r="B13" s="3"/>
      <c r="C13" s="3" t="str">
        <f t="array" ref="C13">if(B13="Tidak Ada",,if(isblank(B13),,ifna(sumif('On Hand'!A:A,A13,'On Hand'!D:D)&amp;" "&amp;_xlfn.xlookup(A13,'All Item Code'!A:A,'All Item Code'!D:D,),0)))</f>
        <v/>
      </c>
      <c r="D13" s="3" t="str">
        <f>IFERROR(__xludf.DUMMYFUNCTION("if(isblank(B13),,ifna(textjoin(""; "",,filter('On Hand'!E:E,'On Hand'!A:A=A13)),ifna(xlookup(A13,'On Hand'!A:A,'On Hand'!E:E,),)))"),"")</f>
        <v/>
      </c>
    </row>
    <row r="14">
      <c r="A14" s="3" t="str">
        <f t="array" ref="A14">ifna(_xlfn.xlookup(B14,'All Item Code'!B:B,'All Item Code'!A:A,),)</f>
        <v/>
      </c>
      <c r="B14" s="3"/>
      <c r="C14" s="3" t="str">
        <f t="array" ref="C14">if(B14="Tidak Ada",,if(isblank(B14),,ifna(sumif('On Hand'!A:A,A14,'On Hand'!D:D)&amp;" "&amp;_xlfn.xlookup(A14,'All Item Code'!A:A,'All Item Code'!D:D,),0)))</f>
        <v/>
      </c>
      <c r="D14" s="3" t="str">
        <f>IFERROR(__xludf.DUMMYFUNCTION("if(isblank(B14),,ifna(textjoin(""; "",,filter('On Hand'!E:E,'On Hand'!A:A=A14)),ifna(xlookup(A14,'On Hand'!A:A,'On Hand'!E:E,),)))"),"")</f>
        <v/>
      </c>
    </row>
    <row r="15">
      <c r="A15" s="3" t="str">
        <f t="array" ref="A15">ifna(_xlfn.xlookup(B15,'All Item Code'!B:B,'All Item Code'!A:A,),)</f>
        <v/>
      </c>
      <c r="B15" s="3"/>
      <c r="C15" s="3" t="str">
        <f t="array" ref="C15">if(B15="Tidak Ada",,if(isblank(B15),,ifna(sumif('On Hand'!A:A,A15,'On Hand'!D:D)&amp;" "&amp;_xlfn.xlookup(A15,'All Item Code'!A:A,'All Item Code'!D:D,),0)))</f>
        <v/>
      </c>
      <c r="D15" s="3" t="str">
        <f>IFERROR(__xludf.DUMMYFUNCTION("if(isblank(B15),,ifna(textjoin(""; "",,filter('On Hand'!E:E,'On Hand'!A:A=A15)),ifna(xlookup(A15,'On Hand'!A:A,'On Hand'!E:E,),)))"),"")</f>
        <v/>
      </c>
    </row>
    <row r="16">
      <c r="A16" s="3" t="str">
        <f t="array" ref="A16">ifna(_xlfn.xlookup(B16,'All Item Code'!B:B,'All Item Code'!A:A,),)</f>
        <v/>
      </c>
      <c r="B16" s="3"/>
      <c r="C16" s="3" t="str">
        <f t="array" ref="C16">if(B16="Tidak Ada",,if(isblank(B16),,ifna(sumif('On Hand'!A:A,A16,'On Hand'!D:D)&amp;" "&amp;_xlfn.xlookup(A16,'All Item Code'!A:A,'All Item Code'!D:D,),0)))</f>
        <v/>
      </c>
      <c r="D16" s="3" t="str">
        <f>IFERROR(__xludf.DUMMYFUNCTION("if(isblank(B16),,ifna(textjoin(""; "",,filter('On Hand'!E:E,'On Hand'!A:A=A16)),ifna(xlookup(A16,'On Hand'!A:A,'On Hand'!E:E,),)))"),"")</f>
        <v/>
      </c>
    </row>
    <row r="17">
      <c r="A17" s="3" t="str">
        <f t="array" ref="A17">ifna(_xlfn.xlookup(B17,'All Item Code'!B:B,'All Item Code'!A:A,),)</f>
        <v/>
      </c>
      <c r="B17" s="3"/>
      <c r="C17" s="3" t="str">
        <f t="array" ref="C17">if(B17="Tidak Ada",,if(isblank(B17),,ifna(sumif('On Hand'!A:A,A17,'On Hand'!D:D)&amp;" "&amp;_xlfn.xlookup(A17,'All Item Code'!A:A,'All Item Code'!D:D,),0)))</f>
        <v/>
      </c>
      <c r="D17" s="3" t="str">
        <f>IFERROR(__xludf.DUMMYFUNCTION("if(isblank(B17),,ifna(textjoin(""; "",,filter('On Hand'!E:E,'On Hand'!A:A=A17)),ifna(xlookup(A17,'On Hand'!A:A,'On Hand'!E:E,),)))"),"")</f>
        <v/>
      </c>
    </row>
    <row r="18">
      <c r="A18" s="3" t="str">
        <f t="array" ref="A18">ifna(_xlfn.xlookup(B18,'All Item Code'!B:B,'All Item Code'!A:A,),)</f>
        <v/>
      </c>
      <c r="B18" s="3"/>
      <c r="C18" s="3" t="str">
        <f t="array" ref="C18">if(B18="Tidak Ada",,if(isblank(B18),,ifna(sumif('On Hand'!A:A,A18,'On Hand'!D:D)&amp;" "&amp;_xlfn.xlookup(A18,'All Item Code'!A:A,'All Item Code'!D:D,),0)))</f>
        <v/>
      </c>
      <c r="D18" s="3" t="str">
        <f>IFERROR(__xludf.DUMMYFUNCTION("if(isblank(B18),,ifna(textjoin(""; "",,filter('On Hand'!E:E,'On Hand'!A:A=A18)),ifna(xlookup(A18,'On Hand'!A:A,'On Hand'!E:E,),)))"),"")</f>
        <v/>
      </c>
    </row>
    <row r="19">
      <c r="A19" s="3" t="str">
        <f t="array" ref="A19">ifna(_xlfn.xlookup(B19,'All Item Code'!B:B,'All Item Code'!A:A,),)</f>
        <v/>
      </c>
      <c r="B19" s="3"/>
      <c r="C19" s="3" t="str">
        <f t="array" ref="C19">if(B19="Tidak Ada",,if(isblank(B19),,ifna(sumif('On Hand'!A:A,A19,'On Hand'!D:D)&amp;" "&amp;_xlfn.xlookup(A19,'All Item Code'!A:A,'All Item Code'!D:D,),0)))</f>
        <v/>
      </c>
      <c r="D19" s="3" t="str">
        <f>IFERROR(__xludf.DUMMYFUNCTION("if(isblank(B19),,ifna(textjoin(""; "",,filter('On Hand'!E:E,'On Hand'!A:A=A19)),ifna(xlookup(A19,'On Hand'!A:A,'On Hand'!E:E,),)))"),"")</f>
        <v/>
      </c>
    </row>
    <row r="20">
      <c r="A20" s="3" t="str">
        <f t="array" ref="A20">ifna(_xlfn.xlookup(B20,'All Item Code'!B:B,'All Item Code'!A:A,),)</f>
        <v/>
      </c>
      <c r="B20" s="3"/>
      <c r="C20" s="3" t="str">
        <f t="array" ref="C20">if(B20="Tidak Ada",,if(isblank(B20),,ifna(sumif('On Hand'!A:A,A20,'On Hand'!D:D)&amp;" "&amp;_xlfn.xlookup(A20,'All Item Code'!A:A,'All Item Code'!D:D,),0)))</f>
        <v/>
      </c>
      <c r="D20" s="3" t="str">
        <f>IFERROR(__xludf.DUMMYFUNCTION("if(isblank(B20),,ifna(textjoin(""; "",,filter('On Hand'!E:E,'On Hand'!A:A=A20)),ifna(xlookup(A20,'On Hand'!A:A,'On Hand'!E:E,),)))"),"")</f>
        <v/>
      </c>
    </row>
    <row r="21">
      <c r="A21" s="3" t="str">
        <f t="array" ref="A21">ifna(_xlfn.xlookup(B21,'All Item Code'!B:B,'All Item Code'!A:A,),)</f>
        <v/>
      </c>
      <c r="B21" s="3"/>
      <c r="C21" s="3" t="str">
        <f t="array" ref="C21">if(B21="Tidak Ada",,if(isblank(B21),,ifna(sumif('On Hand'!A:A,A21,'On Hand'!D:D)&amp;" "&amp;_xlfn.xlookup(A21,'All Item Code'!A:A,'All Item Code'!D:D,),0)))</f>
        <v/>
      </c>
      <c r="D21" s="3" t="str">
        <f>IFERROR(__xludf.DUMMYFUNCTION("if(isblank(B21),,ifna(textjoin(""; "",,filter('On Hand'!E:E,'On Hand'!A:A=A21)),ifna(xlookup(A21,'On Hand'!A:A,'On Hand'!E:E,),)))"),"")</f>
        <v/>
      </c>
    </row>
    <row r="22">
      <c r="A22" s="3" t="str">
        <f t="array" ref="A22">ifna(_xlfn.xlookup(B22,'All Item Code'!B:B,'All Item Code'!A:A,),)</f>
        <v/>
      </c>
      <c r="B22" s="3"/>
      <c r="C22" s="3" t="str">
        <f t="array" ref="C22">if(B22="Tidak Ada",,if(isblank(B22),,ifna(sumif('On Hand'!A:A,A22,'On Hand'!D:D)&amp;" "&amp;_xlfn.xlookup(A22,'All Item Code'!A:A,'All Item Code'!D:D,),0)))</f>
        <v/>
      </c>
      <c r="D22" s="3" t="str">
        <f>IFERROR(__xludf.DUMMYFUNCTION("if(isblank(B22),,ifna(textjoin(""; "",,filter('On Hand'!E:E,'On Hand'!A:A=A22)),ifna(xlookup(A22,'On Hand'!A:A,'On Hand'!E:E,),)))"),"")</f>
        <v/>
      </c>
    </row>
    <row r="23">
      <c r="A23" s="3" t="str">
        <f t="array" ref="A23">ifna(_xlfn.xlookup(B23,'All Item Code'!B:B,'All Item Code'!A:A,),)</f>
        <v/>
      </c>
      <c r="B23" s="3"/>
      <c r="C23" s="3" t="str">
        <f t="array" ref="C23">if(B23="Tidak Ada",,if(isblank(B23),,ifna(sumif('On Hand'!A:A,A23,'On Hand'!D:D)&amp;" "&amp;_xlfn.xlookup(A23,'All Item Code'!A:A,'All Item Code'!D:D,),0)))</f>
        <v/>
      </c>
      <c r="D23" s="3" t="str">
        <f>IFERROR(__xludf.DUMMYFUNCTION("if(isblank(B23),,ifna(textjoin(""; "",,filter('On Hand'!E:E,'On Hand'!A:A=A23)),ifna(xlookup(A23,'On Hand'!A:A,'On Hand'!E:E,),)))"),"")</f>
        <v/>
      </c>
    </row>
    <row r="24">
      <c r="A24" s="3" t="str">
        <f t="array" ref="A24">ifna(_xlfn.xlookup(B24,'All Item Code'!B:B,'All Item Code'!A:A,),)</f>
        <v/>
      </c>
      <c r="B24" s="3"/>
      <c r="C24" s="3" t="str">
        <f t="array" ref="C24">if(B24="Tidak Ada",,if(isblank(B24),,ifna(sumif('On Hand'!A:A,A24,'On Hand'!D:D)&amp;" "&amp;_xlfn.xlookup(A24,'All Item Code'!A:A,'All Item Code'!D:D,),0)))</f>
        <v/>
      </c>
      <c r="D24" s="3" t="str">
        <f>IFERROR(__xludf.DUMMYFUNCTION("if(isblank(B24),,ifna(textjoin(""; "",,filter('On Hand'!E:E,'On Hand'!A:A=A24)),ifna(xlookup(A24,'On Hand'!A:A,'On Hand'!E:E,),)))"),"")</f>
        <v/>
      </c>
    </row>
    <row r="25">
      <c r="A25" s="3" t="str">
        <f t="array" ref="A25">ifna(_xlfn.xlookup(B25,'All Item Code'!B:B,'All Item Code'!A:A,),)</f>
        <v/>
      </c>
      <c r="B25" s="3"/>
      <c r="C25" s="3" t="str">
        <f t="array" ref="C25">if(B25="Tidak Ada",,if(isblank(B25),,ifna(sumif('On Hand'!A:A,A25,'On Hand'!D:D)&amp;" "&amp;_xlfn.xlookup(A25,'All Item Code'!A:A,'All Item Code'!D:D,),0)))</f>
        <v/>
      </c>
      <c r="D25" s="3" t="str">
        <f>IFERROR(__xludf.DUMMYFUNCTION("if(isblank(B25),,ifna(textjoin(""; "",,filter('On Hand'!E:E,'On Hand'!A:A=A25)),ifna(xlookup(A25,'On Hand'!A:A,'On Hand'!E:E,),)))"),"")</f>
        <v/>
      </c>
    </row>
    <row r="26">
      <c r="A26" s="3" t="str">
        <f t="array" ref="A26">ifna(_xlfn.xlookup(B26,'All Item Code'!B:B,'All Item Code'!A:A,),)</f>
        <v/>
      </c>
      <c r="B26" s="3"/>
      <c r="C26" s="3" t="str">
        <f t="array" ref="C26">if(B26="Tidak Ada",,if(isblank(B26),,ifna(sumif('On Hand'!A:A,A26,'On Hand'!D:D)&amp;" "&amp;_xlfn.xlookup(A26,'All Item Code'!A:A,'All Item Code'!D:D,),0)))</f>
        <v/>
      </c>
      <c r="D26" s="3" t="str">
        <f>IFERROR(__xludf.DUMMYFUNCTION("if(isblank(B26),,ifna(textjoin(""; "",,filter('On Hand'!E:E,'On Hand'!A:A=A26)),ifna(xlookup(A26,'On Hand'!A:A,'On Hand'!E:E,),)))"),"")</f>
        <v/>
      </c>
    </row>
    <row r="27">
      <c r="A27" s="3" t="str">
        <f t="array" ref="A27">ifna(_xlfn.xlookup(B27,'All Item Code'!B:B,'All Item Code'!A:A,),)</f>
        <v/>
      </c>
      <c r="B27" s="3"/>
      <c r="C27" s="3" t="str">
        <f t="array" ref="C27">if(B27="Tidak Ada",,if(isblank(B27),,ifna(sumif('On Hand'!A:A,A27,'On Hand'!D:D)&amp;" "&amp;_xlfn.xlookup(A27,'All Item Code'!A:A,'All Item Code'!D:D,),0)))</f>
        <v/>
      </c>
      <c r="D27" s="3" t="str">
        <f>IFERROR(__xludf.DUMMYFUNCTION("if(isblank(B27),,ifna(textjoin(""; "",,filter('On Hand'!E:E,'On Hand'!A:A=A27)),ifna(xlookup(A27,'On Hand'!A:A,'On Hand'!E:E,),)))"),"")</f>
        <v/>
      </c>
    </row>
    <row r="28">
      <c r="A28" s="3" t="str">
        <f t="array" ref="A28">ifna(_xlfn.xlookup(B28,'All Item Code'!B:B,'All Item Code'!A:A,),)</f>
        <v/>
      </c>
      <c r="B28" s="3"/>
      <c r="C28" s="3" t="str">
        <f t="array" ref="C28">if(B28="Tidak Ada",,if(isblank(B28),,ifna(sumif('On Hand'!A:A,A28,'On Hand'!D:D)&amp;" "&amp;_xlfn.xlookup(A28,'All Item Code'!A:A,'All Item Code'!D:D,),0)))</f>
        <v/>
      </c>
      <c r="D28" s="3" t="str">
        <f>IFERROR(__xludf.DUMMYFUNCTION("if(isblank(B28),,ifna(textjoin(""; "",,filter('On Hand'!E:E,'On Hand'!A:A=A28)),ifna(xlookup(A28,'On Hand'!A:A,'On Hand'!E:E,),)))"),"")</f>
        <v/>
      </c>
    </row>
    <row r="29">
      <c r="A29" s="3" t="str">
        <f t="array" ref="A29">ifna(_xlfn.xlookup(B29,'All Item Code'!B:B,'All Item Code'!A:A,),)</f>
        <v/>
      </c>
      <c r="B29" s="3"/>
      <c r="C29" s="3" t="str">
        <f t="array" ref="C29">if(B29="Tidak Ada",,if(isblank(B29),,ifna(sumif('On Hand'!A:A,A29,'On Hand'!D:D)&amp;" "&amp;_xlfn.xlookup(A29,'All Item Code'!A:A,'All Item Code'!D:D,),0)))</f>
        <v/>
      </c>
      <c r="D29" s="3" t="str">
        <f>IFERROR(__xludf.DUMMYFUNCTION("if(isblank(B29),,ifna(textjoin(""; "",,filter('On Hand'!E:E,'On Hand'!A:A=A29)),ifna(xlookup(A29,'On Hand'!A:A,'On Hand'!E:E,),)))"),"")</f>
        <v/>
      </c>
    </row>
    <row r="30">
      <c r="A30" s="3" t="str">
        <f t="array" ref="A30">ifna(_xlfn.xlookup(B30,'All Item Code'!B:B,'All Item Code'!A:A,),)</f>
        <v/>
      </c>
      <c r="B30" s="3"/>
      <c r="C30" s="3" t="str">
        <f t="array" ref="C30">if(B30="Tidak Ada",,if(isblank(B30),,ifna(sumif('On Hand'!A:A,A30,'On Hand'!D:D)&amp;" "&amp;_xlfn.xlookup(A30,'All Item Code'!A:A,'All Item Code'!D:D,),0)))</f>
        <v/>
      </c>
      <c r="D30" s="3" t="str">
        <f>IFERROR(__xludf.DUMMYFUNCTION("if(isblank(B30),,ifna(textjoin(""; "",,filter('On Hand'!E:E,'On Hand'!A:A=A30)),ifna(xlookup(A30,'On Hand'!A:A,'On Hand'!E:E,),)))"),"")</f>
        <v/>
      </c>
    </row>
    <row r="31">
      <c r="A31" s="3" t="str">
        <f t="array" ref="A31">ifna(_xlfn.xlookup(B31,'All Item Code'!B:B,'All Item Code'!A:A,),)</f>
        <v/>
      </c>
      <c r="B31" s="3"/>
      <c r="C31" s="3" t="str">
        <f t="array" ref="C31">if(B31="Tidak Ada",,if(isblank(B31),,ifna(sumif('On Hand'!A:A,A31,'On Hand'!D:D)&amp;" "&amp;_xlfn.xlookup(A31,'All Item Code'!A:A,'All Item Code'!D:D,),0)))</f>
        <v/>
      </c>
      <c r="D31" s="3" t="str">
        <f>IFERROR(__xludf.DUMMYFUNCTION("if(isblank(B31),,ifna(textjoin(""; "",,filter('On Hand'!E:E,'On Hand'!A:A=A31)),ifna(xlookup(A31,'On Hand'!A:A,'On Hand'!E:E,),)))"),"")</f>
        <v/>
      </c>
    </row>
    <row r="32">
      <c r="A32" s="3" t="str">
        <f t="array" ref="A32">ifna(_xlfn.xlookup(B32,'All Item Code'!B:B,'All Item Code'!A:A,),)</f>
        <v/>
      </c>
      <c r="B32" s="3"/>
      <c r="C32" s="3" t="str">
        <f t="array" ref="C32">if(B32="Tidak Ada",,if(isblank(B32),,ifna(sumif('On Hand'!A:A,A32,'On Hand'!D:D)&amp;" "&amp;_xlfn.xlookup(A32,'All Item Code'!A:A,'All Item Code'!D:D,),0)))</f>
        <v/>
      </c>
      <c r="D32" s="3" t="str">
        <f>IFERROR(__xludf.DUMMYFUNCTION("if(isblank(B32),,ifna(textjoin(""; "",,filter('On Hand'!E:E,'On Hand'!A:A=A32)),ifna(xlookup(A32,'On Hand'!A:A,'On Hand'!E:E,),)))"),"")</f>
        <v/>
      </c>
    </row>
    <row r="33">
      <c r="A33" s="3" t="str">
        <f t="array" ref="A33">ifna(_xlfn.xlookup(B33,'All Item Code'!B:B,'All Item Code'!A:A,),)</f>
        <v/>
      </c>
      <c r="B33" s="3"/>
      <c r="C33" s="3" t="str">
        <f t="array" ref="C33">if(B33="Tidak Ada",,if(isblank(B33),,ifna(sumif('On Hand'!A:A,A33,'On Hand'!D:D)&amp;" "&amp;_xlfn.xlookup(A33,'All Item Code'!A:A,'All Item Code'!D:D,),0)))</f>
        <v/>
      </c>
      <c r="D33" s="3" t="str">
        <f>IFERROR(__xludf.DUMMYFUNCTION("if(isblank(B33),,ifna(textjoin(""; "",,filter('On Hand'!E:E,'On Hand'!A:A=A33)),ifna(xlookup(A33,'On Hand'!A:A,'On Hand'!E:E,),)))"),"")</f>
        <v/>
      </c>
    </row>
    <row r="34">
      <c r="A34" s="3" t="str">
        <f t="array" ref="A34">ifna(_xlfn.xlookup(B34,'All Item Code'!B:B,'All Item Code'!A:A,),)</f>
        <v/>
      </c>
      <c r="B34" s="3"/>
      <c r="C34" s="3" t="str">
        <f t="array" ref="C34">if(B34="Tidak Ada",,if(isblank(B34),,ifna(sumif('On Hand'!A:A,A34,'On Hand'!D:D)&amp;" "&amp;_xlfn.xlookup(A34,'All Item Code'!A:A,'All Item Code'!D:D,),0)))</f>
        <v/>
      </c>
      <c r="D34" s="3" t="str">
        <f>IFERROR(__xludf.DUMMYFUNCTION("if(isblank(B34),,ifna(textjoin(""; "",,filter('On Hand'!E:E,'On Hand'!A:A=A34)),ifna(xlookup(A34,'On Hand'!A:A,'On Hand'!E:E,),)))"),"")</f>
        <v/>
      </c>
    </row>
    <row r="35">
      <c r="A35" s="3" t="str">
        <f t="array" ref="A35">ifna(_xlfn.xlookup(B35,'All Item Code'!B:B,'All Item Code'!A:A,),)</f>
        <v/>
      </c>
      <c r="B35" s="3"/>
      <c r="C35" s="3" t="str">
        <f t="array" ref="C35">if(B35="Tidak Ada",,if(isblank(B35),,ifna(sumif('On Hand'!A:A,A35,'On Hand'!D:D)&amp;" "&amp;_xlfn.xlookup(A35,'All Item Code'!A:A,'All Item Code'!D:D,),0)))</f>
        <v/>
      </c>
      <c r="D35" s="3" t="str">
        <f>IFERROR(__xludf.DUMMYFUNCTION("if(isblank(B35),,ifna(textjoin(""; "",,filter('On Hand'!E:E,'On Hand'!A:A=A35)),ifna(xlookup(A35,'On Hand'!A:A,'On Hand'!E:E,),)))"),"")</f>
        <v/>
      </c>
    </row>
    <row r="36">
      <c r="A36" s="3" t="str">
        <f t="array" ref="A36">ifna(_xlfn.xlookup(B36,'All Item Code'!B:B,'All Item Code'!A:A,),)</f>
        <v/>
      </c>
      <c r="B36" s="3"/>
      <c r="C36" s="3" t="str">
        <f t="array" ref="C36">if(B36="Tidak Ada",,if(isblank(B36),,ifna(sumif('On Hand'!A:A,A36,'On Hand'!D:D)&amp;" "&amp;_xlfn.xlookup(A36,'All Item Code'!A:A,'All Item Code'!D:D,),0)))</f>
        <v/>
      </c>
      <c r="D36" s="3" t="str">
        <f>IFERROR(__xludf.DUMMYFUNCTION("if(isblank(B36),,ifna(textjoin(""; "",,filter('On Hand'!E:E,'On Hand'!A:A=A36)),ifna(xlookup(A36,'On Hand'!A:A,'On Hand'!E:E,),)))"),"")</f>
        <v/>
      </c>
    </row>
    <row r="37">
      <c r="A37" s="3" t="str">
        <f t="array" ref="A37">ifna(_xlfn.xlookup(B37,'All Item Code'!B:B,'All Item Code'!A:A,),)</f>
        <v/>
      </c>
      <c r="B37" s="3"/>
      <c r="C37" s="3" t="str">
        <f t="array" ref="C37">if(B37="Tidak Ada",,if(isblank(B37),,ifna(sumif('On Hand'!A:A,A37,'On Hand'!D:D)&amp;" "&amp;_xlfn.xlookup(A37,'All Item Code'!A:A,'All Item Code'!D:D,),0)))</f>
        <v/>
      </c>
      <c r="D37" s="3" t="str">
        <f>IFERROR(__xludf.DUMMYFUNCTION("if(isblank(B37),,ifna(textjoin(""; "",,filter('On Hand'!E:E,'On Hand'!A:A=A37)),ifna(xlookup(A37,'On Hand'!A:A,'On Hand'!E:E,),)))"),"")</f>
        <v/>
      </c>
    </row>
    <row r="38">
      <c r="A38" s="3" t="str">
        <f t="array" ref="A38">ifna(_xlfn.xlookup(B38,'All Item Code'!B:B,'All Item Code'!A:A,),)</f>
        <v/>
      </c>
      <c r="B38" s="3"/>
      <c r="C38" s="3" t="str">
        <f t="array" ref="C38">if(B38="Tidak Ada",,if(isblank(B38),,ifna(sumif('On Hand'!A:A,A38,'On Hand'!D:D)&amp;" "&amp;_xlfn.xlookup(A38,'All Item Code'!A:A,'All Item Code'!D:D,),0)))</f>
        <v/>
      </c>
      <c r="D38" s="3" t="str">
        <f>IFERROR(__xludf.DUMMYFUNCTION("if(isblank(B38),,ifna(textjoin(""; "",,filter('On Hand'!E:E,'On Hand'!A:A=A38)),ifna(xlookup(A38,'On Hand'!A:A,'On Hand'!E:E,),)))"),"")</f>
        <v/>
      </c>
    </row>
    <row r="39">
      <c r="A39" s="3" t="str">
        <f t="array" ref="A39">ifna(_xlfn.xlookup(B39,'All Item Code'!B:B,'All Item Code'!A:A,),)</f>
        <v/>
      </c>
      <c r="B39" s="3"/>
      <c r="C39" s="3" t="str">
        <f t="array" ref="C39">if(B39="Tidak Ada",,if(isblank(B39),,ifna(sumif('On Hand'!A:A,A39,'On Hand'!D:D)&amp;" "&amp;_xlfn.xlookup(A39,'All Item Code'!A:A,'All Item Code'!D:D,),0)))</f>
        <v/>
      </c>
      <c r="D39" s="3" t="str">
        <f>IFERROR(__xludf.DUMMYFUNCTION("if(isblank(B39),,ifna(textjoin(""; "",,filter('On Hand'!E:E,'On Hand'!A:A=A39)),ifna(xlookup(A39,'On Hand'!A:A,'On Hand'!E:E,),)))"),"")</f>
        <v/>
      </c>
    </row>
    <row r="40">
      <c r="A40" s="3" t="str">
        <f t="array" ref="A40">ifna(_xlfn.xlookup(B40,'All Item Code'!B:B,'All Item Code'!A:A,),)</f>
        <v/>
      </c>
      <c r="B40" s="3"/>
      <c r="C40" s="3" t="str">
        <f t="array" ref="C40">if(B40="Tidak Ada",,if(isblank(B40),,ifna(sumif('On Hand'!A:A,A40,'On Hand'!D:D)&amp;" "&amp;_xlfn.xlookup(A40,'All Item Code'!A:A,'All Item Code'!D:D,),0)))</f>
        <v/>
      </c>
      <c r="D40" s="3" t="str">
        <f>IFERROR(__xludf.DUMMYFUNCTION("if(isblank(B40),,ifna(textjoin(""; "",,filter('On Hand'!E:E,'On Hand'!A:A=A40)),ifna(xlookup(A40,'On Hand'!A:A,'On Hand'!E:E,),)))"),"")</f>
        <v/>
      </c>
    </row>
    <row r="41">
      <c r="A41" s="3" t="str">
        <f t="array" ref="A41">ifna(_xlfn.xlookup(B41,'All Item Code'!B:B,'All Item Code'!A:A,),)</f>
        <v/>
      </c>
      <c r="B41" s="3"/>
      <c r="C41" s="3" t="str">
        <f t="array" ref="C41">if(B41="Tidak Ada",,if(isblank(B41),,ifna(sumif('On Hand'!A:A,A41,'On Hand'!D:D)&amp;" "&amp;_xlfn.xlookup(A41,'All Item Code'!A:A,'All Item Code'!D:D,),0)))</f>
        <v/>
      </c>
      <c r="D41" s="3" t="str">
        <f>IFERROR(__xludf.DUMMYFUNCTION("if(isblank(B41),,ifna(textjoin(""; "",,filter('On Hand'!E:E,'On Hand'!A:A=A41)),ifna(xlookup(A41,'On Hand'!A:A,'On Hand'!E:E,),)))"),"")</f>
        <v/>
      </c>
    </row>
    <row r="42">
      <c r="A42" s="3" t="str">
        <f t="array" ref="A42">ifna(_xlfn.xlookup(B42,'All Item Code'!B:B,'All Item Code'!A:A,),)</f>
        <v/>
      </c>
      <c r="B42" s="3"/>
      <c r="C42" s="3" t="str">
        <f t="array" ref="C42">if(B42="Tidak Ada",,if(isblank(B42),,ifna(sumif('On Hand'!A:A,A42,'On Hand'!D:D)&amp;" "&amp;_xlfn.xlookup(A42,'All Item Code'!A:A,'All Item Code'!D:D,),0)))</f>
        <v/>
      </c>
      <c r="D42" s="3" t="str">
        <f>IFERROR(__xludf.DUMMYFUNCTION("if(isblank(B42),,ifna(textjoin(""; "",,filter('On Hand'!E:E,'On Hand'!A:A=A42)),ifna(xlookup(A42,'On Hand'!A:A,'On Hand'!E:E,),)))"),"")</f>
        <v/>
      </c>
    </row>
    <row r="43">
      <c r="A43" s="3" t="str">
        <f t="array" ref="A43">ifna(_xlfn.xlookup(B43,'All Item Code'!B:B,'All Item Code'!A:A,),)</f>
        <v/>
      </c>
      <c r="B43" s="3"/>
      <c r="C43" s="3" t="str">
        <f t="array" ref="C43">if(B43="Tidak Ada",,if(isblank(B43),,ifna(sumif('On Hand'!A:A,A43,'On Hand'!D:D)&amp;" "&amp;_xlfn.xlookup(A43,'All Item Code'!A:A,'All Item Code'!D:D,),0)))</f>
        <v/>
      </c>
      <c r="D43" s="3" t="str">
        <f>IFERROR(__xludf.DUMMYFUNCTION("if(isblank(B43),,ifna(textjoin(""; "",,filter('On Hand'!E:E,'On Hand'!A:A=A43)),ifna(xlookup(A43,'On Hand'!A:A,'On Hand'!E:E,),)))"),"")</f>
        <v/>
      </c>
    </row>
    <row r="44">
      <c r="A44" s="3" t="str">
        <f t="array" ref="A44">ifna(_xlfn.xlookup(B44,'All Item Code'!B:B,'All Item Code'!A:A,),)</f>
        <v/>
      </c>
      <c r="B44" s="3"/>
      <c r="C44" s="3" t="str">
        <f t="array" ref="C44">if(B44="Tidak Ada",,if(isblank(B44),,ifna(sumif('On Hand'!A:A,A44,'On Hand'!D:D)&amp;" "&amp;_xlfn.xlookup(A44,'All Item Code'!A:A,'All Item Code'!D:D,),0)))</f>
        <v/>
      </c>
      <c r="D44" s="3" t="str">
        <f>IFERROR(__xludf.DUMMYFUNCTION("if(isblank(B44),,ifna(textjoin(""; "",,filter('On Hand'!E:E,'On Hand'!A:A=A44)),ifna(xlookup(A44,'On Hand'!A:A,'On Hand'!E:E,),)))"),"")</f>
        <v/>
      </c>
    </row>
    <row r="45">
      <c r="A45" s="3" t="str">
        <f t="array" ref="A45">ifna(_xlfn.xlookup(B45,'All Item Code'!B:B,'All Item Code'!A:A,),)</f>
        <v/>
      </c>
      <c r="B45" s="3"/>
      <c r="C45" s="3" t="str">
        <f t="array" ref="C45">if(B45="Tidak Ada",,if(isblank(B45),,ifna(sumif('On Hand'!A:A,A45,'On Hand'!D:D)&amp;" "&amp;_xlfn.xlookup(A45,'All Item Code'!A:A,'All Item Code'!D:D,),0)))</f>
        <v/>
      </c>
      <c r="D45" s="3" t="str">
        <f>IFERROR(__xludf.DUMMYFUNCTION("if(isblank(B45),,ifna(textjoin(""; "",,filter('On Hand'!E:E,'On Hand'!A:A=A45)),ifna(xlookup(A45,'On Hand'!A:A,'On Hand'!E:E,),)))"),"")</f>
        <v/>
      </c>
    </row>
    <row r="46">
      <c r="A46" s="3" t="str">
        <f t="array" ref="A46">ifna(_xlfn.xlookup(B46,'All Item Code'!B:B,'All Item Code'!A:A,),)</f>
        <v/>
      </c>
      <c r="B46" s="3"/>
      <c r="C46" s="3" t="str">
        <f t="array" ref="C46">if(B46="Tidak Ada",,if(isblank(B46),,ifna(sumif('On Hand'!A:A,A46,'On Hand'!D:D)&amp;" "&amp;_xlfn.xlookup(A46,'All Item Code'!A:A,'All Item Code'!D:D,),0)))</f>
        <v/>
      </c>
      <c r="D46" s="3" t="str">
        <f>IFERROR(__xludf.DUMMYFUNCTION("if(isblank(B46),,ifna(textjoin(""; "",,filter('On Hand'!E:E,'On Hand'!A:A=A46)),ifna(xlookup(A46,'On Hand'!A:A,'On Hand'!E:E,),)))"),"")</f>
        <v/>
      </c>
    </row>
    <row r="47">
      <c r="A47" s="3" t="str">
        <f t="array" ref="A47">ifna(_xlfn.xlookup(B47,'All Item Code'!B:B,'All Item Code'!A:A,),)</f>
        <v/>
      </c>
      <c r="B47" s="3"/>
      <c r="C47" s="3" t="str">
        <f t="array" ref="C47">if(B47="Tidak Ada",,if(isblank(B47),,ifna(sumif('On Hand'!A:A,A47,'On Hand'!D:D)&amp;" "&amp;_xlfn.xlookup(A47,'All Item Code'!A:A,'All Item Code'!D:D,),0)))</f>
        <v/>
      </c>
      <c r="D47" s="3" t="str">
        <f>IFERROR(__xludf.DUMMYFUNCTION("if(isblank(B47),,ifna(textjoin(""; "",,filter('On Hand'!E:E,'On Hand'!A:A=A47)),ifna(xlookup(A47,'On Hand'!A:A,'On Hand'!E:E,),)))"),"")</f>
        <v/>
      </c>
    </row>
    <row r="48">
      <c r="A48" s="3" t="str">
        <f t="array" ref="A48">ifna(_xlfn.xlookup(B48,'All Item Code'!B:B,'All Item Code'!A:A,),)</f>
        <v/>
      </c>
      <c r="B48" s="3"/>
      <c r="C48" s="3" t="str">
        <f t="array" ref="C48">if(B48="Tidak Ada",,if(isblank(B48),,ifna(sumif('On Hand'!A:A,A48,'On Hand'!D:D)&amp;" "&amp;_xlfn.xlookup(A48,'All Item Code'!A:A,'All Item Code'!D:D,),0)))</f>
        <v/>
      </c>
      <c r="D48" s="3" t="str">
        <f>IFERROR(__xludf.DUMMYFUNCTION("if(isblank(B48),,ifna(textjoin(""; "",,filter('On Hand'!E:E,'On Hand'!A:A=A48)),ifna(xlookup(A48,'On Hand'!A:A,'On Hand'!E:E,),)))"),"")</f>
        <v/>
      </c>
    </row>
    <row r="49">
      <c r="A49" s="3" t="str">
        <f t="array" ref="A49">ifna(_xlfn.xlookup(B49,'All Item Code'!B:B,'All Item Code'!A:A,),)</f>
        <v/>
      </c>
      <c r="B49" s="3"/>
      <c r="C49" s="3" t="str">
        <f t="array" ref="C49">if(B49="Tidak Ada",,if(isblank(B49),,ifna(sumif('On Hand'!A:A,A49,'On Hand'!D:D)&amp;" "&amp;_xlfn.xlookup(A49,'All Item Code'!A:A,'All Item Code'!D:D,),0)))</f>
        <v/>
      </c>
      <c r="D49" s="3" t="str">
        <f>IFERROR(__xludf.DUMMYFUNCTION("if(isblank(B49),,ifna(textjoin(""; "",,filter('On Hand'!E:E,'On Hand'!A:A=A49)),ifna(xlookup(A49,'On Hand'!A:A,'On Hand'!E:E,),)))"),"")</f>
        <v/>
      </c>
    </row>
    <row r="50">
      <c r="A50" s="3" t="str">
        <f t="array" ref="A50">ifna(_xlfn.xlookup(B50,'All Item Code'!B:B,'All Item Code'!A:A,),)</f>
        <v/>
      </c>
      <c r="B50" s="3"/>
      <c r="C50" s="3" t="str">
        <f t="array" ref="C50">if(B50="Tidak Ada",,if(isblank(B50),,ifna(sumif('On Hand'!A:A,A50,'On Hand'!D:D)&amp;" "&amp;_xlfn.xlookup(A50,'All Item Code'!A:A,'All Item Code'!D:D,),0)))</f>
        <v/>
      </c>
      <c r="D50" s="3" t="str">
        <f>IFERROR(__xludf.DUMMYFUNCTION("if(isblank(B50),,ifna(textjoin(""; "",,filter('On Hand'!E:E,'On Hand'!A:A=A50)),ifna(xlookup(A50,'On Hand'!A:A,'On Hand'!E:E,),)))"),"")</f>
        <v/>
      </c>
    </row>
    <row r="51">
      <c r="A51" s="3" t="str">
        <f t="array" ref="A51">ifna(_xlfn.xlookup(B51,'All Item Code'!B:B,'All Item Code'!A:A,),)</f>
        <v/>
      </c>
      <c r="B51" s="3"/>
      <c r="C51" s="3" t="str">
        <f t="array" ref="C51">if(B51="Tidak Ada",,if(isblank(B51),,ifna(sumif('On Hand'!A:A,A51,'On Hand'!D:D)&amp;" "&amp;_xlfn.xlookup(A51,'All Item Code'!A:A,'All Item Code'!D:D,),0)))</f>
        <v/>
      </c>
      <c r="D51" s="3" t="str">
        <f>IFERROR(__xludf.DUMMYFUNCTION("if(isblank(B51),,ifna(textjoin(""; "",,filter('On Hand'!E:E,'On Hand'!A:A=A51)),ifna(xlookup(A51,'On Hand'!A:A,'On Hand'!E:E,),)))"),"")</f>
        <v/>
      </c>
    </row>
    <row r="52">
      <c r="A52" s="3" t="str">
        <f t="array" ref="A52">ifna(_xlfn.xlookup(B52,'All Item Code'!B:B,'All Item Code'!A:A,),)</f>
        <v/>
      </c>
      <c r="B52" s="3"/>
      <c r="C52" s="3" t="str">
        <f t="array" ref="C52">if(B52="Tidak Ada",,if(isblank(B52),,ifna(sumif('On Hand'!A:A,A52,'On Hand'!D:D)&amp;" "&amp;_xlfn.xlookup(A52,'All Item Code'!A:A,'All Item Code'!D:D,),0)))</f>
        <v/>
      </c>
      <c r="D52" s="3" t="str">
        <f>IFERROR(__xludf.DUMMYFUNCTION("if(isblank(B52),,ifna(textjoin(""; "",,filter('On Hand'!E:E,'On Hand'!A:A=A52)),ifna(xlookup(A52,'On Hand'!A:A,'On Hand'!E:E,),)))"),"")</f>
        <v/>
      </c>
    </row>
    <row r="53">
      <c r="A53" s="3" t="str">
        <f t="array" ref="A53">ifna(_xlfn.xlookup(B53,'All Item Code'!B:B,'All Item Code'!A:A,),)</f>
        <v/>
      </c>
      <c r="B53" s="3"/>
      <c r="C53" s="3" t="str">
        <f t="array" ref="C53">if(B53="Tidak Ada",,if(isblank(B53),,ifna(sumif('On Hand'!A:A,A53,'On Hand'!D:D)&amp;" "&amp;_xlfn.xlookup(A53,'All Item Code'!A:A,'All Item Code'!D:D,),0)))</f>
        <v/>
      </c>
      <c r="D53" s="3" t="str">
        <f>IFERROR(__xludf.DUMMYFUNCTION("if(isblank(B53),,ifna(textjoin(""; "",,filter('On Hand'!E:E,'On Hand'!A:A=A53)),ifna(xlookup(A53,'On Hand'!A:A,'On Hand'!E:E,),)))"),"")</f>
        <v/>
      </c>
    </row>
    <row r="54">
      <c r="A54" s="3" t="str">
        <f t="array" ref="A54">ifna(_xlfn.xlookup(B54,'All Item Code'!B:B,'All Item Code'!A:A,),)</f>
        <v/>
      </c>
      <c r="B54" s="3"/>
      <c r="C54" s="3" t="str">
        <f t="array" ref="C54">if(B54="Tidak Ada",,if(isblank(B54),,ifna(sumif('On Hand'!A:A,A54,'On Hand'!D:D)&amp;" "&amp;_xlfn.xlookup(A54,'All Item Code'!A:A,'All Item Code'!D:D,),0)))</f>
        <v/>
      </c>
      <c r="D54" s="3" t="str">
        <f>IFERROR(__xludf.DUMMYFUNCTION("if(isblank(B54),,ifna(textjoin(""; "",,filter('On Hand'!E:E,'On Hand'!A:A=A54)),ifna(xlookup(A54,'On Hand'!A:A,'On Hand'!E:E,),)))"),"")</f>
        <v/>
      </c>
    </row>
    <row r="55">
      <c r="A55" s="3" t="str">
        <f t="array" ref="A55">ifna(_xlfn.xlookup(B55,'All Item Code'!B:B,'All Item Code'!A:A,),)</f>
        <v/>
      </c>
      <c r="B55" s="3"/>
      <c r="C55" s="3" t="str">
        <f t="array" ref="C55">if(B55="Tidak Ada",,if(isblank(B55),,ifna(sumif('On Hand'!A:A,A55,'On Hand'!D:D)&amp;" "&amp;_xlfn.xlookup(A55,'All Item Code'!A:A,'All Item Code'!D:D,),0)))</f>
        <v/>
      </c>
      <c r="D55" s="3" t="str">
        <f>IFERROR(__xludf.DUMMYFUNCTION("if(isblank(B55),,ifna(textjoin(""; "",,filter('On Hand'!E:E,'On Hand'!A:A=A55)),ifna(xlookup(A55,'On Hand'!A:A,'On Hand'!E:E,),)))"),"")</f>
        <v/>
      </c>
    </row>
    <row r="56">
      <c r="A56" s="3" t="str">
        <f t="array" ref="A56">ifna(_xlfn.xlookup(B56,'All Item Code'!B:B,'All Item Code'!A:A,),)</f>
        <v/>
      </c>
      <c r="B56" s="3"/>
      <c r="C56" s="3" t="str">
        <f t="array" ref="C56">if(B56="Tidak Ada",,if(isblank(B56),,ifna(sumif('On Hand'!A:A,A56,'On Hand'!D:D)&amp;" "&amp;_xlfn.xlookup(A56,'All Item Code'!A:A,'All Item Code'!D:D,),0)))</f>
        <v/>
      </c>
      <c r="D56" s="3" t="str">
        <f>IFERROR(__xludf.DUMMYFUNCTION("if(isblank(B56),,ifna(textjoin(""; "",,filter('On Hand'!E:E,'On Hand'!A:A=A56)),ifna(xlookup(A56,'On Hand'!A:A,'On Hand'!E:E,),)))"),"")</f>
        <v/>
      </c>
    </row>
    <row r="57">
      <c r="A57" s="3" t="str">
        <f t="array" ref="A57">ifna(_xlfn.xlookup(B57,'All Item Code'!B:B,'All Item Code'!A:A,),)</f>
        <v/>
      </c>
      <c r="B57" s="3"/>
      <c r="C57" s="3" t="str">
        <f t="array" ref="C57">if(B57="Tidak Ada",,if(isblank(B57),,ifna(sumif('On Hand'!A:A,A57,'On Hand'!D:D)&amp;" "&amp;_xlfn.xlookup(A57,'All Item Code'!A:A,'All Item Code'!D:D,),0)))</f>
        <v/>
      </c>
      <c r="D57" s="3" t="str">
        <f>IFERROR(__xludf.DUMMYFUNCTION("if(isblank(B57),,ifna(textjoin(""; "",,filter('On Hand'!E:E,'On Hand'!A:A=A57)),ifna(xlookup(A57,'On Hand'!A:A,'On Hand'!E:E,),)))"),"")</f>
        <v/>
      </c>
    </row>
    <row r="58">
      <c r="A58" s="3" t="str">
        <f t="array" ref="A58">ifna(_xlfn.xlookup(B58,'All Item Code'!B:B,'All Item Code'!A:A,),)</f>
        <v/>
      </c>
      <c r="B58" s="3"/>
      <c r="C58" s="3" t="str">
        <f t="array" ref="C58">if(B58="Tidak Ada",,if(isblank(B58),,ifna(sumif('On Hand'!A:A,A58,'On Hand'!D:D)&amp;" "&amp;_xlfn.xlookup(A58,'All Item Code'!A:A,'All Item Code'!D:D,),0)))</f>
        <v/>
      </c>
      <c r="D58" s="3" t="str">
        <f>IFERROR(__xludf.DUMMYFUNCTION("if(isblank(B58),,ifna(textjoin(""; "",,filter('On Hand'!E:E,'On Hand'!A:A=A58)),ifna(xlookup(A58,'On Hand'!A:A,'On Hand'!E:E,),)))"),"")</f>
        <v/>
      </c>
    </row>
    <row r="59">
      <c r="A59" s="3" t="str">
        <f t="array" ref="A59">ifna(_xlfn.xlookup(B59,'All Item Code'!B:B,'All Item Code'!A:A,),)</f>
        <v/>
      </c>
      <c r="B59" s="3"/>
      <c r="C59" s="3" t="str">
        <f t="array" ref="C59">if(B59="Tidak Ada",,if(isblank(B59),,ifna(sumif('On Hand'!A:A,A59,'On Hand'!D:D)&amp;" "&amp;_xlfn.xlookup(A59,'All Item Code'!A:A,'All Item Code'!D:D,),0)))</f>
        <v/>
      </c>
      <c r="D59" s="3" t="str">
        <f>IFERROR(__xludf.DUMMYFUNCTION("if(isblank(B59),,ifna(textjoin(""; "",,filter('On Hand'!E:E,'On Hand'!A:A=A59)),ifna(xlookup(A59,'On Hand'!A:A,'On Hand'!E:E,),)))"),"")</f>
        <v/>
      </c>
    </row>
    <row r="60">
      <c r="A60" s="3" t="str">
        <f t="array" ref="A60">ifna(_xlfn.xlookup(B60,'All Item Code'!B:B,'All Item Code'!A:A,),)</f>
        <v/>
      </c>
      <c r="B60" s="3"/>
      <c r="C60" s="3" t="str">
        <f t="array" ref="C60">if(B60="Tidak Ada",,if(isblank(B60),,ifna(sumif('On Hand'!A:A,A60,'On Hand'!D:D)&amp;" "&amp;_xlfn.xlookup(A60,'All Item Code'!A:A,'All Item Code'!D:D,),0)))</f>
        <v/>
      </c>
      <c r="D60" s="3" t="str">
        <f>IFERROR(__xludf.DUMMYFUNCTION("if(isblank(B60),,ifna(textjoin(""; "",,filter('On Hand'!E:E,'On Hand'!A:A=A60)),ifna(xlookup(A60,'On Hand'!A:A,'On Hand'!E:E,),)))"),"")</f>
        <v/>
      </c>
    </row>
    <row r="61">
      <c r="A61" s="3" t="str">
        <f t="array" ref="A61">ifna(_xlfn.xlookup(B61,'All Item Code'!B:B,'All Item Code'!A:A,),)</f>
        <v/>
      </c>
      <c r="B61" s="3"/>
      <c r="C61" s="3" t="str">
        <f t="array" ref="C61">if(B61="Tidak Ada",,if(isblank(B61),,ifna(sumif('On Hand'!A:A,A61,'On Hand'!D:D)&amp;" "&amp;_xlfn.xlookup(A61,'All Item Code'!A:A,'All Item Code'!D:D,),0)))</f>
        <v/>
      </c>
      <c r="D61" s="3" t="str">
        <f>IFERROR(__xludf.DUMMYFUNCTION("if(isblank(B61),,ifna(textjoin(""; "",,filter('On Hand'!E:E,'On Hand'!A:A=A61)),ifna(xlookup(A61,'On Hand'!A:A,'On Hand'!E:E,),)))"),"")</f>
        <v/>
      </c>
    </row>
    <row r="62">
      <c r="A62" s="3" t="str">
        <f t="array" ref="A62">ifna(_xlfn.xlookup(B62,'All Item Code'!B:B,'All Item Code'!A:A,),)</f>
        <v/>
      </c>
      <c r="B62" s="3"/>
      <c r="C62" s="3" t="str">
        <f t="array" ref="C62">if(B62="Tidak Ada",,if(isblank(B62),,ifna(sumif('On Hand'!A:A,A62,'On Hand'!D:D)&amp;" "&amp;_xlfn.xlookup(A62,'All Item Code'!A:A,'All Item Code'!D:D,),0)))</f>
        <v/>
      </c>
      <c r="D62" s="3" t="str">
        <f>IFERROR(__xludf.DUMMYFUNCTION("if(isblank(B62),,ifna(textjoin(""; "",,filter('On Hand'!E:E,'On Hand'!A:A=A62)),ifna(xlookup(A62,'On Hand'!A:A,'On Hand'!E:E,),)))"),"")</f>
        <v/>
      </c>
    </row>
    <row r="63">
      <c r="A63" s="3" t="str">
        <f t="array" ref="A63">ifna(_xlfn.xlookup(B63,'All Item Code'!B:B,'All Item Code'!A:A,),)</f>
        <v/>
      </c>
      <c r="B63" s="3"/>
      <c r="C63" s="3" t="str">
        <f t="array" ref="C63">if(B63="Tidak Ada",,if(isblank(B63),,ifna(sumif('On Hand'!A:A,A63,'On Hand'!D:D)&amp;" "&amp;_xlfn.xlookup(A63,'All Item Code'!A:A,'All Item Code'!D:D,),0)))</f>
        <v/>
      </c>
      <c r="D63" s="3" t="str">
        <f>IFERROR(__xludf.DUMMYFUNCTION("if(isblank(B63),,ifna(textjoin(""; "",,filter('On Hand'!E:E,'On Hand'!A:A=A63)),ifna(xlookup(A63,'On Hand'!A:A,'On Hand'!E:E,),)))"),"")</f>
        <v/>
      </c>
    </row>
    <row r="64">
      <c r="A64" s="3" t="str">
        <f t="array" ref="A64">ifna(_xlfn.xlookup(B64,'All Item Code'!B:B,'All Item Code'!A:A,),)</f>
        <v/>
      </c>
      <c r="B64" s="3"/>
      <c r="C64" s="3" t="str">
        <f t="array" ref="C64">if(B64="Tidak Ada",,if(isblank(B64),,ifna(sumif('On Hand'!A:A,A64,'On Hand'!D:D)&amp;" "&amp;_xlfn.xlookup(A64,'All Item Code'!A:A,'All Item Code'!D:D,),0)))</f>
        <v/>
      </c>
      <c r="D64" s="3" t="str">
        <f>IFERROR(__xludf.DUMMYFUNCTION("if(isblank(B64),,ifna(textjoin(""; "",,filter('On Hand'!E:E,'On Hand'!A:A=A64)),ifna(xlookup(A64,'On Hand'!A:A,'On Hand'!E:E,),)))"),"")</f>
        <v/>
      </c>
    </row>
    <row r="65">
      <c r="A65" s="3" t="str">
        <f t="array" ref="A65">ifna(_xlfn.xlookup(B65,'All Item Code'!B:B,'All Item Code'!A:A,),)</f>
        <v/>
      </c>
      <c r="B65" s="3"/>
      <c r="C65" s="3" t="str">
        <f t="array" ref="C65">if(B65="Tidak Ada",,if(isblank(B65),,ifna(sumif('On Hand'!A:A,A65,'On Hand'!D:D)&amp;" "&amp;_xlfn.xlookup(A65,'All Item Code'!A:A,'All Item Code'!D:D,),0)))</f>
        <v/>
      </c>
      <c r="D65" s="3" t="str">
        <f>IFERROR(__xludf.DUMMYFUNCTION("if(isblank(B65),,ifna(textjoin(""; "",,filter('On Hand'!E:E,'On Hand'!A:A=A65)),ifna(xlookup(A65,'On Hand'!A:A,'On Hand'!E:E,),)))"),"")</f>
        <v/>
      </c>
    </row>
    <row r="66">
      <c r="A66" s="3" t="str">
        <f t="array" ref="A66">ifna(_xlfn.xlookup(B66,'All Item Code'!B:B,'All Item Code'!A:A,),)</f>
        <v/>
      </c>
      <c r="B66" s="3"/>
      <c r="C66" s="3" t="str">
        <f t="array" ref="C66">if(B66="Tidak Ada",,if(isblank(B66),,ifna(sumif('On Hand'!A:A,A66,'On Hand'!D:D)&amp;" "&amp;_xlfn.xlookup(A66,'All Item Code'!A:A,'All Item Code'!D:D,),0)))</f>
        <v/>
      </c>
      <c r="D66" s="3" t="str">
        <f>IFERROR(__xludf.DUMMYFUNCTION("if(isblank(B66),,ifna(textjoin(""; "",,filter('On Hand'!E:E,'On Hand'!A:A=A66)),ifna(xlookup(A66,'On Hand'!A:A,'On Hand'!E:E,),)))"),"")</f>
        <v/>
      </c>
    </row>
    <row r="67">
      <c r="A67" s="3" t="str">
        <f t="array" ref="A67">ifna(_xlfn.xlookup(B67,'All Item Code'!B:B,'All Item Code'!A:A,),)</f>
        <v/>
      </c>
      <c r="B67" s="3"/>
      <c r="C67" s="3" t="str">
        <f t="array" ref="C67">if(B67="Tidak Ada",,if(isblank(B67),,ifna(sumif('On Hand'!A:A,A67,'On Hand'!D:D)&amp;" "&amp;_xlfn.xlookup(A67,'All Item Code'!A:A,'All Item Code'!D:D,),0)))</f>
        <v/>
      </c>
      <c r="D67" s="3" t="str">
        <f>IFERROR(__xludf.DUMMYFUNCTION("if(isblank(B67),,ifna(textjoin(""; "",,filter('On Hand'!E:E,'On Hand'!A:A=A67)),ifna(xlookup(A67,'On Hand'!A:A,'On Hand'!E:E,),)))"),"")</f>
        <v/>
      </c>
    </row>
    <row r="68">
      <c r="A68" s="3" t="str">
        <f t="array" ref="A68">ifna(_xlfn.xlookup(B68,'All Item Code'!B:B,'All Item Code'!A:A,),)</f>
        <v/>
      </c>
      <c r="B68" s="3"/>
      <c r="C68" s="3" t="str">
        <f t="array" ref="C68">if(B68="Tidak Ada",,if(isblank(B68),,ifna(sumif('On Hand'!A:A,A68,'On Hand'!D:D)&amp;" "&amp;_xlfn.xlookup(A68,'All Item Code'!A:A,'All Item Code'!D:D,),0)))</f>
        <v/>
      </c>
      <c r="D68" s="3" t="str">
        <f>IFERROR(__xludf.DUMMYFUNCTION("if(isblank(B68),,ifna(textjoin(""; "",,filter('On Hand'!E:E,'On Hand'!A:A=A68)),ifna(xlookup(A68,'On Hand'!A:A,'On Hand'!E:E,),)))"),"")</f>
        <v/>
      </c>
    </row>
    <row r="69">
      <c r="A69" s="3" t="str">
        <f t="array" ref="A69">ifna(_xlfn.xlookup(B69,'All Item Code'!B:B,'All Item Code'!A:A,),)</f>
        <v/>
      </c>
      <c r="B69" s="3"/>
      <c r="C69" s="3" t="str">
        <f t="array" ref="C69">if(B69="Tidak Ada",,if(isblank(B69),,ifna(sumif('On Hand'!A:A,A69,'On Hand'!D:D)&amp;" "&amp;_xlfn.xlookup(A69,'All Item Code'!A:A,'All Item Code'!D:D,),0)))</f>
        <v/>
      </c>
      <c r="D69" s="3" t="str">
        <f>IFERROR(__xludf.DUMMYFUNCTION("if(isblank(B69),,ifna(textjoin(""; "",,filter('On Hand'!E:E,'On Hand'!A:A=A69)),ifna(xlookup(A69,'On Hand'!A:A,'On Hand'!E:E,),)))"),"")</f>
        <v/>
      </c>
    </row>
    <row r="70">
      <c r="A70" s="3" t="str">
        <f t="array" ref="A70">ifna(_xlfn.xlookup(B70,'All Item Code'!B:B,'All Item Code'!A:A,),)</f>
        <v/>
      </c>
      <c r="B70" s="3"/>
      <c r="C70" s="3" t="str">
        <f t="array" ref="C70">if(B70="Tidak Ada",,if(isblank(B70),,ifna(sumif('On Hand'!A:A,A70,'On Hand'!D:D)&amp;" "&amp;_xlfn.xlookup(A70,'All Item Code'!A:A,'All Item Code'!D:D,),0)))</f>
        <v/>
      </c>
      <c r="D70" s="3" t="str">
        <f>IFERROR(__xludf.DUMMYFUNCTION("if(isblank(B70),,ifna(textjoin(""; "",,filter('On Hand'!E:E,'On Hand'!A:A=A70)),ifna(xlookup(A70,'On Hand'!A:A,'On Hand'!E:E,),)))"),"")</f>
        <v/>
      </c>
    </row>
    <row r="71">
      <c r="A71" s="3" t="str">
        <f t="array" ref="A71">ifna(_xlfn.xlookup(B71,'All Item Code'!B:B,'All Item Code'!A:A,),)</f>
        <v/>
      </c>
      <c r="B71" s="3"/>
      <c r="C71" s="3" t="str">
        <f t="array" ref="C71">if(B71="Tidak Ada",,if(isblank(B71),,ifna(sumif('On Hand'!A:A,A71,'On Hand'!D:D)&amp;" "&amp;_xlfn.xlookup(A71,'All Item Code'!A:A,'All Item Code'!D:D,),0)))</f>
        <v/>
      </c>
      <c r="D71" s="3" t="str">
        <f>IFERROR(__xludf.DUMMYFUNCTION("if(isblank(B71),,ifna(textjoin(""; "",,filter('On Hand'!E:E,'On Hand'!A:A=A71)),ifna(xlookup(A71,'On Hand'!A:A,'On Hand'!E:E,),)))"),"")</f>
        <v/>
      </c>
    </row>
    <row r="72">
      <c r="A72" s="3" t="str">
        <f t="array" ref="A72">ifna(_xlfn.xlookup(B72,'All Item Code'!B:B,'All Item Code'!A:A,),)</f>
        <v/>
      </c>
      <c r="B72" s="3"/>
      <c r="C72" s="3" t="str">
        <f t="array" ref="C72">if(B72="Tidak Ada",,if(isblank(B72),,ifna(sumif('On Hand'!A:A,A72,'On Hand'!D:D)&amp;" "&amp;_xlfn.xlookup(A72,'All Item Code'!A:A,'All Item Code'!D:D,),0)))</f>
        <v/>
      </c>
      <c r="D72" s="3" t="str">
        <f>IFERROR(__xludf.DUMMYFUNCTION("if(isblank(B72),,ifna(textjoin(""; "",,filter('On Hand'!E:E,'On Hand'!A:A=A72)),ifna(xlookup(A72,'On Hand'!A:A,'On Hand'!E:E,),)))"),"")</f>
        <v/>
      </c>
    </row>
    <row r="73">
      <c r="A73" s="3" t="str">
        <f t="array" ref="A73">ifna(_xlfn.xlookup(B73,'All Item Code'!B:B,'All Item Code'!A:A,),)</f>
        <v/>
      </c>
      <c r="B73" s="3"/>
      <c r="C73" s="3" t="str">
        <f t="array" ref="C73">if(B73="Tidak Ada",,if(isblank(B73),,ifna(sumif('On Hand'!A:A,A73,'On Hand'!D:D)&amp;" "&amp;_xlfn.xlookup(A73,'All Item Code'!A:A,'All Item Code'!D:D,),0)))</f>
        <v/>
      </c>
      <c r="D73" s="3" t="str">
        <f>IFERROR(__xludf.DUMMYFUNCTION("if(isblank(B73),,ifna(textjoin(""; "",,filter('On Hand'!E:E,'On Hand'!A:A=A73)),ifna(xlookup(A73,'On Hand'!A:A,'On Hand'!E:E,),)))"),"")</f>
        <v/>
      </c>
    </row>
    <row r="74">
      <c r="A74" s="3" t="str">
        <f t="array" ref="A74">ifna(_xlfn.xlookup(B74,'All Item Code'!B:B,'All Item Code'!A:A,),)</f>
        <v/>
      </c>
      <c r="B74" s="3"/>
      <c r="C74" s="3" t="str">
        <f t="array" ref="C74">if(B74="Tidak Ada",,if(isblank(B74),,ifna(sumif('On Hand'!A:A,A74,'On Hand'!D:D)&amp;" "&amp;_xlfn.xlookup(A74,'All Item Code'!A:A,'All Item Code'!D:D,),0)))</f>
        <v/>
      </c>
      <c r="D74" s="3" t="str">
        <f>IFERROR(__xludf.DUMMYFUNCTION("if(isblank(B74),,ifna(textjoin(""; "",,filter('On Hand'!E:E,'On Hand'!A:A=A74)),ifna(xlookup(A74,'On Hand'!A:A,'On Hand'!E:E,),)))"),"")</f>
        <v/>
      </c>
    </row>
    <row r="75">
      <c r="A75" s="3" t="str">
        <f t="array" ref="A75">ifna(_xlfn.xlookup(B75,'All Item Code'!B:B,'All Item Code'!A:A,),)</f>
        <v/>
      </c>
      <c r="B75" s="3"/>
      <c r="C75" s="3" t="str">
        <f t="array" ref="C75">if(B75="Tidak Ada",,if(isblank(B75),,ifna(sumif('On Hand'!A:A,A75,'On Hand'!D:D)&amp;" "&amp;_xlfn.xlookup(A75,'All Item Code'!A:A,'All Item Code'!D:D,),0)))</f>
        <v/>
      </c>
      <c r="D75" s="3" t="str">
        <f>IFERROR(__xludf.DUMMYFUNCTION("if(isblank(B75),,ifna(textjoin(""; "",,filter('On Hand'!E:E,'On Hand'!A:A=A75)),ifna(xlookup(A75,'On Hand'!A:A,'On Hand'!E:E,),)))"),"")</f>
        <v/>
      </c>
    </row>
    <row r="76">
      <c r="A76" s="3" t="str">
        <f t="array" ref="A76">ifna(_xlfn.xlookup(B76,'All Item Code'!B:B,'All Item Code'!A:A,),)</f>
        <v/>
      </c>
      <c r="B76" s="3"/>
      <c r="C76" s="3" t="str">
        <f t="array" ref="C76">if(B76="Tidak Ada",,if(isblank(B76),,ifna(sumif('On Hand'!A:A,A76,'On Hand'!D:D)&amp;" "&amp;_xlfn.xlookup(A76,'All Item Code'!A:A,'All Item Code'!D:D,),0)))</f>
        <v/>
      </c>
      <c r="D76" s="3" t="str">
        <f>IFERROR(__xludf.DUMMYFUNCTION("if(isblank(B76),,ifna(textjoin(""; "",,filter('On Hand'!E:E,'On Hand'!A:A=A76)),ifna(xlookup(A76,'On Hand'!A:A,'On Hand'!E:E,),)))"),"")</f>
        <v/>
      </c>
    </row>
    <row r="77">
      <c r="A77" s="3" t="str">
        <f t="array" ref="A77">ifna(_xlfn.xlookup(B77,'All Item Code'!B:B,'All Item Code'!A:A,),)</f>
        <v/>
      </c>
      <c r="B77" s="3"/>
      <c r="C77" s="3" t="str">
        <f t="array" ref="C77">if(B77="Tidak Ada",,if(isblank(B77),,ifna(sumif('On Hand'!A:A,A77,'On Hand'!D:D)&amp;" "&amp;_xlfn.xlookup(A77,'All Item Code'!A:A,'All Item Code'!D:D,),0)))</f>
        <v/>
      </c>
      <c r="D77" s="3" t="str">
        <f>IFERROR(__xludf.DUMMYFUNCTION("if(isblank(B77),,ifna(textjoin(""; "",,filter('On Hand'!E:E,'On Hand'!A:A=A77)),ifna(xlookup(A77,'On Hand'!A:A,'On Hand'!E:E,),)))"),"")</f>
        <v/>
      </c>
    </row>
    <row r="78">
      <c r="A78" s="3" t="str">
        <f t="array" ref="A78">ifna(_xlfn.xlookup(B78,'All Item Code'!B:B,'All Item Code'!A:A,),)</f>
        <v/>
      </c>
      <c r="B78" s="3"/>
      <c r="C78" s="3" t="str">
        <f t="array" ref="C78">if(B78="Tidak Ada",,if(isblank(B78),,ifna(sumif('On Hand'!A:A,A78,'On Hand'!D:D)&amp;" "&amp;_xlfn.xlookup(A78,'All Item Code'!A:A,'All Item Code'!D:D,),0)))</f>
        <v/>
      </c>
      <c r="D78" s="3" t="str">
        <f>IFERROR(__xludf.DUMMYFUNCTION("if(isblank(B78),,ifna(textjoin(""; "",,filter('On Hand'!E:E,'On Hand'!A:A=A78)),ifna(xlookup(A78,'On Hand'!A:A,'On Hand'!E:E,),)))"),"")</f>
        <v/>
      </c>
    </row>
    <row r="79">
      <c r="A79" s="3" t="str">
        <f t="array" ref="A79">ifna(_xlfn.xlookup(B79,'All Item Code'!B:B,'All Item Code'!A:A,),)</f>
        <v/>
      </c>
      <c r="B79" s="3"/>
      <c r="C79" s="3" t="str">
        <f t="array" ref="C79">if(B79="Tidak Ada",,if(isblank(B79),,ifna(sumif('On Hand'!A:A,A79,'On Hand'!D:D)&amp;" "&amp;_xlfn.xlookup(A79,'All Item Code'!A:A,'All Item Code'!D:D,),0)))</f>
        <v/>
      </c>
      <c r="D79" s="3" t="str">
        <f>IFERROR(__xludf.DUMMYFUNCTION("if(isblank(B79),,ifna(textjoin(""; "",,filter('On Hand'!E:E,'On Hand'!A:A=A79)),ifna(xlookup(A79,'On Hand'!A:A,'On Hand'!E:E,),)))"),"")</f>
        <v/>
      </c>
    </row>
    <row r="80">
      <c r="A80" s="3" t="str">
        <f t="array" ref="A80">ifna(_xlfn.xlookup(B80,'All Item Code'!B:B,'All Item Code'!A:A,),)</f>
        <v/>
      </c>
      <c r="B80" s="3"/>
      <c r="C80" s="3" t="str">
        <f t="array" ref="C80">if(B80="Tidak Ada",,if(isblank(B80),,ifna(sumif('On Hand'!A:A,A80,'On Hand'!D:D)&amp;" "&amp;_xlfn.xlookup(A80,'All Item Code'!A:A,'All Item Code'!D:D,),0)))</f>
        <v/>
      </c>
      <c r="D80" s="3" t="str">
        <f>IFERROR(__xludf.DUMMYFUNCTION("if(isblank(B80),,ifna(textjoin(""; "",,filter('On Hand'!E:E,'On Hand'!A:A=A80)),ifna(xlookup(A80,'On Hand'!A:A,'On Hand'!E:E,),)))"),"")</f>
        <v/>
      </c>
    </row>
    <row r="81">
      <c r="A81" s="3" t="str">
        <f t="array" ref="A81">ifna(_xlfn.xlookup(B81,'All Item Code'!B:B,'All Item Code'!A:A,),)</f>
        <v/>
      </c>
      <c r="B81" s="3"/>
      <c r="C81" s="3" t="str">
        <f t="array" ref="C81">if(B81="Tidak Ada",,if(isblank(B81),,ifna(sumif('On Hand'!A:A,A81,'On Hand'!D:D)&amp;" "&amp;_xlfn.xlookup(A81,'All Item Code'!A:A,'All Item Code'!D:D,),0)))</f>
        <v/>
      </c>
      <c r="D81" s="3" t="str">
        <f>IFERROR(__xludf.DUMMYFUNCTION("if(isblank(B81),,ifna(textjoin(""; "",,filter('On Hand'!E:E,'On Hand'!A:A=A81)),ifna(xlookup(A81,'On Hand'!A:A,'On Hand'!E:E,),)))"),"")</f>
        <v/>
      </c>
    </row>
    <row r="82">
      <c r="A82" s="3" t="str">
        <f t="array" ref="A82">ifna(_xlfn.xlookup(B82,'All Item Code'!B:B,'All Item Code'!A:A,),)</f>
        <v/>
      </c>
      <c r="B82" s="3"/>
      <c r="C82" s="3" t="str">
        <f t="array" ref="C82">if(B82="Tidak Ada",,if(isblank(B82),,ifna(sumif('On Hand'!A:A,A82,'On Hand'!D:D)&amp;" "&amp;_xlfn.xlookup(A82,'All Item Code'!A:A,'All Item Code'!D:D,),0)))</f>
        <v/>
      </c>
      <c r="D82" s="3" t="str">
        <f>IFERROR(__xludf.DUMMYFUNCTION("if(isblank(B82),,ifna(textjoin(""; "",,filter('On Hand'!E:E,'On Hand'!A:A=A82)),ifna(xlookup(A82,'On Hand'!A:A,'On Hand'!E:E,),)))"),"")</f>
        <v/>
      </c>
    </row>
    <row r="83">
      <c r="A83" s="3" t="str">
        <f t="array" ref="A83">ifna(_xlfn.xlookup(B83,'All Item Code'!B:B,'All Item Code'!A:A,),)</f>
        <v/>
      </c>
      <c r="B83" s="3"/>
      <c r="C83" s="3" t="str">
        <f t="array" ref="C83">if(B83="Tidak Ada",,if(isblank(B83),,ifna(sumif('On Hand'!A:A,A83,'On Hand'!D:D)&amp;" "&amp;_xlfn.xlookup(A83,'All Item Code'!A:A,'All Item Code'!D:D,),0)))</f>
        <v/>
      </c>
      <c r="D83" s="3" t="str">
        <f>IFERROR(__xludf.DUMMYFUNCTION("if(isblank(B83),,ifna(textjoin(""; "",,filter('On Hand'!E:E,'On Hand'!A:A=A83)),ifna(xlookup(A83,'On Hand'!A:A,'On Hand'!E:E,),)))"),"")</f>
        <v/>
      </c>
    </row>
    <row r="84">
      <c r="A84" s="3" t="str">
        <f t="array" ref="A84">ifna(_xlfn.xlookup(B84,'All Item Code'!B:B,'All Item Code'!A:A,),)</f>
        <v/>
      </c>
      <c r="B84" s="3"/>
      <c r="C84" s="3" t="str">
        <f t="array" ref="C84">if(B84="Tidak Ada",,if(isblank(B84),,ifna(sumif('On Hand'!A:A,A84,'On Hand'!D:D)&amp;" "&amp;_xlfn.xlookup(A84,'All Item Code'!A:A,'All Item Code'!D:D,),0)))</f>
        <v/>
      </c>
      <c r="D84" s="3" t="str">
        <f>IFERROR(__xludf.DUMMYFUNCTION("if(isblank(B84),,ifna(textjoin(""; "",,filter('On Hand'!E:E,'On Hand'!A:A=A84)),ifna(xlookup(A84,'On Hand'!A:A,'On Hand'!E:E,),)))"),"")</f>
        <v/>
      </c>
    </row>
    <row r="85">
      <c r="A85" s="3" t="str">
        <f t="array" ref="A85">ifna(_xlfn.xlookup(B85,'All Item Code'!B:B,'All Item Code'!A:A,),)</f>
        <v/>
      </c>
      <c r="B85" s="3"/>
      <c r="C85" s="3" t="str">
        <f t="array" ref="C85">if(B85="Tidak Ada",,if(isblank(B85),,ifna(sumif('On Hand'!A:A,A85,'On Hand'!D:D)&amp;" "&amp;_xlfn.xlookup(A85,'All Item Code'!A:A,'All Item Code'!D:D,),0)))</f>
        <v/>
      </c>
      <c r="D85" s="3" t="str">
        <f>IFERROR(__xludf.DUMMYFUNCTION("if(isblank(B85),,ifna(textjoin(""; "",,filter('On Hand'!E:E,'On Hand'!A:A=A85)),ifna(xlookup(A85,'On Hand'!A:A,'On Hand'!E:E,),)))"),"")</f>
        <v/>
      </c>
    </row>
    <row r="86">
      <c r="A86" s="3" t="str">
        <f t="array" ref="A86">ifna(_xlfn.xlookup(B86,'All Item Code'!B:B,'All Item Code'!A:A,),)</f>
        <v/>
      </c>
      <c r="B86" s="3"/>
      <c r="C86" s="3" t="str">
        <f t="array" ref="C86">if(B86="Tidak Ada",,if(isblank(B86),,ifna(sumif('On Hand'!A:A,A86,'On Hand'!D:D)&amp;" "&amp;_xlfn.xlookup(A86,'All Item Code'!A:A,'All Item Code'!D:D,),0)))</f>
        <v/>
      </c>
      <c r="D86" s="3" t="str">
        <f>IFERROR(__xludf.DUMMYFUNCTION("if(isblank(B86),,ifna(textjoin(""; "",,filter('On Hand'!E:E,'On Hand'!A:A=A86)),ifna(xlookup(A86,'On Hand'!A:A,'On Hand'!E:E,),)))"),"")</f>
        <v/>
      </c>
    </row>
    <row r="87">
      <c r="A87" s="3" t="str">
        <f t="array" ref="A87">ifna(_xlfn.xlookup(B87,'All Item Code'!B:B,'All Item Code'!A:A,),)</f>
        <v/>
      </c>
      <c r="B87" s="3"/>
      <c r="C87" s="3" t="str">
        <f t="array" ref="C87">if(B87="Tidak Ada",,if(isblank(B87),,ifna(sumif('On Hand'!A:A,A87,'On Hand'!D:D)&amp;" "&amp;_xlfn.xlookup(A87,'All Item Code'!A:A,'All Item Code'!D:D,),0)))</f>
        <v/>
      </c>
      <c r="D87" s="3" t="str">
        <f>IFERROR(__xludf.DUMMYFUNCTION("if(isblank(B87),,ifna(textjoin(""; "",,filter('On Hand'!E:E,'On Hand'!A:A=A87)),ifna(xlookup(A87,'On Hand'!A:A,'On Hand'!E:E,),)))"),"")</f>
        <v/>
      </c>
    </row>
    <row r="88">
      <c r="A88" s="3" t="str">
        <f t="array" ref="A88">ifna(_xlfn.xlookup(B88,'All Item Code'!B:B,'All Item Code'!A:A,),)</f>
        <v/>
      </c>
      <c r="B88" s="3"/>
      <c r="C88" s="3" t="str">
        <f t="array" ref="C88">if(B88="Tidak Ada",,if(isblank(B88),,ifna(sumif('On Hand'!A:A,A88,'On Hand'!D:D)&amp;" "&amp;_xlfn.xlookup(A88,'All Item Code'!A:A,'All Item Code'!D:D,),0)))</f>
        <v/>
      </c>
      <c r="D88" s="3" t="str">
        <f>IFERROR(__xludf.DUMMYFUNCTION("if(isblank(B88),,ifna(textjoin(""; "",,filter('On Hand'!E:E,'On Hand'!A:A=A88)),ifna(xlookup(A88,'On Hand'!A:A,'On Hand'!E:E,),)))"),"")</f>
        <v/>
      </c>
    </row>
    <row r="89">
      <c r="A89" s="3" t="str">
        <f t="array" ref="A89">ifna(_xlfn.xlookup(B89,'All Item Code'!B:B,'All Item Code'!A:A,),)</f>
        <v/>
      </c>
      <c r="B89" s="3"/>
      <c r="C89" s="3" t="str">
        <f t="array" ref="C89">if(B89="Tidak Ada",,if(isblank(B89),,ifna(sumif('On Hand'!A:A,A89,'On Hand'!D:D)&amp;" "&amp;_xlfn.xlookup(A89,'All Item Code'!A:A,'All Item Code'!D:D,),0)))</f>
        <v/>
      </c>
      <c r="D89" s="3" t="str">
        <f>IFERROR(__xludf.DUMMYFUNCTION("if(isblank(B89),,ifna(textjoin(""; "",,filter('On Hand'!E:E,'On Hand'!A:A=A89)),ifna(xlookup(A89,'On Hand'!A:A,'On Hand'!E:E,),)))"),"")</f>
        <v/>
      </c>
    </row>
    <row r="90">
      <c r="A90" s="3" t="str">
        <f t="array" ref="A90">ifna(_xlfn.xlookup(B90,'All Item Code'!B:B,'All Item Code'!A:A,),)</f>
        <v/>
      </c>
      <c r="B90" s="3"/>
      <c r="C90" s="3" t="str">
        <f t="array" ref="C90">if(B90="Tidak Ada",,if(isblank(B90),,ifna(sumif('On Hand'!A:A,A90,'On Hand'!D:D)&amp;" "&amp;_xlfn.xlookup(A90,'All Item Code'!A:A,'All Item Code'!D:D,),0)))</f>
        <v/>
      </c>
      <c r="D90" s="3" t="str">
        <f>IFERROR(__xludf.DUMMYFUNCTION("if(isblank(B90),,ifna(textjoin(""; "",,filter('On Hand'!E:E,'On Hand'!A:A=A90)),ifna(xlookup(A90,'On Hand'!A:A,'On Hand'!E:E,),)))"),"")</f>
        <v/>
      </c>
    </row>
    <row r="91">
      <c r="A91" s="3" t="str">
        <f t="array" ref="A91">ifna(_xlfn.xlookup(B91,'All Item Code'!B:B,'All Item Code'!A:A,),)</f>
        <v/>
      </c>
      <c r="B91" s="3"/>
      <c r="C91" s="3" t="str">
        <f t="array" ref="C91">if(B91="Tidak Ada",,if(isblank(B91),,ifna(sumif('On Hand'!A:A,A91,'On Hand'!D:D)&amp;" "&amp;_xlfn.xlookup(A91,'All Item Code'!A:A,'All Item Code'!D:D,),0)))</f>
        <v/>
      </c>
      <c r="D91" s="3" t="str">
        <f>IFERROR(__xludf.DUMMYFUNCTION("if(isblank(B91),,ifna(textjoin(""; "",,filter('On Hand'!E:E,'On Hand'!A:A=A91)),ifna(xlookup(A91,'On Hand'!A:A,'On Hand'!E:E,),)))"),"")</f>
        <v/>
      </c>
    </row>
    <row r="92">
      <c r="A92" s="3" t="str">
        <f t="array" ref="A92">ifna(_xlfn.xlookup(B92,'All Item Code'!B:B,'All Item Code'!A:A,),)</f>
        <v/>
      </c>
      <c r="B92" s="3"/>
      <c r="C92" s="3" t="str">
        <f t="array" ref="C92">if(B92="Tidak Ada",,if(isblank(B92),,ifna(sumif('On Hand'!A:A,A92,'On Hand'!D:D)&amp;" "&amp;_xlfn.xlookup(A92,'All Item Code'!A:A,'All Item Code'!D:D,),0)))</f>
        <v/>
      </c>
      <c r="D92" s="3" t="str">
        <f>IFERROR(__xludf.DUMMYFUNCTION("if(isblank(B92),,ifna(textjoin(""; "",,filter('On Hand'!E:E,'On Hand'!A:A=A92)),ifna(xlookup(A92,'On Hand'!A:A,'On Hand'!E:E,),)))"),"")</f>
        <v/>
      </c>
    </row>
    <row r="93">
      <c r="A93" s="3" t="str">
        <f t="array" ref="A93">ifna(_xlfn.xlookup(B93,'All Item Code'!B:B,'All Item Code'!A:A,),)</f>
        <v/>
      </c>
      <c r="B93" s="3"/>
      <c r="C93" s="3" t="str">
        <f t="array" ref="C93">if(B93="Tidak Ada",,if(isblank(B93),,ifna(sumif('On Hand'!A:A,A93,'On Hand'!D:D)&amp;" "&amp;_xlfn.xlookup(A93,'All Item Code'!A:A,'All Item Code'!D:D,),0)))</f>
        <v/>
      </c>
      <c r="D93" s="3" t="str">
        <f>IFERROR(__xludf.DUMMYFUNCTION("if(isblank(B93),,ifna(textjoin(""; "",,filter('On Hand'!E:E,'On Hand'!A:A=A93)),ifna(xlookup(A93,'On Hand'!A:A,'On Hand'!E:E,),)))"),"")</f>
        <v/>
      </c>
    </row>
    <row r="94">
      <c r="A94" s="3" t="str">
        <f t="array" ref="A94">ifna(_xlfn.xlookup(B94,'All Item Code'!B:B,'All Item Code'!A:A,),)</f>
        <v/>
      </c>
      <c r="B94" s="3"/>
      <c r="C94" s="3" t="str">
        <f t="array" ref="C94">if(B94="Tidak Ada",,if(isblank(B94),,ifna(sumif('On Hand'!A:A,A94,'On Hand'!D:D)&amp;" "&amp;_xlfn.xlookup(A94,'All Item Code'!A:A,'All Item Code'!D:D,),0)))</f>
        <v/>
      </c>
      <c r="D94" s="3" t="str">
        <f>IFERROR(__xludf.DUMMYFUNCTION("if(isblank(B94),,ifna(textjoin(""; "",,filter('On Hand'!E:E,'On Hand'!A:A=A94)),ifna(xlookup(A94,'On Hand'!A:A,'On Hand'!E:E,),)))"),"")</f>
        <v/>
      </c>
    </row>
    <row r="95">
      <c r="A95" s="3" t="str">
        <f t="array" ref="A95">ifna(_xlfn.xlookup(B95,'All Item Code'!B:B,'All Item Code'!A:A,),)</f>
        <v/>
      </c>
      <c r="B95" s="3"/>
      <c r="C95" s="3" t="str">
        <f t="array" ref="C95">if(B95="Tidak Ada",,if(isblank(B95),,ifna(sumif('On Hand'!A:A,A95,'On Hand'!D:D)&amp;" "&amp;_xlfn.xlookup(A95,'All Item Code'!A:A,'All Item Code'!D:D,),0)))</f>
        <v/>
      </c>
      <c r="D95" s="3" t="str">
        <f>IFERROR(__xludf.DUMMYFUNCTION("if(isblank(B95),,ifna(textjoin(""; "",,filter('On Hand'!E:E,'On Hand'!A:A=A95)),ifna(xlookup(A95,'On Hand'!A:A,'On Hand'!E:E,),)))"),"")</f>
        <v/>
      </c>
    </row>
    <row r="96">
      <c r="A96" s="3" t="str">
        <f t="array" ref="A96">ifna(_xlfn.xlookup(B96,'All Item Code'!B:B,'All Item Code'!A:A,),)</f>
        <v/>
      </c>
      <c r="B96" s="3"/>
      <c r="C96" s="3" t="str">
        <f t="array" ref="C96">if(B96="Tidak Ada",,if(isblank(B96),,ifna(sumif('On Hand'!A:A,A96,'On Hand'!D:D)&amp;" "&amp;_xlfn.xlookup(A96,'All Item Code'!A:A,'All Item Code'!D:D,),0)))</f>
        <v/>
      </c>
      <c r="D96" s="3" t="str">
        <f>IFERROR(__xludf.DUMMYFUNCTION("if(isblank(B96),,ifna(textjoin(""; "",,filter('On Hand'!E:E,'On Hand'!A:A=A96)),ifna(xlookup(A96,'On Hand'!A:A,'On Hand'!E:E,),)))"),"")</f>
        <v/>
      </c>
    </row>
    <row r="97">
      <c r="A97" s="3" t="str">
        <f t="array" ref="A97">ifna(_xlfn.xlookup(B97,'All Item Code'!B:B,'All Item Code'!A:A,),)</f>
        <v/>
      </c>
      <c r="B97" s="3"/>
      <c r="C97" s="3" t="str">
        <f t="array" ref="C97">if(B97="Tidak Ada",,if(isblank(B97),,ifna(sumif('On Hand'!A:A,A97,'On Hand'!D:D)&amp;" "&amp;_xlfn.xlookup(A97,'All Item Code'!A:A,'All Item Code'!D:D,),0)))</f>
        <v/>
      </c>
      <c r="D97" s="3" t="str">
        <f>IFERROR(__xludf.DUMMYFUNCTION("if(isblank(B97),,ifna(textjoin(""; "",,filter('On Hand'!E:E,'On Hand'!A:A=A97)),ifna(xlookup(A97,'On Hand'!A:A,'On Hand'!E:E,),)))"),"")</f>
        <v/>
      </c>
    </row>
    <row r="98">
      <c r="A98" s="3" t="str">
        <f t="array" ref="A98">ifna(_xlfn.xlookup(B98,'All Item Code'!B:B,'All Item Code'!A:A,),)</f>
        <v/>
      </c>
      <c r="B98" s="3"/>
      <c r="C98" s="3" t="str">
        <f t="array" ref="C98">if(B98="Tidak Ada",,if(isblank(B98),,ifna(sumif('On Hand'!A:A,A98,'On Hand'!D:D)&amp;" "&amp;_xlfn.xlookup(A98,'All Item Code'!A:A,'All Item Code'!D:D,),0)))</f>
        <v/>
      </c>
      <c r="D98" s="3" t="str">
        <f>IFERROR(__xludf.DUMMYFUNCTION("if(isblank(B98),,ifna(textjoin(""; "",,filter('On Hand'!E:E,'On Hand'!A:A=A98)),ifna(xlookup(A98,'On Hand'!A:A,'On Hand'!E:E,),)))"),"")</f>
        <v/>
      </c>
    </row>
    <row r="99">
      <c r="A99" s="3" t="str">
        <f t="array" ref="A99">ifna(_xlfn.xlookup(B99,'All Item Code'!B:B,'All Item Code'!A:A,),)</f>
        <v/>
      </c>
      <c r="B99" s="3"/>
      <c r="C99" s="3" t="str">
        <f t="array" ref="C99">if(B99="Tidak Ada",,if(isblank(B99),,ifna(sumif('On Hand'!A:A,A99,'On Hand'!D:D)&amp;" "&amp;_xlfn.xlookup(A99,'All Item Code'!A:A,'All Item Code'!D:D,),0)))</f>
        <v/>
      </c>
      <c r="D99" s="3" t="str">
        <f>IFERROR(__xludf.DUMMYFUNCTION("if(isblank(B99),,ifna(textjoin(""; "",,filter('On Hand'!E:E,'On Hand'!A:A=A99)),ifna(xlookup(A99,'On Hand'!A:A,'On Hand'!E:E,),)))"),"")</f>
        <v/>
      </c>
    </row>
    <row r="100">
      <c r="A100" s="3" t="str">
        <f t="array" ref="A100">ifna(_xlfn.xlookup(B100,'All Item Code'!B:B,'All Item Code'!A:A,),)</f>
        <v/>
      </c>
      <c r="B100" s="3"/>
      <c r="C100" s="3" t="str">
        <f t="array" ref="C100">if(B100="Tidak Ada",,if(isblank(B100),,ifna(sumif('On Hand'!A:A,A100,'On Hand'!D:D)&amp;" "&amp;_xlfn.xlookup(A100,'All Item Code'!A:A,'All Item Code'!D:D,),0)))</f>
        <v/>
      </c>
      <c r="D100" s="3" t="str">
        <f>IFERROR(__xludf.DUMMYFUNCTION("if(isblank(B100),,ifna(textjoin(""; "",,filter('On Hand'!E:E,'On Hand'!A:A=A100)),ifna(xlookup(A100,'On Hand'!A:A,'On Hand'!E:E,),)))"),"")</f>
        <v/>
      </c>
    </row>
    <row r="101">
      <c r="A101" s="3" t="str">
        <f t="array" ref="A101">ifna(_xlfn.xlookup(B101,'All Item Code'!B:B,'All Item Code'!A:A,),)</f>
        <v/>
      </c>
      <c r="B101" s="3"/>
      <c r="C101" s="3" t="str">
        <f t="array" ref="C101">if(B101="Tidak Ada",,if(isblank(B101),,ifna(sumif('On Hand'!A:A,A101,'On Hand'!D:D)&amp;" "&amp;_xlfn.xlookup(A101,'All Item Code'!A:A,'All Item Code'!D:D,),0)))</f>
        <v/>
      </c>
      <c r="D101" s="3" t="str">
        <f>IFERROR(__xludf.DUMMYFUNCTION("if(isblank(B101),,ifna(textjoin(""; "",,filter('On Hand'!E:E,'On Hand'!A:A=A101)),ifna(xlookup(A101,'On Hand'!A:A,'On Hand'!E:E,),)))"),"")</f>
        <v/>
      </c>
    </row>
    <row r="102">
      <c r="A102" s="3" t="str">
        <f t="array" ref="A102">ifna(_xlfn.xlookup(B102,'All Item Code'!B:B,'All Item Code'!A:A,),)</f>
        <v/>
      </c>
      <c r="B102" s="3"/>
      <c r="C102" s="3" t="str">
        <f t="array" ref="C102">if(B102="Tidak Ada",,if(isblank(B102),,ifna(sumif('On Hand'!A:A,A102,'On Hand'!D:D)&amp;" "&amp;_xlfn.xlookup(A102,'All Item Code'!A:A,'All Item Code'!D:D,),0)))</f>
        <v/>
      </c>
      <c r="D102" s="3" t="str">
        <f>IFERROR(__xludf.DUMMYFUNCTION("if(isblank(B102),,ifna(textjoin(""; "",,filter('On Hand'!E:E,'On Hand'!A:A=A102)),ifna(xlookup(A102,'On Hand'!A:A,'On Hand'!E:E,),)))"),"")</f>
        <v/>
      </c>
    </row>
    <row r="103">
      <c r="A103" s="3" t="str">
        <f t="array" ref="A103">ifna(_xlfn.xlookup(B103,'All Item Code'!B:B,'All Item Code'!A:A,),)</f>
        <v/>
      </c>
      <c r="B103" s="3"/>
      <c r="C103" s="3" t="str">
        <f t="array" ref="C103">if(B103="Tidak Ada",,if(isblank(B103),,ifna(sumif('On Hand'!A:A,A103,'On Hand'!D:D)&amp;" "&amp;_xlfn.xlookup(A103,'All Item Code'!A:A,'All Item Code'!D:D,),0)))</f>
        <v/>
      </c>
      <c r="D103" s="3" t="str">
        <f>IFERROR(__xludf.DUMMYFUNCTION("if(isblank(B103),,ifna(textjoin(""; "",,filter('On Hand'!E:E,'On Hand'!A:A=A103)),ifna(xlookup(A103,'On Hand'!A:A,'On Hand'!E:E,),)))"),"")</f>
        <v/>
      </c>
    </row>
    <row r="104">
      <c r="A104" s="3" t="str">
        <f t="array" ref="A104">ifna(_xlfn.xlookup(B104,'All Item Code'!B:B,'All Item Code'!A:A,),)</f>
        <v/>
      </c>
      <c r="B104" s="3"/>
      <c r="C104" s="3" t="str">
        <f t="array" ref="C104">if(B104="Tidak Ada",,if(isblank(B104),,ifna(sumif('On Hand'!A:A,A104,'On Hand'!D:D)&amp;" "&amp;_xlfn.xlookup(A104,'All Item Code'!A:A,'All Item Code'!D:D,),0)))</f>
        <v/>
      </c>
      <c r="D104" s="3" t="str">
        <f>IFERROR(__xludf.DUMMYFUNCTION("if(isblank(B104),,ifna(textjoin(""; "",,filter('On Hand'!E:E,'On Hand'!A:A=A104)),ifna(xlookup(A104,'On Hand'!A:A,'On Hand'!E:E,),)))"),"")</f>
        <v/>
      </c>
    </row>
    <row r="105">
      <c r="A105" s="3" t="str">
        <f t="array" ref="A105">ifna(_xlfn.xlookup(B105,'All Item Code'!B:B,'All Item Code'!A:A,),)</f>
        <v/>
      </c>
      <c r="B105" s="3"/>
      <c r="C105" s="3" t="str">
        <f t="array" ref="C105">if(B105="Tidak Ada",,if(isblank(B105),,ifna(sumif('On Hand'!A:A,A105,'On Hand'!D:D)&amp;" "&amp;_xlfn.xlookup(A105,'All Item Code'!A:A,'All Item Code'!D:D,),0)))</f>
        <v/>
      </c>
      <c r="D105" s="3" t="str">
        <f>IFERROR(__xludf.DUMMYFUNCTION("if(isblank(B105),,ifna(textjoin(""; "",,filter('On Hand'!E:E,'On Hand'!A:A=A105)),ifna(xlookup(A105,'On Hand'!A:A,'On Hand'!E:E,),)))"),"")</f>
        <v/>
      </c>
    </row>
    <row r="106">
      <c r="A106" s="3" t="str">
        <f t="array" ref="A106">ifna(_xlfn.xlookup(B106,'All Item Code'!B:B,'All Item Code'!A:A,),)</f>
        <v/>
      </c>
      <c r="B106" s="3"/>
      <c r="C106" s="3" t="str">
        <f t="array" ref="C106">if(B106="Tidak Ada",,if(isblank(B106),,ifna(sumif('On Hand'!A:A,A106,'On Hand'!D:D)&amp;" "&amp;_xlfn.xlookup(A106,'All Item Code'!A:A,'All Item Code'!D:D,),0)))</f>
        <v/>
      </c>
      <c r="D106" s="3" t="str">
        <f>IFERROR(__xludf.DUMMYFUNCTION("if(isblank(B106),,ifna(textjoin(""; "",,filter('On Hand'!E:E,'On Hand'!A:A=A106)),ifna(xlookup(A106,'On Hand'!A:A,'On Hand'!E:E,),)))"),"")</f>
        <v/>
      </c>
    </row>
    <row r="107">
      <c r="A107" s="3" t="str">
        <f t="array" ref="A107">ifna(_xlfn.xlookup(B107,'All Item Code'!B:B,'All Item Code'!A:A,),)</f>
        <v/>
      </c>
      <c r="B107" s="3"/>
      <c r="C107" s="3" t="str">
        <f t="array" ref="C107">if(B107="Tidak Ada",,if(isblank(B107),,ifna(sumif('On Hand'!A:A,A107,'On Hand'!D:D)&amp;" "&amp;_xlfn.xlookup(A107,'All Item Code'!A:A,'All Item Code'!D:D,),0)))</f>
        <v/>
      </c>
      <c r="D107" s="3" t="str">
        <f>IFERROR(__xludf.DUMMYFUNCTION("if(isblank(B107),,ifna(textjoin(""; "",,filter('On Hand'!E:E,'On Hand'!A:A=A107)),ifna(xlookup(A107,'On Hand'!A:A,'On Hand'!E:E,),)))"),"")</f>
        <v/>
      </c>
    </row>
    <row r="108">
      <c r="A108" s="3" t="str">
        <f t="array" ref="A108">ifna(_xlfn.xlookup(B108,'All Item Code'!B:B,'All Item Code'!A:A,),)</f>
        <v/>
      </c>
      <c r="B108" s="3"/>
      <c r="C108" s="3" t="str">
        <f t="array" ref="C108">if(B108="Tidak Ada",,if(isblank(B108),,ifna(sumif('On Hand'!A:A,A108,'On Hand'!D:D)&amp;" "&amp;_xlfn.xlookup(A108,'All Item Code'!A:A,'All Item Code'!D:D,),0)))</f>
        <v/>
      </c>
      <c r="D108" s="3" t="str">
        <f>IFERROR(__xludf.DUMMYFUNCTION("if(isblank(B108),,ifna(textjoin(""; "",,filter('On Hand'!E:E,'On Hand'!A:A=A108)),ifna(xlookup(A108,'On Hand'!A:A,'On Hand'!E:E,),)))"),"")</f>
        <v/>
      </c>
    </row>
    <row r="109">
      <c r="A109" s="3" t="str">
        <f t="array" ref="A109">ifna(_xlfn.xlookup(B109,'All Item Code'!B:B,'All Item Code'!A:A,),)</f>
        <v/>
      </c>
      <c r="B109" s="3"/>
      <c r="C109" s="3" t="str">
        <f t="array" ref="C109">if(B109="Tidak Ada",,if(isblank(B109),,ifna(sumif('On Hand'!A:A,A109,'On Hand'!D:D)&amp;" "&amp;_xlfn.xlookup(A109,'All Item Code'!A:A,'All Item Code'!D:D,),0)))</f>
        <v/>
      </c>
      <c r="D109" s="3" t="str">
        <f>IFERROR(__xludf.DUMMYFUNCTION("if(isblank(B109),,ifna(textjoin(""; "",,filter('On Hand'!E:E,'On Hand'!A:A=A109)),ifna(xlookup(A109,'On Hand'!A:A,'On Hand'!E:E,),)))"),"")</f>
        <v/>
      </c>
    </row>
    <row r="110">
      <c r="A110" s="3" t="str">
        <f t="array" ref="A110">ifna(_xlfn.xlookup(B110,'All Item Code'!B:B,'All Item Code'!A:A,),)</f>
        <v/>
      </c>
      <c r="B110" s="3"/>
      <c r="C110" s="3" t="str">
        <f t="array" ref="C110">if(B110="Tidak Ada",,if(isblank(B110),,ifna(sumif('On Hand'!A:A,A110,'On Hand'!D:D)&amp;" "&amp;_xlfn.xlookup(A110,'All Item Code'!A:A,'All Item Code'!D:D,),0)))</f>
        <v/>
      </c>
      <c r="D110" s="3" t="str">
        <f>IFERROR(__xludf.DUMMYFUNCTION("if(isblank(B110),,ifna(textjoin(""; "",,filter('On Hand'!E:E,'On Hand'!A:A=A110)),ifna(xlookup(A110,'On Hand'!A:A,'On Hand'!E:E,),)))"),"")</f>
        <v/>
      </c>
    </row>
    <row r="111">
      <c r="A111" s="3" t="str">
        <f t="array" ref="A111">ifna(_xlfn.xlookup(B111,'All Item Code'!B:B,'All Item Code'!A:A,),)</f>
        <v/>
      </c>
      <c r="B111" s="3"/>
      <c r="C111" s="3" t="str">
        <f t="array" ref="C111">if(B111="Tidak Ada",,if(isblank(B111),,ifna(sumif('On Hand'!A:A,A111,'On Hand'!D:D)&amp;" "&amp;_xlfn.xlookup(A111,'All Item Code'!A:A,'All Item Code'!D:D,),0)))</f>
        <v/>
      </c>
      <c r="D111" s="3" t="str">
        <f>IFERROR(__xludf.DUMMYFUNCTION("if(isblank(B111),,ifna(textjoin(""; "",,filter('On Hand'!E:E,'On Hand'!A:A=A111)),ifna(xlookup(A111,'On Hand'!A:A,'On Hand'!E:E,),)))"),"")</f>
        <v/>
      </c>
    </row>
    <row r="112">
      <c r="A112" s="3" t="str">
        <f t="array" ref="A112">ifna(_xlfn.xlookup(B112,'All Item Code'!B:B,'All Item Code'!A:A,),)</f>
        <v/>
      </c>
      <c r="B112" s="3"/>
      <c r="C112" s="3" t="str">
        <f t="array" ref="C112">if(B112="Tidak Ada",,if(isblank(B112),,ifna(sumif('On Hand'!A:A,A112,'On Hand'!D:D)&amp;" "&amp;_xlfn.xlookup(A112,'All Item Code'!A:A,'All Item Code'!D:D,),0)))</f>
        <v/>
      </c>
      <c r="D112" s="3" t="str">
        <f>IFERROR(__xludf.DUMMYFUNCTION("if(isblank(B112),,ifna(textjoin(""; "",,filter('On Hand'!E:E,'On Hand'!A:A=A112)),ifna(xlookup(A112,'On Hand'!A:A,'On Hand'!E:E,),)))"),"")</f>
        <v/>
      </c>
    </row>
    <row r="113">
      <c r="A113" s="3" t="str">
        <f t="array" ref="A113">ifna(_xlfn.xlookup(B113,'All Item Code'!B:B,'All Item Code'!A:A,),)</f>
        <v/>
      </c>
      <c r="B113" s="3"/>
      <c r="C113" s="3" t="str">
        <f t="array" ref="C113">if(B113="Tidak Ada",,if(isblank(B113),,ifna(sumif('On Hand'!A:A,A113,'On Hand'!D:D)&amp;" "&amp;_xlfn.xlookup(A113,'All Item Code'!A:A,'All Item Code'!D:D,),0)))</f>
        <v/>
      </c>
      <c r="D113" s="3" t="str">
        <f>IFERROR(__xludf.DUMMYFUNCTION("if(isblank(B113),,ifna(textjoin(""; "",,filter('On Hand'!E:E,'On Hand'!A:A=A113)),ifna(xlookup(A113,'On Hand'!A:A,'On Hand'!E:E,),)))"),"")</f>
        <v/>
      </c>
    </row>
    <row r="114">
      <c r="A114" s="3" t="str">
        <f t="array" ref="A114">ifna(_xlfn.xlookup(B114,'All Item Code'!B:B,'All Item Code'!A:A,),)</f>
        <v/>
      </c>
      <c r="B114" s="3"/>
      <c r="C114" s="3" t="str">
        <f t="array" ref="C114">if(B114="Tidak Ada",,if(isblank(B114),,ifna(sumif('On Hand'!A:A,A114,'On Hand'!D:D)&amp;" "&amp;_xlfn.xlookup(A114,'All Item Code'!A:A,'All Item Code'!D:D,),0)))</f>
        <v/>
      </c>
      <c r="D114" s="3" t="str">
        <f>IFERROR(__xludf.DUMMYFUNCTION("if(isblank(B114),,ifna(textjoin(""; "",,filter('On Hand'!E:E,'On Hand'!A:A=A114)),ifna(xlookup(A114,'On Hand'!A:A,'On Hand'!E:E,),)))"),"")</f>
        <v/>
      </c>
    </row>
    <row r="115">
      <c r="A115" s="3" t="str">
        <f t="array" ref="A115">ifna(_xlfn.xlookup(B115,'All Item Code'!B:B,'All Item Code'!A:A,),)</f>
        <v/>
      </c>
      <c r="B115" s="3"/>
      <c r="C115" s="3" t="str">
        <f t="array" ref="C115">if(B115="Tidak Ada",,if(isblank(B115),,ifna(sumif('On Hand'!A:A,A115,'On Hand'!D:D)&amp;" "&amp;_xlfn.xlookup(A115,'All Item Code'!A:A,'All Item Code'!D:D,),0)))</f>
        <v/>
      </c>
      <c r="D115" s="3" t="str">
        <f>IFERROR(__xludf.DUMMYFUNCTION("if(isblank(B115),,ifna(textjoin(""; "",,filter('On Hand'!E:E,'On Hand'!A:A=A115)),ifna(xlookup(A115,'On Hand'!A:A,'On Hand'!E:E,),)))"),"")</f>
        <v/>
      </c>
    </row>
    <row r="116">
      <c r="A116" s="3" t="str">
        <f t="array" ref="A116">ifna(_xlfn.xlookup(B116,'All Item Code'!B:B,'All Item Code'!A:A,),)</f>
        <v/>
      </c>
      <c r="B116" s="3"/>
      <c r="C116" s="3" t="str">
        <f t="array" ref="C116">if(B116="Tidak Ada",,if(isblank(B116),,ifna(sumif('On Hand'!A:A,A116,'On Hand'!D:D)&amp;" "&amp;_xlfn.xlookup(A116,'All Item Code'!A:A,'All Item Code'!D:D,),0)))</f>
        <v/>
      </c>
      <c r="D116" s="3" t="str">
        <f>IFERROR(__xludf.DUMMYFUNCTION("if(isblank(B116),,ifna(textjoin(""; "",,filter('On Hand'!E:E,'On Hand'!A:A=A116)),ifna(xlookup(A116,'On Hand'!A:A,'On Hand'!E:E,),)))"),"")</f>
        <v/>
      </c>
    </row>
    <row r="117">
      <c r="A117" s="3" t="str">
        <f t="array" ref="A117">ifna(_xlfn.xlookup(B117,'All Item Code'!B:B,'All Item Code'!A:A,),)</f>
        <v/>
      </c>
      <c r="B117" s="3"/>
      <c r="C117" s="3" t="str">
        <f t="array" ref="C117">if(B117="Tidak Ada",,if(isblank(B117),,ifna(sumif('On Hand'!A:A,A117,'On Hand'!D:D)&amp;" "&amp;_xlfn.xlookup(A117,'All Item Code'!A:A,'All Item Code'!D:D,),0)))</f>
        <v/>
      </c>
      <c r="D117" s="3" t="str">
        <f>IFERROR(__xludf.DUMMYFUNCTION("if(isblank(B117),,ifna(textjoin(""; "",,filter('On Hand'!E:E,'On Hand'!A:A=A117)),ifna(xlookup(A117,'On Hand'!A:A,'On Hand'!E:E,),)))"),"")</f>
        <v/>
      </c>
    </row>
    <row r="118">
      <c r="A118" s="3" t="str">
        <f t="array" ref="A118">ifna(_xlfn.xlookup(B118,'All Item Code'!B:B,'All Item Code'!A:A,),)</f>
        <v/>
      </c>
      <c r="B118" s="3"/>
      <c r="C118" s="3" t="str">
        <f t="array" ref="C118">if(B118="Tidak Ada",,if(isblank(B118),,ifna(sumif('On Hand'!A:A,A118,'On Hand'!D:D)&amp;" "&amp;_xlfn.xlookup(A118,'All Item Code'!A:A,'All Item Code'!D:D,),0)))</f>
        <v/>
      </c>
      <c r="D118" s="3" t="str">
        <f>IFERROR(__xludf.DUMMYFUNCTION("if(isblank(B118),,ifna(textjoin(""; "",,filter('On Hand'!E:E,'On Hand'!A:A=A118)),ifna(xlookup(A118,'On Hand'!A:A,'On Hand'!E:E,),)))"),"")</f>
        <v/>
      </c>
    </row>
    <row r="119">
      <c r="A119" s="3" t="str">
        <f t="array" ref="A119">ifna(_xlfn.xlookup(B119,'All Item Code'!B:B,'All Item Code'!A:A,),)</f>
        <v/>
      </c>
      <c r="B119" s="3"/>
      <c r="C119" s="3" t="str">
        <f t="array" ref="C119">if(B119="Tidak Ada",,if(isblank(B119),,ifna(sumif('On Hand'!A:A,A119,'On Hand'!D:D)&amp;" "&amp;_xlfn.xlookup(A119,'All Item Code'!A:A,'All Item Code'!D:D,),0)))</f>
        <v/>
      </c>
      <c r="D119" s="3" t="str">
        <f>IFERROR(__xludf.DUMMYFUNCTION("if(isblank(B119),,ifna(textjoin(""; "",,filter('On Hand'!E:E,'On Hand'!A:A=A119)),ifna(xlookup(A119,'On Hand'!A:A,'On Hand'!E:E,),)))"),"")</f>
        <v/>
      </c>
    </row>
    <row r="120">
      <c r="A120" s="3" t="str">
        <f t="array" ref="A120">ifna(_xlfn.xlookup(B120,'All Item Code'!B:B,'All Item Code'!A:A,),)</f>
        <v/>
      </c>
      <c r="B120" s="3"/>
      <c r="C120" s="3" t="str">
        <f t="array" ref="C120">if(B120="Tidak Ada",,if(isblank(B120),,ifna(sumif('On Hand'!A:A,A120,'On Hand'!D:D)&amp;" "&amp;_xlfn.xlookup(A120,'All Item Code'!A:A,'All Item Code'!D:D,),0)))</f>
        <v/>
      </c>
      <c r="D120" s="3" t="str">
        <f>IFERROR(__xludf.DUMMYFUNCTION("if(isblank(B120),,ifna(textjoin(""; "",,filter('On Hand'!E:E,'On Hand'!A:A=A120)),ifna(xlookup(A120,'On Hand'!A:A,'On Hand'!E:E,),)))"),"")</f>
        <v/>
      </c>
    </row>
    <row r="121">
      <c r="A121" s="3" t="str">
        <f t="array" ref="A121">ifna(_xlfn.xlookup(B121,'All Item Code'!B:B,'All Item Code'!A:A,),)</f>
        <v/>
      </c>
      <c r="B121" s="3"/>
      <c r="C121" s="3" t="str">
        <f t="array" ref="C121">if(B121="Tidak Ada",,if(isblank(B121),,ifna(sumif('On Hand'!A:A,A121,'On Hand'!D:D)&amp;" "&amp;_xlfn.xlookup(A121,'All Item Code'!A:A,'All Item Code'!D:D,),0)))</f>
        <v/>
      </c>
      <c r="D121" s="3" t="str">
        <f>IFERROR(__xludf.DUMMYFUNCTION("if(isblank(B121),,ifna(textjoin(""; "",,filter('On Hand'!E:E,'On Hand'!A:A=A121)),ifna(xlookup(A121,'On Hand'!A:A,'On Hand'!E:E,),)))"),"")</f>
        <v/>
      </c>
    </row>
    <row r="122">
      <c r="A122" s="3" t="str">
        <f t="array" ref="A122">ifna(_xlfn.xlookup(B122,'All Item Code'!B:B,'All Item Code'!A:A,),)</f>
        <v/>
      </c>
      <c r="B122" s="3"/>
      <c r="C122" s="3" t="str">
        <f t="array" ref="C122">if(B122="Tidak Ada",,if(isblank(B122),,ifna(sumif('On Hand'!A:A,A122,'On Hand'!D:D)&amp;" "&amp;_xlfn.xlookup(A122,'All Item Code'!A:A,'All Item Code'!D:D,),0)))</f>
        <v/>
      </c>
      <c r="D122" s="3" t="str">
        <f>IFERROR(__xludf.DUMMYFUNCTION("if(isblank(B122),,ifna(textjoin(""; "",,filter('On Hand'!E:E,'On Hand'!A:A=A122)),ifna(xlookup(A122,'On Hand'!A:A,'On Hand'!E:E,),)))"),"")</f>
        <v/>
      </c>
    </row>
    <row r="123">
      <c r="A123" s="3" t="str">
        <f t="array" ref="A123">ifna(_xlfn.xlookup(B123,'All Item Code'!B:B,'All Item Code'!A:A,),)</f>
        <v/>
      </c>
      <c r="B123" s="3"/>
      <c r="C123" s="3" t="str">
        <f t="array" ref="C123">if(B123="Tidak Ada",,if(isblank(B123),,ifna(sumif('On Hand'!A:A,A123,'On Hand'!D:D)&amp;" "&amp;_xlfn.xlookup(A123,'All Item Code'!A:A,'All Item Code'!D:D,),0)))</f>
        <v/>
      </c>
      <c r="D123" s="3" t="str">
        <f>IFERROR(__xludf.DUMMYFUNCTION("if(isblank(B123),,ifna(textjoin(""; "",,filter('On Hand'!E:E,'On Hand'!A:A=A123)),ifna(xlookup(A123,'On Hand'!A:A,'On Hand'!E:E,),)))"),"")</f>
        <v/>
      </c>
    </row>
    <row r="124">
      <c r="A124" s="3" t="str">
        <f t="array" ref="A124">ifna(_xlfn.xlookup(B124,'All Item Code'!B:B,'All Item Code'!A:A,),)</f>
        <v/>
      </c>
      <c r="B124" s="3"/>
      <c r="C124" s="3" t="str">
        <f t="array" ref="C124">if(B124="Tidak Ada",,if(isblank(B124),,ifna(sumif('On Hand'!A:A,A124,'On Hand'!D:D)&amp;" "&amp;_xlfn.xlookup(A124,'All Item Code'!A:A,'All Item Code'!D:D,),0)))</f>
        <v/>
      </c>
      <c r="D124" s="3" t="str">
        <f>IFERROR(__xludf.DUMMYFUNCTION("if(isblank(B124),,ifna(textjoin(""; "",,filter('On Hand'!E:E,'On Hand'!A:A=A124)),ifna(xlookup(A124,'On Hand'!A:A,'On Hand'!E:E,),)))"),"")</f>
        <v/>
      </c>
    </row>
    <row r="125">
      <c r="A125" s="3" t="str">
        <f t="array" ref="A125">ifna(_xlfn.xlookup(B125,'All Item Code'!B:B,'All Item Code'!A:A,),)</f>
        <v/>
      </c>
      <c r="B125" s="3"/>
      <c r="C125" s="3" t="str">
        <f t="array" ref="C125">if(B125="Tidak Ada",,if(isblank(B125),,ifna(sumif('On Hand'!A:A,A125,'On Hand'!D:D)&amp;" "&amp;_xlfn.xlookup(A125,'All Item Code'!A:A,'All Item Code'!D:D,),0)))</f>
        <v/>
      </c>
      <c r="D125" s="3" t="str">
        <f>IFERROR(__xludf.DUMMYFUNCTION("if(isblank(B125),,ifna(textjoin(""; "",,filter('On Hand'!E:E,'On Hand'!A:A=A125)),ifna(xlookup(A125,'On Hand'!A:A,'On Hand'!E:E,),)))"),"")</f>
        <v/>
      </c>
    </row>
    <row r="126">
      <c r="A126" s="3" t="str">
        <f t="array" ref="A126">ifna(_xlfn.xlookup(B126,'All Item Code'!B:B,'All Item Code'!A:A,),)</f>
        <v/>
      </c>
      <c r="B126" s="3"/>
      <c r="C126" s="3" t="str">
        <f t="array" ref="C126">if(B126="Tidak Ada",,if(isblank(B126),,ifna(sumif('On Hand'!A:A,A126,'On Hand'!D:D)&amp;" "&amp;_xlfn.xlookup(A126,'All Item Code'!A:A,'All Item Code'!D:D,),0)))</f>
        <v/>
      </c>
      <c r="D126" s="3" t="str">
        <f>IFERROR(__xludf.DUMMYFUNCTION("if(isblank(B126),,ifna(textjoin(""; "",,filter('On Hand'!E:E,'On Hand'!A:A=A126)),ifna(xlookup(A126,'On Hand'!A:A,'On Hand'!E:E,),)))"),"")</f>
        <v/>
      </c>
    </row>
    <row r="127">
      <c r="A127" s="3" t="str">
        <f t="array" ref="A127">ifna(_xlfn.xlookup(B127,'All Item Code'!B:B,'All Item Code'!A:A,),)</f>
        <v/>
      </c>
      <c r="B127" s="3"/>
      <c r="C127" s="3" t="str">
        <f t="array" ref="C127">if(B127="Tidak Ada",,if(isblank(B127),,ifna(sumif('On Hand'!A:A,A127,'On Hand'!D:D)&amp;" "&amp;_xlfn.xlookup(A127,'All Item Code'!A:A,'All Item Code'!D:D,),0)))</f>
        <v/>
      </c>
      <c r="D127" s="3" t="str">
        <f>IFERROR(__xludf.DUMMYFUNCTION("if(isblank(B127),,ifna(textjoin(""; "",,filter('On Hand'!E:E,'On Hand'!A:A=A127)),ifna(xlookup(A127,'On Hand'!A:A,'On Hand'!E:E,),)))"),"")</f>
        <v/>
      </c>
    </row>
    <row r="128">
      <c r="A128" s="3" t="str">
        <f t="array" ref="A128">ifna(_xlfn.xlookup(B128,'All Item Code'!B:B,'All Item Code'!A:A,),)</f>
        <v/>
      </c>
      <c r="B128" s="3"/>
      <c r="C128" s="3" t="str">
        <f t="array" ref="C128">if(B128="Tidak Ada",,if(isblank(B128),,ifna(sumif('On Hand'!A:A,A128,'On Hand'!D:D)&amp;" "&amp;_xlfn.xlookup(A128,'All Item Code'!A:A,'All Item Code'!D:D,),0)))</f>
        <v/>
      </c>
      <c r="D128" s="3" t="str">
        <f>IFERROR(__xludf.DUMMYFUNCTION("if(isblank(B128),,ifna(textjoin(""; "",,filter('On Hand'!E:E,'On Hand'!A:A=A128)),ifna(xlookup(A128,'On Hand'!A:A,'On Hand'!E:E,),)))"),"")</f>
        <v/>
      </c>
    </row>
    <row r="129">
      <c r="A129" s="3" t="str">
        <f t="array" ref="A129">ifna(_xlfn.xlookup(B129,'All Item Code'!B:B,'All Item Code'!A:A,),)</f>
        <v/>
      </c>
      <c r="B129" s="3"/>
      <c r="C129" s="3" t="str">
        <f t="array" ref="C129">if(B129="Tidak Ada",,if(isblank(B129),,ifna(sumif('On Hand'!A:A,A129,'On Hand'!D:D)&amp;" "&amp;_xlfn.xlookup(A129,'All Item Code'!A:A,'All Item Code'!D:D,),0)))</f>
        <v/>
      </c>
      <c r="D129" s="3" t="str">
        <f>IFERROR(__xludf.DUMMYFUNCTION("if(isblank(B129),,ifna(textjoin(""; "",,filter('On Hand'!E:E,'On Hand'!A:A=A129)),ifna(xlookup(A129,'On Hand'!A:A,'On Hand'!E:E,),)))"),"")</f>
        <v/>
      </c>
    </row>
    <row r="130">
      <c r="A130" s="3" t="str">
        <f t="array" ref="A130">ifna(_xlfn.xlookup(B130,'All Item Code'!B:B,'All Item Code'!A:A,),)</f>
        <v/>
      </c>
      <c r="B130" s="3"/>
      <c r="C130" s="3" t="str">
        <f t="array" ref="C130">if(B130="Tidak Ada",,if(isblank(B130),,ifna(sumif('On Hand'!A:A,A130,'On Hand'!D:D)&amp;" "&amp;_xlfn.xlookup(A130,'All Item Code'!A:A,'All Item Code'!D:D,),0)))</f>
        <v/>
      </c>
      <c r="D130" s="3" t="str">
        <f>IFERROR(__xludf.DUMMYFUNCTION("if(isblank(B130),,ifna(textjoin(""; "",,filter('On Hand'!E:E,'On Hand'!A:A=A130)),ifna(xlookup(A130,'On Hand'!A:A,'On Hand'!E:E,),)))"),"")</f>
        <v/>
      </c>
    </row>
    <row r="131">
      <c r="A131" s="3" t="str">
        <f t="array" ref="A131">ifna(_xlfn.xlookup(B131,'All Item Code'!B:B,'All Item Code'!A:A,),)</f>
        <v/>
      </c>
      <c r="B131" s="3"/>
      <c r="C131" s="3" t="str">
        <f t="array" ref="C131">if(B131="Tidak Ada",,if(isblank(B131),,ifna(sumif('On Hand'!A:A,A131,'On Hand'!D:D)&amp;" "&amp;_xlfn.xlookup(A131,'All Item Code'!A:A,'All Item Code'!D:D,),0)))</f>
        <v/>
      </c>
      <c r="D131" s="3" t="str">
        <f>IFERROR(__xludf.DUMMYFUNCTION("if(isblank(B131),,ifna(textjoin(""; "",,filter('On Hand'!E:E,'On Hand'!A:A=A131)),ifna(xlookup(A131,'On Hand'!A:A,'On Hand'!E:E,),)))"),"")</f>
        <v/>
      </c>
    </row>
    <row r="132">
      <c r="A132" s="3" t="str">
        <f t="array" ref="A132">ifna(_xlfn.xlookup(B132,'All Item Code'!B:B,'All Item Code'!A:A,),)</f>
        <v/>
      </c>
      <c r="B132" s="3"/>
      <c r="C132" s="3" t="str">
        <f t="array" ref="C132">if(B132="Tidak Ada",,if(isblank(B132),,ifna(sumif('On Hand'!A:A,A132,'On Hand'!D:D)&amp;" "&amp;_xlfn.xlookup(A132,'All Item Code'!A:A,'All Item Code'!D:D,),0)))</f>
        <v/>
      </c>
      <c r="D132" s="3" t="str">
        <f>IFERROR(__xludf.DUMMYFUNCTION("if(isblank(B132),,ifna(textjoin(""; "",,filter('On Hand'!E:E,'On Hand'!A:A=A132)),ifna(xlookup(A132,'On Hand'!A:A,'On Hand'!E:E,),)))"),"")</f>
        <v/>
      </c>
    </row>
    <row r="133">
      <c r="A133" s="3" t="str">
        <f t="array" ref="A133">ifna(_xlfn.xlookup(B133,'All Item Code'!B:B,'All Item Code'!A:A,),)</f>
        <v/>
      </c>
      <c r="B133" s="3"/>
      <c r="C133" s="3" t="str">
        <f t="array" ref="C133">if(B133="Tidak Ada",,if(isblank(B133),,ifna(sumif('On Hand'!A:A,A133,'On Hand'!D:D)&amp;" "&amp;_xlfn.xlookup(A133,'All Item Code'!A:A,'All Item Code'!D:D,),0)))</f>
        <v/>
      </c>
      <c r="D133" s="3" t="str">
        <f>IFERROR(__xludf.DUMMYFUNCTION("if(isblank(B133),,ifna(textjoin(""; "",,filter('On Hand'!E:E,'On Hand'!A:A=A133)),ifna(xlookup(A133,'On Hand'!A:A,'On Hand'!E:E,),)))"),"")</f>
        <v/>
      </c>
    </row>
    <row r="134">
      <c r="A134" s="3" t="str">
        <f t="array" ref="A134">ifna(_xlfn.xlookup(B134,'All Item Code'!B:B,'All Item Code'!A:A,),)</f>
        <v/>
      </c>
      <c r="B134" s="3"/>
      <c r="C134" s="3" t="str">
        <f t="array" ref="C134">if(B134="Tidak Ada",,if(isblank(B134),,ifna(sumif('On Hand'!A:A,A134,'On Hand'!D:D)&amp;" "&amp;_xlfn.xlookup(A134,'All Item Code'!A:A,'All Item Code'!D:D,),0)))</f>
        <v/>
      </c>
      <c r="D134" s="3" t="str">
        <f>IFERROR(__xludf.DUMMYFUNCTION("if(isblank(B134),,ifna(textjoin(""; "",,filter('On Hand'!E:E,'On Hand'!A:A=A134)),ifna(xlookup(A134,'On Hand'!A:A,'On Hand'!E:E,),)))"),"")</f>
        <v/>
      </c>
    </row>
    <row r="135">
      <c r="A135" s="3" t="str">
        <f t="array" ref="A135">ifna(_xlfn.xlookup(B135,'All Item Code'!B:B,'All Item Code'!A:A,),)</f>
        <v/>
      </c>
      <c r="B135" s="3"/>
      <c r="C135" s="3" t="str">
        <f t="array" ref="C135">if(B135="Tidak Ada",,if(isblank(B135),,ifna(sumif('On Hand'!A:A,A135,'On Hand'!D:D)&amp;" "&amp;_xlfn.xlookup(A135,'All Item Code'!A:A,'All Item Code'!D:D,),0)))</f>
        <v/>
      </c>
      <c r="D135" s="3" t="str">
        <f>IFERROR(__xludf.DUMMYFUNCTION("if(isblank(B135),,ifna(textjoin(""; "",,filter('On Hand'!E:E,'On Hand'!A:A=A135)),ifna(xlookup(A135,'On Hand'!A:A,'On Hand'!E:E,),)))"),"")</f>
        <v/>
      </c>
    </row>
    <row r="136">
      <c r="A136" s="3" t="str">
        <f t="array" ref="A136">ifna(_xlfn.xlookup(B136,'All Item Code'!B:B,'All Item Code'!A:A,),)</f>
        <v/>
      </c>
      <c r="B136" s="3"/>
      <c r="C136" s="3" t="str">
        <f t="array" ref="C136">if(B136="Tidak Ada",,if(isblank(B136),,ifna(sumif('On Hand'!A:A,A136,'On Hand'!D:D)&amp;" "&amp;_xlfn.xlookup(A136,'All Item Code'!A:A,'All Item Code'!D:D,),0)))</f>
        <v/>
      </c>
      <c r="D136" s="3" t="str">
        <f>IFERROR(__xludf.DUMMYFUNCTION("if(isblank(B136),,ifna(textjoin(""; "",,filter('On Hand'!E:E,'On Hand'!A:A=A136)),ifna(xlookup(A136,'On Hand'!A:A,'On Hand'!E:E,),)))"),"")</f>
        <v/>
      </c>
    </row>
    <row r="137">
      <c r="A137" s="3" t="str">
        <f t="array" ref="A137">ifna(_xlfn.xlookup(B137,'All Item Code'!B:B,'All Item Code'!A:A,),)</f>
        <v/>
      </c>
      <c r="B137" s="3"/>
      <c r="C137" s="3" t="str">
        <f t="array" ref="C137">if(B137="Tidak Ada",,if(isblank(B137),,ifna(sumif('On Hand'!A:A,A137,'On Hand'!D:D)&amp;" "&amp;_xlfn.xlookup(A137,'All Item Code'!A:A,'All Item Code'!D:D,),0)))</f>
        <v/>
      </c>
      <c r="D137" s="3" t="str">
        <f>IFERROR(__xludf.DUMMYFUNCTION("if(isblank(B137),,ifna(textjoin(""; "",,filter('On Hand'!E:E,'On Hand'!A:A=A137)),ifna(xlookup(A137,'On Hand'!A:A,'On Hand'!E:E,),)))"),"")</f>
        <v/>
      </c>
    </row>
    <row r="138">
      <c r="A138" s="3" t="str">
        <f t="array" ref="A138">ifna(_xlfn.xlookup(B138,'All Item Code'!B:B,'All Item Code'!A:A,),)</f>
        <v/>
      </c>
      <c r="B138" s="3"/>
      <c r="C138" s="3" t="str">
        <f t="array" ref="C138">if(B138="Tidak Ada",,if(isblank(B138),,ifna(sumif('On Hand'!A:A,A138,'On Hand'!D:D)&amp;" "&amp;_xlfn.xlookup(A138,'All Item Code'!A:A,'All Item Code'!D:D,),0)))</f>
        <v/>
      </c>
      <c r="D138" s="3" t="str">
        <f>IFERROR(__xludf.DUMMYFUNCTION("if(isblank(B138),,ifna(textjoin(""; "",,filter('On Hand'!E:E,'On Hand'!A:A=A138)),ifna(xlookup(A138,'On Hand'!A:A,'On Hand'!E:E,),)))"),"")</f>
        <v/>
      </c>
    </row>
    <row r="139">
      <c r="A139" s="3" t="str">
        <f t="array" ref="A139">ifna(_xlfn.xlookup(B139,'All Item Code'!B:B,'All Item Code'!A:A,),)</f>
        <v/>
      </c>
      <c r="B139" s="3"/>
      <c r="C139" s="3" t="str">
        <f t="array" ref="C139">if(B139="Tidak Ada",,if(isblank(B139),,ifna(sumif('On Hand'!A:A,A139,'On Hand'!D:D)&amp;" "&amp;_xlfn.xlookup(A139,'All Item Code'!A:A,'All Item Code'!D:D,),0)))</f>
        <v/>
      </c>
      <c r="D139" s="3" t="str">
        <f>IFERROR(__xludf.DUMMYFUNCTION("if(isblank(B139),,ifna(textjoin(""; "",,filter('On Hand'!E:E,'On Hand'!A:A=A139)),ifna(xlookup(A139,'On Hand'!A:A,'On Hand'!E:E,),)))"),"")</f>
        <v/>
      </c>
    </row>
    <row r="140">
      <c r="A140" s="3" t="str">
        <f t="array" ref="A140">ifna(_xlfn.xlookup(B140,'All Item Code'!B:B,'All Item Code'!A:A,),)</f>
        <v/>
      </c>
      <c r="B140" s="3"/>
      <c r="C140" s="3" t="str">
        <f t="array" ref="C140">if(B140="Tidak Ada",,if(isblank(B140),,ifna(sumif('On Hand'!A:A,A140,'On Hand'!D:D)&amp;" "&amp;_xlfn.xlookup(A140,'All Item Code'!A:A,'All Item Code'!D:D,),0)))</f>
        <v/>
      </c>
      <c r="D140" s="3" t="str">
        <f>IFERROR(__xludf.DUMMYFUNCTION("if(isblank(B140),,ifna(textjoin(""; "",,filter('On Hand'!E:E,'On Hand'!A:A=A140)),ifna(xlookup(A140,'On Hand'!A:A,'On Hand'!E:E,),)))"),"")</f>
        <v/>
      </c>
    </row>
    <row r="141">
      <c r="A141" s="3" t="str">
        <f t="array" ref="A141">ifna(_xlfn.xlookup(B141,'All Item Code'!B:B,'All Item Code'!A:A,),)</f>
        <v/>
      </c>
      <c r="B141" s="3"/>
      <c r="C141" s="3" t="str">
        <f t="array" ref="C141">if(B141="Tidak Ada",,if(isblank(B141),,ifna(sumif('On Hand'!A:A,A141,'On Hand'!D:D)&amp;" "&amp;_xlfn.xlookup(A141,'All Item Code'!A:A,'All Item Code'!D:D,),0)))</f>
        <v/>
      </c>
      <c r="D141" s="3" t="str">
        <f>IFERROR(__xludf.DUMMYFUNCTION("if(isblank(B141),,ifna(textjoin(""; "",,filter('On Hand'!E:E,'On Hand'!A:A=A141)),ifna(xlookup(A141,'On Hand'!A:A,'On Hand'!E:E,),)))"),"")</f>
        <v/>
      </c>
    </row>
    <row r="142">
      <c r="A142" s="3" t="str">
        <f t="array" ref="A142">ifna(_xlfn.xlookup(B142,'All Item Code'!B:B,'All Item Code'!A:A,),)</f>
        <v/>
      </c>
      <c r="B142" s="3"/>
      <c r="C142" s="3" t="str">
        <f t="array" ref="C142">if(B142="Tidak Ada",,if(isblank(B142),,ifna(sumif('On Hand'!A:A,A142,'On Hand'!D:D)&amp;" "&amp;_xlfn.xlookup(A142,'All Item Code'!A:A,'All Item Code'!D:D,),0)))</f>
        <v/>
      </c>
      <c r="D142" s="3" t="str">
        <f>IFERROR(__xludf.DUMMYFUNCTION("if(isblank(B142),,ifna(textjoin(""; "",,filter('On Hand'!E:E,'On Hand'!A:A=A142)),ifna(xlookup(A142,'On Hand'!A:A,'On Hand'!E:E,),)))"),"")</f>
        <v/>
      </c>
    </row>
    <row r="143">
      <c r="A143" s="3" t="str">
        <f t="array" ref="A143">ifna(_xlfn.xlookup(B143,'All Item Code'!B:B,'All Item Code'!A:A,),)</f>
        <v/>
      </c>
      <c r="B143" s="3"/>
      <c r="C143" s="3" t="str">
        <f t="array" ref="C143">if(B143="Tidak Ada",,if(isblank(B143),,ifna(sumif('On Hand'!A:A,A143,'On Hand'!D:D)&amp;" "&amp;_xlfn.xlookup(A143,'All Item Code'!A:A,'All Item Code'!D:D,),0)))</f>
        <v/>
      </c>
      <c r="D143" s="3" t="str">
        <f>IFERROR(__xludf.DUMMYFUNCTION("if(isblank(B143),,ifna(textjoin(""; "",,filter('On Hand'!E:E,'On Hand'!A:A=A143)),ifna(xlookup(A143,'On Hand'!A:A,'On Hand'!E:E,),)))"),"")</f>
        <v/>
      </c>
    </row>
    <row r="144">
      <c r="A144" s="3" t="str">
        <f t="array" ref="A144">ifna(_xlfn.xlookup(B144,'All Item Code'!B:B,'All Item Code'!A:A,),)</f>
        <v/>
      </c>
      <c r="B144" s="3"/>
      <c r="C144" s="3" t="str">
        <f t="array" ref="C144">if(B144="Tidak Ada",,if(isblank(B144),,ifna(sumif('On Hand'!A:A,A144,'On Hand'!D:D)&amp;" "&amp;_xlfn.xlookup(A144,'All Item Code'!A:A,'All Item Code'!D:D,),0)))</f>
        <v/>
      </c>
      <c r="D144" s="3" t="str">
        <f>IFERROR(__xludf.DUMMYFUNCTION("if(isblank(B144),,ifna(textjoin(""; "",,filter('On Hand'!E:E,'On Hand'!A:A=A144)),ifna(xlookup(A144,'On Hand'!A:A,'On Hand'!E:E,),)))"),"")</f>
        <v/>
      </c>
    </row>
    <row r="145">
      <c r="A145" s="3" t="str">
        <f t="array" ref="A145">ifna(_xlfn.xlookup(B145,'All Item Code'!B:B,'All Item Code'!A:A,),)</f>
        <v/>
      </c>
      <c r="B145" s="3"/>
      <c r="C145" s="3" t="str">
        <f t="array" ref="C145">if(B145="Tidak Ada",,if(isblank(B145),,ifna(sumif('On Hand'!A:A,A145,'On Hand'!D:D)&amp;" "&amp;_xlfn.xlookup(A145,'All Item Code'!A:A,'All Item Code'!D:D,),0)))</f>
        <v/>
      </c>
      <c r="D145" s="3" t="str">
        <f>IFERROR(__xludf.DUMMYFUNCTION("if(isblank(B145),,ifna(textjoin(""; "",,filter('On Hand'!E:E,'On Hand'!A:A=A145)),ifna(xlookup(A145,'On Hand'!A:A,'On Hand'!E:E,),)))"),"")</f>
        <v/>
      </c>
    </row>
    <row r="146">
      <c r="A146" s="3" t="str">
        <f t="array" ref="A146">ifna(_xlfn.xlookup(B146,'All Item Code'!B:B,'All Item Code'!A:A,),)</f>
        <v/>
      </c>
      <c r="B146" s="3"/>
      <c r="C146" s="3" t="str">
        <f t="array" ref="C146">if(B146="Tidak Ada",,if(isblank(B146),,ifna(sumif('On Hand'!A:A,A146,'On Hand'!D:D)&amp;" "&amp;_xlfn.xlookup(A146,'All Item Code'!A:A,'All Item Code'!D:D,),0)))</f>
        <v/>
      </c>
      <c r="D146" s="3" t="str">
        <f>IFERROR(__xludf.DUMMYFUNCTION("if(isblank(B146),,ifna(textjoin(""; "",,filter('On Hand'!E:E,'On Hand'!A:A=A146)),ifna(xlookup(A146,'On Hand'!A:A,'On Hand'!E:E,),)))"),"")</f>
        <v/>
      </c>
    </row>
    <row r="147">
      <c r="A147" s="3" t="str">
        <f t="array" ref="A147">ifna(_xlfn.xlookup(B147,'All Item Code'!B:B,'All Item Code'!A:A,),)</f>
        <v/>
      </c>
      <c r="B147" s="3"/>
      <c r="C147" s="3" t="str">
        <f t="array" ref="C147">if(B147="Tidak Ada",,if(isblank(B147),,ifna(sumif('On Hand'!A:A,A147,'On Hand'!D:D)&amp;" "&amp;_xlfn.xlookup(A147,'All Item Code'!A:A,'All Item Code'!D:D,),0)))</f>
        <v/>
      </c>
      <c r="D147" s="3" t="str">
        <f>IFERROR(__xludf.DUMMYFUNCTION("if(isblank(B147),,ifna(textjoin(""; "",,filter('On Hand'!E:E,'On Hand'!A:A=A147)),ifna(xlookup(A147,'On Hand'!A:A,'On Hand'!E:E,),)))"),"")</f>
        <v/>
      </c>
    </row>
    <row r="148">
      <c r="A148" s="3" t="str">
        <f t="array" ref="A148">ifna(_xlfn.xlookup(B148,'All Item Code'!B:B,'All Item Code'!A:A,),)</f>
        <v/>
      </c>
      <c r="B148" s="3"/>
      <c r="C148" s="3" t="str">
        <f t="array" ref="C148">if(B148="Tidak Ada",,if(isblank(B148),,ifna(sumif('On Hand'!A:A,A148,'On Hand'!D:D)&amp;" "&amp;_xlfn.xlookup(A148,'All Item Code'!A:A,'All Item Code'!D:D,),0)))</f>
        <v/>
      </c>
      <c r="D148" s="3" t="str">
        <f>IFERROR(__xludf.DUMMYFUNCTION("if(isblank(B148),,ifna(textjoin(""; "",,filter('On Hand'!E:E,'On Hand'!A:A=A148)),ifna(xlookup(A148,'On Hand'!A:A,'On Hand'!E:E,),)))"),"")</f>
        <v/>
      </c>
    </row>
    <row r="149">
      <c r="A149" s="3" t="str">
        <f t="array" ref="A149">ifna(_xlfn.xlookup(B149,'All Item Code'!B:B,'All Item Code'!A:A,),)</f>
        <v/>
      </c>
      <c r="B149" s="3"/>
      <c r="C149" s="3" t="str">
        <f t="array" ref="C149">if(B149="Tidak Ada",,if(isblank(B149),,ifna(sumif('On Hand'!A:A,A149,'On Hand'!D:D)&amp;" "&amp;_xlfn.xlookup(A149,'All Item Code'!A:A,'All Item Code'!D:D,),0)))</f>
        <v/>
      </c>
      <c r="D149" s="3" t="str">
        <f>IFERROR(__xludf.DUMMYFUNCTION("if(isblank(B149),,ifna(textjoin(""; "",,filter('On Hand'!E:E,'On Hand'!A:A=A149)),ifna(xlookup(A149,'On Hand'!A:A,'On Hand'!E:E,),)))"),"")</f>
        <v/>
      </c>
    </row>
    <row r="150">
      <c r="A150" s="3" t="str">
        <f t="array" ref="A150">ifna(_xlfn.xlookup(B150,'All Item Code'!B:B,'All Item Code'!A:A,),)</f>
        <v/>
      </c>
      <c r="B150" s="3"/>
      <c r="C150" s="3" t="str">
        <f t="array" ref="C150">if(B150="Tidak Ada",,if(isblank(B150),,ifna(sumif('On Hand'!A:A,A150,'On Hand'!D:D)&amp;" "&amp;_xlfn.xlookup(A150,'All Item Code'!A:A,'All Item Code'!D:D,),0)))</f>
        <v/>
      </c>
      <c r="D150" s="3" t="str">
        <f>IFERROR(__xludf.DUMMYFUNCTION("if(isblank(B150),,ifna(textjoin(""; "",,filter('On Hand'!E:E,'On Hand'!A:A=A150)),ifna(xlookup(A150,'On Hand'!A:A,'On Hand'!E:E,),)))"),"")</f>
        <v/>
      </c>
    </row>
    <row r="151">
      <c r="A151" s="3" t="str">
        <f t="array" ref="A151">ifna(_xlfn.xlookup(B151,'All Item Code'!B:B,'All Item Code'!A:A,),)</f>
        <v/>
      </c>
      <c r="B151" s="3"/>
      <c r="C151" s="3" t="str">
        <f t="array" ref="C151">if(B151="Tidak Ada",,if(isblank(B151),,ifna(sumif('On Hand'!A:A,A151,'On Hand'!D:D)&amp;" "&amp;_xlfn.xlookup(A151,'All Item Code'!A:A,'All Item Code'!D:D,),0)))</f>
        <v/>
      </c>
      <c r="D151" s="3" t="str">
        <f>IFERROR(__xludf.DUMMYFUNCTION("if(isblank(B151),,ifna(textjoin(""; "",,filter('On Hand'!E:E,'On Hand'!A:A=A151)),ifna(xlookup(A151,'On Hand'!A:A,'On Hand'!E:E,),)))"),"")</f>
        <v/>
      </c>
    </row>
    <row r="152">
      <c r="A152" s="3" t="str">
        <f t="array" ref="A152">ifna(_xlfn.xlookup(B152,'All Item Code'!B:B,'All Item Code'!A:A,),)</f>
        <v/>
      </c>
      <c r="B152" s="3"/>
      <c r="C152" s="3" t="str">
        <f t="array" ref="C152">if(B152="Tidak Ada",,if(isblank(B152),,ifna(sumif('On Hand'!A:A,A152,'On Hand'!D:D)&amp;" "&amp;_xlfn.xlookup(A152,'All Item Code'!A:A,'All Item Code'!D:D,),0)))</f>
        <v/>
      </c>
      <c r="D152" s="3" t="str">
        <f>IFERROR(__xludf.DUMMYFUNCTION("if(isblank(B152),,ifna(textjoin(""; "",,filter('On Hand'!E:E,'On Hand'!A:A=A152)),ifna(xlookup(A152,'On Hand'!A:A,'On Hand'!E:E,),)))"),"")</f>
        <v/>
      </c>
    </row>
    <row r="153">
      <c r="A153" s="3" t="str">
        <f t="array" ref="A153">ifna(_xlfn.xlookup(B153,'All Item Code'!B:B,'All Item Code'!A:A,),)</f>
        <v/>
      </c>
      <c r="B153" s="3"/>
      <c r="C153" s="3" t="str">
        <f t="array" ref="C153">if(B153="Tidak Ada",,if(isblank(B153),,ifna(sumif('On Hand'!A:A,A153,'On Hand'!D:D)&amp;" "&amp;_xlfn.xlookup(A153,'All Item Code'!A:A,'All Item Code'!D:D,),0)))</f>
        <v/>
      </c>
      <c r="D153" s="3" t="str">
        <f>IFERROR(__xludf.DUMMYFUNCTION("if(isblank(B153),,ifna(textjoin(""; "",,filter('On Hand'!E:E,'On Hand'!A:A=A153)),ifna(xlookup(A153,'On Hand'!A:A,'On Hand'!E:E,),)))"),"")</f>
        <v/>
      </c>
    </row>
    <row r="154">
      <c r="A154" s="3" t="str">
        <f t="array" ref="A154">ifna(_xlfn.xlookup(B154,'All Item Code'!B:B,'All Item Code'!A:A,),)</f>
        <v/>
      </c>
      <c r="B154" s="3"/>
      <c r="C154" s="3" t="str">
        <f t="array" ref="C154">if(B154="Tidak Ada",,if(isblank(B154),,ifna(sumif('On Hand'!A:A,A154,'On Hand'!D:D)&amp;" "&amp;_xlfn.xlookup(A154,'All Item Code'!A:A,'All Item Code'!D:D,),0)))</f>
        <v/>
      </c>
      <c r="D154" s="3" t="str">
        <f>IFERROR(__xludf.DUMMYFUNCTION("if(isblank(B154),,ifna(textjoin(""; "",,filter('On Hand'!E:E,'On Hand'!A:A=A154)),ifna(xlookup(A154,'On Hand'!A:A,'On Hand'!E:E,),)))"),"")</f>
        <v/>
      </c>
    </row>
    <row r="155">
      <c r="A155" s="3" t="str">
        <f t="array" ref="A155">ifna(_xlfn.xlookup(B155,'All Item Code'!B:B,'All Item Code'!A:A,),)</f>
        <v/>
      </c>
      <c r="B155" s="3"/>
      <c r="C155" s="3" t="str">
        <f t="array" ref="C155">if(B155="Tidak Ada",,if(isblank(B155),,ifna(sumif('On Hand'!A:A,A155,'On Hand'!D:D)&amp;" "&amp;_xlfn.xlookup(A155,'All Item Code'!A:A,'All Item Code'!D:D,),0)))</f>
        <v/>
      </c>
      <c r="D155" s="3" t="str">
        <f>IFERROR(__xludf.DUMMYFUNCTION("if(isblank(B155),,ifna(textjoin(""; "",,filter('On Hand'!E:E,'On Hand'!A:A=A155)),ifna(xlookup(A155,'On Hand'!A:A,'On Hand'!E:E,),)))"),"")</f>
        <v/>
      </c>
    </row>
    <row r="156">
      <c r="A156" s="3" t="str">
        <f t="array" ref="A156">ifna(_xlfn.xlookup(B156,'All Item Code'!B:B,'All Item Code'!A:A,),)</f>
        <v/>
      </c>
      <c r="B156" s="3"/>
      <c r="C156" s="3" t="str">
        <f t="array" ref="C156">if(B156="Tidak Ada",,if(isblank(B156),,ifna(sumif('On Hand'!A:A,A156,'On Hand'!D:D)&amp;" "&amp;_xlfn.xlookup(A156,'All Item Code'!A:A,'All Item Code'!D:D,),0)))</f>
        <v/>
      </c>
      <c r="D156" s="3" t="str">
        <f>IFERROR(__xludf.DUMMYFUNCTION("if(isblank(B156),,ifna(textjoin(""; "",,filter('On Hand'!E:E,'On Hand'!A:A=A156)),ifna(xlookup(A156,'On Hand'!A:A,'On Hand'!E:E,),)))"),"")</f>
        <v/>
      </c>
    </row>
    <row r="157">
      <c r="A157" s="3" t="str">
        <f t="array" ref="A157">ifna(_xlfn.xlookup(B157,'All Item Code'!B:B,'All Item Code'!A:A,),)</f>
        <v/>
      </c>
      <c r="B157" s="3"/>
      <c r="C157" s="3" t="str">
        <f t="array" ref="C157">if(B157="Tidak Ada",,if(isblank(B157),,ifna(sumif('On Hand'!A:A,A157,'On Hand'!D:D)&amp;" "&amp;_xlfn.xlookup(A157,'All Item Code'!A:A,'All Item Code'!D:D,),0)))</f>
        <v/>
      </c>
      <c r="D157" s="3" t="str">
        <f>IFERROR(__xludf.DUMMYFUNCTION("if(isblank(B157),,ifna(textjoin(""; "",,filter('On Hand'!E:E,'On Hand'!A:A=A157)),ifna(xlookup(A157,'On Hand'!A:A,'On Hand'!E:E,),)))"),"")</f>
        <v/>
      </c>
    </row>
    <row r="158">
      <c r="A158" s="3" t="str">
        <f t="array" ref="A158">ifna(_xlfn.xlookup(B158,'All Item Code'!B:B,'All Item Code'!A:A,),)</f>
        <v/>
      </c>
      <c r="B158" s="3"/>
      <c r="C158" s="3" t="str">
        <f t="array" ref="C158">if(B158="Tidak Ada",,if(isblank(B158),,ifna(sumif('On Hand'!A:A,A158,'On Hand'!D:D)&amp;" "&amp;_xlfn.xlookup(A158,'All Item Code'!A:A,'All Item Code'!D:D,),0)))</f>
        <v/>
      </c>
      <c r="D158" s="3" t="str">
        <f>IFERROR(__xludf.DUMMYFUNCTION("if(isblank(B158),,ifna(textjoin(""; "",,filter('On Hand'!E:E,'On Hand'!A:A=A158)),ifna(xlookup(A158,'On Hand'!A:A,'On Hand'!E:E,),)))"),"")</f>
        <v/>
      </c>
    </row>
    <row r="159">
      <c r="A159" s="3" t="str">
        <f t="array" ref="A159">ifna(_xlfn.xlookup(B159,'All Item Code'!B:B,'All Item Code'!A:A,),)</f>
        <v/>
      </c>
      <c r="B159" s="3"/>
      <c r="C159" s="3" t="str">
        <f t="array" ref="C159">if(B159="Tidak Ada",,if(isblank(B159),,ifna(sumif('On Hand'!A:A,A159,'On Hand'!D:D)&amp;" "&amp;_xlfn.xlookup(A159,'All Item Code'!A:A,'All Item Code'!D:D,),0)))</f>
        <v/>
      </c>
      <c r="D159" s="3" t="str">
        <f>IFERROR(__xludf.DUMMYFUNCTION("if(isblank(B159),,ifna(textjoin(""; "",,filter('On Hand'!E:E,'On Hand'!A:A=A159)),ifna(xlookup(A159,'On Hand'!A:A,'On Hand'!E:E,),)))"),"")</f>
        <v/>
      </c>
    </row>
    <row r="160">
      <c r="A160" s="3" t="str">
        <f t="array" ref="A160">ifna(_xlfn.xlookup(B160,'All Item Code'!B:B,'All Item Code'!A:A,),)</f>
        <v/>
      </c>
      <c r="B160" s="3"/>
      <c r="C160" s="3" t="str">
        <f t="array" ref="C160">if(B160="Tidak Ada",,if(isblank(B160),,ifna(sumif('On Hand'!A:A,A160,'On Hand'!D:D)&amp;" "&amp;_xlfn.xlookup(A160,'All Item Code'!A:A,'All Item Code'!D:D,),0)))</f>
        <v/>
      </c>
      <c r="D160" s="3" t="str">
        <f>IFERROR(__xludf.DUMMYFUNCTION("if(isblank(B160),,ifna(textjoin(""; "",,filter('On Hand'!E:E,'On Hand'!A:A=A160)),ifna(xlookup(A160,'On Hand'!A:A,'On Hand'!E:E,),)))"),"")</f>
        <v/>
      </c>
    </row>
    <row r="161">
      <c r="A161" s="3" t="str">
        <f t="array" ref="A161">ifna(_xlfn.xlookup(B161,'All Item Code'!B:B,'All Item Code'!A:A,),)</f>
        <v/>
      </c>
      <c r="B161" s="3"/>
      <c r="C161" s="3" t="str">
        <f t="array" ref="C161">if(B161="Tidak Ada",,if(isblank(B161),,ifna(sumif('On Hand'!A:A,A161,'On Hand'!D:D)&amp;" "&amp;_xlfn.xlookup(A161,'All Item Code'!A:A,'All Item Code'!D:D,),0)))</f>
        <v/>
      </c>
      <c r="D161" s="3" t="str">
        <f>IFERROR(__xludf.DUMMYFUNCTION("if(isblank(B161),,ifna(textjoin(""; "",,filter('On Hand'!E:E,'On Hand'!A:A=A161)),ifna(xlookup(A161,'On Hand'!A:A,'On Hand'!E:E,),)))"),"")</f>
        <v/>
      </c>
    </row>
    <row r="162">
      <c r="A162" s="3" t="str">
        <f t="array" ref="A162">ifna(_xlfn.xlookup(B162,'All Item Code'!B:B,'All Item Code'!A:A,),)</f>
        <v/>
      </c>
      <c r="B162" s="3"/>
      <c r="C162" s="3" t="str">
        <f t="array" ref="C162">if(B162="Tidak Ada",,if(isblank(B162),,ifna(sumif('On Hand'!A:A,A162,'On Hand'!D:D)&amp;" "&amp;_xlfn.xlookup(A162,'All Item Code'!A:A,'All Item Code'!D:D,),0)))</f>
        <v/>
      </c>
      <c r="D162" s="3" t="str">
        <f>IFERROR(__xludf.DUMMYFUNCTION("if(isblank(B162),,ifna(textjoin(""; "",,filter('On Hand'!E:E,'On Hand'!A:A=A162)),ifna(xlookup(A162,'On Hand'!A:A,'On Hand'!E:E,),)))"),"")</f>
        <v/>
      </c>
    </row>
    <row r="163">
      <c r="A163" s="3" t="str">
        <f t="array" ref="A163">ifna(_xlfn.xlookup(B163,'All Item Code'!B:B,'All Item Code'!A:A,),)</f>
        <v/>
      </c>
      <c r="B163" s="3"/>
      <c r="C163" s="3" t="str">
        <f t="array" ref="C163">if(B163="Tidak Ada",,if(isblank(B163),,ifna(sumif('On Hand'!A:A,A163,'On Hand'!D:D)&amp;" "&amp;_xlfn.xlookup(A163,'All Item Code'!A:A,'All Item Code'!D:D,),0)))</f>
        <v/>
      </c>
      <c r="D163" s="3" t="str">
        <f>IFERROR(__xludf.DUMMYFUNCTION("if(isblank(B163),,ifna(textjoin(""; "",,filter('On Hand'!E:E,'On Hand'!A:A=A163)),ifna(xlookup(A163,'On Hand'!A:A,'On Hand'!E:E,),)))"),"")</f>
        <v/>
      </c>
    </row>
    <row r="164">
      <c r="A164" s="3" t="str">
        <f t="array" ref="A164">ifna(_xlfn.xlookup(B164,'All Item Code'!B:B,'All Item Code'!A:A,),)</f>
        <v/>
      </c>
      <c r="B164" s="3"/>
      <c r="C164" s="3" t="str">
        <f t="array" ref="C164">if(B164="Tidak Ada",,if(isblank(B164),,ifna(sumif('On Hand'!A:A,A164,'On Hand'!D:D)&amp;" "&amp;_xlfn.xlookup(A164,'All Item Code'!A:A,'All Item Code'!D:D,),0)))</f>
        <v/>
      </c>
      <c r="D164" s="3" t="str">
        <f>IFERROR(__xludf.DUMMYFUNCTION("if(isblank(B164),,ifna(textjoin(""; "",,filter('On Hand'!E:E,'On Hand'!A:A=A164)),ifna(xlookup(A164,'On Hand'!A:A,'On Hand'!E:E,),)))"),"")</f>
        <v/>
      </c>
    </row>
    <row r="165">
      <c r="A165" s="3" t="str">
        <f t="array" ref="A165">ifna(_xlfn.xlookup(B165,'All Item Code'!B:B,'All Item Code'!A:A,),)</f>
        <v/>
      </c>
      <c r="B165" s="3"/>
      <c r="C165" s="3" t="str">
        <f t="array" ref="C165">if(B165="Tidak Ada",,if(isblank(B165),,ifna(sumif('On Hand'!A:A,A165,'On Hand'!D:D)&amp;" "&amp;_xlfn.xlookup(A165,'All Item Code'!A:A,'All Item Code'!D:D,),0)))</f>
        <v/>
      </c>
      <c r="D165" s="3" t="str">
        <f>IFERROR(__xludf.DUMMYFUNCTION("if(isblank(B165),,ifna(textjoin(""; "",,filter('On Hand'!E:E,'On Hand'!A:A=A165)),ifna(xlookup(A165,'On Hand'!A:A,'On Hand'!E:E,),)))"),"")</f>
        <v/>
      </c>
    </row>
    <row r="166">
      <c r="A166" s="3" t="str">
        <f t="array" ref="A166">ifna(_xlfn.xlookup(B166,'All Item Code'!B:B,'All Item Code'!A:A,),)</f>
        <v/>
      </c>
      <c r="B166" s="3"/>
      <c r="C166" s="3" t="str">
        <f t="array" ref="C166">if(B166="Tidak Ada",,if(isblank(B166),,ifna(sumif('On Hand'!A:A,A166,'On Hand'!D:D)&amp;" "&amp;_xlfn.xlookup(A166,'All Item Code'!A:A,'All Item Code'!D:D,),0)))</f>
        <v/>
      </c>
      <c r="D166" s="3" t="str">
        <f>IFERROR(__xludf.DUMMYFUNCTION("if(isblank(B166),,ifna(textjoin(""; "",,filter('On Hand'!E:E,'On Hand'!A:A=A166)),ifna(xlookup(A166,'On Hand'!A:A,'On Hand'!E:E,),)))"),"")</f>
        <v/>
      </c>
    </row>
    <row r="167">
      <c r="A167" s="3" t="str">
        <f t="array" ref="A167">ifna(_xlfn.xlookup(B167,'All Item Code'!B:B,'All Item Code'!A:A,),)</f>
        <v/>
      </c>
      <c r="B167" s="3"/>
      <c r="C167" s="3" t="str">
        <f t="array" ref="C167">if(B167="Tidak Ada",,if(isblank(B167),,ifna(sumif('On Hand'!A:A,A167,'On Hand'!D:D)&amp;" "&amp;_xlfn.xlookup(A167,'All Item Code'!A:A,'All Item Code'!D:D,),0)))</f>
        <v/>
      </c>
      <c r="D167" s="3" t="str">
        <f>IFERROR(__xludf.DUMMYFUNCTION("if(isblank(B167),,ifna(textjoin(""; "",,filter('On Hand'!E:E,'On Hand'!A:A=A167)),ifna(xlookup(A167,'On Hand'!A:A,'On Hand'!E:E,),)))"),"")</f>
        <v/>
      </c>
    </row>
    <row r="168">
      <c r="A168" s="3" t="str">
        <f t="array" ref="A168">ifna(_xlfn.xlookup(B168,'All Item Code'!B:B,'All Item Code'!A:A,),)</f>
        <v/>
      </c>
      <c r="B168" s="3"/>
      <c r="C168" s="3" t="str">
        <f t="array" ref="C168">if(B168="Tidak Ada",,if(isblank(B168),,ifna(sumif('On Hand'!A:A,A168,'On Hand'!D:D)&amp;" "&amp;_xlfn.xlookup(A168,'All Item Code'!A:A,'All Item Code'!D:D,),0)))</f>
        <v/>
      </c>
      <c r="D168" s="3" t="str">
        <f>IFERROR(__xludf.DUMMYFUNCTION("if(isblank(B168),,ifna(textjoin(""; "",,filter('On Hand'!E:E,'On Hand'!A:A=A168)),ifna(xlookup(A168,'On Hand'!A:A,'On Hand'!E:E,),)))"),"")</f>
        <v/>
      </c>
    </row>
    <row r="169">
      <c r="A169" s="3" t="str">
        <f t="array" ref="A169">ifna(_xlfn.xlookup(B169,'All Item Code'!B:B,'All Item Code'!A:A,),)</f>
        <v/>
      </c>
      <c r="B169" s="3"/>
      <c r="C169" s="3" t="str">
        <f t="array" ref="C169">if(B169="Tidak Ada",,if(isblank(B169),,ifna(sumif('On Hand'!A:A,A169,'On Hand'!D:D)&amp;" "&amp;_xlfn.xlookup(A169,'All Item Code'!A:A,'All Item Code'!D:D,),0)))</f>
        <v/>
      </c>
      <c r="D169" s="3" t="str">
        <f>IFERROR(__xludf.DUMMYFUNCTION("if(isblank(B169),,ifna(textjoin(""; "",,filter('On Hand'!E:E,'On Hand'!A:A=A169)),ifna(xlookup(A169,'On Hand'!A:A,'On Hand'!E:E,),)))"),"")</f>
        <v/>
      </c>
    </row>
    <row r="170">
      <c r="A170" s="3" t="str">
        <f t="array" ref="A170">ifna(_xlfn.xlookup(B170,'All Item Code'!B:B,'All Item Code'!A:A,),)</f>
        <v/>
      </c>
      <c r="B170" s="3"/>
      <c r="C170" s="3" t="str">
        <f t="array" ref="C170">if(B170="Tidak Ada",,if(isblank(B170),,ifna(sumif('On Hand'!A:A,A170,'On Hand'!D:D)&amp;" "&amp;_xlfn.xlookup(A170,'All Item Code'!A:A,'All Item Code'!D:D,),0)))</f>
        <v/>
      </c>
      <c r="D170" s="3" t="str">
        <f>IFERROR(__xludf.DUMMYFUNCTION("if(isblank(B170),,ifna(textjoin(""; "",,filter('On Hand'!E:E,'On Hand'!A:A=A170)),ifna(xlookup(A170,'On Hand'!A:A,'On Hand'!E:E,),)))"),"")</f>
        <v/>
      </c>
    </row>
    <row r="171">
      <c r="A171" s="3" t="str">
        <f t="array" ref="A171">ifna(_xlfn.xlookup(B171,'All Item Code'!B:B,'All Item Code'!A:A,),)</f>
        <v/>
      </c>
      <c r="B171" s="3"/>
      <c r="C171" s="3" t="str">
        <f t="array" ref="C171">if(B171="Tidak Ada",,if(isblank(B171),,ifna(sumif('On Hand'!A:A,A171,'On Hand'!D:D)&amp;" "&amp;_xlfn.xlookup(A171,'All Item Code'!A:A,'All Item Code'!D:D,),0)))</f>
        <v/>
      </c>
      <c r="D171" s="3" t="str">
        <f>IFERROR(__xludf.DUMMYFUNCTION("if(isblank(B171),,ifna(textjoin(""; "",,filter('On Hand'!E:E,'On Hand'!A:A=A171)),ifna(xlookup(A171,'On Hand'!A:A,'On Hand'!E:E,),)))"),"")</f>
        <v/>
      </c>
    </row>
    <row r="172">
      <c r="A172" s="3" t="str">
        <f t="array" ref="A172">ifna(_xlfn.xlookup(B172,'All Item Code'!B:B,'All Item Code'!A:A,),)</f>
        <v/>
      </c>
      <c r="B172" s="3"/>
      <c r="C172" s="3" t="str">
        <f t="array" ref="C172">if(B172="Tidak Ada",,if(isblank(B172),,ifna(sumif('On Hand'!A:A,A172,'On Hand'!D:D)&amp;" "&amp;_xlfn.xlookup(A172,'All Item Code'!A:A,'All Item Code'!D:D,),0)))</f>
        <v/>
      </c>
      <c r="D172" s="3" t="str">
        <f>IFERROR(__xludf.DUMMYFUNCTION("if(isblank(B172),,ifna(textjoin(""; "",,filter('On Hand'!E:E,'On Hand'!A:A=A172)),ifna(xlookup(A172,'On Hand'!A:A,'On Hand'!E:E,),)))"),"")</f>
        <v/>
      </c>
    </row>
    <row r="173">
      <c r="A173" s="3" t="str">
        <f t="array" ref="A173">ifna(_xlfn.xlookup(B173,'All Item Code'!B:B,'All Item Code'!A:A,),)</f>
        <v/>
      </c>
      <c r="B173" s="3"/>
      <c r="C173" s="3" t="str">
        <f t="array" ref="C173">if(B173="Tidak Ada",,if(isblank(B173),,ifna(sumif('On Hand'!A:A,A173,'On Hand'!D:D)&amp;" "&amp;_xlfn.xlookup(A173,'All Item Code'!A:A,'All Item Code'!D:D,),0)))</f>
        <v/>
      </c>
      <c r="D173" s="3" t="str">
        <f>IFERROR(__xludf.DUMMYFUNCTION("if(isblank(B173),,ifna(textjoin(""; "",,filter('On Hand'!E:E,'On Hand'!A:A=A173)),ifna(xlookup(A173,'On Hand'!A:A,'On Hand'!E:E,),)))"),"")</f>
        <v/>
      </c>
    </row>
    <row r="174">
      <c r="A174" s="3" t="str">
        <f t="array" ref="A174">ifna(_xlfn.xlookup(B174,'All Item Code'!B:B,'All Item Code'!A:A,),)</f>
        <v/>
      </c>
      <c r="B174" s="3"/>
      <c r="C174" s="3" t="str">
        <f t="array" ref="C174">if(B174="Tidak Ada",,if(isblank(B174),,ifna(sumif('On Hand'!A:A,A174,'On Hand'!D:D)&amp;" "&amp;_xlfn.xlookup(A174,'All Item Code'!A:A,'All Item Code'!D:D,),0)))</f>
        <v/>
      </c>
      <c r="D174" s="3" t="str">
        <f>IFERROR(__xludf.DUMMYFUNCTION("if(isblank(B174),,ifna(textjoin(""; "",,filter('On Hand'!E:E,'On Hand'!A:A=A174)),ifna(xlookup(A174,'On Hand'!A:A,'On Hand'!E:E,),)))"),"")</f>
        <v/>
      </c>
    </row>
    <row r="175">
      <c r="A175" s="3" t="str">
        <f t="array" ref="A175">ifna(_xlfn.xlookup(B175,'All Item Code'!B:B,'All Item Code'!A:A,),)</f>
        <v/>
      </c>
      <c r="B175" s="3"/>
      <c r="C175" s="3" t="str">
        <f t="array" ref="C175">if(B175="Tidak Ada",,if(isblank(B175),,ifna(sumif('On Hand'!A:A,A175,'On Hand'!D:D)&amp;" "&amp;_xlfn.xlookup(A175,'All Item Code'!A:A,'All Item Code'!D:D,),0)))</f>
        <v/>
      </c>
      <c r="D175" s="3" t="str">
        <f>IFERROR(__xludf.DUMMYFUNCTION("if(isblank(B175),,ifna(textjoin(""; "",,filter('On Hand'!E:E,'On Hand'!A:A=A175)),ifna(xlookup(A175,'On Hand'!A:A,'On Hand'!E:E,),)))"),"")</f>
        <v/>
      </c>
    </row>
    <row r="176">
      <c r="A176" s="3" t="str">
        <f t="array" ref="A176">ifna(_xlfn.xlookup(B176,'All Item Code'!B:B,'All Item Code'!A:A,),)</f>
        <v/>
      </c>
      <c r="B176" s="3"/>
      <c r="C176" s="3" t="str">
        <f t="array" ref="C176">if(B176="Tidak Ada",,if(isblank(B176),,ifna(sumif('On Hand'!A:A,A176,'On Hand'!D:D)&amp;" "&amp;_xlfn.xlookup(A176,'All Item Code'!A:A,'All Item Code'!D:D,),0)))</f>
        <v/>
      </c>
      <c r="D176" s="3" t="str">
        <f>IFERROR(__xludf.DUMMYFUNCTION("if(isblank(B176),,ifna(textjoin(""; "",,filter('On Hand'!E:E,'On Hand'!A:A=A176)),ifna(xlookup(A176,'On Hand'!A:A,'On Hand'!E:E,),)))"),"")</f>
        <v/>
      </c>
    </row>
    <row r="177">
      <c r="A177" s="3" t="str">
        <f t="array" ref="A177">ifna(_xlfn.xlookup(B177,'All Item Code'!B:B,'All Item Code'!A:A,),)</f>
        <v/>
      </c>
      <c r="B177" s="3"/>
      <c r="C177" s="3" t="str">
        <f t="array" ref="C177">if(B177="Tidak Ada",,if(isblank(B177),,ifna(sumif('On Hand'!A:A,A177,'On Hand'!D:D)&amp;" "&amp;_xlfn.xlookup(A177,'All Item Code'!A:A,'All Item Code'!D:D,),0)))</f>
        <v/>
      </c>
      <c r="D177" s="3" t="str">
        <f>IFERROR(__xludf.DUMMYFUNCTION("if(isblank(B177),,ifna(textjoin(""; "",,filter('On Hand'!E:E,'On Hand'!A:A=A177)),ifna(xlookup(A177,'On Hand'!A:A,'On Hand'!E:E,),)))"),"")</f>
        <v/>
      </c>
    </row>
    <row r="178">
      <c r="A178" s="3" t="str">
        <f t="array" ref="A178">ifna(_xlfn.xlookup(B178,'All Item Code'!B:B,'All Item Code'!A:A,),)</f>
        <v/>
      </c>
      <c r="B178" s="3"/>
      <c r="C178" s="3" t="str">
        <f t="array" ref="C178">if(B178="Tidak Ada",,if(isblank(B178),,ifna(sumif('On Hand'!A:A,A178,'On Hand'!D:D)&amp;" "&amp;_xlfn.xlookup(A178,'All Item Code'!A:A,'All Item Code'!D:D,),0)))</f>
        <v/>
      </c>
      <c r="D178" s="3" t="str">
        <f>IFERROR(__xludf.DUMMYFUNCTION("if(isblank(B178),,ifna(textjoin(""; "",,filter('On Hand'!E:E,'On Hand'!A:A=A178)),ifna(xlookup(A178,'On Hand'!A:A,'On Hand'!E:E,),)))"),"")</f>
        <v/>
      </c>
    </row>
    <row r="179">
      <c r="A179" s="3" t="str">
        <f t="array" ref="A179">ifna(_xlfn.xlookup(B179,'All Item Code'!B:B,'All Item Code'!A:A,),)</f>
        <v/>
      </c>
      <c r="B179" s="3"/>
      <c r="C179" s="3" t="str">
        <f t="array" ref="C179">if(B179="Tidak Ada",,if(isblank(B179),,ifna(sumif('On Hand'!A:A,A179,'On Hand'!D:D)&amp;" "&amp;_xlfn.xlookup(A179,'All Item Code'!A:A,'All Item Code'!D:D,),0)))</f>
        <v/>
      </c>
      <c r="D179" s="3" t="str">
        <f>IFERROR(__xludf.DUMMYFUNCTION("if(isblank(B179),,ifna(textjoin(""; "",,filter('On Hand'!E:E,'On Hand'!A:A=A179)),ifna(xlookup(A179,'On Hand'!A:A,'On Hand'!E:E,),)))"),"")</f>
        <v/>
      </c>
    </row>
    <row r="180">
      <c r="A180" s="3" t="str">
        <f t="array" ref="A180">ifna(_xlfn.xlookup(B180,'All Item Code'!B:B,'All Item Code'!A:A,),)</f>
        <v/>
      </c>
      <c r="B180" s="3"/>
      <c r="C180" s="3" t="str">
        <f t="array" ref="C180">if(B180="Tidak Ada",,if(isblank(B180),,ifna(sumif('On Hand'!A:A,A180,'On Hand'!D:D)&amp;" "&amp;_xlfn.xlookup(A180,'All Item Code'!A:A,'All Item Code'!D:D,),0)))</f>
        <v/>
      </c>
      <c r="D180" s="3" t="str">
        <f>IFERROR(__xludf.DUMMYFUNCTION("if(isblank(B180),,ifna(textjoin(""; "",,filter('On Hand'!E:E,'On Hand'!A:A=A180)),ifna(xlookup(A180,'On Hand'!A:A,'On Hand'!E:E,),)))"),"")</f>
        <v/>
      </c>
    </row>
    <row r="181">
      <c r="A181" s="3" t="str">
        <f t="array" ref="A181">ifna(_xlfn.xlookup(B181,'All Item Code'!B:B,'All Item Code'!A:A,),)</f>
        <v/>
      </c>
      <c r="B181" s="3"/>
      <c r="C181" s="3" t="str">
        <f t="array" ref="C181">if(B181="Tidak Ada",,if(isblank(B181),,ifna(sumif('On Hand'!A:A,A181,'On Hand'!D:D)&amp;" "&amp;_xlfn.xlookup(A181,'All Item Code'!A:A,'All Item Code'!D:D,),0)))</f>
        <v/>
      </c>
      <c r="D181" s="3" t="str">
        <f>IFERROR(__xludf.DUMMYFUNCTION("if(isblank(B181),,ifna(textjoin(""; "",,filter('On Hand'!E:E,'On Hand'!A:A=A181)),ifna(xlookup(A181,'On Hand'!A:A,'On Hand'!E:E,),)))"),"")</f>
        <v/>
      </c>
    </row>
    <row r="182">
      <c r="A182" s="3" t="str">
        <f t="array" ref="A182">ifna(_xlfn.xlookup(B182,'All Item Code'!B:B,'All Item Code'!A:A,),)</f>
        <v/>
      </c>
      <c r="B182" s="3"/>
      <c r="C182" s="3" t="str">
        <f t="array" ref="C182">if(B182="Tidak Ada",,if(isblank(B182),,ifna(sumif('On Hand'!A:A,A182,'On Hand'!D:D)&amp;" "&amp;_xlfn.xlookup(A182,'All Item Code'!A:A,'All Item Code'!D:D,),0)))</f>
        <v/>
      </c>
      <c r="D182" s="3" t="str">
        <f>IFERROR(__xludf.DUMMYFUNCTION("if(isblank(B182),,ifna(textjoin(""; "",,filter('On Hand'!E:E,'On Hand'!A:A=A182)),ifna(xlookup(A182,'On Hand'!A:A,'On Hand'!E:E,),)))"),"")</f>
        <v/>
      </c>
    </row>
    <row r="183">
      <c r="A183" s="3" t="str">
        <f t="array" ref="A183">ifna(_xlfn.xlookup(B183,'All Item Code'!B:B,'All Item Code'!A:A,),)</f>
        <v/>
      </c>
      <c r="B183" s="3"/>
      <c r="C183" s="3" t="str">
        <f t="array" ref="C183">if(B183="Tidak Ada",,if(isblank(B183),,ifna(sumif('On Hand'!A:A,A183,'On Hand'!D:D)&amp;" "&amp;_xlfn.xlookup(A183,'All Item Code'!A:A,'All Item Code'!D:D,),0)))</f>
        <v/>
      </c>
      <c r="D183" s="3" t="str">
        <f>IFERROR(__xludf.DUMMYFUNCTION("if(isblank(B183),,ifna(textjoin(""; "",,filter('On Hand'!E:E,'On Hand'!A:A=A183)),ifna(xlookup(A183,'On Hand'!A:A,'On Hand'!E:E,),)))"),"")</f>
        <v/>
      </c>
    </row>
    <row r="184">
      <c r="A184" s="3" t="str">
        <f t="array" ref="A184">ifna(_xlfn.xlookup(B184,'All Item Code'!B:B,'All Item Code'!A:A,),)</f>
        <v/>
      </c>
      <c r="B184" s="3"/>
      <c r="C184" s="3" t="str">
        <f t="array" ref="C184">if(B184="Tidak Ada",,if(isblank(B184),,ifna(sumif('On Hand'!A:A,A184,'On Hand'!D:D)&amp;" "&amp;_xlfn.xlookup(A184,'All Item Code'!A:A,'All Item Code'!D:D,),0)))</f>
        <v/>
      </c>
      <c r="D184" s="3" t="str">
        <f>IFERROR(__xludf.DUMMYFUNCTION("if(isblank(B184),,ifna(textjoin(""; "",,filter('On Hand'!E:E,'On Hand'!A:A=A184)),ifna(xlookup(A184,'On Hand'!A:A,'On Hand'!E:E,),)))"),"")</f>
        <v/>
      </c>
    </row>
    <row r="185">
      <c r="A185" s="3" t="str">
        <f t="array" ref="A185">ifna(_xlfn.xlookup(B185,'All Item Code'!B:B,'All Item Code'!A:A,),)</f>
        <v/>
      </c>
      <c r="B185" s="3"/>
      <c r="C185" s="3" t="str">
        <f t="array" ref="C185">if(B185="Tidak Ada",,if(isblank(B185),,ifna(sumif('On Hand'!A:A,A185,'On Hand'!D:D)&amp;" "&amp;_xlfn.xlookup(A185,'All Item Code'!A:A,'All Item Code'!D:D,),0)))</f>
        <v/>
      </c>
      <c r="D185" s="3" t="str">
        <f>IFERROR(__xludf.DUMMYFUNCTION("if(isblank(B185),,ifna(textjoin(""; "",,filter('On Hand'!E:E,'On Hand'!A:A=A185)),ifna(xlookup(A185,'On Hand'!A:A,'On Hand'!E:E,),)))"),"")</f>
        <v/>
      </c>
    </row>
    <row r="186">
      <c r="A186" s="3" t="str">
        <f t="array" ref="A186">ifna(_xlfn.xlookup(B186,'All Item Code'!B:B,'All Item Code'!A:A,),)</f>
        <v/>
      </c>
      <c r="B186" s="3"/>
      <c r="C186" s="3" t="str">
        <f t="array" ref="C186">if(B186="Tidak Ada",,if(isblank(B186),,ifna(sumif('On Hand'!A:A,A186,'On Hand'!D:D)&amp;" "&amp;_xlfn.xlookup(A186,'All Item Code'!A:A,'All Item Code'!D:D,),0)))</f>
        <v/>
      </c>
      <c r="D186" s="3" t="str">
        <f>IFERROR(__xludf.DUMMYFUNCTION("if(isblank(B186),,ifna(textjoin(""; "",,filter('On Hand'!E:E,'On Hand'!A:A=A186)),ifna(xlookup(A186,'On Hand'!A:A,'On Hand'!E:E,),)))"),"")</f>
        <v/>
      </c>
    </row>
    <row r="187">
      <c r="A187" s="3" t="str">
        <f t="array" ref="A187">ifna(_xlfn.xlookup(B187,'All Item Code'!B:B,'All Item Code'!A:A,),)</f>
        <v/>
      </c>
      <c r="B187" s="3"/>
      <c r="C187" s="3" t="str">
        <f t="array" ref="C187">if(B187="Tidak Ada",,if(isblank(B187),,ifna(sumif('On Hand'!A:A,A187,'On Hand'!D:D)&amp;" "&amp;_xlfn.xlookup(A187,'All Item Code'!A:A,'All Item Code'!D:D,),0)))</f>
        <v/>
      </c>
      <c r="D187" s="3" t="str">
        <f>IFERROR(__xludf.DUMMYFUNCTION("if(isblank(B187),,ifna(textjoin(""; "",,filter('On Hand'!E:E,'On Hand'!A:A=A187)),ifna(xlookup(A187,'On Hand'!A:A,'On Hand'!E:E,),)))"),"")</f>
        <v/>
      </c>
    </row>
    <row r="188">
      <c r="A188" s="3" t="str">
        <f t="array" ref="A188">ifna(_xlfn.xlookup(B188,'All Item Code'!B:B,'All Item Code'!A:A,),)</f>
        <v/>
      </c>
      <c r="B188" s="3"/>
      <c r="C188" s="3" t="str">
        <f t="array" ref="C188">if(B188="Tidak Ada",,if(isblank(B188),,ifna(sumif('On Hand'!A:A,A188,'On Hand'!D:D)&amp;" "&amp;_xlfn.xlookup(A188,'All Item Code'!A:A,'All Item Code'!D:D,),0)))</f>
        <v/>
      </c>
      <c r="D188" s="3" t="str">
        <f>IFERROR(__xludf.DUMMYFUNCTION("if(isblank(B188),,ifna(textjoin(""; "",,filter('On Hand'!E:E,'On Hand'!A:A=A188)),ifna(xlookup(A188,'On Hand'!A:A,'On Hand'!E:E,),)))"),"")</f>
        <v/>
      </c>
    </row>
    <row r="189">
      <c r="A189" s="3" t="str">
        <f t="array" ref="A189">ifna(_xlfn.xlookup(B189,'All Item Code'!B:B,'All Item Code'!A:A,),)</f>
        <v/>
      </c>
      <c r="B189" s="3"/>
      <c r="C189" s="3" t="str">
        <f t="array" ref="C189">if(B189="Tidak Ada",,if(isblank(B189),,ifna(sumif('On Hand'!A:A,A189,'On Hand'!D:D)&amp;" "&amp;_xlfn.xlookup(A189,'All Item Code'!A:A,'All Item Code'!D:D,),0)))</f>
        <v/>
      </c>
      <c r="D189" s="3" t="str">
        <f>IFERROR(__xludf.DUMMYFUNCTION("if(isblank(B189),,ifna(textjoin(""; "",,filter('On Hand'!E:E,'On Hand'!A:A=A189)),ifna(xlookup(A189,'On Hand'!A:A,'On Hand'!E:E,),)))"),"")</f>
        <v/>
      </c>
    </row>
    <row r="190">
      <c r="A190" s="3" t="str">
        <f t="array" ref="A190">ifna(_xlfn.xlookup(B190,'All Item Code'!B:B,'All Item Code'!A:A,),)</f>
        <v/>
      </c>
      <c r="B190" s="3"/>
      <c r="C190" s="3" t="str">
        <f t="array" ref="C190">if(B190="Tidak Ada",,if(isblank(B190),,ifna(sumif('On Hand'!A:A,A190,'On Hand'!D:D)&amp;" "&amp;_xlfn.xlookup(A190,'All Item Code'!A:A,'All Item Code'!D:D,),0)))</f>
        <v/>
      </c>
      <c r="D190" s="3" t="str">
        <f>IFERROR(__xludf.DUMMYFUNCTION("if(isblank(B190),,ifna(textjoin(""; "",,filter('On Hand'!E:E,'On Hand'!A:A=A190)),ifna(xlookup(A190,'On Hand'!A:A,'On Hand'!E:E,),)))"),"")</f>
        <v/>
      </c>
    </row>
    <row r="191">
      <c r="A191" s="3" t="str">
        <f t="array" ref="A191">ifna(_xlfn.xlookup(B191,'All Item Code'!B:B,'All Item Code'!A:A,),)</f>
        <v/>
      </c>
      <c r="B191" s="3"/>
      <c r="C191" s="3" t="str">
        <f t="array" ref="C191">if(B191="Tidak Ada",,if(isblank(B191),,ifna(sumif('On Hand'!A:A,A191,'On Hand'!D:D)&amp;" "&amp;_xlfn.xlookup(A191,'All Item Code'!A:A,'All Item Code'!D:D,),0)))</f>
        <v/>
      </c>
      <c r="D191" s="3" t="str">
        <f>IFERROR(__xludf.DUMMYFUNCTION("if(isblank(B191),,ifna(textjoin(""; "",,filter('On Hand'!E:E,'On Hand'!A:A=A191)),ifna(xlookup(A191,'On Hand'!A:A,'On Hand'!E:E,),)))"),"")</f>
        <v/>
      </c>
    </row>
    <row r="192">
      <c r="A192" s="3" t="str">
        <f t="array" ref="A192">ifna(_xlfn.xlookup(B192,'All Item Code'!B:B,'All Item Code'!A:A,),)</f>
        <v/>
      </c>
      <c r="B192" s="3"/>
      <c r="C192" s="3" t="str">
        <f t="array" ref="C192">if(B192="Tidak Ada",,if(isblank(B192),,ifna(sumif('On Hand'!A:A,A192,'On Hand'!D:D)&amp;" "&amp;_xlfn.xlookup(A192,'All Item Code'!A:A,'All Item Code'!D:D,),0)))</f>
        <v/>
      </c>
      <c r="D192" s="3" t="str">
        <f>IFERROR(__xludf.DUMMYFUNCTION("if(isblank(B192),,ifna(textjoin(""; "",,filter('On Hand'!E:E,'On Hand'!A:A=A192)),ifna(xlookup(A192,'On Hand'!A:A,'On Hand'!E:E,),)))"),"")</f>
        <v/>
      </c>
    </row>
    <row r="193">
      <c r="A193" s="3" t="str">
        <f t="array" ref="A193">ifna(_xlfn.xlookup(B193,'All Item Code'!B:B,'All Item Code'!A:A,),)</f>
        <v/>
      </c>
      <c r="B193" s="3"/>
      <c r="C193" s="3" t="str">
        <f t="array" ref="C193">if(B193="Tidak Ada",,if(isblank(B193),,ifna(sumif('On Hand'!A:A,A193,'On Hand'!D:D)&amp;" "&amp;_xlfn.xlookup(A193,'All Item Code'!A:A,'All Item Code'!D:D,),0)))</f>
        <v/>
      </c>
      <c r="D193" s="3" t="str">
        <f>IFERROR(__xludf.DUMMYFUNCTION("if(isblank(B193),,ifna(textjoin(""; "",,filter('On Hand'!E:E,'On Hand'!A:A=A193)),ifna(xlookup(A193,'On Hand'!A:A,'On Hand'!E:E,),)))"),"")</f>
        <v/>
      </c>
    </row>
    <row r="194">
      <c r="A194" s="3" t="str">
        <f t="array" ref="A194">ifna(_xlfn.xlookup(B194,'All Item Code'!B:B,'All Item Code'!A:A,),)</f>
        <v/>
      </c>
      <c r="B194" s="3"/>
      <c r="C194" s="3" t="str">
        <f t="array" ref="C194">if(B194="Tidak Ada",,if(isblank(B194),,ifna(sumif('On Hand'!A:A,A194,'On Hand'!D:D)&amp;" "&amp;_xlfn.xlookup(A194,'All Item Code'!A:A,'All Item Code'!D:D,),0)))</f>
        <v/>
      </c>
      <c r="D194" s="3" t="str">
        <f>IFERROR(__xludf.DUMMYFUNCTION("if(isblank(B194),,ifna(textjoin(""; "",,filter('On Hand'!E:E,'On Hand'!A:A=A194)),ifna(xlookup(A194,'On Hand'!A:A,'On Hand'!E:E,),)))"),"")</f>
        <v/>
      </c>
    </row>
    <row r="195">
      <c r="A195" s="3" t="str">
        <f t="array" ref="A195">ifna(_xlfn.xlookup(B195,'All Item Code'!B:B,'All Item Code'!A:A,),)</f>
        <v/>
      </c>
      <c r="B195" s="3"/>
      <c r="C195" s="3" t="str">
        <f t="array" ref="C195">if(B195="Tidak Ada",,if(isblank(B195),,ifna(sumif('On Hand'!A:A,A195,'On Hand'!D:D)&amp;" "&amp;_xlfn.xlookup(A195,'All Item Code'!A:A,'All Item Code'!D:D,),0)))</f>
        <v/>
      </c>
      <c r="D195" s="3" t="str">
        <f>IFERROR(__xludf.DUMMYFUNCTION("if(isblank(B195),,ifna(textjoin(""; "",,filter('On Hand'!E:E,'On Hand'!A:A=A195)),ifna(xlookup(A195,'On Hand'!A:A,'On Hand'!E:E,),)))"),"")</f>
        <v/>
      </c>
    </row>
    <row r="196">
      <c r="A196" s="3" t="str">
        <f t="array" ref="A196">ifna(_xlfn.xlookup(B196,'All Item Code'!B:B,'All Item Code'!A:A,),)</f>
        <v/>
      </c>
      <c r="B196" s="3"/>
      <c r="C196" s="3" t="str">
        <f t="array" ref="C196">if(B196="Tidak Ada",,if(isblank(B196),,ifna(sumif('On Hand'!A:A,A196,'On Hand'!D:D)&amp;" "&amp;_xlfn.xlookup(A196,'All Item Code'!A:A,'All Item Code'!D:D,),0)))</f>
        <v/>
      </c>
      <c r="D196" s="3" t="str">
        <f>IFERROR(__xludf.DUMMYFUNCTION("if(isblank(B196),,ifna(textjoin(""; "",,filter('On Hand'!E:E,'On Hand'!A:A=A196)),ifna(xlookup(A196,'On Hand'!A:A,'On Hand'!E:E,),)))"),"")</f>
        <v/>
      </c>
    </row>
    <row r="197">
      <c r="A197" s="3" t="str">
        <f t="array" ref="A197">ifna(_xlfn.xlookup(B197,'All Item Code'!B:B,'All Item Code'!A:A,),)</f>
        <v/>
      </c>
      <c r="B197" s="3"/>
      <c r="C197" s="3" t="str">
        <f t="array" ref="C197">if(B197="Tidak Ada",,if(isblank(B197),,ifna(sumif('On Hand'!A:A,A197,'On Hand'!D:D)&amp;" "&amp;_xlfn.xlookup(A197,'All Item Code'!A:A,'All Item Code'!D:D,),0)))</f>
        <v/>
      </c>
      <c r="D197" s="3" t="str">
        <f>IFERROR(__xludf.DUMMYFUNCTION("if(isblank(B197),,ifna(textjoin(""; "",,filter('On Hand'!E:E,'On Hand'!A:A=A197)),ifna(xlookup(A197,'On Hand'!A:A,'On Hand'!E:E,),)))"),"")</f>
        <v/>
      </c>
    </row>
    <row r="198">
      <c r="A198" s="3" t="str">
        <f t="array" ref="A198">ifna(_xlfn.xlookup(B198,'All Item Code'!B:B,'All Item Code'!A:A,),)</f>
        <v/>
      </c>
      <c r="B198" s="3"/>
      <c r="C198" s="3" t="str">
        <f t="array" ref="C198">if(B198="Tidak Ada",,if(isblank(B198),,ifna(sumif('On Hand'!A:A,A198,'On Hand'!D:D)&amp;" "&amp;_xlfn.xlookup(A198,'All Item Code'!A:A,'All Item Code'!D:D,),0)))</f>
        <v/>
      </c>
      <c r="D198" s="3" t="str">
        <f>IFERROR(__xludf.DUMMYFUNCTION("if(isblank(B198),,ifna(textjoin(""; "",,filter('On Hand'!E:E,'On Hand'!A:A=A198)),ifna(xlookup(A198,'On Hand'!A:A,'On Hand'!E:E,),)))"),"")</f>
        <v/>
      </c>
    </row>
    <row r="199">
      <c r="A199" s="3" t="str">
        <f t="array" ref="A199">ifna(_xlfn.xlookup(B199,'All Item Code'!B:B,'All Item Code'!A:A,),)</f>
        <v/>
      </c>
      <c r="B199" s="3"/>
      <c r="C199" s="3" t="str">
        <f t="array" ref="C199">if(B199="Tidak Ada",,if(isblank(B199),,ifna(sumif('On Hand'!A:A,A199,'On Hand'!D:D)&amp;" "&amp;_xlfn.xlookup(A199,'All Item Code'!A:A,'All Item Code'!D:D,),0)))</f>
        <v/>
      </c>
      <c r="D199" s="3" t="str">
        <f>IFERROR(__xludf.DUMMYFUNCTION("if(isblank(B199),,ifna(textjoin(""; "",,filter('On Hand'!E:E,'On Hand'!A:A=A199)),ifna(xlookup(A199,'On Hand'!A:A,'On Hand'!E:E,),)))"),"")</f>
        <v/>
      </c>
    </row>
    <row r="200">
      <c r="A200" s="3" t="str">
        <f t="array" ref="A200">ifna(_xlfn.xlookup(B200,'All Item Code'!B:B,'All Item Code'!A:A,),)</f>
        <v/>
      </c>
      <c r="B200" s="3"/>
      <c r="C200" s="3" t="str">
        <f t="array" ref="C200">if(B200="Tidak Ada",,if(isblank(B200),,ifna(sumif('On Hand'!A:A,A200,'On Hand'!D:D)&amp;" "&amp;_xlfn.xlookup(A200,'All Item Code'!A:A,'All Item Code'!D:D,),0)))</f>
        <v/>
      </c>
      <c r="D200" s="3" t="str">
        <f>IFERROR(__xludf.DUMMYFUNCTION("if(isblank(B200),,ifna(textjoin(""; "",,filter('On Hand'!E:E,'On Hand'!A:A=A200)),ifna(xlookup(A200,'On Hand'!A:A,'On Hand'!E:E,),)))"),"")</f>
        <v/>
      </c>
    </row>
    <row r="201">
      <c r="A201" s="3" t="str">
        <f t="array" ref="A201">ifna(_xlfn.xlookup(B201,'All Item Code'!B:B,'All Item Code'!A:A,),)</f>
        <v/>
      </c>
      <c r="B201" s="3"/>
      <c r="C201" s="3" t="str">
        <f t="array" ref="C201">if(B201="Tidak Ada",,if(isblank(B201),,ifna(sumif('On Hand'!A:A,A201,'On Hand'!D:D)&amp;" "&amp;_xlfn.xlookup(A201,'All Item Code'!A:A,'All Item Code'!D:D,),0)))</f>
        <v/>
      </c>
      <c r="D201" s="3" t="str">
        <f>IFERROR(__xludf.DUMMYFUNCTION("if(isblank(B201),,ifna(textjoin(""; "",,filter('On Hand'!E:E,'On Hand'!A:A=A201)),ifna(xlookup(A201,'On Hand'!A:A,'On Hand'!E:E,),)))"),"")</f>
        <v/>
      </c>
    </row>
    <row r="202">
      <c r="A202" s="3" t="str">
        <f t="array" ref="A202">ifna(_xlfn.xlookup(B202,'All Item Code'!B:B,'All Item Code'!A:A,),)</f>
        <v/>
      </c>
      <c r="B202" s="3"/>
      <c r="C202" s="3" t="str">
        <f t="array" ref="C202">if(B202="Tidak Ada",,if(isblank(B202),,ifna(sumif('On Hand'!A:A,A202,'On Hand'!D:D)&amp;" "&amp;_xlfn.xlookup(A202,'All Item Code'!A:A,'All Item Code'!D:D,),0)))</f>
        <v/>
      </c>
      <c r="D202" s="3" t="str">
        <f>IFERROR(__xludf.DUMMYFUNCTION("if(isblank(B202),,ifna(textjoin(""; "",,filter('On Hand'!E:E,'On Hand'!A:A=A202)),ifna(xlookup(A202,'On Hand'!A:A,'On Hand'!E:E,),)))"),"")</f>
        <v/>
      </c>
    </row>
    <row r="203">
      <c r="A203" s="3" t="str">
        <f t="array" ref="A203">ifna(_xlfn.xlookup(B203,'All Item Code'!B:B,'All Item Code'!A:A,),)</f>
        <v/>
      </c>
      <c r="B203" s="3"/>
      <c r="C203" s="3" t="str">
        <f t="array" ref="C203">if(B203="Tidak Ada",,if(isblank(B203),,ifna(sumif('On Hand'!A:A,A203,'On Hand'!D:D)&amp;" "&amp;_xlfn.xlookup(A203,'All Item Code'!A:A,'All Item Code'!D:D,),0)))</f>
        <v/>
      </c>
      <c r="D203" s="3" t="str">
        <f>IFERROR(__xludf.DUMMYFUNCTION("if(isblank(B203),,ifna(textjoin(""; "",,filter('On Hand'!E:E,'On Hand'!A:A=A203)),ifna(xlookup(A203,'On Hand'!A:A,'On Hand'!E:E,),)))"),"")</f>
        <v/>
      </c>
    </row>
    <row r="204">
      <c r="A204" s="3" t="str">
        <f t="array" ref="A204">ifna(_xlfn.xlookup(B204,'All Item Code'!B:B,'All Item Code'!A:A,),)</f>
        <v/>
      </c>
      <c r="B204" s="3"/>
      <c r="C204" s="3" t="str">
        <f t="array" ref="C204">if(B204="Tidak Ada",,if(isblank(B204),,ifna(sumif('On Hand'!A:A,A204,'On Hand'!D:D)&amp;" "&amp;_xlfn.xlookup(A204,'All Item Code'!A:A,'All Item Code'!D:D,),0)))</f>
        <v/>
      </c>
      <c r="D204" s="3" t="str">
        <f>IFERROR(__xludf.DUMMYFUNCTION("if(isblank(B204),,ifna(textjoin(""; "",,filter('On Hand'!E:E,'On Hand'!A:A=A204)),ifna(xlookup(A204,'On Hand'!A:A,'On Hand'!E:E,),)))"),"")</f>
        <v/>
      </c>
    </row>
    <row r="205">
      <c r="A205" s="3" t="str">
        <f t="array" ref="A205">ifna(_xlfn.xlookup(B205,'All Item Code'!B:B,'All Item Code'!A:A,),)</f>
        <v/>
      </c>
      <c r="B205" s="3"/>
      <c r="C205" s="3" t="str">
        <f t="array" ref="C205">if(B205="Tidak Ada",,if(isblank(B205),,ifna(sumif('On Hand'!A:A,A205,'On Hand'!D:D)&amp;" "&amp;_xlfn.xlookup(A205,'All Item Code'!A:A,'All Item Code'!D:D,),0)))</f>
        <v/>
      </c>
      <c r="D205" s="3" t="str">
        <f>IFERROR(__xludf.DUMMYFUNCTION("if(isblank(B205),,ifna(textjoin(""; "",,filter('On Hand'!E:E,'On Hand'!A:A=A205)),ifna(xlookup(A205,'On Hand'!A:A,'On Hand'!E:E,),)))"),"")</f>
        <v/>
      </c>
    </row>
    <row r="206">
      <c r="A206" s="3" t="str">
        <f t="array" ref="A206">ifna(_xlfn.xlookup(B206,'All Item Code'!B:B,'All Item Code'!A:A,),)</f>
        <v/>
      </c>
      <c r="B206" s="3"/>
      <c r="C206" s="3" t="str">
        <f t="array" ref="C206">if(B206="Tidak Ada",,if(isblank(B206),,ifna(sumif('On Hand'!A:A,A206,'On Hand'!D:D)&amp;" "&amp;_xlfn.xlookup(A206,'All Item Code'!A:A,'All Item Code'!D:D,),0)))</f>
        <v/>
      </c>
      <c r="D206" s="3" t="str">
        <f>IFERROR(__xludf.DUMMYFUNCTION("if(isblank(B206),,ifna(textjoin(""; "",,filter('On Hand'!E:E,'On Hand'!A:A=A206)),ifna(xlookup(A206,'On Hand'!A:A,'On Hand'!E:E,),)))"),"")</f>
        <v/>
      </c>
    </row>
    <row r="207">
      <c r="A207" s="3" t="str">
        <f t="array" ref="A207">ifna(_xlfn.xlookup(B207,'All Item Code'!B:B,'All Item Code'!A:A,),)</f>
        <v/>
      </c>
      <c r="B207" s="3"/>
      <c r="C207" s="3" t="str">
        <f t="array" ref="C207">if(B207="Tidak Ada",,if(isblank(B207),,ifna(sumif('On Hand'!A:A,A207,'On Hand'!D:D)&amp;" "&amp;_xlfn.xlookup(A207,'All Item Code'!A:A,'All Item Code'!D:D,),0)))</f>
        <v/>
      </c>
      <c r="D207" s="3" t="str">
        <f>IFERROR(__xludf.DUMMYFUNCTION("if(isblank(B207),,ifna(textjoin(""; "",,filter('On Hand'!E:E,'On Hand'!A:A=A207)),ifna(xlookup(A207,'On Hand'!A:A,'On Hand'!E:E,),)))"),"")</f>
        <v/>
      </c>
    </row>
    <row r="208">
      <c r="A208" s="3" t="str">
        <f t="array" ref="A208">ifna(_xlfn.xlookup(B208,'All Item Code'!B:B,'All Item Code'!A:A,),)</f>
        <v/>
      </c>
      <c r="B208" s="3"/>
      <c r="C208" s="3" t="str">
        <f t="array" ref="C208">if(B208="Tidak Ada",,if(isblank(B208),,ifna(sumif('On Hand'!A:A,A208,'On Hand'!D:D)&amp;" "&amp;_xlfn.xlookup(A208,'All Item Code'!A:A,'All Item Code'!D:D,),0)))</f>
        <v/>
      </c>
      <c r="D208" s="3" t="str">
        <f>IFERROR(__xludf.DUMMYFUNCTION("if(isblank(B208),,ifna(textjoin(""; "",,filter('On Hand'!E:E,'On Hand'!A:A=A208)),ifna(xlookup(A208,'On Hand'!A:A,'On Hand'!E:E,),)))"),"")</f>
        <v/>
      </c>
    </row>
    <row r="209">
      <c r="A209" s="3" t="str">
        <f t="array" ref="A209">ifna(_xlfn.xlookup(B209,'All Item Code'!B:B,'All Item Code'!A:A,),)</f>
        <v/>
      </c>
      <c r="B209" s="3"/>
      <c r="C209" s="3" t="str">
        <f t="array" ref="C209">if(B209="Tidak Ada",,if(isblank(B209),,ifna(sumif('On Hand'!A:A,A209,'On Hand'!D:D)&amp;" "&amp;_xlfn.xlookup(A209,'All Item Code'!A:A,'All Item Code'!D:D,),0)))</f>
        <v/>
      </c>
      <c r="D209" s="3" t="str">
        <f>IFERROR(__xludf.DUMMYFUNCTION("if(isblank(B209),,ifna(textjoin(""; "",,filter('On Hand'!E:E,'On Hand'!A:A=A209)),ifna(xlookup(A209,'On Hand'!A:A,'On Hand'!E:E,),)))"),"")</f>
        <v/>
      </c>
    </row>
    <row r="210">
      <c r="A210" s="3" t="str">
        <f t="array" ref="A210">ifna(_xlfn.xlookup(B210,'All Item Code'!B:B,'All Item Code'!A:A,),)</f>
        <v/>
      </c>
      <c r="B210" s="3"/>
      <c r="C210" s="3" t="str">
        <f t="array" ref="C210">if(B210="Tidak Ada",,if(isblank(B210),,ifna(sumif('On Hand'!A:A,A210,'On Hand'!D:D)&amp;" "&amp;_xlfn.xlookup(A210,'All Item Code'!A:A,'All Item Code'!D:D,),0)))</f>
        <v/>
      </c>
      <c r="D210" s="3" t="str">
        <f>IFERROR(__xludf.DUMMYFUNCTION("if(isblank(B210),,ifna(textjoin(""; "",,filter('On Hand'!E:E,'On Hand'!A:A=A210)),ifna(xlookup(A210,'On Hand'!A:A,'On Hand'!E:E,),)))"),"")</f>
        <v/>
      </c>
    </row>
    <row r="211">
      <c r="A211" s="3" t="str">
        <f t="array" ref="A211">ifna(_xlfn.xlookup(B211,'All Item Code'!B:B,'All Item Code'!A:A,),)</f>
        <v/>
      </c>
      <c r="B211" s="3"/>
      <c r="C211" s="3" t="str">
        <f t="array" ref="C211">if(B211="Tidak Ada",,if(isblank(B211),,ifna(sumif('On Hand'!A:A,A211,'On Hand'!D:D)&amp;" "&amp;_xlfn.xlookup(A211,'All Item Code'!A:A,'All Item Code'!D:D,),0)))</f>
        <v/>
      </c>
      <c r="D211" s="3" t="str">
        <f>IFERROR(__xludf.DUMMYFUNCTION("if(isblank(B211),,ifna(textjoin(""; "",,filter('On Hand'!E:E,'On Hand'!A:A=A211)),ifna(xlookup(A211,'On Hand'!A:A,'On Hand'!E:E,),)))"),"")</f>
        <v/>
      </c>
    </row>
    <row r="212">
      <c r="A212" s="3" t="str">
        <f t="array" ref="A212">ifna(_xlfn.xlookup(B212,'All Item Code'!B:B,'All Item Code'!A:A,),)</f>
        <v/>
      </c>
      <c r="B212" s="3"/>
      <c r="C212" s="3" t="str">
        <f t="array" ref="C212">if(B212="Tidak Ada",,if(isblank(B212),,ifna(sumif('On Hand'!A:A,A212,'On Hand'!D:D)&amp;" "&amp;_xlfn.xlookup(A212,'All Item Code'!A:A,'All Item Code'!D:D,),0)))</f>
        <v/>
      </c>
      <c r="D212" s="3" t="str">
        <f>IFERROR(__xludf.DUMMYFUNCTION("if(isblank(B212),,ifna(textjoin(""; "",,filter('On Hand'!E:E,'On Hand'!A:A=A212)),ifna(xlookup(A212,'On Hand'!A:A,'On Hand'!E:E,),)))"),"")</f>
        <v/>
      </c>
    </row>
    <row r="213">
      <c r="A213" s="3" t="str">
        <f t="array" ref="A213">ifna(_xlfn.xlookup(B213,'All Item Code'!B:B,'All Item Code'!A:A,),)</f>
        <v/>
      </c>
      <c r="B213" s="3"/>
      <c r="C213" s="3" t="str">
        <f t="array" ref="C213">if(B213="Tidak Ada",,if(isblank(B213),,ifna(sumif('On Hand'!A:A,A213,'On Hand'!D:D)&amp;" "&amp;_xlfn.xlookup(A213,'All Item Code'!A:A,'All Item Code'!D:D,),0)))</f>
        <v/>
      </c>
      <c r="D213" s="3" t="str">
        <f>IFERROR(__xludf.DUMMYFUNCTION("if(isblank(B213),,ifna(textjoin(""; "",,filter('On Hand'!E:E,'On Hand'!A:A=A213)),ifna(xlookup(A213,'On Hand'!A:A,'On Hand'!E:E,),)))"),"")</f>
        <v/>
      </c>
    </row>
    <row r="214">
      <c r="A214" s="3" t="str">
        <f t="array" ref="A214">ifna(_xlfn.xlookup(B214,'All Item Code'!B:B,'All Item Code'!A:A,),)</f>
        <v/>
      </c>
      <c r="B214" s="3"/>
      <c r="C214" s="3" t="str">
        <f t="array" ref="C214">if(B214="Tidak Ada",,if(isblank(B214),,ifna(sumif('On Hand'!A:A,A214,'On Hand'!D:D)&amp;" "&amp;_xlfn.xlookup(A214,'All Item Code'!A:A,'All Item Code'!D:D,),0)))</f>
        <v/>
      </c>
      <c r="D214" s="3" t="str">
        <f>IFERROR(__xludf.DUMMYFUNCTION("if(isblank(B214),,ifna(textjoin(""; "",,filter('On Hand'!E:E,'On Hand'!A:A=A214)),ifna(xlookup(A214,'On Hand'!A:A,'On Hand'!E:E,),)))"),"")</f>
        <v/>
      </c>
    </row>
    <row r="215">
      <c r="A215" s="3" t="str">
        <f t="array" ref="A215">ifna(_xlfn.xlookup(B215,'All Item Code'!B:B,'All Item Code'!A:A,),)</f>
        <v/>
      </c>
      <c r="B215" s="3"/>
      <c r="C215" s="3" t="str">
        <f t="array" ref="C215">if(B215="Tidak Ada",,if(isblank(B215),,ifna(sumif('On Hand'!A:A,A215,'On Hand'!D:D)&amp;" "&amp;_xlfn.xlookup(A215,'All Item Code'!A:A,'All Item Code'!D:D,),0)))</f>
        <v/>
      </c>
      <c r="D215" s="3" t="str">
        <f>IFERROR(__xludf.DUMMYFUNCTION("if(isblank(B215),,ifna(textjoin(""; "",,filter('On Hand'!E:E,'On Hand'!A:A=A215)),ifna(xlookup(A215,'On Hand'!A:A,'On Hand'!E:E,),)))"),"")</f>
        <v/>
      </c>
    </row>
    <row r="216">
      <c r="A216" s="3" t="str">
        <f t="array" ref="A216">ifna(_xlfn.xlookup(B216,'All Item Code'!B:B,'All Item Code'!A:A,),)</f>
        <v/>
      </c>
      <c r="B216" s="3"/>
      <c r="C216" s="3" t="str">
        <f t="array" ref="C216">if(B216="Tidak Ada",,if(isblank(B216),,ifna(sumif('On Hand'!A:A,A216,'On Hand'!D:D)&amp;" "&amp;_xlfn.xlookup(A216,'All Item Code'!A:A,'All Item Code'!D:D,),0)))</f>
        <v/>
      </c>
      <c r="D216" s="3" t="str">
        <f>IFERROR(__xludf.DUMMYFUNCTION("if(isblank(B216),,ifna(textjoin(""; "",,filter('On Hand'!E:E,'On Hand'!A:A=A216)),ifna(xlookup(A216,'On Hand'!A:A,'On Hand'!E:E,),)))"),"")</f>
        <v/>
      </c>
    </row>
    <row r="217">
      <c r="A217" s="3" t="str">
        <f t="array" ref="A217">ifna(_xlfn.xlookup(B217,'All Item Code'!B:B,'All Item Code'!A:A,),)</f>
        <v/>
      </c>
      <c r="B217" s="3"/>
      <c r="C217" s="3" t="str">
        <f t="array" ref="C217">if(B217="Tidak Ada",,if(isblank(B217),,ifna(sumif('On Hand'!A:A,A217,'On Hand'!D:D)&amp;" "&amp;_xlfn.xlookup(A217,'All Item Code'!A:A,'All Item Code'!D:D,),0)))</f>
        <v/>
      </c>
      <c r="D217" s="3" t="str">
        <f>IFERROR(__xludf.DUMMYFUNCTION("if(isblank(B217),,ifna(textjoin(""; "",,filter('On Hand'!E:E,'On Hand'!A:A=A217)),ifna(xlookup(A217,'On Hand'!A:A,'On Hand'!E:E,),)))"),"")</f>
        <v/>
      </c>
    </row>
    <row r="218">
      <c r="A218" s="3" t="str">
        <f t="array" ref="A218">ifna(_xlfn.xlookup(B218,'All Item Code'!B:B,'All Item Code'!A:A,),)</f>
        <v/>
      </c>
      <c r="B218" s="3"/>
      <c r="C218" s="3" t="str">
        <f t="array" ref="C218">if(B218="Tidak Ada",,if(isblank(B218),,ifna(sumif('On Hand'!A:A,A218,'On Hand'!D:D)&amp;" "&amp;_xlfn.xlookup(A218,'All Item Code'!A:A,'All Item Code'!D:D,),0)))</f>
        <v/>
      </c>
      <c r="D218" s="3" t="str">
        <f>IFERROR(__xludf.DUMMYFUNCTION("if(isblank(B218),,ifna(textjoin(""; "",,filter('On Hand'!E:E,'On Hand'!A:A=A218)),ifna(xlookup(A218,'On Hand'!A:A,'On Hand'!E:E,),)))"),"")</f>
        <v/>
      </c>
    </row>
    <row r="219">
      <c r="A219" s="3" t="str">
        <f t="array" ref="A219">ifna(_xlfn.xlookup(B219,'All Item Code'!B:B,'All Item Code'!A:A,),)</f>
        <v/>
      </c>
      <c r="B219" s="3"/>
      <c r="C219" s="3" t="str">
        <f t="array" ref="C219">if(B219="Tidak Ada",,if(isblank(B219),,ifna(sumif('On Hand'!A:A,A219,'On Hand'!D:D)&amp;" "&amp;_xlfn.xlookup(A219,'All Item Code'!A:A,'All Item Code'!D:D,),0)))</f>
        <v/>
      </c>
      <c r="D219" s="3" t="str">
        <f>IFERROR(__xludf.DUMMYFUNCTION("if(isblank(B219),,ifna(textjoin(""; "",,filter('On Hand'!E:E,'On Hand'!A:A=A219)),ifna(xlookup(A219,'On Hand'!A:A,'On Hand'!E:E,),)))"),"")</f>
        <v/>
      </c>
    </row>
    <row r="220">
      <c r="A220" s="3" t="str">
        <f t="array" ref="A220">ifna(_xlfn.xlookup(B220,'All Item Code'!B:B,'All Item Code'!A:A,),)</f>
        <v/>
      </c>
      <c r="B220" s="3"/>
      <c r="C220" s="3" t="str">
        <f t="array" ref="C220">if(B220="Tidak Ada",,if(isblank(B220),,ifna(sumif('On Hand'!A:A,A220,'On Hand'!D:D)&amp;" "&amp;_xlfn.xlookup(A220,'All Item Code'!A:A,'All Item Code'!D:D,),0)))</f>
        <v/>
      </c>
      <c r="D220" s="3" t="str">
        <f>IFERROR(__xludf.DUMMYFUNCTION("if(isblank(B220),,ifna(textjoin(""; "",,filter('On Hand'!E:E,'On Hand'!A:A=A220)),ifna(xlookup(A220,'On Hand'!A:A,'On Hand'!E:E,),)))"),"")</f>
        <v/>
      </c>
    </row>
    <row r="221">
      <c r="A221" s="3" t="str">
        <f t="array" ref="A221">ifna(_xlfn.xlookup(B221,'All Item Code'!B:B,'All Item Code'!A:A,),)</f>
        <v/>
      </c>
      <c r="B221" s="3"/>
      <c r="C221" s="3" t="str">
        <f t="array" ref="C221">if(B221="Tidak Ada",,if(isblank(B221),,ifna(sumif('On Hand'!A:A,A221,'On Hand'!D:D)&amp;" "&amp;_xlfn.xlookup(A221,'All Item Code'!A:A,'All Item Code'!D:D,),0)))</f>
        <v/>
      </c>
      <c r="D221" s="3" t="str">
        <f>IFERROR(__xludf.DUMMYFUNCTION("if(isblank(B221),,ifna(textjoin(""; "",,filter('On Hand'!E:E,'On Hand'!A:A=A221)),ifna(xlookup(A221,'On Hand'!A:A,'On Hand'!E:E,),)))"),"")</f>
        <v/>
      </c>
    </row>
    <row r="222">
      <c r="A222" s="3" t="str">
        <f t="array" ref="A222">ifna(_xlfn.xlookup(B222,'All Item Code'!B:B,'All Item Code'!A:A,),)</f>
        <v/>
      </c>
      <c r="B222" s="3"/>
      <c r="C222" s="3" t="str">
        <f t="array" ref="C222">if(B222="Tidak Ada",,if(isblank(B222),,ifna(sumif('On Hand'!A:A,A222,'On Hand'!D:D)&amp;" "&amp;_xlfn.xlookup(A222,'All Item Code'!A:A,'All Item Code'!D:D,),0)))</f>
        <v/>
      </c>
      <c r="D222" s="3" t="str">
        <f>IFERROR(__xludf.DUMMYFUNCTION("if(isblank(B222),,ifna(textjoin(""; "",,filter('On Hand'!E:E,'On Hand'!A:A=A222)),ifna(xlookup(A222,'On Hand'!A:A,'On Hand'!E:E,),)))"),"")</f>
        <v/>
      </c>
    </row>
    <row r="223">
      <c r="A223" s="3" t="str">
        <f t="array" ref="A223">ifna(_xlfn.xlookup(B223,'All Item Code'!B:B,'All Item Code'!A:A,),)</f>
        <v/>
      </c>
      <c r="B223" s="3"/>
      <c r="C223" s="3" t="str">
        <f t="array" ref="C223">if(B223="Tidak Ada",,if(isblank(B223),,ifna(sumif('On Hand'!A:A,A223,'On Hand'!D:D)&amp;" "&amp;_xlfn.xlookup(A223,'All Item Code'!A:A,'All Item Code'!D:D,),0)))</f>
        <v/>
      </c>
      <c r="D223" s="3" t="str">
        <f>IFERROR(__xludf.DUMMYFUNCTION("if(isblank(B223),,ifna(textjoin(""; "",,filter('On Hand'!E:E,'On Hand'!A:A=A223)),ifna(xlookup(A223,'On Hand'!A:A,'On Hand'!E:E,),)))"),"")</f>
        <v/>
      </c>
    </row>
    <row r="224">
      <c r="A224" s="3" t="str">
        <f t="array" ref="A224">ifna(_xlfn.xlookup(B224,'All Item Code'!B:B,'All Item Code'!A:A,),)</f>
        <v/>
      </c>
      <c r="B224" s="3"/>
      <c r="C224" s="3" t="str">
        <f t="array" ref="C224">if(B224="Tidak Ada",,if(isblank(B224),,ifna(sumif('On Hand'!A:A,A224,'On Hand'!D:D)&amp;" "&amp;_xlfn.xlookup(A224,'All Item Code'!A:A,'All Item Code'!D:D,),0)))</f>
        <v/>
      </c>
      <c r="D224" s="3" t="str">
        <f>IFERROR(__xludf.DUMMYFUNCTION("if(isblank(B224),,ifna(textjoin(""; "",,filter('On Hand'!E:E,'On Hand'!A:A=A224)),ifna(xlookup(A224,'On Hand'!A:A,'On Hand'!E:E,),)))"),"")</f>
        <v/>
      </c>
    </row>
    <row r="225">
      <c r="A225" s="3" t="str">
        <f t="array" ref="A225">ifna(_xlfn.xlookup(B225,'All Item Code'!B:B,'All Item Code'!A:A,),)</f>
        <v/>
      </c>
      <c r="B225" s="3"/>
      <c r="C225" s="3" t="str">
        <f t="array" ref="C225">if(B225="Tidak Ada",,if(isblank(B225),,ifna(sumif('On Hand'!A:A,A225,'On Hand'!D:D)&amp;" "&amp;_xlfn.xlookup(A225,'All Item Code'!A:A,'All Item Code'!D:D,),0)))</f>
        <v/>
      </c>
      <c r="D225" s="3" t="str">
        <f>IFERROR(__xludf.DUMMYFUNCTION("if(isblank(B225),,ifna(textjoin(""; "",,filter('On Hand'!E:E,'On Hand'!A:A=A225)),ifna(xlookup(A225,'On Hand'!A:A,'On Hand'!E:E,),)))"),"")</f>
        <v/>
      </c>
    </row>
    <row r="226">
      <c r="A226" s="3" t="str">
        <f t="array" ref="A226">ifna(_xlfn.xlookup(B226,'All Item Code'!B:B,'All Item Code'!A:A,),)</f>
        <v/>
      </c>
      <c r="B226" s="3"/>
      <c r="C226" s="3" t="str">
        <f t="array" ref="C226">if(B226="Tidak Ada",,if(isblank(B226),,ifna(sumif('On Hand'!A:A,A226,'On Hand'!D:D)&amp;" "&amp;_xlfn.xlookup(A226,'All Item Code'!A:A,'All Item Code'!D:D,),0)))</f>
        <v/>
      </c>
      <c r="D226" s="3" t="str">
        <f>IFERROR(__xludf.DUMMYFUNCTION("if(isblank(B226),,ifna(textjoin(""; "",,filter('On Hand'!E:E,'On Hand'!A:A=A226)),ifna(xlookup(A226,'On Hand'!A:A,'On Hand'!E:E,),)))"),"")</f>
        <v/>
      </c>
    </row>
    <row r="227">
      <c r="A227" s="3" t="str">
        <f t="array" ref="A227">ifna(_xlfn.xlookup(B227,'All Item Code'!B:B,'All Item Code'!A:A,),)</f>
        <v/>
      </c>
      <c r="B227" s="3"/>
      <c r="C227" s="3" t="str">
        <f t="array" ref="C227">if(B227="Tidak Ada",,if(isblank(B227),,ifna(sumif('On Hand'!A:A,A227,'On Hand'!D:D)&amp;" "&amp;_xlfn.xlookup(A227,'All Item Code'!A:A,'All Item Code'!D:D,),0)))</f>
        <v/>
      </c>
      <c r="D227" s="3" t="str">
        <f>IFERROR(__xludf.DUMMYFUNCTION("if(isblank(B227),,ifna(textjoin(""; "",,filter('On Hand'!E:E,'On Hand'!A:A=A227)),ifna(xlookup(A227,'On Hand'!A:A,'On Hand'!E:E,),)))"),"")</f>
        <v/>
      </c>
    </row>
    <row r="228">
      <c r="A228" s="3" t="str">
        <f t="array" ref="A228">ifna(_xlfn.xlookup(B228,'All Item Code'!B:B,'All Item Code'!A:A,),)</f>
        <v/>
      </c>
      <c r="B228" s="3"/>
      <c r="C228" s="3" t="str">
        <f t="array" ref="C228">if(B228="Tidak Ada",,if(isblank(B228),,ifna(sumif('On Hand'!A:A,A228,'On Hand'!D:D)&amp;" "&amp;_xlfn.xlookup(A228,'All Item Code'!A:A,'All Item Code'!D:D,),0)))</f>
        <v/>
      </c>
      <c r="D228" s="3" t="str">
        <f>IFERROR(__xludf.DUMMYFUNCTION("if(isblank(B228),,ifna(textjoin(""; "",,filter('On Hand'!E:E,'On Hand'!A:A=A228)),ifna(xlookup(A228,'On Hand'!A:A,'On Hand'!E:E,),)))"),"")</f>
        <v/>
      </c>
    </row>
    <row r="229">
      <c r="A229" s="3" t="str">
        <f t="array" ref="A229">ifna(_xlfn.xlookup(B229,'All Item Code'!B:B,'All Item Code'!A:A,),)</f>
        <v/>
      </c>
      <c r="B229" s="3"/>
      <c r="C229" s="3" t="str">
        <f t="array" ref="C229">if(B229="Tidak Ada",,if(isblank(B229),,ifna(sumif('On Hand'!A:A,A229,'On Hand'!D:D)&amp;" "&amp;_xlfn.xlookup(A229,'All Item Code'!A:A,'All Item Code'!D:D,),0)))</f>
        <v/>
      </c>
      <c r="D229" s="3" t="str">
        <f>IFERROR(__xludf.DUMMYFUNCTION("if(isblank(B229),,ifna(textjoin(""; "",,filter('On Hand'!E:E,'On Hand'!A:A=A229)),ifna(xlookup(A229,'On Hand'!A:A,'On Hand'!E:E,),)))"),"")</f>
        <v/>
      </c>
    </row>
    <row r="230">
      <c r="A230" s="3" t="str">
        <f t="array" ref="A230">ifna(_xlfn.xlookup(B230,'All Item Code'!B:B,'All Item Code'!A:A,),)</f>
        <v/>
      </c>
      <c r="B230" s="3"/>
      <c r="C230" s="3" t="str">
        <f t="array" ref="C230">if(B230="Tidak Ada",,if(isblank(B230),,ifna(sumif('On Hand'!A:A,A230,'On Hand'!D:D)&amp;" "&amp;_xlfn.xlookup(A230,'All Item Code'!A:A,'All Item Code'!D:D,),0)))</f>
        <v/>
      </c>
      <c r="D230" s="3" t="str">
        <f>IFERROR(__xludf.DUMMYFUNCTION("if(isblank(B230),,ifna(textjoin(""; "",,filter('On Hand'!E:E,'On Hand'!A:A=A230)),ifna(xlookup(A230,'On Hand'!A:A,'On Hand'!E:E,),)))"),"")</f>
        <v/>
      </c>
    </row>
    <row r="231">
      <c r="A231" s="3" t="str">
        <f t="array" ref="A231">ifna(_xlfn.xlookup(B231,'All Item Code'!B:B,'All Item Code'!A:A,),)</f>
        <v/>
      </c>
      <c r="B231" s="3"/>
      <c r="C231" s="3" t="str">
        <f t="array" ref="C231">if(B231="Tidak Ada",,if(isblank(B231),,ifna(sumif('On Hand'!A:A,A231,'On Hand'!D:D)&amp;" "&amp;_xlfn.xlookup(A231,'All Item Code'!A:A,'All Item Code'!D:D,),0)))</f>
        <v/>
      </c>
      <c r="D231" s="3" t="str">
        <f>IFERROR(__xludf.DUMMYFUNCTION("if(isblank(B231),,ifna(textjoin(""; "",,filter('On Hand'!E:E,'On Hand'!A:A=A231)),ifna(xlookup(A231,'On Hand'!A:A,'On Hand'!E:E,),)))"),"")</f>
        <v/>
      </c>
    </row>
    <row r="232">
      <c r="A232" s="3" t="str">
        <f t="array" ref="A232">ifna(_xlfn.xlookup(B232,'All Item Code'!B:B,'All Item Code'!A:A,),)</f>
        <v/>
      </c>
      <c r="B232" s="3"/>
      <c r="C232" s="3" t="str">
        <f t="array" ref="C232">if(B232="Tidak Ada",,if(isblank(B232),,ifna(sumif('On Hand'!A:A,A232,'On Hand'!D:D)&amp;" "&amp;_xlfn.xlookup(A232,'All Item Code'!A:A,'All Item Code'!D:D,),0)))</f>
        <v/>
      </c>
      <c r="D232" s="3" t="str">
        <f>IFERROR(__xludf.DUMMYFUNCTION("if(isblank(B232),,ifna(textjoin(""; "",,filter('On Hand'!E:E,'On Hand'!A:A=A232)),ifna(xlookup(A232,'On Hand'!A:A,'On Hand'!E:E,),)))"),"")</f>
        <v/>
      </c>
    </row>
    <row r="233">
      <c r="A233" s="3" t="str">
        <f t="array" ref="A233">ifna(_xlfn.xlookup(B233,'All Item Code'!B:B,'All Item Code'!A:A,),)</f>
        <v/>
      </c>
      <c r="B233" s="3"/>
      <c r="C233" s="3" t="str">
        <f t="array" ref="C233">if(B233="Tidak Ada",,if(isblank(B233),,ifna(sumif('On Hand'!A:A,A233,'On Hand'!D:D)&amp;" "&amp;_xlfn.xlookup(A233,'All Item Code'!A:A,'All Item Code'!D:D,),0)))</f>
        <v/>
      </c>
      <c r="D233" s="3" t="str">
        <f>IFERROR(__xludf.DUMMYFUNCTION("if(isblank(B233),,ifna(textjoin(""; "",,filter('On Hand'!E:E,'On Hand'!A:A=A233)),ifna(xlookup(A233,'On Hand'!A:A,'On Hand'!E:E,),)))"),"")</f>
        <v/>
      </c>
    </row>
    <row r="234">
      <c r="A234" s="3" t="str">
        <f t="array" ref="A234">ifna(_xlfn.xlookup(B234,'All Item Code'!B:B,'All Item Code'!A:A,),)</f>
        <v/>
      </c>
      <c r="B234" s="3"/>
      <c r="C234" s="3" t="str">
        <f t="array" ref="C234">if(B234="Tidak Ada",,if(isblank(B234),,ifna(sumif('On Hand'!A:A,A234,'On Hand'!D:D)&amp;" "&amp;_xlfn.xlookup(A234,'All Item Code'!A:A,'All Item Code'!D:D,),0)))</f>
        <v/>
      </c>
      <c r="D234" s="3" t="str">
        <f>IFERROR(__xludf.DUMMYFUNCTION("if(isblank(B234),,ifna(textjoin(""; "",,filter('On Hand'!E:E,'On Hand'!A:A=A234)),ifna(xlookup(A234,'On Hand'!A:A,'On Hand'!E:E,),)))"),"")</f>
        <v/>
      </c>
    </row>
    <row r="235">
      <c r="A235" s="3" t="str">
        <f t="array" ref="A235">ifna(_xlfn.xlookup(B235,'All Item Code'!B:B,'All Item Code'!A:A,),)</f>
        <v/>
      </c>
      <c r="B235" s="3"/>
      <c r="C235" s="3" t="str">
        <f t="array" ref="C235">if(B235="Tidak Ada",,if(isblank(B235),,ifna(sumif('On Hand'!A:A,A235,'On Hand'!D:D)&amp;" "&amp;_xlfn.xlookup(A235,'All Item Code'!A:A,'All Item Code'!D:D,),0)))</f>
        <v/>
      </c>
      <c r="D235" s="3" t="str">
        <f>IFERROR(__xludf.DUMMYFUNCTION("if(isblank(B235),,ifna(textjoin(""; "",,filter('On Hand'!E:E,'On Hand'!A:A=A235)),ifna(xlookup(A235,'On Hand'!A:A,'On Hand'!E:E,),)))"),"")</f>
        <v/>
      </c>
    </row>
    <row r="236">
      <c r="A236" s="3" t="str">
        <f t="array" ref="A236">ifna(_xlfn.xlookup(B236,'All Item Code'!B:B,'All Item Code'!A:A,),)</f>
        <v/>
      </c>
      <c r="B236" s="3"/>
      <c r="C236" s="3" t="str">
        <f t="array" ref="C236">if(B236="Tidak Ada",,if(isblank(B236),,ifna(sumif('On Hand'!A:A,A236,'On Hand'!D:D)&amp;" "&amp;_xlfn.xlookup(A236,'All Item Code'!A:A,'All Item Code'!D:D,),0)))</f>
        <v/>
      </c>
      <c r="D236" s="3" t="str">
        <f>IFERROR(__xludf.DUMMYFUNCTION("if(isblank(B236),,ifna(textjoin(""; "",,filter('On Hand'!E:E,'On Hand'!A:A=A236)),ifna(xlookup(A236,'On Hand'!A:A,'On Hand'!E:E,),)))"),"")</f>
        <v/>
      </c>
    </row>
    <row r="237">
      <c r="A237" s="3" t="str">
        <f t="array" ref="A237">ifna(_xlfn.xlookup(B237,'All Item Code'!B:B,'All Item Code'!A:A,),)</f>
        <v/>
      </c>
      <c r="B237" s="3"/>
      <c r="C237" s="3" t="str">
        <f t="array" ref="C237">if(B237="Tidak Ada",,if(isblank(B237),,ifna(sumif('On Hand'!A:A,A237,'On Hand'!D:D)&amp;" "&amp;_xlfn.xlookup(A237,'All Item Code'!A:A,'All Item Code'!D:D,),0)))</f>
        <v/>
      </c>
      <c r="D237" s="3" t="str">
        <f>IFERROR(__xludf.DUMMYFUNCTION("if(isblank(B237),,ifna(textjoin(""; "",,filter('On Hand'!E:E,'On Hand'!A:A=A237)),ifna(xlookup(A237,'On Hand'!A:A,'On Hand'!E:E,),)))"),"")</f>
        <v/>
      </c>
    </row>
    <row r="238">
      <c r="A238" s="3" t="str">
        <f t="array" ref="A238">ifna(_xlfn.xlookup(B238,'All Item Code'!B:B,'All Item Code'!A:A,),)</f>
        <v/>
      </c>
      <c r="B238" s="3"/>
      <c r="C238" s="3" t="str">
        <f t="array" ref="C238">if(B238="Tidak Ada",,if(isblank(B238),,ifna(sumif('On Hand'!A:A,A238,'On Hand'!D:D)&amp;" "&amp;_xlfn.xlookup(A238,'All Item Code'!A:A,'All Item Code'!D:D,),0)))</f>
        <v/>
      </c>
      <c r="D238" s="3" t="str">
        <f>IFERROR(__xludf.DUMMYFUNCTION("if(isblank(B238),,ifna(textjoin(""; "",,filter('On Hand'!E:E,'On Hand'!A:A=A238)),ifna(xlookup(A238,'On Hand'!A:A,'On Hand'!E:E,),)))"),"")</f>
        <v/>
      </c>
    </row>
    <row r="239">
      <c r="A239" s="3" t="str">
        <f t="array" ref="A239">ifna(_xlfn.xlookup(B239,'All Item Code'!B:B,'All Item Code'!A:A,),)</f>
        <v/>
      </c>
      <c r="B239" s="3"/>
      <c r="C239" s="3" t="str">
        <f t="array" ref="C239">if(B239="Tidak Ada",,if(isblank(B239),,ifna(sumif('On Hand'!A:A,A239,'On Hand'!D:D)&amp;" "&amp;_xlfn.xlookup(A239,'All Item Code'!A:A,'All Item Code'!D:D,),0)))</f>
        <v/>
      </c>
      <c r="D239" s="3" t="str">
        <f>IFERROR(__xludf.DUMMYFUNCTION("if(isblank(B239),,ifna(textjoin(""; "",,filter('On Hand'!E:E,'On Hand'!A:A=A239)),ifna(xlookup(A239,'On Hand'!A:A,'On Hand'!E:E,),)))"),"")</f>
        <v/>
      </c>
    </row>
    <row r="240">
      <c r="A240" s="3" t="str">
        <f t="array" ref="A240">ifna(_xlfn.xlookup(B240,'All Item Code'!B:B,'All Item Code'!A:A,),)</f>
        <v/>
      </c>
      <c r="B240" s="3"/>
      <c r="C240" s="3" t="str">
        <f t="array" ref="C240">if(B240="Tidak Ada",,if(isblank(B240),,ifna(sumif('On Hand'!A:A,A240,'On Hand'!D:D)&amp;" "&amp;_xlfn.xlookup(A240,'All Item Code'!A:A,'All Item Code'!D:D,),0)))</f>
        <v/>
      </c>
      <c r="D240" s="3" t="str">
        <f>IFERROR(__xludf.DUMMYFUNCTION("if(isblank(B240),,ifna(textjoin(""; "",,filter('On Hand'!E:E,'On Hand'!A:A=A240)),ifna(xlookup(A240,'On Hand'!A:A,'On Hand'!E:E,),)))"),"")</f>
        <v/>
      </c>
    </row>
    <row r="241">
      <c r="A241" s="3" t="str">
        <f t="array" ref="A241">ifna(_xlfn.xlookup(B241,'All Item Code'!B:B,'All Item Code'!A:A,),)</f>
        <v/>
      </c>
      <c r="B241" s="3"/>
      <c r="C241" s="3" t="str">
        <f t="array" ref="C241">if(B241="Tidak Ada",,if(isblank(B241),,ifna(sumif('On Hand'!A:A,A241,'On Hand'!D:D)&amp;" "&amp;_xlfn.xlookup(A241,'All Item Code'!A:A,'All Item Code'!D:D,),0)))</f>
        <v/>
      </c>
      <c r="D241" s="3" t="str">
        <f>IFERROR(__xludf.DUMMYFUNCTION("if(isblank(B241),,ifna(textjoin(""; "",,filter('On Hand'!E:E,'On Hand'!A:A=A241)),ifna(xlookup(A241,'On Hand'!A:A,'On Hand'!E:E,),)))"),"")</f>
        <v/>
      </c>
    </row>
    <row r="242">
      <c r="A242" s="3" t="str">
        <f t="array" ref="A242">ifna(_xlfn.xlookup(B242,'All Item Code'!B:B,'All Item Code'!A:A,),)</f>
        <v/>
      </c>
      <c r="B242" s="3"/>
      <c r="C242" s="3" t="str">
        <f t="array" ref="C242">if(B242="Tidak Ada",,if(isblank(B242),,ifna(sumif('On Hand'!A:A,A242,'On Hand'!D:D)&amp;" "&amp;_xlfn.xlookup(A242,'All Item Code'!A:A,'All Item Code'!D:D,),0)))</f>
        <v/>
      </c>
      <c r="D242" s="3" t="str">
        <f>IFERROR(__xludf.DUMMYFUNCTION("if(isblank(B242),,ifna(textjoin(""; "",,filter('On Hand'!E:E,'On Hand'!A:A=A242)),ifna(xlookup(A242,'On Hand'!A:A,'On Hand'!E:E,),)))"),"")</f>
        <v/>
      </c>
    </row>
    <row r="243">
      <c r="A243" s="3" t="str">
        <f t="array" ref="A243">ifna(_xlfn.xlookup(B243,'All Item Code'!B:B,'All Item Code'!A:A,),)</f>
        <v/>
      </c>
      <c r="B243" s="3"/>
      <c r="C243" s="3" t="str">
        <f t="array" ref="C243">if(B243="Tidak Ada",,if(isblank(B243),,ifna(sumif('On Hand'!A:A,A243,'On Hand'!D:D)&amp;" "&amp;_xlfn.xlookup(A243,'All Item Code'!A:A,'All Item Code'!D:D,),0)))</f>
        <v/>
      </c>
      <c r="D243" s="3" t="str">
        <f>IFERROR(__xludf.DUMMYFUNCTION("if(isblank(B243),,ifna(textjoin(""; "",,filter('On Hand'!E:E,'On Hand'!A:A=A243)),ifna(xlookup(A243,'On Hand'!A:A,'On Hand'!E:E,),)))"),"")</f>
        <v/>
      </c>
    </row>
    <row r="244">
      <c r="A244" s="3" t="str">
        <f t="array" ref="A244">ifna(_xlfn.xlookup(B244,'All Item Code'!B:B,'All Item Code'!A:A,),)</f>
        <v/>
      </c>
      <c r="B244" s="3"/>
      <c r="C244" s="3" t="str">
        <f t="array" ref="C244">if(B244="Tidak Ada",,if(isblank(B244),,ifna(sumif('On Hand'!A:A,A244,'On Hand'!D:D)&amp;" "&amp;_xlfn.xlookup(A244,'All Item Code'!A:A,'All Item Code'!D:D,),0)))</f>
        <v/>
      </c>
      <c r="D244" s="3" t="str">
        <f>IFERROR(__xludf.DUMMYFUNCTION("if(isblank(B244),,ifna(textjoin(""; "",,filter('On Hand'!E:E,'On Hand'!A:A=A244)),ifna(xlookup(A244,'On Hand'!A:A,'On Hand'!E:E,),)))"),"")</f>
        <v/>
      </c>
    </row>
    <row r="245">
      <c r="A245" s="3" t="str">
        <f t="array" ref="A245">ifna(_xlfn.xlookup(B245,'All Item Code'!B:B,'All Item Code'!A:A,),)</f>
        <v/>
      </c>
      <c r="B245" s="3"/>
      <c r="C245" s="3" t="str">
        <f t="array" ref="C245">if(B245="Tidak Ada",,if(isblank(B245),,ifna(sumif('On Hand'!A:A,A245,'On Hand'!D:D)&amp;" "&amp;_xlfn.xlookup(A245,'All Item Code'!A:A,'All Item Code'!D:D,),0)))</f>
        <v/>
      </c>
      <c r="D245" s="3" t="str">
        <f>IFERROR(__xludf.DUMMYFUNCTION("if(isblank(B245),,ifna(textjoin(""; "",,filter('On Hand'!E:E,'On Hand'!A:A=A245)),ifna(xlookup(A245,'On Hand'!A:A,'On Hand'!E:E,),)))"),"")</f>
        <v/>
      </c>
    </row>
    <row r="246">
      <c r="A246" s="3" t="str">
        <f t="array" ref="A246">ifna(_xlfn.xlookup(B246,'All Item Code'!B:B,'All Item Code'!A:A,),)</f>
        <v/>
      </c>
      <c r="B246" s="3"/>
      <c r="C246" s="3" t="str">
        <f t="array" ref="C246">if(B246="Tidak Ada",,if(isblank(B246),,ifna(sumif('On Hand'!A:A,A246,'On Hand'!D:D)&amp;" "&amp;_xlfn.xlookup(A246,'All Item Code'!A:A,'All Item Code'!D:D,),0)))</f>
        <v/>
      </c>
      <c r="D246" s="3" t="str">
        <f>IFERROR(__xludf.DUMMYFUNCTION("if(isblank(B246),,ifna(textjoin(""; "",,filter('On Hand'!E:E,'On Hand'!A:A=A246)),ifna(xlookup(A246,'On Hand'!A:A,'On Hand'!E:E,),)))"),"")</f>
        <v/>
      </c>
    </row>
    <row r="247">
      <c r="A247" s="3" t="str">
        <f t="array" ref="A247">ifna(_xlfn.xlookup(B247,'All Item Code'!B:B,'All Item Code'!A:A,),)</f>
        <v/>
      </c>
      <c r="B247" s="3"/>
      <c r="C247" s="3" t="str">
        <f t="array" ref="C247">if(B247="Tidak Ada",,if(isblank(B247),,ifna(sumif('On Hand'!A:A,A247,'On Hand'!D:D)&amp;" "&amp;_xlfn.xlookup(A247,'All Item Code'!A:A,'All Item Code'!D:D,),0)))</f>
        <v/>
      </c>
      <c r="D247" s="3" t="str">
        <f>IFERROR(__xludf.DUMMYFUNCTION("if(isblank(B247),,ifna(textjoin(""; "",,filter('On Hand'!E:E,'On Hand'!A:A=A247)),ifna(xlookup(A247,'On Hand'!A:A,'On Hand'!E:E,),)))"),"")</f>
        <v/>
      </c>
    </row>
    <row r="248">
      <c r="A248" s="3" t="str">
        <f t="array" ref="A248">ifna(_xlfn.xlookup(B248,'All Item Code'!B:B,'All Item Code'!A:A,),)</f>
        <v/>
      </c>
      <c r="B248" s="3"/>
      <c r="C248" s="3" t="str">
        <f t="array" ref="C248">if(B248="Tidak Ada",,if(isblank(B248),,ifna(sumif('On Hand'!A:A,A248,'On Hand'!D:D)&amp;" "&amp;_xlfn.xlookup(A248,'All Item Code'!A:A,'All Item Code'!D:D,),0)))</f>
        <v/>
      </c>
      <c r="D248" s="3" t="str">
        <f>IFERROR(__xludf.DUMMYFUNCTION("if(isblank(B248),,ifna(textjoin(""; "",,filter('On Hand'!E:E,'On Hand'!A:A=A248)),ifna(xlookup(A248,'On Hand'!A:A,'On Hand'!E:E,),)))"),"")</f>
        <v/>
      </c>
    </row>
    <row r="249">
      <c r="A249" s="3" t="str">
        <f t="array" ref="A249">ifna(_xlfn.xlookup(B249,'All Item Code'!B:B,'All Item Code'!A:A,),)</f>
        <v/>
      </c>
      <c r="B249" s="3"/>
      <c r="C249" s="3" t="str">
        <f t="array" ref="C249">if(B249="Tidak Ada",,if(isblank(B249),,ifna(sumif('On Hand'!A:A,A249,'On Hand'!D:D)&amp;" "&amp;_xlfn.xlookup(A249,'All Item Code'!A:A,'All Item Code'!D:D,),0)))</f>
        <v/>
      </c>
      <c r="D249" s="3" t="str">
        <f>IFERROR(__xludf.DUMMYFUNCTION("if(isblank(B249),,ifna(textjoin(""; "",,filter('On Hand'!E:E,'On Hand'!A:A=A249)),ifna(xlookup(A249,'On Hand'!A:A,'On Hand'!E:E,),)))"),"")</f>
        <v/>
      </c>
    </row>
    <row r="250">
      <c r="A250" s="3" t="str">
        <f t="array" ref="A250">ifna(_xlfn.xlookup(B250,'All Item Code'!B:B,'All Item Code'!A:A,),)</f>
        <v/>
      </c>
      <c r="B250" s="3"/>
      <c r="C250" s="3" t="str">
        <f t="array" ref="C250">if(B250="Tidak Ada",,if(isblank(B250),,ifna(sumif('On Hand'!A:A,A250,'On Hand'!D:D)&amp;" "&amp;_xlfn.xlookup(A250,'All Item Code'!A:A,'All Item Code'!D:D,),0)))</f>
        <v/>
      </c>
      <c r="D250" s="3" t="str">
        <f>IFERROR(__xludf.DUMMYFUNCTION("if(isblank(B250),,ifna(textjoin(""; "",,filter('On Hand'!E:E,'On Hand'!A:A=A250)),ifna(xlookup(A250,'On Hand'!A:A,'On Hand'!E:E,),)))"),"")</f>
        <v/>
      </c>
    </row>
    <row r="251">
      <c r="A251" s="3" t="str">
        <f t="array" ref="A251">ifna(_xlfn.xlookup(B251,'All Item Code'!B:B,'All Item Code'!A:A,),)</f>
        <v/>
      </c>
      <c r="B251" s="3"/>
      <c r="C251" s="3" t="str">
        <f t="array" ref="C251">if(B251="Tidak Ada",,if(isblank(B251),,ifna(sumif('On Hand'!A:A,A251,'On Hand'!D:D)&amp;" "&amp;_xlfn.xlookup(A251,'All Item Code'!A:A,'All Item Code'!D:D,),0)))</f>
        <v/>
      </c>
      <c r="D251" s="3" t="str">
        <f>IFERROR(__xludf.DUMMYFUNCTION("if(isblank(B251),,ifna(textjoin(""; "",,filter('On Hand'!E:E,'On Hand'!A:A=A251)),ifna(xlookup(A251,'On Hand'!A:A,'On Hand'!E:E,),)))"),"")</f>
        <v/>
      </c>
    </row>
    <row r="252">
      <c r="A252" s="3" t="str">
        <f t="array" ref="A252">ifna(_xlfn.xlookup(B252,'All Item Code'!B:B,'All Item Code'!A:A,),)</f>
        <v/>
      </c>
      <c r="B252" s="3"/>
      <c r="C252" s="3" t="str">
        <f t="array" ref="C252">if(B252="Tidak Ada",,if(isblank(B252),,ifna(sumif('On Hand'!A:A,A252,'On Hand'!D:D)&amp;" "&amp;_xlfn.xlookup(A252,'All Item Code'!A:A,'All Item Code'!D:D,),0)))</f>
        <v/>
      </c>
      <c r="D252" s="3" t="str">
        <f>IFERROR(__xludf.DUMMYFUNCTION("if(isblank(B252),,ifna(textjoin(""; "",,filter('On Hand'!E:E,'On Hand'!A:A=A252)),ifna(xlookup(A252,'On Hand'!A:A,'On Hand'!E:E,),)))"),"")</f>
        <v/>
      </c>
    </row>
    <row r="253">
      <c r="A253" s="3" t="str">
        <f t="array" ref="A253">ifna(_xlfn.xlookup(B253,'All Item Code'!B:B,'All Item Code'!A:A,),)</f>
        <v/>
      </c>
      <c r="B253" s="3"/>
      <c r="C253" s="3" t="str">
        <f t="array" ref="C253">if(B253="Tidak Ada",,if(isblank(B253),,ifna(sumif('On Hand'!A:A,A253,'On Hand'!D:D)&amp;" "&amp;_xlfn.xlookup(A253,'All Item Code'!A:A,'All Item Code'!D:D,),0)))</f>
        <v/>
      </c>
      <c r="D253" s="3" t="str">
        <f>IFERROR(__xludf.DUMMYFUNCTION("if(isblank(B253),,ifna(textjoin(""; "",,filter('On Hand'!E:E,'On Hand'!A:A=A253)),ifna(xlookup(A253,'On Hand'!A:A,'On Hand'!E:E,),)))"),"")</f>
        <v/>
      </c>
    </row>
    <row r="254">
      <c r="A254" s="3" t="str">
        <f t="array" ref="A254">ifna(_xlfn.xlookup(B254,'All Item Code'!B:B,'All Item Code'!A:A,),)</f>
        <v/>
      </c>
      <c r="B254" s="3"/>
      <c r="C254" s="3" t="str">
        <f t="array" ref="C254">if(B254="Tidak Ada",,if(isblank(B254),,ifna(sumif('On Hand'!A:A,A254,'On Hand'!D:D)&amp;" "&amp;_xlfn.xlookup(A254,'All Item Code'!A:A,'All Item Code'!D:D,),0)))</f>
        <v/>
      </c>
      <c r="D254" s="3" t="str">
        <f>IFERROR(__xludf.DUMMYFUNCTION("if(isblank(B254),,ifna(textjoin(""; "",,filter('On Hand'!E:E,'On Hand'!A:A=A254)),ifna(xlookup(A254,'On Hand'!A:A,'On Hand'!E:E,),)))"),"")</f>
        <v/>
      </c>
    </row>
    <row r="255">
      <c r="A255" s="3" t="str">
        <f t="array" ref="A255">ifna(_xlfn.xlookup(B255,'All Item Code'!B:B,'All Item Code'!A:A,),)</f>
        <v/>
      </c>
      <c r="B255" s="3"/>
      <c r="C255" s="3" t="str">
        <f t="array" ref="C255">if(B255="Tidak Ada",,if(isblank(B255),,ifna(sumif('On Hand'!A:A,A255,'On Hand'!D:D)&amp;" "&amp;_xlfn.xlookup(A255,'All Item Code'!A:A,'All Item Code'!D:D,),0)))</f>
        <v/>
      </c>
      <c r="D255" s="3" t="str">
        <f>IFERROR(__xludf.DUMMYFUNCTION("if(isblank(B255),,ifna(textjoin(""; "",,filter('On Hand'!E:E,'On Hand'!A:A=A255)),ifna(xlookup(A255,'On Hand'!A:A,'On Hand'!E:E,),)))"),"")</f>
        <v/>
      </c>
    </row>
    <row r="256">
      <c r="A256" s="3" t="str">
        <f t="array" ref="A256">ifna(_xlfn.xlookup(B256,'All Item Code'!B:B,'All Item Code'!A:A,),)</f>
        <v/>
      </c>
      <c r="B256" s="3"/>
      <c r="C256" s="3" t="str">
        <f t="array" ref="C256">if(B256="Tidak Ada",,if(isblank(B256),,ifna(sumif('On Hand'!A:A,A256,'On Hand'!D:D)&amp;" "&amp;_xlfn.xlookup(A256,'All Item Code'!A:A,'All Item Code'!D:D,),0)))</f>
        <v/>
      </c>
      <c r="D256" s="3" t="str">
        <f>IFERROR(__xludf.DUMMYFUNCTION("if(isblank(B256),,ifna(textjoin(""; "",,filter('On Hand'!E:E,'On Hand'!A:A=A256)),ifna(xlookup(A256,'On Hand'!A:A,'On Hand'!E:E,),)))"),"")</f>
        <v/>
      </c>
    </row>
    <row r="257">
      <c r="A257" s="3" t="str">
        <f t="array" ref="A257">ifna(_xlfn.xlookup(B257,'All Item Code'!B:B,'All Item Code'!A:A,),)</f>
        <v/>
      </c>
      <c r="B257" s="3"/>
      <c r="C257" s="3" t="str">
        <f t="array" ref="C257">if(B257="Tidak Ada",,if(isblank(B257),,ifna(sumif('On Hand'!A:A,A257,'On Hand'!D:D)&amp;" "&amp;_xlfn.xlookup(A257,'All Item Code'!A:A,'All Item Code'!D:D,),0)))</f>
        <v/>
      </c>
      <c r="D257" s="3" t="str">
        <f>IFERROR(__xludf.DUMMYFUNCTION("if(isblank(B257),,ifna(textjoin(""; "",,filter('On Hand'!E:E,'On Hand'!A:A=A257)),ifna(xlookup(A257,'On Hand'!A:A,'On Hand'!E:E,),)))"),"")</f>
        <v/>
      </c>
    </row>
    <row r="258">
      <c r="A258" s="3" t="str">
        <f t="array" ref="A258">ifna(_xlfn.xlookup(B258,'All Item Code'!B:B,'All Item Code'!A:A,),)</f>
        <v/>
      </c>
      <c r="B258" s="3"/>
      <c r="C258" s="3" t="str">
        <f t="array" ref="C258">if(B258="Tidak Ada",,if(isblank(B258),,ifna(sumif('On Hand'!A:A,A258,'On Hand'!D:D)&amp;" "&amp;_xlfn.xlookup(A258,'All Item Code'!A:A,'All Item Code'!D:D,),0)))</f>
        <v/>
      </c>
      <c r="D258" s="3" t="str">
        <f>IFERROR(__xludf.DUMMYFUNCTION("if(isblank(B258),,ifna(textjoin(""; "",,filter('On Hand'!E:E,'On Hand'!A:A=A258)),ifna(xlookup(A258,'On Hand'!A:A,'On Hand'!E:E,),)))"),"")</f>
        <v/>
      </c>
    </row>
    <row r="259">
      <c r="A259" s="3" t="str">
        <f t="array" ref="A259">ifna(_xlfn.xlookup(B259,'All Item Code'!B:B,'All Item Code'!A:A,),)</f>
        <v/>
      </c>
      <c r="B259" s="3"/>
      <c r="C259" s="3" t="str">
        <f t="array" ref="C259">if(B259="Tidak Ada",,if(isblank(B259),,ifna(sumif('On Hand'!A:A,A259,'On Hand'!D:D)&amp;" "&amp;_xlfn.xlookup(A259,'All Item Code'!A:A,'All Item Code'!D:D,),0)))</f>
        <v/>
      </c>
      <c r="D259" s="3" t="str">
        <f>IFERROR(__xludf.DUMMYFUNCTION("if(isblank(B259),,ifna(textjoin(""; "",,filter('On Hand'!E:E,'On Hand'!A:A=A259)),ifna(xlookup(A259,'On Hand'!A:A,'On Hand'!E:E,),)))"),"")</f>
        <v/>
      </c>
    </row>
    <row r="260">
      <c r="A260" s="3" t="str">
        <f t="array" ref="A260">ifna(_xlfn.xlookup(B260,'All Item Code'!B:B,'All Item Code'!A:A,),)</f>
        <v/>
      </c>
      <c r="B260" s="3"/>
      <c r="C260" s="3" t="str">
        <f t="array" ref="C260">if(B260="Tidak Ada",,if(isblank(B260),,ifna(sumif('On Hand'!A:A,A260,'On Hand'!D:D)&amp;" "&amp;_xlfn.xlookup(A260,'All Item Code'!A:A,'All Item Code'!D:D,),0)))</f>
        <v/>
      </c>
      <c r="D260" s="3" t="str">
        <f>IFERROR(__xludf.DUMMYFUNCTION("if(isblank(B260),,ifna(textjoin(""; "",,filter('On Hand'!E:E,'On Hand'!A:A=A260)),ifna(xlookup(A260,'On Hand'!A:A,'On Hand'!E:E,),)))"),"")</f>
        <v/>
      </c>
    </row>
    <row r="261">
      <c r="A261" s="3" t="str">
        <f t="array" ref="A261">ifna(_xlfn.xlookup(B261,'All Item Code'!B:B,'All Item Code'!A:A,),)</f>
        <v/>
      </c>
      <c r="B261" s="3"/>
      <c r="C261" s="3" t="str">
        <f t="array" ref="C261">if(B261="Tidak Ada",,if(isblank(B261),,ifna(sumif('On Hand'!A:A,A261,'On Hand'!D:D)&amp;" "&amp;_xlfn.xlookup(A261,'All Item Code'!A:A,'All Item Code'!D:D,),0)))</f>
        <v/>
      </c>
      <c r="D261" s="3" t="str">
        <f>IFERROR(__xludf.DUMMYFUNCTION("if(isblank(B261),,ifna(textjoin(""; "",,filter('On Hand'!E:E,'On Hand'!A:A=A261)),ifna(xlookup(A261,'On Hand'!A:A,'On Hand'!E:E,),)))"),"")</f>
        <v/>
      </c>
    </row>
    <row r="262">
      <c r="A262" s="3" t="str">
        <f t="array" ref="A262">ifna(_xlfn.xlookup(B262,'All Item Code'!B:B,'All Item Code'!A:A,),)</f>
        <v/>
      </c>
      <c r="B262" s="3"/>
      <c r="C262" s="3" t="str">
        <f t="array" ref="C262">if(B262="Tidak Ada",,if(isblank(B262),,ifna(sumif('On Hand'!A:A,A262,'On Hand'!D:D)&amp;" "&amp;_xlfn.xlookup(A262,'All Item Code'!A:A,'All Item Code'!D:D,),0)))</f>
        <v/>
      </c>
      <c r="D262" s="3" t="str">
        <f>IFERROR(__xludf.DUMMYFUNCTION("if(isblank(B262),,ifna(textjoin(""; "",,filter('On Hand'!E:E,'On Hand'!A:A=A262)),ifna(xlookup(A262,'On Hand'!A:A,'On Hand'!E:E,),)))"),"")</f>
        <v/>
      </c>
    </row>
    <row r="263">
      <c r="A263" s="3" t="str">
        <f t="array" ref="A263">ifna(_xlfn.xlookup(B263,'All Item Code'!B:B,'All Item Code'!A:A,),)</f>
        <v/>
      </c>
      <c r="B263" s="3"/>
      <c r="C263" s="3" t="str">
        <f t="array" ref="C263">if(B263="Tidak Ada",,if(isblank(B263),,ifna(sumif('On Hand'!A:A,A263,'On Hand'!D:D)&amp;" "&amp;_xlfn.xlookup(A263,'All Item Code'!A:A,'All Item Code'!D:D,),0)))</f>
        <v/>
      </c>
      <c r="D263" s="3" t="str">
        <f>IFERROR(__xludf.DUMMYFUNCTION("if(isblank(B263),,ifna(textjoin(""; "",,filter('On Hand'!E:E,'On Hand'!A:A=A263)),ifna(xlookup(A263,'On Hand'!A:A,'On Hand'!E:E,),)))"),"")</f>
        <v/>
      </c>
    </row>
    <row r="264">
      <c r="A264" s="3" t="str">
        <f t="array" ref="A264">ifna(_xlfn.xlookup(B264,'All Item Code'!B:B,'All Item Code'!A:A,),)</f>
        <v/>
      </c>
      <c r="B264" s="3"/>
      <c r="C264" s="3" t="str">
        <f t="array" ref="C264">if(B264="Tidak Ada",,if(isblank(B264),,ifna(sumif('On Hand'!A:A,A264,'On Hand'!D:D)&amp;" "&amp;_xlfn.xlookup(A264,'All Item Code'!A:A,'All Item Code'!D:D,),0)))</f>
        <v/>
      </c>
      <c r="D264" s="3" t="str">
        <f>IFERROR(__xludf.DUMMYFUNCTION("if(isblank(B264),,ifna(textjoin(""; "",,filter('On Hand'!E:E,'On Hand'!A:A=A264)),ifna(xlookup(A264,'On Hand'!A:A,'On Hand'!E:E,),)))"),"")</f>
        <v/>
      </c>
    </row>
    <row r="265">
      <c r="A265" s="3" t="str">
        <f t="array" ref="A265">ifna(_xlfn.xlookup(B265,'All Item Code'!B:B,'All Item Code'!A:A,),)</f>
        <v/>
      </c>
      <c r="B265" s="3"/>
      <c r="C265" s="3" t="str">
        <f t="array" ref="C265">if(B265="Tidak Ada",,if(isblank(B265),,ifna(sumif('On Hand'!A:A,A265,'On Hand'!D:D)&amp;" "&amp;_xlfn.xlookup(A265,'All Item Code'!A:A,'All Item Code'!D:D,),0)))</f>
        <v/>
      </c>
      <c r="D265" s="3" t="str">
        <f>IFERROR(__xludf.DUMMYFUNCTION("if(isblank(B265),,ifna(textjoin(""; "",,filter('On Hand'!E:E,'On Hand'!A:A=A265)),ifna(xlookup(A265,'On Hand'!A:A,'On Hand'!E:E,),)))"),"")</f>
        <v/>
      </c>
    </row>
    <row r="266">
      <c r="A266" s="3" t="str">
        <f t="array" ref="A266">ifna(_xlfn.xlookup(B266,'All Item Code'!B:B,'All Item Code'!A:A,),)</f>
        <v/>
      </c>
      <c r="B266" s="3"/>
      <c r="C266" s="3" t="str">
        <f t="array" ref="C266">if(B266="Tidak Ada",,if(isblank(B266),,ifna(sumif('On Hand'!A:A,A266,'On Hand'!D:D)&amp;" "&amp;_xlfn.xlookup(A266,'All Item Code'!A:A,'All Item Code'!D:D,),0)))</f>
        <v/>
      </c>
      <c r="D266" s="3" t="str">
        <f>IFERROR(__xludf.DUMMYFUNCTION("if(isblank(B266),,ifna(textjoin(""; "",,filter('On Hand'!E:E,'On Hand'!A:A=A266)),ifna(xlookup(A266,'On Hand'!A:A,'On Hand'!E:E,),)))"),"")</f>
        <v/>
      </c>
    </row>
    <row r="267">
      <c r="A267" s="3" t="str">
        <f t="array" ref="A267">ifna(_xlfn.xlookup(B267,'All Item Code'!B:B,'All Item Code'!A:A,),)</f>
        <v/>
      </c>
      <c r="B267" s="3"/>
      <c r="C267" s="3" t="str">
        <f t="array" ref="C267">if(B267="Tidak Ada",,if(isblank(B267),,ifna(sumif('On Hand'!A:A,A267,'On Hand'!D:D)&amp;" "&amp;_xlfn.xlookup(A267,'All Item Code'!A:A,'All Item Code'!D:D,),0)))</f>
        <v/>
      </c>
      <c r="D267" s="3" t="str">
        <f>IFERROR(__xludf.DUMMYFUNCTION("if(isblank(B267),,ifna(textjoin(""; "",,filter('On Hand'!E:E,'On Hand'!A:A=A267)),ifna(xlookup(A267,'On Hand'!A:A,'On Hand'!E:E,),)))"),"")</f>
        <v/>
      </c>
    </row>
    <row r="268">
      <c r="A268" s="3" t="str">
        <f t="array" ref="A268">ifna(_xlfn.xlookup(B268,'All Item Code'!B:B,'All Item Code'!A:A,),)</f>
        <v/>
      </c>
      <c r="B268" s="3"/>
      <c r="C268" s="3" t="str">
        <f t="array" ref="C268">if(B268="Tidak Ada",,if(isblank(B268),,ifna(sumif('On Hand'!A:A,A268,'On Hand'!D:D)&amp;" "&amp;_xlfn.xlookup(A268,'All Item Code'!A:A,'All Item Code'!D:D,),0)))</f>
        <v/>
      </c>
      <c r="D268" s="3" t="str">
        <f>IFERROR(__xludf.DUMMYFUNCTION("if(isblank(B268),,ifna(textjoin(""; "",,filter('On Hand'!E:E,'On Hand'!A:A=A268)),ifna(xlookup(A268,'On Hand'!A:A,'On Hand'!E:E,),)))"),"")</f>
        <v/>
      </c>
    </row>
    <row r="269">
      <c r="A269" s="3" t="str">
        <f t="array" ref="A269">ifna(_xlfn.xlookup(B269,'All Item Code'!B:B,'All Item Code'!A:A,),)</f>
        <v/>
      </c>
      <c r="B269" s="3"/>
      <c r="C269" s="3" t="str">
        <f t="array" ref="C269">if(B269="Tidak Ada",,if(isblank(B269),,ifna(sumif('On Hand'!A:A,A269,'On Hand'!D:D)&amp;" "&amp;_xlfn.xlookup(A269,'All Item Code'!A:A,'All Item Code'!D:D,),0)))</f>
        <v/>
      </c>
      <c r="D269" s="3" t="str">
        <f>IFERROR(__xludf.DUMMYFUNCTION("if(isblank(B269),,ifna(textjoin(""; "",,filter('On Hand'!E:E,'On Hand'!A:A=A269)),ifna(xlookup(A269,'On Hand'!A:A,'On Hand'!E:E,),)))"),"")</f>
        <v/>
      </c>
    </row>
    <row r="270">
      <c r="A270" s="3" t="str">
        <f t="array" ref="A270">ifna(_xlfn.xlookup(B270,'All Item Code'!B:B,'All Item Code'!A:A,),)</f>
        <v/>
      </c>
      <c r="B270" s="3"/>
      <c r="C270" s="3" t="str">
        <f t="array" ref="C270">if(B270="Tidak Ada",,if(isblank(B270),,ifna(sumif('On Hand'!A:A,A270,'On Hand'!D:D)&amp;" "&amp;_xlfn.xlookup(A270,'All Item Code'!A:A,'All Item Code'!D:D,),0)))</f>
        <v/>
      </c>
      <c r="D270" s="3" t="str">
        <f>IFERROR(__xludf.DUMMYFUNCTION("if(isblank(B270),,ifna(textjoin(""; "",,filter('On Hand'!E:E,'On Hand'!A:A=A270)),ifna(xlookup(A270,'On Hand'!A:A,'On Hand'!E:E,),)))"),"")</f>
        <v/>
      </c>
    </row>
    <row r="271">
      <c r="A271" s="3" t="str">
        <f t="array" ref="A271">ifna(_xlfn.xlookup(B271,'All Item Code'!B:B,'All Item Code'!A:A,),)</f>
        <v/>
      </c>
      <c r="B271" s="3"/>
      <c r="C271" s="3" t="str">
        <f t="array" ref="C271">if(B271="Tidak Ada",,if(isblank(B271),,ifna(sumif('On Hand'!A:A,A271,'On Hand'!D:D)&amp;" "&amp;_xlfn.xlookup(A271,'All Item Code'!A:A,'All Item Code'!D:D,),0)))</f>
        <v/>
      </c>
      <c r="D271" s="3" t="str">
        <f>IFERROR(__xludf.DUMMYFUNCTION("if(isblank(B271),,ifna(textjoin(""; "",,filter('On Hand'!E:E,'On Hand'!A:A=A271)),ifna(xlookup(A271,'On Hand'!A:A,'On Hand'!E:E,),)))"),"")</f>
        <v/>
      </c>
    </row>
    <row r="272">
      <c r="A272" s="3" t="str">
        <f t="array" ref="A272">ifna(_xlfn.xlookup(B272,'All Item Code'!B:B,'All Item Code'!A:A,),)</f>
        <v/>
      </c>
      <c r="B272" s="3"/>
      <c r="C272" s="3" t="str">
        <f t="array" ref="C272">if(B272="Tidak Ada",,if(isblank(B272),,ifna(sumif('On Hand'!A:A,A272,'On Hand'!D:D)&amp;" "&amp;_xlfn.xlookup(A272,'All Item Code'!A:A,'All Item Code'!D:D,),0)))</f>
        <v/>
      </c>
      <c r="D272" s="3" t="str">
        <f>IFERROR(__xludf.DUMMYFUNCTION("if(isblank(B272),,ifna(textjoin(""; "",,filter('On Hand'!E:E,'On Hand'!A:A=A272)),ifna(xlookup(A272,'On Hand'!A:A,'On Hand'!E:E,),)))"),"")</f>
        <v/>
      </c>
    </row>
    <row r="273">
      <c r="A273" s="3" t="str">
        <f t="array" ref="A273">ifna(_xlfn.xlookup(B273,'All Item Code'!B:B,'All Item Code'!A:A,),)</f>
        <v/>
      </c>
      <c r="B273" s="3"/>
      <c r="C273" s="3" t="str">
        <f t="array" ref="C273">if(B273="Tidak Ada",,if(isblank(B273),,ifna(sumif('On Hand'!A:A,A273,'On Hand'!D:D)&amp;" "&amp;_xlfn.xlookup(A273,'All Item Code'!A:A,'All Item Code'!D:D,),0)))</f>
        <v/>
      </c>
      <c r="D273" s="3" t="str">
        <f>IFERROR(__xludf.DUMMYFUNCTION("if(isblank(B273),,ifna(textjoin(""; "",,filter('On Hand'!E:E,'On Hand'!A:A=A273)),ifna(xlookup(A273,'On Hand'!A:A,'On Hand'!E:E,),)))"),"")</f>
        <v/>
      </c>
    </row>
    <row r="274">
      <c r="A274" s="3" t="str">
        <f t="array" ref="A274">ifna(_xlfn.xlookup(B274,'All Item Code'!B:B,'All Item Code'!A:A,),)</f>
        <v/>
      </c>
      <c r="B274" s="3"/>
      <c r="C274" s="3" t="str">
        <f t="array" ref="C274">if(B274="Tidak Ada",,if(isblank(B274),,ifna(sumif('On Hand'!A:A,A274,'On Hand'!D:D)&amp;" "&amp;_xlfn.xlookup(A274,'All Item Code'!A:A,'All Item Code'!D:D,),0)))</f>
        <v/>
      </c>
      <c r="D274" s="3" t="str">
        <f>IFERROR(__xludf.DUMMYFUNCTION("if(isblank(B274),,ifna(textjoin(""; "",,filter('On Hand'!E:E,'On Hand'!A:A=A274)),ifna(xlookup(A274,'On Hand'!A:A,'On Hand'!E:E,),)))"),"")</f>
        <v/>
      </c>
    </row>
    <row r="275">
      <c r="A275" s="3" t="str">
        <f t="array" ref="A275">ifna(_xlfn.xlookup(B275,'All Item Code'!B:B,'All Item Code'!A:A,),)</f>
        <v/>
      </c>
      <c r="B275" s="3"/>
      <c r="C275" s="3" t="str">
        <f t="array" ref="C275">if(B275="Tidak Ada",,if(isblank(B275),,ifna(sumif('On Hand'!A:A,A275,'On Hand'!D:D)&amp;" "&amp;_xlfn.xlookup(A275,'All Item Code'!A:A,'All Item Code'!D:D,),0)))</f>
        <v/>
      </c>
      <c r="D275" s="3" t="str">
        <f>IFERROR(__xludf.DUMMYFUNCTION("if(isblank(B275),,ifna(textjoin(""; "",,filter('On Hand'!E:E,'On Hand'!A:A=A275)),ifna(xlookup(A275,'On Hand'!A:A,'On Hand'!E:E,),)))"),"")</f>
        <v/>
      </c>
    </row>
    <row r="276">
      <c r="A276" s="3" t="str">
        <f t="array" ref="A276">ifna(_xlfn.xlookup(B276,'All Item Code'!B:B,'All Item Code'!A:A,),)</f>
        <v/>
      </c>
      <c r="B276" s="3"/>
      <c r="C276" s="3" t="str">
        <f t="array" ref="C276">if(B276="Tidak Ada",,if(isblank(B276),,ifna(sumif('On Hand'!A:A,A276,'On Hand'!D:D)&amp;" "&amp;_xlfn.xlookup(A276,'All Item Code'!A:A,'All Item Code'!D:D,),0)))</f>
        <v/>
      </c>
      <c r="D276" s="3" t="str">
        <f>IFERROR(__xludf.DUMMYFUNCTION("if(isblank(B276),,ifna(textjoin(""; "",,filter('On Hand'!E:E,'On Hand'!A:A=A276)),ifna(xlookup(A276,'On Hand'!A:A,'On Hand'!E:E,),)))"),"")</f>
        <v/>
      </c>
    </row>
    <row r="277">
      <c r="A277" s="3" t="str">
        <f t="array" ref="A277">ifna(_xlfn.xlookup(B277,'All Item Code'!B:B,'All Item Code'!A:A,),)</f>
        <v/>
      </c>
      <c r="B277" s="3"/>
      <c r="C277" s="3" t="str">
        <f t="array" ref="C277">if(B277="Tidak Ada",,if(isblank(B277),,ifna(sumif('On Hand'!A:A,A277,'On Hand'!D:D)&amp;" "&amp;_xlfn.xlookup(A277,'All Item Code'!A:A,'All Item Code'!D:D,),0)))</f>
        <v/>
      </c>
      <c r="D277" s="3" t="str">
        <f>IFERROR(__xludf.DUMMYFUNCTION("if(isblank(B277),,ifna(textjoin(""; "",,filter('On Hand'!E:E,'On Hand'!A:A=A277)),ifna(xlookup(A277,'On Hand'!A:A,'On Hand'!E:E,),)))"),"")</f>
        <v/>
      </c>
    </row>
    <row r="278">
      <c r="A278" s="3" t="str">
        <f t="array" ref="A278">ifna(_xlfn.xlookup(B278,'All Item Code'!B:B,'All Item Code'!A:A,),)</f>
        <v/>
      </c>
      <c r="B278" s="3"/>
      <c r="C278" s="3" t="str">
        <f t="array" ref="C278">if(B278="Tidak Ada",,if(isblank(B278),,ifna(sumif('On Hand'!A:A,A278,'On Hand'!D:D)&amp;" "&amp;_xlfn.xlookup(A278,'All Item Code'!A:A,'All Item Code'!D:D,),0)))</f>
        <v/>
      </c>
      <c r="D278" s="3" t="str">
        <f>IFERROR(__xludf.DUMMYFUNCTION("if(isblank(B278),,ifna(textjoin(""; "",,filter('On Hand'!E:E,'On Hand'!A:A=A278)),ifna(xlookup(A278,'On Hand'!A:A,'On Hand'!E:E,),)))"),"")</f>
        <v/>
      </c>
    </row>
    <row r="279">
      <c r="A279" s="3" t="str">
        <f t="array" ref="A279">ifna(_xlfn.xlookup(B279,'All Item Code'!B:B,'All Item Code'!A:A,),)</f>
        <v/>
      </c>
      <c r="B279" s="3"/>
      <c r="C279" s="3" t="str">
        <f t="array" ref="C279">if(B279="Tidak Ada",,if(isblank(B279),,ifna(sumif('On Hand'!A:A,A279,'On Hand'!D:D)&amp;" "&amp;_xlfn.xlookup(A279,'All Item Code'!A:A,'All Item Code'!D:D,),0)))</f>
        <v/>
      </c>
      <c r="D279" s="3" t="str">
        <f>IFERROR(__xludf.DUMMYFUNCTION("if(isblank(B279),,ifna(textjoin(""; "",,filter('On Hand'!E:E,'On Hand'!A:A=A279)),ifna(xlookup(A279,'On Hand'!A:A,'On Hand'!E:E,),)))"),"")</f>
        <v/>
      </c>
    </row>
    <row r="280">
      <c r="A280" s="3" t="str">
        <f t="array" ref="A280">ifna(_xlfn.xlookup(B280,'All Item Code'!B:B,'All Item Code'!A:A,),)</f>
        <v/>
      </c>
      <c r="B280" s="3"/>
      <c r="C280" s="3" t="str">
        <f t="array" ref="C280">if(B280="Tidak Ada",,if(isblank(B280),,ifna(sumif('On Hand'!A:A,A280,'On Hand'!D:D)&amp;" "&amp;_xlfn.xlookup(A280,'All Item Code'!A:A,'All Item Code'!D:D,),0)))</f>
        <v/>
      </c>
      <c r="D280" s="3" t="str">
        <f>IFERROR(__xludf.DUMMYFUNCTION("if(isblank(B280),,ifna(textjoin(""; "",,filter('On Hand'!E:E,'On Hand'!A:A=A280)),ifna(xlookup(A280,'On Hand'!A:A,'On Hand'!E:E,),)))"),"")</f>
        <v/>
      </c>
    </row>
    <row r="281">
      <c r="A281" s="3" t="str">
        <f t="array" ref="A281">ifna(_xlfn.xlookup(B281,'All Item Code'!B:B,'All Item Code'!A:A,),)</f>
        <v/>
      </c>
      <c r="B281" s="3"/>
      <c r="C281" s="3" t="str">
        <f t="array" ref="C281">if(B281="Tidak Ada",,if(isblank(B281),,ifna(sumif('On Hand'!A:A,A281,'On Hand'!D:D)&amp;" "&amp;_xlfn.xlookup(A281,'All Item Code'!A:A,'All Item Code'!D:D,),0)))</f>
        <v/>
      </c>
      <c r="D281" s="3" t="str">
        <f>IFERROR(__xludf.DUMMYFUNCTION("if(isblank(B281),,ifna(textjoin(""; "",,filter('On Hand'!E:E,'On Hand'!A:A=A281)),ifna(xlookup(A281,'On Hand'!A:A,'On Hand'!E:E,),)))"),"")</f>
        <v/>
      </c>
    </row>
    <row r="282">
      <c r="A282" s="3" t="str">
        <f t="array" ref="A282">ifna(_xlfn.xlookup(B282,'All Item Code'!B:B,'All Item Code'!A:A,),)</f>
        <v/>
      </c>
      <c r="B282" s="3"/>
      <c r="C282" s="3" t="str">
        <f t="array" ref="C282">if(B282="Tidak Ada",,if(isblank(B282),,ifna(sumif('On Hand'!A:A,A282,'On Hand'!D:D)&amp;" "&amp;_xlfn.xlookup(A282,'All Item Code'!A:A,'All Item Code'!D:D,),0)))</f>
        <v/>
      </c>
      <c r="D282" s="3" t="str">
        <f>IFERROR(__xludf.DUMMYFUNCTION("if(isblank(B282),,ifna(textjoin(""; "",,filter('On Hand'!E:E,'On Hand'!A:A=A282)),ifna(xlookup(A282,'On Hand'!A:A,'On Hand'!E:E,),)))"),"")</f>
        <v/>
      </c>
    </row>
    <row r="283">
      <c r="A283" s="3" t="str">
        <f t="array" ref="A283">ifna(_xlfn.xlookup(B283,'All Item Code'!B:B,'All Item Code'!A:A,),)</f>
        <v/>
      </c>
      <c r="B283" s="3"/>
      <c r="C283" s="3" t="str">
        <f t="array" ref="C283">if(B283="Tidak Ada",,if(isblank(B283),,ifna(sumif('On Hand'!A:A,A283,'On Hand'!D:D)&amp;" "&amp;_xlfn.xlookup(A283,'All Item Code'!A:A,'All Item Code'!D:D,),0)))</f>
        <v/>
      </c>
      <c r="D283" s="3" t="str">
        <f>IFERROR(__xludf.DUMMYFUNCTION("if(isblank(B283),,ifna(textjoin(""; "",,filter('On Hand'!E:E,'On Hand'!A:A=A283)),ifna(xlookup(A283,'On Hand'!A:A,'On Hand'!E:E,),)))"),"")</f>
        <v/>
      </c>
    </row>
    <row r="284">
      <c r="A284" s="3" t="str">
        <f t="array" ref="A284">ifna(_xlfn.xlookup(B284,'All Item Code'!B:B,'All Item Code'!A:A,),)</f>
        <v/>
      </c>
      <c r="B284" s="3"/>
      <c r="C284" s="3" t="str">
        <f t="array" ref="C284">if(B284="Tidak Ada",,if(isblank(B284),,ifna(sumif('On Hand'!A:A,A284,'On Hand'!D:D)&amp;" "&amp;_xlfn.xlookup(A284,'All Item Code'!A:A,'All Item Code'!D:D,),0)))</f>
        <v/>
      </c>
      <c r="D284" s="3" t="str">
        <f>IFERROR(__xludf.DUMMYFUNCTION("if(isblank(B284),,ifna(textjoin(""; "",,filter('On Hand'!E:E,'On Hand'!A:A=A284)),ifna(xlookup(A284,'On Hand'!A:A,'On Hand'!E:E,),)))"),"")</f>
        <v/>
      </c>
    </row>
    <row r="285">
      <c r="A285" s="3" t="str">
        <f t="array" ref="A285">ifna(_xlfn.xlookup(B285,'All Item Code'!B:B,'All Item Code'!A:A,),)</f>
        <v/>
      </c>
      <c r="B285" s="3"/>
      <c r="C285" s="3" t="str">
        <f t="array" ref="C285">if(B285="Tidak Ada",,if(isblank(B285),,ifna(sumif('On Hand'!A:A,A285,'On Hand'!D:D)&amp;" "&amp;_xlfn.xlookup(A285,'All Item Code'!A:A,'All Item Code'!D:D,),0)))</f>
        <v/>
      </c>
      <c r="D285" s="3" t="str">
        <f>IFERROR(__xludf.DUMMYFUNCTION("if(isblank(B285),,ifna(textjoin(""; "",,filter('On Hand'!E:E,'On Hand'!A:A=A285)),ifna(xlookup(A285,'On Hand'!A:A,'On Hand'!E:E,),)))"),"")</f>
        <v/>
      </c>
    </row>
    <row r="286">
      <c r="A286" s="3" t="str">
        <f t="array" ref="A286">ifna(_xlfn.xlookup(B286,'All Item Code'!B:B,'All Item Code'!A:A,),)</f>
        <v/>
      </c>
      <c r="B286" s="3"/>
      <c r="C286" s="3" t="str">
        <f t="array" ref="C286">if(B286="Tidak Ada",,if(isblank(B286),,ifna(sumif('On Hand'!A:A,A286,'On Hand'!D:D)&amp;" "&amp;_xlfn.xlookup(A286,'All Item Code'!A:A,'All Item Code'!D:D,),0)))</f>
        <v/>
      </c>
      <c r="D286" s="3" t="str">
        <f>IFERROR(__xludf.DUMMYFUNCTION("if(isblank(B286),,ifna(textjoin(""; "",,filter('On Hand'!E:E,'On Hand'!A:A=A286)),ifna(xlookup(A286,'On Hand'!A:A,'On Hand'!E:E,),)))"),"")</f>
        <v/>
      </c>
    </row>
    <row r="287">
      <c r="A287" s="3" t="str">
        <f t="array" ref="A287">ifna(_xlfn.xlookup(B287,'All Item Code'!B:B,'All Item Code'!A:A,),)</f>
        <v/>
      </c>
      <c r="B287" s="3"/>
      <c r="C287" s="3" t="str">
        <f t="array" ref="C287">if(B287="Tidak Ada",,if(isblank(B287),,ifna(sumif('On Hand'!A:A,A287,'On Hand'!D:D)&amp;" "&amp;_xlfn.xlookup(A287,'All Item Code'!A:A,'All Item Code'!D:D,),0)))</f>
        <v/>
      </c>
      <c r="D287" s="3" t="str">
        <f>IFERROR(__xludf.DUMMYFUNCTION("if(isblank(B287),,ifna(textjoin(""; "",,filter('On Hand'!E:E,'On Hand'!A:A=A287)),ifna(xlookup(A287,'On Hand'!A:A,'On Hand'!E:E,),)))"),"")</f>
        <v/>
      </c>
    </row>
    <row r="288">
      <c r="A288" s="3" t="str">
        <f t="array" ref="A288">ifna(_xlfn.xlookup(B288,'All Item Code'!B:B,'All Item Code'!A:A,),)</f>
        <v/>
      </c>
      <c r="B288" s="3"/>
      <c r="C288" s="3" t="str">
        <f t="array" ref="C288">if(B288="Tidak Ada",,if(isblank(B288),,ifna(sumif('On Hand'!A:A,A288,'On Hand'!D:D)&amp;" "&amp;_xlfn.xlookup(A288,'All Item Code'!A:A,'All Item Code'!D:D,),0)))</f>
        <v/>
      </c>
      <c r="D288" s="3" t="str">
        <f>IFERROR(__xludf.DUMMYFUNCTION("if(isblank(B288),,ifna(textjoin(""; "",,filter('On Hand'!E:E,'On Hand'!A:A=A288)),ifna(xlookup(A288,'On Hand'!A:A,'On Hand'!E:E,),)))"),"")</f>
        <v/>
      </c>
    </row>
    <row r="289">
      <c r="A289" s="3" t="str">
        <f t="array" ref="A289">ifna(_xlfn.xlookup(B289,'All Item Code'!B:B,'All Item Code'!A:A,),)</f>
        <v/>
      </c>
      <c r="B289" s="3"/>
      <c r="C289" s="3" t="str">
        <f t="array" ref="C289">if(B289="Tidak Ada",,if(isblank(B289),,ifna(sumif('On Hand'!A:A,A289,'On Hand'!D:D)&amp;" "&amp;_xlfn.xlookup(A289,'All Item Code'!A:A,'All Item Code'!D:D,),0)))</f>
        <v/>
      </c>
      <c r="D289" s="3" t="str">
        <f>IFERROR(__xludf.DUMMYFUNCTION("if(isblank(B289),,ifna(textjoin(""; "",,filter('On Hand'!E:E,'On Hand'!A:A=A289)),ifna(xlookup(A289,'On Hand'!A:A,'On Hand'!E:E,),)))"),"")</f>
        <v/>
      </c>
    </row>
    <row r="290">
      <c r="A290" s="3" t="str">
        <f t="array" ref="A290">ifna(_xlfn.xlookup(B290,'All Item Code'!B:B,'All Item Code'!A:A,),)</f>
        <v/>
      </c>
      <c r="B290" s="3"/>
      <c r="C290" s="3" t="str">
        <f t="array" ref="C290">if(B290="Tidak Ada",,if(isblank(B290),,ifna(sumif('On Hand'!A:A,A290,'On Hand'!D:D)&amp;" "&amp;_xlfn.xlookup(A290,'All Item Code'!A:A,'All Item Code'!D:D,),0)))</f>
        <v/>
      </c>
      <c r="D290" s="3" t="str">
        <f>IFERROR(__xludf.DUMMYFUNCTION("if(isblank(B290),,ifna(textjoin(""; "",,filter('On Hand'!E:E,'On Hand'!A:A=A290)),ifna(xlookup(A290,'On Hand'!A:A,'On Hand'!E:E,),)))"),"")</f>
        <v/>
      </c>
    </row>
    <row r="291">
      <c r="A291" s="3" t="str">
        <f t="array" ref="A291">ifna(_xlfn.xlookup(B291,'All Item Code'!B:B,'All Item Code'!A:A,),)</f>
        <v/>
      </c>
      <c r="B291" s="3"/>
      <c r="C291" s="3" t="str">
        <f t="array" ref="C291">if(B291="Tidak Ada",,if(isblank(B291),,ifna(sumif('On Hand'!A:A,A291,'On Hand'!D:D)&amp;" "&amp;_xlfn.xlookup(A291,'All Item Code'!A:A,'All Item Code'!D:D,),0)))</f>
        <v/>
      </c>
      <c r="D291" s="3" t="str">
        <f>IFERROR(__xludf.DUMMYFUNCTION("if(isblank(B291),,ifna(textjoin(""; "",,filter('On Hand'!E:E,'On Hand'!A:A=A291)),ifna(xlookup(A291,'On Hand'!A:A,'On Hand'!E:E,),)))"),"")</f>
        <v/>
      </c>
    </row>
    <row r="292">
      <c r="A292" s="3" t="str">
        <f t="array" ref="A292">ifna(_xlfn.xlookup(B292,'All Item Code'!B:B,'All Item Code'!A:A,),)</f>
        <v/>
      </c>
      <c r="B292" s="3"/>
      <c r="C292" s="3" t="str">
        <f t="array" ref="C292">if(B292="Tidak Ada",,if(isblank(B292),,ifna(sumif('On Hand'!A:A,A292,'On Hand'!D:D)&amp;" "&amp;_xlfn.xlookup(A292,'All Item Code'!A:A,'All Item Code'!D:D,),0)))</f>
        <v/>
      </c>
      <c r="D292" s="3" t="str">
        <f>IFERROR(__xludf.DUMMYFUNCTION("if(isblank(B292),,ifna(textjoin(""; "",,filter('On Hand'!E:E,'On Hand'!A:A=A292)),ifna(xlookup(A292,'On Hand'!A:A,'On Hand'!E:E,),)))"),"")</f>
        <v/>
      </c>
    </row>
    <row r="293">
      <c r="A293" s="3" t="str">
        <f t="array" ref="A293">ifna(_xlfn.xlookup(B293,'All Item Code'!B:B,'All Item Code'!A:A,),)</f>
        <v/>
      </c>
      <c r="B293" s="3"/>
      <c r="C293" s="3" t="str">
        <f t="array" ref="C293">if(B293="Tidak Ada",,if(isblank(B293),,ifna(sumif('On Hand'!A:A,A293,'On Hand'!D:D)&amp;" "&amp;_xlfn.xlookup(A293,'All Item Code'!A:A,'All Item Code'!D:D,),0)))</f>
        <v/>
      </c>
      <c r="D293" s="3" t="str">
        <f>IFERROR(__xludf.DUMMYFUNCTION("if(isblank(B293),,ifna(textjoin(""; "",,filter('On Hand'!E:E,'On Hand'!A:A=A293)),ifna(xlookup(A293,'On Hand'!A:A,'On Hand'!E:E,),)))"),"")</f>
        <v/>
      </c>
    </row>
    <row r="294">
      <c r="A294" s="3" t="str">
        <f t="array" ref="A294">ifna(_xlfn.xlookup(B294,'All Item Code'!B:B,'All Item Code'!A:A,),)</f>
        <v/>
      </c>
      <c r="B294" s="3"/>
      <c r="C294" s="3" t="str">
        <f t="array" ref="C294">if(B294="Tidak Ada",,if(isblank(B294),,ifna(sumif('On Hand'!A:A,A294,'On Hand'!D:D)&amp;" "&amp;_xlfn.xlookup(A294,'All Item Code'!A:A,'All Item Code'!D:D,),0)))</f>
        <v/>
      </c>
      <c r="D294" s="3" t="str">
        <f>IFERROR(__xludf.DUMMYFUNCTION("if(isblank(B294),,ifna(textjoin(""; "",,filter('On Hand'!E:E,'On Hand'!A:A=A294)),ifna(xlookup(A294,'On Hand'!A:A,'On Hand'!E:E,),)))"),"")</f>
        <v/>
      </c>
    </row>
    <row r="295">
      <c r="A295" s="3" t="str">
        <f t="array" ref="A295">ifna(_xlfn.xlookup(B295,'All Item Code'!B:B,'All Item Code'!A:A,),)</f>
        <v/>
      </c>
      <c r="B295" s="3"/>
      <c r="C295" s="3" t="str">
        <f t="array" ref="C295">if(B295="Tidak Ada",,if(isblank(B295),,ifna(sumif('On Hand'!A:A,A295,'On Hand'!D:D)&amp;" "&amp;_xlfn.xlookup(A295,'All Item Code'!A:A,'All Item Code'!D:D,),0)))</f>
        <v/>
      </c>
      <c r="D295" s="3" t="str">
        <f>IFERROR(__xludf.DUMMYFUNCTION("if(isblank(B295),,ifna(textjoin(""; "",,filter('On Hand'!E:E,'On Hand'!A:A=A295)),ifna(xlookup(A295,'On Hand'!A:A,'On Hand'!E:E,),)))"),"")</f>
        <v/>
      </c>
    </row>
    <row r="296">
      <c r="A296" s="3" t="str">
        <f t="array" ref="A296">ifna(_xlfn.xlookup(B296,'All Item Code'!B:B,'All Item Code'!A:A,),)</f>
        <v/>
      </c>
      <c r="B296" s="3"/>
      <c r="C296" s="3" t="str">
        <f t="array" ref="C296">if(B296="Tidak Ada",,if(isblank(B296),,ifna(sumif('On Hand'!A:A,A296,'On Hand'!D:D)&amp;" "&amp;_xlfn.xlookup(A296,'All Item Code'!A:A,'All Item Code'!D:D,),0)))</f>
        <v/>
      </c>
      <c r="D296" s="3" t="str">
        <f>IFERROR(__xludf.DUMMYFUNCTION("if(isblank(B296),,ifna(textjoin(""; "",,filter('On Hand'!E:E,'On Hand'!A:A=A296)),ifna(xlookup(A296,'On Hand'!A:A,'On Hand'!E:E,),)))"),"")</f>
        <v/>
      </c>
    </row>
    <row r="297">
      <c r="A297" s="3" t="str">
        <f t="array" ref="A297">ifna(_xlfn.xlookup(B297,'All Item Code'!B:B,'All Item Code'!A:A,),)</f>
        <v/>
      </c>
      <c r="B297" s="3"/>
      <c r="C297" s="3" t="str">
        <f t="array" ref="C297">if(B297="Tidak Ada",,if(isblank(B297),,ifna(sumif('On Hand'!A:A,A297,'On Hand'!D:D)&amp;" "&amp;_xlfn.xlookup(A297,'All Item Code'!A:A,'All Item Code'!D:D,),0)))</f>
        <v/>
      </c>
      <c r="D297" s="3" t="str">
        <f>IFERROR(__xludf.DUMMYFUNCTION("if(isblank(B297),,ifna(textjoin(""; "",,filter('On Hand'!E:E,'On Hand'!A:A=A297)),ifna(xlookup(A297,'On Hand'!A:A,'On Hand'!E:E,),)))"),"")</f>
        <v/>
      </c>
    </row>
    <row r="298">
      <c r="A298" s="3" t="str">
        <f t="array" ref="A298">ifna(_xlfn.xlookup(B298,'All Item Code'!B:B,'All Item Code'!A:A,),)</f>
        <v/>
      </c>
      <c r="B298" s="3"/>
      <c r="C298" s="3" t="str">
        <f t="array" ref="C298">if(B298="Tidak Ada",,if(isblank(B298),,ifna(sumif('On Hand'!A:A,A298,'On Hand'!D:D)&amp;" "&amp;_xlfn.xlookup(A298,'All Item Code'!A:A,'All Item Code'!D:D,),0)))</f>
        <v/>
      </c>
      <c r="D298" s="3" t="str">
        <f>IFERROR(__xludf.DUMMYFUNCTION("if(isblank(B298),,ifna(textjoin(""; "",,filter('On Hand'!E:E,'On Hand'!A:A=A298)),ifna(xlookup(A298,'On Hand'!A:A,'On Hand'!E:E,),)))"),"")</f>
        <v/>
      </c>
    </row>
    <row r="299">
      <c r="A299" s="3" t="str">
        <f t="array" ref="A299">ifna(_xlfn.xlookup(B299,'All Item Code'!B:B,'All Item Code'!A:A,),)</f>
        <v/>
      </c>
      <c r="B299" s="3"/>
      <c r="C299" s="3" t="str">
        <f t="array" ref="C299">if(B299="Tidak Ada",,if(isblank(B299),,ifna(sumif('On Hand'!A:A,A299,'On Hand'!D:D)&amp;" "&amp;_xlfn.xlookup(A299,'All Item Code'!A:A,'All Item Code'!D:D,),0)))</f>
        <v/>
      </c>
      <c r="D299" s="3" t="str">
        <f>IFERROR(__xludf.DUMMYFUNCTION("if(isblank(B299),,ifna(textjoin(""; "",,filter('On Hand'!E:E,'On Hand'!A:A=A299)),ifna(xlookup(A299,'On Hand'!A:A,'On Hand'!E:E,),)))"),"")</f>
        <v/>
      </c>
    </row>
    <row r="300">
      <c r="A300" s="3" t="str">
        <f t="array" ref="A300">ifna(_xlfn.xlookup(B300,'All Item Code'!B:B,'All Item Code'!A:A,),)</f>
        <v/>
      </c>
      <c r="B300" s="3"/>
      <c r="C300" s="3" t="str">
        <f t="array" ref="C300">if(B300="Tidak Ada",,if(isblank(B300),,ifna(sumif('On Hand'!A:A,A300,'On Hand'!D:D)&amp;" "&amp;_xlfn.xlookup(A300,'All Item Code'!A:A,'All Item Code'!D:D,),0)))</f>
        <v/>
      </c>
      <c r="D300" s="3" t="str">
        <f>IFERROR(__xludf.DUMMYFUNCTION("if(isblank(B300),,ifna(textjoin(""; "",,filter('On Hand'!E:E,'On Hand'!A:A=A300)),ifna(xlookup(A300,'On Hand'!A:A,'On Hand'!E:E,),)))"),"")</f>
        <v/>
      </c>
    </row>
    <row r="301">
      <c r="A301" s="3" t="str">
        <f t="array" ref="A301">ifna(_xlfn.xlookup(B301,'All Item Code'!B:B,'All Item Code'!A:A,),)</f>
        <v/>
      </c>
      <c r="B301" s="3"/>
      <c r="C301" s="3" t="str">
        <f t="array" ref="C301">if(B301="Tidak Ada",,if(isblank(B301),,ifna(sumif('On Hand'!A:A,A301,'On Hand'!D:D)&amp;" "&amp;_xlfn.xlookup(A301,'All Item Code'!A:A,'All Item Code'!D:D,),0)))</f>
        <v/>
      </c>
      <c r="D301" s="3" t="str">
        <f>IFERROR(__xludf.DUMMYFUNCTION("if(isblank(B301),,ifna(textjoin(""; "",,filter('On Hand'!E:E,'On Hand'!A:A=A301)),ifna(xlookup(A301,'On Hand'!A:A,'On Hand'!E:E,),)))"),"")</f>
        <v/>
      </c>
    </row>
    <row r="302">
      <c r="A302" s="3" t="str">
        <f t="array" ref="A302">ifna(_xlfn.xlookup(B302,'All Item Code'!B:B,'All Item Code'!A:A,),)</f>
        <v/>
      </c>
      <c r="B302" s="3"/>
      <c r="C302" s="3" t="str">
        <f t="array" ref="C302">if(B302="Tidak Ada",,if(isblank(B302),,ifna(sumif('On Hand'!A:A,A302,'On Hand'!D:D)&amp;" "&amp;_xlfn.xlookup(A302,'All Item Code'!A:A,'All Item Code'!D:D,),0)))</f>
        <v/>
      </c>
      <c r="D302" s="3" t="str">
        <f>IFERROR(__xludf.DUMMYFUNCTION("if(isblank(B302),,ifna(textjoin(""; "",,filter('On Hand'!E:E,'On Hand'!A:A=A302)),ifna(xlookup(A302,'On Hand'!A:A,'On Hand'!E:E,),)))"),"")</f>
        <v/>
      </c>
    </row>
    <row r="303">
      <c r="A303" s="3" t="str">
        <f t="array" ref="A303">ifna(_xlfn.xlookup(B303,'All Item Code'!B:B,'All Item Code'!A:A,),)</f>
        <v/>
      </c>
      <c r="B303" s="3"/>
      <c r="C303" s="3" t="str">
        <f t="array" ref="C303">if(B303="Tidak Ada",,if(isblank(B303),,ifna(sumif('On Hand'!A:A,A303,'On Hand'!D:D)&amp;" "&amp;_xlfn.xlookup(A303,'All Item Code'!A:A,'All Item Code'!D:D,),0)))</f>
        <v/>
      </c>
      <c r="D303" s="3" t="str">
        <f>IFERROR(__xludf.DUMMYFUNCTION("if(isblank(B303),,ifna(textjoin(""; "",,filter('On Hand'!E:E,'On Hand'!A:A=A303)),ifna(xlookup(A303,'On Hand'!A:A,'On Hand'!E:E,),)))"),"")</f>
        <v/>
      </c>
    </row>
    <row r="304">
      <c r="A304" s="3" t="str">
        <f t="array" ref="A304">ifna(_xlfn.xlookup(B304,'All Item Code'!B:B,'All Item Code'!A:A,),)</f>
        <v/>
      </c>
      <c r="B304" s="3"/>
      <c r="C304" s="3" t="str">
        <f t="array" ref="C304">if(B304="Tidak Ada",,if(isblank(B304),,ifna(sumif('On Hand'!A:A,A304,'On Hand'!D:D)&amp;" "&amp;_xlfn.xlookup(A304,'All Item Code'!A:A,'All Item Code'!D:D,),0)))</f>
        <v/>
      </c>
      <c r="D304" s="3" t="str">
        <f>IFERROR(__xludf.DUMMYFUNCTION("if(isblank(B304),,ifna(textjoin(""; "",,filter('On Hand'!E:E,'On Hand'!A:A=A304)),ifna(xlookup(A304,'On Hand'!A:A,'On Hand'!E:E,),)))"),"")</f>
        <v/>
      </c>
    </row>
    <row r="305">
      <c r="A305" s="3" t="str">
        <f t="array" ref="A305">ifna(_xlfn.xlookup(B305,'All Item Code'!B:B,'All Item Code'!A:A,),)</f>
        <v/>
      </c>
      <c r="B305" s="3"/>
      <c r="C305" s="3" t="str">
        <f t="array" ref="C305">if(B305="Tidak Ada",,if(isblank(B305),,ifna(sumif('On Hand'!A:A,A305,'On Hand'!D:D)&amp;" "&amp;_xlfn.xlookup(A305,'All Item Code'!A:A,'All Item Code'!D:D,),0)))</f>
        <v/>
      </c>
      <c r="D305" s="3" t="str">
        <f>IFERROR(__xludf.DUMMYFUNCTION("if(isblank(B305),,ifna(textjoin(""; "",,filter('On Hand'!E:E,'On Hand'!A:A=A305)),ifna(xlookup(A305,'On Hand'!A:A,'On Hand'!E:E,),)))"),"")</f>
        <v/>
      </c>
    </row>
    <row r="306">
      <c r="A306" s="3" t="str">
        <f t="array" ref="A306">ifna(_xlfn.xlookup(B306,'All Item Code'!B:B,'All Item Code'!A:A,),)</f>
        <v/>
      </c>
      <c r="B306" s="3"/>
      <c r="C306" s="3" t="str">
        <f t="array" ref="C306">if(B306="Tidak Ada",,if(isblank(B306),,ifna(sumif('On Hand'!A:A,A306,'On Hand'!D:D)&amp;" "&amp;_xlfn.xlookup(A306,'All Item Code'!A:A,'All Item Code'!D:D,),0)))</f>
        <v/>
      </c>
      <c r="D306" s="3" t="str">
        <f>IFERROR(__xludf.DUMMYFUNCTION("if(isblank(B306),,ifna(textjoin(""; "",,filter('On Hand'!E:E,'On Hand'!A:A=A306)),ifna(xlookup(A306,'On Hand'!A:A,'On Hand'!E:E,),)))"),"")</f>
        <v/>
      </c>
    </row>
    <row r="307">
      <c r="A307" s="3" t="str">
        <f t="array" ref="A307">ifna(_xlfn.xlookup(B307,'All Item Code'!B:B,'All Item Code'!A:A,),)</f>
        <v/>
      </c>
      <c r="B307" s="3"/>
      <c r="C307" s="3" t="str">
        <f t="array" ref="C307">if(B307="Tidak Ada",,if(isblank(B307),,ifna(sumif('On Hand'!A:A,A307,'On Hand'!D:D)&amp;" "&amp;_xlfn.xlookup(A307,'All Item Code'!A:A,'All Item Code'!D:D,),0)))</f>
        <v/>
      </c>
      <c r="D307" s="3" t="str">
        <f>IFERROR(__xludf.DUMMYFUNCTION("if(isblank(B307),,ifna(textjoin(""; "",,filter('On Hand'!E:E,'On Hand'!A:A=A307)),ifna(xlookup(A307,'On Hand'!A:A,'On Hand'!E:E,),)))"),"")</f>
        <v/>
      </c>
    </row>
    <row r="308">
      <c r="A308" s="3" t="str">
        <f t="array" ref="A308">ifna(_xlfn.xlookup(B308,'All Item Code'!B:B,'All Item Code'!A:A,),)</f>
        <v/>
      </c>
      <c r="B308" s="3"/>
      <c r="C308" s="3" t="str">
        <f t="array" ref="C308">if(B308="Tidak Ada",,if(isblank(B308),,ifna(sumif('On Hand'!A:A,A308,'On Hand'!D:D)&amp;" "&amp;_xlfn.xlookup(A308,'All Item Code'!A:A,'All Item Code'!D:D,),0)))</f>
        <v/>
      </c>
      <c r="D308" s="3" t="str">
        <f>IFERROR(__xludf.DUMMYFUNCTION("if(isblank(B308),,ifna(textjoin(""; "",,filter('On Hand'!E:E,'On Hand'!A:A=A308)),ifna(xlookup(A308,'On Hand'!A:A,'On Hand'!E:E,),)))"),"")</f>
        <v/>
      </c>
    </row>
    <row r="309">
      <c r="A309" s="3" t="str">
        <f t="array" ref="A309">ifna(_xlfn.xlookup(B309,'All Item Code'!B:B,'All Item Code'!A:A,),)</f>
        <v/>
      </c>
      <c r="B309" s="3"/>
      <c r="C309" s="3" t="str">
        <f t="array" ref="C309">if(B309="Tidak Ada",,if(isblank(B309),,ifna(sumif('On Hand'!A:A,A309,'On Hand'!D:D)&amp;" "&amp;_xlfn.xlookup(A309,'All Item Code'!A:A,'All Item Code'!D:D,),0)))</f>
        <v/>
      </c>
      <c r="D309" s="3" t="str">
        <f>IFERROR(__xludf.DUMMYFUNCTION("if(isblank(B309),,ifna(textjoin(""; "",,filter('On Hand'!E:E,'On Hand'!A:A=A309)),ifna(xlookup(A309,'On Hand'!A:A,'On Hand'!E:E,),)))"),"")</f>
        <v/>
      </c>
    </row>
    <row r="310">
      <c r="A310" s="3" t="str">
        <f t="array" ref="A310">ifna(_xlfn.xlookup(B310,'All Item Code'!B:B,'All Item Code'!A:A,),)</f>
        <v/>
      </c>
      <c r="B310" s="3"/>
      <c r="C310" s="3" t="str">
        <f t="array" ref="C310">if(B310="Tidak Ada",,if(isblank(B310),,ifna(sumif('On Hand'!A:A,A310,'On Hand'!D:D)&amp;" "&amp;_xlfn.xlookup(A310,'All Item Code'!A:A,'All Item Code'!D:D,),0)))</f>
        <v/>
      </c>
      <c r="D310" s="3" t="str">
        <f>IFERROR(__xludf.DUMMYFUNCTION("if(isblank(B310),,ifna(textjoin(""; "",,filter('On Hand'!E:E,'On Hand'!A:A=A310)),ifna(xlookup(A310,'On Hand'!A:A,'On Hand'!E:E,),)))"),"")</f>
        <v/>
      </c>
    </row>
    <row r="311">
      <c r="A311" s="3" t="str">
        <f t="array" ref="A311">ifna(_xlfn.xlookup(B311,'All Item Code'!B:B,'All Item Code'!A:A,),)</f>
        <v/>
      </c>
      <c r="B311" s="3"/>
      <c r="C311" s="3" t="str">
        <f t="array" ref="C311">if(B311="Tidak Ada",,if(isblank(B311),,ifna(sumif('On Hand'!A:A,A311,'On Hand'!D:D)&amp;" "&amp;_xlfn.xlookup(A311,'All Item Code'!A:A,'All Item Code'!D:D,),0)))</f>
        <v/>
      </c>
      <c r="D311" s="3" t="str">
        <f>IFERROR(__xludf.DUMMYFUNCTION("if(isblank(B311),,ifna(textjoin(""; "",,filter('On Hand'!E:E,'On Hand'!A:A=A311)),ifna(xlookup(A311,'On Hand'!A:A,'On Hand'!E:E,),)))"),"")</f>
        <v/>
      </c>
    </row>
    <row r="312">
      <c r="A312" s="3" t="str">
        <f t="array" ref="A312">ifna(_xlfn.xlookup(B312,'All Item Code'!B:B,'All Item Code'!A:A,),)</f>
        <v/>
      </c>
      <c r="B312" s="3"/>
      <c r="C312" s="3" t="str">
        <f t="array" ref="C312">if(B312="Tidak Ada",,if(isblank(B312),,ifna(sumif('On Hand'!A:A,A312,'On Hand'!D:D)&amp;" "&amp;_xlfn.xlookup(A312,'All Item Code'!A:A,'All Item Code'!D:D,),0)))</f>
        <v/>
      </c>
      <c r="D312" s="3" t="str">
        <f>IFERROR(__xludf.DUMMYFUNCTION("if(isblank(B312),,ifna(textjoin(""; "",,filter('On Hand'!E:E,'On Hand'!A:A=A312)),ifna(xlookup(A312,'On Hand'!A:A,'On Hand'!E:E,),)))"),"")</f>
        <v/>
      </c>
    </row>
    <row r="313">
      <c r="A313" s="3" t="str">
        <f t="array" ref="A313">ifna(_xlfn.xlookup(B313,'All Item Code'!B:B,'All Item Code'!A:A,),)</f>
        <v/>
      </c>
      <c r="B313" s="3"/>
      <c r="C313" s="3" t="str">
        <f t="array" ref="C313">if(B313="Tidak Ada",,if(isblank(B313),,ifna(sumif('On Hand'!A:A,A313,'On Hand'!D:D)&amp;" "&amp;_xlfn.xlookup(A313,'All Item Code'!A:A,'All Item Code'!D:D,),0)))</f>
        <v/>
      </c>
      <c r="D313" s="3" t="str">
        <f>IFERROR(__xludf.DUMMYFUNCTION("if(isblank(B313),,ifna(textjoin(""; "",,filter('On Hand'!E:E,'On Hand'!A:A=A313)),ifna(xlookup(A313,'On Hand'!A:A,'On Hand'!E:E,),)))"),"")</f>
        <v/>
      </c>
    </row>
    <row r="314">
      <c r="A314" s="3" t="str">
        <f t="array" ref="A314">ifna(_xlfn.xlookup(B314,'All Item Code'!B:B,'All Item Code'!A:A,),)</f>
        <v/>
      </c>
      <c r="B314" s="3"/>
      <c r="C314" s="3" t="str">
        <f t="array" ref="C314">if(B314="Tidak Ada",,if(isblank(B314),,ifna(sumif('On Hand'!A:A,A314,'On Hand'!D:D)&amp;" "&amp;_xlfn.xlookup(A314,'All Item Code'!A:A,'All Item Code'!D:D,),0)))</f>
        <v/>
      </c>
      <c r="D314" s="3" t="str">
        <f>IFERROR(__xludf.DUMMYFUNCTION("if(isblank(B314),,ifna(textjoin(""; "",,filter('On Hand'!E:E,'On Hand'!A:A=A314)),ifna(xlookup(A314,'On Hand'!A:A,'On Hand'!E:E,),)))"),"")</f>
        <v/>
      </c>
    </row>
    <row r="315">
      <c r="A315" s="3" t="str">
        <f t="array" ref="A315">ifna(_xlfn.xlookup(B315,'All Item Code'!B:B,'All Item Code'!A:A,),)</f>
        <v/>
      </c>
      <c r="B315" s="3"/>
      <c r="C315" s="3" t="str">
        <f t="array" ref="C315">if(B315="Tidak Ada",,if(isblank(B315),,ifna(sumif('On Hand'!A:A,A315,'On Hand'!D:D)&amp;" "&amp;_xlfn.xlookup(A315,'All Item Code'!A:A,'All Item Code'!D:D,),0)))</f>
        <v/>
      </c>
      <c r="D315" s="3" t="str">
        <f>IFERROR(__xludf.DUMMYFUNCTION("if(isblank(B315),,ifna(textjoin(""; "",,filter('On Hand'!E:E,'On Hand'!A:A=A315)),ifna(xlookup(A315,'On Hand'!A:A,'On Hand'!E:E,),)))"),"")</f>
        <v/>
      </c>
    </row>
    <row r="316">
      <c r="A316" s="3" t="str">
        <f t="array" ref="A316">ifna(_xlfn.xlookup(B316,'All Item Code'!B:B,'All Item Code'!A:A,),)</f>
        <v/>
      </c>
      <c r="B316" s="3"/>
      <c r="C316" s="3" t="str">
        <f t="array" ref="C316">if(B316="Tidak Ada",,if(isblank(B316),,ifna(sumif('On Hand'!A:A,A316,'On Hand'!D:D)&amp;" "&amp;_xlfn.xlookup(A316,'All Item Code'!A:A,'All Item Code'!D:D,),0)))</f>
        <v/>
      </c>
      <c r="D316" s="3" t="str">
        <f>IFERROR(__xludf.DUMMYFUNCTION("if(isblank(B316),,ifna(textjoin(""; "",,filter('On Hand'!E:E,'On Hand'!A:A=A316)),ifna(xlookup(A316,'On Hand'!A:A,'On Hand'!E:E,),)))"),"")</f>
        <v/>
      </c>
    </row>
    <row r="317">
      <c r="A317" s="3" t="str">
        <f t="array" ref="A317">ifna(_xlfn.xlookup(B317,'All Item Code'!B:B,'All Item Code'!A:A,),)</f>
        <v/>
      </c>
      <c r="B317" s="3"/>
      <c r="C317" s="3" t="str">
        <f t="array" ref="C317">if(B317="Tidak Ada",,if(isblank(B317),,ifna(sumif('On Hand'!A:A,A317,'On Hand'!D:D)&amp;" "&amp;_xlfn.xlookup(A317,'All Item Code'!A:A,'All Item Code'!D:D,),0)))</f>
        <v/>
      </c>
      <c r="D317" s="3" t="str">
        <f>IFERROR(__xludf.DUMMYFUNCTION("if(isblank(B317),,ifna(textjoin(""; "",,filter('On Hand'!E:E,'On Hand'!A:A=A317)),ifna(xlookup(A317,'On Hand'!A:A,'On Hand'!E:E,),)))"),"")</f>
        <v/>
      </c>
    </row>
    <row r="318">
      <c r="A318" s="3" t="str">
        <f t="array" ref="A318">ifna(_xlfn.xlookup(B318,'All Item Code'!B:B,'All Item Code'!A:A,),)</f>
        <v/>
      </c>
      <c r="B318" s="3"/>
      <c r="C318" s="3" t="str">
        <f t="array" ref="C318">if(B318="Tidak Ada",,if(isblank(B318),,ifna(sumif('On Hand'!A:A,A318,'On Hand'!D:D)&amp;" "&amp;_xlfn.xlookup(A318,'All Item Code'!A:A,'All Item Code'!D:D,),0)))</f>
        <v/>
      </c>
      <c r="D318" s="3" t="str">
        <f>IFERROR(__xludf.DUMMYFUNCTION("if(isblank(B318),,ifna(textjoin(""; "",,filter('On Hand'!E:E,'On Hand'!A:A=A318)),ifna(xlookup(A318,'On Hand'!A:A,'On Hand'!E:E,),)))"),"")</f>
        <v/>
      </c>
    </row>
    <row r="319">
      <c r="A319" s="3" t="str">
        <f t="array" ref="A319">ifna(_xlfn.xlookup(B319,'All Item Code'!B:B,'All Item Code'!A:A,),)</f>
        <v/>
      </c>
      <c r="B319" s="3"/>
      <c r="C319" s="3" t="str">
        <f t="array" ref="C319">if(B319="Tidak Ada",,if(isblank(B319),,ifna(sumif('On Hand'!A:A,A319,'On Hand'!D:D)&amp;" "&amp;_xlfn.xlookup(A319,'All Item Code'!A:A,'All Item Code'!D:D,),0)))</f>
        <v/>
      </c>
      <c r="D319" s="3" t="str">
        <f>IFERROR(__xludf.DUMMYFUNCTION("if(isblank(B319),,ifna(textjoin(""; "",,filter('On Hand'!E:E,'On Hand'!A:A=A319)),ifna(xlookup(A319,'On Hand'!A:A,'On Hand'!E:E,),)))"),"")</f>
        <v/>
      </c>
    </row>
    <row r="320">
      <c r="A320" s="3" t="str">
        <f t="array" ref="A320">ifna(_xlfn.xlookup(B320,'All Item Code'!B:B,'All Item Code'!A:A,),)</f>
        <v/>
      </c>
      <c r="B320" s="3"/>
      <c r="C320" s="3" t="str">
        <f t="array" ref="C320">if(B320="Tidak Ada",,if(isblank(B320),,ifna(sumif('On Hand'!A:A,A320,'On Hand'!D:D)&amp;" "&amp;_xlfn.xlookup(A320,'All Item Code'!A:A,'All Item Code'!D:D,),0)))</f>
        <v/>
      </c>
      <c r="D320" s="3" t="str">
        <f>IFERROR(__xludf.DUMMYFUNCTION("if(isblank(B320),,ifna(textjoin(""; "",,filter('On Hand'!E:E,'On Hand'!A:A=A320)),ifna(xlookup(A320,'On Hand'!A:A,'On Hand'!E:E,),)))"),"")</f>
        <v/>
      </c>
    </row>
    <row r="321">
      <c r="A321" s="3" t="str">
        <f t="array" ref="A321">ifna(_xlfn.xlookup(B321,'All Item Code'!B:B,'All Item Code'!A:A,),)</f>
        <v/>
      </c>
      <c r="B321" s="3"/>
      <c r="C321" s="3" t="str">
        <f t="array" ref="C321">if(B321="Tidak Ada",,if(isblank(B321),,ifna(sumif('On Hand'!A:A,A321,'On Hand'!D:D)&amp;" "&amp;_xlfn.xlookup(A321,'All Item Code'!A:A,'All Item Code'!D:D,),0)))</f>
        <v/>
      </c>
      <c r="D321" s="3" t="str">
        <f>IFERROR(__xludf.DUMMYFUNCTION("if(isblank(B321),,ifna(textjoin(""; "",,filter('On Hand'!E:E,'On Hand'!A:A=A321)),ifna(xlookup(A321,'On Hand'!A:A,'On Hand'!E:E,),)))"),"")</f>
        <v/>
      </c>
    </row>
    <row r="322">
      <c r="A322" s="3" t="str">
        <f t="array" ref="A322">ifna(_xlfn.xlookup(B322,'All Item Code'!B:B,'All Item Code'!A:A,),)</f>
        <v/>
      </c>
      <c r="B322" s="3"/>
      <c r="C322" s="3" t="str">
        <f t="array" ref="C322">if(B322="Tidak Ada",,if(isblank(B322),,ifna(sumif('On Hand'!A:A,A322,'On Hand'!D:D)&amp;" "&amp;_xlfn.xlookup(A322,'All Item Code'!A:A,'All Item Code'!D:D,),0)))</f>
        <v/>
      </c>
      <c r="D322" s="3" t="str">
        <f>IFERROR(__xludf.DUMMYFUNCTION("if(isblank(B322),,ifna(textjoin(""; "",,filter('On Hand'!E:E,'On Hand'!A:A=A322)),ifna(xlookup(A322,'On Hand'!A:A,'On Hand'!E:E,),)))"),"")</f>
        <v/>
      </c>
    </row>
    <row r="323">
      <c r="A323" s="3" t="str">
        <f t="array" ref="A323">ifna(_xlfn.xlookup(B323,'All Item Code'!B:B,'All Item Code'!A:A,),)</f>
        <v/>
      </c>
      <c r="B323" s="3"/>
      <c r="C323" s="3" t="str">
        <f t="array" ref="C323">if(B323="Tidak Ada",,if(isblank(B323),,ifna(sumif('On Hand'!A:A,A323,'On Hand'!D:D)&amp;" "&amp;_xlfn.xlookup(A323,'All Item Code'!A:A,'All Item Code'!D:D,),0)))</f>
        <v/>
      </c>
      <c r="D323" s="3" t="str">
        <f>IFERROR(__xludf.DUMMYFUNCTION("if(isblank(B323),,ifna(textjoin(""; "",,filter('On Hand'!E:E,'On Hand'!A:A=A323)),ifna(xlookup(A323,'On Hand'!A:A,'On Hand'!E:E,),)))"),"")</f>
        <v/>
      </c>
    </row>
    <row r="324">
      <c r="A324" s="3" t="str">
        <f t="array" ref="A324">ifna(_xlfn.xlookup(B324,'All Item Code'!B:B,'All Item Code'!A:A,),)</f>
        <v/>
      </c>
      <c r="B324" s="3"/>
      <c r="C324" s="3" t="str">
        <f t="array" ref="C324">if(B324="Tidak Ada",,if(isblank(B324),,ifna(sumif('On Hand'!A:A,A324,'On Hand'!D:D)&amp;" "&amp;_xlfn.xlookup(A324,'All Item Code'!A:A,'All Item Code'!D:D,),0)))</f>
        <v/>
      </c>
      <c r="D324" s="3" t="str">
        <f>IFERROR(__xludf.DUMMYFUNCTION("if(isblank(B324),,ifna(textjoin(""; "",,filter('On Hand'!E:E,'On Hand'!A:A=A324)),ifna(xlookup(A324,'On Hand'!A:A,'On Hand'!E:E,),)))"),"")</f>
        <v/>
      </c>
    </row>
    <row r="325">
      <c r="A325" s="3" t="str">
        <f t="array" ref="A325">ifna(_xlfn.xlookup(B325,'All Item Code'!B:B,'All Item Code'!A:A,),)</f>
        <v/>
      </c>
      <c r="B325" s="3"/>
      <c r="C325" s="3" t="str">
        <f t="array" ref="C325">if(B325="Tidak Ada",,if(isblank(B325),,ifna(sumif('On Hand'!A:A,A325,'On Hand'!D:D)&amp;" "&amp;_xlfn.xlookup(A325,'All Item Code'!A:A,'All Item Code'!D:D,),0)))</f>
        <v/>
      </c>
      <c r="D325" s="3" t="str">
        <f>IFERROR(__xludf.DUMMYFUNCTION("if(isblank(B325),,ifna(textjoin(""; "",,filter('On Hand'!E:E,'On Hand'!A:A=A325)),ifna(xlookup(A325,'On Hand'!A:A,'On Hand'!E:E,),)))"),"")</f>
        <v/>
      </c>
    </row>
    <row r="326">
      <c r="A326" s="3" t="str">
        <f t="array" ref="A326">ifna(_xlfn.xlookup(B326,'All Item Code'!B:B,'All Item Code'!A:A,),)</f>
        <v/>
      </c>
      <c r="B326" s="3"/>
      <c r="C326" s="3" t="str">
        <f t="array" ref="C326">if(B326="Tidak Ada",,if(isblank(B326),,ifna(sumif('On Hand'!A:A,A326,'On Hand'!D:D)&amp;" "&amp;_xlfn.xlookup(A326,'All Item Code'!A:A,'All Item Code'!D:D,),0)))</f>
        <v/>
      </c>
      <c r="D326" s="3" t="str">
        <f>IFERROR(__xludf.DUMMYFUNCTION("if(isblank(B326),,ifna(textjoin(""; "",,filter('On Hand'!E:E,'On Hand'!A:A=A326)),ifna(xlookup(A326,'On Hand'!A:A,'On Hand'!E:E,),)))"),"")</f>
        <v/>
      </c>
    </row>
    <row r="327">
      <c r="A327" s="3" t="str">
        <f t="array" ref="A327">ifna(_xlfn.xlookup(B327,'All Item Code'!B:B,'All Item Code'!A:A,),)</f>
        <v/>
      </c>
      <c r="B327" s="3"/>
      <c r="C327" s="3" t="str">
        <f t="array" ref="C327">if(B327="Tidak Ada",,if(isblank(B327),,ifna(sumif('On Hand'!A:A,A327,'On Hand'!D:D)&amp;" "&amp;_xlfn.xlookup(A327,'All Item Code'!A:A,'All Item Code'!D:D,),0)))</f>
        <v/>
      </c>
      <c r="D327" s="3" t="str">
        <f>IFERROR(__xludf.DUMMYFUNCTION("if(isblank(B327),,ifna(textjoin(""; "",,filter('On Hand'!E:E,'On Hand'!A:A=A327)),ifna(xlookup(A327,'On Hand'!A:A,'On Hand'!E:E,),)))"),"")</f>
        <v/>
      </c>
    </row>
    <row r="328">
      <c r="A328" s="3" t="str">
        <f t="array" ref="A328">ifna(_xlfn.xlookup(B328,'All Item Code'!B:B,'All Item Code'!A:A,),)</f>
        <v/>
      </c>
      <c r="B328" s="3"/>
      <c r="C328" s="3" t="str">
        <f t="array" ref="C328">if(B328="Tidak Ada",,if(isblank(B328),,ifna(sumif('On Hand'!A:A,A328,'On Hand'!D:D)&amp;" "&amp;_xlfn.xlookup(A328,'All Item Code'!A:A,'All Item Code'!D:D,),0)))</f>
        <v/>
      </c>
      <c r="D328" s="3" t="str">
        <f>IFERROR(__xludf.DUMMYFUNCTION("if(isblank(B328),,ifna(textjoin(""; "",,filter('On Hand'!E:E,'On Hand'!A:A=A328)),ifna(xlookup(A328,'On Hand'!A:A,'On Hand'!E:E,),)))"),"")</f>
        <v/>
      </c>
    </row>
    <row r="329">
      <c r="A329" s="3" t="str">
        <f t="array" ref="A329">ifna(_xlfn.xlookup(B329,'All Item Code'!B:B,'All Item Code'!A:A,),)</f>
        <v/>
      </c>
      <c r="B329" s="3"/>
      <c r="C329" s="3" t="str">
        <f t="array" ref="C329">if(B329="Tidak Ada",,if(isblank(B329),,ifna(sumif('On Hand'!A:A,A329,'On Hand'!D:D)&amp;" "&amp;_xlfn.xlookup(A329,'All Item Code'!A:A,'All Item Code'!D:D,),0)))</f>
        <v/>
      </c>
      <c r="D329" s="3" t="str">
        <f>IFERROR(__xludf.DUMMYFUNCTION("if(isblank(B329),,ifna(textjoin(""; "",,filter('On Hand'!E:E,'On Hand'!A:A=A329)),ifna(xlookup(A329,'On Hand'!A:A,'On Hand'!E:E,),)))"),"")</f>
        <v/>
      </c>
    </row>
    <row r="330">
      <c r="A330" s="3" t="str">
        <f t="array" ref="A330">ifna(_xlfn.xlookup(B330,'All Item Code'!B:B,'All Item Code'!A:A,),)</f>
        <v/>
      </c>
      <c r="B330" s="3"/>
      <c r="C330" s="3" t="str">
        <f t="array" ref="C330">if(B330="Tidak Ada",,if(isblank(B330),,ifna(sumif('On Hand'!A:A,A330,'On Hand'!D:D)&amp;" "&amp;_xlfn.xlookup(A330,'All Item Code'!A:A,'All Item Code'!D:D,),0)))</f>
        <v/>
      </c>
      <c r="D330" s="3" t="str">
        <f>IFERROR(__xludf.DUMMYFUNCTION("if(isblank(B330),,ifna(textjoin(""; "",,filter('On Hand'!E:E,'On Hand'!A:A=A330)),ifna(xlookup(A330,'On Hand'!A:A,'On Hand'!E:E,),)))"),"")</f>
        <v/>
      </c>
    </row>
    <row r="331">
      <c r="A331" s="3" t="str">
        <f t="array" ref="A331">ifna(_xlfn.xlookup(B331,'All Item Code'!B:B,'All Item Code'!A:A,),)</f>
        <v/>
      </c>
      <c r="B331" s="3"/>
      <c r="C331" s="3" t="str">
        <f t="array" ref="C331">if(B331="Tidak Ada",,if(isblank(B331),,ifna(sumif('On Hand'!A:A,A331,'On Hand'!D:D)&amp;" "&amp;_xlfn.xlookup(A331,'All Item Code'!A:A,'All Item Code'!D:D,),0)))</f>
        <v/>
      </c>
      <c r="D331" s="3" t="str">
        <f>IFERROR(__xludf.DUMMYFUNCTION("if(isblank(B331),,ifna(textjoin(""; "",,filter('On Hand'!E:E,'On Hand'!A:A=A331)),ifna(xlookup(A331,'On Hand'!A:A,'On Hand'!E:E,),)))"),"")</f>
        <v/>
      </c>
    </row>
    <row r="332">
      <c r="A332" s="3" t="str">
        <f t="array" ref="A332">ifna(_xlfn.xlookup(B332,'All Item Code'!B:B,'All Item Code'!A:A,),)</f>
        <v/>
      </c>
      <c r="B332" s="3"/>
      <c r="C332" s="3" t="str">
        <f t="array" ref="C332">if(B332="Tidak Ada",,if(isblank(B332),,ifna(sumif('On Hand'!A:A,A332,'On Hand'!D:D)&amp;" "&amp;_xlfn.xlookup(A332,'All Item Code'!A:A,'All Item Code'!D:D,),0)))</f>
        <v/>
      </c>
      <c r="D332" s="3" t="str">
        <f>IFERROR(__xludf.DUMMYFUNCTION("if(isblank(B332),,ifna(textjoin(""; "",,filter('On Hand'!E:E,'On Hand'!A:A=A332)),ifna(xlookup(A332,'On Hand'!A:A,'On Hand'!E:E,),)))"),"")</f>
        <v/>
      </c>
    </row>
    <row r="333">
      <c r="A333" s="3" t="str">
        <f t="array" ref="A333">ifna(_xlfn.xlookup(B333,'All Item Code'!B:B,'All Item Code'!A:A,),)</f>
        <v/>
      </c>
      <c r="B333" s="3"/>
      <c r="C333" s="3" t="str">
        <f t="array" ref="C333">if(B333="Tidak Ada",,if(isblank(B333),,ifna(sumif('On Hand'!A:A,A333,'On Hand'!D:D)&amp;" "&amp;_xlfn.xlookup(A333,'All Item Code'!A:A,'All Item Code'!D:D,),0)))</f>
        <v/>
      </c>
      <c r="D333" s="3" t="str">
        <f>IFERROR(__xludf.DUMMYFUNCTION("if(isblank(B333),,ifna(textjoin(""; "",,filter('On Hand'!E:E,'On Hand'!A:A=A333)),ifna(xlookup(A333,'On Hand'!A:A,'On Hand'!E:E,),)))"),"")</f>
        <v/>
      </c>
    </row>
    <row r="334">
      <c r="A334" s="3" t="str">
        <f t="array" ref="A334">ifna(_xlfn.xlookup(B334,'All Item Code'!B:B,'All Item Code'!A:A,),)</f>
        <v/>
      </c>
      <c r="B334" s="3"/>
      <c r="C334" s="3" t="str">
        <f t="array" ref="C334">if(B334="Tidak Ada",,if(isblank(B334),,ifna(sumif('On Hand'!A:A,A334,'On Hand'!D:D)&amp;" "&amp;_xlfn.xlookup(A334,'All Item Code'!A:A,'All Item Code'!D:D,),0)))</f>
        <v/>
      </c>
      <c r="D334" s="3" t="str">
        <f>IFERROR(__xludf.DUMMYFUNCTION("if(isblank(B334),,ifna(textjoin(""; "",,filter('On Hand'!E:E,'On Hand'!A:A=A334)),ifna(xlookup(A334,'On Hand'!A:A,'On Hand'!E:E,),)))"),"")</f>
        <v/>
      </c>
    </row>
    <row r="335">
      <c r="A335" s="3" t="str">
        <f t="array" ref="A335">ifna(_xlfn.xlookup(B335,'All Item Code'!B:B,'All Item Code'!A:A,),)</f>
        <v/>
      </c>
      <c r="B335" s="3"/>
      <c r="C335" s="3" t="str">
        <f t="array" ref="C335">if(B335="Tidak Ada",,if(isblank(B335),,ifna(sumif('On Hand'!A:A,A335,'On Hand'!D:D)&amp;" "&amp;_xlfn.xlookup(A335,'All Item Code'!A:A,'All Item Code'!D:D,),0)))</f>
        <v/>
      </c>
      <c r="D335" s="3" t="str">
        <f>IFERROR(__xludf.DUMMYFUNCTION("if(isblank(B335),,ifna(textjoin(""; "",,filter('On Hand'!E:E,'On Hand'!A:A=A335)),ifna(xlookup(A335,'On Hand'!A:A,'On Hand'!E:E,),)))"),"")</f>
        <v/>
      </c>
    </row>
    <row r="336">
      <c r="A336" s="3" t="str">
        <f t="array" ref="A336">ifna(_xlfn.xlookup(B336,'All Item Code'!B:B,'All Item Code'!A:A,),)</f>
        <v/>
      </c>
      <c r="B336" s="3"/>
      <c r="C336" s="3" t="str">
        <f t="array" ref="C336">if(B336="Tidak Ada",,if(isblank(B336),,ifna(sumif('On Hand'!A:A,A336,'On Hand'!D:D)&amp;" "&amp;_xlfn.xlookup(A336,'All Item Code'!A:A,'All Item Code'!D:D,),0)))</f>
        <v/>
      </c>
      <c r="D336" s="3" t="str">
        <f>IFERROR(__xludf.DUMMYFUNCTION("if(isblank(B336),,ifna(textjoin(""; "",,filter('On Hand'!E:E,'On Hand'!A:A=A336)),ifna(xlookup(A336,'On Hand'!A:A,'On Hand'!E:E,),)))"),"")</f>
        <v/>
      </c>
    </row>
    <row r="337">
      <c r="A337" s="3" t="str">
        <f t="array" ref="A337">ifna(_xlfn.xlookup(B337,'All Item Code'!B:B,'All Item Code'!A:A,),)</f>
        <v/>
      </c>
      <c r="B337" s="3"/>
      <c r="C337" s="3" t="str">
        <f t="array" ref="C337">if(B337="Tidak Ada",,if(isblank(B337),,ifna(sumif('On Hand'!A:A,A337,'On Hand'!D:D)&amp;" "&amp;_xlfn.xlookup(A337,'All Item Code'!A:A,'All Item Code'!D:D,),0)))</f>
        <v/>
      </c>
      <c r="D337" s="3" t="str">
        <f>IFERROR(__xludf.DUMMYFUNCTION("if(isblank(B337),,ifna(textjoin(""; "",,filter('On Hand'!E:E,'On Hand'!A:A=A337)),ifna(xlookup(A337,'On Hand'!A:A,'On Hand'!E:E,),)))"),"")</f>
        <v/>
      </c>
    </row>
    <row r="338">
      <c r="A338" s="3" t="str">
        <f t="array" ref="A338">ifna(_xlfn.xlookup(B338,'All Item Code'!B:B,'All Item Code'!A:A,),)</f>
        <v/>
      </c>
      <c r="B338" s="3"/>
      <c r="C338" s="3" t="str">
        <f t="array" ref="C338">if(B338="Tidak Ada",,if(isblank(B338),,ifna(sumif('On Hand'!A:A,A338,'On Hand'!D:D)&amp;" "&amp;_xlfn.xlookup(A338,'All Item Code'!A:A,'All Item Code'!D:D,),0)))</f>
        <v/>
      </c>
      <c r="D338" s="3" t="str">
        <f>IFERROR(__xludf.DUMMYFUNCTION("if(isblank(B338),,ifna(textjoin(""; "",,filter('On Hand'!E:E,'On Hand'!A:A=A338)),ifna(xlookup(A338,'On Hand'!A:A,'On Hand'!E:E,),)))"),"")</f>
        <v/>
      </c>
    </row>
    <row r="339">
      <c r="A339" s="3" t="str">
        <f t="array" ref="A339">ifna(_xlfn.xlookup(B339,'All Item Code'!B:B,'All Item Code'!A:A,),)</f>
        <v/>
      </c>
      <c r="B339" s="3"/>
      <c r="C339" s="3" t="str">
        <f t="array" ref="C339">if(B339="Tidak Ada",,if(isblank(B339),,ifna(sumif('On Hand'!A:A,A339,'On Hand'!D:D)&amp;" "&amp;_xlfn.xlookup(A339,'All Item Code'!A:A,'All Item Code'!D:D,),0)))</f>
        <v/>
      </c>
      <c r="D339" s="3" t="str">
        <f>IFERROR(__xludf.DUMMYFUNCTION("if(isblank(B339),,ifna(textjoin(""; "",,filter('On Hand'!E:E,'On Hand'!A:A=A339)),ifna(xlookup(A339,'On Hand'!A:A,'On Hand'!E:E,),)))"),"")</f>
        <v/>
      </c>
    </row>
    <row r="340">
      <c r="A340" s="3" t="str">
        <f t="array" ref="A340">ifna(_xlfn.xlookup(B340,'All Item Code'!B:B,'All Item Code'!A:A,),)</f>
        <v/>
      </c>
      <c r="B340" s="3"/>
      <c r="C340" s="3" t="str">
        <f t="array" ref="C340">if(B340="Tidak Ada",,if(isblank(B340),,ifna(sumif('On Hand'!A:A,A340,'On Hand'!D:D)&amp;" "&amp;_xlfn.xlookup(A340,'All Item Code'!A:A,'All Item Code'!D:D,),0)))</f>
        <v/>
      </c>
      <c r="D340" s="3" t="str">
        <f>IFERROR(__xludf.DUMMYFUNCTION("if(isblank(B340),,ifna(textjoin(""; "",,filter('On Hand'!E:E,'On Hand'!A:A=A340)),ifna(xlookup(A340,'On Hand'!A:A,'On Hand'!E:E,),)))"),"")</f>
        <v/>
      </c>
    </row>
    <row r="341">
      <c r="A341" s="3" t="str">
        <f t="array" ref="A341">ifna(_xlfn.xlookup(B341,'All Item Code'!B:B,'All Item Code'!A:A,),)</f>
        <v/>
      </c>
      <c r="B341" s="3"/>
      <c r="C341" s="3" t="str">
        <f t="array" ref="C341">if(B341="Tidak Ada",,if(isblank(B341),,ifna(sumif('On Hand'!A:A,A341,'On Hand'!D:D)&amp;" "&amp;_xlfn.xlookup(A341,'All Item Code'!A:A,'All Item Code'!D:D,),0)))</f>
        <v/>
      </c>
      <c r="D341" s="3" t="str">
        <f>IFERROR(__xludf.DUMMYFUNCTION("if(isblank(B341),,ifna(textjoin(""; "",,filter('On Hand'!E:E,'On Hand'!A:A=A341)),ifna(xlookup(A341,'On Hand'!A:A,'On Hand'!E:E,),)))"),"")</f>
        <v/>
      </c>
    </row>
    <row r="342">
      <c r="A342" s="3" t="str">
        <f t="array" ref="A342">ifna(_xlfn.xlookup(B342,'All Item Code'!B:B,'All Item Code'!A:A,),)</f>
        <v/>
      </c>
      <c r="B342" s="3"/>
      <c r="C342" s="3" t="str">
        <f t="array" ref="C342">if(B342="Tidak Ada",,if(isblank(B342),,ifna(sumif('On Hand'!A:A,A342,'On Hand'!D:D)&amp;" "&amp;_xlfn.xlookup(A342,'All Item Code'!A:A,'All Item Code'!D:D,),0)))</f>
        <v/>
      </c>
      <c r="D342" s="3" t="str">
        <f>IFERROR(__xludf.DUMMYFUNCTION("if(isblank(B342),,ifna(textjoin(""; "",,filter('On Hand'!E:E,'On Hand'!A:A=A342)),ifna(xlookup(A342,'On Hand'!A:A,'On Hand'!E:E,),)))"),"")</f>
        <v/>
      </c>
    </row>
    <row r="343">
      <c r="A343" s="3" t="str">
        <f t="array" ref="A343">ifna(_xlfn.xlookup(B343,'All Item Code'!B:B,'All Item Code'!A:A,),)</f>
        <v/>
      </c>
      <c r="B343" s="3"/>
      <c r="C343" s="3" t="str">
        <f t="array" ref="C343">if(B343="Tidak Ada",,if(isblank(B343),,ifna(sumif('On Hand'!A:A,A343,'On Hand'!D:D)&amp;" "&amp;_xlfn.xlookup(A343,'All Item Code'!A:A,'All Item Code'!D:D,),0)))</f>
        <v/>
      </c>
      <c r="D343" s="3" t="str">
        <f>IFERROR(__xludf.DUMMYFUNCTION("if(isblank(B343),,ifna(textjoin(""; "",,filter('On Hand'!E:E,'On Hand'!A:A=A343)),ifna(xlookup(A343,'On Hand'!A:A,'On Hand'!E:E,),)))"),"")</f>
        <v/>
      </c>
    </row>
    <row r="344">
      <c r="A344" s="3" t="str">
        <f t="array" ref="A344">ifna(_xlfn.xlookup(B344,'All Item Code'!B:B,'All Item Code'!A:A,),)</f>
        <v/>
      </c>
      <c r="B344" s="3"/>
      <c r="C344" s="3" t="str">
        <f t="array" ref="C344">if(B344="Tidak Ada",,if(isblank(B344),,ifna(sumif('On Hand'!A:A,A344,'On Hand'!D:D)&amp;" "&amp;_xlfn.xlookup(A344,'All Item Code'!A:A,'All Item Code'!D:D,),0)))</f>
        <v/>
      </c>
      <c r="D344" s="3" t="str">
        <f>IFERROR(__xludf.DUMMYFUNCTION("if(isblank(B344),,ifna(textjoin(""; "",,filter('On Hand'!E:E,'On Hand'!A:A=A344)),ifna(xlookup(A344,'On Hand'!A:A,'On Hand'!E:E,),)))"),"")</f>
        <v/>
      </c>
    </row>
    <row r="345">
      <c r="A345" s="3" t="str">
        <f t="array" ref="A345">ifna(_xlfn.xlookup(B345,'All Item Code'!B:B,'All Item Code'!A:A,),)</f>
        <v/>
      </c>
      <c r="B345" s="3"/>
      <c r="C345" s="3" t="str">
        <f t="array" ref="C345">if(B345="Tidak Ada",,if(isblank(B345),,ifna(sumif('On Hand'!A:A,A345,'On Hand'!D:D)&amp;" "&amp;_xlfn.xlookup(A345,'All Item Code'!A:A,'All Item Code'!D:D,),0)))</f>
        <v/>
      </c>
      <c r="D345" s="3" t="str">
        <f>IFERROR(__xludf.DUMMYFUNCTION("if(isblank(B345),,ifna(textjoin(""; "",,filter('On Hand'!E:E,'On Hand'!A:A=A345)),ifna(xlookup(A345,'On Hand'!A:A,'On Hand'!E:E,),)))"),"")</f>
        <v/>
      </c>
    </row>
    <row r="346">
      <c r="A346" s="3" t="str">
        <f t="array" ref="A346">ifna(_xlfn.xlookup(B346,'All Item Code'!B:B,'All Item Code'!A:A,),)</f>
        <v/>
      </c>
      <c r="B346" s="3"/>
      <c r="C346" s="3" t="str">
        <f t="array" ref="C346">if(B346="Tidak Ada",,if(isblank(B346),,ifna(sumif('On Hand'!A:A,A346,'On Hand'!D:D)&amp;" "&amp;_xlfn.xlookup(A346,'All Item Code'!A:A,'All Item Code'!D:D,),0)))</f>
        <v/>
      </c>
      <c r="D346" s="3" t="str">
        <f>IFERROR(__xludf.DUMMYFUNCTION("if(isblank(B346),,ifna(textjoin(""; "",,filter('On Hand'!E:E,'On Hand'!A:A=A346)),ifna(xlookup(A346,'On Hand'!A:A,'On Hand'!E:E,),)))"),"")</f>
        <v/>
      </c>
    </row>
    <row r="347">
      <c r="A347" s="3" t="str">
        <f t="array" ref="A347">ifna(_xlfn.xlookup(B347,'All Item Code'!B:B,'All Item Code'!A:A,),)</f>
        <v/>
      </c>
      <c r="B347" s="3"/>
      <c r="C347" s="3" t="str">
        <f t="array" ref="C347">if(B347="Tidak Ada",,if(isblank(B347),,ifna(sumif('On Hand'!A:A,A347,'On Hand'!D:D)&amp;" "&amp;_xlfn.xlookup(A347,'All Item Code'!A:A,'All Item Code'!D:D,),0)))</f>
        <v/>
      </c>
      <c r="D347" s="3" t="str">
        <f>IFERROR(__xludf.DUMMYFUNCTION("if(isblank(B347),,ifna(textjoin(""; "",,filter('On Hand'!E:E,'On Hand'!A:A=A347)),ifna(xlookup(A347,'On Hand'!A:A,'On Hand'!E:E,),)))"),"")</f>
        <v/>
      </c>
    </row>
    <row r="348">
      <c r="A348" s="3" t="str">
        <f t="array" ref="A348">ifna(_xlfn.xlookup(B348,'All Item Code'!B:B,'All Item Code'!A:A,),)</f>
        <v/>
      </c>
      <c r="B348" s="3"/>
      <c r="C348" s="3" t="str">
        <f t="array" ref="C348">if(B348="Tidak Ada",,if(isblank(B348),,ifna(sumif('On Hand'!A:A,A348,'On Hand'!D:D)&amp;" "&amp;_xlfn.xlookup(A348,'All Item Code'!A:A,'All Item Code'!D:D,),0)))</f>
        <v/>
      </c>
      <c r="D348" s="3" t="str">
        <f>IFERROR(__xludf.DUMMYFUNCTION("if(isblank(B348),,ifna(textjoin(""; "",,filter('On Hand'!E:E,'On Hand'!A:A=A348)),ifna(xlookup(A348,'On Hand'!A:A,'On Hand'!E:E,),)))"),"")</f>
        <v/>
      </c>
    </row>
    <row r="349">
      <c r="A349" s="3" t="str">
        <f t="array" ref="A349">ifna(_xlfn.xlookup(B349,'All Item Code'!B:B,'All Item Code'!A:A,),)</f>
        <v/>
      </c>
      <c r="B349" s="3"/>
      <c r="C349" s="3" t="str">
        <f t="array" ref="C349">if(B349="Tidak Ada",,if(isblank(B349),,ifna(sumif('On Hand'!A:A,A349,'On Hand'!D:D)&amp;" "&amp;_xlfn.xlookup(A349,'All Item Code'!A:A,'All Item Code'!D:D,),0)))</f>
        <v/>
      </c>
      <c r="D349" s="3" t="str">
        <f>IFERROR(__xludf.DUMMYFUNCTION("if(isblank(B349),,ifna(textjoin(""; "",,filter('On Hand'!E:E,'On Hand'!A:A=A349)),ifna(xlookup(A349,'On Hand'!A:A,'On Hand'!E:E,),)))"),"")</f>
        <v/>
      </c>
    </row>
    <row r="350">
      <c r="A350" s="3" t="str">
        <f t="array" ref="A350">ifna(_xlfn.xlookup(B350,'All Item Code'!B:B,'All Item Code'!A:A,),)</f>
        <v/>
      </c>
      <c r="B350" s="3"/>
      <c r="C350" s="3" t="str">
        <f t="array" ref="C350">if(B350="Tidak Ada",,if(isblank(B350),,ifna(sumif('On Hand'!A:A,A350,'On Hand'!D:D)&amp;" "&amp;_xlfn.xlookup(A350,'All Item Code'!A:A,'All Item Code'!D:D,),0)))</f>
        <v/>
      </c>
      <c r="D350" s="3" t="str">
        <f>IFERROR(__xludf.DUMMYFUNCTION("if(isblank(B350),,ifna(textjoin(""; "",,filter('On Hand'!E:E,'On Hand'!A:A=A350)),ifna(xlookup(A350,'On Hand'!A:A,'On Hand'!E:E,),)))"),"")</f>
        <v/>
      </c>
    </row>
    <row r="351">
      <c r="A351" s="3" t="str">
        <f t="array" ref="A351">ifna(_xlfn.xlookup(B351,'All Item Code'!B:B,'All Item Code'!A:A,),)</f>
        <v/>
      </c>
      <c r="B351" s="3"/>
      <c r="C351" s="3" t="str">
        <f t="array" ref="C351">if(B351="Tidak Ada",,if(isblank(B351),,ifna(sumif('On Hand'!A:A,A351,'On Hand'!D:D)&amp;" "&amp;_xlfn.xlookup(A351,'All Item Code'!A:A,'All Item Code'!D:D,),0)))</f>
        <v/>
      </c>
      <c r="D351" s="3" t="str">
        <f>IFERROR(__xludf.DUMMYFUNCTION("if(isblank(B351),,ifna(textjoin(""; "",,filter('On Hand'!E:E,'On Hand'!A:A=A351)),ifna(xlookup(A351,'On Hand'!A:A,'On Hand'!E:E,),)))"),"")</f>
        <v/>
      </c>
    </row>
    <row r="352">
      <c r="A352" s="3" t="str">
        <f t="array" ref="A352">ifna(_xlfn.xlookup(B352,'All Item Code'!B:B,'All Item Code'!A:A,),)</f>
        <v/>
      </c>
      <c r="B352" s="3"/>
      <c r="C352" s="3" t="str">
        <f t="array" ref="C352">if(B352="Tidak Ada",,if(isblank(B352),,ifna(sumif('On Hand'!A:A,A352,'On Hand'!D:D)&amp;" "&amp;_xlfn.xlookup(A352,'All Item Code'!A:A,'All Item Code'!D:D,),0)))</f>
        <v/>
      </c>
      <c r="D352" s="3" t="str">
        <f>IFERROR(__xludf.DUMMYFUNCTION("if(isblank(B352),,ifna(textjoin(""; "",,filter('On Hand'!E:E,'On Hand'!A:A=A352)),ifna(xlookup(A352,'On Hand'!A:A,'On Hand'!E:E,),)))"),"")</f>
        <v/>
      </c>
    </row>
    <row r="353">
      <c r="A353" s="3" t="str">
        <f t="array" ref="A353">ifna(_xlfn.xlookup(B353,'All Item Code'!B:B,'All Item Code'!A:A,),)</f>
        <v/>
      </c>
      <c r="B353" s="3"/>
      <c r="C353" s="3" t="str">
        <f t="array" ref="C353">if(B353="Tidak Ada",,if(isblank(B353),,ifna(sumif('On Hand'!A:A,A353,'On Hand'!D:D)&amp;" "&amp;_xlfn.xlookup(A353,'All Item Code'!A:A,'All Item Code'!D:D,),0)))</f>
        <v/>
      </c>
      <c r="D353" s="3" t="str">
        <f>IFERROR(__xludf.DUMMYFUNCTION("if(isblank(B353),,ifna(textjoin(""; "",,filter('On Hand'!E:E,'On Hand'!A:A=A353)),ifna(xlookup(A353,'On Hand'!A:A,'On Hand'!E:E,),)))"),"")</f>
        <v/>
      </c>
    </row>
    <row r="354">
      <c r="A354" s="3" t="str">
        <f t="array" ref="A354">ifna(_xlfn.xlookup(B354,'All Item Code'!B:B,'All Item Code'!A:A,),)</f>
        <v/>
      </c>
      <c r="B354" s="3"/>
      <c r="C354" s="3" t="str">
        <f t="array" ref="C354">if(B354="Tidak Ada",,if(isblank(B354),,ifna(sumif('On Hand'!A:A,A354,'On Hand'!D:D)&amp;" "&amp;_xlfn.xlookup(A354,'All Item Code'!A:A,'All Item Code'!D:D,),0)))</f>
        <v/>
      </c>
      <c r="D354" s="3" t="str">
        <f>IFERROR(__xludf.DUMMYFUNCTION("if(isblank(B354),,ifna(textjoin(""; "",,filter('On Hand'!E:E,'On Hand'!A:A=A354)),ifna(xlookup(A354,'On Hand'!A:A,'On Hand'!E:E,),)))"),"")</f>
        <v/>
      </c>
    </row>
    <row r="355">
      <c r="A355" s="3" t="str">
        <f t="array" ref="A355">ifna(_xlfn.xlookup(B355,'All Item Code'!B:B,'All Item Code'!A:A,),)</f>
        <v/>
      </c>
      <c r="B355" s="3"/>
      <c r="C355" s="3" t="str">
        <f t="array" ref="C355">if(B355="Tidak Ada",,if(isblank(B355),,ifna(sumif('On Hand'!A:A,A355,'On Hand'!D:D)&amp;" "&amp;_xlfn.xlookup(A355,'All Item Code'!A:A,'All Item Code'!D:D,),0)))</f>
        <v/>
      </c>
      <c r="D355" s="3" t="str">
        <f>IFERROR(__xludf.DUMMYFUNCTION("if(isblank(B355),,ifna(textjoin(""; "",,filter('On Hand'!E:E,'On Hand'!A:A=A355)),ifna(xlookup(A355,'On Hand'!A:A,'On Hand'!E:E,),)))"),"")</f>
        <v/>
      </c>
    </row>
    <row r="356">
      <c r="A356" s="3" t="str">
        <f t="array" ref="A356">ifna(_xlfn.xlookup(B356,'All Item Code'!B:B,'All Item Code'!A:A,),)</f>
        <v/>
      </c>
      <c r="B356" s="3"/>
      <c r="C356" s="3" t="str">
        <f t="array" ref="C356">if(B356="Tidak Ada",,if(isblank(B356),,ifna(sumif('On Hand'!A:A,A356,'On Hand'!D:D)&amp;" "&amp;_xlfn.xlookup(A356,'All Item Code'!A:A,'All Item Code'!D:D,),0)))</f>
        <v/>
      </c>
      <c r="D356" s="3" t="str">
        <f>IFERROR(__xludf.DUMMYFUNCTION("if(isblank(B356),,ifna(textjoin(""; "",,filter('On Hand'!E:E,'On Hand'!A:A=A356)),ifna(xlookup(A356,'On Hand'!A:A,'On Hand'!E:E,),)))"),"")</f>
        <v/>
      </c>
    </row>
    <row r="357">
      <c r="A357" s="3" t="str">
        <f t="array" ref="A357">ifna(_xlfn.xlookup(B357,'All Item Code'!B:B,'All Item Code'!A:A,),)</f>
        <v/>
      </c>
      <c r="B357" s="3"/>
      <c r="C357" s="3" t="str">
        <f t="array" ref="C357">if(B357="Tidak Ada",,if(isblank(B357),,ifna(sumif('On Hand'!A:A,A357,'On Hand'!D:D)&amp;" "&amp;_xlfn.xlookup(A357,'All Item Code'!A:A,'All Item Code'!D:D,),0)))</f>
        <v/>
      </c>
      <c r="D357" s="3" t="str">
        <f>IFERROR(__xludf.DUMMYFUNCTION("if(isblank(B357),,ifna(textjoin(""; "",,filter('On Hand'!E:E,'On Hand'!A:A=A357)),ifna(xlookup(A357,'On Hand'!A:A,'On Hand'!E:E,),)))"),"")</f>
        <v/>
      </c>
    </row>
    <row r="358">
      <c r="A358" s="3" t="str">
        <f t="array" ref="A358">ifna(_xlfn.xlookup(B358,'All Item Code'!B:B,'All Item Code'!A:A,),)</f>
        <v/>
      </c>
      <c r="B358" s="3"/>
      <c r="C358" s="3" t="str">
        <f t="array" ref="C358">if(B358="Tidak Ada",,if(isblank(B358),,ifna(sumif('On Hand'!A:A,A358,'On Hand'!D:D)&amp;" "&amp;_xlfn.xlookup(A358,'All Item Code'!A:A,'All Item Code'!D:D,),0)))</f>
        <v/>
      </c>
      <c r="D358" s="3" t="str">
        <f>IFERROR(__xludf.DUMMYFUNCTION("if(isblank(B358),,ifna(textjoin(""; "",,filter('On Hand'!E:E,'On Hand'!A:A=A358)),ifna(xlookup(A358,'On Hand'!A:A,'On Hand'!E:E,),)))"),"")</f>
        <v/>
      </c>
    </row>
    <row r="359">
      <c r="A359" s="3" t="str">
        <f t="array" ref="A359">ifna(_xlfn.xlookup(B359,'All Item Code'!B:B,'All Item Code'!A:A,),)</f>
        <v/>
      </c>
      <c r="B359" s="3"/>
      <c r="C359" s="3" t="str">
        <f t="array" ref="C359">if(B359="Tidak Ada",,if(isblank(B359),,ifna(sumif('On Hand'!A:A,A359,'On Hand'!D:D)&amp;" "&amp;_xlfn.xlookup(A359,'All Item Code'!A:A,'All Item Code'!D:D,),0)))</f>
        <v/>
      </c>
      <c r="D359" s="3" t="str">
        <f>IFERROR(__xludf.DUMMYFUNCTION("if(isblank(B359),,ifna(textjoin(""; "",,filter('On Hand'!E:E,'On Hand'!A:A=A359)),ifna(xlookup(A359,'On Hand'!A:A,'On Hand'!E:E,),)))"),"")</f>
        <v/>
      </c>
    </row>
    <row r="360">
      <c r="A360" s="3" t="str">
        <f t="array" ref="A360">ifna(_xlfn.xlookup(B360,'All Item Code'!B:B,'All Item Code'!A:A,),)</f>
        <v/>
      </c>
      <c r="B360" s="3"/>
      <c r="C360" s="3" t="str">
        <f t="array" ref="C360">if(B360="Tidak Ada",,if(isblank(B360),,ifna(sumif('On Hand'!A:A,A360,'On Hand'!D:D)&amp;" "&amp;_xlfn.xlookup(A360,'All Item Code'!A:A,'All Item Code'!D:D,),0)))</f>
        <v/>
      </c>
      <c r="D360" s="3" t="str">
        <f>IFERROR(__xludf.DUMMYFUNCTION("if(isblank(B360),,ifna(textjoin(""; "",,filter('On Hand'!E:E,'On Hand'!A:A=A360)),ifna(xlookup(A360,'On Hand'!A:A,'On Hand'!E:E,),)))"),"")</f>
        <v/>
      </c>
    </row>
    <row r="361">
      <c r="A361" s="3" t="str">
        <f t="array" ref="A361">ifna(_xlfn.xlookup(B361,'All Item Code'!B:B,'All Item Code'!A:A,),)</f>
        <v/>
      </c>
      <c r="B361" s="3"/>
      <c r="C361" s="3" t="str">
        <f t="array" ref="C361">if(B361="Tidak Ada",,if(isblank(B361),,ifna(sumif('On Hand'!A:A,A361,'On Hand'!D:D)&amp;" "&amp;_xlfn.xlookup(A361,'All Item Code'!A:A,'All Item Code'!D:D,),0)))</f>
        <v/>
      </c>
      <c r="D361" s="3" t="str">
        <f>IFERROR(__xludf.DUMMYFUNCTION("if(isblank(B361),,ifna(textjoin(""; "",,filter('On Hand'!E:E,'On Hand'!A:A=A361)),ifna(xlookup(A361,'On Hand'!A:A,'On Hand'!E:E,),)))"),"")</f>
        <v/>
      </c>
    </row>
    <row r="362">
      <c r="A362" s="3" t="str">
        <f t="array" ref="A362">ifna(_xlfn.xlookup(B362,'All Item Code'!B:B,'All Item Code'!A:A,),)</f>
        <v/>
      </c>
      <c r="B362" s="3"/>
      <c r="C362" s="3" t="str">
        <f t="array" ref="C362">if(B362="Tidak Ada",,if(isblank(B362),,ifna(sumif('On Hand'!A:A,A362,'On Hand'!D:D)&amp;" "&amp;_xlfn.xlookup(A362,'All Item Code'!A:A,'All Item Code'!D:D,),0)))</f>
        <v/>
      </c>
      <c r="D362" s="3" t="str">
        <f>IFERROR(__xludf.DUMMYFUNCTION("if(isblank(B362),,ifna(textjoin(""; "",,filter('On Hand'!E:E,'On Hand'!A:A=A362)),ifna(xlookup(A362,'On Hand'!A:A,'On Hand'!E:E,),)))"),"")</f>
        <v/>
      </c>
    </row>
    <row r="363">
      <c r="A363" s="3" t="str">
        <f t="array" ref="A363">ifna(_xlfn.xlookup(B363,'All Item Code'!B:B,'All Item Code'!A:A,),)</f>
        <v/>
      </c>
      <c r="B363" s="3"/>
      <c r="C363" s="3" t="str">
        <f t="array" ref="C363">if(B363="Tidak Ada",,if(isblank(B363),,ifna(sumif('On Hand'!A:A,A363,'On Hand'!D:D)&amp;" "&amp;_xlfn.xlookup(A363,'All Item Code'!A:A,'All Item Code'!D:D,),0)))</f>
        <v/>
      </c>
      <c r="D363" s="3" t="str">
        <f>IFERROR(__xludf.DUMMYFUNCTION("if(isblank(B363),,ifna(textjoin(""; "",,filter('On Hand'!E:E,'On Hand'!A:A=A363)),ifna(xlookup(A363,'On Hand'!A:A,'On Hand'!E:E,),)))"),"")</f>
        <v/>
      </c>
    </row>
    <row r="364">
      <c r="A364" s="3" t="str">
        <f t="array" ref="A364">ifna(_xlfn.xlookup(B364,'All Item Code'!B:B,'All Item Code'!A:A,),)</f>
        <v/>
      </c>
      <c r="B364" s="3"/>
      <c r="C364" s="3" t="str">
        <f t="array" ref="C364">if(B364="Tidak Ada",,if(isblank(B364),,ifna(sumif('On Hand'!A:A,A364,'On Hand'!D:D)&amp;" "&amp;_xlfn.xlookup(A364,'All Item Code'!A:A,'All Item Code'!D:D,),0)))</f>
        <v/>
      </c>
      <c r="D364" s="3" t="str">
        <f>IFERROR(__xludf.DUMMYFUNCTION("if(isblank(B364),,ifna(textjoin(""; "",,filter('On Hand'!E:E,'On Hand'!A:A=A364)),ifna(xlookup(A364,'On Hand'!A:A,'On Hand'!E:E,),)))"),"")</f>
        <v/>
      </c>
    </row>
    <row r="365">
      <c r="A365" s="3" t="str">
        <f t="array" ref="A365">ifna(_xlfn.xlookup(B365,'All Item Code'!B:B,'All Item Code'!A:A,),)</f>
        <v/>
      </c>
      <c r="B365" s="3"/>
      <c r="C365" s="3" t="str">
        <f t="array" ref="C365">if(B365="Tidak Ada",,if(isblank(B365),,ifna(sumif('On Hand'!A:A,A365,'On Hand'!D:D)&amp;" "&amp;_xlfn.xlookup(A365,'All Item Code'!A:A,'All Item Code'!D:D,),0)))</f>
        <v/>
      </c>
      <c r="D365" s="3" t="str">
        <f>IFERROR(__xludf.DUMMYFUNCTION("if(isblank(B365),,ifna(textjoin(""; "",,filter('On Hand'!E:E,'On Hand'!A:A=A365)),ifna(xlookup(A365,'On Hand'!A:A,'On Hand'!E:E,),)))"),"")</f>
        <v/>
      </c>
    </row>
    <row r="366">
      <c r="A366" s="3" t="str">
        <f t="array" ref="A366">ifna(_xlfn.xlookup(B366,'All Item Code'!B:B,'All Item Code'!A:A,),)</f>
        <v/>
      </c>
      <c r="B366" s="3"/>
      <c r="C366" s="3" t="str">
        <f t="array" ref="C366">if(B366="Tidak Ada",,if(isblank(B366),,ifna(sumif('On Hand'!A:A,A366,'On Hand'!D:D)&amp;" "&amp;_xlfn.xlookup(A366,'All Item Code'!A:A,'All Item Code'!D:D,),0)))</f>
        <v/>
      </c>
      <c r="D366" s="3" t="str">
        <f>IFERROR(__xludf.DUMMYFUNCTION("if(isblank(B366),,ifna(textjoin(""; "",,filter('On Hand'!E:E,'On Hand'!A:A=A366)),ifna(xlookup(A366,'On Hand'!A:A,'On Hand'!E:E,),)))"),"")</f>
        <v/>
      </c>
    </row>
    <row r="367">
      <c r="A367" s="3" t="str">
        <f t="array" ref="A367">ifna(_xlfn.xlookup(B367,'All Item Code'!B:B,'All Item Code'!A:A,),)</f>
        <v/>
      </c>
      <c r="B367" s="3"/>
      <c r="C367" s="3" t="str">
        <f t="array" ref="C367">if(B367="Tidak Ada",,if(isblank(B367),,ifna(sumif('On Hand'!A:A,A367,'On Hand'!D:D)&amp;" "&amp;_xlfn.xlookup(A367,'All Item Code'!A:A,'All Item Code'!D:D,),0)))</f>
        <v/>
      </c>
      <c r="D367" s="3" t="str">
        <f>IFERROR(__xludf.DUMMYFUNCTION("if(isblank(B367),,ifna(textjoin(""; "",,filter('On Hand'!E:E,'On Hand'!A:A=A367)),ifna(xlookup(A367,'On Hand'!A:A,'On Hand'!E:E,),)))"),"")</f>
        <v/>
      </c>
    </row>
    <row r="368">
      <c r="A368" s="3" t="str">
        <f t="array" ref="A368">ifna(_xlfn.xlookup(B368,'All Item Code'!B:B,'All Item Code'!A:A,),)</f>
        <v/>
      </c>
      <c r="B368" s="3"/>
      <c r="C368" s="3" t="str">
        <f t="array" ref="C368">if(B368="Tidak Ada",,if(isblank(B368),,ifna(sumif('On Hand'!A:A,A368,'On Hand'!D:D)&amp;" "&amp;_xlfn.xlookup(A368,'All Item Code'!A:A,'All Item Code'!D:D,),0)))</f>
        <v/>
      </c>
      <c r="D368" s="3" t="str">
        <f>IFERROR(__xludf.DUMMYFUNCTION("if(isblank(B368),,ifna(textjoin(""; "",,filter('On Hand'!E:E,'On Hand'!A:A=A368)),ifna(xlookup(A368,'On Hand'!A:A,'On Hand'!E:E,),)))"),"")</f>
        <v/>
      </c>
    </row>
    <row r="369">
      <c r="A369" s="3" t="str">
        <f t="array" ref="A369">ifna(_xlfn.xlookup(B369,'All Item Code'!B:B,'All Item Code'!A:A,),)</f>
        <v/>
      </c>
      <c r="B369" s="3"/>
      <c r="C369" s="3" t="str">
        <f t="array" ref="C369">if(B369="Tidak Ada",,if(isblank(B369),,ifna(sumif('On Hand'!A:A,A369,'On Hand'!D:D)&amp;" "&amp;_xlfn.xlookup(A369,'All Item Code'!A:A,'All Item Code'!D:D,),0)))</f>
        <v/>
      </c>
      <c r="D369" s="3" t="str">
        <f>IFERROR(__xludf.DUMMYFUNCTION("if(isblank(B369),,ifna(textjoin(""; "",,filter('On Hand'!E:E,'On Hand'!A:A=A369)),ifna(xlookup(A369,'On Hand'!A:A,'On Hand'!E:E,),)))"),"")</f>
        <v/>
      </c>
    </row>
    <row r="370">
      <c r="A370" s="3" t="str">
        <f t="array" ref="A370">ifna(_xlfn.xlookup(B370,'All Item Code'!B:B,'All Item Code'!A:A,),)</f>
        <v/>
      </c>
      <c r="B370" s="3"/>
      <c r="C370" s="3" t="str">
        <f t="array" ref="C370">if(B370="Tidak Ada",,if(isblank(B370),,ifna(sumif('On Hand'!A:A,A370,'On Hand'!D:D)&amp;" "&amp;_xlfn.xlookup(A370,'All Item Code'!A:A,'All Item Code'!D:D,),0)))</f>
        <v/>
      </c>
      <c r="D370" s="3" t="str">
        <f>IFERROR(__xludf.DUMMYFUNCTION("if(isblank(B370),,ifna(textjoin(""; "",,filter('On Hand'!E:E,'On Hand'!A:A=A370)),ifna(xlookup(A370,'On Hand'!A:A,'On Hand'!E:E,),)))"),"")</f>
        <v/>
      </c>
    </row>
    <row r="371">
      <c r="A371" s="3" t="str">
        <f t="array" ref="A371">ifna(_xlfn.xlookup(B371,'All Item Code'!B:B,'All Item Code'!A:A,),)</f>
        <v/>
      </c>
      <c r="B371" s="3"/>
      <c r="C371" s="3" t="str">
        <f t="array" ref="C371">if(B371="Tidak Ada",,if(isblank(B371),,ifna(sumif('On Hand'!A:A,A371,'On Hand'!D:D)&amp;" "&amp;_xlfn.xlookup(A371,'All Item Code'!A:A,'All Item Code'!D:D,),0)))</f>
        <v/>
      </c>
      <c r="D371" s="3" t="str">
        <f>IFERROR(__xludf.DUMMYFUNCTION("if(isblank(B371),,ifna(textjoin(""; "",,filter('On Hand'!E:E,'On Hand'!A:A=A371)),ifna(xlookup(A371,'On Hand'!A:A,'On Hand'!E:E,),)))"),"")</f>
        <v/>
      </c>
    </row>
    <row r="372">
      <c r="A372" s="3" t="str">
        <f t="array" ref="A372">ifna(_xlfn.xlookup(B372,'All Item Code'!B:B,'All Item Code'!A:A,),)</f>
        <v/>
      </c>
      <c r="B372" s="3"/>
      <c r="C372" s="3" t="str">
        <f t="array" ref="C372">if(B372="Tidak Ada",,if(isblank(B372),,ifna(sumif('On Hand'!A:A,A372,'On Hand'!D:D)&amp;" "&amp;_xlfn.xlookup(A372,'All Item Code'!A:A,'All Item Code'!D:D,),0)))</f>
        <v/>
      </c>
      <c r="D372" s="3" t="str">
        <f>IFERROR(__xludf.DUMMYFUNCTION("if(isblank(B372),,ifna(textjoin(""; "",,filter('On Hand'!E:E,'On Hand'!A:A=A372)),ifna(xlookup(A372,'On Hand'!A:A,'On Hand'!E:E,),)))"),"")</f>
        <v/>
      </c>
    </row>
    <row r="373">
      <c r="A373" s="3" t="str">
        <f t="array" ref="A373">ifna(_xlfn.xlookup(B373,'All Item Code'!B:B,'All Item Code'!A:A,),)</f>
        <v/>
      </c>
      <c r="B373" s="3"/>
      <c r="C373" s="3" t="str">
        <f t="array" ref="C373">if(B373="Tidak Ada",,if(isblank(B373),,ifna(sumif('On Hand'!A:A,A373,'On Hand'!D:D)&amp;" "&amp;_xlfn.xlookup(A373,'All Item Code'!A:A,'All Item Code'!D:D,),0)))</f>
        <v/>
      </c>
      <c r="D373" s="3" t="str">
        <f>IFERROR(__xludf.DUMMYFUNCTION("if(isblank(B373),,ifna(textjoin(""; "",,filter('On Hand'!E:E,'On Hand'!A:A=A373)),ifna(xlookup(A373,'On Hand'!A:A,'On Hand'!E:E,),)))"),"")</f>
        <v/>
      </c>
    </row>
    <row r="374">
      <c r="A374" s="3" t="str">
        <f t="array" ref="A374">ifna(_xlfn.xlookup(B374,'All Item Code'!B:B,'All Item Code'!A:A,),)</f>
        <v/>
      </c>
      <c r="B374" s="3"/>
      <c r="C374" s="3" t="str">
        <f t="array" ref="C374">if(B374="Tidak Ada",,if(isblank(B374),,ifna(sumif('On Hand'!A:A,A374,'On Hand'!D:D)&amp;" "&amp;_xlfn.xlookup(A374,'All Item Code'!A:A,'All Item Code'!D:D,),0)))</f>
        <v/>
      </c>
      <c r="D374" s="3" t="str">
        <f>IFERROR(__xludf.DUMMYFUNCTION("if(isblank(B374),,ifna(textjoin(""; "",,filter('On Hand'!E:E,'On Hand'!A:A=A374)),ifna(xlookup(A374,'On Hand'!A:A,'On Hand'!E:E,),)))"),"")</f>
        <v/>
      </c>
    </row>
    <row r="375">
      <c r="A375" s="3" t="str">
        <f t="array" ref="A375">ifna(_xlfn.xlookup(B375,'All Item Code'!B:B,'All Item Code'!A:A,),)</f>
        <v/>
      </c>
      <c r="B375" s="3"/>
      <c r="C375" s="3" t="str">
        <f t="array" ref="C375">if(B375="Tidak Ada",,if(isblank(B375),,ifna(sumif('On Hand'!A:A,A375,'On Hand'!D:D)&amp;" "&amp;_xlfn.xlookup(A375,'All Item Code'!A:A,'All Item Code'!D:D,),0)))</f>
        <v/>
      </c>
      <c r="D375" s="3" t="str">
        <f>IFERROR(__xludf.DUMMYFUNCTION("if(isblank(B375),,ifna(textjoin(""; "",,filter('On Hand'!E:E,'On Hand'!A:A=A375)),ifna(xlookup(A375,'On Hand'!A:A,'On Hand'!E:E,),)))"),"")</f>
        <v/>
      </c>
    </row>
    <row r="376">
      <c r="A376" s="3" t="str">
        <f t="array" ref="A376">ifna(_xlfn.xlookup(B376,'All Item Code'!B:B,'All Item Code'!A:A,),)</f>
        <v/>
      </c>
      <c r="B376" s="3"/>
      <c r="C376" s="3" t="str">
        <f t="array" ref="C376">if(B376="Tidak Ada",,if(isblank(B376),,ifna(sumif('On Hand'!A:A,A376,'On Hand'!D:D)&amp;" "&amp;_xlfn.xlookup(A376,'All Item Code'!A:A,'All Item Code'!D:D,),0)))</f>
        <v/>
      </c>
      <c r="D376" s="3" t="str">
        <f>IFERROR(__xludf.DUMMYFUNCTION("if(isblank(B376),,ifna(textjoin(""; "",,filter('On Hand'!E:E,'On Hand'!A:A=A376)),ifna(xlookup(A376,'On Hand'!A:A,'On Hand'!E:E,),)))"),"")</f>
        <v/>
      </c>
    </row>
    <row r="377">
      <c r="A377" s="3" t="str">
        <f t="array" ref="A377">ifna(_xlfn.xlookup(B377,'All Item Code'!B:B,'All Item Code'!A:A,),)</f>
        <v/>
      </c>
      <c r="B377" s="3"/>
      <c r="C377" s="3" t="str">
        <f t="array" ref="C377">if(B377="Tidak Ada",,if(isblank(B377),,ifna(sumif('On Hand'!A:A,A377,'On Hand'!D:D)&amp;" "&amp;_xlfn.xlookup(A377,'All Item Code'!A:A,'All Item Code'!D:D,),0)))</f>
        <v/>
      </c>
      <c r="D377" s="3" t="str">
        <f>IFERROR(__xludf.DUMMYFUNCTION("if(isblank(B377),,ifna(textjoin(""; "",,filter('On Hand'!E:E,'On Hand'!A:A=A377)),ifna(xlookup(A377,'On Hand'!A:A,'On Hand'!E:E,),)))"),"")</f>
        <v/>
      </c>
    </row>
    <row r="378">
      <c r="A378" s="3" t="str">
        <f t="array" ref="A378">ifna(_xlfn.xlookup(B378,'All Item Code'!B:B,'All Item Code'!A:A,),)</f>
        <v/>
      </c>
      <c r="B378" s="3"/>
      <c r="C378" s="3" t="str">
        <f t="array" ref="C378">if(B378="Tidak Ada",,if(isblank(B378),,ifna(sumif('On Hand'!A:A,A378,'On Hand'!D:D)&amp;" "&amp;_xlfn.xlookup(A378,'All Item Code'!A:A,'All Item Code'!D:D,),0)))</f>
        <v/>
      </c>
      <c r="D378" s="3" t="str">
        <f>IFERROR(__xludf.DUMMYFUNCTION("if(isblank(B378),,ifna(textjoin(""; "",,filter('On Hand'!E:E,'On Hand'!A:A=A378)),ifna(xlookup(A378,'On Hand'!A:A,'On Hand'!E:E,),)))"),"")</f>
        <v/>
      </c>
    </row>
    <row r="379">
      <c r="A379" s="3" t="str">
        <f t="array" ref="A379">ifna(_xlfn.xlookup(B379,'All Item Code'!B:B,'All Item Code'!A:A,),)</f>
        <v/>
      </c>
      <c r="B379" s="3"/>
      <c r="C379" s="3" t="str">
        <f t="array" ref="C379">if(B379="Tidak Ada",,if(isblank(B379),,ifna(sumif('On Hand'!A:A,A379,'On Hand'!D:D)&amp;" "&amp;_xlfn.xlookup(A379,'All Item Code'!A:A,'All Item Code'!D:D,),0)))</f>
        <v/>
      </c>
      <c r="D379" s="3" t="str">
        <f>IFERROR(__xludf.DUMMYFUNCTION("if(isblank(B379),,ifna(textjoin(""; "",,filter('On Hand'!E:E,'On Hand'!A:A=A379)),ifna(xlookup(A379,'On Hand'!A:A,'On Hand'!E:E,),)))"),"")</f>
        <v/>
      </c>
    </row>
    <row r="380">
      <c r="A380" s="3" t="str">
        <f t="array" ref="A380">ifna(_xlfn.xlookup(B380,'All Item Code'!B:B,'All Item Code'!A:A,),)</f>
        <v/>
      </c>
      <c r="B380" s="3"/>
      <c r="C380" s="3" t="str">
        <f t="array" ref="C380">if(B380="Tidak Ada",,if(isblank(B380),,ifna(sumif('On Hand'!A:A,A380,'On Hand'!D:D)&amp;" "&amp;_xlfn.xlookup(A380,'All Item Code'!A:A,'All Item Code'!D:D,),0)))</f>
        <v/>
      </c>
      <c r="D380" s="3" t="str">
        <f>IFERROR(__xludf.DUMMYFUNCTION("if(isblank(B380),,ifna(textjoin(""; "",,filter('On Hand'!E:E,'On Hand'!A:A=A380)),ifna(xlookup(A380,'On Hand'!A:A,'On Hand'!E:E,),)))"),"")</f>
        <v/>
      </c>
    </row>
    <row r="381">
      <c r="A381" s="3" t="str">
        <f t="array" ref="A381">ifna(_xlfn.xlookup(B381,'All Item Code'!B:B,'All Item Code'!A:A,),)</f>
        <v/>
      </c>
      <c r="B381" s="3"/>
      <c r="C381" s="3" t="str">
        <f t="array" ref="C381">if(B381="Tidak Ada",,if(isblank(B381),,ifna(sumif('On Hand'!A:A,A381,'On Hand'!D:D)&amp;" "&amp;_xlfn.xlookup(A381,'All Item Code'!A:A,'All Item Code'!D:D,),0)))</f>
        <v/>
      </c>
      <c r="D381" s="3" t="str">
        <f>IFERROR(__xludf.DUMMYFUNCTION("if(isblank(B381),,ifna(textjoin(""; "",,filter('On Hand'!E:E,'On Hand'!A:A=A381)),ifna(xlookup(A381,'On Hand'!A:A,'On Hand'!E:E,),)))"),"")</f>
        <v/>
      </c>
    </row>
    <row r="382">
      <c r="A382" s="3" t="str">
        <f t="array" ref="A382">ifna(_xlfn.xlookup(B382,'All Item Code'!B:B,'All Item Code'!A:A,),)</f>
        <v/>
      </c>
      <c r="B382" s="3"/>
      <c r="C382" s="3" t="str">
        <f t="array" ref="C382">if(B382="Tidak Ada",,if(isblank(B382),,ifna(sumif('On Hand'!A:A,A382,'On Hand'!D:D)&amp;" "&amp;_xlfn.xlookup(A382,'All Item Code'!A:A,'All Item Code'!D:D,),0)))</f>
        <v/>
      </c>
      <c r="D382" s="3" t="str">
        <f>IFERROR(__xludf.DUMMYFUNCTION("if(isblank(B382),,ifna(textjoin(""; "",,filter('On Hand'!E:E,'On Hand'!A:A=A382)),ifna(xlookup(A382,'On Hand'!A:A,'On Hand'!E:E,),)))"),"")</f>
        <v/>
      </c>
    </row>
    <row r="383">
      <c r="A383" s="3" t="str">
        <f t="array" ref="A383">ifna(_xlfn.xlookup(B383,'All Item Code'!B:B,'All Item Code'!A:A,),)</f>
        <v/>
      </c>
      <c r="B383" s="3"/>
      <c r="C383" s="3" t="str">
        <f t="array" ref="C383">if(B383="Tidak Ada",,if(isblank(B383),,ifna(sumif('On Hand'!A:A,A383,'On Hand'!D:D)&amp;" "&amp;_xlfn.xlookup(A383,'All Item Code'!A:A,'All Item Code'!D:D,),0)))</f>
        <v/>
      </c>
      <c r="D383" s="3" t="str">
        <f>IFERROR(__xludf.DUMMYFUNCTION("if(isblank(B383),,ifna(textjoin(""; "",,filter('On Hand'!E:E,'On Hand'!A:A=A383)),ifna(xlookup(A383,'On Hand'!A:A,'On Hand'!E:E,),)))"),"")</f>
        <v/>
      </c>
    </row>
    <row r="384">
      <c r="A384" s="3" t="str">
        <f t="array" ref="A384">ifna(_xlfn.xlookup(B384,'All Item Code'!B:B,'All Item Code'!A:A,),)</f>
        <v/>
      </c>
      <c r="B384" s="3"/>
      <c r="C384" s="3" t="str">
        <f t="array" ref="C384">if(B384="Tidak Ada",,if(isblank(B384),,ifna(sumif('On Hand'!A:A,A384,'On Hand'!D:D)&amp;" "&amp;_xlfn.xlookup(A384,'All Item Code'!A:A,'All Item Code'!D:D,),0)))</f>
        <v/>
      </c>
      <c r="D384" s="3" t="str">
        <f>IFERROR(__xludf.DUMMYFUNCTION("if(isblank(B384),,ifna(textjoin(""; "",,filter('On Hand'!E:E,'On Hand'!A:A=A384)),ifna(xlookup(A384,'On Hand'!A:A,'On Hand'!E:E,),)))"),"")</f>
        <v/>
      </c>
    </row>
    <row r="385">
      <c r="A385" s="3" t="str">
        <f t="array" ref="A385">ifna(_xlfn.xlookup(B385,'All Item Code'!B:B,'All Item Code'!A:A,),)</f>
        <v/>
      </c>
      <c r="B385" s="3"/>
      <c r="C385" s="3" t="str">
        <f t="array" ref="C385">if(B385="Tidak Ada",,if(isblank(B385),,ifna(sumif('On Hand'!A:A,A385,'On Hand'!D:D)&amp;" "&amp;_xlfn.xlookup(A385,'All Item Code'!A:A,'All Item Code'!D:D,),0)))</f>
        <v/>
      </c>
      <c r="D385" s="3" t="str">
        <f>IFERROR(__xludf.DUMMYFUNCTION("if(isblank(B385),,ifna(textjoin(""; "",,filter('On Hand'!E:E,'On Hand'!A:A=A385)),ifna(xlookup(A385,'On Hand'!A:A,'On Hand'!E:E,),)))"),"")</f>
        <v/>
      </c>
    </row>
    <row r="386">
      <c r="A386" s="3" t="str">
        <f t="array" ref="A386">ifna(_xlfn.xlookup(B386,'All Item Code'!B:B,'All Item Code'!A:A,),)</f>
        <v/>
      </c>
      <c r="B386" s="3"/>
      <c r="C386" s="3" t="str">
        <f t="array" ref="C386">if(B386="Tidak Ada",,if(isblank(B386),,ifna(sumif('On Hand'!A:A,A386,'On Hand'!D:D)&amp;" "&amp;_xlfn.xlookup(A386,'All Item Code'!A:A,'All Item Code'!D:D,),0)))</f>
        <v/>
      </c>
      <c r="D386" s="3" t="str">
        <f>IFERROR(__xludf.DUMMYFUNCTION("if(isblank(B386),,ifna(textjoin(""; "",,filter('On Hand'!E:E,'On Hand'!A:A=A386)),ifna(xlookup(A386,'On Hand'!A:A,'On Hand'!E:E,),)))"),"")</f>
        <v/>
      </c>
    </row>
    <row r="387">
      <c r="A387" s="3" t="str">
        <f t="array" ref="A387">ifna(_xlfn.xlookup(B387,'All Item Code'!B:B,'All Item Code'!A:A,),)</f>
        <v/>
      </c>
      <c r="B387" s="3"/>
      <c r="C387" s="3" t="str">
        <f t="array" ref="C387">if(B387="Tidak Ada",,if(isblank(B387),,ifna(sumif('On Hand'!A:A,A387,'On Hand'!D:D)&amp;" "&amp;_xlfn.xlookup(A387,'All Item Code'!A:A,'All Item Code'!D:D,),0)))</f>
        <v/>
      </c>
      <c r="D387" s="3" t="str">
        <f>IFERROR(__xludf.DUMMYFUNCTION("if(isblank(B387),,ifna(textjoin(""; "",,filter('On Hand'!E:E,'On Hand'!A:A=A387)),ifna(xlookup(A387,'On Hand'!A:A,'On Hand'!E:E,),)))"),"")</f>
        <v/>
      </c>
    </row>
    <row r="388">
      <c r="A388" s="3" t="str">
        <f t="array" ref="A388">ifna(_xlfn.xlookup(B388,'All Item Code'!B:B,'All Item Code'!A:A,),)</f>
        <v/>
      </c>
      <c r="B388" s="3"/>
      <c r="C388" s="3" t="str">
        <f t="array" ref="C388">if(B388="Tidak Ada",,if(isblank(B388),,ifna(sumif('On Hand'!A:A,A388,'On Hand'!D:D)&amp;" "&amp;_xlfn.xlookup(A388,'All Item Code'!A:A,'All Item Code'!D:D,),0)))</f>
        <v/>
      </c>
      <c r="D388" s="3" t="str">
        <f>IFERROR(__xludf.DUMMYFUNCTION("if(isblank(B388),,ifna(textjoin(""; "",,filter('On Hand'!E:E,'On Hand'!A:A=A388)),ifna(xlookup(A388,'On Hand'!A:A,'On Hand'!E:E,),)))"),"")</f>
        <v/>
      </c>
    </row>
    <row r="389">
      <c r="A389" s="3" t="str">
        <f t="array" ref="A389">ifna(_xlfn.xlookup(B389,'All Item Code'!B:B,'All Item Code'!A:A,),)</f>
        <v/>
      </c>
      <c r="B389" s="3"/>
      <c r="C389" s="3" t="str">
        <f t="array" ref="C389">if(B389="Tidak Ada",,if(isblank(B389),,ifna(sumif('On Hand'!A:A,A389,'On Hand'!D:D)&amp;" "&amp;_xlfn.xlookup(A389,'All Item Code'!A:A,'All Item Code'!D:D,),0)))</f>
        <v/>
      </c>
      <c r="D389" s="3" t="str">
        <f>IFERROR(__xludf.DUMMYFUNCTION("if(isblank(B389),,ifna(textjoin(""; "",,filter('On Hand'!E:E,'On Hand'!A:A=A389)),ifna(xlookup(A389,'On Hand'!A:A,'On Hand'!E:E,),)))"),"")</f>
        <v/>
      </c>
    </row>
    <row r="390">
      <c r="A390" s="3" t="str">
        <f t="array" ref="A390">ifna(_xlfn.xlookup(B390,'All Item Code'!B:B,'All Item Code'!A:A,),)</f>
        <v/>
      </c>
      <c r="B390" s="3"/>
      <c r="C390" s="3" t="str">
        <f t="array" ref="C390">if(B390="Tidak Ada",,if(isblank(B390),,ifna(sumif('On Hand'!A:A,A390,'On Hand'!D:D)&amp;" "&amp;_xlfn.xlookup(A390,'All Item Code'!A:A,'All Item Code'!D:D,),0)))</f>
        <v/>
      </c>
      <c r="D390" s="3" t="str">
        <f>IFERROR(__xludf.DUMMYFUNCTION("if(isblank(B390),,ifna(textjoin(""; "",,filter('On Hand'!E:E,'On Hand'!A:A=A390)),ifna(xlookup(A390,'On Hand'!A:A,'On Hand'!E:E,),)))"),"")</f>
        <v/>
      </c>
    </row>
    <row r="391">
      <c r="A391" s="3" t="str">
        <f t="array" ref="A391">ifna(_xlfn.xlookup(B391,'All Item Code'!B:B,'All Item Code'!A:A,),)</f>
        <v/>
      </c>
      <c r="B391" s="3"/>
      <c r="C391" s="3" t="str">
        <f t="array" ref="C391">if(B391="Tidak Ada",,if(isblank(B391),,ifna(sumif('On Hand'!A:A,A391,'On Hand'!D:D)&amp;" "&amp;_xlfn.xlookup(A391,'All Item Code'!A:A,'All Item Code'!D:D,),0)))</f>
        <v/>
      </c>
      <c r="D391" s="3" t="str">
        <f>IFERROR(__xludf.DUMMYFUNCTION("if(isblank(B391),,ifna(textjoin(""; "",,filter('On Hand'!E:E,'On Hand'!A:A=A391)),ifna(xlookup(A391,'On Hand'!A:A,'On Hand'!E:E,),)))"),"")</f>
        <v/>
      </c>
    </row>
    <row r="392">
      <c r="A392" s="3" t="str">
        <f t="array" ref="A392">ifna(_xlfn.xlookup(B392,'All Item Code'!B:B,'All Item Code'!A:A,),)</f>
        <v/>
      </c>
      <c r="B392" s="3"/>
      <c r="C392" s="3" t="str">
        <f t="array" ref="C392">if(B392="Tidak Ada",,if(isblank(B392),,ifna(sumif('On Hand'!A:A,A392,'On Hand'!D:D)&amp;" "&amp;_xlfn.xlookup(A392,'All Item Code'!A:A,'All Item Code'!D:D,),0)))</f>
        <v/>
      </c>
      <c r="D392" s="3" t="str">
        <f>IFERROR(__xludf.DUMMYFUNCTION("if(isblank(B392),,ifna(textjoin(""; "",,filter('On Hand'!E:E,'On Hand'!A:A=A392)),ifna(xlookup(A392,'On Hand'!A:A,'On Hand'!E:E,),)))"),"")</f>
        <v/>
      </c>
    </row>
    <row r="393">
      <c r="A393" s="3" t="str">
        <f t="array" ref="A393">ifna(_xlfn.xlookup(B393,'All Item Code'!B:B,'All Item Code'!A:A,),)</f>
        <v/>
      </c>
      <c r="B393" s="3"/>
      <c r="C393" s="3" t="str">
        <f t="array" ref="C393">if(B393="Tidak Ada",,if(isblank(B393),,ifna(sumif('On Hand'!A:A,A393,'On Hand'!D:D)&amp;" "&amp;_xlfn.xlookup(A393,'All Item Code'!A:A,'All Item Code'!D:D,),0)))</f>
        <v/>
      </c>
      <c r="D393" s="3" t="str">
        <f>IFERROR(__xludf.DUMMYFUNCTION("if(isblank(B393),,ifna(textjoin(""; "",,filter('On Hand'!E:E,'On Hand'!A:A=A393)),ifna(xlookup(A393,'On Hand'!A:A,'On Hand'!E:E,),)))"),"")</f>
        <v/>
      </c>
    </row>
    <row r="394">
      <c r="A394" s="3" t="str">
        <f t="array" ref="A394">ifna(_xlfn.xlookup(B394,'All Item Code'!B:B,'All Item Code'!A:A,),)</f>
        <v/>
      </c>
      <c r="B394" s="3"/>
      <c r="C394" s="3" t="str">
        <f t="array" ref="C394">if(B394="Tidak Ada",,if(isblank(B394),,ifna(sumif('On Hand'!A:A,A394,'On Hand'!D:D)&amp;" "&amp;_xlfn.xlookup(A394,'All Item Code'!A:A,'All Item Code'!D:D,),0)))</f>
        <v/>
      </c>
      <c r="D394" s="3" t="str">
        <f>IFERROR(__xludf.DUMMYFUNCTION("if(isblank(B394),,ifna(textjoin(""; "",,filter('On Hand'!E:E,'On Hand'!A:A=A394)),ifna(xlookup(A394,'On Hand'!A:A,'On Hand'!E:E,),)))"),"")</f>
        <v/>
      </c>
    </row>
    <row r="395">
      <c r="A395" s="3" t="str">
        <f t="array" ref="A395">ifna(_xlfn.xlookup(B395,'All Item Code'!B:B,'All Item Code'!A:A,),)</f>
        <v/>
      </c>
      <c r="B395" s="3"/>
      <c r="C395" s="3" t="str">
        <f t="array" ref="C395">if(B395="Tidak Ada",,if(isblank(B395),,ifna(sumif('On Hand'!A:A,A395,'On Hand'!D:D)&amp;" "&amp;_xlfn.xlookup(A395,'All Item Code'!A:A,'All Item Code'!D:D,),0)))</f>
        <v/>
      </c>
      <c r="D395" s="3" t="str">
        <f>IFERROR(__xludf.DUMMYFUNCTION("if(isblank(B395),,ifna(textjoin(""; "",,filter('On Hand'!E:E,'On Hand'!A:A=A395)),ifna(xlookup(A395,'On Hand'!A:A,'On Hand'!E:E,),)))"),"")</f>
        <v/>
      </c>
    </row>
    <row r="396">
      <c r="A396" s="3" t="str">
        <f t="array" ref="A396">ifna(_xlfn.xlookup(B396,'All Item Code'!B:B,'All Item Code'!A:A,),)</f>
        <v/>
      </c>
      <c r="B396" s="3"/>
      <c r="C396" s="3" t="str">
        <f t="array" ref="C396">if(B396="Tidak Ada",,if(isblank(B396),,ifna(sumif('On Hand'!A:A,A396,'On Hand'!D:D)&amp;" "&amp;_xlfn.xlookup(A396,'All Item Code'!A:A,'All Item Code'!D:D,),0)))</f>
        <v/>
      </c>
      <c r="D396" s="3" t="str">
        <f>IFERROR(__xludf.DUMMYFUNCTION("if(isblank(B396),,ifna(textjoin(""; "",,filter('On Hand'!E:E,'On Hand'!A:A=A396)),ifna(xlookup(A396,'On Hand'!A:A,'On Hand'!E:E,),)))"),"")</f>
        <v/>
      </c>
    </row>
    <row r="397">
      <c r="A397" s="3" t="str">
        <f t="array" ref="A397">ifna(_xlfn.xlookup(B397,'All Item Code'!B:B,'All Item Code'!A:A,),)</f>
        <v/>
      </c>
      <c r="B397" s="3"/>
      <c r="C397" s="3" t="str">
        <f t="array" ref="C397">if(B397="Tidak Ada",,if(isblank(B397),,ifna(sumif('On Hand'!A:A,A397,'On Hand'!D:D)&amp;" "&amp;_xlfn.xlookup(A397,'All Item Code'!A:A,'All Item Code'!D:D,),0)))</f>
        <v/>
      </c>
      <c r="D397" s="3" t="str">
        <f>IFERROR(__xludf.DUMMYFUNCTION("if(isblank(B397),,ifna(textjoin(""; "",,filter('On Hand'!E:E,'On Hand'!A:A=A397)),ifna(xlookup(A397,'On Hand'!A:A,'On Hand'!E:E,),)))"),"")</f>
        <v/>
      </c>
    </row>
    <row r="398">
      <c r="A398" s="3" t="str">
        <f t="array" ref="A398">ifna(_xlfn.xlookup(B398,'All Item Code'!B:B,'All Item Code'!A:A,),)</f>
        <v/>
      </c>
      <c r="B398" s="3"/>
      <c r="C398" s="3" t="str">
        <f t="array" ref="C398">if(B398="Tidak Ada",,if(isblank(B398),,ifna(sumif('On Hand'!A:A,A398,'On Hand'!D:D)&amp;" "&amp;_xlfn.xlookup(A398,'All Item Code'!A:A,'All Item Code'!D:D,),0)))</f>
        <v/>
      </c>
      <c r="D398" s="3" t="str">
        <f>IFERROR(__xludf.DUMMYFUNCTION("if(isblank(B398),,ifna(textjoin(""; "",,filter('On Hand'!E:E,'On Hand'!A:A=A398)),ifna(xlookup(A398,'On Hand'!A:A,'On Hand'!E:E,),)))"),"")</f>
        <v/>
      </c>
    </row>
    <row r="399">
      <c r="A399" s="3" t="str">
        <f t="array" ref="A399">ifna(_xlfn.xlookup(B399,'All Item Code'!B:B,'All Item Code'!A:A,),)</f>
        <v/>
      </c>
      <c r="B399" s="3"/>
      <c r="C399" s="3" t="str">
        <f t="array" ref="C399">if(B399="Tidak Ada",,if(isblank(B399),,ifna(sumif('On Hand'!A:A,A399,'On Hand'!D:D)&amp;" "&amp;_xlfn.xlookup(A399,'All Item Code'!A:A,'All Item Code'!D:D,),0)))</f>
        <v/>
      </c>
      <c r="D399" s="3" t="str">
        <f>IFERROR(__xludf.DUMMYFUNCTION("if(isblank(B399),,ifna(textjoin(""; "",,filter('On Hand'!E:E,'On Hand'!A:A=A399)),ifna(xlookup(A399,'On Hand'!A:A,'On Hand'!E:E,),)))"),"")</f>
        <v/>
      </c>
    </row>
    <row r="400">
      <c r="A400" s="3" t="str">
        <f t="array" ref="A400">ifna(_xlfn.xlookup(B400,'All Item Code'!B:B,'All Item Code'!A:A,),)</f>
        <v/>
      </c>
      <c r="B400" s="3"/>
      <c r="C400" s="3" t="str">
        <f t="array" ref="C400">if(B400="Tidak Ada",,if(isblank(B400),,ifna(sumif('On Hand'!A:A,A400,'On Hand'!D:D)&amp;" "&amp;_xlfn.xlookup(A400,'All Item Code'!A:A,'All Item Code'!D:D,),0)))</f>
        <v/>
      </c>
      <c r="D400" s="3" t="str">
        <f>IFERROR(__xludf.DUMMYFUNCTION("if(isblank(B400),,ifna(textjoin(""; "",,filter('On Hand'!E:E,'On Hand'!A:A=A400)),ifna(xlookup(A400,'On Hand'!A:A,'On Hand'!E:E,),)))"),"")</f>
        <v/>
      </c>
    </row>
    <row r="401">
      <c r="A401" s="3" t="str">
        <f t="array" ref="A401">ifna(_xlfn.xlookup(B401,'All Item Code'!B:B,'All Item Code'!A:A,),)</f>
        <v/>
      </c>
      <c r="B401" s="3"/>
      <c r="C401" s="3" t="str">
        <f t="array" ref="C401">if(B401="Tidak Ada",,if(isblank(B401),,ifna(sumif('On Hand'!A:A,A401,'On Hand'!D:D)&amp;" "&amp;_xlfn.xlookup(A401,'All Item Code'!A:A,'All Item Code'!D:D,),0)))</f>
        <v/>
      </c>
      <c r="D401" s="3" t="str">
        <f>IFERROR(__xludf.DUMMYFUNCTION("if(isblank(B401),,ifna(textjoin(""; "",,filter('On Hand'!E:E,'On Hand'!A:A=A401)),ifna(xlookup(A401,'On Hand'!A:A,'On Hand'!E:E,),)))"),"")</f>
        <v/>
      </c>
    </row>
    <row r="402">
      <c r="A402" s="3" t="str">
        <f t="array" ref="A402">ifna(_xlfn.xlookup(B402,'All Item Code'!B:B,'All Item Code'!A:A,),)</f>
        <v/>
      </c>
      <c r="B402" s="3"/>
      <c r="C402" s="3" t="str">
        <f t="array" ref="C402">if(B402="Tidak Ada",,if(isblank(B402),,ifna(sumif('On Hand'!A:A,A402,'On Hand'!D:D)&amp;" "&amp;_xlfn.xlookup(A402,'All Item Code'!A:A,'All Item Code'!D:D,),0)))</f>
        <v/>
      </c>
      <c r="D402" s="3" t="str">
        <f>IFERROR(__xludf.DUMMYFUNCTION("if(isblank(B402),,ifna(textjoin(""; "",,filter('On Hand'!E:E,'On Hand'!A:A=A402)),ifna(xlookup(A402,'On Hand'!A:A,'On Hand'!E:E,),)))"),"")</f>
        <v/>
      </c>
    </row>
    <row r="403">
      <c r="A403" s="3" t="str">
        <f t="array" ref="A403">ifna(_xlfn.xlookup(B403,'All Item Code'!B:B,'All Item Code'!A:A,),)</f>
        <v/>
      </c>
      <c r="B403" s="3"/>
      <c r="C403" s="3" t="str">
        <f t="array" ref="C403">if(B403="Tidak Ada",,if(isblank(B403),,ifna(sumif('On Hand'!A:A,A403,'On Hand'!D:D)&amp;" "&amp;_xlfn.xlookup(A403,'All Item Code'!A:A,'All Item Code'!D:D,),0)))</f>
        <v/>
      </c>
      <c r="D403" s="3" t="str">
        <f>IFERROR(__xludf.DUMMYFUNCTION("if(isblank(B403),,ifna(textjoin(""; "",,filter('On Hand'!E:E,'On Hand'!A:A=A403)),ifna(xlookup(A403,'On Hand'!A:A,'On Hand'!E:E,),)))"),"")</f>
        <v/>
      </c>
    </row>
    <row r="404">
      <c r="A404" s="3" t="str">
        <f t="array" ref="A404">ifna(_xlfn.xlookup(B404,'All Item Code'!B:B,'All Item Code'!A:A,),)</f>
        <v/>
      </c>
      <c r="B404" s="3"/>
      <c r="C404" s="3" t="str">
        <f t="array" ref="C404">if(B404="Tidak Ada",,if(isblank(B404),,ifna(sumif('On Hand'!A:A,A404,'On Hand'!D:D)&amp;" "&amp;_xlfn.xlookup(A404,'All Item Code'!A:A,'All Item Code'!D:D,),0)))</f>
        <v/>
      </c>
      <c r="D404" s="3" t="str">
        <f>IFERROR(__xludf.DUMMYFUNCTION("if(isblank(B404),,ifna(textjoin(""; "",,filter('On Hand'!E:E,'On Hand'!A:A=A404)),ifna(xlookup(A404,'On Hand'!A:A,'On Hand'!E:E,),)))"),"")</f>
        <v/>
      </c>
    </row>
    <row r="405">
      <c r="A405" s="3" t="str">
        <f t="array" ref="A405">ifna(_xlfn.xlookup(B405,'All Item Code'!B:B,'All Item Code'!A:A,),)</f>
        <v/>
      </c>
      <c r="B405" s="3"/>
      <c r="C405" s="3" t="str">
        <f t="array" ref="C405">if(B405="Tidak Ada",,if(isblank(B405),,ifna(sumif('On Hand'!A:A,A405,'On Hand'!D:D)&amp;" "&amp;_xlfn.xlookup(A405,'All Item Code'!A:A,'All Item Code'!D:D,),0)))</f>
        <v/>
      </c>
      <c r="D405" s="3" t="str">
        <f>IFERROR(__xludf.DUMMYFUNCTION("if(isblank(B405),,ifna(textjoin(""; "",,filter('On Hand'!E:E,'On Hand'!A:A=A405)),ifna(xlookup(A405,'On Hand'!A:A,'On Hand'!E:E,),)))"),"")</f>
        <v/>
      </c>
    </row>
    <row r="406">
      <c r="A406" s="3" t="str">
        <f t="array" ref="A406">ifna(_xlfn.xlookup(B406,'All Item Code'!B:B,'All Item Code'!A:A,),)</f>
        <v/>
      </c>
      <c r="B406" s="3"/>
      <c r="C406" s="3" t="str">
        <f t="array" ref="C406">if(B406="Tidak Ada",,if(isblank(B406),,ifna(sumif('On Hand'!A:A,A406,'On Hand'!D:D)&amp;" "&amp;_xlfn.xlookup(A406,'All Item Code'!A:A,'All Item Code'!D:D,),0)))</f>
        <v/>
      </c>
      <c r="D406" s="3" t="str">
        <f>IFERROR(__xludf.DUMMYFUNCTION("if(isblank(B406),,ifna(textjoin(""; "",,filter('On Hand'!E:E,'On Hand'!A:A=A406)),ifna(xlookup(A406,'On Hand'!A:A,'On Hand'!E:E,),)))"),"")</f>
        <v/>
      </c>
    </row>
    <row r="407">
      <c r="A407" s="3" t="str">
        <f t="array" ref="A407">ifna(_xlfn.xlookup(B407,'All Item Code'!B:B,'All Item Code'!A:A,),)</f>
        <v/>
      </c>
      <c r="B407" s="3"/>
      <c r="C407" s="3" t="str">
        <f t="array" ref="C407">if(B407="Tidak Ada",,if(isblank(B407),,ifna(sumif('On Hand'!A:A,A407,'On Hand'!D:D)&amp;" "&amp;_xlfn.xlookup(A407,'All Item Code'!A:A,'All Item Code'!D:D,),0)))</f>
        <v/>
      </c>
      <c r="D407" s="3" t="str">
        <f>IFERROR(__xludf.DUMMYFUNCTION("if(isblank(B407),,ifna(textjoin(""; "",,filter('On Hand'!E:E,'On Hand'!A:A=A407)),ifna(xlookup(A407,'On Hand'!A:A,'On Hand'!E:E,),)))"),"")</f>
        <v/>
      </c>
    </row>
    <row r="408">
      <c r="A408" s="3" t="str">
        <f t="array" ref="A408">ifna(_xlfn.xlookup(B408,'All Item Code'!B:B,'All Item Code'!A:A,),)</f>
        <v/>
      </c>
      <c r="B408" s="3"/>
      <c r="C408" s="3" t="str">
        <f t="array" ref="C408">if(B408="Tidak Ada",,if(isblank(B408),,ifna(sumif('On Hand'!A:A,A408,'On Hand'!D:D)&amp;" "&amp;_xlfn.xlookup(A408,'All Item Code'!A:A,'All Item Code'!D:D,),0)))</f>
        <v/>
      </c>
      <c r="D408" s="3" t="str">
        <f>IFERROR(__xludf.DUMMYFUNCTION("if(isblank(B408),,ifna(textjoin(""; "",,filter('On Hand'!E:E,'On Hand'!A:A=A408)),ifna(xlookup(A408,'On Hand'!A:A,'On Hand'!E:E,),)))"),"")</f>
        <v/>
      </c>
    </row>
    <row r="409">
      <c r="A409" s="3" t="str">
        <f t="array" ref="A409">ifna(_xlfn.xlookup(B409,'All Item Code'!B:B,'All Item Code'!A:A,),)</f>
        <v/>
      </c>
      <c r="B409" s="3"/>
      <c r="C409" s="3" t="str">
        <f t="array" ref="C409">if(B409="Tidak Ada",,if(isblank(B409),,ifna(sumif('On Hand'!A:A,A409,'On Hand'!D:D)&amp;" "&amp;_xlfn.xlookup(A409,'All Item Code'!A:A,'All Item Code'!D:D,),0)))</f>
        <v/>
      </c>
      <c r="D409" s="3" t="str">
        <f>IFERROR(__xludf.DUMMYFUNCTION("if(isblank(B409),,ifna(textjoin(""; "",,filter('On Hand'!E:E,'On Hand'!A:A=A409)),ifna(xlookup(A409,'On Hand'!A:A,'On Hand'!E:E,),)))"),"")</f>
        <v/>
      </c>
    </row>
    <row r="410">
      <c r="A410" s="3" t="str">
        <f t="array" ref="A410">ifna(_xlfn.xlookup(B410,'All Item Code'!B:B,'All Item Code'!A:A,),)</f>
        <v/>
      </c>
      <c r="B410" s="3"/>
      <c r="C410" s="3" t="str">
        <f t="array" ref="C410">if(B410="Tidak Ada",,if(isblank(B410),,ifna(sumif('On Hand'!A:A,A410,'On Hand'!D:D)&amp;" "&amp;_xlfn.xlookup(A410,'All Item Code'!A:A,'All Item Code'!D:D,),0)))</f>
        <v/>
      </c>
      <c r="D410" s="3" t="str">
        <f>IFERROR(__xludf.DUMMYFUNCTION("if(isblank(B410),,ifna(textjoin(""; "",,filter('On Hand'!E:E,'On Hand'!A:A=A410)),ifna(xlookup(A410,'On Hand'!A:A,'On Hand'!E:E,),)))"),"")</f>
        <v/>
      </c>
    </row>
    <row r="411">
      <c r="A411" s="3" t="str">
        <f t="array" ref="A411">ifna(_xlfn.xlookup(B411,'All Item Code'!B:B,'All Item Code'!A:A,),)</f>
        <v/>
      </c>
      <c r="B411" s="3"/>
      <c r="C411" s="3" t="str">
        <f t="array" ref="C411">if(B411="Tidak Ada",,if(isblank(B411),,ifna(sumif('On Hand'!A:A,A411,'On Hand'!D:D)&amp;" "&amp;_xlfn.xlookup(A411,'All Item Code'!A:A,'All Item Code'!D:D,),0)))</f>
        <v/>
      </c>
      <c r="D411" s="3" t="str">
        <f>IFERROR(__xludf.DUMMYFUNCTION("if(isblank(B411),,ifna(textjoin(""; "",,filter('On Hand'!E:E,'On Hand'!A:A=A411)),ifna(xlookup(A411,'On Hand'!A:A,'On Hand'!E:E,),)))"),"")</f>
        <v/>
      </c>
    </row>
    <row r="412">
      <c r="A412" s="3" t="str">
        <f t="array" ref="A412">ifna(_xlfn.xlookup(B412,'All Item Code'!B:B,'All Item Code'!A:A,),)</f>
        <v/>
      </c>
      <c r="B412" s="3"/>
      <c r="C412" s="3" t="str">
        <f t="array" ref="C412">if(B412="Tidak Ada",,if(isblank(B412),,ifna(sumif('On Hand'!A:A,A412,'On Hand'!D:D)&amp;" "&amp;_xlfn.xlookup(A412,'All Item Code'!A:A,'All Item Code'!D:D,),0)))</f>
        <v/>
      </c>
      <c r="D412" s="3" t="str">
        <f>IFERROR(__xludf.DUMMYFUNCTION("if(isblank(B412),,ifna(textjoin(""; "",,filter('On Hand'!E:E,'On Hand'!A:A=A412)),ifna(xlookup(A412,'On Hand'!A:A,'On Hand'!E:E,),)))"),"")</f>
        <v/>
      </c>
    </row>
    <row r="413">
      <c r="A413" s="3" t="str">
        <f t="array" ref="A413">ifna(_xlfn.xlookup(B413,'All Item Code'!B:B,'All Item Code'!A:A,),)</f>
        <v/>
      </c>
      <c r="B413" s="3"/>
      <c r="C413" s="3" t="str">
        <f t="array" ref="C413">if(B413="Tidak Ada",,if(isblank(B413),,ifna(sumif('On Hand'!A:A,A413,'On Hand'!D:D)&amp;" "&amp;_xlfn.xlookup(A413,'All Item Code'!A:A,'All Item Code'!D:D,),0)))</f>
        <v/>
      </c>
      <c r="D413" s="3" t="str">
        <f>IFERROR(__xludf.DUMMYFUNCTION("if(isblank(B413),,ifna(textjoin(""; "",,filter('On Hand'!E:E,'On Hand'!A:A=A413)),ifna(xlookup(A413,'On Hand'!A:A,'On Hand'!E:E,),)))"),"")</f>
        <v/>
      </c>
    </row>
    <row r="414">
      <c r="A414" s="3" t="str">
        <f t="array" ref="A414">ifna(_xlfn.xlookup(B414,'All Item Code'!B:B,'All Item Code'!A:A,),)</f>
        <v/>
      </c>
      <c r="B414" s="3"/>
      <c r="C414" s="3" t="str">
        <f t="array" ref="C414">if(B414="Tidak Ada",,if(isblank(B414),,ifna(sumif('On Hand'!A:A,A414,'On Hand'!D:D)&amp;" "&amp;_xlfn.xlookup(A414,'All Item Code'!A:A,'All Item Code'!D:D,),0)))</f>
        <v/>
      </c>
      <c r="D414" s="3" t="str">
        <f>IFERROR(__xludf.DUMMYFUNCTION("if(isblank(B414),,ifna(textjoin(""; "",,filter('On Hand'!E:E,'On Hand'!A:A=A414)),ifna(xlookup(A414,'On Hand'!A:A,'On Hand'!E:E,),)))"),"")</f>
        <v/>
      </c>
    </row>
    <row r="415">
      <c r="A415" s="3" t="str">
        <f t="array" ref="A415">ifna(_xlfn.xlookup(B415,'All Item Code'!B:B,'All Item Code'!A:A,),)</f>
        <v/>
      </c>
      <c r="B415" s="3"/>
      <c r="C415" s="3" t="str">
        <f t="array" ref="C415">if(B415="Tidak Ada",,if(isblank(B415),,ifna(sumif('On Hand'!A:A,A415,'On Hand'!D:D)&amp;" "&amp;_xlfn.xlookup(A415,'All Item Code'!A:A,'All Item Code'!D:D,),0)))</f>
        <v/>
      </c>
      <c r="D415" s="3" t="str">
        <f>IFERROR(__xludf.DUMMYFUNCTION("if(isblank(B415),,ifna(textjoin(""; "",,filter('On Hand'!E:E,'On Hand'!A:A=A415)),ifna(xlookup(A415,'On Hand'!A:A,'On Hand'!E:E,),)))"),"")</f>
        <v/>
      </c>
    </row>
    <row r="416">
      <c r="A416" s="3" t="str">
        <f t="array" ref="A416">ifna(_xlfn.xlookup(B416,'All Item Code'!B:B,'All Item Code'!A:A,),)</f>
        <v/>
      </c>
      <c r="B416" s="3"/>
      <c r="C416" s="3" t="str">
        <f t="array" ref="C416">if(B416="Tidak Ada",,if(isblank(B416),,ifna(sumif('On Hand'!A:A,A416,'On Hand'!D:D)&amp;" "&amp;_xlfn.xlookup(A416,'All Item Code'!A:A,'All Item Code'!D:D,),0)))</f>
        <v/>
      </c>
      <c r="D416" s="3" t="str">
        <f>IFERROR(__xludf.DUMMYFUNCTION("if(isblank(B416),,ifna(textjoin(""; "",,filter('On Hand'!E:E,'On Hand'!A:A=A416)),ifna(xlookup(A416,'On Hand'!A:A,'On Hand'!E:E,),)))"),"")</f>
        <v/>
      </c>
    </row>
    <row r="417">
      <c r="A417" s="3" t="str">
        <f t="array" ref="A417">ifna(_xlfn.xlookup(B417,'All Item Code'!B:B,'All Item Code'!A:A,),)</f>
        <v/>
      </c>
      <c r="B417" s="3"/>
      <c r="C417" s="3" t="str">
        <f t="array" ref="C417">if(B417="Tidak Ada",,if(isblank(B417),,ifna(sumif('On Hand'!A:A,A417,'On Hand'!D:D)&amp;" "&amp;_xlfn.xlookup(A417,'All Item Code'!A:A,'All Item Code'!D:D,),0)))</f>
        <v/>
      </c>
      <c r="D417" s="3" t="str">
        <f>IFERROR(__xludf.DUMMYFUNCTION("if(isblank(B417),,ifna(textjoin(""; "",,filter('On Hand'!E:E,'On Hand'!A:A=A417)),ifna(xlookup(A417,'On Hand'!A:A,'On Hand'!E:E,),)))"),"")</f>
        <v/>
      </c>
    </row>
    <row r="418">
      <c r="A418" s="3" t="str">
        <f t="array" ref="A418">ifna(_xlfn.xlookup(B418,'All Item Code'!B:B,'All Item Code'!A:A,),)</f>
        <v/>
      </c>
      <c r="B418" s="3"/>
      <c r="C418" s="3" t="str">
        <f t="array" ref="C418">if(B418="Tidak Ada",,if(isblank(B418),,ifna(sumif('On Hand'!A:A,A418,'On Hand'!D:D)&amp;" "&amp;_xlfn.xlookup(A418,'All Item Code'!A:A,'All Item Code'!D:D,),0)))</f>
        <v/>
      </c>
      <c r="D418" s="3" t="str">
        <f>IFERROR(__xludf.DUMMYFUNCTION("if(isblank(B418),,ifna(textjoin(""; "",,filter('On Hand'!E:E,'On Hand'!A:A=A418)),ifna(xlookup(A418,'On Hand'!A:A,'On Hand'!E:E,),)))"),"")</f>
        <v/>
      </c>
    </row>
    <row r="419">
      <c r="A419" s="3" t="str">
        <f t="array" ref="A419">ifna(_xlfn.xlookup(B419,'All Item Code'!B:B,'All Item Code'!A:A,),)</f>
        <v/>
      </c>
      <c r="B419" s="3"/>
      <c r="C419" s="3" t="str">
        <f t="array" ref="C419">if(B419="Tidak Ada",,if(isblank(B419),,ifna(sumif('On Hand'!A:A,A419,'On Hand'!D:D)&amp;" "&amp;_xlfn.xlookup(A419,'All Item Code'!A:A,'All Item Code'!D:D,),0)))</f>
        <v/>
      </c>
      <c r="D419" s="3" t="str">
        <f>IFERROR(__xludf.DUMMYFUNCTION("if(isblank(B419),,ifna(textjoin(""; "",,filter('On Hand'!E:E,'On Hand'!A:A=A419)),ifna(xlookup(A419,'On Hand'!A:A,'On Hand'!E:E,),)))"),"")</f>
        <v/>
      </c>
    </row>
    <row r="420">
      <c r="A420" s="3" t="str">
        <f t="array" ref="A420">ifna(_xlfn.xlookup(B420,'All Item Code'!B:B,'All Item Code'!A:A,),)</f>
        <v/>
      </c>
      <c r="B420" s="3"/>
      <c r="C420" s="3" t="str">
        <f t="array" ref="C420">if(B420="Tidak Ada",,if(isblank(B420),,ifna(sumif('On Hand'!A:A,A420,'On Hand'!D:D)&amp;" "&amp;_xlfn.xlookup(A420,'All Item Code'!A:A,'All Item Code'!D:D,),0)))</f>
        <v/>
      </c>
      <c r="D420" s="3" t="str">
        <f>IFERROR(__xludf.DUMMYFUNCTION("if(isblank(B420),,ifna(textjoin(""; "",,filter('On Hand'!E:E,'On Hand'!A:A=A420)),ifna(xlookup(A420,'On Hand'!A:A,'On Hand'!E:E,),)))"),"")</f>
        <v/>
      </c>
    </row>
    <row r="421">
      <c r="A421" s="3" t="str">
        <f t="array" ref="A421">ifna(_xlfn.xlookup(B421,'All Item Code'!B:B,'All Item Code'!A:A,),)</f>
        <v/>
      </c>
      <c r="B421" s="3"/>
      <c r="C421" s="3" t="str">
        <f t="array" ref="C421">if(B421="Tidak Ada",,if(isblank(B421),,ifna(sumif('On Hand'!A:A,A421,'On Hand'!D:D)&amp;" "&amp;_xlfn.xlookup(A421,'All Item Code'!A:A,'All Item Code'!D:D,),0)))</f>
        <v/>
      </c>
      <c r="D421" s="3" t="str">
        <f>IFERROR(__xludf.DUMMYFUNCTION("if(isblank(B421),,ifna(textjoin(""; "",,filter('On Hand'!E:E,'On Hand'!A:A=A421)),ifna(xlookup(A421,'On Hand'!A:A,'On Hand'!E:E,),)))"),"")</f>
        <v/>
      </c>
    </row>
    <row r="422">
      <c r="A422" s="3" t="str">
        <f t="array" ref="A422">ifna(_xlfn.xlookup(B422,'All Item Code'!B:B,'All Item Code'!A:A,),)</f>
        <v/>
      </c>
      <c r="B422" s="3"/>
      <c r="C422" s="3" t="str">
        <f t="array" ref="C422">if(B422="Tidak Ada",,if(isblank(B422),,ifna(sumif('On Hand'!A:A,A422,'On Hand'!D:D)&amp;" "&amp;_xlfn.xlookup(A422,'All Item Code'!A:A,'All Item Code'!D:D,),0)))</f>
        <v/>
      </c>
      <c r="D422" s="3" t="str">
        <f>IFERROR(__xludf.DUMMYFUNCTION("if(isblank(B422),,ifna(textjoin(""; "",,filter('On Hand'!E:E,'On Hand'!A:A=A422)),ifna(xlookup(A422,'On Hand'!A:A,'On Hand'!E:E,),)))"),"")</f>
        <v/>
      </c>
    </row>
    <row r="423">
      <c r="A423" s="3" t="str">
        <f t="array" ref="A423">ifna(_xlfn.xlookup(B423,'All Item Code'!B:B,'All Item Code'!A:A,),)</f>
        <v/>
      </c>
      <c r="B423" s="3"/>
      <c r="C423" s="3" t="str">
        <f t="array" ref="C423">if(B423="Tidak Ada",,if(isblank(B423),,ifna(sumif('On Hand'!A:A,A423,'On Hand'!D:D)&amp;" "&amp;_xlfn.xlookup(A423,'All Item Code'!A:A,'All Item Code'!D:D,),0)))</f>
        <v/>
      </c>
      <c r="D423" s="3" t="str">
        <f>IFERROR(__xludf.DUMMYFUNCTION("if(isblank(B423),,ifna(textjoin(""; "",,filter('On Hand'!E:E,'On Hand'!A:A=A423)),ifna(xlookup(A423,'On Hand'!A:A,'On Hand'!E:E,),)))"),"")</f>
        <v/>
      </c>
    </row>
    <row r="424">
      <c r="A424" s="3" t="str">
        <f t="array" ref="A424">ifna(_xlfn.xlookup(B424,'All Item Code'!B:B,'All Item Code'!A:A,),)</f>
        <v/>
      </c>
      <c r="B424" s="3"/>
      <c r="C424" s="3" t="str">
        <f t="array" ref="C424">if(B424="Tidak Ada",,if(isblank(B424),,ifna(sumif('On Hand'!A:A,A424,'On Hand'!D:D)&amp;" "&amp;_xlfn.xlookup(A424,'All Item Code'!A:A,'All Item Code'!D:D,),0)))</f>
        <v/>
      </c>
      <c r="D424" s="3" t="str">
        <f>IFERROR(__xludf.DUMMYFUNCTION("if(isblank(B424),,ifna(textjoin(""; "",,filter('On Hand'!E:E,'On Hand'!A:A=A424)),ifna(xlookup(A424,'On Hand'!A:A,'On Hand'!E:E,),)))"),"")</f>
        <v/>
      </c>
    </row>
    <row r="425">
      <c r="A425" s="3" t="str">
        <f t="array" ref="A425">ifna(_xlfn.xlookup(B425,'All Item Code'!B:B,'All Item Code'!A:A,),)</f>
        <v/>
      </c>
      <c r="B425" s="3"/>
      <c r="C425" s="3" t="str">
        <f t="array" ref="C425">if(B425="Tidak Ada",,if(isblank(B425),,ifna(sumif('On Hand'!A:A,A425,'On Hand'!D:D)&amp;" "&amp;_xlfn.xlookup(A425,'All Item Code'!A:A,'All Item Code'!D:D,),0)))</f>
        <v/>
      </c>
      <c r="D425" s="3" t="str">
        <f>IFERROR(__xludf.DUMMYFUNCTION("if(isblank(B425),,ifna(textjoin(""; "",,filter('On Hand'!E:E,'On Hand'!A:A=A425)),ifna(xlookup(A425,'On Hand'!A:A,'On Hand'!E:E,),)))"),"")</f>
        <v/>
      </c>
    </row>
    <row r="426">
      <c r="A426" s="3" t="str">
        <f t="array" ref="A426">ifna(_xlfn.xlookup(B426,'All Item Code'!B:B,'All Item Code'!A:A,),)</f>
        <v/>
      </c>
      <c r="B426" s="3"/>
      <c r="C426" s="3" t="str">
        <f t="array" ref="C426">if(B426="Tidak Ada",,if(isblank(B426),,ifna(sumif('On Hand'!A:A,A426,'On Hand'!D:D)&amp;" "&amp;_xlfn.xlookup(A426,'All Item Code'!A:A,'All Item Code'!D:D,),0)))</f>
        <v/>
      </c>
      <c r="D426" s="3" t="str">
        <f>IFERROR(__xludf.DUMMYFUNCTION("if(isblank(B426),,ifna(textjoin(""; "",,filter('On Hand'!E:E,'On Hand'!A:A=A426)),ifna(xlookup(A426,'On Hand'!A:A,'On Hand'!E:E,),)))"),"")</f>
        <v/>
      </c>
    </row>
    <row r="427">
      <c r="A427" s="3" t="str">
        <f t="array" ref="A427">ifna(_xlfn.xlookup(B427,'All Item Code'!B:B,'All Item Code'!A:A,),)</f>
        <v/>
      </c>
      <c r="B427" s="3"/>
      <c r="C427" s="3" t="str">
        <f t="array" ref="C427">if(B427="Tidak Ada",,if(isblank(B427),,ifna(sumif('On Hand'!A:A,A427,'On Hand'!D:D)&amp;" "&amp;_xlfn.xlookup(A427,'All Item Code'!A:A,'All Item Code'!D:D,),0)))</f>
        <v/>
      </c>
      <c r="D427" s="3" t="str">
        <f>IFERROR(__xludf.DUMMYFUNCTION("if(isblank(B427),,ifna(textjoin(""; "",,filter('On Hand'!E:E,'On Hand'!A:A=A427)),ifna(xlookup(A427,'On Hand'!A:A,'On Hand'!E:E,),)))"),"")</f>
        <v/>
      </c>
    </row>
    <row r="428">
      <c r="A428" s="3" t="str">
        <f t="array" ref="A428">ifna(_xlfn.xlookup(B428,'All Item Code'!B:B,'All Item Code'!A:A,),)</f>
        <v/>
      </c>
      <c r="B428" s="3"/>
      <c r="C428" s="3" t="str">
        <f t="array" ref="C428">if(B428="Tidak Ada",,if(isblank(B428),,ifna(sumif('On Hand'!A:A,A428,'On Hand'!D:D)&amp;" "&amp;_xlfn.xlookup(A428,'All Item Code'!A:A,'All Item Code'!D:D,),0)))</f>
        <v/>
      </c>
      <c r="D428" s="3" t="str">
        <f>IFERROR(__xludf.DUMMYFUNCTION("if(isblank(B428),,ifna(textjoin(""; "",,filter('On Hand'!E:E,'On Hand'!A:A=A428)),ifna(xlookup(A428,'On Hand'!A:A,'On Hand'!E:E,),)))"),"")</f>
        <v/>
      </c>
    </row>
    <row r="429">
      <c r="A429" s="3" t="str">
        <f t="array" ref="A429">ifna(_xlfn.xlookup(B429,'All Item Code'!B:B,'All Item Code'!A:A,),)</f>
        <v/>
      </c>
      <c r="B429" s="3"/>
      <c r="C429" s="3" t="str">
        <f t="array" ref="C429">if(B429="Tidak Ada",,if(isblank(B429),,ifna(sumif('On Hand'!A:A,A429,'On Hand'!D:D)&amp;" "&amp;_xlfn.xlookup(A429,'All Item Code'!A:A,'All Item Code'!D:D,),0)))</f>
        <v/>
      </c>
      <c r="D429" s="3" t="str">
        <f>IFERROR(__xludf.DUMMYFUNCTION("if(isblank(B429),,ifna(textjoin(""; "",,filter('On Hand'!E:E,'On Hand'!A:A=A429)),ifna(xlookup(A429,'On Hand'!A:A,'On Hand'!E:E,),)))"),"")</f>
        <v/>
      </c>
    </row>
    <row r="430">
      <c r="A430" s="3" t="str">
        <f t="array" ref="A430">ifna(_xlfn.xlookup(B430,'All Item Code'!B:B,'All Item Code'!A:A,),)</f>
        <v/>
      </c>
      <c r="B430" s="3"/>
      <c r="C430" s="3" t="str">
        <f t="array" ref="C430">if(B430="Tidak Ada",,if(isblank(B430),,ifna(sumif('On Hand'!A:A,A430,'On Hand'!D:D)&amp;" "&amp;_xlfn.xlookup(A430,'All Item Code'!A:A,'All Item Code'!D:D,),0)))</f>
        <v/>
      </c>
      <c r="D430" s="3" t="str">
        <f>IFERROR(__xludf.DUMMYFUNCTION("if(isblank(B430),,ifna(textjoin(""; "",,filter('On Hand'!E:E,'On Hand'!A:A=A430)),ifna(xlookup(A430,'On Hand'!A:A,'On Hand'!E:E,),)))"),"")</f>
        <v/>
      </c>
    </row>
    <row r="431">
      <c r="A431" s="3" t="str">
        <f t="array" ref="A431">ifna(_xlfn.xlookup(B431,'All Item Code'!B:B,'All Item Code'!A:A,),)</f>
        <v/>
      </c>
      <c r="B431" s="3"/>
      <c r="C431" s="3" t="str">
        <f t="array" ref="C431">if(B431="Tidak Ada",,if(isblank(B431),,ifna(sumif('On Hand'!A:A,A431,'On Hand'!D:D)&amp;" "&amp;_xlfn.xlookup(A431,'All Item Code'!A:A,'All Item Code'!D:D,),0)))</f>
        <v/>
      </c>
      <c r="D431" s="3" t="str">
        <f>IFERROR(__xludf.DUMMYFUNCTION("if(isblank(B431),,ifna(textjoin(""; "",,filter('On Hand'!E:E,'On Hand'!A:A=A431)),ifna(xlookup(A431,'On Hand'!A:A,'On Hand'!E:E,),)))"),"")</f>
        <v/>
      </c>
    </row>
    <row r="432">
      <c r="A432" s="3" t="str">
        <f t="array" ref="A432">ifna(_xlfn.xlookup(B432,'All Item Code'!B:B,'All Item Code'!A:A,),)</f>
        <v/>
      </c>
      <c r="B432" s="3"/>
      <c r="C432" s="3" t="str">
        <f t="array" ref="C432">if(B432="Tidak Ada",,if(isblank(B432),,ifna(sumif('On Hand'!A:A,A432,'On Hand'!D:D)&amp;" "&amp;_xlfn.xlookup(A432,'All Item Code'!A:A,'All Item Code'!D:D,),0)))</f>
        <v/>
      </c>
      <c r="D432" s="3" t="str">
        <f>IFERROR(__xludf.DUMMYFUNCTION("if(isblank(B432),,ifna(textjoin(""; "",,filter('On Hand'!E:E,'On Hand'!A:A=A432)),ifna(xlookup(A432,'On Hand'!A:A,'On Hand'!E:E,),)))"),"")</f>
        <v/>
      </c>
    </row>
    <row r="433">
      <c r="A433" s="3" t="str">
        <f t="array" ref="A433">ifna(_xlfn.xlookup(B433,'All Item Code'!B:B,'All Item Code'!A:A,),)</f>
        <v/>
      </c>
      <c r="B433" s="3"/>
      <c r="C433" s="3" t="str">
        <f t="array" ref="C433">if(B433="Tidak Ada",,if(isblank(B433),,ifna(sumif('On Hand'!A:A,A433,'On Hand'!D:D)&amp;" "&amp;_xlfn.xlookup(A433,'All Item Code'!A:A,'All Item Code'!D:D,),0)))</f>
        <v/>
      </c>
      <c r="D433" s="3" t="str">
        <f>IFERROR(__xludf.DUMMYFUNCTION("if(isblank(B433),,ifna(textjoin(""; "",,filter('On Hand'!E:E,'On Hand'!A:A=A433)),ifna(xlookup(A433,'On Hand'!A:A,'On Hand'!E:E,),)))"),"")</f>
        <v/>
      </c>
    </row>
    <row r="434">
      <c r="A434" s="3" t="str">
        <f t="array" ref="A434">ifna(_xlfn.xlookup(B434,'All Item Code'!B:B,'All Item Code'!A:A,),)</f>
        <v/>
      </c>
      <c r="B434" s="3"/>
      <c r="C434" s="3" t="str">
        <f t="array" ref="C434">if(B434="Tidak Ada",,if(isblank(B434),,ifna(sumif('On Hand'!A:A,A434,'On Hand'!D:D)&amp;" "&amp;_xlfn.xlookup(A434,'All Item Code'!A:A,'All Item Code'!D:D,),0)))</f>
        <v/>
      </c>
      <c r="D434" s="3" t="str">
        <f>IFERROR(__xludf.DUMMYFUNCTION("if(isblank(B434),,ifna(textjoin(""; "",,filter('On Hand'!E:E,'On Hand'!A:A=A434)),ifna(xlookup(A434,'On Hand'!A:A,'On Hand'!E:E,),)))"),"")</f>
        <v/>
      </c>
    </row>
    <row r="435">
      <c r="A435" s="3" t="str">
        <f t="array" ref="A435">ifna(_xlfn.xlookup(B435,'All Item Code'!B:B,'All Item Code'!A:A,),)</f>
        <v/>
      </c>
      <c r="B435" s="3"/>
      <c r="C435" s="3" t="str">
        <f t="array" ref="C435">if(B435="Tidak Ada",,if(isblank(B435),,ifna(sumif('On Hand'!A:A,A435,'On Hand'!D:D)&amp;" "&amp;_xlfn.xlookup(A435,'All Item Code'!A:A,'All Item Code'!D:D,),0)))</f>
        <v/>
      </c>
      <c r="D435" s="3" t="str">
        <f>IFERROR(__xludf.DUMMYFUNCTION("if(isblank(B435),,ifna(textjoin(""; "",,filter('On Hand'!E:E,'On Hand'!A:A=A435)),ifna(xlookup(A435,'On Hand'!A:A,'On Hand'!E:E,),)))"),"")</f>
        <v/>
      </c>
    </row>
    <row r="436">
      <c r="A436" s="3" t="str">
        <f t="array" ref="A436">ifna(_xlfn.xlookup(B436,'All Item Code'!B:B,'All Item Code'!A:A,),)</f>
        <v/>
      </c>
      <c r="B436" s="3"/>
      <c r="C436" s="3" t="str">
        <f t="array" ref="C436">if(B436="Tidak Ada",,if(isblank(B436),,ifna(sumif('On Hand'!A:A,A436,'On Hand'!D:D)&amp;" "&amp;_xlfn.xlookup(A436,'All Item Code'!A:A,'All Item Code'!D:D,),0)))</f>
        <v/>
      </c>
      <c r="D436" s="3" t="str">
        <f>IFERROR(__xludf.DUMMYFUNCTION("if(isblank(B436),,ifna(textjoin(""; "",,filter('On Hand'!E:E,'On Hand'!A:A=A436)),ifna(xlookup(A436,'On Hand'!A:A,'On Hand'!E:E,),)))"),"")</f>
        <v/>
      </c>
    </row>
    <row r="437">
      <c r="A437" s="3" t="str">
        <f t="array" ref="A437">ifna(_xlfn.xlookup(B437,'All Item Code'!B:B,'All Item Code'!A:A,),)</f>
        <v/>
      </c>
      <c r="B437" s="3"/>
      <c r="C437" s="3" t="str">
        <f t="array" ref="C437">if(B437="Tidak Ada",,if(isblank(B437),,ifna(sumif('On Hand'!A:A,A437,'On Hand'!D:D)&amp;" "&amp;_xlfn.xlookup(A437,'All Item Code'!A:A,'All Item Code'!D:D,),0)))</f>
        <v/>
      </c>
      <c r="D437" s="3" t="str">
        <f>IFERROR(__xludf.DUMMYFUNCTION("if(isblank(B437),,ifna(textjoin(""; "",,filter('On Hand'!E:E,'On Hand'!A:A=A437)),ifna(xlookup(A437,'On Hand'!A:A,'On Hand'!E:E,),)))"),"")</f>
        <v/>
      </c>
    </row>
    <row r="438">
      <c r="A438" s="3" t="str">
        <f t="array" ref="A438">ifna(_xlfn.xlookup(B438,'All Item Code'!B:B,'All Item Code'!A:A,),)</f>
        <v/>
      </c>
      <c r="B438" s="3"/>
      <c r="C438" s="3" t="str">
        <f t="array" ref="C438">if(B438="Tidak Ada",,if(isblank(B438),,ifna(sumif('On Hand'!A:A,A438,'On Hand'!D:D)&amp;" "&amp;_xlfn.xlookup(A438,'All Item Code'!A:A,'All Item Code'!D:D,),0)))</f>
        <v/>
      </c>
      <c r="D438" s="3" t="str">
        <f>IFERROR(__xludf.DUMMYFUNCTION("if(isblank(B438),,ifna(textjoin(""; "",,filter('On Hand'!E:E,'On Hand'!A:A=A438)),ifna(xlookup(A438,'On Hand'!A:A,'On Hand'!E:E,),)))"),"")</f>
        <v/>
      </c>
    </row>
    <row r="439">
      <c r="A439" s="3" t="str">
        <f t="array" ref="A439">ifna(_xlfn.xlookup(B439,'All Item Code'!B:B,'All Item Code'!A:A,),)</f>
        <v/>
      </c>
      <c r="B439" s="3"/>
      <c r="C439" s="3" t="str">
        <f t="array" ref="C439">if(B439="Tidak Ada",,if(isblank(B439),,ifna(sumif('On Hand'!A:A,A439,'On Hand'!D:D)&amp;" "&amp;_xlfn.xlookup(A439,'All Item Code'!A:A,'All Item Code'!D:D,),0)))</f>
        <v/>
      </c>
      <c r="D439" s="3" t="str">
        <f>IFERROR(__xludf.DUMMYFUNCTION("if(isblank(B439),,ifna(textjoin(""; "",,filter('On Hand'!E:E,'On Hand'!A:A=A439)),ifna(xlookup(A439,'On Hand'!A:A,'On Hand'!E:E,),)))"),"")</f>
        <v/>
      </c>
    </row>
    <row r="440">
      <c r="A440" s="3" t="str">
        <f t="array" ref="A440">ifna(_xlfn.xlookup(B440,'All Item Code'!B:B,'All Item Code'!A:A,),)</f>
        <v/>
      </c>
      <c r="B440" s="3"/>
      <c r="C440" s="3" t="str">
        <f t="array" ref="C440">if(B440="Tidak Ada",,if(isblank(B440),,ifna(sumif('On Hand'!A:A,A440,'On Hand'!D:D)&amp;" "&amp;_xlfn.xlookup(A440,'All Item Code'!A:A,'All Item Code'!D:D,),0)))</f>
        <v/>
      </c>
      <c r="D440" s="3" t="str">
        <f>IFERROR(__xludf.DUMMYFUNCTION("if(isblank(B440),,ifna(textjoin(""; "",,filter('On Hand'!E:E,'On Hand'!A:A=A440)),ifna(xlookup(A440,'On Hand'!A:A,'On Hand'!E:E,),)))"),"")</f>
        <v/>
      </c>
    </row>
    <row r="441">
      <c r="A441" s="3" t="str">
        <f t="array" ref="A441">ifna(_xlfn.xlookup(B441,'All Item Code'!B:B,'All Item Code'!A:A,),)</f>
        <v/>
      </c>
      <c r="B441" s="3"/>
      <c r="C441" s="3" t="str">
        <f t="array" ref="C441">if(B441="Tidak Ada",,if(isblank(B441),,ifna(sumif('On Hand'!A:A,A441,'On Hand'!D:D)&amp;" "&amp;_xlfn.xlookup(A441,'All Item Code'!A:A,'All Item Code'!D:D,),0)))</f>
        <v/>
      </c>
      <c r="D441" s="3" t="str">
        <f>IFERROR(__xludf.DUMMYFUNCTION("if(isblank(B441),,ifna(textjoin(""; "",,filter('On Hand'!E:E,'On Hand'!A:A=A441)),ifna(xlookup(A441,'On Hand'!A:A,'On Hand'!E:E,),)))"),"")</f>
        <v/>
      </c>
    </row>
    <row r="442">
      <c r="A442" s="3" t="str">
        <f t="array" ref="A442">ifna(_xlfn.xlookup(B442,'All Item Code'!B:B,'All Item Code'!A:A,),)</f>
        <v/>
      </c>
      <c r="B442" s="3"/>
      <c r="C442" s="3" t="str">
        <f t="array" ref="C442">if(B442="Tidak Ada",,if(isblank(B442),,ifna(sumif('On Hand'!A:A,A442,'On Hand'!D:D)&amp;" "&amp;_xlfn.xlookup(A442,'All Item Code'!A:A,'All Item Code'!D:D,),0)))</f>
        <v/>
      </c>
      <c r="D442" s="3" t="str">
        <f>IFERROR(__xludf.DUMMYFUNCTION("if(isblank(B442),,ifna(textjoin(""; "",,filter('On Hand'!E:E,'On Hand'!A:A=A442)),ifna(xlookup(A442,'On Hand'!A:A,'On Hand'!E:E,),)))"),"")</f>
        <v/>
      </c>
    </row>
    <row r="443">
      <c r="A443" s="3" t="str">
        <f t="array" ref="A443">ifna(_xlfn.xlookup(B443,'All Item Code'!B:B,'All Item Code'!A:A,),)</f>
        <v/>
      </c>
      <c r="B443" s="3"/>
      <c r="C443" s="3" t="str">
        <f t="array" ref="C443">if(B443="Tidak Ada",,if(isblank(B443),,ifna(sumif('On Hand'!A:A,A443,'On Hand'!D:D)&amp;" "&amp;_xlfn.xlookup(A443,'All Item Code'!A:A,'All Item Code'!D:D,),0)))</f>
        <v/>
      </c>
      <c r="D443" s="3" t="str">
        <f>IFERROR(__xludf.DUMMYFUNCTION("if(isblank(B443),,ifna(textjoin(""; "",,filter('On Hand'!E:E,'On Hand'!A:A=A443)),ifna(xlookup(A443,'On Hand'!A:A,'On Hand'!E:E,),)))"),"")</f>
        <v/>
      </c>
    </row>
    <row r="444">
      <c r="A444" s="3" t="str">
        <f t="array" ref="A444">ifna(_xlfn.xlookup(B444,'All Item Code'!B:B,'All Item Code'!A:A,),)</f>
        <v/>
      </c>
      <c r="B444" s="3"/>
      <c r="C444" s="3" t="str">
        <f t="array" ref="C444">if(B444="Tidak Ada",,if(isblank(B444),,ifna(sumif('On Hand'!A:A,A444,'On Hand'!D:D)&amp;" "&amp;_xlfn.xlookup(A444,'All Item Code'!A:A,'All Item Code'!D:D,),0)))</f>
        <v/>
      </c>
      <c r="D444" s="3" t="str">
        <f>IFERROR(__xludf.DUMMYFUNCTION("if(isblank(B444),,ifna(textjoin(""; "",,filter('On Hand'!E:E,'On Hand'!A:A=A444)),ifna(xlookup(A444,'On Hand'!A:A,'On Hand'!E:E,),)))"),"")</f>
        <v/>
      </c>
    </row>
    <row r="445">
      <c r="A445" s="3" t="str">
        <f t="array" ref="A445">ifna(_xlfn.xlookup(B445,'All Item Code'!B:B,'All Item Code'!A:A,),)</f>
        <v/>
      </c>
      <c r="B445" s="3"/>
      <c r="C445" s="3" t="str">
        <f t="array" ref="C445">if(B445="Tidak Ada",,if(isblank(B445),,ifna(sumif('On Hand'!A:A,A445,'On Hand'!D:D)&amp;" "&amp;_xlfn.xlookup(A445,'All Item Code'!A:A,'All Item Code'!D:D,),0)))</f>
        <v/>
      </c>
      <c r="D445" s="3" t="str">
        <f>IFERROR(__xludf.DUMMYFUNCTION("if(isblank(B445),,ifna(textjoin(""; "",,filter('On Hand'!E:E,'On Hand'!A:A=A445)),ifna(xlookup(A445,'On Hand'!A:A,'On Hand'!E:E,),)))"),"")</f>
        <v/>
      </c>
    </row>
    <row r="446">
      <c r="A446" s="3" t="str">
        <f t="array" ref="A446">ifna(_xlfn.xlookup(B446,'All Item Code'!B:B,'All Item Code'!A:A,),)</f>
        <v/>
      </c>
      <c r="B446" s="3"/>
      <c r="C446" s="3" t="str">
        <f t="array" ref="C446">if(B446="Tidak Ada",,if(isblank(B446),,ifna(sumif('On Hand'!A:A,A446,'On Hand'!D:D)&amp;" "&amp;_xlfn.xlookup(A446,'All Item Code'!A:A,'All Item Code'!D:D,),0)))</f>
        <v/>
      </c>
      <c r="D446" s="3" t="str">
        <f>IFERROR(__xludf.DUMMYFUNCTION("if(isblank(B446),,ifna(textjoin(""; "",,filter('On Hand'!E:E,'On Hand'!A:A=A446)),ifna(xlookup(A446,'On Hand'!A:A,'On Hand'!E:E,),)))"),"")</f>
        <v/>
      </c>
    </row>
    <row r="447">
      <c r="A447" s="3" t="str">
        <f t="array" ref="A447">ifna(_xlfn.xlookup(B447,'All Item Code'!B:B,'All Item Code'!A:A,),)</f>
        <v/>
      </c>
      <c r="B447" s="3"/>
      <c r="C447" s="3" t="str">
        <f t="array" ref="C447">if(B447="Tidak Ada",,if(isblank(B447),,ifna(sumif('On Hand'!A:A,A447,'On Hand'!D:D)&amp;" "&amp;_xlfn.xlookup(A447,'All Item Code'!A:A,'All Item Code'!D:D,),0)))</f>
        <v/>
      </c>
      <c r="D447" s="3" t="str">
        <f>IFERROR(__xludf.DUMMYFUNCTION("if(isblank(B447),,ifna(textjoin(""; "",,filter('On Hand'!E:E,'On Hand'!A:A=A447)),ifna(xlookup(A447,'On Hand'!A:A,'On Hand'!E:E,),)))"),"")</f>
        <v/>
      </c>
    </row>
    <row r="448">
      <c r="A448" s="3" t="str">
        <f t="array" ref="A448">ifna(_xlfn.xlookup(B448,'All Item Code'!B:B,'All Item Code'!A:A,),)</f>
        <v/>
      </c>
      <c r="B448" s="3"/>
      <c r="C448" s="3" t="str">
        <f t="array" ref="C448">if(B448="Tidak Ada",,if(isblank(B448),,ifna(sumif('On Hand'!A:A,A448,'On Hand'!D:D)&amp;" "&amp;_xlfn.xlookup(A448,'All Item Code'!A:A,'All Item Code'!D:D,),0)))</f>
        <v/>
      </c>
      <c r="D448" s="3" t="str">
        <f>IFERROR(__xludf.DUMMYFUNCTION("if(isblank(B448),,ifna(textjoin(""; "",,filter('On Hand'!E:E,'On Hand'!A:A=A448)),ifna(xlookup(A448,'On Hand'!A:A,'On Hand'!E:E,),)))"),"")</f>
        <v/>
      </c>
    </row>
    <row r="449">
      <c r="A449" s="3" t="str">
        <f t="array" ref="A449">ifna(_xlfn.xlookup(B449,'All Item Code'!B:B,'All Item Code'!A:A,),)</f>
        <v/>
      </c>
      <c r="B449" s="3"/>
      <c r="C449" s="3" t="str">
        <f t="array" ref="C449">if(B449="Tidak Ada",,if(isblank(B449),,ifna(sumif('On Hand'!A:A,A449,'On Hand'!D:D)&amp;" "&amp;_xlfn.xlookup(A449,'All Item Code'!A:A,'All Item Code'!D:D,),0)))</f>
        <v/>
      </c>
      <c r="D449" s="3" t="str">
        <f>IFERROR(__xludf.DUMMYFUNCTION("if(isblank(B449),,ifna(textjoin(""; "",,filter('On Hand'!E:E,'On Hand'!A:A=A449)),ifna(xlookup(A449,'On Hand'!A:A,'On Hand'!E:E,),)))"),"")</f>
        <v/>
      </c>
    </row>
    <row r="450">
      <c r="A450" s="3" t="str">
        <f t="array" ref="A450">ifna(_xlfn.xlookup(B450,'All Item Code'!B:B,'All Item Code'!A:A,),)</f>
        <v/>
      </c>
      <c r="B450" s="3"/>
      <c r="C450" s="3" t="str">
        <f t="array" ref="C450">if(B450="Tidak Ada",,if(isblank(B450),,ifna(sumif('On Hand'!A:A,A450,'On Hand'!D:D)&amp;" "&amp;_xlfn.xlookup(A450,'All Item Code'!A:A,'All Item Code'!D:D,),0)))</f>
        <v/>
      </c>
      <c r="D450" s="3" t="str">
        <f>IFERROR(__xludf.DUMMYFUNCTION("if(isblank(B450),,ifna(textjoin(""; "",,filter('On Hand'!E:E,'On Hand'!A:A=A450)),ifna(xlookup(A450,'On Hand'!A:A,'On Hand'!E:E,),)))"),"")</f>
        <v/>
      </c>
    </row>
    <row r="451">
      <c r="A451" s="3" t="str">
        <f t="array" ref="A451">ifna(_xlfn.xlookup(B451,'All Item Code'!B:B,'All Item Code'!A:A,),)</f>
        <v/>
      </c>
      <c r="B451" s="3"/>
      <c r="C451" s="3" t="str">
        <f t="array" ref="C451">if(B451="Tidak Ada",,if(isblank(B451),,ifna(sumif('On Hand'!A:A,A451,'On Hand'!D:D)&amp;" "&amp;_xlfn.xlookup(A451,'All Item Code'!A:A,'All Item Code'!D:D,),0)))</f>
        <v/>
      </c>
      <c r="D451" s="3" t="str">
        <f>IFERROR(__xludf.DUMMYFUNCTION("if(isblank(B451),,ifna(textjoin(""; "",,filter('On Hand'!E:E,'On Hand'!A:A=A451)),ifna(xlookup(A451,'On Hand'!A:A,'On Hand'!E:E,),)))"),"")</f>
        <v/>
      </c>
    </row>
    <row r="452">
      <c r="A452" s="3" t="str">
        <f t="array" ref="A452">ifna(_xlfn.xlookup(B452,'All Item Code'!B:B,'All Item Code'!A:A,),)</f>
        <v/>
      </c>
      <c r="B452" s="3"/>
      <c r="C452" s="3" t="str">
        <f t="array" ref="C452">if(B452="Tidak Ada",,if(isblank(B452),,ifna(sumif('On Hand'!A:A,A452,'On Hand'!D:D)&amp;" "&amp;_xlfn.xlookup(A452,'All Item Code'!A:A,'All Item Code'!D:D,),0)))</f>
        <v/>
      </c>
      <c r="D452" s="3" t="str">
        <f>IFERROR(__xludf.DUMMYFUNCTION("if(isblank(B452),,ifna(textjoin(""; "",,filter('On Hand'!E:E,'On Hand'!A:A=A452)),ifna(xlookup(A452,'On Hand'!A:A,'On Hand'!E:E,),)))"),"")</f>
        <v/>
      </c>
    </row>
    <row r="453">
      <c r="A453" s="3" t="str">
        <f t="array" ref="A453">ifna(_xlfn.xlookup(B453,'All Item Code'!B:B,'All Item Code'!A:A,),)</f>
        <v/>
      </c>
      <c r="B453" s="3"/>
      <c r="C453" s="3" t="str">
        <f t="array" ref="C453">if(B453="Tidak Ada",,if(isblank(B453),,ifna(sumif('On Hand'!A:A,A453,'On Hand'!D:D)&amp;" "&amp;_xlfn.xlookup(A453,'All Item Code'!A:A,'All Item Code'!D:D,),0)))</f>
        <v/>
      </c>
      <c r="D453" s="3" t="str">
        <f>IFERROR(__xludf.DUMMYFUNCTION("if(isblank(B453),,ifna(textjoin(""; "",,filter('On Hand'!E:E,'On Hand'!A:A=A453)),ifna(xlookup(A453,'On Hand'!A:A,'On Hand'!E:E,),)))"),"")</f>
        <v/>
      </c>
    </row>
    <row r="454">
      <c r="A454" s="3" t="str">
        <f t="array" ref="A454">ifna(_xlfn.xlookup(B454,'All Item Code'!B:B,'All Item Code'!A:A,),)</f>
        <v/>
      </c>
      <c r="B454" s="3"/>
      <c r="C454" s="3" t="str">
        <f t="array" ref="C454">if(B454="Tidak Ada",,if(isblank(B454),,ifna(sumif('On Hand'!A:A,A454,'On Hand'!D:D)&amp;" "&amp;_xlfn.xlookup(A454,'All Item Code'!A:A,'All Item Code'!D:D,),0)))</f>
        <v/>
      </c>
      <c r="D454" s="3" t="str">
        <f>IFERROR(__xludf.DUMMYFUNCTION("if(isblank(B454),,ifna(textjoin(""; "",,filter('On Hand'!E:E,'On Hand'!A:A=A454)),ifna(xlookup(A454,'On Hand'!A:A,'On Hand'!E:E,),)))"),"")</f>
        <v/>
      </c>
    </row>
    <row r="455">
      <c r="A455" s="3" t="str">
        <f t="array" ref="A455">ifna(_xlfn.xlookup(B455,'All Item Code'!B:B,'All Item Code'!A:A,),)</f>
        <v/>
      </c>
      <c r="B455" s="3"/>
      <c r="C455" s="3" t="str">
        <f t="array" ref="C455">if(B455="Tidak Ada",,if(isblank(B455),,ifna(sumif('On Hand'!A:A,A455,'On Hand'!D:D)&amp;" "&amp;_xlfn.xlookup(A455,'All Item Code'!A:A,'All Item Code'!D:D,),0)))</f>
        <v/>
      </c>
      <c r="D455" s="3" t="str">
        <f>IFERROR(__xludf.DUMMYFUNCTION("if(isblank(B455),,ifna(textjoin(""; "",,filter('On Hand'!E:E,'On Hand'!A:A=A455)),ifna(xlookup(A455,'On Hand'!A:A,'On Hand'!E:E,),)))"),"")</f>
        <v/>
      </c>
    </row>
    <row r="456">
      <c r="A456" s="3" t="str">
        <f t="array" ref="A456">ifna(_xlfn.xlookup(B456,'All Item Code'!B:B,'All Item Code'!A:A,),)</f>
        <v/>
      </c>
      <c r="B456" s="3"/>
      <c r="C456" s="3" t="str">
        <f t="array" ref="C456">if(B456="Tidak Ada",,if(isblank(B456),,ifna(sumif('On Hand'!A:A,A456,'On Hand'!D:D)&amp;" "&amp;_xlfn.xlookup(A456,'All Item Code'!A:A,'All Item Code'!D:D,),0)))</f>
        <v/>
      </c>
      <c r="D456" s="3" t="str">
        <f>IFERROR(__xludf.DUMMYFUNCTION("if(isblank(B456),,ifna(textjoin(""; "",,filter('On Hand'!E:E,'On Hand'!A:A=A456)),ifna(xlookup(A456,'On Hand'!A:A,'On Hand'!E:E,),)))"),"")</f>
        <v/>
      </c>
    </row>
    <row r="457">
      <c r="A457" s="3" t="str">
        <f t="array" ref="A457">ifna(_xlfn.xlookup(B457,'All Item Code'!B:B,'All Item Code'!A:A,),)</f>
        <v/>
      </c>
      <c r="B457" s="3"/>
      <c r="C457" s="3" t="str">
        <f t="array" ref="C457">if(B457="Tidak Ada",,if(isblank(B457),,ifna(sumif('On Hand'!A:A,A457,'On Hand'!D:D)&amp;" "&amp;_xlfn.xlookup(A457,'All Item Code'!A:A,'All Item Code'!D:D,),0)))</f>
        <v/>
      </c>
      <c r="D457" s="3" t="str">
        <f>IFERROR(__xludf.DUMMYFUNCTION("if(isblank(B457),,ifna(textjoin(""; "",,filter('On Hand'!E:E,'On Hand'!A:A=A457)),ifna(xlookup(A457,'On Hand'!A:A,'On Hand'!E:E,),)))"),"")</f>
        <v/>
      </c>
    </row>
    <row r="458">
      <c r="A458" s="3" t="str">
        <f t="array" ref="A458">ifna(_xlfn.xlookup(B458,'All Item Code'!B:B,'All Item Code'!A:A,),)</f>
        <v/>
      </c>
      <c r="B458" s="3"/>
      <c r="C458" s="3" t="str">
        <f t="array" ref="C458">if(B458="Tidak Ada",,if(isblank(B458),,ifna(sumif('On Hand'!A:A,A458,'On Hand'!D:D)&amp;" "&amp;_xlfn.xlookup(A458,'All Item Code'!A:A,'All Item Code'!D:D,),0)))</f>
        <v/>
      </c>
      <c r="D458" s="3" t="str">
        <f>IFERROR(__xludf.DUMMYFUNCTION("if(isblank(B458),,ifna(textjoin(""; "",,filter('On Hand'!E:E,'On Hand'!A:A=A458)),ifna(xlookup(A458,'On Hand'!A:A,'On Hand'!E:E,),)))"),"")</f>
        <v/>
      </c>
    </row>
    <row r="459">
      <c r="A459" s="3" t="str">
        <f t="array" ref="A459">ifna(_xlfn.xlookup(B459,'All Item Code'!B:B,'All Item Code'!A:A,),)</f>
        <v/>
      </c>
      <c r="B459" s="3"/>
      <c r="C459" s="3" t="str">
        <f t="array" ref="C459">if(B459="Tidak Ada",,if(isblank(B459),,ifna(sumif('On Hand'!A:A,A459,'On Hand'!D:D)&amp;" "&amp;_xlfn.xlookup(A459,'All Item Code'!A:A,'All Item Code'!D:D,),0)))</f>
        <v/>
      </c>
      <c r="D459" s="3" t="str">
        <f>IFERROR(__xludf.DUMMYFUNCTION("if(isblank(B459),,ifna(textjoin(""; "",,filter('On Hand'!E:E,'On Hand'!A:A=A459)),ifna(xlookup(A459,'On Hand'!A:A,'On Hand'!E:E,),)))"),"")</f>
        <v/>
      </c>
    </row>
    <row r="460">
      <c r="A460" s="3" t="str">
        <f t="array" ref="A460">ifna(_xlfn.xlookup(B460,'All Item Code'!B:B,'All Item Code'!A:A,),)</f>
        <v/>
      </c>
      <c r="B460" s="3"/>
      <c r="C460" s="3" t="str">
        <f t="array" ref="C460">if(B460="Tidak Ada",,if(isblank(B460),,ifna(sumif('On Hand'!A:A,A460,'On Hand'!D:D)&amp;" "&amp;_xlfn.xlookup(A460,'All Item Code'!A:A,'All Item Code'!D:D,),0)))</f>
        <v/>
      </c>
      <c r="D460" s="3" t="str">
        <f>IFERROR(__xludf.DUMMYFUNCTION("if(isblank(B460),,ifna(textjoin(""; "",,filter('On Hand'!E:E,'On Hand'!A:A=A460)),ifna(xlookup(A460,'On Hand'!A:A,'On Hand'!E:E,),)))"),"")</f>
        <v/>
      </c>
    </row>
    <row r="461">
      <c r="A461" s="3" t="str">
        <f t="array" ref="A461">ifna(_xlfn.xlookup(B461,'All Item Code'!B:B,'All Item Code'!A:A,),)</f>
        <v/>
      </c>
      <c r="B461" s="3"/>
      <c r="C461" s="3" t="str">
        <f t="array" ref="C461">if(B461="Tidak Ada",,if(isblank(B461),,ifna(sumif('On Hand'!A:A,A461,'On Hand'!D:D)&amp;" "&amp;_xlfn.xlookup(A461,'All Item Code'!A:A,'All Item Code'!D:D,),0)))</f>
        <v/>
      </c>
      <c r="D461" s="3" t="str">
        <f>IFERROR(__xludf.DUMMYFUNCTION("if(isblank(B461),,ifna(textjoin(""; "",,filter('On Hand'!E:E,'On Hand'!A:A=A461)),ifna(xlookup(A461,'On Hand'!A:A,'On Hand'!E:E,),)))"),"")</f>
        <v/>
      </c>
    </row>
    <row r="462">
      <c r="A462" s="3" t="str">
        <f t="array" ref="A462">ifna(_xlfn.xlookup(B462,'All Item Code'!B:B,'All Item Code'!A:A,),)</f>
        <v/>
      </c>
      <c r="B462" s="3"/>
      <c r="C462" s="3" t="str">
        <f t="array" ref="C462">if(B462="Tidak Ada",,if(isblank(B462),,ifna(sumif('On Hand'!A:A,A462,'On Hand'!D:D)&amp;" "&amp;_xlfn.xlookup(A462,'All Item Code'!A:A,'All Item Code'!D:D,),0)))</f>
        <v/>
      </c>
      <c r="D462" s="3" t="str">
        <f>IFERROR(__xludf.DUMMYFUNCTION("if(isblank(B462),,ifna(textjoin(""; "",,filter('On Hand'!E:E,'On Hand'!A:A=A462)),ifna(xlookup(A462,'On Hand'!A:A,'On Hand'!E:E,),)))"),"")</f>
        <v/>
      </c>
    </row>
    <row r="463">
      <c r="A463" s="3" t="str">
        <f t="array" ref="A463">ifna(_xlfn.xlookup(B463,'All Item Code'!B:B,'All Item Code'!A:A,),)</f>
        <v/>
      </c>
      <c r="B463" s="3"/>
      <c r="C463" s="3" t="str">
        <f t="array" ref="C463">if(B463="Tidak Ada",,if(isblank(B463),,ifna(sumif('On Hand'!A:A,A463,'On Hand'!D:D)&amp;" "&amp;_xlfn.xlookup(A463,'All Item Code'!A:A,'All Item Code'!D:D,),0)))</f>
        <v/>
      </c>
      <c r="D463" s="3" t="str">
        <f>IFERROR(__xludf.DUMMYFUNCTION("if(isblank(B463),,ifna(textjoin(""; "",,filter('On Hand'!E:E,'On Hand'!A:A=A463)),ifna(xlookup(A463,'On Hand'!A:A,'On Hand'!E:E,),)))"),"")</f>
        <v/>
      </c>
    </row>
    <row r="464">
      <c r="A464" s="3" t="str">
        <f t="array" ref="A464">ifna(_xlfn.xlookup(B464,'All Item Code'!B:B,'All Item Code'!A:A,),)</f>
        <v/>
      </c>
      <c r="B464" s="3"/>
      <c r="C464" s="3" t="str">
        <f t="array" ref="C464">if(B464="Tidak Ada",,if(isblank(B464),,ifna(sumif('On Hand'!A:A,A464,'On Hand'!D:D)&amp;" "&amp;_xlfn.xlookup(A464,'All Item Code'!A:A,'All Item Code'!D:D,),0)))</f>
        <v/>
      </c>
      <c r="D464" s="3" t="str">
        <f>IFERROR(__xludf.DUMMYFUNCTION("if(isblank(B464),,ifna(textjoin(""; "",,filter('On Hand'!E:E,'On Hand'!A:A=A464)),ifna(xlookup(A464,'On Hand'!A:A,'On Hand'!E:E,),)))"),"")</f>
        <v/>
      </c>
    </row>
    <row r="465">
      <c r="A465" s="3" t="str">
        <f t="array" ref="A465">ifna(_xlfn.xlookup(B465,'All Item Code'!B:B,'All Item Code'!A:A,),)</f>
        <v/>
      </c>
      <c r="B465" s="3"/>
      <c r="C465" s="3" t="str">
        <f t="array" ref="C465">if(B465="Tidak Ada",,if(isblank(B465),,ifna(sumif('On Hand'!A:A,A465,'On Hand'!D:D)&amp;" "&amp;_xlfn.xlookup(A465,'All Item Code'!A:A,'All Item Code'!D:D,),0)))</f>
        <v/>
      </c>
      <c r="D465" s="3" t="str">
        <f>IFERROR(__xludf.DUMMYFUNCTION("if(isblank(B465),,ifna(textjoin(""; "",,filter('On Hand'!E:E,'On Hand'!A:A=A465)),ifna(xlookup(A465,'On Hand'!A:A,'On Hand'!E:E,),)))"),"")</f>
        <v/>
      </c>
    </row>
    <row r="466">
      <c r="A466" s="3" t="str">
        <f t="array" ref="A466">ifna(_xlfn.xlookup(B466,'All Item Code'!B:B,'All Item Code'!A:A,),)</f>
        <v/>
      </c>
      <c r="B466" s="3"/>
      <c r="C466" s="3" t="str">
        <f t="array" ref="C466">if(B466="Tidak Ada",,if(isblank(B466),,ifna(sumif('On Hand'!A:A,A466,'On Hand'!D:D)&amp;" "&amp;_xlfn.xlookup(A466,'All Item Code'!A:A,'All Item Code'!D:D,),0)))</f>
        <v/>
      </c>
      <c r="D466" s="3" t="str">
        <f>IFERROR(__xludf.DUMMYFUNCTION("if(isblank(B466),,ifna(textjoin(""; "",,filter('On Hand'!E:E,'On Hand'!A:A=A466)),ifna(xlookup(A466,'On Hand'!A:A,'On Hand'!E:E,),)))"),"")</f>
        <v/>
      </c>
    </row>
    <row r="467">
      <c r="A467" s="3" t="str">
        <f t="array" ref="A467">ifna(_xlfn.xlookup(B467,'All Item Code'!B:B,'All Item Code'!A:A,),)</f>
        <v/>
      </c>
      <c r="B467" s="3"/>
      <c r="C467" s="3" t="str">
        <f t="array" ref="C467">if(B467="Tidak Ada",,if(isblank(B467),,ifna(sumif('On Hand'!A:A,A467,'On Hand'!D:D)&amp;" "&amp;_xlfn.xlookup(A467,'All Item Code'!A:A,'All Item Code'!D:D,),0)))</f>
        <v/>
      </c>
      <c r="D467" s="3" t="str">
        <f>IFERROR(__xludf.DUMMYFUNCTION("if(isblank(B467),,ifna(textjoin(""; "",,filter('On Hand'!E:E,'On Hand'!A:A=A467)),ifna(xlookup(A467,'On Hand'!A:A,'On Hand'!E:E,),)))"),"")</f>
        <v/>
      </c>
    </row>
    <row r="468">
      <c r="A468" s="3" t="str">
        <f t="array" ref="A468">ifna(_xlfn.xlookup(B468,'All Item Code'!B:B,'All Item Code'!A:A,),)</f>
        <v/>
      </c>
      <c r="B468" s="3"/>
      <c r="C468" s="3" t="str">
        <f t="array" ref="C468">if(B468="Tidak Ada",,if(isblank(B468),,ifna(sumif('On Hand'!A:A,A468,'On Hand'!D:D)&amp;" "&amp;_xlfn.xlookup(A468,'All Item Code'!A:A,'All Item Code'!D:D,),0)))</f>
        <v/>
      </c>
      <c r="D468" s="3" t="str">
        <f>IFERROR(__xludf.DUMMYFUNCTION("if(isblank(B468),,ifna(textjoin(""; "",,filter('On Hand'!E:E,'On Hand'!A:A=A468)),ifna(xlookup(A468,'On Hand'!A:A,'On Hand'!E:E,),)))"),"")</f>
        <v/>
      </c>
    </row>
    <row r="469">
      <c r="A469" s="3" t="str">
        <f t="array" ref="A469">ifna(_xlfn.xlookup(B469,'All Item Code'!B:B,'All Item Code'!A:A,),)</f>
        <v/>
      </c>
      <c r="B469" s="3"/>
      <c r="C469" s="3" t="str">
        <f t="array" ref="C469">if(B469="Tidak Ada",,if(isblank(B469),,ifna(sumif('On Hand'!A:A,A469,'On Hand'!D:D)&amp;" "&amp;_xlfn.xlookup(A469,'All Item Code'!A:A,'All Item Code'!D:D,),0)))</f>
        <v/>
      </c>
      <c r="D469" s="3" t="str">
        <f>IFERROR(__xludf.DUMMYFUNCTION("if(isblank(B469),,ifna(textjoin(""; "",,filter('On Hand'!E:E,'On Hand'!A:A=A469)),ifna(xlookup(A469,'On Hand'!A:A,'On Hand'!E:E,),)))"),"")</f>
        <v/>
      </c>
    </row>
    <row r="470">
      <c r="A470" s="3" t="str">
        <f t="array" ref="A470">ifna(_xlfn.xlookup(B470,'All Item Code'!B:B,'All Item Code'!A:A,),)</f>
        <v/>
      </c>
      <c r="B470" s="3"/>
      <c r="C470" s="3" t="str">
        <f t="array" ref="C470">if(B470="Tidak Ada",,if(isblank(B470),,ifna(sumif('On Hand'!A:A,A470,'On Hand'!D:D)&amp;" "&amp;_xlfn.xlookup(A470,'All Item Code'!A:A,'All Item Code'!D:D,),0)))</f>
        <v/>
      </c>
      <c r="D470" s="3" t="str">
        <f>IFERROR(__xludf.DUMMYFUNCTION("if(isblank(B470),,ifna(textjoin(""; "",,filter('On Hand'!E:E,'On Hand'!A:A=A470)),ifna(xlookup(A470,'On Hand'!A:A,'On Hand'!E:E,),)))"),"")</f>
        <v/>
      </c>
    </row>
    <row r="471">
      <c r="A471" s="3" t="str">
        <f t="array" ref="A471">ifna(_xlfn.xlookup(B471,'All Item Code'!B:B,'All Item Code'!A:A,),)</f>
        <v/>
      </c>
      <c r="B471" s="3"/>
      <c r="C471" s="3" t="str">
        <f t="array" ref="C471">if(B471="Tidak Ada",,if(isblank(B471),,ifna(sumif('On Hand'!A:A,A471,'On Hand'!D:D)&amp;" "&amp;_xlfn.xlookup(A471,'All Item Code'!A:A,'All Item Code'!D:D,),0)))</f>
        <v/>
      </c>
      <c r="D471" s="3" t="str">
        <f>IFERROR(__xludf.DUMMYFUNCTION("if(isblank(B471),,ifna(textjoin(""; "",,filter('On Hand'!E:E,'On Hand'!A:A=A471)),ifna(xlookup(A471,'On Hand'!A:A,'On Hand'!E:E,),)))"),"")</f>
        <v/>
      </c>
    </row>
    <row r="472">
      <c r="A472" s="3" t="str">
        <f t="array" ref="A472">ifna(_xlfn.xlookup(B472,'All Item Code'!B:B,'All Item Code'!A:A,),)</f>
        <v/>
      </c>
      <c r="B472" s="3"/>
      <c r="C472" s="3" t="str">
        <f t="array" ref="C472">if(B472="Tidak Ada",,if(isblank(B472),,ifna(sumif('On Hand'!A:A,A472,'On Hand'!D:D)&amp;" "&amp;_xlfn.xlookup(A472,'All Item Code'!A:A,'All Item Code'!D:D,),0)))</f>
        <v/>
      </c>
      <c r="D472" s="3" t="str">
        <f>IFERROR(__xludf.DUMMYFUNCTION("if(isblank(B472),,ifna(textjoin(""; "",,filter('On Hand'!E:E,'On Hand'!A:A=A472)),ifna(xlookup(A472,'On Hand'!A:A,'On Hand'!E:E,),)))"),"")</f>
        <v/>
      </c>
    </row>
    <row r="473">
      <c r="A473" s="3" t="str">
        <f t="array" ref="A473">ifna(_xlfn.xlookup(B473,'All Item Code'!B:B,'All Item Code'!A:A,),)</f>
        <v/>
      </c>
      <c r="B473" s="3"/>
      <c r="C473" s="3" t="str">
        <f t="array" ref="C473">if(B473="Tidak Ada",,if(isblank(B473),,ifna(sumif('On Hand'!A:A,A473,'On Hand'!D:D)&amp;" "&amp;_xlfn.xlookup(A473,'All Item Code'!A:A,'All Item Code'!D:D,),0)))</f>
        <v/>
      </c>
      <c r="D473" s="3" t="str">
        <f>IFERROR(__xludf.DUMMYFUNCTION("if(isblank(B473),,ifna(textjoin(""; "",,filter('On Hand'!E:E,'On Hand'!A:A=A473)),ifna(xlookup(A473,'On Hand'!A:A,'On Hand'!E:E,),)))"),"")</f>
        <v/>
      </c>
    </row>
    <row r="474">
      <c r="A474" s="3" t="str">
        <f t="array" ref="A474">ifna(_xlfn.xlookup(B474,'All Item Code'!B:B,'All Item Code'!A:A,),)</f>
        <v/>
      </c>
      <c r="B474" s="3"/>
      <c r="C474" s="3" t="str">
        <f t="array" ref="C474">if(B474="Tidak Ada",,if(isblank(B474),,ifna(sumif('On Hand'!A:A,A474,'On Hand'!D:D)&amp;" "&amp;_xlfn.xlookup(A474,'All Item Code'!A:A,'All Item Code'!D:D,),0)))</f>
        <v/>
      </c>
      <c r="D474" s="3" t="str">
        <f>IFERROR(__xludf.DUMMYFUNCTION("if(isblank(B474),,ifna(textjoin(""; "",,filter('On Hand'!E:E,'On Hand'!A:A=A474)),ifna(xlookup(A474,'On Hand'!A:A,'On Hand'!E:E,),)))"),"")</f>
        <v/>
      </c>
    </row>
    <row r="475">
      <c r="A475" s="3" t="str">
        <f t="array" ref="A475">ifna(_xlfn.xlookup(B475,'All Item Code'!B:B,'All Item Code'!A:A,),)</f>
        <v/>
      </c>
      <c r="B475" s="3"/>
      <c r="C475" s="3" t="str">
        <f t="array" ref="C475">if(B475="Tidak Ada",,if(isblank(B475),,ifna(sumif('On Hand'!A:A,A475,'On Hand'!D:D)&amp;" "&amp;_xlfn.xlookup(A475,'All Item Code'!A:A,'All Item Code'!D:D,),0)))</f>
        <v/>
      </c>
      <c r="D475" s="3" t="str">
        <f>IFERROR(__xludf.DUMMYFUNCTION("if(isblank(B475),,ifna(textjoin(""; "",,filter('On Hand'!E:E,'On Hand'!A:A=A475)),ifna(xlookup(A475,'On Hand'!A:A,'On Hand'!E:E,),)))"),"")</f>
        <v/>
      </c>
    </row>
    <row r="476">
      <c r="A476" s="3" t="str">
        <f t="array" ref="A476">ifna(_xlfn.xlookup(B476,'All Item Code'!B:B,'All Item Code'!A:A,),)</f>
        <v/>
      </c>
      <c r="B476" s="3"/>
      <c r="C476" s="3" t="str">
        <f t="array" ref="C476">if(B476="Tidak Ada",,if(isblank(B476),,ifna(sumif('On Hand'!A:A,A476,'On Hand'!D:D)&amp;" "&amp;_xlfn.xlookup(A476,'All Item Code'!A:A,'All Item Code'!D:D,),0)))</f>
        <v/>
      </c>
      <c r="D476" s="3" t="str">
        <f>IFERROR(__xludf.DUMMYFUNCTION("if(isblank(B476),,ifna(textjoin(""; "",,filter('On Hand'!E:E,'On Hand'!A:A=A476)),ifna(xlookup(A476,'On Hand'!A:A,'On Hand'!E:E,),)))"),"")</f>
        <v/>
      </c>
    </row>
    <row r="477">
      <c r="A477" s="3" t="str">
        <f t="array" ref="A477">ifna(_xlfn.xlookup(B477,'All Item Code'!B:B,'All Item Code'!A:A,),)</f>
        <v/>
      </c>
      <c r="B477" s="3"/>
      <c r="C477" s="3" t="str">
        <f t="array" ref="C477">if(B477="Tidak Ada",,if(isblank(B477),,ifna(sumif('On Hand'!A:A,A477,'On Hand'!D:D)&amp;" "&amp;_xlfn.xlookup(A477,'All Item Code'!A:A,'All Item Code'!D:D,),0)))</f>
        <v/>
      </c>
      <c r="D477" s="3" t="str">
        <f>IFERROR(__xludf.DUMMYFUNCTION("if(isblank(B477),,ifna(textjoin(""; "",,filter('On Hand'!E:E,'On Hand'!A:A=A477)),ifna(xlookup(A477,'On Hand'!A:A,'On Hand'!E:E,),)))"),"")</f>
        <v/>
      </c>
    </row>
    <row r="478">
      <c r="A478" s="3" t="str">
        <f t="array" ref="A478">ifna(_xlfn.xlookup(B478,'All Item Code'!B:B,'All Item Code'!A:A,),)</f>
        <v/>
      </c>
      <c r="B478" s="3"/>
      <c r="C478" s="3" t="str">
        <f t="array" ref="C478">if(B478="Tidak Ada",,if(isblank(B478),,ifna(sumif('On Hand'!A:A,A478,'On Hand'!D:D)&amp;" "&amp;_xlfn.xlookup(A478,'All Item Code'!A:A,'All Item Code'!D:D,),0)))</f>
        <v/>
      </c>
      <c r="D478" s="3" t="str">
        <f>IFERROR(__xludf.DUMMYFUNCTION("if(isblank(B478),,ifna(textjoin(""; "",,filter('On Hand'!E:E,'On Hand'!A:A=A478)),ifna(xlookup(A478,'On Hand'!A:A,'On Hand'!E:E,),)))"),"")</f>
        <v/>
      </c>
    </row>
    <row r="479">
      <c r="A479" s="3" t="str">
        <f t="array" ref="A479">ifna(_xlfn.xlookup(B479,'All Item Code'!B:B,'All Item Code'!A:A,),)</f>
        <v/>
      </c>
      <c r="B479" s="3"/>
      <c r="C479" s="3" t="str">
        <f t="array" ref="C479">if(B479="Tidak Ada",,if(isblank(B479),,ifna(sumif('On Hand'!A:A,A479,'On Hand'!D:D)&amp;" "&amp;_xlfn.xlookup(A479,'All Item Code'!A:A,'All Item Code'!D:D,),0)))</f>
        <v/>
      </c>
      <c r="D479" s="3" t="str">
        <f>IFERROR(__xludf.DUMMYFUNCTION("if(isblank(B479),,ifna(textjoin(""; "",,filter('On Hand'!E:E,'On Hand'!A:A=A479)),ifna(xlookup(A479,'On Hand'!A:A,'On Hand'!E:E,),)))"),"")</f>
        <v/>
      </c>
    </row>
    <row r="480">
      <c r="A480" s="3" t="str">
        <f t="array" ref="A480">ifna(_xlfn.xlookup(B480,'All Item Code'!B:B,'All Item Code'!A:A,),)</f>
        <v/>
      </c>
      <c r="B480" s="3"/>
      <c r="C480" s="3" t="str">
        <f t="array" ref="C480">if(B480="Tidak Ada",,if(isblank(B480),,ifna(sumif('On Hand'!A:A,A480,'On Hand'!D:D)&amp;" "&amp;_xlfn.xlookup(A480,'All Item Code'!A:A,'All Item Code'!D:D,),0)))</f>
        <v/>
      </c>
      <c r="D480" s="3" t="str">
        <f>IFERROR(__xludf.DUMMYFUNCTION("if(isblank(B480),,ifna(textjoin(""; "",,filter('On Hand'!E:E,'On Hand'!A:A=A480)),ifna(xlookup(A480,'On Hand'!A:A,'On Hand'!E:E,),)))"),"")</f>
        <v/>
      </c>
    </row>
    <row r="481">
      <c r="A481" s="3" t="str">
        <f t="array" ref="A481">ifna(_xlfn.xlookup(B481,'All Item Code'!B:B,'All Item Code'!A:A,),)</f>
        <v/>
      </c>
      <c r="B481" s="3"/>
      <c r="C481" s="3" t="str">
        <f t="array" ref="C481">if(B481="Tidak Ada",,if(isblank(B481),,ifna(sumif('On Hand'!A:A,A481,'On Hand'!D:D)&amp;" "&amp;_xlfn.xlookup(A481,'All Item Code'!A:A,'All Item Code'!D:D,),0)))</f>
        <v/>
      </c>
      <c r="D481" s="3" t="str">
        <f>IFERROR(__xludf.DUMMYFUNCTION("if(isblank(B481),,ifna(textjoin(""; "",,filter('On Hand'!E:E,'On Hand'!A:A=A481)),ifna(xlookup(A481,'On Hand'!A:A,'On Hand'!E:E,),)))"),"")</f>
        <v/>
      </c>
    </row>
    <row r="482">
      <c r="A482" s="3" t="str">
        <f t="array" ref="A482">ifna(_xlfn.xlookup(B482,'All Item Code'!B:B,'All Item Code'!A:A,),)</f>
        <v/>
      </c>
      <c r="B482" s="3"/>
      <c r="C482" s="3" t="str">
        <f t="array" ref="C482">if(B482="Tidak Ada",,if(isblank(B482),,ifna(sumif('On Hand'!A:A,A482,'On Hand'!D:D)&amp;" "&amp;_xlfn.xlookup(A482,'All Item Code'!A:A,'All Item Code'!D:D,),0)))</f>
        <v/>
      </c>
      <c r="D482" s="3" t="str">
        <f>IFERROR(__xludf.DUMMYFUNCTION("if(isblank(B482),,ifna(textjoin(""; "",,filter('On Hand'!E:E,'On Hand'!A:A=A482)),ifna(xlookup(A482,'On Hand'!A:A,'On Hand'!E:E,),)))"),"")</f>
        <v/>
      </c>
    </row>
    <row r="483">
      <c r="A483" s="3" t="str">
        <f t="array" ref="A483">ifna(_xlfn.xlookup(B483,'All Item Code'!B:B,'All Item Code'!A:A,),)</f>
        <v/>
      </c>
      <c r="B483" s="3"/>
      <c r="C483" s="3" t="str">
        <f t="array" ref="C483">if(B483="Tidak Ada",,if(isblank(B483),,ifna(sumif('On Hand'!A:A,A483,'On Hand'!D:D)&amp;" "&amp;_xlfn.xlookup(A483,'All Item Code'!A:A,'All Item Code'!D:D,),0)))</f>
        <v/>
      </c>
      <c r="D483" s="3" t="str">
        <f>IFERROR(__xludf.DUMMYFUNCTION("if(isblank(B483),,ifna(textjoin(""; "",,filter('On Hand'!E:E,'On Hand'!A:A=A483)),ifna(xlookup(A483,'On Hand'!A:A,'On Hand'!E:E,),)))"),"")</f>
        <v/>
      </c>
    </row>
    <row r="484">
      <c r="A484" s="3" t="str">
        <f t="array" ref="A484">ifna(_xlfn.xlookup(B484,'All Item Code'!B:B,'All Item Code'!A:A,),)</f>
        <v/>
      </c>
      <c r="B484" s="3"/>
      <c r="C484" s="3" t="str">
        <f t="array" ref="C484">if(B484="Tidak Ada",,if(isblank(B484),,ifna(sumif('On Hand'!A:A,A484,'On Hand'!D:D)&amp;" "&amp;_xlfn.xlookup(A484,'All Item Code'!A:A,'All Item Code'!D:D,),0)))</f>
        <v/>
      </c>
      <c r="D484" s="3" t="str">
        <f>IFERROR(__xludf.DUMMYFUNCTION("if(isblank(B484),,ifna(textjoin(""; "",,filter('On Hand'!E:E,'On Hand'!A:A=A484)),ifna(xlookup(A484,'On Hand'!A:A,'On Hand'!E:E,),)))"),"")</f>
        <v/>
      </c>
    </row>
    <row r="485">
      <c r="A485" s="3" t="str">
        <f t="array" ref="A485">ifna(_xlfn.xlookup(B485,'All Item Code'!B:B,'All Item Code'!A:A,),)</f>
        <v/>
      </c>
      <c r="B485" s="3"/>
      <c r="C485" s="3" t="str">
        <f t="array" ref="C485">if(B485="Tidak Ada",,if(isblank(B485),,ifna(sumif('On Hand'!A:A,A485,'On Hand'!D:D)&amp;" "&amp;_xlfn.xlookup(A485,'All Item Code'!A:A,'All Item Code'!D:D,),0)))</f>
        <v/>
      </c>
      <c r="D485" s="3" t="str">
        <f>IFERROR(__xludf.DUMMYFUNCTION("if(isblank(B485),,ifna(textjoin(""; "",,filter('On Hand'!E:E,'On Hand'!A:A=A485)),ifna(xlookup(A485,'On Hand'!A:A,'On Hand'!E:E,),)))"),"")</f>
        <v/>
      </c>
    </row>
    <row r="486">
      <c r="A486" s="3" t="str">
        <f t="array" ref="A486">ifna(_xlfn.xlookup(B486,'All Item Code'!B:B,'All Item Code'!A:A,),)</f>
        <v/>
      </c>
      <c r="B486" s="3"/>
      <c r="C486" s="3" t="str">
        <f t="array" ref="C486">if(B486="Tidak Ada",,if(isblank(B486),,ifna(sumif('On Hand'!A:A,A486,'On Hand'!D:D)&amp;" "&amp;_xlfn.xlookup(A486,'All Item Code'!A:A,'All Item Code'!D:D,),0)))</f>
        <v/>
      </c>
      <c r="D486" s="3" t="str">
        <f>IFERROR(__xludf.DUMMYFUNCTION("if(isblank(B486),,ifna(textjoin(""; "",,filter('On Hand'!E:E,'On Hand'!A:A=A486)),ifna(xlookup(A486,'On Hand'!A:A,'On Hand'!E:E,),)))"),"")</f>
        <v/>
      </c>
    </row>
    <row r="487">
      <c r="A487" s="3" t="str">
        <f t="array" ref="A487">ifna(_xlfn.xlookup(B487,'All Item Code'!B:B,'All Item Code'!A:A,),)</f>
        <v/>
      </c>
      <c r="B487" s="3"/>
      <c r="C487" s="3" t="str">
        <f t="array" ref="C487">if(B487="Tidak Ada",,if(isblank(B487),,ifna(sumif('On Hand'!A:A,A487,'On Hand'!D:D)&amp;" "&amp;_xlfn.xlookup(A487,'All Item Code'!A:A,'All Item Code'!D:D,),0)))</f>
        <v/>
      </c>
      <c r="D487" s="3" t="str">
        <f>IFERROR(__xludf.DUMMYFUNCTION("if(isblank(B487),,ifna(textjoin(""; "",,filter('On Hand'!E:E,'On Hand'!A:A=A487)),ifna(xlookup(A487,'On Hand'!A:A,'On Hand'!E:E,),)))"),"")</f>
        <v/>
      </c>
    </row>
    <row r="488">
      <c r="A488" s="3" t="str">
        <f t="array" ref="A488">ifna(_xlfn.xlookup(B488,'All Item Code'!B:B,'All Item Code'!A:A,),)</f>
        <v/>
      </c>
      <c r="B488" s="3"/>
      <c r="C488" s="3" t="str">
        <f t="array" ref="C488">if(B488="Tidak Ada",,if(isblank(B488),,ifna(sumif('On Hand'!A:A,A488,'On Hand'!D:D)&amp;" "&amp;_xlfn.xlookup(A488,'All Item Code'!A:A,'All Item Code'!D:D,),0)))</f>
        <v/>
      </c>
      <c r="D488" s="3" t="str">
        <f>IFERROR(__xludf.DUMMYFUNCTION("if(isblank(B488),,ifna(textjoin(""; "",,filter('On Hand'!E:E,'On Hand'!A:A=A488)),ifna(xlookup(A488,'On Hand'!A:A,'On Hand'!E:E,),)))"),"")</f>
        <v/>
      </c>
    </row>
    <row r="489">
      <c r="A489" s="3" t="str">
        <f t="array" ref="A489">ifna(_xlfn.xlookup(B489,'All Item Code'!B:B,'All Item Code'!A:A,),)</f>
        <v/>
      </c>
      <c r="B489" s="3"/>
      <c r="C489" s="3" t="str">
        <f t="array" ref="C489">if(B489="Tidak Ada",,if(isblank(B489),,ifna(sumif('On Hand'!A:A,A489,'On Hand'!D:D)&amp;" "&amp;_xlfn.xlookup(A489,'All Item Code'!A:A,'All Item Code'!D:D,),0)))</f>
        <v/>
      </c>
      <c r="D489" s="3" t="str">
        <f>IFERROR(__xludf.DUMMYFUNCTION("if(isblank(B489),,ifna(textjoin(""; "",,filter('On Hand'!E:E,'On Hand'!A:A=A489)),ifna(xlookup(A489,'On Hand'!A:A,'On Hand'!E:E,),)))"),"")</f>
        <v/>
      </c>
    </row>
    <row r="490">
      <c r="A490" s="3" t="str">
        <f t="array" ref="A490">ifna(_xlfn.xlookup(B490,'All Item Code'!B:B,'All Item Code'!A:A,),)</f>
        <v/>
      </c>
      <c r="B490" s="3"/>
      <c r="C490" s="3" t="str">
        <f t="array" ref="C490">if(B490="Tidak Ada",,if(isblank(B490),,ifna(sumif('On Hand'!A:A,A490,'On Hand'!D:D)&amp;" "&amp;_xlfn.xlookup(A490,'All Item Code'!A:A,'All Item Code'!D:D,),0)))</f>
        <v/>
      </c>
      <c r="D490" s="3" t="str">
        <f>IFERROR(__xludf.DUMMYFUNCTION("if(isblank(B490),,ifna(textjoin(""; "",,filter('On Hand'!E:E,'On Hand'!A:A=A490)),ifna(xlookup(A490,'On Hand'!A:A,'On Hand'!E:E,),)))"),"")</f>
        <v/>
      </c>
    </row>
    <row r="491">
      <c r="A491" s="3" t="str">
        <f t="array" ref="A491">ifna(_xlfn.xlookup(B491,'All Item Code'!B:B,'All Item Code'!A:A,),)</f>
        <v/>
      </c>
      <c r="B491" s="3"/>
      <c r="C491" s="3" t="str">
        <f t="array" ref="C491">if(B491="Tidak Ada",,if(isblank(B491),,ifna(sumif('On Hand'!A:A,A491,'On Hand'!D:D)&amp;" "&amp;_xlfn.xlookup(A491,'All Item Code'!A:A,'All Item Code'!D:D,),0)))</f>
        <v/>
      </c>
      <c r="D491" s="3" t="str">
        <f>IFERROR(__xludf.DUMMYFUNCTION("if(isblank(B491),,ifna(textjoin(""; "",,filter('On Hand'!E:E,'On Hand'!A:A=A491)),ifna(xlookup(A491,'On Hand'!A:A,'On Hand'!E:E,),)))"),"")</f>
        <v/>
      </c>
    </row>
    <row r="492">
      <c r="A492" s="3" t="str">
        <f t="array" ref="A492">ifna(_xlfn.xlookup(B492,'All Item Code'!B:B,'All Item Code'!A:A,),)</f>
        <v/>
      </c>
      <c r="B492" s="3"/>
      <c r="C492" s="3" t="str">
        <f t="array" ref="C492">if(B492="Tidak Ada",,if(isblank(B492),,ifna(sumif('On Hand'!A:A,A492,'On Hand'!D:D)&amp;" "&amp;_xlfn.xlookup(A492,'All Item Code'!A:A,'All Item Code'!D:D,),0)))</f>
        <v/>
      </c>
      <c r="D492" s="3" t="str">
        <f>IFERROR(__xludf.DUMMYFUNCTION("if(isblank(B492),,ifna(textjoin(""; "",,filter('On Hand'!E:E,'On Hand'!A:A=A492)),ifna(xlookup(A492,'On Hand'!A:A,'On Hand'!E:E,),)))"),"")</f>
        <v/>
      </c>
    </row>
    <row r="493">
      <c r="A493" s="3" t="str">
        <f t="array" ref="A493">ifna(_xlfn.xlookup(B493,'All Item Code'!B:B,'All Item Code'!A:A,),)</f>
        <v/>
      </c>
      <c r="B493" s="3"/>
      <c r="C493" s="3" t="str">
        <f t="array" ref="C493">if(B493="Tidak Ada",,if(isblank(B493),,ifna(sumif('On Hand'!A:A,A493,'On Hand'!D:D)&amp;" "&amp;_xlfn.xlookup(A493,'All Item Code'!A:A,'All Item Code'!D:D,),0)))</f>
        <v/>
      </c>
      <c r="D493" s="3" t="str">
        <f>IFERROR(__xludf.DUMMYFUNCTION("if(isblank(B493),,ifna(textjoin(""; "",,filter('On Hand'!E:E,'On Hand'!A:A=A493)),ifna(xlookup(A493,'On Hand'!A:A,'On Hand'!E:E,),)))"),"")</f>
        <v/>
      </c>
    </row>
    <row r="494">
      <c r="A494" s="3" t="str">
        <f t="array" ref="A494">ifna(_xlfn.xlookup(B494,'All Item Code'!B:B,'All Item Code'!A:A,),)</f>
        <v/>
      </c>
      <c r="B494" s="3"/>
      <c r="C494" s="3" t="str">
        <f t="array" ref="C494">if(B494="Tidak Ada",,if(isblank(B494),,ifna(sumif('On Hand'!A:A,A494,'On Hand'!D:D)&amp;" "&amp;_xlfn.xlookup(A494,'All Item Code'!A:A,'All Item Code'!D:D,),0)))</f>
        <v/>
      </c>
      <c r="D494" s="3" t="str">
        <f>IFERROR(__xludf.DUMMYFUNCTION("if(isblank(B494),,ifna(textjoin(""; "",,filter('On Hand'!E:E,'On Hand'!A:A=A494)),ifna(xlookup(A494,'On Hand'!A:A,'On Hand'!E:E,),)))"),"")</f>
        <v/>
      </c>
    </row>
    <row r="495">
      <c r="A495" s="3" t="str">
        <f t="array" ref="A495">ifna(_xlfn.xlookup(B495,'All Item Code'!B:B,'All Item Code'!A:A,),)</f>
        <v/>
      </c>
      <c r="B495" s="3"/>
      <c r="C495" s="3" t="str">
        <f t="array" ref="C495">if(B495="Tidak Ada",,if(isblank(B495),,ifna(sumif('On Hand'!A:A,A495,'On Hand'!D:D)&amp;" "&amp;_xlfn.xlookup(A495,'All Item Code'!A:A,'All Item Code'!D:D,),0)))</f>
        <v/>
      </c>
      <c r="D495" s="3" t="str">
        <f>IFERROR(__xludf.DUMMYFUNCTION("if(isblank(B495),,ifna(textjoin(""; "",,filter('On Hand'!E:E,'On Hand'!A:A=A495)),ifna(xlookup(A495,'On Hand'!A:A,'On Hand'!E:E,),)))"),"")</f>
        <v/>
      </c>
    </row>
    <row r="496">
      <c r="A496" s="3" t="str">
        <f t="array" ref="A496">ifna(_xlfn.xlookup(B496,'All Item Code'!B:B,'All Item Code'!A:A,),)</f>
        <v/>
      </c>
      <c r="B496" s="3"/>
      <c r="C496" s="3" t="str">
        <f t="array" ref="C496">if(B496="Tidak Ada",,if(isblank(B496),,ifna(sumif('On Hand'!A:A,A496,'On Hand'!D:D)&amp;" "&amp;_xlfn.xlookup(A496,'All Item Code'!A:A,'All Item Code'!D:D,),0)))</f>
        <v/>
      </c>
      <c r="D496" s="3" t="str">
        <f>IFERROR(__xludf.DUMMYFUNCTION("if(isblank(B496),,ifna(textjoin(""; "",,filter('On Hand'!E:E,'On Hand'!A:A=A496)),ifna(xlookup(A496,'On Hand'!A:A,'On Hand'!E:E,),)))"),"")</f>
        <v/>
      </c>
    </row>
    <row r="497">
      <c r="A497" s="3" t="str">
        <f t="array" ref="A497">ifna(_xlfn.xlookup(B497,'All Item Code'!B:B,'All Item Code'!A:A,),)</f>
        <v/>
      </c>
      <c r="B497" s="3"/>
      <c r="C497" s="3" t="str">
        <f t="array" ref="C497">if(B497="Tidak Ada",,if(isblank(B497),,ifna(sumif('On Hand'!A:A,A497,'On Hand'!D:D)&amp;" "&amp;_xlfn.xlookup(A497,'All Item Code'!A:A,'All Item Code'!D:D,),0)))</f>
        <v/>
      </c>
      <c r="D497" s="3" t="str">
        <f>IFERROR(__xludf.DUMMYFUNCTION("if(isblank(B497),,ifna(textjoin(""; "",,filter('On Hand'!E:E,'On Hand'!A:A=A497)),ifna(xlookup(A497,'On Hand'!A:A,'On Hand'!E:E,),)))"),"")</f>
        <v/>
      </c>
    </row>
    <row r="498">
      <c r="A498" s="3" t="str">
        <f t="array" ref="A498">ifna(_xlfn.xlookup(B498,'All Item Code'!B:B,'All Item Code'!A:A,),)</f>
        <v/>
      </c>
      <c r="B498" s="3"/>
      <c r="C498" s="3" t="str">
        <f t="array" ref="C498">if(B498="Tidak Ada",,if(isblank(B498),,ifna(sumif('On Hand'!A:A,A498,'On Hand'!D:D)&amp;" "&amp;_xlfn.xlookup(A498,'All Item Code'!A:A,'All Item Code'!D:D,),0)))</f>
        <v/>
      </c>
      <c r="D498" s="3" t="str">
        <f>IFERROR(__xludf.DUMMYFUNCTION("if(isblank(B498),,ifna(textjoin(""; "",,filter('On Hand'!E:E,'On Hand'!A:A=A498)),ifna(xlookup(A498,'On Hand'!A:A,'On Hand'!E:E,),)))"),"")</f>
        <v/>
      </c>
    </row>
    <row r="499">
      <c r="A499" s="3" t="str">
        <f t="array" ref="A499">ifna(_xlfn.xlookup(B499,'All Item Code'!B:B,'All Item Code'!A:A,),)</f>
        <v/>
      </c>
      <c r="B499" s="3"/>
      <c r="C499" s="3" t="str">
        <f t="array" ref="C499">if(B499="Tidak Ada",,if(isblank(B499),,ifna(sumif('On Hand'!A:A,A499,'On Hand'!D:D)&amp;" "&amp;_xlfn.xlookup(A499,'All Item Code'!A:A,'All Item Code'!D:D,),0)))</f>
        <v/>
      </c>
      <c r="D499" s="3" t="str">
        <f>IFERROR(__xludf.DUMMYFUNCTION("if(isblank(B499),,ifna(textjoin(""; "",,filter('On Hand'!E:E,'On Hand'!A:A=A499)),ifna(xlookup(A499,'On Hand'!A:A,'On Hand'!E:E,),)))"),"")</f>
        <v/>
      </c>
    </row>
    <row r="500">
      <c r="A500" s="3" t="str">
        <f t="array" ref="A500">ifna(_xlfn.xlookup(B500,'All Item Code'!B:B,'All Item Code'!A:A,),)</f>
        <v/>
      </c>
      <c r="B500" s="3"/>
      <c r="C500" s="3" t="str">
        <f t="array" ref="C500">if(B500="Tidak Ada",,if(isblank(B500),,ifna(sumif('On Hand'!A:A,A500,'On Hand'!D:D)&amp;" "&amp;_xlfn.xlookup(A500,'All Item Code'!A:A,'All Item Code'!D:D,),0)))</f>
        <v/>
      </c>
      <c r="D500" s="3" t="str">
        <f>IFERROR(__xludf.DUMMYFUNCTION("if(isblank(B500),,ifna(textjoin(""; "",,filter('On Hand'!E:E,'On Hand'!A:A=A500)),ifna(xlookup(A500,'On Hand'!A:A,'On Hand'!E:E,),)))"),"")</f>
        <v/>
      </c>
    </row>
    <row r="501">
      <c r="A501" s="3" t="str">
        <f t="array" ref="A501">ifna(_xlfn.xlookup(B501,'All Item Code'!B:B,'All Item Code'!A:A,),)</f>
        <v/>
      </c>
      <c r="B501" s="3"/>
      <c r="C501" s="3" t="str">
        <f t="array" ref="C501">if(B501="Tidak Ada",,if(isblank(B501),,ifna(sumif('On Hand'!A:A,A501,'On Hand'!D:D)&amp;" "&amp;_xlfn.xlookup(A501,'All Item Code'!A:A,'All Item Code'!D:D,),0)))</f>
        <v/>
      </c>
      <c r="D501" s="3" t="str">
        <f>IFERROR(__xludf.DUMMYFUNCTION("if(isblank(B501),,ifna(textjoin(""; "",,filter('On Hand'!E:E,'On Hand'!A:A=A501)),ifna(xlookup(A501,'On Hand'!A:A,'On Hand'!E:E,),)))"),"")</f>
        <v/>
      </c>
    </row>
    <row r="502">
      <c r="A502" s="3" t="str">
        <f t="array" ref="A502">ifna(_xlfn.xlookup(B502,'All Item Code'!B:B,'All Item Code'!A:A,),)</f>
        <v/>
      </c>
      <c r="B502" s="3"/>
      <c r="C502" s="3" t="str">
        <f t="array" ref="C502">if(B502="Tidak Ada",,if(isblank(B502),,ifna(sumif('On Hand'!A:A,A502,'On Hand'!D:D)&amp;" "&amp;_xlfn.xlookup(A502,'All Item Code'!A:A,'All Item Code'!D:D,),0)))</f>
        <v/>
      </c>
      <c r="D502" s="3" t="str">
        <f>IFERROR(__xludf.DUMMYFUNCTION("if(isblank(B502),,ifna(textjoin(""; "",,filter('On Hand'!E:E,'On Hand'!A:A=A502)),ifna(xlookup(A502,'On Hand'!A:A,'On Hand'!E:E,),)))"),"")</f>
        <v/>
      </c>
    </row>
    <row r="503">
      <c r="A503" s="3" t="str">
        <f t="array" ref="A503">ifna(_xlfn.xlookup(B503,'All Item Code'!B:B,'All Item Code'!A:A,),)</f>
        <v/>
      </c>
      <c r="B503" s="3"/>
      <c r="C503" s="3" t="str">
        <f t="array" ref="C503">if(B503="Tidak Ada",,if(isblank(B503),,ifna(sumif('On Hand'!A:A,A503,'On Hand'!D:D)&amp;" "&amp;_xlfn.xlookup(A503,'All Item Code'!A:A,'All Item Code'!D:D,),0)))</f>
        <v/>
      </c>
      <c r="D503" s="3" t="str">
        <f>IFERROR(__xludf.DUMMYFUNCTION("if(isblank(B503),,ifna(textjoin(""; "",,filter('On Hand'!E:E,'On Hand'!A:A=A503)),ifna(xlookup(A503,'On Hand'!A:A,'On Hand'!E:E,),)))"),"")</f>
        <v/>
      </c>
    </row>
    <row r="504">
      <c r="A504" s="3" t="str">
        <f t="array" ref="A504">ifna(_xlfn.xlookup(B504,'All Item Code'!B:B,'All Item Code'!A:A,),)</f>
        <v/>
      </c>
      <c r="B504" s="3"/>
      <c r="C504" s="3" t="str">
        <f t="array" ref="C504">if(B504="Tidak Ada",,if(isblank(B504),,ifna(sumif('On Hand'!A:A,A504,'On Hand'!D:D)&amp;" "&amp;_xlfn.xlookup(A504,'All Item Code'!A:A,'All Item Code'!D:D,),0)))</f>
        <v/>
      </c>
      <c r="D504" s="3" t="str">
        <f>IFERROR(__xludf.DUMMYFUNCTION("if(isblank(B504),,ifna(textjoin(""; "",,filter('On Hand'!E:E,'On Hand'!A:A=A504)),ifna(xlookup(A504,'On Hand'!A:A,'On Hand'!E:E,),)))"),"")</f>
        <v/>
      </c>
    </row>
    <row r="505">
      <c r="A505" s="3" t="str">
        <f t="array" ref="A505">ifna(_xlfn.xlookup(B505,'All Item Code'!B:B,'All Item Code'!A:A,),)</f>
        <v/>
      </c>
      <c r="B505" s="3"/>
      <c r="C505" s="3" t="str">
        <f t="array" ref="C505">if(B505="Tidak Ada",,if(isblank(B505),,ifna(sumif('On Hand'!A:A,A505,'On Hand'!D:D)&amp;" "&amp;_xlfn.xlookup(A505,'All Item Code'!A:A,'All Item Code'!D:D,),0)))</f>
        <v/>
      </c>
      <c r="D505" s="3" t="str">
        <f>IFERROR(__xludf.DUMMYFUNCTION("if(isblank(B505),,ifna(textjoin(""; "",,filter('On Hand'!E:E,'On Hand'!A:A=A505)),ifna(xlookup(A505,'On Hand'!A:A,'On Hand'!E:E,),)))"),"")</f>
        <v/>
      </c>
    </row>
    <row r="506">
      <c r="A506" s="3" t="str">
        <f t="array" ref="A506">ifna(_xlfn.xlookup(B506,'All Item Code'!B:B,'All Item Code'!A:A,),)</f>
        <v/>
      </c>
      <c r="B506" s="3"/>
      <c r="C506" s="3" t="str">
        <f t="array" ref="C506">if(B506="Tidak Ada",,if(isblank(B506),,ifna(sumif('On Hand'!A:A,A506,'On Hand'!D:D)&amp;" "&amp;_xlfn.xlookup(A506,'All Item Code'!A:A,'All Item Code'!D:D,),0)))</f>
        <v/>
      </c>
      <c r="D506" s="3" t="str">
        <f>IFERROR(__xludf.DUMMYFUNCTION("if(isblank(B506),,ifna(textjoin(""; "",,filter('On Hand'!E:E,'On Hand'!A:A=A506)),ifna(xlookup(A506,'On Hand'!A:A,'On Hand'!E:E,),)))"),"")</f>
        <v/>
      </c>
    </row>
    <row r="507">
      <c r="A507" s="3" t="str">
        <f t="array" ref="A507">ifna(_xlfn.xlookup(B507,'All Item Code'!B:B,'All Item Code'!A:A,),)</f>
        <v/>
      </c>
      <c r="B507" s="3"/>
      <c r="C507" s="3" t="str">
        <f t="array" ref="C507">if(B507="Tidak Ada",,if(isblank(B507),,ifna(sumif('On Hand'!A:A,A507,'On Hand'!D:D)&amp;" "&amp;_xlfn.xlookup(A507,'All Item Code'!A:A,'All Item Code'!D:D,),0)))</f>
        <v/>
      </c>
      <c r="D507" s="3" t="str">
        <f>IFERROR(__xludf.DUMMYFUNCTION("if(isblank(B507),,ifna(textjoin(""; "",,filter('On Hand'!E:E,'On Hand'!A:A=A507)),ifna(xlookup(A507,'On Hand'!A:A,'On Hand'!E:E,),)))"),"")</f>
        <v/>
      </c>
    </row>
    <row r="508">
      <c r="A508" s="3" t="str">
        <f t="array" ref="A508">ifna(_xlfn.xlookup(B508,'All Item Code'!B:B,'All Item Code'!A:A,),)</f>
        <v/>
      </c>
      <c r="B508" s="3"/>
      <c r="C508" s="3" t="str">
        <f t="array" ref="C508">if(B508="Tidak Ada",,if(isblank(B508),,ifna(sumif('On Hand'!A:A,A508,'On Hand'!D:D)&amp;" "&amp;_xlfn.xlookup(A508,'All Item Code'!A:A,'All Item Code'!D:D,),0)))</f>
        <v/>
      </c>
      <c r="D508" s="3" t="str">
        <f>IFERROR(__xludf.DUMMYFUNCTION("if(isblank(B508),,ifna(textjoin(""; "",,filter('On Hand'!E:E,'On Hand'!A:A=A508)),ifna(xlookup(A508,'On Hand'!A:A,'On Hand'!E:E,),)))"),"")</f>
        <v/>
      </c>
    </row>
    <row r="509">
      <c r="A509" s="3" t="str">
        <f t="array" ref="A509">ifna(_xlfn.xlookup(B509,'All Item Code'!B:B,'All Item Code'!A:A,),)</f>
        <v/>
      </c>
      <c r="B509" s="3"/>
      <c r="C509" s="3" t="str">
        <f t="array" ref="C509">if(B509="Tidak Ada",,if(isblank(B509),,ifna(sumif('On Hand'!A:A,A509,'On Hand'!D:D)&amp;" "&amp;_xlfn.xlookup(A509,'All Item Code'!A:A,'All Item Code'!D:D,),0)))</f>
        <v/>
      </c>
      <c r="D509" s="3" t="str">
        <f>IFERROR(__xludf.DUMMYFUNCTION("if(isblank(B509),,ifna(textjoin(""; "",,filter('On Hand'!E:E,'On Hand'!A:A=A509)),ifna(xlookup(A509,'On Hand'!A:A,'On Hand'!E:E,),)))"),"")</f>
        <v/>
      </c>
    </row>
    <row r="510">
      <c r="A510" s="3" t="str">
        <f t="array" ref="A510">ifna(_xlfn.xlookup(B510,'All Item Code'!B:B,'All Item Code'!A:A,),)</f>
        <v/>
      </c>
      <c r="B510" s="3"/>
      <c r="C510" s="3" t="str">
        <f t="array" ref="C510">if(B510="Tidak Ada",,if(isblank(B510),,ifna(sumif('On Hand'!A:A,A510,'On Hand'!D:D)&amp;" "&amp;_xlfn.xlookup(A510,'All Item Code'!A:A,'All Item Code'!D:D,),0)))</f>
        <v/>
      </c>
      <c r="D510" s="3" t="str">
        <f>IFERROR(__xludf.DUMMYFUNCTION("if(isblank(B510),,ifna(textjoin(""; "",,filter('On Hand'!E:E,'On Hand'!A:A=A510)),ifna(xlookup(A510,'On Hand'!A:A,'On Hand'!E:E,),)))"),"")</f>
        <v/>
      </c>
    </row>
    <row r="511">
      <c r="A511" s="3" t="str">
        <f t="array" ref="A511">ifna(_xlfn.xlookup(B511,'All Item Code'!B:B,'All Item Code'!A:A,),)</f>
        <v/>
      </c>
      <c r="B511" s="3"/>
      <c r="C511" s="3" t="str">
        <f t="array" ref="C511">if(B511="Tidak Ada",,if(isblank(B511),,ifna(sumif('On Hand'!A:A,A511,'On Hand'!D:D)&amp;" "&amp;_xlfn.xlookup(A511,'All Item Code'!A:A,'All Item Code'!D:D,),0)))</f>
        <v/>
      </c>
      <c r="D511" s="3" t="str">
        <f>IFERROR(__xludf.DUMMYFUNCTION("if(isblank(B511),,ifna(textjoin(""; "",,filter('On Hand'!E:E,'On Hand'!A:A=A511)),ifna(xlookup(A511,'On Hand'!A:A,'On Hand'!E:E,),)))"),"")</f>
        <v/>
      </c>
    </row>
    <row r="512">
      <c r="A512" s="3" t="str">
        <f t="array" ref="A512">ifna(_xlfn.xlookup(B512,'All Item Code'!B:B,'All Item Code'!A:A,),)</f>
        <v/>
      </c>
      <c r="B512" s="3"/>
      <c r="C512" s="3" t="str">
        <f t="array" ref="C512">if(B512="Tidak Ada",,if(isblank(B512),,ifna(sumif('On Hand'!A:A,A512,'On Hand'!D:D)&amp;" "&amp;_xlfn.xlookup(A512,'All Item Code'!A:A,'All Item Code'!D:D,),0)))</f>
        <v/>
      </c>
      <c r="D512" s="3" t="str">
        <f>IFERROR(__xludf.DUMMYFUNCTION("if(isblank(B512),,ifna(textjoin(""; "",,filter('On Hand'!E:E,'On Hand'!A:A=A512)),ifna(xlookup(A512,'On Hand'!A:A,'On Hand'!E:E,),)))"),"")</f>
        <v/>
      </c>
    </row>
    <row r="513">
      <c r="A513" s="3" t="str">
        <f t="array" ref="A513">ifna(_xlfn.xlookup(B513,'All Item Code'!B:B,'All Item Code'!A:A,),)</f>
        <v/>
      </c>
      <c r="B513" s="3"/>
      <c r="C513" s="3" t="str">
        <f t="array" ref="C513">if(B513="Tidak Ada",,if(isblank(B513),,ifna(sumif('On Hand'!A:A,A513,'On Hand'!D:D)&amp;" "&amp;_xlfn.xlookup(A513,'All Item Code'!A:A,'All Item Code'!D:D,),0)))</f>
        <v/>
      </c>
      <c r="D513" s="3" t="str">
        <f>IFERROR(__xludf.DUMMYFUNCTION("if(isblank(B513),,ifna(textjoin(""; "",,filter('On Hand'!E:E,'On Hand'!A:A=A513)),ifna(xlookup(A513,'On Hand'!A:A,'On Hand'!E:E,),)))"),"")</f>
        <v/>
      </c>
    </row>
    <row r="514">
      <c r="A514" s="3" t="str">
        <f t="array" ref="A514">ifna(_xlfn.xlookup(B514,'All Item Code'!B:B,'All Item Code'!A:A,),)</f>
        <v/>
      </c>
      <c r="B514" s="3"/>
      <c r="C514" s="3" t="str">
        <f t="array" ref="C514">if(B514="Tidak Ada",,if(isblank(B514),,ifna(sumif('On Hand'!A:A,A514,'On Hand'!D:D)&amp;" "&amp;_xlfn.xlookup(A514,'All Item Code'!A:A,'All Item Code'!D:D,),0)))</f>
        <v/>
      </c>
      <c r="D514" s="3" t="str">
        <f>IFERROR(__xludf.DUMMYFUNCTION("if(isblank(B514),,ifna(textjoin(""; "",,filter('On Hand'!E:E,'On Hand'!A:A=A514)),ifna(xlookup(A514,'On Hand'!A:A,'On Hand'!E:E,),)))"),"")</f>
        <v/>
      </c>
    </row>
    <row r="515">
      <c r="A515" s="3" t="str">
        <f t="array" ref="A515">ifna(_xlfn.xlookup(B515,'All Item Code'!B:B,'All Item Code'!A:A,),)</f>
        <v/>
      </c>
      <c r="B515" s="3"/>
      <c r="C515" s="3" t="str">
        <f t="array" ref="C515">if(B515="Tidak Ada",,if(isblank(B515),,ifna(sumif('On Hand'!A:A,A515,'On Hand'!D:D)&amp;" "&amp;_xlfn.xlookup(A515,'All Item Code'!A:A,'All Item Code'!D:D,),0)))</f>
        <v/>
      </c>
      <c r="D515" s="3" t="str">
        <f>IFERROR(__xludf.DUMMYFUNCTION("if(isblank(B515),,ifna(textjoin(""; "",,filter('On Hand'!E:E,'On Hand'!A:A=A515)),ifna(xlookup(A515,'On Hand'!A:A,'On Hand'!E:E,),)))"),"")</f>
        <v/>
      </c>
    </row>
    <row r="516">
      <c r="A516" s="3" t="str">
        <f t="array" ref="A516">ifna(_xlfn.xlookup(B516,'All Item Code'!B:B,'All Item Code'!A:A,),)</f>
        <v/>
      </c>
      <c r="B516" s="3"/>
      <c r="C516" s="3" t="str">
        <f t="array" ref="C516">if(B516="Tidak Ada",,if(isblank(B516),,ifna(sumif('On Hand'!A:A,A516,'On Hand'!D:D)&amp;" "&amp;_xlfn.xlookup(A516,'All Item Code'!A:A,'All Item Code'!D:D,),0)))</f>
        <v/>
      </c>
      <c r="D516" s="3" t="str">
        <f>IFERROR(__xludf.DUMMYFUNCTION("if(isblank(B516),,ifna(textjoin(""; "",,filter('On Hand'!E:E,'On Hand'!A:A=A516)),ifna(xlookup(A516,'On Hand'!A:A,'On Hand'!E:E,),)))"),"")</f>
        <v/>
      </c>
    </row>
    <row r="517">
      <c r="A517" s="3" t="str">
        <f t="array" ref="A517">ifna(_xlfn.xlookup(B517,'All Item Code'!B:B,'All Item Code'!A:A,),)</f>
        <v/>
      </c>
      <c r="B517" s="3"/>
      <c r="C517" s="3" t="str">
        <f t="array" ref="C517">if(B517="Tidak Ada",,if(isblank(B517),,ifna(sumif('On Hand'!A:A,A517,'On Hand'!D:D)&amp;" "&amp;_xlfn.xlookup(A517,'All Item Code'!A:A,'All Item Code'!D:D,),0)))</f>
        <v/>
      </c>
      <c r="D517" s="3" t="str">
        <f>IFERROR(__xludf.DUMMYFUNCTION("if(isblank(B517),,ifna(textjoin(""; "",,filter('On Hand'!E:E,'On Hand'!A:A=A517)),ifna(xlookup(A517,'On Hand'!A:A,'On Hand'!E:E,),)))"),"")</f>
        <v/>
      </c>
    </row>
    <row r="518">
      <c r="A518" s="3" t="str">
        <f t="array" ref="A518">ifna(_xlfn.xlookup(B518,'All Item Code'!B:B,'All Item Code'!A:A,),)</f>
        <v/>
      </c>
      <c r="B518" s="3"/>
      <c r="C518" s="3" t="str">
        <f t="array" ref="C518">if(B518="Tidak Ada",,if(isblank(B518),,ifna(sumif('On Hand'!A:A,A518,'On Hand'!D:D)&amp;" "&amp;_xlfn.xlookup(A518,'All Item Code'!A:A,'All Item Code'!D:D,),0)))</f>
        <v/>
      </c>
      <c r="D518" s="3" t="str">
        <f>IFERROR(__xludf.DUMMYFUNCTION("if(isblank(B518),,ifna(textjoin(""; "",,filter('On Hand'!E:E,'On Hand'!A:A=A518)),ifna(xlookup(A518,'On Hand'!A:A,'On Hand'!E:E,),)))"),"")</f>
        <v/>
      </c>
    </row>
    <row r="519">
      <c r="A519" s="3" t="str">
        <f t="array" ref="A519">ifna(_xlfn.xlookup(B519,'All Item Code'!B:B,'All Item Code'!A:A,),)</f>
        <v/>
      </c>
      <c r="B519" s="3"/>
      <c r="C519" s="3" t="str">
        <f t="array" ref="C519">if(B519="Tidak Ada",,if(isblank(B519),,ifna(sumif('On Hand'!A:A,A519,'On Hand'!D:D)&amp;" "&amp;_xlfn.xlookup(A519,'All Item Code'!A:A,'All Item Code'!D:D,),0)))</f>
        <v/>
      </c>
      <c r="D519" s="3" t="str">
        <f>IFERROR(__xludf.DUMMYFUNCTION("if(isblank(B519),,ifna(textjoin(""; "",,filter('On Hand'!E:E,'On Hand'!A:A=A519)),ifna(xlookup(A519,'On Hand'!A:A,'On Hand'!E:E,),)))"),"")</f>
        <v/>
      </c>
    </row>
    <row r="520">
      <c r="A520" s="3" t="str">
        <f t="array" ref="A520">ifna(_xlfn.xlookup(B520,'All Item Code'!B:B,'All Item Code'!A:A,),)</f>
        <v/>
      </c>
      <c r="B520" s="3"/>
      <c r="C520" s="3" t="str">
        <f t="array" ref="C520">if(B520="Tidak Ada",,if(isblank(B520),,ifna(sumif('On Hand'!A:A,A520,'On Hand'!D:D)&amp;" "&amp;_xlfn.xlookup(A520,'All Item Code'!A:A,'All Item Code'!D:D,),0)))</f>
        <v/>
      </c>
      <c r="D520" s="3" t="str">
        <f>IFERROR(__xludf.DUMMYFUNCTION("if(isblank(B520),,ifna(textjoin(""; "",,filter('On Hand'!E:E,'On Hand'!A:A=A520)),ifna(xlookup(A520,'On Hand'!A:A,'On Hand'!E:E,),)))"),"")</f>
        <v/>
      </c>
    </row>
    <row r="521">
      <c r="A521" s="3" t="str">
        <f t="array" ref="A521">ifna(_xlfn.xlookup(B521,'All Item Code'!B:B,'All Item Code'!A:A,),)</f>
        <v/>
      </c>
      <c r="B521" s="3"/>
      <c r="C521" s="3" t="str">
        <f t="array" ref="C521">if(B521="Tidak Ada",,if(isblank(B521),,ifna(sumif('On Hand'!A:A,A521,'On Hand'!D:D)&amp;" "&amp;_xlfn.xlookup(A521,'All Item Code'!A:A,'All Item Code'!D:D,),0)))</f>
        <v/>
      </c>
      <c r="D521" s="3" t="str">
        <f>IFERROR(__xludf.DUMMYFUNCTION("if(isblank(B521),,ifna(textjoin(""; "",,filter('On Hand'!E:E,'On Hand'!A:A=A521)),ifna(xlookup(A521,'On Hand'!A:A,'On Hand'!E:E,),)))"),"")</f>
        <v/>
      </c>
    </row>
    <row r="522">
      <c r="A522" s="3" t="str">
        <f t="array" ref="A522">ifna(_xlfn.xlookup(B522,'All Item Code'!B:B,'All Item Code'!A:A,),)</f>
        <v/>
      </c>
      <c r="B522" s="3"/>
      <c r="C522" s="3" t="str">
        <f t="array" ref="C522">if(B522="Tidak Ada",,if(isblank(B522),,ifna(sumif('On Hand'!A:A,A522,'On Hand'!D:D)&amp;" "&amp;_xlfn.xlookup(A522,'All Item Code'!A:A,'All Item Code'!D:D,),0)))</f>
        <v/>
      </c>
      <c r="D522" s="3" t="str">
        <f>IFERROR(__xludf.DUMMYFUNCTION("if(isblank(B522),,ifna(textjoin(""; "",,filter('On Hand'!E:E,'On Hand'!A:A=A522)),ifna(xlookup(A522,'On Hand'!A:A,'On Hand'!E:E,),)))"),"")</f>
        <v/>
      </c>
    </row>
    <row r="523">
      <c r="A523" s="3" t="str">
        <f t="array" ref="A523">ifna(_xlfn.xlookup(B523,'All Item Code'!B:B,'All Item Code'!A:A,),)</f>
        <v/>
      </c>
      <c r="B523" s="3"/>
      <c r="C523" s="3" t="str">
        <f t="array" ref="C523">if(B523="Tidak Ada",,if(isblank(B523),,ifna(sumif('On Hand'!A:A,A523,'On Hand'!D:D)&amp;" "&amp;_xlfn.xlookup(A523,'All Item Code'!A:A,'All Item Code'!D:D,),0)))</f>
        <v/>
      </c>
      <c r="D523" s="3" t="str">
        <f>IFERROR(__xludf.DUMMYFUNCTION("if(isblank(B523),,ifna(textjoin(""; "",,filter('On Hand'!E:E,'On Hand'!A:A=A523)),ifna(xlookup(A523,'On Hand'!A:A,'On Hand'!E:E,),)))"),"")</f>
        <v/>
      </c>
    </row>
    <row r="524">
      <c r="A524" s="3" t="str">
        <f t="array" ref="A524">ifna(_xlfn.xlookup(B524,'All Item Code'!B:B,'All Item Code'!A:A,),)</f>
        <v/>
      </c>
      <c r="B524" s="3"/>
      <c r="C524" s="3" t="str">
        <f t="array" ref="C524">if(B524="Tidak Ada",,if(isblank(B524),,ifna(sumif('On Hand'!A:A,A524,'On Hand'!D:D)&amp;" "&amp;_xlfn.xlookup(A524,'All Item Code'!A:A,'All Item Code'!D:D,),0)))</f>
        <v/>
      </c>
      <c r="D524" s="3" t="str">
        <f>IFERROR(__xludf.DUMMYFUNCTION("if(isblank(B524),,ifna(textjoin(""; "",,filter('On Hand'!E:E,'On Hand'!A:A=A524)),ifna(xlookup(A524,'On Hand'!A:A,'On Hand'!E:E,),)))"),"")</f>
        <v/>
      </c>
    </row>
    <row r="525">
      <c r="A525" s="3" t="str">
        <f t="array" ref="A525">ifna(_xlfn.xlookup(B525,'All Item Code'!B:B,'All Item Code'!A:A,),)</f>
        <v/>
      </c>
      <c r="B525" s="3"/>
      <c r="C525" s="3" t="str">
        <f t="array" ref="C525">if(B525="Tidak Ada",,if(isblank(B525),,ifna(sumif('On Hand'!A:A,A525,'On Hand'!D:D)&amp;" "&amp;_xlfn.xlookup(A525,'All Item Code'!A:A,'All Item Code'!D:D,),0)))</f>
        <v/>
      </c>
      <c r="D525" s="3" t="str">
        <f>IFERROR(__xludf.DUMMYFUNCTION("if(isblank(B525),,ifna(textjoin(""; "",,filter('On Hand'!E:E,'On Hand'!A:A=A525)),ifna(xlookup(A525,'On Hand'!A:A,'On Hand'!E:E,),)))"),"")</f>
        <v/>
      </c>
    </row>
    <row r="526">
      <c r="A526" s="3" t="str">
        <f t="array" ref="A526">ifna(_xlfn.xlookup(B526,'All Item Code'!B:B,'All Item Code'!A:A,),)</f>
        <v/>
      </c>
      <c r="B526" s="3"/>
      <c r="C526" s="3" t="str">
        <f t="array" ref="C526">if(B526="Tidak Ada",,if(isblank(B526),,ifna(sumif('On Hand'!A:A,A526,'On Hand'!D:D)&amp;" "&amp;_xlfn.xlookup(A526,'All Item Code'!A:A,'All Item Code'!D:D,),0)))</f>
        <v/>
      </c>
      <c r="D526" s="3" t="str">
        <f>IFERROR(__xludf.DUMMYFUNCTION("if(isblank(B526),,ifna(textjoin(""; "",,filter('On Hand'!E:E,'On Hand'!A:A=A526)),ifna(xlookup(A526,'On Hand'!A:A,'On Hand'!E:E,),)))"),"")</f>
        <v/>
      </c>
    </row>
    <row r="527">
      <c r="A527" s="3" t="str">
        <f t="array" ref="A527">ifna(_xlfn.xlookup(B527,'All Item Code'!B:B,'All Item Code'!A:A,),)</f>
        <v/>
      </c>
      <c r="B527" s="3"/>
      <c r="C527" s="3" t="str">
        <f t="array" ref="C527">if(B527="Tidak Ada",,if(isblank(B527),,ifna(sumif('On Hand'!A:A,A527,'On Hand'!D:D)&amp;" "&amp;_xlfn.xlookup(A527,'All Item Code'!A:A,'All Item Code'!D:D,),0)))</f>
        <v/>
      </c>
      <c r="D527" s="3" t="str">
        <f>IFERROR(__xludf.DUMMYFUNCTION("if(isblank(B527),,ifna(textjoin(""; "",,filter('On Hand'!E:E,'On Hand'!A:A=A527)),ifna(xlookup(A527,'On Hand'!A:A,'On Hand'!E:E,),)))"),"")</f>
        <v/>
      </c>
    </row>
    <row r="528">
      <c r="A528" s="3" t="str">
        <f t="array" ref="A528">ifna(_xlfn.xlookup(B528,'All Item Code'!B:B,'All Item Code'!A:A,),)</f>
        <v/>
      </c>
      <c r="B528" s="3"/>
      <c r="C528" s="3" t="str">
        <f t="array" ref="C528">if(B528="Tidak Ada",,if(isblank(B528),,ifna(sumif('On Hand'!A:A,A528,'On Hand'!D:D)&amp;" "&amp;_xlfn.xlookup(A528,'All Item Code'!A:A,'All Item Code'!D:D,),0)))</f>
        <v/>
      </c>
      <c r="D528" s="3" t="str">
        <f>IFERROR(__xludf.DUMMYFUNCTION("if(isblank(B528),,ifna(textjoin(""; "",,filter('On Hand'!E:E,'On Hand'!A:A=A528)),ifna(xlookup(A528,'On Hand'!A:A,'On Hand'!E:E,),)))"),"")</f>
        <v/>
      </c>
    </row>
    <row r="529">
      <c r="A529" s="3" t="str">
        <f t="array" ref="A529">ifna(_xlfn.xlookup(B529,'All Item Code'!B:B,'All Item Code'!A:A,),)</f>
        <v/>
      </c>
      <c r="B529" s="3"/>
      <c r="C529" s="3" t="str">
        <f t="array" ref="C529">if(B529="Tidak Ada",,if(isblank(B529),,ifna(sumif('On Hand'!A:A,A529,'On Hand'!D:D)&amp;" "&amp;_xlfn.xlookup(A529,'All Item Code'!A:A,'All Item Code'!D:D,),0)))</f>
        <v/>
      </c>
      <c r="D529" s="3" t="str">
        <f>IFERROR(__xludf.DUMMYFUNCTION("if(isblank(B529),,ifna(textjoin(""; "",,filter('On Hand'!E:E,'On Hand'!A:A=A529)),ifna(xlookup(A529,'On Hand'!A:A,'On Hand'!E:E,),)))"),"")</f>
        <v/>
      </c>
    </row>
    <row r="530">
      <c r="A530" s="3" t="str">
        <f t="array" ref="A530">ifna(_xlfn.xlookup(B530,'All Item Code'!B:B,'All Item Code'!A:A,),)</f>
        <v/>
      </c>
      <c r="B530" s="3"/>
      <c r="C530" s="3" t="str">
        <f t="array" ref="C530">if(B530="Tidak Ada",,if(isblank(B530),,ifna(sumif('On Hand'!A:A,A530,'On Hand'!D:D)&amp;" "&amp;_xlfn.xlookup(A530,'All Item Code'!A:A,'All Item Code'!D:D,),0)))</f>
        <v/>
      </c>
      <c r="D530" s="3" t="str">
        <f>IFERROR(__xludf.DUMMYFUNCTION("if(isblank(B530),,ifna(textjoin(""; "",,filter('On Hand'!E:E,'On Hand'!A:A=A530)),ifna(xlookup(A530,'On Hand'!A:A,'On Hand'!E:E,),)))"),"")</f>
        <v/>
      </c>
    </row>
    <row r="531">
      <c r="A531" s="3" t="str">
        <f t="array" ref="A531">ifna(_xlfn.xlookup(B531,'All Item Code'!B:B,'All Item Code'!A:A,),)</f>
        <v/>
      </c>
      <c r="B531" s="3"/>
      <c r="C531" s="3" t="str">
        <f t="array" ref="C531">if(B531="Tidak Ada",,if(isblank(B531),,ifna(sumif('On Hand'!A:A,A531,'On Hand'!D:D)&amp;" "&amp;_xlfn.xlookup(A531,'All Item Code'!A:A,'All Item Code'!D:D,),0)))</f>
        <v/>
      </c>
      <c r="D531" s="3" t="str">
        <f>IFERROR(__xludf.DUMMYFUNCTION("if(isblank(B531),,ifna(textjoin(""; "",,filter('On Hand'!E:E,'On Hand'!A:A=A531)),ifna(xlookup(A531,'On Hand'!A:A,'On Hand'!E:E,),)))"),"")</f>
        <v/>
      </c>
    </row>
    <row r="532">
      <c r="A532" s="3" t="str">
        <f t="array" ref="A532">ifna(_xlfn.xlookup(B532,'All Item Code'!B:B,'All Item Code'!A:A,),)</f>
        <v/>
      </c>
      <c r="B532" s="3"/>
      <c r="C532" s="3" t="str">
        <f t="array" ref="C532">if(B532="Tidak Ada",,if(isblank(B532),,ifna(sumif('On Hand'!A:A,A532,'On Hand'!D:D)&amp;" "&amp;_xlfn.xlookup(A532,'All Item Code'!A:A,'All Item Code'!D:D,),0)))</f>
        <v/>
      </c>
      <c r="D532" s="3" t="str">
        <f>IFERROR(__xludf.DUMMYFUNCTION("if(isblank(B532),,ifna(textjoin(""; "",,filter('On Hand'!E:E,'On Hand'!A:A=A532)),ifna(xlookup(A532,'On Hand'!A:A,'On Hand'!E:E,),)))"),"")</f>
        <v/>
      </c>
    </row>
    <row r="533">
      <c r="A533" s="3" t="str">
        <f t="array" ref="A533">ifna(_xlfn.xlookup(B533,'All Item Code'!B:B,'All Item Code'!A:A,),)</f>
        <v/>
      </c>
      <c r="B533" s="3"/>
      <c r="C533" s="3" t="str">
        <f t="array" ref="C533">if(B533="Tidak Ada",,if(isblank(B533),,ifna(sumif('On Hand'!A:A,A533,'On Hand'!D:D)&amp;" "&amp;_xlfn.xlookup(A533,'All Item Code'!A:A,'All Item Code'!D:D,),0)))</f>
        <v/>
      </c>
      <c r="D533" s="3" t="str">
        <f>IFERROR(__xludf.DUMMYFUNCTION("if(isblank(B533),,ifna(textjoin(""; "",,filter('On Hand'!E:E,'On Hand'!A:A=A533)),ifna(xlookup(A533,'On Hand'!A:A,'On Hand'!E:E,),)))"),"")</f>
        <v/>
      </c>
    </row>
    <row r="534">
      <c r="A534" s="3" t="str">
        <f t="array" ref="A534">ifna(_xlfn.xlookup(B534,'All Item Code'!B:B,'All Item Code'!A:A,),)</f>
        <v/>
      </c>
      <c r="B534" s="3"/>
      <c r="C534" s="3" t="str">
        <f t="array" ref="C534">if(B534="Tidak Ada",,if(isblank(B534),,ifna(sumif('On Hand'!A:A,A534,'On Hand'!D:D)&amp;" "&amp;_xlfn.xlookup(A534,'All Item Code'!A:A,'All Item Code'!D:D,),0)))</f>
        <v/>
      </c>
      <c r="D534" s="3" t="str">
        <f>IFERROR(__xludf.DUMMYFUNCTION("if(isblank(B534),,ifna(textjoin(""; "",,filter('On Hand'!E:E,'On Hand'!A:A=A534)),ifna(xlookup(A534,'On Hand'!A:A,'On Hand'!E:E,),)))"),"")</f>
        <v/>
      </c>
    </row>
    <row r="535">
      <c r="A535" s="3" t="str">
        <f t="array" ref="A535">ifna(_xlfn.xlookup(B535,'All Item Code'!B:B,'All Item Code'!A:A,),)</f>
        <v/>
      </c>
      <c r="B535" s="3"/>
      <c r="C535" s="3" t="str">
        <f t="array" ref="C535">if(B535="Tidak Ada",,if(isblank(B535),,ifna(sumif('On Hand'!A:A,A535,'On Hand'!D:D)&amp;" "&amp;_xlfn.xlookup(A535,'All Item Code'!A:A,'All Item Code'!D:D,),0)))</f>
        <v/>
      </c>
      <c r="D535" s="3" t="str">
        <f>IFERROR(__xludf.DUMMYFUNCTION("if(isblank(B535),,ifna(textjoin(""; "",,filter('On Hand'!E:E,'On Hand'!A:A=A535)),ifna(xlookup(A535,'On Hand'!A:A,'On Hand'!E:E,),)))"),"")</f>
        <v/>
      </c>
    </row>
    <row r="536">
      <c r="A536" s="3" t="str">
        <f t="array" ref="A536">ifna(_xlfn.xlookup(B536,'All Item Code'!B:B,'All Item Code'!A:A,),)</f>
        <v/>
      </c>
      <c r="B536" s="3"/>
      <c r="C536" s="3" t="str">
        <f t="array" ref="C536">if(B536="Tidak Ada",,if(isblank(B536),,ifna(sumif('On Hand'!A:A,A536,'On Hand'!D:D)&amp;" "&amp;_xlfn.xlookup(A536,'All Item Code'!A:A,'All Item Code'!D:D,),0)))</f>
        <v/>
      </c>
      <c r="D536" s="3" t="str">
        <f>IFERROR(__xludf.DUMMYFUNCTION("if(isblank(B536),,ifna(textjoin(""; "",,filter('On Hand'!E:E,'On Hand'!A:A=A536)),ifna(xlookup(A536,'On Hand'!A:A,'On Hand'!E:E,),)))"),"")</f>
        <v/>
      </c>
    </row>
    <row r="537">
      <c r="A537" s="3" t="str">
        <f t="array" ref="A537">ifna(_xlfn.xlookup(B537,'All Item Code'!B:B,'All Item Code'!A:A,),)</f>
        <v/>
      </c>
      <c r="B537" s="3"/>
      <c r="C537" s="3" t="str">
        <f t="array" ref="C537">if(B537="Tidak Ada",,if(isblank(B537),,ifna(sumif('On Hand'!A:A,A537,'On Hand'!D:D)&amp;" "&amp;_xlfn.xlookup(A537,'All Item Code'!A:A,'All Item Code'!D:D,),0)))</f>
        <v/>
      </c>
      <c r="D537" s="3" t="str">
        <f>IFERROR(__xludf.DUMMYFUNCTION("if(isblank(B537),,ifna(textjoin(""; "",,filter('On Hand'!E:E,'On Hand'!A:A=A537)),ifna(xlookup(A537,'On Hand'!A:A,'On Hand'!E:E,),)))"),"")</f>
        <v/>
      </c>
    </row>
    <row r="538">
      <c r="A538" s="3" t="str">
        <f t="array" ref="A538">ifna(_xlfn.xlookup(B538,'All Item Code'!B:B,'All Item Code'!A:A,),)</f>
        <v/>
      </c>
      <c r="B538" s="3"/>
      <c r="C538" s="3" t="str">
        <f t="array" ref="C538">if(B538="Tidak Ada",,if(isblank(B538),,ifna(sumif('On Hand'!A:A,A538,'On Hand'!D:D)&amp;" "&amp;_xlfn.xlookup(A538,'All Item Code'!A:A,'All Item Code'!D:D,),0)))</f>
        <v/>
      </c>
      <c r="D538" s="3" t="str">
        <f>IFERROR(__xludf.DUMMYFUNCTION("if(isblank(B538),,ifna(textjoin(""; "",,filter('On Hand'!E:E,'On Hand'!A:A=A538)),ifna(xlookup(A538,'On Hand'!A:A,'On Hand'!E:E,),)))"),"")</f>
        <v/>
      </c>
    </row>
    <row r="539">
      <c r="A539" s="3" t="str">
        <f t="array" ref="A539">ifna(_xlfn.xlookup(B539,'All Item Code'!B:B,'All Item Code'!A:A,),)</f>
        <v/>
      </c>
      <c r="B539" s="3"/>
      <c r="C539" s="3" t="str">
        <f t="array" ref="C539">if(B539="Tidak Ada",,if(isblank(B539),,ifna(sumif('On Hand'!A:A,A539,'On Hand'!D:D)&amp;" "&amp;_xlfn.xlookup(A539,'All Item Code'!A:A,'All Item Code'!D:D,),0)))</f>
        <v/>
      </c>
      <c r="D539" s="3" t="str">
        <f>IFERROR(__xludf.DUMMYFUNCTION("if(isblank(B539),,ifna(textjoin(""; "",,filter('On Hand'!E:E,'On Hand'!A:A=A539)),ifna(xlookup(A539,'On Hand'!A:A,'On Hand'!E:E,),)))"),"")</f>
        <v/>
      </c>
    </row>
    <row r="540">
      <c r="A540" s="3" t="str">
        <f t="array" ref="A540">ifna(_xlfn.xlookup(B540,'All Item Code'!B:B,'All Item Code'!A:A,),)</f>
        <v/>
      </c>
      <c r="B540" s="3"/>
      <c r="C540" s="3" t="str">
        <f t="array" ref="C540">if(B540="Tidak Ada",,if(isblank(B540),,ifna(sumif('On Hand'!A:A,A540,'On Hand'!D:D)&amp;" "&amp;_xlfn.xlookup(A540,'All Item Code'!A:A,'All Item Code'!D:D,),0)))</f>
        <v/>
      </c>
      <c r="D540" s="3" t="str">
        <f>IFERROR(__xludf.DUMMYFUNCTION("if(isblank(B540),,ifna(textjoin(""; "",,filter('On Hand'!E:E,'On Hand'!A:A=A540)),ifna(xlookup(A540,'On Hand'!A:A,'On Hand'!E:E,),)))"),"")</f>
        <v/>
      </c>
    </row>
    <row r="541">
      <c r="A541" s="3" t="str">
        <f t="array" ref="A541">ifna(_xlfn.xlookup(B541,'All Item Code'!B:B,'All Item Code'!A:A,),)</f>
        <v/>
      </c>
      <c r="B541" s="3"/>
      <c r="C541" s="3" t="str">
        <f t="array" ref="C541">if(B541="Tidak Ada",,if(isblank(B541),,ifna(sumif('On Hand'!A:A,A541,'On Hand'!D:D)&amp;" "&amp;_xlfn.xlookup(A541,'All Item Code'!A:A,'All Item Code'!D:D,),0)))</f>
        <v/>
      </c>
      <c r="D541" s="3" t="str">
        <f>IFERROR(__xludf.DUMMYFUNCTION("if(isblank(B541),,ifna(textjoin(""; "",,filter('On Hand'!E:E,'On Hand'!A:A=A541)),ifna(xlookup(A541,'On Hand'!A:A,'On Hand'!E:E,),)))"),"")</f>
        <v/>
      </c>
    </row>
    <row r="542">
      <c r="A542" s="3" t="str">
        <f t="array" ref="A542">ifna(_xlfn.xlookup(B542,'All Item Code'!B:B,'All Item Code'!A:A,),)</f>
        <v/>
      </c>
      <c r="B542" s="3"/>
      <c r="C542" s="3" t="str">
        <f t="array" ref="C542">if(B542="Tidak Ada",,if(isblank(B542),,ifna(sumif('On Hand'!A:A,A542,'On Hand'!D:D)&amp;" "&amp;_xlfn.xlookup(A542,'All Item Code'!A:A,'All Item Code'!D:D,),0)))</f>
        <v/>
      </c>
      <c r="D542" s="3" t="str">
        <f>IFERROR(__xludf.DUMMYFUNCTION("if(isblank(B542),,ifna(textjoin(""; "",,filter('On Hand'!E:E,'On Hand'!A:A=A542)),ifna(xlookup(A542,'On Hand'!A:A,'On Hand'!E:E,),)))"),"")</f>
        <v/>
      </c>
    </row>
    <row r="543">
      <c r="A543" s="3" t="str">
        <f t="array" ref="A543">ifna(_xlfn.xlookup(B543,'All Item Code'!B:B,'All Item Code'!A:A,),)</f>
        <v/>
      </c>
      <c r="B543" s="3"/>
      <c r="C543" s="3" t="str">
        <f t="array" ref="C543">if(B543="Tidak Ada",,if(isblank(B543),,ifna(sumif('On Hand'!A:A,A543,'On Hand'!D:D)&amp;" "&amp;_xlfn.xlookup(A543,'All Item Code'!A:A,'All Item Code'!D:D,),0)))</f>
        <v/>
      </c>
      <c r="D543" s="3" t="str">
        <f>IFERROR(__xludf.DUMMYFUNCTION("if(isblank(B543),,ifna(textjoin(""; "",,filter('On Hand'!E:E,'On Hand'!A:A=A543)),ifna(xlookup(A543,'On Hand'!A:A,'On Hand'!E:E,),)))"),"")</f>
        <v/>
      </c>
    </row>
    <row r="544">
      <c r="A544" s="3" t="str">
        <f t="array" ref="A544">ifna(_xlfn.xlookup(B544,'All Item Code'!B:B,'All Item Code'!A:A,),)</f>
        <v/>
      </c>
      <c r="B544" s="3"/>
      <c r="C544" s="3" t="str">
        <f t="array" ref="C544">if(B544="Tidak Ada",,if(isblank(B544),,ifna(sumif('On Hand'!A:A,A544,'On Hand'!D:D)&amp;" "&amp;_xlfn.xlookup(A544,'All Item Code'!A:A,'All Item Code'!D:D,),0)))</f>
        <v/>
      </c>
      <c r="D544" s="3" t="str">
        <f>IFERROR(__xludf.DUMMYFUNCTION("if(isblank(B544),,ifna(textjoin(""; "",,filter('On Hand'!E:E,'On Hand'!A:A=A544)),ifna(xlookup(A544,'On Hand'!A:A,'On Hand'!E:E,),)))"),"")</f>
        <v/>
      </c>
    </row>
    <row r="545">
      <c r="A545" s="3" t="str">
        <f t="array" ref="A545">ifna(_xlfn.xlookup(B545,'All Item Code'!B:B,'All Item Code'!A:A,),)</f>
        <v/>
      </c>
      <c r="B545" s="3"/>
      <c r="C545" s="3" t="str">
        <f t="array" ref="C545">if(B545="Tidak Ada",,if(isblank(B545),,ifna(sumif('On Hand'!A:A,A545,'On Hand'!D:D)&amp;" "&amp;_xlfn.xlookup(A545,'All Item Code'!A:A,'All Item Code'!D:D,),0)))</f>
        <v/>
      </c>
      <c r="D545" s="3" t="str">
        <f>IFERROR(__xludf.DUMMYFUNCTION("if(isblank(B545),,ifna(textjoin(""; "",,filter('On Hand'!E:E,'On Hand'!A:A=A545)),ifna(xlookup(A545,'On Hand'!A:A,'On Hand'!E:E,),)))"),"")</f>
        <v/>
      </c>
    </row>
    <row r="546">
      <c r="A546" s="3" t="str">
        <f t="array" ref="A546">ifna(_xlfn.xlookup(B546,'All Item Code'!B:B,'All Item Code'!A:A,),)</f>
        <v/>
      </c>
      <c r="B546" s="3"/>
      <c r="C546" s="3" t="str">
        <f t="array" ref="C546">if(B546="Tidak Ada",,if(isblank(B546),,ifna(sumif('On Hand'!A:A,A546,'On Hand'!D:D)&amp;" "&amp;_xlfn.xlookup(A546,'All Item Code'!A:A,'All Item Code'!D:D,),0)))</f>
        <v/>
      </c>
      <c r="D546" s="3" t="str">
        <f>IFERROR(__xludf.DUMMYFUNCTION("if(isblank(B546),,ifna(textjoin(""; "",,filter('On Hand'!E:E,'On Hand'!A:A=A546)),ifna(xlookup(A546,'On Hand'!A:A,'On Hand'!E:E,),)))"),"")</f>
        <v/>
      </c>
    </row>
    <row r="547">
      <c r="A547" s="3" t="str">
        <f t="array" ref="A547">ifna(_xlfn.xlookup(B547,'All Item Code'!B:B,'All Item Code'!A:A,),)</f>
        <v/>
      </c>
      <c r="B547" s="3"/>
      <c r="C547" s="3" t="str">
        <f t="array" ref="C547">if(B547="Tidak Ada",,if(isblank(B547),,ifna(sumif('On Hand'!A:A,A547,'On Hand'!D:D)&amp;" "&amp;_xlfn.xlookup(A547,'All Item Code'!A:A,'All Item Code'!D:D,),0)))</f>
        <v/>
      </c>
      <c r="D547" s="3" t="str">
        <f>IFERROR(__xludf.DUMMYFUNCTION("if(isblank(B547),,ifna(textjoin(""; "",,filter('On Hand'!E:E,'On Hand'!A:A=A547)),ifna(xlookup(A547,'On Hand'!A:A,'On Hand'!E:E,),)))"),"")</f>
        <v/>
      </c>
    </row>
    <row r="548">
      <c r="A548" s="3" t="str">
        <f t="array" ref="A548">ifna(_xlfn.xlookup(B548,'All Item Code'!B:B,'All Item Code'!A:A,),)</f>
        <v/>
      </c>
      <c r="B548" s="3"/>
      <c r="C548" s="3" t="str">
        <f t="array" ref="C548">if(B548="Tidak Ada",,if(isblank(B548),,ifna(sumif('On Hand'!A:A,A548,'On Hand'!D:D)&amp;" "&amp;_xlfn.xlookup(A548,'All Item Code'!A:A,'All Item Code'!D:D,),0)))</f>
        <v/>
      </c>
      <c r="D548" s="3" t="str">
        <f>IFERROR(__xludf.DUMMYFUNCTION("if(isblank(B548),,ifna(textjoin(""; "",,filter('On Hand'!E:E,'On Hand'!A:A=A548)),ifna(xlookup(A548,'On Hand'!A:A,'On Hand'!E:E,),)))"),"")</f>
        <v/>
      </c>
    </row>
    <row r="549">
      <c r="A549" s="3" t="str">
        <f t="array" ref="A549">ifna(_xlfn.xlookup(B549,'All Item Code'!B:B,'All Item Code'!A:A,),)</f>
        <v/>
      </c>
      <c r="B549" s="3"/>
      <c r="C549" s="3" t="str">
        <f t="array" ref="C549">if(B549="Tidak Ada",,if(isblank(B549),,ifna(sumif('On Hand'!A:A,A549,'On Hand'!D:D)&amp;" "&amp;_xlfn.xlookup(A549,'All Item Code'!A:A,'All Item Code'!D:D,),0)))</f>
        <v/>
      </c>
      <c r="D549" s="3" t="str">
        <f>IFERROR(__xludf.DUMMYFUNCTION("if(isblank(B549),,ifna(textjoin(""; "",,filter('On Hand'!E:E,'On Hand'!A:A=A549)),ifna(xlookup(A549,'On Hand'!A:A,'On Hand'!E:E,),)))"),"")</f>
        <v/>
      </c>
    </row>
    <row r="550">
      <c r="A550" s="3" t="str">
        <f t="array" ref="A550">ifna(_xlfn.xlookup(B550,'All Item Code'!B:B,'All Item Code'!A:A,),)</f>
        <v/>
      </c>
      <c r="B550" s="3"/>
      <c r="C550" s="3" t="str">
        <f t="array" ref="C550">if(B550="Tidak Ada",,if(isblank(B550),,ifna(sumif('On Hand'!A:A,A550,'On Hand'!D:D)&amp;" "&amp;_xlfn.xlookup(A550,'All Item Code'!A:A,'All Item Code'!D:D,),0)))</f>
        <v/>
      </c>
      <c r="D550" s="3" t="str">
        <f>IFERROR(__xludf.DUMMYFUNCTION("if(isblank(B550),,ifna(textjoin(""; "",,filter('On Hand'!E:E,'On Hand'!A:A=A550)),ifna(xlookup(A550,'On Hand'!A:A,'On Hand'!E:E,),)))"),"")</f>
        <v/>
      </c>
    </row>
    <row r="551">
      <c r="A551" s="3" t="str">
        <f t="array" ref="A551">ifna(_xlfn.xlookup(B551,'All Item Code'!B:B,'All Item Code'!A:A,),)</f>
        <v/>
      </c>
      <c r="B551" s="3"/>
      <c r="C551" s="3" t="str">
        <f t="array" ref="C551">if(B551="Tidak Ada",,if(isblank(B551),,ifna(sumif('On Hand'!A:A,A551,'On Hand'!D:D)&amp;" "&amp;_xlfn.xlookup(A551,'All Item Code'!A:A,'All Item Code'!D:D,),0)))</f>
        <v/>
      </c>
      <c r="D551" s="3" t="str">
        <f>IFERROR(__xludf.DUMMYFUNCTION("if(isblank(B551),,ifna(textjoin(""; "",,filter('On Hand'!E:E,'On Hand'!A:A=A551)),ifna(xlookup(A551,'On Hand'!A:A,'On Hand'!E:E,),)))"),"")</f>
        <v/>
      </c>
    </row>
    <row r="552">
      <c r="A552" s="3" t="str">
        <f t="array" ref="A552">ifna(_xlfn.xlookup(B552,'All Item Code'!B:B,'All Item Code'!A:A,),)</f>
        <v/>
      </c>
      <c r="B552" s="3"/>
      <c r="C552" s="3" t="str">
        <f t="array" ref="C552">if(B552="Tidak Ada",,if(isblank(B552),,ifna(sumif('On Hand'!A:A,A552,'On Hand'!D:D)&amp;" "&amp;_xlfn.xlookup(A552,'All Item Code'!A:A,'All Item Code'!D:D,),0)))</f>
        <v/>
      </c>
      <c r="D552" s="3" t="str">
        <f>IFERROR(__xludf.DUMMYFUNCTION("if(isblank(B552),,ifna(textjoin(""; "",,filter('On Hand'!E:E,'On Hand'!A:A=A552)),ifna(xlookup(A552,'On Hand'!A:A,'On Hand'!E:E,),)))"),"")</f>
        <v/>
      </c>
    </row>
    <row r="553">
      <c r="A553" s="3" t="str">
        <f t="array" ref="A553">ifna(_xlfn.xlookup(B553,'All Item Code'!B:B,'All Item Code'!A:A,),)</f>
        <v/>
      </c>
      <c r="B553" s="3"/>
      <c r="C553" s="3" t="str">
        <f t="array" ref="C553">if(B553="Tidak Ada",,if(isblank(B553),,ifna(sumif('On Hand'!A:A,A553,'On Hand'!D:D)&amp;" "&amp;_xlfn.xlookup(A553,'All Item Code'!A:A,'All Item Code'!D:D,),0)))</f>
        <v/>
      </c>
      <c r="D553" s="3" t="str">
        <f>IFERROR(__xludf.DUMMYFUNCTION("if(isblank(B553),,ifna(textjoin(""; "",,filter('On Hand'!E:E,'On Hand'!A:A=A553)),ifna(xlookup(A553,'On Hand'!A:A,'On Hand'!E:E,),)))"),"")</f>
        <v/>
      </c>
    </row>
    <row r="554">
      <c r="A554" s="3" t="str">
        <f t="array" ref="A554">ifna(_xlfn.xlookup(B554,'All Item Code'!B:B,'All Item Code'!A:A,),)</f>
        <v/>
      </c>
      <c r="B554" s="3"/>
      <c r="C554" s="3" t="str">
        <f t="array" ref="C554">if(B554="Tidak Ada",,if(isblank(B554),,ifna(sumif('On Hand'!A:A,A554,'On Hand'!D:D)&amp;" "&amp;_xlfn.xlookup(A554,'All Item Code'!A:A,'All Item Code'!D:D,),0)))</f>
        <v/>
      </c>
      <c r="D554" s="3" t="str">
        <f>IFERROR(__xludf.DUMMYFUNCTION("if(isblank(B554),,ifna(textjoin(""; "",,filter('On Hand'!E:E,'On Hand'!A:A=A554)),ifna(xlookup(A554,'On Hand'!A:A,'On Hand'!E:E,),)))"),"")</f>
        <v/>
      </c>
    </row>
    <row r="555">
      <c r="A555" s="3" t="str">
        <f t="array" ref="A555">ifna(_xlfn.xlookup(B555,'All Item Code'!B:B,'All Item Code'!A:A,),)</f>
        <v/>
      </c>
      <c r="B555" s="3"/>
      <c r="C555" s="3" t="str">
        <f t="array" ref="C555">if(B555="Tidak Ada",,if(isblank(B555),,ifna(sumif('On Hand'!A:A,A555,'On Hand'!D:D)&amp;" "&amp;_xlfn.xlookup(A555,'All Item Code'!A:A,'All Item Code'!D:D,),0)))</f>
        <v/>
      </c>
      <c r="D555" s="3" t="str">
        <f>IFERROR(__xludf.DUMMYFUNCTION("if(isblank(B555),,ifna(textjoin(""; "",,filter('On Hand'!E:E,'On Hand'!A:A=A555)),ifna(xlookup(A555,'On Hand'!A:A,'On Hand'!E:E,),)))"),"")</f>
        <v/>
      </c>
    </row>
    <row r="556">
      <c r="A556" s="3" t="str">
        <f t="array" ref="A556">ifna(_xlfn.xlookup(B556,'All Item Code'!B:B,'All Item Code'!A:A,),)</f>
        <v/>
      </c>
      <c r="B556" s="3"/>
      <c r="C556" s="3" t="str">
        <f t="array" ref="C556">if(B556="Tidak Ada",,if(isblank(B556),,ifna(sumif('On Hand'!A:A,A556,'On Hand'!D:D)&amp;" "&amp;_xlfn.xlookup(A556,'All Item Code'!A:A,'All Item Code'!D:D,),0)))</f>
        <v/>
      </c>
      <c r="D556" s="3" t="str">
        <f>IFERROR(__xludf.DUMMYFUNCTION("if(isblank(B556),,ifna(textjoin(""; "",,filter('On Hand'!E:E,'On Hand'!A:A=A556)),ifna(xlookup(A556,'On Hand'!A:A,'On Hand'!E:E,),)))"),"")</f>
        <v/>
      </c>
    </row>
    <row r="557">
      <c r="A557" s="3" t="str">
        <f t="array" ref="A557">ifna(_xlfn.xlookup(B557,'All Item Code'!B:B,'All Item Code'!A:A,),)</f>
        <v/>
      </c>
      <c r="B557" s="3"/>
      <c r="C557" s="3" t="str">
        <f t="array" ref="C557">if(B557="Tidak Ada",,if(isblank(B557),,ifna(sumif('On Hand'!A:A,A557,'On Hand'!D:D)&amp;" "&amp;_xlfn.xlookup(A557,'All Item Code'!A:A,'All Item Code'!D:D,),0)))</f>
        <v/>
      </c>
      <c r="D557" s="3" t="str">
        <f>IFERROR(__xludf.DUMMYFUNCTION("if(isblank(B557),,ifna(textjoin(""; "",,filter('On Hand'!E:E,'On Hand'!A:A=A557)),ifna(xlookup(A557,'On Hand'!A:A,'On Hand'!E:E,),)))"),"")</f>
        <v/>
      </c>
    </row>
    <row r="558">
      <c r="A558" s="3" t="str">
        <f t="array" ref="A558">ifna(_xlfn.xlookup(B558,'All Item Code'!B:B,'All Item Code'!A:A,),)</f>
        <v/>
      </c>
      <c r="B558" s="3"/>
      <c r="C558" s="3" t="str">
        <f t="array" ref="C558">if(B558="Tidak Ada",,if(isblank(B558),,ifna(sumif('On Hand'!A:A,A558,'On Hand'!D:D)&amp;" "&amp;_xlfn.xlookup(A558,'All Item Code'!A:A,'All Item Code'!D:D,),0)))</f>
        <v/>
      </c>
      <c r="D558" s="3" t="str">
        <f>IFERROR(__xludf.DUMMYFUNCTION("if(isblank(B558),,ifna(textjoin(""; "",,filter('On Hand'!E:E,'On Hand'!A:A=A558)),ifna(xlookup(A558,'On Hand'!A:A,'On Hand'!E:E,),)))"),"")</f>
        <v/>
      </c>
    </row>
    <row r="559">
      <c r="A559" s="3" t="str">
        <f t="array" ref="A559">ifna(_xlfn.xlookup(B559,'All Item Code'!B:B,'All Item Code'!A:A,),)</f>
        <v/>
      </c>
      <c r="B559" s="3"/>
      <c r="C559" s="3" t="str">
        <f t="array" ref="C559">if(B559="Tidak Ada",,if(isblank(B559),,ifna(sumif('On Hand'!A:A,A559,'On Hand'!D:D)&amp;" "&amp;_xlfn.xlookup(A559,'All Item Code'!A:A,'All Item Code'!D:D,),0)))</f>
        <v/>
      </c>
      <c r="D559" s="3" t="str">
        <f>IFERROR(__xludf.DUMMYFUNCTION("if(isblank(B559),,ifna(textjoin(""; "",,filter('On Hand'!E:E,'On Hand'!A:A=A559)),ifna(xlookup(A559,'On Hand'!A:A,'On Hand'!E:E,),)))"),"")</f>
        <v/>
      </c>
    </row>
    <row r="560">
      <c r="A560" s="3" t="str">
        <f t="array" ref="A560">ifna(_xlfn.xlookup(B560,'All Item Code'!B:B,'All Item Code'!A:A,),)</f>
        <v/>
      </c>
      <c r="B560" s="3"/>
      <c r="C560" s="3" t="str">
        <f t="array" ref="C560">if(B560="Tidak Ada",,if(isblank(B560),,ifna(sumif('On Hand'!A:A,A560,'On Hand'!D:D)&amp;" "&amp;_xlfn.xlookup(A560,'All Item Code'!A:A,'All Item Code'!D:D,),0)))</f>
        <v/>
      </c>
      <c r="D560" s="3" t="str">
        <f>IFERROR(__xludf.DUMMYFUNCTION("if(isblank(B560),,ifna(textjoin(""; "",,filter('On Hand'!E:E,'On Hand'!A:A=A560)),ifna(xlookup(A560,'On Hand'!A:A,'On Hand'!E:E,),)))"),"")</f>
        <v/>
      </c>
    </row>
    <row r="561">
      <c r="A561" s="3" t="str">
        <f t="array" ref="A561">ifna(_xlfn.xlookup(B561,'All Item Code'!B:B,'All Item Code'!A:A,),)</f>
        <v/>
      </c>
      <c r="B561" s="3"/>
      <c r="C561" s="3" t="str">
        <f t="array" ref="C561">if(B561="Tidak Ada",,if(isblank(B561),,ifna(sumif('On Hand'!A:A,A561,'On Hand'!D:D)&amp;" "&amp;_xlfn.xlookup(A561,'All Item Code'!A:A,'All Item Code'!D:D,),0)))</f>
        <v/>
      </c>
      <c r="D561" s="3" t="str">
        <f>IFERROR(__xludf.DUMMYFUNCTION("if(isblank(B561),,ifna(textjoin(""; "",,filter('On Hand'!E:E,'On Hand'!A:A=A561)),ifna(xlookup(A561,'On Hand'!A:A,'On Hand'!E:E,),)))"),"")</f>
        <v/>
      </c>
    </row>
    <row r="562">
      <c r="A562" s="3" t="str">
        <f t="array" ref="A562">ifna(_xlfn.xlookup(B562,'All Item Code'!B:B,'All Item Code'!A:A,),)</f>
        <v/>
      </c>
      <c r="B562" s="3"/>
      <c r="C562" s="3" t="str">
        <f t="array" ref="C562">if(B562="Tidak Ada",,if(isblank(B562),,ifna(sumif('On Hand'!A:A,A562,'On Hand'!D:D)&amp;" "&amp;_xlfn.xlookup(A562,'All Item Code'!A:A,'All Item Code'!D:D,),0)))</f>
        <v/>
      </c>
      <c r="D562" s="3" t="str">
        <f>IFERROR(__xludf.DUMMYFUNCTION("if(isblank(B562),,ifna(textjoin(""; "",,filter('On Hand'!E:E,'On Hand'!A:A=A562)),ifna(xlookup(A562,'On Hand'!A:A,'On Hand'!E:E,),)))"),"")</f>
        <v/>
      </c>
    </row>
    <row r="563">
      <c r="A563" s="3" t="str">
        <f t="array" ref="A563">ifna(_xlfn.xlookup(B563,'All Item Code'!B:B,'All Item Code'!A:A,),)</f>
        <v/>
      </c>
      <c r="B563" s="3"/>
      <c r="C563" s="3" t="str">
        <f t="array" ref="C563">if(B563="Tidak Ada",,if(isblank(B563),,ifna(sumif('On Hand'!A:A,A563,'On Hand'!D:D)&amp;" "&amp;_xlfn.xlookup(A563,'All Item Code'!A:A,'All Item Code'!D:D,),0)))</f>
        <v/>
      </c>
      <c r="D563" s="3" t="str">
        <f>IFERROR(__xludf.DUMMYFUNCTION("if(isblank(B563),,ifna(textjoin(""; "",,filter('On Hand'!E:E,'On Hand'!A:A=A563)),ifna(xlookup(A563,'On Hand'!A:A,'On Hand'!E:E,),)))"),"")</f>
        <v/>
      </c>
    </row>
    <row r="564">
      <c r="A564" s="3" t="str">
        <f t="array" ref="A564">ifna(_xlfn.xlookup(B564,'All Item Code'!B:B,'All Item Code'!A:A,),)</f>
        <v/>
      </c>
      <c r="B564" s="3"/>
      <c r="C564" s="3" t="str">
        <f t="array" ref="C564">if(B564="Tidak Ada",,if(isblank(B564),,ifna(sumif('On Hand'!A:A,A564,'On Hand'!D:D)&amp;" "&amp;_xlfn.xlookup(A564,'All Item Code'!A:A,'All Item Code'!D:D,),0)))</f>
        <v/>
      </c>
      <c r="D564" s="3" t="str">
        <f>IFERROR(__xludf.DUMMYFUNCTION("if(isblank(B564),,ifna(textjoin(""; "",,filter('On Hand'!E:E,'On Hand'!A:A=A564)),ifna(xlookup(A564,'On Hand'!A:A,'On Hand'!E:E,),)))"),"")</f>
        <v/>
      </c>
    </row>
    <row r="565">
      <c r="A565" s="3" t="str">
        <f t="array" ref="A565">ifna(_xlfn.xlookup(B565,'All Item Code'!B:B,'All Item Code'!A:A,),)</f>
        <v/>
      </c>
      <c r="B565" s="3"/>
      <c r="C565" s="3" t="str">
        <f t="array" ref="C565">if(B565="Tidak Ada",,if(isblank(B565),,ifna(sumif('On Hand'!A:A,A565,'On Hand'!D:D)&amp;" "&amp;_xlfn.xlookup(A565,'All Item Code'!A:A,'All Item Code'!D:D,),0)))</f>
        <v/>
      </c>
      <c r="D565" s="3" t="str">
        <f>IFERROR(__xludf.DUMMYFUNCTION("if(isblank(B565),,ifna(textjoin(""; "",,filter('On Hand'!E:E,'On Hand'!A:A=A565)),ifna(xlookup(A565,'On Hand'!A:A,'On Hand'!E:E,),)))"),"")</f>
        <v/>
      </c>
    </row>
    <row r="566">
      <c r="A566" s="3" t="str">
        <f t="array" ref="A566">ifna(_xlfn.xlookup(B566,'All Item Code'!B:B,'All Item Code'!A:A,),)</f>
        <v/>
      </c>
      <c r="B566" s="3"/>
      <c r="C566" s="3" t="str">
        <f t="array" ref="C566">if(B566="Tidak Ada",,if(isblank(B566),,ifna(sumif('On Hand'!A:A,A566,'On Hand'!D:D)&amp;" "&amp;_xlfn.xlookup(A566,'All Item Code'!A:A,'All Item Code'!D:D,),0)))</f>
        <v/>
      </c>
      <c r="D566" s="3" t="str">
        <f>IFERROR(__xludf.DUMMYFUNCTION("if(isblank(B566),,ifna(textjoin(""; "",,filter('On Hand'!E:E,'On Hand'!A:A=A566)),ifna(xlookup(A566,'On Hand'!A:A,'On Hand'!E:E,),)))"),"")</f>
        <v/>
      </c>
    </row>
    <row r="567">
      <c r="A567" s="3" t="str">
        <f t="array" ref="A567">ifna(_xlfn.xlookup(B567,'All Item Code'!B:B,'All Item Code'!A:A,),)</f>
        <v/>
      </c>
      <c r="B567" s="3"/>
      <c r="C567" s="3" t="str">
        <f t="array" ref="C567">if(B567="Tidak Ada",,if(isblank(B567),,ifna(sumif('On Hand'!A:A,A567,'On Hand'!D:D)&amp;" "&amp;_xlfn.xlookup(A567,'All Item Code'!A:A,'All Item Code'!D:D,),0)))</f>
        <v/>
      </c>
      <c r="D567" s="3" t="str">
        <f>IFERROR(__xludf.DUMMYFUNCTION("if(isblank(B567),,ifna(textjoin(""; "",,filter('On Hand'!E:E,'On Hand'!A:A=A567)),ifna(xlookup(A567,'On Hand'!A:A,'On Hand'!E:E,),)))"),"")</f>
        <v/>
      </c>
    </row>
    <row r="568">
      <c r="A568" s="3" t="str">
        <f t="array" ref="A568">ifna(_xlfn.xlookup(B568,'All Item Code'!B:B,'All Item Code'!A:A,),)</f>
        <v/>
      </c>
      <c r="B568" s="3"/>
      <c r="C568" s="3" t="str">
        <f t="array" ref="C568">if(B568="Tidak Ada",,if(isblank(B568),,ifna(sumif('On Hand'!A:A,A568,'On Hand'!D:D)&amp;" "&amp;_xlfn.xlookup(A568,'All Item Code'!A:A,'All Item Code'!D:D,),0)))</f>
        <v/>
      </c>
      <c r="D568" s="3" t="str">
        <f>IFERROR(__xludf.DUMMYFUNCTION("if(isblank(B568),,ifna(textjoin(""; "",,filter('On Hand'!E:E,'On Hand'!A:A=A568)),ifna(xlookup(A568,'On Hand'!A:A,'On Hand'!E:E,),)))"),"")</f>
        <v/>
      </c>
    </row>
    <row r="569">
      <c r="A569" s="3" t="str">
        <f t="array" ref="A569">ifna(_xlfn.xlookup(B569,'All Item Code'!B:B,'All Item Code'!A:A,),)</f>
        <v/>
      </c>
      <c r="B569" s="3"/>
      <c r="C569" s="3" t="str">
        <f t="array" ref="C569">if(B569="Tidak Ada",,if(isblank(B569),,ifna(sumif('On Hand'!A:A,A569,'On Hand'!D:D)&amp;" "&amp;_xlfn.xlookup(A569,'All Item Code'!A:A,'All Item Code'!D:D,),0)))</f>
        <v/>
      </c>
      <c r="D569" s="3" t="str">
        <f>IFERROR(__xludf.DUMMYFUNCTION("if(isblank(B569),,ifna(textjoin(""; "",,filter('On Hand'!E:E,'On Hand'!A:A=A569)),ifna(xlookup(A569,'On Hand'!A:A,'On Hand'!E:E,),)))"),"")</f>
        <v/>
      </c>
    </row>
    <row r="570">
      <c r="A570" s="3" t="str">
        <f t="array" ref="A570">ifna(_xlfn.xlookup(B570,'All Item Code'!B:B,'All Item Code'!A:A,),)</f>
        <v/>
      </c>
      <c r="B570" s="3"/>
      <c r="C570" s="3" t="str">
        <f t="array" ref="C570">if(B570="Tidak Ada",,if(isblank(B570),,ifna(sumif('On Hand'!A:A,A570,'On Hand'!D:D)&amp;" "&amp;_xlfn.xlookup(A570,'All Item Code'!A:A,'All Item Code'!D:D,),0)))</f>
        <v/>
      </c>
      <c r="D570" s="3" t="str">
        <f>IFERROR(__xludf.DUMMYFUNCTION("if(isblank(B570),,ifna(textjoin(""; "",,filter('On Hand'!E:E,'On Hand'!A:A=A570)),ifna(xlookup(A570,'On Hand'!A:A,'On Hand'!E:E,),)))"),"")</f>
        <v/>
      </c>
    </row>
    <row r="571">
      <c r="A571" s="3" t="str">
        <f t="array" ref="A571">ifna(_xlfn.xlookup(B571,'All Item Code'!B:B,'All Item Code'!A:A,),)</f>
        <v/>
      </c>
      <c r="B571" s="3"/>
      <c r="C571" s="3" t="str">
        <f t="array" ref="C571">if(B571="Tidak Ada",,if(isblank(B571),,ifna(sumif('On Hand'!A:A,A571,'On Hand'!D:D)&amp;" "&amp;_xlfn.xlookup(A571,'All Item Code'!A:A,'All Item Code'!D:D,),0)))</f>
        <v/>
      </c>
      <c r="D571" s="3" t="str">
        <f>IFERROR(__xludf.DUMMYFUNCTION("if(isblank(B571),,ifna(textjoin(""; "",,filter('On Hand'!E:E,'On Hand'!A:A=A571)),ifna(xlookup(A571,'On Hand'!A:A,'On Hand'!E:E,),)))"),"")</f>
        <v/>
      </c>
    </row>
    <row r="572">
      <c r="A572" s="3" t="str">
        <f t="array" ref="A572">ifna(_xlfn.xlookup(B572,'All Item Code'!B:B,'All Item Code'!A:A,),)</f>
        <v/>
      </c>
      <c r="B572" s="3"/>
      <c r="C572" s="3" t="str">
        <f t="array" ref="C572">if(B572="Tidak Ada",,if(isblank(B572),,ifna(sumif('On Hand'!A:A,A572,'On Hand'!D:D)&amp;" "&amp;_xlfn.xlookup(A572,'All Item Code'!A:A,'All Item Code'!D:D,),0)))</f>
        <v/>
      </c>
      <c r="D572" s="3" t="str">
        <f>IFERROR(__xludf.DUMMYFUNCTION("if(isblank(B572),,ifna(textjoin(""; "",,filter('On Hand'!E:E,'On Hand'!A:A=A572)),ifna(xlookup(A572,'On Hand'!A:A,'On Hand'!E:E,),)))"),"")</f>
        <v/>
      </c>
    </row>
    <row r="573">
      <c r="A573" s="3" t="str">
        <f t="array" ref="A573">ifna(_xlfn.xlookup(B573,'All Item Code'!B:B,'All Item Code'!A:A,),)</f>
        <v/>
      </c>
      <c r="B573" s="3"/>
      <c r="C573" s="3" t="str">
        <f t="array" ref="C573">if(B573="Tidak Ada",,if(isblank(B573),,ifna(sumif('On Hand'!A:A,A573,'On Hand'!D:D)&amp;" "&amp;_xlfn.xlookup(A573,'All Item Code'!A:A,'All Item Code'!D:D,),0)))</f>
        <v/>
      </c>
      <c r="D573" s="3" t="str">
        <f>IFERROR(__xludf.DUMMYFUNCTION("if(isblank(B573),,ifna(textjoin(""; "",,filter('On Hand'!E:E,'On Hand'!A:A=A573)),ifna(xlookup(A573,'On Hand'!A:A,'On Hand'!E:E,),)))"),"")</f>
        <v/>
      </c>
    </row>
    <row r="574">
      <c r="A574" s="3" t="str">
        <f t="array" ref="A574">ifna(_xlfn.xlookup(B574,'All Item Code'!B:B,'All Item Code'!A:A,),)</f>
        <v/>
      </c>
      <c r="B574" s="3"/>
      <c r="C574" s="3" t="str">
        <f t="array" ref="C574">if(B574="Tidak Ada",,if(isblank(B574),,ifna(sumif('On Hand'!A:A,A574,'On Hand'!D:D)&amp;" "&amp;_xlfn.xlookup(A574,'All Item Code'!A:A,'All Item Code'!D:D,),0)))</f>
        <v/>
      </c>
      <c r="D574" s="3" t="str">
        <f>IFERROR(__xludf.DUMMYFUNCTION("if(isblank(B574),,ifna(textjoin(""; "",,filter('On Hand'!E:E,'On Hand'!A:A=A574)),ifna(xlookup(A574,'On Hand'!A:A,'On Hand'!E:E,),)))"),"")</f>
        <v/>
      </c>
    </row>
    <row r="575">
      <c r="A575" s="3" t="str">
        <f t="array" ref="A575">ifna(_xlfn.xlookup(B575,'All Item Code'!B:B,'All Item Code'!A:A,),)</f>
        <v/>
      </c>
      <c r="B575" s="3"/>
      <c r="C575" s="3" t="str">
        <f t="array" ref="C575">if(B575="Tidak Ada",,if(isblank(B575),,ifna(sumif('On Hand'!A:A,A575,'On Hand'!D:D)&amp;" "&amp;_xlfn.xlookup(A575,'All Item Code'!A:A,'All Item Code'!D:D,),0)))</f>
        <v/>
      </c>
      <c r="D575" s="3" t="str">
        <f>IFERROR(__xludf.DUMMYFUNCTION("if(isblank(B575),,ifna(textjoin(""; "",,filter('On Hand'!E:E,'On Hand'!A:A=A575)),ifna(xlookup(A575,'On Hand'!A:A,'On Hand'!E:E,),)))"),"")</f>
        <v/>
      </c>
    </row>
    <row r="576">
      <c r="A576" s="3" t="str">
        <f t="array" ref="A576">ifna(_xlfn.xlookup(B576,'All Item Code'!B:B,'All Item Code'!A:A,),)</f>
        <v/>
      </c>
      <c r="B576" s="3"/>
      <c r="C576" s="3" t="str">
        <f t="array" ref="C576">if(B576="Tidak Ada",,if(isblank(B576),,ifna(sumif('On Hand'!A:A,A576,'On Hand'!D:D)&amp;" "&amp;_xlfn.xlookup(A576,'All Item Code'!A:A,'All Item Code'!D:D,),0)))</f>
        <v/>
      </c>
      <c r="D576" s="3" t="str">
        <f>IFERROR(__xludf.DUMMYFUNCTION("if(isblank(B576),,ifna(textjoin(""; "",,filter('On Hand'!E:E,'On Hand'!A:A=A576)),ifna(xlookup(A576,'On Hand'!A:A,'On Hand'!E:E,),)))"),"")</f>
        <v/>
      </c>
    </row>
    <row r="577">
      <c r="A577" s="3" t="str">
        <f t="array" ref="A577">ifna(_xlfn.xlookup(B577,'All Item Code'!B:B,'All Item Code'!A:A,),)</f>
        <v/>
      </c>
      <c r="B577" s="3"/>
      <c r="C577" s="3" t="str">
        <f t="array" ref="C577">if(B577="Tidak Ada",,if(isblank(B577),,ifna(sumif('On Hand'!A:A,A577,'On Hand'!D:D)&amp;" "&amp;_xlfn.xlookup(A577,'All Item Code'!A:A,'All Item Code'!D:D,),0)))</f>
        <v/>
      </c>
      <c r="D577" s="3" t="str">
        <f>IFERROR(__xludf.DUMMYFUNCTION("if(isblank(B577),,ifna(textjoin(""; "",,filter('On Hand'!E:E,'On Hand'!A:A=A577)),ifna(xlookup(A577,'On Hand'!A:A,'On Hand'!E:E,),)))"),"")</f>
        <v/>
      </c>
    </row>
    <row r="578">
      <c r="A578" s="3" t="str">
        <f t="array" ref="A578">ifna(_xlfn.xlookup(B578,'All Item Code'!B:B,'All Item Code'!A:A,),)</f>
        <v/>
      </c>
      <c r="B578" s="3"/>
      <c r="C578" s="3" t="str">
        <f t="array" ref="C578">if(B578="Tidak Ada",,if(isblank(B578),,ifna(sumif('On Hand'!A:A,A578,'On Hand'!D:D)&amp;" "&amp;_xlfn.xlookup(A578,'All Item Code'!A:A,'All Item Code'!D:D,),0)))</f>
        <v/>
      </c>
      <c r="D578" s="3" t="str">
        <f>IFERROR(__xludf.DUMMYFUNCTION("if(isblank(B578),,ifna(textjoin(""; "",,filter('On Hand'!E:E,'On Hand'!A:A=A578)),ifna(xlookup(A578,'On Hand'!A:A,'On Hand'!E:E,),)))"),"")</f>
        <v/>
      </c>
    </row>
    <row r="579">
      <c r="A579" s="3" t="str">
        <f t="array" ref="A579">ifna(_xlfn.xlookup(B579,'All Item Code'!B:B,'All Item Code'!A:A,),)</f>
        <v/>
      </c>
      <c r="B579" s="3"/>
      <c r="C579" s="3" t="str">
        <f t="array" ref="C579">if(B579="Tidak Ada",,if(isblank(B579),,ifna(sumif('On Hand'!A:A,A579,'On Hand'!D:D)&amp;" "&amp;_xlfn.xlookup(A579,'All Item Code'!A:A,'All Item Code'!D:D,),0)))</f>
        <v/>
      </c>
      <c r="D579" s="3" t="str">
        <f>IFERROR(__xludf.DUMMYFUNCTION("if(isblank(B579),,ifna(textjoin(""; "",,filter('On Hand'!E:E,'On Hand'!A:A=A579)),ifna(xlookup(A579,'On Hand'!A:A,'On Hand'!E:E,),)))"),"")</f>
        <v/>
      </c>
    </row>
    <row r="580">
      <c r="A580" s="3" t="str">
        <f t="array" ref="A580">ifna(_xlfn.xlookup(B580,'All Item Code'!B:B,'All Item Code'!A:A,),)</f>
        <v/>
      </c>
      <c r="B580" s="3"/>
      <c r="C580" s="3" t="str">
        <f t="array" ref="C580">if(B580="Tidak Ada",,if(isblank(B580),,ifna(sumif('On Hand'!A:A,A580,'On Hand'!D:D)&amp;" "&amp;_xlfn.xlookup(A580,'All Item Code'!A:A,'All Item Code'!D:D,),0)))</f>
        <v/>
      </c>
      <c r="D580" s="3" t="str">
        <f>IFERROR(__xludf.DUMMYFUNCTION("if(isblank(B580),,ifna(textjoin(""; "",,filter('On Hand'!E:E,'On Hand'!A:A=A580)),ifna(xlookup(A580,'On Hand'!A:A,'On Hand'!E:E,),)))"),"")</f>
        <v/>
      </c>
    </row>
    <row r="581">
      <c r="A581" s="3" t="str">
        <f t="array" ref="A581">ifna(_xlfn.xlookup(B581,'All Item Code'!B:B,'All Item Code'!A:A,),)</f>
        <v/>
      </c>
      <c r="B581" s="3"/>
      <c r="C581" s="3" t="str">
        <f t="array" ref="C581">if(B581="Tidak Ada",,if(isblank(B581),,ifna(sumif('On Hand'!A:A,A581,'On Hand'!D:D)&amp;" "&amp;_xlfn.xlookup(A581,'All Item Code'!A:A,'All Item Code'!D:D,),0)))</f>
        <v/>
      </c>
      <c r="D581" s="3" t="str">
        <f>IFERROR(__xludf.DUMMYFUNCTION("if(isblank(B581),,ifna(textjoin(""; "",,filter('On Hand'!E:E,'On Hand'!A:A=A581)),ifna(xlookup(A581,'On Hand'!A:A,'On Hand'!E:E,),)))"),"")</f>
        <v/>
      </c>
    </row>
    <row r="582">
      <c r="A582" s="3" t="str">
        <f t="array" ref="A582">ifna(_xlfn.xlookup(B582,'All Item Code'!B:B,'All Item Code'!A:A,),)</f>
        <v/>
      </c>
      <c r="B582" s="3"/>
      <c r="C582" s="3" t="str">
        <f t="array" ref="C582">if(B582="Tidak Ada",,if(isblank(B582),,ifna(sumif('On Hand'!A:A,A582,'On Hand'!D:D)&amp;" "&amp;_xlfn.xlookup(A582,'All Item Code'!A:A,'All Item Code'!D:D,),0)))</f>
        <v/>
      </c>
      <c r="D582" s="3" t="str">
        <f>IFERROR(__xludf.DUMMYFUNCTION("if(isblank(B582),,ifna(textjoin(""; "",,filter('On Hand'!E:E,'On Hand'!A:A=A582)),ifna(xlookup(A582,'On Hand'!A:A,'On Hand'!E:E,),)))"),"")</f>
        <v/>
      </c>
    </row>
    <row r="583">
      <c r="A583" s="3" t="str">
        <f t="array" ref="A583">ifna(_xlfn.xlookup(B583,'All Item Code'!B:B,'All Item Code'!A:A,),)</f>
        <v/>
      </c>
      <c r="B583" s="3"/>
      <c r="C583" s="3" t="str">
        <f t="array" ref="C583">if(B583="Tidak Ada",,if(isblank(B583),,ifna(sumif('On Hand'!A:A,A583,'On Hand'!D:D)&amp;" "&amp;_xlfn.xlookup(A583,'All Item Code'!A:A,'All Item Code'!D:D,),0)))</f>
        <v/>
      </c>
      <c r="D583" s="3" t="str">
        <f>IFERROR(__xludf.DUMMYFUNCTION("if(isblank(B583),,ifna(textjoin(""; "",,filter('On Hand'!E:E,'On Hand'!A:A=A583)),ifna(xlookup(A583,'On Hand'!A:A,'On Hand'!E:E,),)))"),"")</f>
        <v/>
      </c>
    </row>
    <row r="584">
      <c r="A584" s="3" t="str">
        <f t="array" ref="A584">ifna(_xlfn.xlookup(B584,'All Item Code'!B:B,'All Item Code'!A:A,),)</f>
        <v/>
      </c>
      <c r="B584" s="3"/>
      <c r="C584" s="3" t="str">
        <f t="array" ref="C584">if(B584="Tidak Ada",,if(isblank(B584),,ifna(sumif('On Hand'!A:A,A584,'On Hand'!D:D)&amp;" "&amp;_xlfn.xlookup(A584,'All Item Code'!A:A,'All Item Code'!D:D,),0)))</f>
        <v/>
      </c>
      <c r="D584" s="3" t="str">
        <f>IFERROR(__xludf.DUMMYFUNCTION("if(isblank(B584),,ifna(textjoin(""; "",,filter('On Hand'!E:E,'On Hand'!A:A=A584)),ifna(xlookup(A584,'On Hand'!A:A,'On Hand'!E:E,),)))"),"")</f>
        <v/>
      </c>
    </row>
    <row r="585">
      <c r="A585" s="3" t="str">
        <f t="array" ref="A585">ifna(_xlfn.xlookup(B585,'All Item Code'!B:B,'All Item Code'!A:A,),)</f>
        <v/>
      </c>
      <c r="B585" s="3"/>
      <c r="C585" s="3" t="str">
        <f t="array" ref="C585">if(B585="Tidak Ada",,if(isblank(B585),,ifna(sumif('On Hand'!A:A,A585,'On Hand'!D:D)&amp;" "&amp;_xlfn.xlookup(A585,'All Item Code'!A:A,'All Item Code'!D:D,),0)))</f>
        <v/>
      </c>
      <c r="D585" s="3" t="str">
        <f>IFERROR(__xludf.DUMMYFUNCTION("if(isblank(B585),,ifna(textjoin(""; "",,filter('On Hand'!E:E,'On Hand'!A:A=A585)),ifna(xlookup(A585,'On Hand'!A:A,'On Hand'!E:E,),)))"),"")</f>
        <v/>
      </c>
    </row>
    <row r="586">
      <c r="A586" s="3" t="str">
        <f t="array" ref="A586">ifna(_xlfn.xlookup(B586,'All Item Code'!B:B,'All Item Code'!A:A,),)</f>
        <v/>
      </c>
      <c r="B586" s="3"/>
      <c r="C586" s="3" t="str">
        <f t="array" ref="C586">if(B586="Tidak Ada",,if(isblank(B586),,ifna(sumif('On Hand'!A:A,A586,'On Hand'!D:D)&amp;" "&amp;_xlfn.xlookup(A586,'All Item Code'!A:A,'All Item Code'!D:D,),0)))</f>
        <v/>
      </c>
      <c r="D586" s="3" t="str">
        <f>IFERROR(__xludf.DUMMYFUNCTION("if(isblank(B586),,ifna(textjoin(""; "",,filter('On Hand'!E:E,'On Hand'!A:A=A586)),ifna(xlookup(A586,'On Hand'!A:A,'On Hand'!E:E,),)))"),"")</f>
        <v/>
      </c>
    </row>
    <row r="587">
      <c r="A587" s="3" t="str">
        <f t="array" ref="A587">ifna(_xlfn.xlookup(B587,'All Item Code'!B:B,'All Item Code'!A:A,),)</f>
        <v/>
      </c>
      <c r="B587" s="3"/>
      <c r="C587" s="3" t="str">
        <f t="array" ref="C587">if(B587="Tidak Ada",,if(isblank(B587),,ifna(sumif('On Hand'!A:A,A587,'On Hand'!D:D)&amp;" "&amp;_xlfn.xlookup(A587,'All Item Code'!A:A,'All Item Code'!D:D,),0)))</f>
        <v/>
      </c>
      <c r="D587" s="3" t="str">
        <f>IFERROR(__xludf.DUMMYFUNCTION("if(isblank(B587),,ifna(textjoin(""; "",,filter('On Hand'!E:E,'On Hand'!A:A=A587)),ifna(xlookup(A587,'On Hand'!A:A,'On Hand'!E:E,),)))"),"")</f>
        <v/>
      </c>
    </row>
    <row r="588">
      <c r="A588" s="3" t="str">
        <f t="array" ref="A588">ifna(_xlfn.xlookup(B588,'All Item Code'!B:B,'All Item Code'!A:A,),)</f>
        <v/>
      </c>
      <c r="B588" s="3"/>
      <c r="C588" s="3" t="str">
        <f t="array" ref="C588">if(B588="Tidak Ada",,if(isblank(B588),,ifna(sumif('On Hand'!A:A,A588,'On Hand'!D:D)&amp;" "&amp;_xlfn.xlookup(A588,'All Item Code'!A:A,'All Item Code'!D:D,),0)))</f>
        <v/>
      </c>
      <c r="D588" s="3" t="str">
        <f>IFERROR(__xludf.DUMMYFUNCTION("if(isblank(B588),,ifna(textjoin(""; "",,filter('On Hand'!E:E,'On Hand'!A:A=A588)),ifna(xlookup(A588,'On Hand'!A:A,'On Hand'!E:E,),)))"),"")</f>
        <v/>
      </c>
    </row>
    <row r="589">
      <c r="A589" s="3" t="str">
        <f t="array" ref="A589">ifna(_xlfn.xlookup(B589,'All Item Code'!B:B,'All Item Code'!A:A,),)</f>
        <v/>
      </c>
      <c r="B589" s="3"/>
      <c r="C589" s="3" t="str">
        <f t="array" ref="C589">if(B589="Tidak Ada",,if(isblank(B589),,ifna(sumif('On Hand'!A:A,A589,'On Hand'!D:D)&amp;" "&amp;_xlfn.xlookup(A589,'All Item Code'!A:A,'All Item Code'!D:D,),0)))</f>
        <v/>
      </c>
      <c r="D589" s="3" t="str">
        <f>IFERROR(__xludf.DUMMYFUNCTION("if(isblank(B589),,ifna(textjoin(""; "",,filter('On Hand'!E:E,'On Hand'!A:A=A589)),ifna(xlookup(A589,'On Hand'!A:A,'On Hand'!E:E,),)))"),"")</f>
        <v/>
      </c>
    </row>
    <row r="590">
      <c r="A590" s="3" t="str">
        <f t="array" ref="A590">ifna(_xlfn.xlookup(B590,'All Item Code'!B:B,'All Item Code'!A:A,),)</f>
        <v/>
      </c>
      <c r="B590" s="3"/>
      <c r="C590" s="3" t="str">
        <f t="array" ref="C590">if(B590="Tidak Ada",,if(isblank(B590),,ifna(sumif('On Hand'!A:A,A590,'On Hand'!D:D)&amp;" "&amp;_xlfn.xlookup(A590,'All Item Code'!A:A,'All Item Code'!D:D,),0)))</f>
        <v/>
      </c>
      <c r="D590" s="3" t="str">
        <f>IFERROR(__xludf.DUMMYFUNCTION("if(isblank(B590),,ifna(textjoin(""; "",,filter('On Hand'!E:E,'On Hand'!A:A=A590)),ifna(xlookup(A590,'On Hand'!A:A,'On Hand'!E:E,),)))"),"")</f>
        <v/>
      </c>
    </row>
    <row r="591">
      <c r="A591" s="3" t="str">
        <f t="array" ref="A591">ifna(_xlfn.xlookup(B591,'All Item Code'!B:B,'All Item Code'!A:A,),)</f>
        <v/>
      </c>
      <c r="B591" s="3"/>
      <c r="C591" s="3" t="str">
        <f t="array" ref="C591">if(B591="Tidak Ada",,if(isblank(B591),,ifna(sumif('On Hand'!A:A,A591,'On Hand'!D:D)&amp;" "&amp;_xlfn.xlookup(A591,'All Item Code'!A:A,'All Item Code'!D:D,),0)))</f>
        <v/>
      </c>
      <c r="D591" s="3" t="str">
        <f>IFERROR(__xludf.DUMMYFUNCTION("if(isblank(B591),,ifna(textjoin(""; "",,filter('On Hand'!E:E,'On Hand'!A:A=A591)),ifna(xlookup(A591,'On Hand'!A:A,'On Hand'!E:E,),)))"),"")</f>
        <v/>
      </c>
    </row>
    <row r="592">
      <c r="A592" s="3" t="str">
        <f t="array" ref="A592">ifna(_xlfn.xlookup(B592,'All Item Code'!B:B,'All Item Code'!A:A,),)</f>
        <v/>
      </c>
      <c r="B592" s="3"/>
      <c r="C592" s="3" t="str">
        <f t="array" ref="C592">if(B592="Tidak Ada",,if(isblank(B592),,ifna(sumif('On Hand'!A:A,A592,'On Hand'!D:D)&amp;" "&amp;_xlfn.xlookup(A592,'All Item Code'!A:A,'All Item Code'!D:D,),0)))</f>
        <v/>
      </c>
      <c r="D592" s="3" t="str">
        <f>IFERROR(__xludf.DUMMYFUNCTION("if(isblank(B592),,ifna(textjoin(""; "",,filter('On Hand'!E:E,'On Hand'!A:A=A592)),ifna(xlookup(A592,'On Hand'!A:A,'On Hand'!E:E,),)))"),"")</f>
        <v/>
      </c>
    </row>
    <row r="593">
      <c r="A593" s="3" t="str">
        <f t="array" ref="A593">ifna(_xlfn.xlookup(B593,'All Item Code'!B:B,'All Item Code'!A:A,),)</f>
        <v/>
      </c>
      <c r="B593" s="3"/>
      <c r="C593" s="3" t="str">
        <f t="array" ref="C593">if(B593="Tidak Ada",,if(isblank(B593),,ifna(sumif('On Hand'!A:A,A593,'On Hand'!D:D)&amp;" "&amp;_xlfn.xlookup(A593,'All Item Code'!A:A,'All Item Code'!D:D,),0)))</f>
        <v/>
      </c>
      <c r="D593" s="3" t="str">
        <f>IFERROR(__xludf.DUMMYFUNCTION("if(isblank(B593),,ifna(textjoin(""; "",,filter('On Hand'!E:E,'On Hand'!A:A=A593)),ifna(xlookup(A593,'On Hand'!A:A,'On Hand'!E:E,),)))"),"")</f>
        <v/>
      </c>
    </row>
    <row r="594">
      <c r="A594" s="3" t="str">
        <f t="array" ref="A594">ifna(_xlfn.xlookup(B594,'All Item Code'!B:B,'All Item Code'!A:A,),)</f>
        <v/>
      </c>
      <c r="B594" s="3"/>
      <c r="C594" s="3" t="str">
        <f t="array" ref="C594">if(B594="Tidak Ada",,if(isblank(B594),,ifna(sumif('On Hand'!A:A,A594,'On Hand'!D:D)&amp;" "&amp;_xlfn.xlookup(A594,'All Item Code'!A:A,'All Item Code'!D:D,),0)))</f>
        <v/>
      </c>
      <c r="D594" s="3" t="str">
        <f>IFERROR(__xludf.DUMMYFUNCTION("if(isblank(B594),,ifna(textjoin(""; "",,filter('On Hand'!E:E,'On Hand'!A:A=A594)),ifna(xlookup(A594,'On Hand'!A:A,'On Hand'!E:E,),)))"),"")</f>
        <v/>
      </c>
    </row>
    <row r="595">
      <c r="A595" s="3" t="str">
        <f t="array" ref="A595">ifna(_xlfn.xlookup(B595,'All Item Code'!B:B,'All Item Code'!A:A,),)</f>
        <v/>
      </c>
      <c r="B595" s="3"/>
      <c r="C595" s="3" t="str">
        <f t="array" ref="C595">if(B595="Tidak Ada",,if(isblank(B595),,ifna(sumif('On Hand'!A:A,A595,'On Hand'!D:D)&amp;" "&amp;_xlfn.xlookup(A595,'All Item Code'!A:A,'All Item Code'!D:D,),0)))</f>
        <v/>
      </c>
      <c r="D595" s="3" t="str">
        <f>IFERROR(__xludf.DUMMYFUNCTION("if(isblank(B595),,ifna(textjoin(""; "",,filter('On Hand'!E:E,'On Hand'!A:A=A595)),ifna(xlookup(A595,'On Hand'!A:A,'On Hand'!E:E,),)))"),"")</f>
        <v/>
      </c>
    </row>
    <row r="596">
      <c r="A596" s="3" t="str">
        <f t="array" ref="A596">ifna(_xlfn.xlookup(B596,'All Item Code'!B:B,'All Item Code'!A:A,),)</f>
        <v/>
      </c>
      <c r="B596" s="3"/>
      <c r="C596" s="3" t="str">
        <f t="array" ref="C596">if(B596="Tidak Ada",,if(isblank(B596),,ifna(sumif('On Hand'!A:A,A596,'On Hand'!D:D)&amp;" "&amp;_xlfn.xlookup(A596,'All Item Code'!A:A,'All Item Code'!D:D,),0)))</f>
        <v/>
      </c>
      <c r="D596" s="3" t="str">
        <f>IFERROR(__xludf.DUMMYFUNCTION("if(isblank(B596),,ifna(textjoin(""; "",,filter('On Hand'!E:E,'On Hand'!A:A=A596)),ifna(xlookup(A596,'On Hand'!A:A,'On Hand'!E:E,),)))"),"")</f>
        <v/>
      </c>
    </row>
    <row r="597">
      <c r="A597" s="3" t="str">
        <f t="array" ref="A597">ifna(_xlfn.xlookup(B597,'All Item Code'!B:B,'All Item Code'!A:A,),)</f>
        <v/>
      </c>
      <c r="B597" s="3"/>
      <c r="C597" s="3" t="str">
        <f t="array" ref="C597">if(B597="Tidak Ada",,if(isblank(B597),,ifna(sumif('On Hand'!A:A,A597,'On Hand'!D:D)&amp;" "&amp;_xlfn.xlookup(A597,'All Item Code'!A:A,'All Item Code'!D:D,),0)))</f>
        <v/>
      </c>
      <c r="D597" s="3" t="str">
        <f>IFERROR(__xludf.DUMMYFUNCTION("if(isblank(B597),,ifna(textjoin(""; "",,filter('On Hand'!E:E,'On Hand'!A:A=A597)),ifna(xlookup(A597,'On Hand'!A:A,'On Hand'!E:E,),)))"),"")</f>
        <v/>
      </c>
    </row>
    <row r="598">
      <c r="A598" s="3" t="str">
        <f t="array" ref="A598">ifna(_xlfn.xlookup(B598,'All Item Code'!B:B,'All Item Code'!A:A,),)</f>
        <v/>
      </c>
      <c r="B598" s="3"/>
      <c r="C598" s="3" t="str">
        <f t="array" ref="C598">if(B598="Tidak Ada",,if(isblank(B598),,ifna(sumif('On Hand'!A:A,A598,'On Hand'!D:D)&amp;" "&amp;_xlfn.xlookup(A598,'All Item Code'!A:A,'All Item Code'!D:D,),0)))</f>
        <v/>
      </c>
      <c r="D598" s="3" t="str">
        <f>IFERROR(__xludf.DUMMYFUNCTION("if(isblank(B598),,ifna(textjoin(""; "",,filter('On Hand'!E:E,'On Hand'!A:A=A598)),ifna(xlookup(A598,'On Hand'!A:A,'On Hand'!E:E,),)))"),"")</f>
        <v/>
      </c>
    </row>
    <row r="599">
      <c r="A599" s="3" t="str">
        <f t="array" ref="A599">ifna(_xlfn.xlookup(B599,'All Item Code'!B:B,'All Item Code'!A:A,),)</f>
        <v/>
      </c>
      <c r="B599" s="3"/>
      <c r="C599" s="3" t="str">
        <f t="array" ref="C599">if(B599="Tidak Ada",,if(isblank(B599),,ifna(sumif('On Hand'!A:A,A599,'On Hand'!D:D)&amp;" "&amp;_xlfn.xlookup(A599,'All Item Code'!A:A,'All Item Code'!D:D,),0)))</f>
        <v/>
      </c>
      <c r="D599" s="3" t="str">
        <f>IFERROR(__xludf.DUMMYFUNCTION("if(isblank(B599),,ifna(textjoin(""; "",,filter('On Hand'!E:E,'On Hand'!A:A=A599)),ifna(xlookup(A599,'On Hand'!A:A,'On Hand'!E:E,),)))"),"")</f>
        <v/>
      </c>
    </row>
    <row r="600">
      <c r="A600" s="3" t="str">
        <f t="array" ref="A600">ifna(_xlfn.xlookup(B600,'All Item Code'!B:B,'All Item Code'!A:A,),)</f>
        <v/>
      </c>
      <c r="B600" s="3"/>
      <c r="C600" s="3" t="str">
        <f t="array" ref="C600">if(B600="Tidak Ada",,if(isblank(B600),,ifna(sumif('On Hand'!A:A,A600,'On Hand'!D:D)&amp;" "&amp;_xlfn.xlookup(A600,'All Item Code'!A:A,'All Item Code'!D:D,),0)))</f>
        <v/>
      </c>
      <c r="D600" s="3" t="str">
        <f>IFERROR(__xludf.DUMMYFUNCTION("if(isblank(B600),,ifna(textjoin(""; "",,filter('On Hand'!E:E,'On Hand'!A:A=A600)),ifna(xlookup(A600,'On Hand'!A:A,'On Hand'!E:E,),)))"),"")</f>
        <v/>
      </c>
    </row>
    <row r="601">
      <c r="A601" s="3" t="str">
        <f t="array" ref="A601">ifna(_xlfn.xlookup(B601,'All Item Code'!B:B,'All Item Code'!A:A,),)</f>
        <v/>
      </c>
      <c r="B601" s="3"/>
      <c r="C601" s="3" t="str">
        <f t="array" ref="C601">if(B601="Tidak Ada",,if(isblank(B601),,ifna(sumif('On Hand'!A:A,A601,'On Hand'!D:D)&amp;" "&amp;_xlfn.xlookup(A601,'All Item Code'!A:A,'All Item Code'!D:D,),0)))</f>
        <v/>
      </c>
      <c r="D601" s="3" t="str">
        <f>IFERROR(__xludf.DUMMYFUNCTION("if(isblank(B601),,ifna(textjoin(""; "",,filter('On Hand'!E:E,'On Hand'!A:A=A601)),ifna(xlookup(A601,'On Hand'!A:A,'On Hand'!E:E,),)))"),"")</f>
        <v/>
      </c>
    </row>
    <row r="602">
      <c r="A602" s="3" t="str">
        <f t="array" ref="A602">ifna(_xlfn.xlookup(B602,'All Item Code'!B:B,'All Item Code'!A:A,),)</f>
        <v/>
      </c>
      <c r="B602" s="3"/>
      <c r="C602" s="3" t="str">
        <f t="array" ref="C602">if(B602="Tidak Ada",,if(isblank(B602),,ifna(sumif('On Hand'!A:A,A602,'On Hand'!D:D)&amp;" "&amp;_xlfn.xlookup(A602,'All Item Code'!A:A,'All Item Code'!D:D,),0)))</f>
        <v/>
      </c>
      <c r="D602" s="3" t="str">
        <f>IFERROR(__xludf.DUMMYFUNCTION("if(isblank(B602),,ifna(textjoin(""; "",,filter('On Hand'!E:E,'On Hand'!A:A=A602)),ifna(xlookup(A602,'On Hand'!A:A,'On Hand'!E:E,),)))"),"")</f>
        <v/>
      </c>
    </row>
    <row r="603">
      <c r="A603" s="3" t="str">
        <f t="array" ref="A603">ifna(_xlfn.xlookup(B603,'All Item Code'!B:B,'All Item Code'!A:A,),)</f>
        <v/>
      </c>
      <c r="B603" s="3"/>
      <c r="C603" s="3" t="str">
        <f t="array" ref="C603">if(B603="Tidak Ada",,if(isblank(B603),,ifna(sumif('On Hand'!A:A,A603,'On Hand'!D:D)&amp;" "&amp;_xlfn.xlookup(A603,'All Item Code'!A:A,'All Item Code'!D:D,),0)))</f>
        <v/>
      </c>
      <c r="D603" s="3" t="str">
        <f>IFERROR(__xludf.DUMMYFUNCTION("if(isblank(B603),,ifna(textjoin(""; "",,filter('On Hand'!E:E,'On Hand'!A:A=A603)),ifna(xlookup(A603,'On Hand'!A:A,'On Hand'!E:E,),)))"),"")</f>
        <v/>
      </c>
    </row>
    <row r="604">
      <c r="A604" s="3" t="str">
        <f t="array" ref="A604">ifna(_xlfn.xlookup(B604,'All Item Code'!B:B,'All Item Code'!A:A,),)</f>
        <v/>
      </c>
      <c r="B604" s="3"/>
      <c r="C604" s="3" t="str">
        <f t="array" ref="C604">if(B604="Tidak Ada",,if(isblank(B604),,ifna(sumif('On Hand'!A:A,A604,'On Hand'!D:D)&amp;" "&amp;_xlfn.xlookup(A604,'All Item Code'!A:A,'All Item Code'!D:D,),0)))</f>
        <v/>
      </c>
      <c r="D604" s="3" t="str">
        <f>IFERROR(__xludf.DUMMYFUNCTION("if(isblank(B604),,ifna(textjoin(""; "",,filter('On Hand'!E:E,'On Hand'!A:A=A604)),ifna(xlookup(A604,'On Hand'!A:A,'On Hand'!E:E,),)))"),"")</f>
        <v/>
      </c>
    </row>
    <row r="605">
      <c r="A605" s="3" t="str">
        <f t="array" ref="A605">ifna(_xlfn.xlookup(B605,'All Item Code'!B:B,'All Item Code'!A:A,),)</f>
        <v/>
      </c>
      <c r="B605" s="3"/>
      <c r="C605" s="3" t="str">
        <f t="array" ref="C605">if(B605="Tidak Ada",,if(isblank(B605),,ifna(sumif('On Hand'!A:A,A605,'On Hand'!D:D)&amp;" "&amp;_xlfn.xlookup(A605,'All Item Code'!A:A,'All Item Code'!D:D,),0)))</f>
        <v/>
      </c>
      <c r="D605" s="3" t="str">
        <f>IFERROR(__xludf.DUMMYFUNCTION("if(isblank(B605),,ifna(textjoin(""; "",,filter('On Hand'!E:E,'On Hand'!A:A=A605)),ifna(xlookup(A605,'On Hand'!A:A,'On Hand'!E:E,),)))"),"")</f>
        <v/>
      </c>
    </row>
    <row r="606">
      <c r="A606" s="3" t="str">
        <f t="array" ref="A606">ifna(_xlfn.xlookup(B606,'All Item Code'!B:B,'All Item Code'!A:A,),)</f>
        <v/>
      </c>
      <c r="B606" s="3"/>
      <c r="C606" s="3" t="str">
        <f t="array" ref="C606">if(B606="Tidak Ada",,if(isblank(B606),,ifna(sumif('On Hand'!A:A,A606,'On Hand'!D:D)&amp;" "&amp;_xlfn.xlookup(A606,'All Item Code'!A:A,'All Item Code'!D:D,),0)))</f>
        <v/>
      </c>
      <c r="D606" s="3" t="str">
        <f>IFERROR(__xludf.DUMMYFUNCTION("if(isblank(B606),,ifna(textjoin(""; "",,filter('On Hand'!E:E,'On Hand'!A:A=A606)),ifna(xlookup(A606,'On Hand'!A:A,'On Hand'!E:E,),)))"),"")</f>
        <v/>
      </c>
    </row>
    <row r="607">
      <c r="A607" s="3" t="str">
        <f t="array" ref="A607">ifna(_xlfn.xlookup(B607,'All Item Code'!B:B,'All Item Code'!A:A,),)</f>
        <v/>
      </c>
      <c r="B607" s="3"/>
      <c r="C607" s="3" t="str">
        <f t="array" ref="C607">if(B607="Tidak Ada",,if(isblank(B607),,ifna(sumif('On Hand'!A:A,A607,'On Hand'!D:D)&amp;" "&amp;_xlfn.xlookup(A607,'All Item Code'!A:A,'All Item Code'!D:D,),0)))</f>
        <v/>
      </c>
      <c r="D607" s="3" t="str">
        <f>IFERROR(__xludf.DUMMYFUNCTION("if(isblank(B607),,ifna(textjoin(""; "",,filter('On Hand'!E:E,'On Hand'!A:A=A607)),ifna(xlookup(A607,'On Hand'!A:A,'On Hand'!E:E,),)))"),"")</f>
        <v/>
      </c>
    </row>
    <row r="608">
      <c r="A608" s="3" t="str">
        <f t="array" ref="A608">ifna(_xlfn.xlookup(B608,'All Item Code'!B:B,'All Item Code'!A:A,),)</f>
        <v/>
      </c>
      <c r="B608" s="3"/>
      <c r="C608" s="3" t="str">
        <f t="array" ref="C608">if(B608="Tidak Ada",,if(isblank(B608),,ifna(sumif('On Hand'!A:A,A608,'On Hand'!D:D)&amp;" "&amp;_xlfn.xlookup(A608,'All Item Code'!A:A,'All Item Code'!D:D,),0)))</f>
        <v/>
      </c>
      <c r="D608" s="3" t="str">
        <f>IFERROR(__xludf.DUMMYFUNCTION("if(isblank(B608),,ifna(textjoin(""; "",,filter('On Hand'!E:E,'On Hand'!A:A=A608)),ifna(xlookup(A608,'On Hand'!A:A,'On Hand'!E:E,),)))"),"")</f>
        <v/>
      </c>
    </row>
    <row r="609">
      <c r="A609" s="3" t="str">
        <f t="array" ref="A609">ifna(_xlfn.xlookup(B609,'All Item Code'!B:B,'All Item Code'!A:A,),)</f>
        <v/>
      </c>
      <c r="B609" s="3"/>
      <c r="C609" s="3" t="str">
        <f t="array" ref="C609">if(B609="Tidak Ada",,if(isblank(B609),,ifna(sumif('On Hand'!A:A,A609,'On Hand'!D:D)&amp;" "&amp;_xlfn.xlookup(A609,'All Item Code'!A:A,'All Item Code'!D:D,),0)))</f>
        <v/>
      </c>
      <c r="D609" s="3" t="str">
        <f>IFERROR(__xludf.DUMMYFUNCTION("if(isblank(B609),,ifna(textjoin(""; "",,filter('On Hand'!E:E,'On Hand'!A:A=A609)),ifna(xlookup(A609,'On Hand'!A:A,'On Hand'!E:E,),)))"),"")</f>
        <v/>
      </c>
    </row>
    <row r="610">
      <c r="A610" s="3" t="str">
        <f t="array" ref="A610">ifna(_xlfn.xlookup(B610,'All Item Code'!B:B,'All Item Code'!A:A,),)</f>
        <v/>
      </c>
      <c r="B610" s="3"/>
      <c r="C610" s="3" t="str">
        <f t="array" ref="C610">if(B610="Tidak Ada",,if(isblank(B610),,ifna(sumif('On Hand'!A:A,A610,'On Hand'!D:D)&amp;" "&amp;_xlfn.xlookup(A610,'All Item Code'!A:A,'All Item Code'!D:D,),0)))</f>
        <v/>
      </c>
      <c r="D610" s="3" t="str">
        <f>IFERROR(__xludf.DUMMYFUNCTION("if(isblank(B610),,ifna(textjoin(""; "",,filter('On Hand'!E:E,'On Hand'!A:A=A610)),ifna(xlookup(A610,'On Hand'!A:A,'On Hand'!E:E,),)))"),"")</f>
        <v/>
      </c>
    </row>
    <row r="611">
      <c r="A611" s="3" t="str">
        <f t="array" ref="A611">ifna(_xlfn.xlookup(B611,'All Item Code'!B:B,'All Item Code'!A:A,),)</f>
        <v/>
      </c>
      <c r="B611" s="3"/>
      <c r="C611" s="3" t="str">
        <f t="array" ref="C611">if(B611="Tidak Ada",,if(isblank(B611),,ifna(sumif('On Hand'!A:A,A611,'On Hand'!D:D)&amp;" "&amp;_xlfn.xlookup(A611,'All Item Code'!A:A,'All Item Code'!D:D,),0)))</f>
        <v/>
      </c>
      <c r="D611" s="3" t="str">
        <f>IFERROR(__xludf.DUMMYFUNCTION("if(isblank(B611),,ifna(textjoin(""; "",,filter('On Hand'!E:E,'On Hand'!A:A=A611)),ifna(xlookup(A611,'On Hand'!A:A,'On Hand'!E:E,),)))"),"")</f>
        <v/>
      </c>
    </row>
    <row r="612">
      <c r="A612" s="3" t="str">
        <f t="array" ref="A612">ifna(_xlfn.xlookup(B612,'All Item Code'!B:B,'All Item Code'!A:A,),)</f>
        <v/>
      </c>
      <c r="B612" s="3"/>
      <c r="C612" s="3" t="str">
        <f t="array" ref="C612">if(B612="Tidak Ada",,if(isblank(B612),,ifna(sumif('On Hand'!A:A,A612,'On Hand'!D:D)&amp;" "&amp;_xlfn.xlookup(A612,'All Item Code'!A:A,'All Item Code'!D:D,),0)))</f>
        <v/>
      </c>
      <c r="D612" s="3" t="str">
        <f>IFERROR(__xludf.DUMMYFUNCTION("if(isblank(B612),,ifna(textjoin(""; "",,filter('On Hand'!E:E,'On Hand'!A:A=A612)),ifna(xlookup(A612,'On Hand'!A:A,'On Hand'!E:E,),)))"),"")</f>
        <v/>
      </c>
    </row>
    <row r="613">
      <c r="A613" s="3" t="str">
        <f t="array" ref="A613">ifna(_xlfn.xlookup(B613,'All Item Code'!B:B,'All Item Code'!A:A,),)</f>
        <v/>
      </c>
      <c r="B613" s="3"/>
      <c r="C613" s="3" t="str">
        <f t="array" ref="C613">if(B613="Tidak Ada",,if(isblank(B613),,ifna(sumif('On Hand'!A:A,A613,'On Hand'!D:D)&amp;" "&amp;_xlfn.xlookup(A613,'All Item Code'!A:A,'All Item Code'!D:D,),0)))</f>
        <v/>
      </c>
      <c r="D613" s="3" t="str">
        <f>IFERROR(__xludf.DUMMYFUNCTION("if(isblank(B613),,ifna(textjoin(""; "",,filter('On Hand'!E:E,'On Hand'!A:A=A613)),ifna(xlookup(A613,'On Hand'!A:A,'On Hand'!E:E,),)))"),"")</f>
        <v/>
      </c>
    </row>
    <row r="614">
      <c r="A614" s="3" t="str">
        <f t="array" ref="A614">ifna(_xlfn.xlookup(B614,'All Item Code'!B:B,'All Item Code'!A:A,),)</f>
        <v/>
      </c>
      <c r="B614" s="3"/>
      <c r="C614" s="3" t="str">
        <f t="array" ref="C614">if(B614="Tidak Ada",,if(isblank(B614),,ifna(sumif('On Hand'!A:A,A614,'On Hand'!D:D)&amp;" "&amp;_xlfn.xlookup(A614,'All Item Code'!A:A,'All Item Code'!D:D,),0)))</f>
        <v/>
      </c>
      <c r="D614" s="3" t="str">
        <f>IFERROR(__xludf.DUMMYFUNCTION("if(isblank(B614),,ifna(textjoin(""; "",,filter('On Hand'!E:E,'On Hand'!A:A=A614)),ifna(xlookup(A614,'On Hand'!A:A,'On Hand'!E:E,),)))"),"")</f>
        <v/>
      </c>
    </row>
    <row r="615">
      <c r="A615" s="3" t="str">
        <f t="array" ref="A615">ifna(_xlfn.xlookup(B615,'All Item Code'!B:B,'All Item Code'!A:A,),)</f>
        <v/>
      </c>
      <c r="B615" s="3"/>
      <c r="C615" s="3" t="str">
        <f t="array" ref="C615">if(B615="Tidak Ada",,if(isblank(B615),,ifna(sumif('On Hand'!A:A,A615,'On Hand'!D:D)&amp;" "&amp;_xlfn.xlookup(A615,'All Item Code'!A:A,'All Item Code'!D:D,),0)))</f>
        <v/>
      </c>
      <c r="D615" s="3" t="str">
        <f>IFERROR(__xludf.DUMMYFUNCTION("if(isblank(B615),,ifna(textjoin(""; "",,filter('On Hand'!E:E,'On Hand'!A:A=A615)),ifna(xlookup(A615,'On Hand'!A:A,'On Hand'!E:E,),)))"),"")</f>
        <v/>
      </c>
    </row>
    <row r="616">
      <c r="A616" s="3" t="str">
        <f t="array" ref="A616">ifna(_xlfn.xlookup(B616,'All Item Code'!B:B,'All Item Code'!A:A,),)</f>
        <v/>
      </c>
      <c r="B616" s="3"/>
      <c r="C616" s="3" t="str">
        <f t="array" ref="C616">if(B616="Tidak Ada",,if(isblank(B616),,ifna(sumif('On Hand'!A:A,A616,'On Hand'!D:D)&amp;" "&amp;_xlfn.xlookup(A616,'All Item Code'!A:A,'All Item Code'!D:D,),0)))</f>
        <v/>
      </c>
      <c r="D616" s="3" t="str">
        <f>IFERROR(__xludf.DUMMYFUNCTION("if(isblank(B616),,ifna(textjoin(""; "",,filter('On Hand'!E:E,'On Hand'!A:A=A616)),ifna(xlookup(A616,'On Hand'!A:A,'On Hand'!E:E,),)))"),"")</f>
        <v/>
      </c>
    </row>
    <row r="617">
      <c r="A617" s="3" t="str">
        <f t="array" ref="A617">ifna(_xlfn.xlookup(B617,'All Item Code'!B:B,'All Item Code'!A:A,),)</f>
        <v/>
      </c>
      <c r="B617" s="3"/>
      <c r="C617" s="3" t="str">
        <f t="array" ref="C617">if(B617="Tidak Ada",,if(isblank(B617),,ifna(sumif('On Hand'!A:A,A617,'On Hand'!D:D)&amp;" "&amp;_xlfn.xlookup(A617,'All Item Code'!A:A,'All Item Code'!D:D,),0)))</f>
        <v/>
      </c>
      <c r="D617" s="3" t="str">
        <f>IFERROR(__xludf.DUMMYFUNCTION("if(isblank(B617),,ifna(textjoin(""; "",,filter('On Hand'!E:E,'On Hand'!A:A=A617)),ifna(xlookup(A617,'On Hand'!A:A,'On Hand'!E:E,),)))"),"")</f>
        <v/>
      </c>
    </row>
    <row r="618">
      <c r="A618" s="3" t="str">
        <f t="array" ref="A618">ifna(_xlfn.xlookup(B618,'All Item Code'!B:B,'All Item Code'!A:A,),)</f>
        <v/>
      </c>
      <c r="B618" s="3"/>
      <c r="C618" s="3" t="str">
        <f t="array" ref="C618">if(B618="Tidak Ada",,if(isblank(B618),,ifna(sumif('On Hand'!A:A,A618,'On Hand'!D:D)&amp;" "&amp;_xlfn.xlookup(A618,'All Item Code'!A:A,'All Item Code'!D:D,),0)))</f>
        <v/>
      </c>
      <c r="D618" s="3" t="str">
        <f>IFERROR(__xludf.DUMMYFUNCTION("if(isblank(B618),,ifna(textjoin(""; "",,filter('On Hand'!E:E,'On Hand'!A:A=A618)),ifna(xlookup(A618,'On Hand'!A:A,'On Hand'!E:E,),)))"),"")</f>
        <v/>
      </c>
    </row>
    <row r="619">
      <c r="A619" s="3" t="str">
        <f t="array" ref="A619">ifna(_xlfn.xlookup(B619,'All Item Code'!B:B,'All Item Code'!A:A,),)</f>
        <v/>
      </c>
      <c r="B619" s="3"/>
      <c r="C619" s="3" t="str">
        <f t="array" ref="C619">if(B619="Tidak Ada",,if(isblank(B619),,ifna(sumif('On Hand'!A:A,A619,'On Hand'!D:D)&amp;" "&amp;_xlfn.xlookup(A619,'All Item Code'!A:A,'All Item Code'!D:D,),0)))</f>
        <v/>
      </c>
      <c r="D619" s="3" t="str">
        <f>IFERROR(__xludf.DUMMYFUNCTION("if(isblank(B619),,ifna(textjoin(""; "",,filter('On Hand'!E:E,'On Hand'!A:A=A619)),ifna(xlookup(A619,'On Hand'!A:A,'On Hand'!E:E,),)))"),"")</f>
        <v/>
      </c>
    </row>
    <row r="620">
      <c r="A620" s="3" t="str">
        <f t="array" ref="A620">ifna(_xlfn.xlookup(B620,'All Item Code'!B:B,'All Item Code'!A:A,),)</f>
        <v/>
      </c>
      <c r="B620" s="3"/>
      <c r="C620" s="3" t="str">
        <f t="array" ref="C620">if(B620="Tidak Ada",,if(isblank(B620),,ifna(sumif('On Hand'!A:A,A620,'On Hand'!D:D)&amp;" "&amp;_xlfn.xlookup(A620,'All Item Code'!A:A,'All Item Code'!D:D,),0)))</f>
        <v/>
      </c>
      <c r="D620" s="3" t="str">
        <f>IFERROR(__xludf.DUMMYFUNCTION("if(isblank(B620),,ifna(textjoin(""; "",,filter('On Hand'!E:E,'On Hand'!A:A=A620)),ifna(xlookup(A620,'On Hand'!A:A,'On Hand'!E:E,),)))"),"")</f>
        <v/>
      </c>
    </row>
    <row r="621">
      <c r="A621" s="3" t="str">
        <f t="array" ref="A621">ifna(_xlfn.xlookup(B621,'All Item Code'!B:B,'All Item Code'!A:A,),)</f>
        <v/>
      </c>
      <c r="B621" s="3"/>
      <c r="C621" s="3" t="str">
        <f t="array" ref="C621">if(B621="Tidak Ada",,if(isblank(B621),,ifna(sumif('On Hand'!A:A,A621,'On Hand'!D:D)&amp;" "&amp;_xlfn.xlookup(A621,'All Item Code'!A:A,'All Item Code'!D:D,),0)))</f>
        <v/>
      </c>
      <c r="D621" s="3" t="str">
        <f>IFERROR(__xludf.DUMMYFUNCTION("if(isblank(B621),,ifna(textjoin(""; "",,filter('On Hand'!E:E,'On Hand'!A:A=A621)),ifna(xlookup(A621,'On Hand'!A:A,'On Hand'!E:E,),)))"),"")</f>
        <v/>
      </c>
    </row>
    <row r="622">
      <c r="A622" s="3" t="str">
        <f t="array" ref="A622">ifna(_xlfn.xlookup(B622,'All Item Code'!B:B,'All Item Code'!A:A,),)</f>
        <v/>
      </c>
      <c r="B622" s="3"/>
      <c r="C622" s="3" t="str">
        <f t="array" ref="C622">if(B622="Tidak Ada",,if(isblank(B622),,ifna(sumif('On Hand'!A:A,A622,'On Hand'!D:D)&amp;" "&amp;_xlfn.xlookup(A622,'All Item Code'!A:A,'All Item Code'!D:D,),0)))</f>
        <v/>
      </c>
      <c r="D622" s="3" t="str">
        <f>IFERROR(__xludf.DUMMYFUNCTION("if(isblank(B622),,ifna(textjoin(""; "",,filter('On Hand'!E:E,'On Hand'!A:A=A622)),ifna(xlookup(A622,'On Hand'!A:A,'On Hand'!E:E,),)))"),"")</f>
        <v/>
      </c>
    </row>
    <row r="623">
      <c r="A623" s="3" t="str">
        <f t="array" ref="A623">ifna(_xlfn.xlookup(B623,'All Item Code'!B:B,'All Item Code'!A:A,),)</f>
        <v/>
      </c>
      <c r="B623" s="3"/>
      <c r="C623" s="3" t="str">
        <f t="array" ref="C623">if(B623="Tidak Ada",,if(isblank(B623),,ifna(sumif('On Hand'!A:A,A623,'On Hand'!D:D)&amp;" "&amp;_xlfn.xlookup(A623,'All Item Code'!A:A,'All Item Code'!D:D,),0)))</f>
        <v/>
      </c>
      <c r="D623" s="3" t="str">
        <f>IFERROR(__xludf.DUMMYFUNCTION("if(isblank(B623),,ifna(textjoin(""; "",,filter('On Hand'!E:E,'On Hand'!A:A=A623)),ifna(xlookup(A623,'On Hand'!A:A,'On Hand'!E:E,),)))"),"")</f>
        <v/>
      </c>
    </row>
    <row r="624">
      <c r="A624" s="3" t="str">
        <f t="array" ref="A624">ifna(_xlfn.xlookup(B624,'All Item Code'!B:B,'All Item Code'!A:A,),)</f>
        <v/>
      </c>
      <c r="B624" s="3"/>
      <c r="C624" s="3" t="str">
        <f t="array" ref="C624">if(B624="Tidak Ada",,if(isblank(B624),,ifna(sumif('On Hand'!A:A,A624,'On Hand'!D:D)&amp;" "&amp;_xlfn.xlookup(A624,'All Item Code'!A:A,'All Item Code'!D:D,),0)))</f>
        <v/>
      </c>
      <c r="D624" s="3" t="str">
        <f>IFERROR(__xludf.DUMMYFUNCTION("if(isblank(B624),,ifna(textjoin(""; "",,filter('On Hand'!E:E,'On Hand'!A:A=A624)),ifna(xlookup(A624,'On Hand'!A:A,'On Hand'!E:E,),)))"),"")</f>
        <v/>
      </c>
    </row>
    <row r="625">
      <c r="A625" s="3" t="str">
        <f t="array" ref="A625">ifna(_xlfn.xlookup(B625,'All Item Code'!B:B,'All Item Code'!A:A,),)</f>
        <v/>
      </c>
      <c r="B625" s="3"/>
      <c r="C625" s="3" t="str">
        <f t="array" ref="C625">if(B625="Tidak Ada",,if(isblank(B625),,ifna(sumif('On Hand'!A:A,A625,'On Hand'!D:D)&amp;" "&amp;_xlfn.xlookup(A625,'All Item Code'!A:A,'All Item Code'!D:D,),0)))</f>
        <v/>
      </c>
      <c r="D625" s="3" t="str">
        <f>IFERROR(__xludf.DUMMYFUNCTION("if(isblank(B625),,ifna(textjoin(""; "",,filter('On Hand'!E:E,'On Hand'!A:A=A625)),ifna(xlookup(A625,'On Hand'!A:A,'On Hand'!E:E,),)))"),"")</f>
        <v/>
      </c>
    </row>
    <row r="626">
      <c r="A626" s="3" t="str">
        <f t="array" ref="A626">ifna(_xlfn.xlookup(B626,'All Item Code'!B:B,'All Item Code'!A:A,),)</f>
        <v/>
      </c>
      <c r="B626" s="3"/>
      <c r="C626" s="3" t="str">
        <f t="array" ref="C626">if(B626="Tidak Ada",,if(isblank(B626),,ifna(sumif('On Hand'!A:A,A626,'On Hand'!D:D)&amp;" "&amp;_xlfn.xlookup(A626,'All Item Code'!A:A,'All Item Code'!D:D,),0)))</f>
        <v/>
      </c>
      <c r="D626" s="3" t="str">
        <f>IFERROR(__xludf.DUMMYFUNCTION("if(isblank(B626),,ifna(textjoin(""; "",,filter('On Hand'!E:E,'On Hand'!A:A=A626)),ifna(xlookup(A626,'On Hand'!A:A,'On Hand'!E:E,),)))"),"")</f>
        <v/>
      </c>
    </row>
    <row r="627">
      <c r="A627" s="3" t="str">
        <f t="array" ref="A627">ifna(_xlfn.xlookup(B627,'All Item Code'!B:B,'All Item Code'!A:A,),)</f>
        <v/>
      </c>
      <c r="B627" s="3"/>
      <c r="C627" s="3" t="str">
        <f t="array" ref="C627">if(B627="Tidak Ada",,if(isblank(B627),,ifna(sumif('On Hand'!A:A,A627,'On Hand'!D:D)&amp;" "&amp;_xlfn.xlookup(A627,'All Item Code'!A:A,'All Item Code'!D:D,),0)))</f>
        <v/>
      </c>
      <c r="D627" s="3" t="str">
        <f>IFERROR(__xludf.DUMMYFUNCTION("if(isblank(B627),,ifna(textjoin(""; "",,filter('On Hand'!E:E,'On Hand'!A:A=A627)),ifna(xlookup(A627,'On Hand'!A:A,'On Hand'!E:E,),)))"),"")</f>
        <v/>
      </c>
    </row>
    <row r="628">
      <c r="A628" s="3" t="str">
        <f t="array" ref="A628">ifna(_xlfn.xlookup(B628,'All Item Code'!B:B,'All Item Code'!A:A,),)</f>
        <v/>
      </c>
      <c r="B628" s="3"/>
      <c r="C628" s="3" t="str">
        <f t="array" ref="C628">if(B628="Tidak Ada",,if(isblank(B628),,ifna(sumif('On Hand'!A:A,A628,'On Hand'!D:D)&amp;" "&amp;_xlfn.xlookup(A628,'All Item Code'!A:A,'All Item Code'!D:D,),0)))</f>
        <v/>
      </c>
      <c r="D628" s="3" t="str">
        <f>IFERROR(__xludf.DUMMYFUNCTION("if(isblank(B628),,ifna(textjoin(""; "",,filter('On Hand'!E:E,'On Hand'!A:A=A628)),ifna(xlookup(A628,'On Hand'!A:A,'On Hand'!E:E,),)))"),"")</f>
        <v/>
      </c>
    </row>
    <row r="629">
      <c r="A629" s="3" t="str">
        <f t="array" ref="A629">ifna(_xlfn.xlookup(B629,'All Item Code'!B:B,'All Item Code'!A:A,),)</f>
        <v/>
      </c>
      <c r="B629" s="3"/>
      <c r="C629" s="3" t="str">
        <f t="array" ref="C629">if(B629="Tidak Ada",,if(isblank(B629),,ifna(sumif('On Hand'!A:A,A629,'On Hand'!D:D)&amp;" "&amp;_xlfn.xlookup(A629,'All Item Code'!A:A,'All Item Code'!D:D,),0)))</f>
        <v/>
      </c>
      <c r="D629" s="3" t="str">
        <f>IFERROR(__xludf.DUMMYFUNCTION("if(isblank(B629),,ifna(textjoin(""; "",,filter('On Hand'!E:E,'On Hand'!A:A=A629)),ifna(xlookup(A629,'On Hand'!A:A,'On Hand'!E:E,),)))"),"")</f>
        <v/>
      </c>
    </row>
    <row r="630">
      <c r="A630" s="3" t="str">
        <f t="array" ref="A630">ifna(_xlfn.xlookup(B630,'All Item Code'!B:B,'All Item Code'!A:A,),)</f>
        <v/>
      </c>
      <c r="B630" s="3"/>
      <c r="C630" s="3" t="str">
        <f t="array" ref="C630">if(B630="Tidak Ada",,if(isblank(B630),,ifna(sumif('On Hand'!A:A,A630,'On Hand'!D:D)&amp;" "&amp;_xlfn.xlookup(A630,'All Item Code'!A:A,'All Item Code'!D:D,),0)))</f>
        <v/>
      </c>
      <c r="D630" s="3" t="str">
        <f>IFERROR(__xludf.DUMMYFUNCTION("if(isblank(B630),,ifna(textjoin(""; "",,filter('On Hand'!E:E,'On Hand'!A:A=A630)),ifna(xlookup(A630,'On Hand'!A:A,'On Hand'!E:E,),)))"),"")</f>
        <v/>
      </c>
    </row>
    <row r="631">
      <c r="A631" s="3" t="str">
        <f t="array" ref="A631">ifna(_xlfn.xlookup(B631,'All Item Code'!B:B,'All Item Code'!A:A,),)</f>
        <v/>
      </c>
      <c r="B631" s="3"/>
      <c r="C631" s="3" t="str">
        <f t="array" ref="C631">if(B631="Tidak Ada",,if(isblank(B631),,ifna(sumif('On Hand'!A:A,A631,'On Hand'!D:D)&amp;" "&amp;_xlfn.xlookup(A631,'All Item Code'!A:A,'All Item Code'!D:D,),0)))</f>
        <v/>
      </c>
      <c r="D631" s="3" t="str">
        <f>IFERROR(__xludf.DUMMYFUNCTION("if(isblank(B631),,ifna(textjoin(""; "",,filter('On Hand'!E:E,'On Hand'!A:A=A631)),ifna(xlookup(A631,'On Hand'!A:A,'On Hand'!E:E,),)))"),"")</f>
        <v/>
      </c>
    </row>
    <row r="632">
      <c r="A632" s="3" t="str">
        <f t="array" ref="A632">ifna(_xlfn.xlookup(B632,'All Item Code'!B:B,'All Item Code'!A:A,),)</f>
        <v/>
      </c>
      <c r="B632" s="3"/>
      <c r="C632" s="3" t="str">
        <f t="array" ref="C632">if(B632="Tidak Ada",,if(isblank(B632),,ifna(sumif('On Hand'!A:A,A632,'On Hand'!D:D)&amp;" "&amp;_xlfn.xlookup(A632,'All Item Code'!A:A,'All Item Code'!D:D,),0)))</f>
        <v/>
      </c>
      <c r="D632" s="3" t="str">
        <f>IFERROR(__xludf.DUMMYFUNCTION("if(isblank(B632),,ifna(textjoin(""; "",,filter('On Hand'!E:E,'On Hand'!A:A=A632)),ifna(xlookup(A632,'On Hand'!A:A,'On Hand'!E:E,),)))"),"")</f>
        <v/>
      </c>
    </row>
    <row r="633">
      <c r="A633" s="3" t="str">
        <f t="array" ref="A633">ifna(_xlfn.xlookup(B633,'All Item Code'!B:B,'All Item Code'!A:A,),)</f>
        <v/>
      </c>
      <c r="B633" s="3"/>
      <c r="C633" s="3" t="str">
        <f t="array" ref="C633">if(B633="Tidak Ada",,if(isblank(B633),,ifna(sumif('On Hand'!A:A,A633,'On Hand'!D:D)&amp;" "&amp;_xlfn.xlookup(A633,'All Item Code'!A:A,'All Item Code'!D:D,),0)))</f>
        <v/>
      </c>
      <c r="D633" s="3" t="str">
        <f>IFERROR(__xludf.DUMMYFUNCTION("if(isblank(B633),,ifna(textjoin(""; "",,filter('On Hand'!E:E,'On Hand'!A:A=A633)),ifna(xlookup(A633,'On Hand'!A:A,'On Hand'!E:E,),)))"),"")</f>
        <v/>
      </c>
    </row>
    <row r="634">
      <c r="A634" s="3" t="str">
        <f t="array" ref="A634">ifna(_xlfn.xlookup(B634,'All Item Code'!B:B,'All Item Code'!A:A,),)</f>
        <v/>
      </c>
      <c r="B634" s="3"/>
      <c r="C634" s="3" t="str">
        <f t="array" ref="C634">if(B634="Tidak Ada",,if(isblank(B634),,ifna(sumif('On Hand'!A:A,A634,'On Hand'!D:D)&amp;" "&amp;_xlfn.xlookup(A634,'All Item Code'!A:A,'All Item Code'!D:D,),0)))</f>
        <v/>
      </c>
      <c r="D634" s="3" t="str">
        <f>IFERROR(__xludf.DUMMYFUNCTION("if(isblank(B634),,ifna(textjoin(""; "",,filter('On Hand'!E:E,'On Hand'!A:A=A634)),ifna(xlookup(A634,'On Hand'!A:A,'On Hand'!E:E,),)))"),"")</f>
        <v/>
      </c>
    </row>
    <row r="635">
      <c r="A635" s="3" t="str">
        <f t="array" ref="A635">ifna(_xlfn.xlookup(B635,'All Item Code'!B:B,'All Item Code'!A:A,),)</f>
        <v/>
      </c>
      <c r="B635" s="3"/>
      <c r="C635" s="3" t="str">
        <f t="array" ref="C635">if(B635="Tidak Ada",,if(isblank(B635),,ifna(sumif('On Hand'!A:A,A635,'On Hand'!D:D)&amp;" "&amp;_xlfn.xlookup(A635,'All Item Code'!A:A,'All Item Code'!D:D,),0)))</f>
        <v/>
      </c>
      <c r="D635" s="3" t="str">
        <f>IFERROR(__xludf.DUMMYFUNCTION("if(isblank(B635),,ifna(textjoin(""; "",,filter('On Hand'!E:E,'On Hand'!A:A=A635)),ifna(xlookup(A635,'On Hand'!A:A,'On Hand'!E:E,),)))"),"")</f>
        <v/>
      </c>
    </row>
    <row r="636">
      <c r="A636" s="3" t="str">
        <f t="array" ref="A636">ifna(_xlfn.xlookup(B636,'All Item Code'!B:B,'All Item Code'!A:A,),)</f>
        <v/>
      </c>
      <c r="B636" s="3"/>
      <c r="C636" s="3" t="str">
        <f t="array" ref="C636">if(B636="Tidak Ada",,if(isblank(B636),,ifna(sumif('On Hand'!A:A,A636,'On Hand'!D:D)&amp;" "&amp;_xlfn.xlookup(A636,'All Item Code'!A:A,'All Item Code'!D:D,),0)))</f>
        <v/>
      </c>
      <c r="D636" s="3" t="str">
        <f>IFERROR(__xludf.DUMMYFUNCTION("if(isblank(B636),,ifna(textjoin(""; "",,filter('On Hand'!E:E,'On Hand'!A:A=A636)),ifna(xlookup(A636,'On Hand'!A:A,'On Hand'!E:E,),)))"),"")</f>
        <v/>
      </c>
    </row>
    <row r="637">
      <c r="A637" s="3" t="str">
        <f t="array" ref="A637">ifna(_xlfn.xlookup(B637,'All Item Code'!B:B,'All Item Code'!A:A,),)</f>
        <v/>
      </c>
      <c r="B637" s="3"/>
      <c r="C637" s="3" t="str">
        <f t="array" ref="C637">if(B637="Tidak Ada",,if(isblank(B637),,ifna(sumif('On Hand'!A:A,A637,'On Hand'!D:D)&amp;" "&amp;_xlfn.xlookup(A637,'All Item Code'!A:A,'All Item Code'!D:D,),0)))</f>
        <v/>
      </c>
      <c r="D637" s="3" t="str">
        <f>IFERROR(__xludf.DUMMYFUNCTION("if(isblank(B637),,ifna(textjoin(""; "",,filter('On Hand'!E:E,'On Hand'!A:A=A637)),ifna(xlookup(A637,'On Hand'!A:A,'On Hand'!E:E,),)))"),"")</f>
        <v/>
      </c>
    </row>
    <row r="638">
      <c r="A638" s="3" t="str">
        <f t="array" ref="A638">ifna(_xlfn.xlookup(B638,'All Item Code'!B:B,'All Item Code'!A:A,),)</f>
        <v/>
      </c>
      <c r="B638" s="3"/>
      <c r="C638" s="3" t="str">
        <f t="array" ref="C638">if(B638="Tidak Ada",,if(isblank(B638),,ifna(sumif('On Hand'!A:A,A638,'On Hand'!D:D)&amp;" "&amp;_xlfn.xlookup(A638,'All Item Code'!A:A,'All Item Code'!D:D,),0)))</f>
        <v/>
      </c>
      <c r="D638" s="3" t="str">
        <f>IFERROR(__xludf.DUMMYFUNCTION("if(isblank(B638),,ifna(textjoin(""; "",,filter('On Hand'!E:E,'On Hand'!A:A=A638)),ifna(xlookup(A638,'On Hand'!A:A,'On Hand'!E:E,),)))"),"")</f>
        <v/>
      </c>
    </row>
    <row r="639">
      <c r="A639" s="3" t="str">
        <f t="array" ref="A639">ifna(_xlfn.xlookup(B639,'All Item Code'!B:B,'All Item Code'!A:A,),)</f>
        <v/>
      </c>
      <c r="B639" s="3"/>
      <c r="C639" s="3" t="str">
        <f t="array" ref="C639">if(B639="Tidak Ada",,if(isblank(B639),,ifna(sumif('On Hand'!A:A,A639,'On Hand'!D:D)&amp;" "&amp;_xlfn.xlookup(A639,'All Item Code'!A:A,'All Item Code'!D:D,),0)))</f>
        <v/>
      </c>
      <c r="D639" s="3" t="str">
        <f>IFERROR(__xludf.DUMMYFUNCTION("if(isblank(B639),,ifna(textjoin(""; "",,filter('On Hand'!E:E,'On Hand'!A:A=A639)),ifna(xlookup(A639,'On Hand'!A:A,'On Hand'!E:E,),)))"),"")</f>
        <v/>
      </c>
    </row>
    <row r="640">
      <c r="A640" s="3" t="str">
        <f t="array" ref="A640">ifna(_xlfn.xlookup(B640,'All Item Code'!B:B,'All Item Code'!A:A,),)</f>
        <v/>
      </c>
      <c r="B640" s="3"/>
      <c r="C640" s="3" t="str">
        <f t="array" ref="C640">if(B640="Tidak Ada",,if(isblank(B640),,ifna(sumif('On Hand'!A:A,A640,'On Hand'!D:D)&amp;" "&amp;_xlfn.xlookup(A640,'All Item Code'!A:A,'All Item Code'!D:D,),0)))</f>
        <v/>
      </c>
      <c r="D640" s="3" t="str">
        <f>IFERROR(__xludf.DUMMYFUNCTION("if(isblank(B640),,ifna(textjoin(""; "",,filter('On Hand'!E:E,'On Hand'!A:A=A640)),ifna(xlookup(A640,'On Hand'!A:A,'On Hand'!E:E,),)))"),"")</f>
        <v/>
      </c>
    </row>
    <row r="641">
      <c r="A641" s="3" t="str">
        <f t="array" ref="A641">ifna(_xlfn.xlookup(B641,'All Item Code'!B:B,'All Item Code'!A:A,),)</f>
        <v/>
      </c>
      <c r="B641" s="3"/>
      <c r="C641" s="3" t="str">
        <f t="array" ref="C641">if(B641="Tidak Ada",,if(isblank(B641),,ifna(sumif('On Hand'!A:A,A641,'On Hand'!D:D)&amp;" "&amp;_xlfn.xlookup(A641,'All Item Code'!A:A,'All Item Code'!D:D,),0)))</f>
        <v/>
      </c>
      <c r="D641" s="3" t="str">
        <f>IFERROR(__xludf.DUMMYFUNCTION("if(isblank(B641),,ifna(textjoin(""; "",,filter('On Hand'!E:E,'On Hand'!A:A=A641)),ifna(xlookup(A641,'On Hand'!A:A,'On Hand'!E:E,),)))"),"")</f>
        <v/>
      </c>
    </row>
    <row r="642">
      <c r="A642" s="3" t="str">
        <f t="array" ref="A642">ifna(_xlfn.xlookup(B642,'All Item Code'!B:B,'All Item Code'!A:A,),)</f>
        <v/>
      </c>
      <c r="B642" s="3"/>
      <c r="C642" s="3" t="str">
        <f t="array" ref="C642">if(B642="Tidak Ada",,if(isblank(B642),,ifna(sumif('On Hand'!A:A,A642,'On Hand'!D:D)&amp;" "&amp;_xlfn.xlookup(A642,'All Item Code'!A:A,'All Item Code'!D:D,),0)))</f>
        <v/>
      </c>
      <c r="D642" s="3" t="str">
        <f>IFERROR(__xludf.DUMMYFUNCTION("if(isblank(B642),,ifna(textjoin(""; "",,filter('On Hand'!E:E,'On Hand'!A:A=A642)),ifna(xlookup(A642,'On Hand'!A:A,'On Hand'!E:E,),)))"),"")</f>
        <v/>
      </c>
    </row>
    <row r="643">
      <c r="A643" s="3" t="str">
        <f t="array" ref="A643">ifna(_xlfn.xlookup(B643,'All Item Code'!B:B,'All Item Code'!A:A,),)</f>
        <v/>
      </c>
      <c r="B643" s="3"/>
      <c r="C643" s="3" t="str">
        <f t="array" ref="C643">if(B643="Tidak Ada",,if(isblank(B643),,ifna(sumif('On Hand'!A:A,A643,'On Hand'!D:D)&amp;" "&amp;_xlfn.xlookup(A643,'All Item Code'!A:A,'All Item Code'!D:D,),0)))</f>
        <v/>
      </c>
      <c r="D643" s="3" t="str">
        <f>IFERROR(__xludf.DUMMYFUNCTION("if(isblank(B643),,ifna(textjoin(""; "",,filter('On Hand'!E:E,'On Hand'!A:A=A643)),ifna(xlookup(A643,'On Hand'!A:A,'On Hand'!E:E,),)))"),"")</f>
        <v/>
      </c>
    </row>
    <row r="644">
      <c r="A644" s="3" t="str">
        <f t="array" ref="A644">ifna(_xlfn.xlookup(B644,'All Item Code'!B:B,'All Item Code'!A:A,),)</f>
        <v/>
      </c>
      <c r="B644" s="3"/>
      <c r="C644" s="3" t="str">
        <f t="array" ref="C644">if(B644="Tidak Ada",,if(isblank(B644),,ifna(sumif('On Hand'!A:A,A644,'On Hand'!D:D)&amp;" "&amp;_xlfn.xlookup(A644,'All Item Code'!A:A,'All Item Code'!D:D,),0)))</f>
        <v/>
      </c>
      <c r="D644" s="3" t="str">
        <f>IFERROR(__xludf.DUMMYFUNCTION("if(isblank(B644),,ifna(textjoin(""; "",,filter('On Hand'!E:E,'On Hand'!A:A=A644)),ifna(xlookup(A644,'On Hand'!A:A,'On Hand'!E:E,),)))"),"")</f>
        <v/>
      </c>
    </row>
    <row r="645">
      <c r="A645" s="3" t="str">
        <f t="array" ref="A645">ifna(_xlfn.xlookup(B645,'All Item Code'!B:B,'All Item Code'!A:A,),)</f>
        <v/>
      </c>
      <c r="B645" s="3"/>
      <c r="C645" s="3" t="str">
        <f t="array" ref="C645">if(B645="Tidak Ada",,if(isblank(B645),,ifna(sumif('On Hand'!A:A,A645,'On Hand'!D:D)&amp;" "&amp;_xlfn.xlookup(A645,'All Item Code'!A:A,'All Item Code'!D:D,),0)))</f>
        <v/>
      </c>
      <c r="D645" s="3" t="str">
        <f>IFERROR(__xludf.DUMMYFUNCTION("if(isblank(B645),,ifna(textjoin(""; "",,filter('On Hand'!E:E,'On Hand'!A:A=A645)),ifna(xlookup(A645,'On Hand'!A:A,'On Hand'!E:E,),)))"),"")</f>
        <v/>
      </c>
    </row>
    <row r="646">
      <c r="A646" s="3" t="str">
        <f t="array" ref="A646">ifna(_xlfn.xlookup(B646,'All Item Code'!B:B,'All Item Code'!A:A,),)</f>
        <v/>
      </c>
      <c r="B646" s="3"/>
      <c r="C646" s="3" t="str">
        <f t="array" ref="C646">if(B646="Tidak Ada",,if(isblank(B646),,ifna(sumif('On Hand'!A:A,A646,'On Hand'!D:D)&amp;" "&amp;_xlfn.xlookup(A646,'All Item Code'!A:A,'All Item Code'!D:D,),0)))</f>
        <v/>
      </c>
      <c r="D646" s="3" t="str">
        <f>IFERROR(__xludf.DUMMYFUNCTION("if(isblank(B646),,ifna(textjoin(""; "",,filter('On Hand'!E:E,'On Hand'!A:A=A646)),ifna(xlookup(A646,'On Hand'!A:A,'On Hand'!E:E,),)))"),"")</f>
        <v/>
      </c>
    </row>
    <row r="647">
      <c r="A647" s="3" t="str">
        <f t="array" ref="A647">ifna(_xlfn.xlookup(B647,'All Item Code'!B:B,'All Item Code'!A:A,),)</f>
        <v/>
      </c>
      <c r="B647" s="3"/>
      <c r="C647" s="3" t="str">
        <f t="array" ref="C647">if(B647="Tidak Ada",,if(isblank(B647),,ifna(sumif('On Hand'!A:A,A647,'On Hand'!D:D)&amp;" "&amp;_xlfn.xlookup(A647,'All Item Code'!A:A,'All Item Code'!D:D,),0)))</f>
        <v/>
      </c>
      <c r="D647" s="3" t="str">
        <f>IFERROR(__xludf.DUMMYFUNCTION("if(isblank(B647),,ifna(textjoin(""; "",,filter('On Hand'!E:E,'On Hand'!A:A=A647)),ifna(xlookup(A647,'On Hand'!A:A,'On Hand'!E:E,),)))"),"")</f>
        <v/>
      </c>
    </row>
    <row r="648">
      <c r="A648" s="3" t="str">
        <f t="array" ref="A648">ifna(_xlfn.xlookup(B648,'All Item Code'!B:B,'All Item Code'!A:A,),)</f>
        <v/>
      </c>
      <c r="B648" s="3"/>
      <c r="C648" s="3" t="str">
        <f t="array" ref="C648">if(B648="Tidak Ada",,if(isblank(B648),,ifna(sumif('On Hand'!A:A,A648,'On Hand'!D:D)&amp;" "&amp;_xlfn.xlookup(A648,'All Item Code'!A:A,'All Item Code'!D:D,),0)))</f>
        <v/>
      </c>
      <c r="D648" s="3" t="str">
        <f>IFERROR(__xludf.DUMMYFUNCTION("if(isblank(B648),,ifna(textjoin(""; "",,filter('On Hand'!E:E,'On Hand'!A:A=A648)),ifna(xlookup(A648,'On Hand'!A:A,'On Hand'!E:E,),)))"),"")</f>
        <v/>
      </c>
    </row>
    <row r="649">
      <c r="A649" s="3" t="str">
        <f t="array" ref="A649">ifna(_xlfn.xlookup(B649,'All Item Code'!B:B,'All Item Code'!A:A,),)</f>
        <v/>
      </c>
      <c r="B649" s="3"/>
      <c r="C649" s="3" t="str">
        <f t="array" ref="C649">if(B649="Tidak Ada",,if(isblank(B649),,ifna(sumif('On Hand'!A:A,A649,'On Hand'!D:D)&amp;" "&amp;_xlfn.xlookup(A649,'All Item Code'!A:A,'All Item Code'!D:D,),0)))</f>
        <v/>
      </c>
      <c r="D649" s="3" t="str">
        <f>IFERROR(__xludf.DUMMYFUNCTION("if(isblank(B649),,ifna(textjoin(""; "",,filter('On Hand'!E:E,'On Hand'!A:A=A649)),ifna(xlookup(A649,'On Hand'!A:A,'On Hand'!E:E,),)))"),"")</f>
        <v/>
      </c>
    </row>
    <row r="650">
      <c r="A650" s="3" t="str">
        <f t="array" ref="A650">ifna(_xlfn.xlookup(B650,'All Item Code'!B:B,'All Item Code'!A:A,),)</f>
        <v/>
      </c>
      <c r="B650" s="3"/>
      <c r="C650" s="3" t="str">
        <f t="array" ref="C650">if(B650="Tidak Ada",,if(isblank(B650),,ifna(sumif('On Hand'!A:A,A650,'On Hand'!D:D)&amp;" "&amp;_xlfn.xlookup(A650,'All Item Code'!A:A,'All Item Code'!D:D,),0)))</f>
        <v/>
      </c>
      <c r="D650" s="3" t="str">
        <f>IFERROR(__xludf.DUMMYFUNCTION("if(isblank(B650),,ifna(textjoin(""; "",,filter('On Hand'!E:E,'On Hand'!A:A=A650)),ifna(xlookup(A650,'On Hand'!A:A,'On Hand'!E:E,),)))"),"")</f>
        <v/>
      </c>
    </row>
    <row r="651">
      <c r="A651" s="3" t="str">
        <f t="array" ref="A651">ifna(_xlfn.xlookup(B651,'All Item Code'!B:B,'All Item Code'!A:A,),)</f>
        <v/>
      </c>
      <c r="B651" s="3"/>
      <c r="C651" s="3" t="str">
        <f t="array" ref="C651">if(B651="Tidak Ada",,if(isblank(B651),,ifna(sumif('On Hand'!A:A,A651,'On Hand'!D:D)&amp;" "&amp;_xlfn.xlookup(A651,'All Item Code'!A:A,'All Item Code'!D:D,),0)))</f>
        <v/>
      </c>
      <c r="D651" s="3" t="str">
        <f>IFERROR(__xludf.DUMMYFUNCTION("if(isblank(B651),,ifna(textjoin(""; "",,filter('On Hand'!E:E,'On Hand'!A:A=A651)),ifna(xlookup(A651,'On Hand'!A:A,'On Hand'!E:E,),)))"),"")</f>
        <v/>
      </c>
    </row>
    <row r="652">
      <c r="A652" s="3" t="str">
        <f t="array" ref="A652">ifna(_xlfn.xlookup(B652,'All Item Code'!B:B,'All Item Code'!A:A,),)</f>
        <v/>
      </c>
      <c r="B652" s="3"/>
      <c r="C652" s="3" t="str">
        <f t="array" ref="C652">if(B652="Tidak Ada",,if(isblank(B652),,ifna(sumif('On Hand'!A:A,A652,'On Hand'!D:D)&amp;" "&amp;_xlfn.xlookup(A652,'All Item Code'!A:A,'All Item Code'!D:D,),0)))</f>
        <v/>
      </c>
      <c r="D652" s="3" t="str">
        <f>IFERROR(__xludf.DUMMYFUNCTION("if(isblank(B652),,ifna(textjoin(""; "",,filter('On Hand'!E:E,'On Hand'!A:A=A652)),ifna(xlookup(A652,'On Hand'!A:A,'On Hand'!E:E,),)))"),"")</f>
        <v/>
      </c>
    </row>
    <row r="653">
      <c r="A653" s="3" t="str">
        <f t="array" ref="A653">ifna(_xlfn.xlookup(B653,'All Item Code'!B:B,'All Item Code'!A:A,),)</f>
        <v/>
      </c>
      <c r="B653" s="3"/>
      <c r="C653" s="3" t="str">
        <f t="array" ref="C653">if(B653="Tidak Ada",,if(isblank(B653),,ifna(sumif('On Hand'!A:A,A653,'On Hand'!D:D)&amp;" "&amp;_xlfn.xlookup(A653,'All Item Code'!A:A,'All Item Code'!D:D,),0)))</f>
        <v/>
      </c>
      <c r="D653" s="3" t="str">
        <f>IFERROR(__xludf.DUMMYFUNCTION("if(isblank(B653),,ifna(textjoin(""; "",,filter('On Hand'!E:E,'On Hand'!A:A=A653)),ifna(xlookup(A653,'On Hand'!A:A,'On Hand'!E:E,),)))"),"")</f>
        <v/>
      </c>
    </row>
    <row r="654">
      <c r="A654" s="3" t="str">
        <f t="array" ref="A654">ifna(_xlfn.xlookup(B654,'All Item Code'!B:B,'All Item Code'!A:A,),)</f>
        <v/>
      </c>
      <c r="B654" s="3"/>
      <c r="C654" s="3" t="str">
        <f t="array" ref="C654">if(B654="Tidak Ada",,if(isblank(B654),,ifna(sumif('On Hand'!A:A,A654,'On Hand'!D:D)&amp;" "&amp;_xlfn.xlookup(A654,'All Item Code'!A:A,'All Item Code'!D:D,),0)))</f>
        <v/>
      </c>
      <c r="D654" s="3" t="str">
        <f>IFERROR(__xludf.DUMMYFUNCTION("if(isblank(B654),,ifna(textjoin(""; "",,filter('On Hand'!E:E,'On Hand'!A:A=A654)),ifna(xlookup(A654,'On Hand'!A:A,'On Hand'!E:E,),)))"),"")</f>
        <v/>
      </c>
    </row>
    <row r="655">
      <c r="A655" s="3" t="str">
        <f t="array" ref="A655">ifna(_xlfn.xlookup(B655,'All Item Code'!B:B,'All Item Code'!A:A,),)</f>
        <v/>
      </c>
      <c r="B655" s="3"/>
      <c r="C655" s="3" t="str">
        <f t="array" ref="C655">if(B655="Tidak Ada",,if(isblank(B655),,ifna(sumif('On Hand'!A:A,A655,'On Hand'!D:D)&amp;" "&amp;_xlfn.xlookup(A655,'All Item Code'!A:A,'All Item Code'!D:D,),0)))</f>
        <v/>
      </c>
      <c r="D655" s="3" t="str">
        <f>IFERROR(__xludf.DUMMYFUNCTION("if(isblank(B655),,ifna(textjoin(""; "",,filter('On Hand'!E:E,'On Hand'!A:A=A655)),ifna(xlookup(A655,'On Hand'!A:A,'On Hand'!E:E,),)))"),"")</f>
        <v/>
      </c>
    </row>
    <row r="656">
      <c r="A656" s="3" t="str">
        <f t="array" ref="A656">ifna(_xlfn.xlookup(B656,'All Item Code'!B:B,'All Item Code'!A:A,),)</f>
        <v/>
      </c>
      <c r="B656" s="3"/>
      <c r="C656" s="3" t="str">
        <f t="array" ref="C656">if(B656="Tidak Ada",,if(isblank(B656),,ifna(sumif('On Hand'!A:A,A656,'On Hand'!D:D)&amp;" "&amp;_xlfn.xlookup(A656,'All Item Code'!A:A,'All Item Code'!D:D,),0)))</f>
        <v/>
      </c>
      <c r="D656" s="3" t="str">
        <f>IFERROR(__xludf.DUMMYFUNCTION("if(isblank(B656),,ifna(textjoin(""; "",,filter('On Hand'!E:E,'On Hand'!A:A=A656)),ifna(xlookup(A656,'On Hand'!A:A,'On Hand'!E:E,),)))"),"")</f>
        <v/>
      </c>
    </row>
    <row r="657">
      <c r="A657" s="3" t="str">
        <f t="array" ref="A657">ifna(_xlfn.xlookup(B657,'All Item Code'!B:B,'All Item Code'!A:A,),)</f>
        <v/>
      </c>
      <c r="B657" s="3"/>
      <c r="C657" s="3" t="str">
        <f t="array" ref="C657">if(B657="Tidak Ada",,if(isblank(B657),,ifna(sumif('On Hand'!A:A,A657,'On Hand'!D:D)&amp;" "&amp;_xlfn.xlookup(A657,'All Item Code'!A:A,'All Item Code'!D:D,),0)))</f>
        <v/>
      </c>
      <c r="D657" s="3" t="str">
        <f>IFERROR(__xludf.DUMMYFUNCTION("if(isblank(B657),,ifna(textjoin(""; "",,filter('On Hand'!E:E,'On Hand'!A:A=A657)),ifna(xlookup(A657,'On Hand'!A:A,'On Hand'!E:E,),)))"),"")</f>
        <v/>
      </c>
    </row>
    <row r="658">
      <c r="A658" s="3" t="str">
        <f t="array" ref="A658">ifna(_xlfn.xlookup(B658,'All Item Code'!B:B,'All Item Code'!A:A,),)</f>
        <v/>
      </c>
      <c r="B658" s="3"/>
      <c r="C658" s="3" t="str">
        <f t="array" ref="C658">if(B658="Tidak Ada",,if(isblank(B658),,ifna(sumif('On Hand'!A:A,A658,'On Hand'!D:D)&amp;" "&amp;_xlfn.xlookup(A658,'All Item Code'!A:A,'All Item Code'!D:D,),0)))</f>
        <v/>
      </c>
      <c r="D658" s="3" t="str">
        <f>IFERROR(__xludf.DUMMYFUNCTION("if(isblank(B658),,ifna(textjoin(""; "",,filter('On Hand'!E:E,'On Hand'!A:A=A658)),ifna(xlookup(A658,'On Hand'!A:A,'On Hand'!E:E,),)))"),"")</f>
        <v/>
      </c>
    </row>
    <row r="659">
      <c r="A659" s="3" t="str">
        <f t="array" ref="A659">ifna(_xlfn.xlookup(B659,'All Item Code'!B:B,'All Item Code'!A:A,),)</f>
        <v/>
      </c>
      <c r="B659" s="3"/>
      <c r="C659" s="3" t="str">
        <f t="array" ref="C659">if(B659="Tidak Ada",,if(isblank(B659),,ifna(sumif('On Hand'!A:A,A659,'On Hand'!D:D)&amp;" "&amp;_xlfn.xlookup(A659,'All Item Code'!A:A,'All Item Code'!D:D,),0)))</f>
        <v/>
      </c>
      <c r="D659" s="3" t="str">
        <f>IFERROR(__xludf.DUMMYFUNCTION("if(isblank(B659),,ifna(textjoin(""; "",,filter('On Hand'!E:E,'On Hand'!A:A=A659)),ifna(xlookup(A659,'On Hand'!A:A,'On Hand'!E:E,),)))"),"")</f>
        <v/>
      </c>
    </row>
    <row r="660">
      <c r="A660" s="3" t="str">
        <f t="array" ref="A660">ifna(_xlfn.xlookup(B660,'All Item Code'!B:B,'All Item Code'!A:A,),)</f>
        <v/>
      </c>
      <c r="B660" s="3"/>
      <c r="C660" s="3" t="str">
        <f t="array" ref="C660">if(B660="Tidak Ada",,if(isblank(B660),,ifna(sumif('On Hand'!A:A,A660,'On Hand'!D:D)&amp;" "&amp;_xlfn.xlookup(A660,'All Item Code'!A:A,'All Item Code'!D:D,),0)))</f>
        <v/>
      </c>
      <c r="D660" s="3" t="str">
        <f>IFERROR(__xludf.DUMMYFUNCTION("if(isblank(B660),,ifna(textjoin(""; "",,filter('On Hand'!E:E,'On Hand'!A:A=A660)),ifna(xlookup(A660,'On Hand'!A:A,'On Hand'!E:E,),)))"),"")</f>
        <v/>
      </c>
    </row>
    <row r="661">
      <c r="A661" s="3" t="str">
        <f t="array" ref="A661">ifna(_xlfn.xlookup(B661,'All Item Code'!B:B,'All Item Code'!A:A,),)</f>
        <v/>
      </c>
      <c r="B661" s="3"/>
      <c r="C661" s="3" t="str">
        <f t="array" ref="C661">if(B661="Tidak Ada",,if(isblank(B661),,ifna(sumif('On Hand'!A:A,A661,'On Hand'!D:D)&amp;" "&amp;_xlfn.xlookup(A661,'All Item Code'!A:A,'All Item Code'!D:D,),0)))</f>
        <v/>
      </c>
      <c r="D661" s="3" t="str">
        <f>IFERROR(__xludf.DUMMYFUNCTION("if(isblank(B661),,ifna(textjoin(""; "",,filter('On Hand'!E:E,'On Hand'!A:A=A661)),ifna(xlookup(A661,'On Hand'!A:A,'On Hand'!E:E,),)))"),"")</f>
        <v/>
      </c>
    </row>
    <row r="662">
      <c r="A662" s="3" t="str">
        <f t="array" ref="A662">ifna(_xlfn.xlookup(B662,'All Item Code'!B:B,'All Item Code'!A:A,),)</f>
        <v/>
      </c>
      <c r="B662" s="3"/>
      <c r="C662" s="3" t="str">
        <f t="array" ref="C662">if(B662="Tidak Ada",,if(isblank(B662),,ifna(sumif('On Hand'!A:A,A662,'On Hand'!D:D)&amp;" "&amp;_xlfn.xlookup(A662,'All Item Code'!A:A,'All Item Code'!D:D,),0)))</f>
        <v/>
      </c>
      <c r="D662" s="3" t="str">
        <f>IFERROR(__xludf.DUMMYFUNCTION("if(isblank(B662),,ifna(textjoin(""; "",,filter('On Hand'!E:E,'On Hand'!A:A=A662)),ifna(xlookup(A662,'On Hand'!A:A,'On Hand'!E:E,),)))"),"")</f>
        <v/>
      </c>
    </row>
    <row r="663">
      <c r="A663" s="3" t="str">
        <f t="array" ref="A663">ifna(_xlfn.xlookup(B663,'All Item Code'!B:B,'All Item Code'!A:A,),)</f>
        <v/>
      </c>
      <c r="B663" s="3"/>
      <c r="C663" s="3" t="str">
        <f t="array" ref="C663">if(B663="Tidak Ada",,if(isblank(B663),,ifna(sumif('On Hand'!A:A,A663,'On Hand'!D:D)&amp;" "&amp;_xlfn.xlookup(A663,'All Item Code'!A:A,'All Item Code'!D:D,),0)))</f>
        <v/>
      </c>
      <c r="D663" s="3" t="str">
        <f>IFERROR(__xludf.DUMMYFUNCTION("if(isblank(B663),,ifna(textjoin(""; "",,filter('On Hand'!E:E,'On Hand'!A:A=A663)),ifna(xlookup(A663,'On Hand'!A:A,'On Hand'!E:E,),)))"),"")</f>
        <v/>
      </c>
    </row>
    <row r="664">
      <c r="A664" s="3" t="str">
        <f t="array" ref="A664">ifna(_xlfn.xlookup(B664,'All Item Code'!B:B,'All Item Code'!A:A,),)</f>
        <v/>
      </c>
      <c r="B664" s="3"/>
      <c r="C664" s="3" t="str">
        <f t="array" ref="C664">if(B664="Tidak Ada",,if(isblank(B664),,ifna(sumif('On Hand'!A:A,A664,'On Hand'!D:D)&amp;" "&amp;_xlfn.xlookup(A664,'All Item Code'!A:A,'All Item Code'!D:D,),0)))</f>
        <v/>
      </c>
      <c r="D664" s="3" t="str">
        <f>IFERROR(__xludf.DUMMYFUNCTION("if(isblank(B664),,ifna(textjoin(""; "",,filter('On Hand'!E:E,'On Hand'!A:A=A664)),ifna(xlookup(A664,'On Hand'!A:A,'On Hand'!E:E,),)))"),"")</f>
        <v/>
      </c>
    </row>
    <row r="665">
      <c r="A665" s="3" t="str">
        <f t="array" ref="A665">ifna(_xlfn.xlookup(B665,'All Item Code'!B:B,'All Item Code'!A:A,),)</f>
        <v/>
      </c>
      <c r="B665" s="3"/>
      <c r="C665" s="3" t="str">
        <f t="array" ref="C665">if(B665="Tidak Ada",,if(isblank(B665),,ifna(sumif('On Hand'!A:A,A665,'On Hand'!D:D)&amp;" "&amp;_xlfn.xlookup(A665,'All Item Code'!A:A,'All Item Code'!D:D,),0)))</f>
        <v/>
      </c>
      <c r="D665" s="3" t="str">
        <f>IFERROR(__xludf.DUMMYFUNCTION("if(isblank(B665),,ifna(textjoin(""; "",,filter('On Hand'!E:E,'On Hand'!A:A=A665)),ifna(xlookup(A665,'On Hand'!A:A,'On Hand'!E:E,),)))"),"")</f>
        <v/>
      </c>
    </row>
    <row r="666">
      <c r="A666" s="3" t="str">
        <f t="array" ref="A666">ifna(_xlfn.xlookup(B666,'All Item Code'!B:B,'All Item Code'!A:A,),)</f>
        <v/>
      </c>
      <c r="B666" s="3"/>
      <c r="C666" s="3" t="str">
        <f t="array" ref="C666">if(B666="Tidak Ada",,if(isblank(B666),,ifna(sumif('On Hand'!A:A,A666,'On Hand'!D:D)&amp;" "&amp;_xlfn.xlookup(A666,'All Item Code'!A:A,'All Item Code'!D:D,),0)))</f>
        <v/>
      </c>
      <c r="D666" s="3" t="str">
        <f>IFERROR(__xludf.DUMMYFUNCTION("if(isblank(B666),,ifna(textjoin(""; "",,filter('On Hand'!E:E,'On Hand'!A:A=A666)),ifna(xlookup(A666,'On Hand'!A:A,'On Hand'!E:E,),)))"),"")</f>
        <v/>
      </c>
    </row>
    <row r="667">
      <c r="A667" s="3" t="str">
        <f t="array" ref="A667">ifna(_xlfn.xlookup(B667,'All Item Code'!B:B,'All Item Code'!A:A,),)</f>
        <v/>
      </c>
      <c r="B667" s="3"/>
      <c r="C667" s="3" t="str">
        <f t="array" ref="C667">if(B667="Tidak Ada",,if(isblank(B667),,ifna(sumif('On Hand'!A:A,A667,'On Hand'!D:D)&amp;" "&amp;_xlfn.xlookup(A667,'All Item Code'!A:A,'All Item Code'!D:D,),0)))</f>
        <v/>
      </c>
      <c r="D667" s="3" t="str">
        <f>IFERROR(__xludf.DUMMYFUNCTION("if(isblank(B667),,ifna(textjoin(""; "",,filter('On Hand'!E:E,'On Hand'!A:A=A667)),ifna(xlookup(A667,'On Hand'!A:A,'On Hand'!E:E,),)))"),"")</f>
        <v/>
      </c>
    </row>
    <row r="668">
      <c r="A668" s="3" t="str">
        <f t="array" ref="A668">ifna(_xlfn.xlookup(B668,'All Item Code'!B:B,'All Item Code'!A:A,),)</f>
        <v/>
      </c>
      <c r="B668" s="3"/>
      <c r="C668" s="3" t="str">
        <f t="array" ref="C668">if(B668="Tidak Ada",,if(isblank(B668),,ifna(sumif('On Hand'!A:A,A668,'On Hand'!D:D)&amp;" "&amp;_xlfn.xlookup(A668,'All Item Code'!A:A,'All Item Code'!D:D,),0)))</f>
        <v/>
      </c>
      <c r="D668" s="3" t="str">
        <f>IFERROR(__xludf.DUMMYFUNCTION("if(isblank(B668),,ifna(textjoin(""; "",,filter('On Hand'!E:E,'On Hand'!A:A=A668)),ifna(xlookup(A668,'On Hand'!A:A,'On Hand'!E:E,),)))"),"")</f>
        <v/>
      </c>
    </row>
    <row r="669">
      <c r="A669" s="3" t="str">
        <f t="array" ref="A669">ifna(_xlfn.xlookup(B669,'All Item Code'!B:B,'All Item Code'!A:A,),)</f>
        <v/>
      </c>
      <c r="B669" s="3"/>
      <c r="C669" s="3" t="str">
        <f t="array" ref="C669">if(B669="Tidak Ada",,if(isblank(B669),,ifna(sumif('On Hand'!A:A,A669,'On Hand'!D:D)&amp;" "&amp;_xlfn.xlookup(A669,'All Item Code'!A:A,'All Item Code'!D:D,),0)))</f>
        <v/>
      </c>
      <c r="D669" s="3" t="str">
        <f>IFERROR(__xludf.DUMMYFUNCTION("if(isblank(B669),,ifna(textjoin(""; "",,filter('On Hand'!E:E,'On Hand'!A:A=A669)),ifna(xlookup(A669,'On Hand'!A:A,'On Hand'!E:E,),)))"),"")</f>
        <v/>
      </c>
    </row>
    <row r="670">
      <c r="A670" s="3" t="str">
        <f t="array" ref="A670">ifna(_xlfn.xlookup(B670,'All Item Code'!B:B,'All Item Code'!A:A,),)</f>
        <v/>
      </c>
      <c r="B670" s="3"/>
      <c r="C670" s="3" t="str">
        <f t="array" ref="C670">if(B670="Tidak Ada",,if(isblank(B670),,ifna(sumif('On Hand'!A:A,A670,'On Hand'!D:D)&amp;" "&amp;_xlfn.xlookup(A670,'All Item Code'!A:A,'All Item Code'!D:D,),0)))</f>
        <v/>
      </c>
      <c r="D670" s="3" t="str">
        <f>IFERROR(__xludf.DUMMYFUNCTION("if(isblank(B670),,ifna(textjoin(""; "",,filter('On Hand'!E:E,'On Hand'!A:A=A670)),ifna(xlookup(A670,'On Hand'!A:A,'On Hand'!E:E,),)))"),"")</f>
        <v/>
      </c>
    </row>
    <row r="671">
      <c r="A671" s="3" t="str">
        <f t="array" ref="A671">ifna(_xlfn.xlookup(B671,'All Item Code'!B:B,'All Item Code'!A:A,),)</f>
        <v/>
      </c>
      <c r="B671" s="3"/>
      <c r="C671" s="3" t="str">
        <f t="array" ref="C671">if(B671="Tidak Ada",,if(isblank(B671),,ifna(sumif('On Hand'!A:A,A671,'On Hand'!D:D)&amp;" "&amp;_xlfn.xlookup(A671,'All Item Code'!A:A,'All Item Code'!D:D,),0)))</f>
        <v/>
      </c>
      <c r="D671" s="3" t="str">
        <f>IFERROR(__xludf.DUMMYFUNCTION("if(isblank(B671),,ifna(textjoin(""; "",,filter('On Hand'!E:E,'On Hand'!A:A=A671)),ifna(xlookup(A671,'On Hand'!A:A,'On Hand'!E:E,),)))"),"")</f>
        <v/>
      </c>
    </row>
    <row r="672">
      <c r="A672" s="3" t="str">
        <f t="array" ref="A672">ifna(_xlfn.xlookup(B672,'All Item Code'!B:B,'All Item Code'!A:A,),)</f>
        <v/>
      </c>
      <c r="B672" s="3"/>
      <c r="C672" s="3" t="str">
        <f t="array" ref="C672">if(B672="Tidak Ada",,if(isblank(B672),,ifna(sumif('On Hand'!A:A,A672,'On Hand'!D:D)&amp;" "&amp;_xlfn.xlookup(A672,'All Item Code'!A:A,'All Item Code'!D:D,),0)))</f>
        <v/>
      </c>
      <c r="D672" s="3" t="str">
        <f>IFERROR(__xludf.DUMMYFUNCTION("if(isblank(B672),,ifna(textjoin(""; "",,filter('On Hand'!E:E,'On Hand'!A:A=A672)),ifna(xlookup(A672,'On Hand'!A:A,'On Hand'!E:E,),)))"),"")</f>
        <v/>
      </c>
    </row>
    <row r="673">
      <c r="A673" s="3" t="str">
        <f t="array" ref="A673">ifna(_xlfn.xlookup(B673,'All Item Code'!B:B,'All Item Code'!A:A,),)</f>
        <v/>
      </c>
      <c r="B673" s="3"/>
      <c r="C673" s="3" t="str">
        <f t="array" ref="C673">if(B673="Tidak Ada",,if(isblank(B673),,ifna(sumif('On Hand'!A:A,A673,'On Hand'!D:D)&amp;" "&amp;_xlfn.xlookup(A673,'All Item Code'!A:A,'All Item Code'!D:D,),0)))</f>
        <v/>
      </c>
      <c r="D673" s="3" t="str">
        <f>IFERROR(__xludf.DUMMYFUNCTION("if(isblank(B673),,ifna(textjoin(""; "",,filter('On Hand'!E:E,'On Hand'!A:A=A673)),ifna(xlookup(A673,'On Hand'!A:A,'On Hand'!E:E,),)))"),"")</f>
        <v/>
      </c>
    </row>
    <row r="674">
      <c r="A674" s="3" t="str">
        <f t="array" ref="A674">ifna(_xlfn.xlookup(B674,'All Item Code'!B:B,'All Item Code'!A:A,),)</f>
        <v/>
      </c>
      <c r="B674" s="3"/>
      <c r="C674" s="3" t="str">
        <f t="array" ref="C674">if(B674="Tidak Ada",,if(isblank(B674),,ifna(sumif('On Hand'!A:A,A674,'On Hand'!D:D)&amp;" "&amp;_xlfn.xlookup(A674,'All Item Code'!A:A,'All Item Code'!D:D,),0)))</f>
        <v/>
      </c>
      <c r="D674" s="3" t="str">
        <f>IFERROR(__xludf.DUMMYFUNCTION("if(isblank(B674),,ifna(textjoin(""; "",,filter('On Hand'!E:E,'On Hand'!A:A=A674)),ifna(xlookup(A674,'On Hand'!A:A,'On Hand'!E:E,),)))"),"")</f>
        <v/>
      </c>
    </row>
    <row r="675">
      <c r="A675" s="3" t="str">
        <f t="array" ref="A675">ifna(_xlfn.xlookup(B675,'All Item Code'!B:B,'All Item Code'!A:A,),)</f>
        <v/>
      </c>
      <c r="B675" s="3"/>
      <c r="C675" s="3" t="str">
        <f t="array" ref="C675">if(B675="Tidak Ada",,if(isblank(B675),,ifna(sumif('On Hand'!A:A,A675,'On Hand'!D:D)&amp;" "&amp;_xlfn.xlookup(A675,'All Item Code'!A:A,'All Item Code'!D:D,),0)))</f>
        <v/>
      </c>
      <c r="D675" s="3" t="str">
        <f>IFERROR(__xludf.DUMMYFUNCTION("if(isblank(B675),,ifna(textjoin(""; "",,filter('On Hand'!E:E,'On Hand'!A:A=A675)),ifna(xlookup(A675,'On Hand'!A:A,'On Hand'!E:E,),)))"),"")</f>
        <v/>
      </c>
    </row>
    <row r="676">
      <c r="A676" s="3" t="str">
        <f t="array" ref="A676">ifna(_xlfn.xlookup(B676,'All Item Code'!B:B,'All Item Code'!A:A,),)</f>
        <v/>
      </c>
      <c r="B676" s="3"/>
      <c r="C676" s="3" t="str">
        <f t="array" ref="C676">if(B676="Tidak Ada",,if(isblank(B676),,ifna(sumif('On Hand'!A:A,A676,'On Hand'!D:D)&amp;" "&amp;_xlfn.xlookup(A676,'All Item Code'!A:A,'All Item Code'!D:D,),0)))</f>
        <v/>
      </c>
      <c r="D676" s="3" t="str">
        <f>IFERROR(__xludf.DUMMYFUNCTION("if(isblank(B676),,ifna(textjoin(""; "",,filter('On Hand'!E:E,'On Hand'!A:A=A676)),ifna(xlookup(A676,'On Hand'!A:A,'On Hand'!E:E,),)))"),"")</f>
        <v/>
      </c>
    </row>
    <row r="677">
      <c r="A677" s="3" t="str">
        <f t="array" ref="A677">ifna(_xlfn.xlookup(B677,'All Item Code'!B:B,'All Item Code'!A:A,),)</f>
        <v/>
      </c>
      <c r="B677" s="3"/>
      <c r="C677" s="3" t="str">
        <f t="array" ref="C677">if(B677="Tidak Ada",,if(isblank(B677),,ifna(sumif('On Hand'!A:A,A677,'On Hand'!D:D)&amp;" "&amp;_xlfn.xlookup(A677,'All Item Code'!A:A,'All Item Code'!D:D,),0)))</f>
        <v/>
      </c>
      <c r="D677" s="3" t="str">
        <f>IFERROR(__xludf.DUMMYFUNCTION("if(isblank(B677),,ifna(textjoin(""; "",,filter('On Hand'!E:E,'On Hand'!A:A=A677)),ifna(xlookup(A677,'On Hand'!A:A,'On Hand'!E:E,),)))"),"")</f>
        <v/>
      </c>
    </row>
    <row r="678">
      <c r="A678" s="3" t="str">
        <f t="array" ref="A678">ifna(_xlfn.xlookup(B678,'All Item Code'!B:B,'All Item Code'!A:A,),)</f>
        <v/>
      </c>
      <c r="B678" s="3"/>
      <c r="C678" s="3" t="str">
        <f t="array" ref="C678">if(B678="Tidak Ada",,if(isblank(B678),,ifna(sumif('On Hand'!A:A,A678,'On Hand'!D:D)&amp;" "&amp;_xlfn.xlookup(A678,'All Item Code'!A:A,'All Item Code'!D:D,),0)))</f>
        <v/>
      </c>
      <c r="D678" s="3" t="str">
        <f>IFERROR(__xludf.DUMMYFUNCTION("if(isblank(B678),,ifna(textjoin(""; "",,filter('On Hand'!E:E,'On Hand'!A:A=A678)),ifna(xlookup(A678,'On Hand'!A:A,'On Hand'!E:E,),)))"),"")</f>
        <v/>
      </c>
    </row>
    <row r="679">
      <c r="A679" s="3" t="str">
        <f t="array" ref="A679">ifna(_xlfn.xlookup(B679,'All Item Code'!B:B,'All Item Code'!A:A,),)</f>
        <v/>
      </c>
      <c r="B679" s="3"/>
      <c r="C679" s="3" t="str">
        <f t="array" ref="C679">if(B679="Tidak Ada",,if(isblank(B679),,ifna(sumif('On Hand'!A:A,A679,'On Hand'!D:D)&amp;" "&amp;_xlfn.xlookup(A679,'All Item Code'!A:A,'All Item Code'!D:D,),0)))</f>
        <v/>
      </c>
      <c r="D679" s="3" t="str">
        <f>IFERROR(__xludf.DUMMYFUNCTION("if(isblank(B679),,ifna(textjoin(""; "",,filter('On Hand'!E:E,'On Hand'!A:A=A679)),ifna(xlookup(A679,'On Hand'!A:A,'On Hand'!E:E,),)))"),"")</f>
        <v/>
      </c>
    </row>
    <row r="680">
      <c r="A680" s="3" t="str">
        <f t="array" ref="A680">ifna(_xlfn.xlookup(B680,'All Item Code'!B:B,'All Item Code'!A:A,),)</f>
        <v/>
      </c>
      <c r="B680" s="3"/>
      <c r="C680" s="3" t="str">
        <f t="array" ref="C680">if(B680="Tidak Ada",,if(isblank(B680),,ifna(sumif('On Hand'!A:A,A680,'On Hand'!D:D)&amp;" "&amp;_xlfn.xlookup(A680,'All Item Code'!A:A,'All Item Code'!D:D,),0)))</f>
        <v/>
      </c>
      <c r="D680" s="3" t="str">
        <f>IFERROR(__xludf.DUMMYFUNCTION("if(isblank(B680),,ifna(textjoin(""; "",,filter('On Hand'!E:E,'On Hand'!A:A=A680)),ifna(xlookup(A680,'On Hand'!A:A,'On Hand'!E:E,),)))"),"")</f>
        <v/>
      </c>
    </row>
    <row r="681">
      <c r="A681" s="3" t="str">
        <f t="array" ref="A681">ifna(_xlfn.xlookup(B681,'All Item Code'!B:B,'All Item Code'!A:A,),)</f>
        <v/>
      </c>
      <c r="B681" s="3"/>
      <c r="C681" s="3" t="str">
        <f t="array" ref="C681">if(B681="Tidak Ada",,if(isblank(B681),,ifna(sumif('On Hand'!A:A,A681,'On Hand'!D:D)&amp;" "&amp;_xlfn.xlookup(A681,'All Item Code'!A:A,'All Item Code'!D:D,),0)))</f>
        <v/>
      </c>
      <c r="D681" s="3" t="str">
        <f>IFERROR(__xludf.DUMMYFUNCTION("if(isblank(B681),,ifna(textjoin(""; "",,filter('On Hand'!E:E,'On Hand'!A:A=A681)),ifna(xlookup(A681,'On Hand'!A:A,'On Hand'!E:E,),)))"),"")</f>
        <v/>
      </c>
    </row>
    <row r="682">
      <c r="A682" s="3" t="str">
        <f t="array" ref="A682">ifna(_xlfn.xlookup(B682,'All Item Code'!B:B,'All Item Code'!A:A,),)</f>
        <v/>
      </c>
      <c r="B682" s="3"/>
      <c r="C682" s="3" t="str">
        <f t="array" ref="C682">if(B682="Tidak Ada",,if(isblank(B682),,ifna(sumif('On Hand'!A:A,A682,'On Hand'!D:D)&amp;" "&amp;_xlfn.xlookup(A682,'All Item Code'!A:A,'All Item Code'!D:D,),0)))</f>
        <v/>
      </c>
      <c r="D682" s="3" t="str">
        <f>IFERROR(__xludf.DUMMYFUNCTION("if(isblank(B682),,ifna(textjoin(""; "",,filter('On Hand'!E:E,'On Hand'!A:A=A682)),ifna(xlookup(A682,'On Hand'!A:A,'On Hand'!E:E,),)))"),"")</f>
        <v/>
      </c>
    </row>
    <row r="683">
      <c r="A683" s="3" t="str">
        <f t="array" ref="A683">ifna(_xlfn.xlookup(B683,'All Item Code'!B:B,'All Item Code'!A:A,),)</f>
        <v/>
      </c>
      <c r="B683" s="3"/>
      <c r="C683" s="3" t="str">
        <f t="array" ref="C683">if(B683="Tidak Ada",,if(isblank(B683),,ifna(sumif('On Hand'!A:A,A683,'On Hand'!D:D)&amp;" "&amp;_xlfn.xlookup(A683,'All Item Code'!A:A,'All Item Code'!D:D,),0)))</f>
        <v/>
      </c>
      <c r="D683" s="3" t="str">
        <f>IFERROR(__xludf.DUMMYFUNCTION("if(isblank(B683),,ifna(textjoin(""; "",,filter('On Hand'!E:E,'On Hand'!A:A=A683)),ifna(xlookup(A683,'On Hand'!A:A,'On Hand'!E:E,),)))"),"")</f>
        <v/>
      </c>
    </row>
    <row r="684">
      <c r="A684" s="3" t="str">
        <f t="array" ref="A684">ifna(_xlfn.xlookup(B684,'All Item Code'!B:B,'All Item Code'!A:A,),)</f>
        <v/>
      </c>
      <c r="B684" s="3"/>
      <c r="C684" s="3" t="str">
        <f t="array" ref="C684">if(B684="Tidak Ada",,if(isblank(B684),,ifna(sumif('On Hand'!A:A,A684,'On Hand'!D:D)&amp;" "&amp;_xlfn.xlookup(A684,'All Item Code'!A:A,'All Item Code'!D:D,),0)))</f>
        <v/>
      </c>
      <c r="D684" s="3" t="str">
        <f>IFERROR(__xludf.DUMMYFUNCTION("if(isblank(B684),,ifna(textjoin(""; "",,filter('On Hand'!E:E,'On Hand'!A:A=A684)),ifna(xlookup(A684,'On Hand'!A:A,'On Hand'!E:E,),)))"),"")</f>
        <v/>
      </c>
    </row>
    <row r="685">
      <c r="A685" s="3" t="str">
        <f t="array" ref="A685">ifna(_xlfn.xlookup(B685,'All Item Code'!B:B,'All Item Code'!A:A,),)</f>
        <v/>
      </c>
      <c r="B685" s="3"/>
      <c r="C685" s="3" t="str">
        <f t="array" ref="C685">if(B685="Tidak Ada",,if(isblank(B685),,ifna(sumif('On Hand'!A:A,A685,'On Hand'!D:D)&amp;" "&amp;_xlfn.xlookup(A685,'All Item Code'!A:A,'All Item Code'!D:D,),0)))</f>
        <v/>
      </c>
      <c r="D685" s="3" t="str">
        <f>IFERROR(__xludf.DUMMYFUNCTION("if(isblank(B685),,ifna(textjoin(""; "",,filter('On Hand'!E:E,'On Hand'!A:A=A685)),ifna(xlookup(A685,'On Hand'!A:A,'On Hand'!E:E,),)))"),"")</f>
        <v/>
      </c>
    </row>
    <row r="686">
      <c r="A686" s="3" t="str">
        <f t="array" ref="A686">ifna(_xlfn.xlookup(B686,'All Item Code'!B:B,'All Item Code'!A:A,),)</f>
        <v/>
      </c>
      <c r="B686" s="3"/>
      <c r="C686" s="3" t="str">
        <f t="array" ref="C686">if(B686="Tidak Ada",,if(isblank(B686),,ifna(sumif('On Hand'!A:A,A686,'On Hand'!D:D)&amp;" "&amp;_xlfn.xlookup(A686,'All Item Code'!A:A,'All Item Code'!D:D,),0)))</f>
        <v/>
      </c>
      <c r="D686" s="3" t="str">
        <f>IFERROR(__xludf.DUMMYFUNCTION("if(isblank(B686),,ifna(textjoin(""; "",,filter('On Hand'!E:E,'On Hand'!A:A=A686)),ifna(xlookup(A686,'On Hand'!A:A,'On Hand'!E:E,),)))"),"")</f>
        <v/>
      </c>
    </row>
    <row r="687">
      <c r="A687" s="3" t="str">
        <f t="array" ref="A687">ifna(_xlfn.xlookup(B687,'All Item Code'!B:B,'All Item Code'!A:A,),)</f>
        <v/>
      </c>
      <c r="B687" s="3"/>
      <c r="C687" s="3" t="str">
        <f t="array" ref="C687">if(B687="Tidak Ada",,if(isblank(B687),,ifna(sumif('On Hand'!A:A,A687,'On Hand'!D:D)&amp;" "&amp;_xlfn.xlookup(A687,'All Item Code'!A:A,'All Item Code'!D:D,),0)))</f>
        <v/>
      </c>
      <c r="D687" s="3" t="str">
        <f>IFERROR(__xludf.DUMMYFUNCTION("if(isblank(B687),,ifna(textjoin(""; "",,filter('On Hand'!E:E,'On Hand'!A:A=A687)),ifna(xlookup(A687,'On Hand'!A:A,'On Hand'!E:E,),)))"),"")</f>
        <v/>
      </c>
    </row>
    <row r="688">
      <c r="A688" s="3" t="str">
        <f t="array" ref="A688">ifna(_xlfn.xlookup(B688,'All Item Code'!B:B,'All Item Code'!A:A,),)</f>
        <v/>
      </c>
      <c r="B688" s="3"/>
      <c r="C688" s="3" t="str">
        <f t="array" ref="C688">if(B688="Tidak Ada",,if(isblank(B688),,ifna(sumif('On Hand'!A:A,A688,'On Hand'!D:D)&amp;" "&amp;_xlfn.xlookup(A688,'All Item Code'!A:A,'All Item Code'!D:D,),0)))</f>
        <v/>
      </c>
      <c r="D688" s="3" t="str">
        <f>IFERROR(__xludf.DUMMYFUNCTION("if(isblank(B688),,ifna(textjoin(""; "",,filter('On Hand'!E:E,'On Hand'!A:A=A688)),ifna(xlookup(A688,'On Hand'!A:A,'On Hand'!E:E,),)))"),"")</f>
        <v/>
      </c>
    </row>
    <row r="689">
      <c r="A689" s="3" t="str">
        <f t="array" ref="A689">ifna(_xlfn.xlookup(B689,'All Item Code'!B:B,'All Item Code'!A:A,),)</f>
        <v/>
      </c>
      <c r="B689" s="3"/>
      <c r="C689" s="3" t="str">
        <f t="array" ref="C689">if(B689="Tidak Ada",,if(isblank(B689),,ifna(sumif('On Hand'!A:A,A689,'On Hand'!D:D)&amp;" "&amp;_xlfn.xlookup(A689,'All Item Code'!A:A,'All Item Code'!D:D,),0)))</f>
        <v/>
      </c>
      <c r="D689" s="3" t="str">
        <f>IFERROR(__xludf.DUMMYFUNCTION("if(isblank(B689),,ifna(textjoin(""; "",,filter('On Hand'!E:E,'On Hand'!A:A=A689)),ifna(xlookup(A689,'On Hand'!A:A,'On Hand'!E:E,),)))"),"")</f>
        <v/>
      </c>
    </row>
    <row r="690">
      <c r="A690" s="3" t="str">
        <f t="array" ref="A690">ifna(_xlfn.xlookup(B690,'All Item Code'!B:B,'All Item Code'!A:A,),)</f>
        <v/>
      </c>
      <c r="B690" s="3"/>
      <c r="C690" s="3" t="str">
        <f t="array" ref="C690">if(B690="Tidak Ada",,if(isblank(B690),,ifna(sumif('On Hand'!A:A,A690,'On Hand'!D:D)&amp;" "&amp;_xlfn.xlookup(A690,'All Item Code'!A:A,'All Item Code'!D:D,),0)))</f>
        <v/>
      </c>
      <c r="D690" s="3" t="str">
        <f>IFERROR(__xludf.DUMMYFUNCTION("if(isblank(B690),,ifna(textjoin(""; "",,filter('On Hand'!E:E,'On Hand'!A:A=A690)),ifna(xlookup(A690,'On Hand'!A:A,'On Hand'!E:E,),)))"),"")</f>
        <v/>
      </c>
    </row>
    <row r="691">
      <c r="A691" s="3" t="str">
        <f t="array" ref="A691">ifna(_xlfn.xlookup(B691,'All Item Code'!B:B,'All Item Code'!A:A,),)</f>
        <v/>
      </c>
      <c r="B691" s="3"/>
      <c r="C691" s="3" t="str">
        <f t="array" ref="C691">if(B691="Tidak Ada",,if(isblank(B691),,ifna(sumif('On Hand'!A:A,A691,'On Hand'!D:D)&amp;" "&amp;_xlfn.xlookup(A691,'All Item Code'!A:A,'All Item Code'!D:D,),0)))</f>
        <v/>
      </c>
      <c r="D691" s="3" t="str">
        <f>IFERROR(__xludf.DUMMYFUNCTION("if(isblank(B691),,ifna(textjoin(""; "",,filter('On Hand'!E:E,'On Hand'!A:A=A691)),ifna(xlookup(A691,'On Hand'!A:A,'On Hand'!E:E,),)))"),"")</f>
        <v/>
      </c>
    </row>
    <row r="692">
      <c r="A692" s="3" t="str">
        <f t="array" ref="A692">ifna(_xlfn.xlookup(B692,'All Item Code'!B:B,'All Item Code'!A:A,),)</f>
        <v/>
      </c>
      <c r="B692" s="3"/>
      <c r="C692" s="3" t="str">
        <f t="array" ref="C692">if(B692="Tidak Ada",,if(isblank(B692),,ifna(sumif('On Hand'!A:A,A692,'On Hand'!D:D)&amp;" "&amp;_xlfn.xlookup(A692,'All Item Code'!A:A,'All Item Code'!D:D,),0)))</f>
        <v/>
      </c>
      <c r="D692" s="3" t="str">
        <f>IFERROR(__xludf.DUMMYFUNCTION("if(isblank(B692),,ifna(textjoin(""; "",,filter('On Hand'!E:E,'On Hand'!A:A=A692)),ifna(xlookup(A692,'On Hand'!A:A,'On Hand'!E:E,),)))"),"")</f>
        <v/>
      </c>
    </row>
    <row r="693">
      <c r="A693" s="3" t="str">
        <f t="array" ref="A693">ifna(_xlfn.xlookup(B693,'All Item Code'!B:B,'All Item Code'!A:A,),)</f>
        <v/>
      </c>
      <c r="B693" s="3"/>
      <c r="C693" s="3" t="str">
        <f t="array" ref="C693">if(B693="Tidak Ada",,if(isblank(B693),,ifna(sumif('On Hand'!A:A,A693,'On Hand'!D:D)&amp;" "&amp;_xlfn.xlookup(A693,'All Item Code'!A:A,'All Item Code'!D:D,),0)))</f>
        <v/>
      </c>
      <c r="D693" s="3" t="str">
        <f>IFERROR(__xludf.DUMMYFUNCTION("if(isblank(B693),,ifna(textjoin(""; "",,filter('On Hand'!E:E,'On Hand'!A:A=A693)),ifna(xlookup(A693,'On Hand'!A:A,'On Hand'!E:E,),)))"),"")</f>
        <v/>
      </c>
    </row>
    <row r="694">
      <c r="A694" s="3" t="str">
        <f t="array" ref="A694">ifna(_xlfn.xlookup(B694,'All Item Code'!B:B,'All Item Code'!A:A,),)</f>
        <v/>
      </c>
      <c r="B694" s="3"/>
      <c r="C694" s="3" t="str">
        <f t="array" ref="C694">if(B694="Tidak Ada",,if(isblank(B694),,ifna(sumif('On Hand'!A:A,A694,'On Hand'!D:D)&amp;" "&amp;_xlfn.xlookup(A694,'All Item Code'!A:A,'All Item Code'!D:D,),0)))</f>
        <v/>
      </c>
      <c r="D694" s="3" t="str">
        <f>IFERROR(__xludf.DUMMYFUNCTION("if(isblank(B694),,ifna(textjoin(""; "",,filter('On Hand'!E:E,'On Hand'!A:A=A694)),ifna(xlookup(A694,'On Hand'!A:A,'On Hand'!E:E,),)))"),"")</f>
        <v/>
      </c>
    </row>
    <row r="695">
      <c r="A695" s="3" t="str">
        <f t="array" ref="A695">ifna(_xlfn.xlookup(B695,'All Item Code'!B:B,'All Item Code'!A:A,),)</f>
        <v/>
      </c>
      <c r="B695" s="3"/>
      <c r="C695" s="3" t="str">
        <f t="array" ref="C695">if(B695="Tidak Ada",,if(isblank(B695),,ifna(sumif('On Hand'!A:A,A695,'On Hand'!D:D)&amp;" "&amp;_xlfn.xlookup(A695,'All Item Code'!A:A,'All Item Code'!D:D,),0)))</f>
        <v/>
      </c>
      <c r="D695" s="3" t="str">
        <f>IFERROR(__xludf.DUMMYFUNCTION("if(isblank(B695),,ifna(textjoin(""; "",,filter('On Hand'!E:E,'On Hand'!A:A=A695)),ifna(xlookup(A695,'On Hand'!A:A,'On Hand'!E:E,),)))"),"")</f>
        <v/>
      </c>
    </row>
    <row r="696">
      <c r="A696" s="3" t="str">
        <f t="array" ref="A696">ifna(_xlfn.xlookup(B696,'All Item Code'!B:B,'All Item Code'!A:A,),)</f>
        <v/>
      </c>
      <c r="B696" s="3"/>
      <c r="C696" s="3" t="str">
        <f t="array" ref="C696">if(B696="Tidak Ada",,if(isblank(B696),,ifna(sumif('On Hand'!A:A,A696,'On Hand'!D:D)&amp;" "&amp;_xlfn.xlookup(A696,'All Item Code'!A:A,'All Item Code'!D:D,),0)))</f>
        <v/>
      </c>
      <c r="D696" s="3" t="str">
        <f>IFERROR(__xludf.DUMMYFUNCTION("if(isblank(B696),,ifna(textjoin(""; "",,filter('On Hand'!E:E,'On Hand'!A:A=A696)),ifna(xlookup(A696,'On Hand'!A:A,'On Hand'!E:E,),)))"),"")</f>
        <v/>
      </c>
    </row>
    <row r="697">
      <c r="A697" s="3" t="str">
        <f t="array" ref="A697">ifna(_xlfn.xlookup(B697,'All Item Code'!B:B,'All Item Code'!A:A,),)</f>
        <v/>
      </c>
      <c r="B697" s="3"/>
      <c r="C697" s="3" t="str">
        <f t="array" ref="C697">if(B697="Tidak Ada",,if(isblank(B697),,ifna(sumif('On Hand'!A:A,A697,'On Hand'!D:D)&amp;" "&amp;_xlfn.xlookup(A697,'All Item Code'!A:A,'All Item Code'!D:D,),0)))</f>
        <v/>
      </c>
      <c r="D697" s="3" t="str">
        <f>IFERROR(__xludf.DUMMYFUNCTION("if(isblank(B697),,ifna(textjoin(""; "",,filter('On Hand'!E:E,'On Hand'!A:A=A697)),ifna(xlookup(A697,'On Hand'!A:A,'On Hand'!E:E,),)))"),"")</f>
        <v/>
      </c>
    </row>
    <row r="698">
      <c r="A698" s="3" t="str">
        <f t="array" ref="A698">ifna(_xlfn.xlookup(B698,'All Item Code'!B:B,'All Item Code'!A:A,),)</f>
        <v/>
      </c>
      <c r="B698" s="3"/>
      <c r="C698" s="3" t="str">
        <f t="array" ref="C698">if(B698="Tidak Ada",,if(isblank(B698),,ifna(sumif('On Hand'!A:A,A698,'On Hand'!D:D)&amp;" "&amp;_xlfn.xlookup(A698,'All Item Code'!A:A,'All Item Code'!D:D,),0)))</f>
        <v/>
      </c>
      <c r="D698" s="3" t="str">
        <f>IFERROR(__xludf.DUMMYFUNCTION("if(isblank(B698),,ifna(textjoin(""; "",,filter('On Hand'!E:E,'On Hand'!A:A=A698)),ifna(xlookup(A698,'On Hand'!A:A,'On Hand'!E:E,),)))"),"")</f>
        <v/>
      </c>
    </row>
    <row r="699">
      <c r="A699" s="3" t="str">
        <f t="array" ref="A699">ifna(_xlfn.xlookup(B699,'All Item Code'!B:B,'All Item Code'!A:A,),)</f>
        <v/>
      </c>
      <c r="B699" s="3"/>
      <c r="C699" s="3" t="str">
        <f t="array" ref="C699">if(B699="Tidak Ada",,if(isblank(B699),,ifna(sumif('On Hand'!A:A,A699,'On Hand'!D:D)&amp;" "&amp;_xlfn.xlookup(A699,'All Item Code'!A:A,'All Item Code'!D:D,),0)))</f>
        <v/>
      </c>
      <c r="D699" s="3" t="str">
        <f>IFERROR(__xludf.DUMMYFUNCTION("if(isblank(B699),,ifna(textjoin(""; "",,filter('On Hand'!E:E,'On Hand'!A:A=A699)),ifna(xlookup(A699,'On Hand'!A:A,'On Hand'!E:E,),)))"),"")</f>
        <v/>
      </c>
    </row>
    <row r="700">
      <c r="A700" s="3" t="str">
        <f t="array" ref="A700">ifna(_xlfn.xlookup(B700,'All Item Code'!B:B,'All Item Code'!A:A,),)</f>
        <v/>
      </c>
      <c r="B700" s="3"/>
      <c r="C700" s="3" t="str">
        <f t="array" ref="C700">if(B700="Tidak Ada",,if(isblank(B700),,ifna(sumif('On Hand'!A:A,A700,'On Hand'!D:D)&amp;" "&amp;_xlfn.xlookup(A700,'All Item Code'!A:A,'All Item Code'!D:D,),0)))</f>
        <v/>
      </c>
      <c r="D700" s="3" t="str">
        <f>IFERROR(__xludf.DUMMYFUNCTION("if(isblank(B700),,ifna(textjoin(""; "",,filter('On Hand'!E:E,'On Hand'!A:A=A700)),ifna(xlookup(A700,'On Hand'!A:A,'On Hand'!E:E,),)))"),"")</f>
        <v/>
      </c>
    </row>
    <row r="701">
      <c r="A701" s="3" t="str">
        <f t="array" ref="A701">ifna(_xlfn.xlookup(B701,'All Item Code'!B:B,'All Item Code'!A:A,),)</f>
        <v/>
      </c>
      <c r="B701" s="3"/>
      <c r="C701" s="3" t="str">
        <f t="array" ref="C701">if(B701="Tidak Ada",,if(isblank(B701),,ifna(sumif('On Hand'!A:A,A701,'On Hand'!D:D)&amp;" "&amp;_xlfn.xlookup(A701,'All Item Code'!A:A,'All Item Code'!D:D,),0)))</f>
        <v/>
      </c>
      <c r="D701" s="3" t="str">
        <f>IFERROR(__xludf.DUMMYFUNCTION("if(isblank(B701),,ifna(textjoin(""; "",,filter('On Hand'!E:E,'On Hand'!A:A=A701)),ifna(xlookup(A701,'On Hand'!A:A,'On Hand'!E:E,),)))"),"")</f>
        <v/>
      </c>
    </row>
    <row r="702">
      <c r="A702" s="3" t="str">
        <f t="array" ref="A702">ifna(_xlfn.xlookup(B702,'All Item Code'!B:B,'All Item Code'!A:A,),)</f>
        <v/>
      </c>
      <c r="B702" s="3"/>
      <c r="C702" s="3" t="str">
        <f t="array" ref="C702">if(B702="Tidak Ada",,if(isblank(B702),,ifna(sumif('On Hand'!A:A,A702,'On Hand'!D:D)&amp;" "&amp;_xlfn.xlookup(A702,'All Item Code'!A:A,'All Item Code'!D:D,),0)))</f>
        <v/>
      </c>
      <c r="D702" s="3" t="str">
        <f>IFERROR(__xludf.DUMMYFUNCTION("if(isblank(B702),,ifna(textjoin(""; "",,filter('On Hand'!E:E,'On Hand'!A:A=A702)),ifna(xlookup(A702,'On Hand'!A:A,'On Hand'!E:E,),)))"),"")</f>
        <v/>
      </c>
    </row>
    <row r="703">
      <c r="A703" s="3" t="str">
        <f t="array" ref="A703">ifna(_xlfn.xlookup(B703,'All Item Code'!B:B,'All Item Code'!A:A,),)</f>
        <v/>
      </c>
      <c r="B703" s="3"/>
      <c r="C703" s="3" t="str">
        <f t="array" ref="C703">if(B703="Tidak Ada",,if(isblank(B703),,ifna(sumif('On Hand'!A:A,A703,'On Hand'!D:D)&amp;" "&amp;_xlfn.xlookup(A703,'All Item Code'!A:A,'All Item Code'!D:D,),0)))</f>
        <v/>
      </c>
      <c r="D703" s="3" t="str">
        <f>IFERROR(__xludf.DUMMYFUNCTION("if(isblank(B703),,ifna(textjoin(""; "",,filter('On Hand'!E:E,'On Hand'!A:A=A703)),ifna(xlookup(A703,'On Hand'!A:A,'On Hand'!E:E,),)))"),"")</f>
        <v/>
      </c>
    </row>
    <row r="704">
      <c r="A704" s="3" t="str">
        <f t="array" ref="A704">ifna(_xlfn.xlookup(B704,'All Item Code'!B:B,'All Item Code'!A:A,),)</f>
        <v/>
      </c>
      <c r="B704" s="3"/>
      <c r="C704" s="3" t="str">
        <f t="array" ref="C704">if(B704="Tidak Ada",,if(isblank(B704),,ifna(sumif('On Hand'!A:A,A704,'On Hand'!D:D)&amp;" "&amp;_xlfn.xlookup(A704,'All Item Code'!A:A,'All Item Code'!D:D,),0)))</f>
        <v/>
      </c>
      <c r="D704" s="3" t="str">
        <f>IFERROR(__xludf.DUMMYFUNCTION("if(isblank(B704),,ifna(textjoin(""; "",,filter('On Hand'!E:E,'On Hand'!A:A=A704)),ifna(xlookup(A704,'On Hand'!A:A,'On Hand'!E:E,),)))"),"")</f>
        <v/>
      </c>
    </row>
    <row r="705">
      <c r="A705" s="3" t="str">
        <f t="array" ref="A705">ifna(_xlfn.xlookup(B705,'All Item Code'!B:B,'All Item Code'!A:A,),)</f>
        <v/>
      </c>
      <c r="B705" s="3"/>
      <c r="C705" s="3" t="str">
        <f t="array" ref="C705">if(B705="Tidak Ada",,if(isblank(B705),,ifna(sumif('On Hand'!A:A,A705,'On Hand'!D:D)&amp;" "&amp;_xlfn.xlookup(A705,'All Item Code'!A:A,'All Item Code'!D:D,),0)))</f>
        <v/>
      </c>
      <c r="D705" s="3" t="str">
        <f>IFERROR(__xludf.DUMMYFUNCTION("if(isblank(B705),,ifna(textjoin(""; "",,filter('On Hand'!E:E,'On Hand'!A:A=A705)),ifna(xlookup(A705,'On Hand'!A:A,'On Hand'!E:E,),)))"),"")</f>
        <v/>
      </c>
    </row>
    <row r="706">
      <c r="A706" s="3" t="str">
        <f t="array" ref="A706">ifna(_xlfn.xlookup(B706,'All Item Code'!B:B,'All Item Code'!A:A,),)</f>
        <v/>
      </c>
      <c r="B706" s="3"/>
      <c r="C706" s="3" t="str">
        <f t="array" ref="C706">if(B706="Tidak Ada",,if(isblank(B706),,ifna(sumif('On Hand'!A:A,A706,'On Hand'!D:D)&amp;" "&amp;_xlfn.xlookup(A706,'All Item Code'!A:A,'All Item Code'!D:D,),0)))</f>
        <v/>
      </c>
      <c r="D706" s="3" t="str">
        <f>IFERROR(__xludf.DUMMYFUNCTION("if(isblank(B706),,ifna(textjoin(""; "",,filter('On Hand'!E:E,'On Hand'!A:A=A706)),ifna(xlookup(A706,'On Hand'!A:A,'On Hand'!E:E,),)))"),"")</f>
        <v/>
      </c>
    </row>
    <row r="707">
      <c r="A707" s="3" t="str">
        <f t="array" ref="A707">ifna(_xlfn.xlookup(B707,'All Item Code'!B:B,'All Item Code'!A:A,),)</f>
        <v/>
      </c>
      <c r="B707" s="3"/>
      <c r="C707" s="3" t="str">
        <f t="array" ref="C707">if(B707="Tidak Ada",,if(isblank(B707),,ifna(sumif('On Hand'!A:A,A707,'On Hand'!D:D)&amp;" "&amp;_xlfn.xlookup(A707,'All Item Code'!A:A,'All Item Code'!D:D,),0)))</f>
        <v/>
      </c>
      <c r="D707" s="3" t="str">
        <f>IFERROR(__xludf.DUMMYFUNCTION("if(isblank(B707),,ifna(textjoin(""; "",,filter('On Hand'!E:E,'On Hand'!A:A=A707)),ifna(xlookup(A707,'On Hand'!A:A,'On Hand'!E:E,),)))"),"")</f>
        <v/>
      </c>
    </row>
    <row r="708">
      <c r="A708" s="3" t="str">
        <f t="array" ref="A708">ifna(_xlfn.xlookup(B708,'All Item Code'!B:B,'All Item Code'!A:A,),)</f>
        <v/>
      </c>
      <c r="B708" s="3"/>
      <c r="C708" s="3" t="str">
        <f t="array" ref="C708">if(B708="Tidak Ada",,if(isblank(B708),,ifna(sumif('On Hand'!A:A,A708,'On Hand'!D:D)&amp;" "&amp;_xlfn.xlookup(A708,'All Item Code'!A:A,'All Item Code'!D:D,),0)))</f>
        <v/>
      </c>
      <c r="D708" s="3" t="str">
        <f>IFERROR(__xludf.DUMMYFUNCTION("if(isblank(B708),,ifna(textjoin(""; "",,filter('On Hand'!E:E,'On Hand'!A:A=A708)),ifna(xlookup(A708,'On Hand'!A:A,'On Hand'!E:E,),)))"),"")</f>
        <v/>
      </c>
    </row>
    <row r="709">
      <c r="A709" s="3" t="str">
        <f t="array" ref="A709">ifna(_xlfn.xlookup(B709,'All Item Code'!B:B,'All Item Code'!A:A,),)</f>
        <v/>
      </c>
      <c r="B709" s="3"/>
      <c r="C709" s="3" t="str">
        <f t="array" ref="C709">if(B709="Tidak Ada",,if(isblank(B709),,ifna(sumif('On Hand'!A:A,A709,'On Hand'!D:D)&amp;" "&amp;_xlfn.xlookup(A709,'All Item Code'!A:A,'All Item Code'!D:D,),0)))</f>
        <v/>
      </c>
      <c r="D709" s="3" t="str">
        <f>IFERROR(__xludf.DUMMYFUNCTION("if(isblank(B709),,ifna(textjoin(""; "",,filter('On Hand'!E:E,'On Hand'!A:A=A709)),ifna(xlookup(A709,'On Hand'!A:A,'On Hand'!E:E,),)))"),"")</f>
        <v/>
      </c>
    </row>
    <row r="710">
      <c r="A710" s="3" t="str">
        <f t="array" ref="A710">ifna(_xlfn.xlookup(B710,'All Item Code'!B:B,'All Item Code'!A:A,),)</f>
        <v/>
      </c>
      <c r="B710" s="3"/>
      <c r="C710" s="3" t="str">
        <f t="array" ref="C710">if(B710="Tidak Ada",,if(isblank(B710),,ifna(sumif('On Hand'!A:A,A710,'On Hand'!D:D)&amp;" "&amp;_xlfn.xlookup(A710,'All Item Code'!A:A,'All Item Code'!D:D,),0)))</f>
        <v/>
      </c>
      <c r="D710" s="3" t="str">
        <f>IFERROR(__xludf.DUMMYFUNCTION("if(isblank(B710),,ifna(textjoin(""; "",,filter('On Hand'!E:E,'On Hand'!A:A=A710)),ifna(xlookup(A710,'On Hand'!A:A,'On Hand'!E:E,),)))"),"")</f>
        <v/>
      </c>
    </row>
    <row r="711">
      <c r="A711" s="3" t="str">
        <f t="array" ref="A711">ifna(_xlfn.xlookup(B711,'All Item Code'!B:B,'All Item Code'!A:A,),)</f>
        <v/>
      </c>
      <c r="B711" s="3"/>
      <c r="C711" s="3" t="str">
        <f t="array" ref="C711">if(B711="Tidak Ada",,if(isblank(B711),,ifna(sumif('On Hand'!A:A,A711,'On Hand'!D:D)&amp;" "&amp;_xlfn.xlookup(A711,'All Item Code'!A:A,'All Item Code'!D:D,),0)))</f>
        <v/>
      </c>
      <c r="D711" s="3" t="str">
        <f>IFERROR(__xludf.DUMMYFUNCTION("if(isblank(B711),,ifna(textjoin(""; "",,filter('On Hand'!E:E,'On Hand'!A:A=A711)),ifna(xlookup(A711,'On Hand'!A:A,'On Hand'!E:E,),)))"),"")</f>
        <v/>
      </c>
    </row>
    <row r="712">
      <c r="A712" s="3" t="str">
        <f t="array" ref="A712">ifna(_xlfn.xlookup(B712,'All Item Code'!B:B,'All Item Code'!A:A,),)</f>
        <v/>
      </c>
      <c r="B712" s="3"/>
      <c r="C712" s="3" t="str">
        <f t="array" ref="C712">if(B712="Tidak Ada",,if(isblank(B712),,ifna(sumif('On Hand'!A:A,A712,'On Hand'!D:D)&amp;" "&amp;_xlfn.xlookup(A712,'All Item Code'!A:A,'All Item Code'!D:D,),0)))</f>
        <v/>
      </c>
      <c r="D712" s="3" t="str">
        <f>IFERROR(__xludf.DUMMYFUNCTION("if(isblank(B712),,ifna(textjoin(""; "",,filter('On Hand'!E:E,'On Hand'!A:A=A712)),ifna(xlookup(A712,'On Hand'!A:A,'On Hand'!E:E,),)))"),"")</f>
        <v/>
      </c>
    </row>
    <row r="713">
      <c r="A713" s="3" t="str">
        <f t="array" ref="A713">ifna(_xlfn.xlookup(B713,'All Item Code'!B:B,'All Item Code'!A:A,),)</f>
        <v/>
      </c>
      <c r="B713" s="3"/>
      <c r="C713" s="3" t="str">
        <f t="array" ref="C713">if(B713="Tidak Ada",,if(isblank(B713),,ifna(sumif('On Hand'!A:A,A713,'On Hand'!D:D)&amp;" "&amp;_xlfn.xlookup(A713,'All Item Code'!A:A,'All Item Code'!D:D,),0)))</f>
        <v/>
      </c>
      <c r="D713" s="3" t="str">
        <f>IFERROR(__xludf.DUMMYFUNCTION("if(isblank(B713),,ifna(textjoin(""; "",,filter('On Hand'!E:E,'On Hand'!A:A=A713)),ifna(xlookup(A713,'On Hand'!A:A,'On Hand'!E:E,),)))"),"")</f>
        <v/>
      </c>
    </row>
    <row r="714">
      <c r="A714" s="3" t="str">
        <f t="array" ref="A714">ifna(_xlfn.xlookup(B714,'All Item Code'!B:B,'All Item Code'!A:A,),)</f>
        <v/>
      </c>
      <c r="B714" s="3"/>
      <c r="C714" s="3" t="str">
        <f t="array" ref="C714">if(B714="Tidak Ada",,if(isblank(B714),,ifna(sumif('On Hand'!A:A,A714,'On Hand'!D:D)&amp;" "&amp;_xlfn.xlookup(A714,'All Item Code'!A:A,'All Item Code'!D:D,),0)))</f>
        <v/>
      </c>
      <c r="D714" s="3" t="str">
        <f>IFERROR(__xludf.DUMMYFUNCTION("if(isblank(B714),,ifna(textjoin(""; "",,filter('On Hand'!E:E,'On Hand'!A:A=A714)),ifna(xlookup(A714,'On Hand'!A:A,'On Hand'!E:E,),)))"),"")</f>
        <v/>
      </c>
    </row>
    <row r="715">
      <c r="A715" s="3" t="str">
        <f t="array" ref="A715">ifna(_xlfn.xlookup(B715,'All Item Code'!B:B,'All Item Code'!A:A,),)</f>
        <v/>
      </c>
      <c r="B715" s="3"/>
      <c r="C715" s="3" t="str">
        <f t="array" ref="C715">if(B715="Tidak Ada",,if(isblank(B715),,ifna(sumif('On Hand'!A:A,A715,'On Hand'!D:D)&amp;" "&amp;_xlfn.xlookup(A715,'All Item Code'!A:A,'All Item Code'!D:D,),0)))</f>
        <v/>
      </c>
      <c r="D715" s="3" t="str">
        <f>IFERROR(__xludf.DUMMYFUNCTION("if(isblank(B715),,ifna(textjoin(""; "",,filter('On Hand'!E:E,'On Hand'!A:A=A715)),ifna(xlookup(A715,'On Hand'!A:A,'On Hand'!E:E,),)))"),"")</f>
        <v/>
      </c>
    </row>
    <row r="716">
      <c r="A716" s="3" t="str">
        <f t="array" ref="A716">ifna(_xlfn.xlookup(B716,'All Item Code'!B:B,'All Item Code'!A:A,),)</f>
        <v/>
      </c>
      <c r="B716" s="3"/>
      <c r="C716" s="3" t="str">
        <f t="array" ref="C716">if(B716="Tidak Ada",,if(isblank(B716),,ifna(sumif('On Hand'!A:A,A716,'On Hand'!D:D)&amp;" "&amp;_xlfn.xlookup(A716,'All Item Code'!A:A,'All Item Code'!D:D,),0)))</f>
        <v/>
      </c>
      <c r="D716" s="3" t="str">
        <f>IFERROR(__xludf.DUMMYFUNCTION("if(isblank(B716),,ifna(textjoin(""; "",,filter('On Hand'!E:E,'On Hand'!A:A=A716)),ifna(xlookup(A716,'On Hand'!A:A,'On Hand'!E:E,),)))"),"")</f>
        <v/>
      </c>
    </row>
    <row r="717">
      <c r="A717" s="3" t="str">
        <f t="array" ref="A717">ifna(_xlfn.xlookup(B717,'All Item Code'!B:B,'All Item Code'!A:A,),)</f>
        <v/>
      </c>
      <c r="B717" s="3"/>
      <c r="C717" s="3" t="str">
        <f t="array" ref="C717">if(B717="Tidak Ada",,if(isblank(B717),,ifna(sumif('On Hand'!A:A,A717,'On Hand'!D:D)&amp;" "&amp;_xlfn.xlookup(A717,'All Item Code'!A:A,'All Item Code'!D:D,),0)))</f>
        <v/>
      </c>
      <c r="D717" s="3" t="str">
        <f>IFERROR(__xludf.DUMMYFUNCTION("if(isblank(B717),,ifna(textjoin(""; "",,filter('On Hand'!E:E,'On Hand'!A:A=A717)),ifna(xlookup(A717,'On Hand'!A:A,'On Hand'!E:E,),)))"),"")</f>
        <v/>
      </c>
    </row>
    <row r="718">
      <c r="A718" s="3" t="str">
        <f t="array" ref="A718">ifna(_xlfn.xlookup(B718,'All Item Code'!B:B,'All Item Code'!A:A,),)</f>
        <v/>
      </c>
      <c r="B718" s="3"/>
      <c r="C718" s="3" t="str">
        <f t="array" ref="C718">if(B718="Tidak Ada",,if(isblank(B718),,ifna(sumif('On Hand'!A:A,A718,'On Hand'!D:D)&amp;" "&amp;_xlfn.xlookup(A718,'All Item Code'!A:A,'All Item Code'!D:D,),0)))</f>
        <v/>
      </c>
      <c r="D718" s="3" t="str">
        <f>IFERROR(__xludf.DUMMYFUNCTION("if(isblank(B718),,ifna(textjoin(""; "",,filter('On Hand'!E:E,'On Hand'!A:A=A718)),ifna(xlookup(A718,'On Hand'!A:A,'On Hand'!E:E,),)))"),"")</f>
        <v/>
      </c>
    </row>
    <row r="719">
      <c r="A719" s="3" t="str">
        <f t="array" ref="A719">ifna(_xlfn.xlookup(B719,'All Item Code'!B:B,'All Item Code'!A:A,),)</f>
        <v/>
      </c>
      <c r="B719" s="3"/>
      <c r="C719" s="3" t="str">
        <f t="array" ref="C719">if(B719="Tidak Ada",,if(isblank(B719),,ifna(sumif('On Hand'!A:A,A719,'On Hand'!D:D)&amp;" "&amp;_xlfn.xlookup(A719,'All Item Code'!A:A,'All Item Code'!D:D,),0)))</f>
        <v/>
      </c>
      <c r="D719" s="3" t="str">
        <f>IFERROR(__xludf.DUMMYFUNCTION("if(isblank(B719),,ifna(textjoin(""; "",,filter('On Hand'!E:E,'On Hand'!A:A=A719)),ifna(xlookup(A719,'On Hand'!A:A,'On Hand'!E:E,),)))"),"")</f>
        <v/>
      </c>
    </row>
    <row r="720">
      <c r="A720" s="3" t="str">
        <f t="array" ref="A720">ifna(_xlfn.xlookup(B720,'All Item Code'!B:B,'All Item Code'!A:A,),)</f>
        <v/>
      </c>
      <c r="B720" s="3"/>
      <c r="C720" s="3" t="str">
        <f t="array" ref="C720">if(B720="Tidak Ada",,if(isblank(B720),,ifna(sumif('On Hand'!A:A,A720,'On Hand'!D:D)&amp;" "&amp;_xlfn.xlookup(A720,'All Item Code'!A:A,'All Item Code'!D:D,),0)))</f>
        <v/>
      </c>
      <c r="D720" s="3" t="str">
        <f>IFERROR(__xludf.DUMMYFUNCTION("if(isblank(B720),,ifna(textjoin(""; "",,filter('On Hand'!E:E,'On Hand'!A:A=A720)),ifna(xlookup(A720,'On Hand'!A:A,'On Hand'!E:E,),)))"),"")</f>
        <v/>
      </c>
    </row>
    <row r="721">
      <c r="A721" s="3" t="str">
        <f t="array" ref="A721">ifna(_xlfn.xlookup(B721,'All Item Code'!B:B,'All Item Code'!A:A,),)</f>
        <v/>
      </c>
      <c r="B721" s="3"/>
      <c r="C721" s="3" t="str">
        <f t="array" ref="C721">if(B721="Tidak Ada",,if(isblank(B721),,ifna(sumif('On Hand'!A:A,A721,'On Hand'!D:D)&amp;" "&amp;_xlfn.xlookup(A721,'All Item Code'!A:A,'All Item Code'!D:D,),0)))</f>
        <v/>
      </c>
      <c r="D721" s="3" t="str">
        <f>IFERROR(__xludf.DUMMYFUNCTION("if(isblank(B721),,ifna(textjoin(""; "",,filter('On Hand'!E:E,'On Hand'!A:A=A721)),ifna(xlookup(A721,'On Hand'!A:A,'On Hand'!E:E,),)))"),"")</f>
        <v/>
      </c>
    </row>
    <row r="722">
      <c r="A722" s="3" t="str">
        <f t="array" ref="A722">ifna(_xlfn.xlookup(B722,'All Item Code'!B:B,'All Item Code'!A:A,),)</f>
        <v/>
      </c>
      <c r="B722" s="3"/>
      <c r="C722" s="3" t="str">
        <f t="array" ref="C722">if(B722="Tidak Ada",,if(isblank(B722),,ifna(sumif('On Hand'!A:A,A722,'On Hand'!D:D)&amp;" "&amp;_xlfn.xlookup(A722,'All Item Code'!A:A,'All Item Code'!D:D,),0)))</f>
        <v/>
      </c>
      <c r="D722" s="3" t="str">
        <f>IFERROR(__xludf.DUMMYFUNCTION("if(isblank(B722),,ifna(textjoin(""; "",,filter('On Hand'!E:E,'On Hand'!A:A=A722)),ifna(xlookup(A722,'On Hand'!A:A,'On Hand'!E:E,),)))"),"")</f>
        <v/>
      </c>
    </row>
    <row r="723">
      <c r="A723" s="3" t="str">
        <f t="array" ref="A723">ifna(_xlfn.xlookup(B723,'All Item Code'!B:B,'All Item Code'!A:A,),)</f>
        <v/>
      </c>
      <c r="B723" s="3"/>
      <c r="C723" s="3" t="str">
        <f t="array" ref="C723">if(B723="Tidak Ada",,if(isblank(B723),,ifna(sumif('On Hand'!A:A,A723,'On Hand'!D:D)&amp;" "&amp;_xlfn.xlookup(A723,'All Item Code'!A:A,'All Item Code'!D:D,),0)))</f>
        <v/>
      </c>
      <c r="D723" s="3" t="str">
        <f>IFERROR(__xludf.DUMMYFUNCTION("if(isblank(B723),,ifna(textjoin(""; "",,filter('On Hand'!E:E,'On Hand'!A:A=A723)),ifna(xlookup(A723,'On Hand'!A:A,'On Hand'!E:E,),)))"),"")</f>
        <v/>
      </c>
    </row>
    <row r="724">
      <c r="A724" s="3" t="str">
        <f t="array" ref="A724">ifna(_xlfn.xlookup(B724,'All Item Code'!B:B,'All Item Code'!A:A,),)</f>
        <v/>
      </c>
      <c r="B724" s="3"/>
      <c r="C724" s="3" t="str">
        <f t="array" ref="C724">if(B724="Tidak Ada",,if(isblank(B724),,ifna(sumif('On Hand'!A:A,A724,'On Hand'!D:D)&amp;" "&amp;_xlfn.xlookup(A724,'All Item Code'!A:A,'All Item Code'!D:D,),0)))</f>
        <v/>
      </c>
      <c r="D724" s="3" t="str">
        <f>IFERROR(__xludf.DUMMYFUNCTION("if(isblank(B724),,ifna(textjoin(""; "",,filter('On Hand'!E:E,'On Hand'!A:A=A724)),ifna(xlookup(A724,'On Hand'!A:A,'On Hand'!E:E,),)))"),"")</f>
        <v/>
      </c>
    </row>
    <row r="725">
      <c r="A725" s="3" t="str">
        <f t="array" ref="A725">ifna(_xlfn.xlookup(B725,'All Item Code'!B:B,'All Item Code'!A:A,),)</f>
        <v/>
      </c>
      <c r="B725" s="3"/>
      <c r="C725" s="3" t="str">
        <f t="array" ref="C725">if(B725="Tidak Ada",,if(isblank(B725),,ifna(sumif('On Hand'!A:A,A725,'On Hand'!D:D)&amp;" "&amp;_xlfn.xlookup(A725,'All Item Code'!A:A,'All Item Code'!D:D,),0)))</f>
        <v/>
      </c>
      <c r="D725" s="3" t="str">
        <f>IFERROR(__xludf.DUMMYFUNCTION("if(isblank(B725),,ifna(textjoin(""; "",,filter('On Hand'!E:E,'On Hand'!A:A=A725)),ifna(xlookup(A725,'On Hand'!A:A,'On Hand'!E:E,),)))"),"")</f>
        <v/>
      </c>
    </row>
    <row r="726">
      <c r="A726" s="3" t="str">
        <f t="array" ref="A726">ifna(_xlfn.xlookup(B726,'All Item Code'!B:B,'All Item Code'!A:A,),)</f>
        <v/>
      </c>
      <c r="B726" s="3"/>
      <c r="C726" s="3" t="str">
        <f t="array" ref="C726">if(B726="Tidak Ada",,if(isblank(B726),,ifna(sumif('On Hand'!A:A,A726,'On Hand'!D:D)&amp;" "&amp;_xlfn.xlookup(A726,'All Item Code'!A:A,'All Item Code'!D:D,),0)))</f>
        <v/>
      </c>
      <c r="D726" s="3" t="str">
        <f>IFERROR(__xludf.DUMMYFUNCTION("if(isblank(B726),,ifna(textjoin(""; "",,filter('On Hand'!E:E,'On Hand'!A:A=A726)),ifna(xlookup(A726,'On Hand'!A:A,'On Hand'!E:E,),)))"),"")</f>
        <v/>
      </c>
    </row>
    <row r="727">
      <c r="A727" s="3" t="str">
        <f t="array" ref="A727">ifna(_xlfn.xlookup(B727,'All Item Code'!B:B,'All Item Code'!A:A,),)</f>
        <v/>
      </c>
      <c r="B727" s="3"/>
      <c r="C727" s="3" t="str">
        <f t="array" ref="C727">if(B727="Tidak Ada",,if(isblank(B727),,ifna(sumif('On Hand'!A:A,A727,'On Hand'!D:D)&amp;" "&amp;_xlfn.xlookup(A727,'All Item Code'!A:A,'All Item Code'!D:D,),0)))</f>
        <v/>
      </c>
      <c r="D727" s="3" t="str">
        <f>IFERROR(__xludf.DUMMYFUNCTION("if(isblank(B727),,ifna(textjoin(""; "",,filter('On Hand'!E:E,'On Hand'!A:A=A727)),ifna(xlookup(A727,'On Hand'!A:A,'On Hand'!E:E,),)))"),"")</f>
        <v/>
      </c>
    </row>
    <row r="728">
      <c r="A728" s="3" t="str">
        <f t="array" ref="A728">ifna(_xlfn.xlookup(B728,'All Item Code'!B:B,'All Item Code'!A:A,),)</f>
        <v/>
      </c>
      <c r="B728" s="3"/>
      <c r="C728" s="3" t="str">
        <f t="array" ref="C728">if(B728="Tidak Ada",,if(isblank(B728),,ifna(sumif('On Hand'!A:A,A728,'On Hand'!D:D)&amp;" "&amp;_xlfn.xlookup(A728,'All Item Code'!A:A,'All Item Code'!D:D,),0)))</f>
        <v/>
      </c>
      <c r="D728" s="3" t="str">
        <f>IFERROR(__xludf.DUMMYFUNCTION("if(isblank(B728),,ifna(textjoin(""; "",,filter('On Hand'!E:E,'On Hand'!A:A=A728)),ifna(xlookup(A728,'On Hand'!A:A,'On Hand'!E:E,),)))"),"")</f>
        <v/>
      </c>
    </row>
    <row r="729">
      <c r="A729" s="3" t="str">
        <f t="array" ref="A729">ifna(_xlfn.xlookup(B729,'All Item Code'!B:B,'All Item Code'!A:A,),)</f>
        <v/>
      </c>
      <c r="B729" s="3"/>
      <c r="C729" s="3" t="str">
        <f t="array" ref="C729">if(B729="Tidak Ada",,if(isblank(B729),,ifna(sumif('On Hand'!A:A,A729,'On Hand'!D:D)&amp;" "&amp;_xlfn.xlookup(A729,'All Item Code'!A:A,'All Item Code'!D:D,),0)))</f>
        <v/>
      </c>
      <c r="D729" s="3" t="str">
        <f>IFERROR(__xludf.DUMMYFUNCTION("if(isblank(B729),,ifna(textjoin(""; "",,filter('On Hand'!E:E,'On Hand'!A:A=A729)),ifna(xlookup(A729,'On Hand'!A:A,'On Hand'!E:E,),)))"),"")</f>
        <v/>
      </c>
    </row>
    <row r="730">
      <c r="A730" s="3" t="str">
        <f t="array" ref="A730">ifna(_xlfn.xlookup(B730,'All Item Code'!B:B,'All Item Code'!A:A,),)</f>
        <v/>
      </c>
      <c r="B730" s="3"/>
      <c r="C730" s="3" t="str">
        <f t="array" ref="C730">if(B730="Tidak Ada",,if(isblank(B730),,ifna(sumif('On Hand'!A:A,A730,'On Hand'!D:D)&amp;" "&amp;_xlfn.xlookup(A730,'All Item Code'!A:A,'All Item Code'!D:D,),0)))</f>
        <v/>
      </c>
      <c r="D730" s="3" t="str">
        <f>IFERROR(__xludf.DUMMYFUNCTION("if(isblank(B730),,ifna(textjoin(""; "",,filter('On Hand'!E:E,'On Hand'!A:A=A730)),ifna(xlookup(A730,'On Hand'!A:A,'On Hand'!E:E,),)))"),"")</f>
        <v/>
      </c>
    </row>
    <row r="731">
      <c r="A731" s="3" t="str">
        <f t="array" ref="A731">ifna(_xlfn.xlookup(B731,'All Item Code'!B:B,'All Item Code'!A:A,),)</f>
        <v/>
      </c>
      <c r="B731" s="3"/>
      <c r="C731" s="3" t="str">
        <f t="array" ref="C731">if(B731="Tidak Ada",,if(isblank(B731),,ifna(sumif('On Hand'!A:A,A731,'On Hand'!D:D)&amp;" "&amp;_xlfn.xlookup(A731,'All Item Code'!A:A,'All Item Code'!D:D,),0)))</f>
        <v/>
      </c>
      <c r="D731" s="3" t="str">
        <f>IFERROR(__xludf.DUMMYFUNCTION("if(isblank(B731),,ifna(textjoin(""; "",,filter('On Hand'!E:E,'On Hand'!A:A=A731)),ifna(xlookup(A731,'On Hand'!A:A,'On Hand'!E:E,),)))"),"")</f>
        <v/>
      </c>
    </row>
    <row r="732">
      <c r="A732" s="3" t="str">
        <f t="array" ref="A732">ifna(_xlfn.xlookup(B732,'All Item Code'!B:B,'All Item Code'!A:A,),)</f>
        <v/>
      </c>
      <c r="B732" s="3"/>
      <c r="C732" s="3" t="str">
        <f t="array" ref="C732">if(B732="Tidak Ada",,if(isblank(B732),,ifna(sumif('On Hand'!A:A,A732,'On Hand'!D:D)&amp;" "&amp;_xlfn.xlookup(A732,'All Item Code'!A:A,'All Item Code'!D:D,),0)))</f>
        <v/>
      </c>
      <c r="D732" s="3" t="str">
        <f>IFERROR(__xludf.DUMMYFUNCTION("if(isblank(B732),,ifna(textjoin(""; "",,filter('On Hand'!E:E,'On Hand'!A:A=A732)),ifna(xlookup(A732,'On Hand'!A:A,'On Hand'!E:E,),)))"),"")</f>
        <v/>
      </c>
    </row>
    <row r="733">
      <c r="A733" s="3" t="str">
        <f t="array" ref="A733">ifna(_xlfn.xlookup(B733,'All Item Code'!B:B,'All Item Code'!A:A,),)</f>
        <v/>
      </c>
      <c r="B733" s="3"/>
      <c r="C733" s="3" t="str">
        <f t="array" ref="C733">if(B733="Tidak Ada",,if(isblank(B733),,ifna(sumif('On Hand'!A:A,A733,'On Hand'!D:D)&amp;" "&amp;_xlfn.xlookup(A733,'All Item Code'!A:A,'All Item Code'!D:D,),0)))</f>
        <v/>
      </c>
      <c r="D733" s="3" t="str">
        <f>IFERROR(__xludf.DUMMYFUNCTION("if(isblank(B733),,ifna(textjoin(""; "",,filter('On Hand'!E:E,'On Hand'!A:A=A733)),ifna(xlookup(A733,'On Hand'!A:A,'On Hand'!E:E,),)))"),"")</f>
        <v/>
      </c>
    </row>
    <row r="734">
      <c r="A734" s="3" t="str">
        <f t="array" ref="A734">ifna(_xlfn.xlookup(B734,'All Item Code'!B:B,'All Item Code'!A:A,),)</f>
        <v/>
      </c>
      <c r="B734" s="3"/>
      <c r="C734" s="3" t="str">
        <f t="array" ref="C734">if(B734="Tidak Ada",,if(isblank(B734),,ifna(sumif('On Hand'!A:A,A734,'On Hand'!D:D)&amp;" "&amp;_xlfn.xlookup(A734,'All Item Code'!A:A,'All Item Code'!D:D,),0)))</f>
        <v/>
      </c>
      <c r="D734" s="3" t="str">
        <f>IFERROR(__xludf.DUMMYFUNCTION("if(isblank(B734),,ifna(textjoin(""; "",,filter('On Hand'!E:E,'On Hand'!A:A=A734)),ifna(xlookup(A734,'On Hand'!A:A,'On Hand'!E:E,),)))"),"")</f>
        <v/>
      </c>
    </row>
    <row r="735">
      <c r="A735" s="3" t="str">
        <f t="array" ref="A735">ifna(_xlfn.xlookup(B735,'All Item Code'!B:B,'All Item Code'!A:A,),)</f>
        <v/>
      </c>
      <c r="B735" s="3"/>
      <c r="C735" s="3" t="str">
        <f t="array" ref="C735">if(B735="Tidak Ada",,if(isblank(B735),,ifna(sumif('On Hand'!A:A,A735,'On Hand'!D:D)&amp;" "&amp;_xlfn.xlookup(A735,'All Item Code'!A:A,'All Item Code'!D:D,),0)))</f>
        <v/>
      </c>
      <c r="D735" s="3" t="str">
        <f>IFERROR(__xludf.DUMMYFUNCTION("if(isblank(B735),,ifna(textjoin(""; "",,filter('On Hand'!E:E,'On Hand'!A:A=A735)),ifna(xlookup(A735,'On Hand'!A:A,'On Hand'!E:E,),)))"),"")</f>
        <v/>
      </c>
    </row>
    <row r="736">
      <c r="A736" s="3" t="str">
        <f t="array" ref="A736">ifna(_xlfn.xlookup(B736,'All Item Code'!B:B,'All Item Code'!A:A,),)</f>
        <v/>
      </c>
      <c r="B736" s="3"/>
      <c r="C736" s="3" t="str">
        <f t="array" ref="C736">if(B736="Tidak Ada",,if(isblank(B736),,ifna(sumif('On Hand'!A:A,A736,'On Hand'!D:D)&amp;" "&amp;_xlfn.xlookup(A736,'All Item Code'!A:A,'All Item Code'!D:D,),0)))</f>
        <v/>
      </c>
      <c r="D736" s="3" t="str">
        <f>IFERROR(__xludf.DUMMYFUNCTION("if(isblank(B736),,ifna(textjoin(""; "",,filter('On Hand'!E:E,'On Hand'!A:A=A736)),ifna(xlookup(A736,'On Hand'!A:A,'On Hand'!E:E,),)))"),"")</f>
        <v/>
      </c>
    </row>
    <row r="737">
      <c r="A737" s="3" t="str">
        <f t="array" ref="A737">ifna(_xlfn.xlookup(B737,'All Item Code'!B:B,'All Item Code'!A:A,),)</f>
        <v/>
      </c>
      <c r="B737" s="3"/>
      <c r="C737" s="3" t="str">
        <f t="array" ref="C737">if(B737="Tidak Ada",,if(isblank(B737),,ifna(sumif('On Hand'!A:A,A737,'On Hand'!D:D)&amp;" "&amp;_xlfn.xlookup(A737,'All Item Code'!A:A,'All Item Code'!D:D,),0)))</f>
        <v/>
      </c>
      <c r="D737" s="3" t="str">
        <f>IFERROR(__xludf.DUMMYFUNCTION("if(isblank(B737),,ifna(textjoin(""; "",,filter('On Hand'!E:E,'On Hand'!A:A=A737)),ifna(xlookup(A737,'On Hand'!A:A,'On Hand'!E:E,),)))"),"")</f>
        <v/>
      </c>
    </row>
    <row r="738">
      <c r="A738" s="3" t="str">
        <f t="array" ref="A738">ifna(_xlfn.xlookup(B738,'All Item Code'!B:B,'All Item Code'!A:A,),)</f>
        <v/>
      </c>
      <c r="B738" s="3"/>
      <c r="C738" s="3" t="str">
        <f t="array" ref="C738">if(B738="Tidak Ada",,if(isblank(B738),,ifna(sumif('On Hand'!A:A,A738,'On Hand'!D:D)&amp;" "&amp;_xlfn.xlookup(A738,'All Item Code'!A:A,'All Item Code'!D:D,),0)))</f>
        <v/>
      </c>
      <c r="D738" s="3" t="str">
        <f>IFERROR(__xludf.DUMMYFUNCTION("if(isblank(B738),,ifna(textjoin(""; "",,filter('On Hand'!E:E,'On Hand'!A:A=A738)),ifna(xlookup(A738,'On Hand'!A:A,'On Hand'!E:E,),)))"),"")</f>
        <v/>
      </c>
    </row>
    <row r="739">
      <c r="A739" s="3" t="str">
        <f t="array" ref="A739">ifna(_xlfn.xlookup(B739,'All Item Code'!B:B,'All Item Code'!A:A,),)</f>
        <v/>
      </c>
      <c r="B739" s="3"/>
      <c r="C739" s="3" t="str">
        <f t="array" ref="C739">if(B739="Tidak Ada",,if(isblank(B739),,ifna(sumif('On Hand'!A:A,A739,'On Hand'!D:D)&amp;" "&amp;_xlfn.xlookup(A739,'All Item Code'!A:A,'All Item Code'!D:D,),0)))</f>
        <v/>
      </c>
      <c r="D739" s="3" t="str">
        <f>IFERROR(__xludf.DUMMYFUNCTION("if(isblank(B739),,ifna(textjoin(""; "",,filter('On Hand'!E:E,'On Hand'!A:A=A739)),ifna(xlookup(A739,'On Hand'!A:A,'On Hand'!E:E,),)))"),"")</f>
        <v/>
      </c>
    </row>
    <row r="740">
      <c r="A740" s="3" t="str">
        <f t="array" ref="A740">ifna(_xlfn.xlookup(B740,'All Item Code'!B:B,'All Item Code'!A:A,),)</f>
        <v/>
      </c>
      <c r="B740" s="3"/>
      <c r="C740" s="3" t="str">
        <f t="array" ref="C740">if(B740="Tidak Ada",,if(isblank(B740),,ifna(sumif('On Hand'!A:A,A740,'On Hand'!D:D)&amp;" "&amp;_xlfn.xlookup(A740,'All Item Code'!A:A,'All Item Code'!D:D,),0)))</f>
        <v/>
      </c>
      <c r="D740" s="3" t="str">
        <f>IFERROR(__xludf.DUMMYFUNCTION("if(isblank(B740),,ifna(textjoin(""; "",,filter('On Hand'!E:E,'On Hand'!A:A=A740)),ifna(xlookup(A740,'On Hand'!A:A,'On Hand'!E:E,),)))"),"")</f>
        <v/>
      </c>
    </row>
    <row r="741">
      <c r="A741" s="3" t="str">
        <f t="array" ref="A741">ifna(_xlfn.xlookup(B741,'All Item Code'!B:B,'All Item Code'!A:A,),)</f>
        <v/>
      </c>
      <c r="B741" s="3"/>
      <c r="C741" s="3" t="str">
        <f t="array" ref="C741">if(B741="Tidak Ada",,if(isblank(B741),,ifna(sumif('On Hand'!A:A,A741,'On Hand'!D:D)&amp;" "&amp;_xlfn.xlookup(A741,'All Item Code'!A:A,'All Item Code'!D:D,),0)))</f>
        <v/>
      </c>
      <c r="D741" s="3" t="str">
        <f>IFERROR(__xludf.DUMMYFUNCTION("if(isblank(B741),,ifna(textjoin(""; "",,filter('On Hand'!E:E,'On Hand'!A:A=A741)),ifna(xlookup(A741,'On Hand'!A:A,'On Hand'!E:E,),)))"),"")</f>
        <v/>
      </c>
    </row>
    <row r="742">
      <c r="A742" s="3" t="str">
        <f t="array" ref="A742">ifna(_xlfn.xlookup(B742,'All Item Code'!B:B,'All Item Code'!A:A,),)</f>
        <v/>
      </c>
      <c r="B742" s="3"/>
      <c r="C742" s="3" t="str">
        <f t="array" ref="C742">if(B742="Tidak Ada",,if(isblank(B742),,ifna(sumif('On Hand'!A:A,A742,'On Hand'!D:D)&amp;" "&amp;_xlfn.xlookup(A742,'All Item Code'!A:A,'All Item Code'!D:D,),0)))</f>
        <v/>
      </c>
      <c r="D742" s="3" t="str">
        <f>IFERROR(__xludf.DUMMYFUNCTION("if(isblank(B742),,ifna(textjoin(""; "",,filter('On Hand'!E:E,'On Hand'!A:A=A742)),ifna(xlookup(A742,'On Hand'!A:A,'On Hand'!E:E,),)))"),"")</f>
        <v/>
      </c>
    </row>
    <row r="743">
      <c r="A743" s="3" t="str">
        <f t="array" ref="A743">ifna(_xlfn.xlookup(B743,'All Item Code'!B:B,'All Item Code'!A:A,),)</f>
        <v/>
      </c>
      <c r="B743" s="3"/>
      <c r="C743" s="3" t="str">
        <f t="array" ref="C743">if(B743="Tidak Ada",,if(isblank(B743),,ifna(sumif('On Hand'!A:A,A743,'On Hand'!D:D)&amp;" "&amp;_xlfn.xlookup(A743,'All Item Code'!A:A,'All Item Code'!D:D,),0)))</f>
        <v/>
      </c>
      <c r="D743" s="3" t="str">
        <f>IFERROR(__xludf.DUMMYFUNCTION("if(isblank(B743),,ifna(textjoin(""; "",,filter('On Hand'!E:E,'On Hand'!A:A=A743)),ifna(xlookup(A743,'On Hand'!A:A,'On Hand'!E:E,),)))"),"")</f>
        <v/>
      </c>
    </row>
    <row r="744">
      <c r="A744" s="3" t="str">
        <f t="array" ref="A744">ifna(_xlfn.xlookup(B744,'All Item Code'!B:B,'All Item Code'!A:A,),)</f>
        <v/>
      </c>
      <c r="B744" s="3"/>
      <c r="C744" s="3" t="str">
        <f t="array" ref="C744">if(B744="Tidak Ada",,if(isblank(B744),,ifna(sumif('On Hand'!A:A,A744,'On Hand'!D:D)&amp;" "&amp;_xlfn.xlookup(A744,'All Item Code'!A:A,'All Item Code'!D:D,),0)))</f>
        <v/>
      </c>
      <c r="D744" s="3" t="str">
        <f>IFERROR(__xludf.DUMMYFUNCTION("if(isblank(B744),,ifna(textjoin(""; "",,filter('On Hand'!E:E,'On Hand'!A:A=A744)),ifna(xlookup(A744,'On Hand'!A:A,'On Hand'!E:E,),)))"),"")</f>
        <v/>
      </c>
    </row>
    <row r="745">
      <c r="A745" s="3" t="str">
        <f t="array" ref="A745">ifna(_xlfn.xlookup(B745,'All Item Code'!B:B,'All Item Code'!A:A,),)</f>
        <v/>
      </c>
      <c r="B745" s="3"/>
      <c r="C745" s="3" t="str">
        <f t="array" ref="C745">if(B745="Tidak Ada",,if(isblank(B745),,ifna(sumif('On Hand'!A:A,A745,'On Hand'!D:D)&amp;" "&amp;_xlfn.xlookup(A745,'All Item Code'!A:A,'All Item Code'!D:D,),0)))</f>
        <v/>
      </c>
      <c r="D745" s="3" t="str">
        <f>IFERROR(__xludf.DUMMYFUNCTION("if(isblank(B745),,ifna(textjoin(""; "",,filter('On Hand'!E:E,'On Hand'!A:A=A745)),ifna(xlookup(A745,'On Hand'!A:A,'On Hand'!E:E,),)))"),"")</f>
        <v/>
      </c>
    </row>
    <row r="746">
      <c r="A746" s="3" t="str">
        <f t="array" ref="A746">ifna(_xlfn.xlookup(B746,'All Item Code'!B:B,'All Item Code'!A:A,),)</f>
        <v/>
      </c>
      <c r="B746" s="3"/>
      <c r="C746" s="3" t="str">
        <f t="array" ref="C746">if(B746="Tidak Ada",,if(isblank(B746),,ifna(sumif('On Hand'!A:A,A746,'On Hand'!D:D)&amp;" "&amp;_xlfn.xlookup(A746,'All Item Code'!A:A,'All Item Code'!D:D,),0)))</f>
        <v/>
      </c>
      <c r="D746" s="3" t="str">
        <f>IFERROR(__xludf.DUMMYFUNCTION("if(isblank(B746),,ifna(textjoin(""; "",,filter('On Hand'!E:E,'On Hand'!A:A=A746)),ifna(xlookup(A746,'On Hand'!A:A,'On Hand'!E:E,),)))"),"")</f>
        <v/>
      </c>
    </row>
    <row r="747">
      <c r="A747" s="3" t="str">
        <f t="array" ref="A747">ifna(_xlfn.xlookup(B747,'All Item Code'!B:B,'All Item Code'!A:A,),)</f>
        <v/>
      </c>
      <c r="B747" s="3"/>
      <c r="C747" s="3" t="str">
        <f t="array" ref="C747">if(B747="Tidak Ada",,if(isblank(B747),,ifna(sumif('On Hand'!A:A,A747,'On Hand'!D:D)&amp;" "&amp;_xlfn.xlookup(A747,'All Item Code'!A:A,'All Item Code'!D:D,),0)))</f>
        <v/>
      </c>
      <c r="D747" s="3" t="str">
        <f>IFERROR(__xludf.DUMMYFUNCTION("if(isblank(B747),,ifna(textjoin(""; "",,filter('On Hand'!E:E,'On Hand'!A:A=A747)),ifna(xlookup(A747,'On Hand'!A:A,'On Hand'!E:E,),)))"),"")</f>
        <v/>
      </c>
    </row>
    <row r="748">
      <c r="A748" s="3" t="str">
        <f t="array" ref="A748">ifna(_xlfn.xlookup(B748,'All Item Code'!B:B,'All Item Code'!A:A,),)</f>
        <v/>
      </c>
      <c r="B748" s="3"/>
      <c r="C748" s="3" t="str">
        <f t="array" ref="C748">if(B748="Tidak Ada",,if(isblank(B748),,ifna(sumif('On Hand'!A:A,A748,'On Hand'!D:D)&amp;" "&amp;_xlfn.xlookup(A748,'All Item Code'!A:A,'All Item Code'!D:D,),0)))</f>
        <v/>
      </c>
      <c r="D748" s="3" t="str">
        <f>IFERROR(__xludf.DUMMYFUNCTION("if(isblank(B748),,ifna(textjoin(""; "",,filter('On Hand'!E:E,'On Hand'!A:A=A748)),ifna(xlookup(A748,'On Hand'!A:A,'On Hand'!E:E,),)))"),"")</f>
        <v/>
      </c>
    </row>
    <row r="749">
      <c r="A749" s="3" t="str">
        <f t="array" ref="A749">ifna(_xlfn.xlookup(B749,'All Item Code'!B:B,'All Item Code'!A:A,),)</f>
        <v/>
      </c>
      <c r="B749" s="3"/>
      <c r="C749" s="3" t="str">
        <f t="array" ref="C749">if(B749="Tidak Ada",,if(isblank(B749),,ifna(sumif('On Hand'!A:A,A749,'On Hand'!D:D)&amp;" "&amp;_xlfn.xlookup(A749,'All Item Code'!A:A,'All Item Code'!D:D,),0)))</f>
        <v/>
      </c>
      <c r="D749" s="3" t="str">
        <f>IFERROR(__xludf.DUMMYFUNCTION("if(isblank(B749),,ifna(textjoin(""; "",,filter('On Hand'!E:E,'On Hand'!A:A=A749)),ifna(xlookup(A749,'On Hand'!A:A,'On Hand'!E:E,),)))"),"")</f>
        <v/>
      </c>
    </row>
    <row r="750">
      <c r="A750" s="3" t="str">
        <f t="array" ref="A750">ifna(_xlfn.xlookup(B750,'All Item Code'!B:B,'All Item Code'!A:A,),)</f>
        <v/>
      </c>
      <c r="B750" s="3"/>
      <c r="C750" s="3" t="str">
        <f t="array" ref="C750">if(B750="Tidak Ada",,if(isblank(B750),,ifna(sumif('On Hand'!A:A,A750,'On Hand'!D:D)&amp;" "&amp;_xlfn.xlookup(A750,'All Item Code'!A:A,'All Item Code'!D:D,),0)))</f>
        <v/>
      </c>
      <c r="D750" s="3" t="str">
        <f>IFERROR(__xludf.DUMMYFUNCTION("if(isblank(B750),,ifna(textjoin(""; "",,filter('On Hand'!E:E,'On Hand'!A:A=A750)),ifna(xlookup(A750,'On Hand'!A:A,'On Hand'!E:E,),)))"),"")</f>
        <v/>
      </c>
    </row>
    <row r="751">
      <c r="A751" s="3" t="str">
        <f t="array" ref="A751">ifna(_xlfn.xlookup(B751,'All Item Code'!B:B,'All Item Code'!A:A,),)</f>
        <v/>
      </c>
      <c r="B751" s="3"/>
      <c r="C751" s="3" t="str">
        <f t="array" ref="C751">if(B751="Tidak Ada",,if(isblank(B751),,ifna(sumif('On Hand'!A:A,A751,'On Hand'!D:D)&amp;" "&amp;_xlfn.xlookup(A751,'All Item Code'!A:A,'All Item Code'!D:D,),0)))</f>
        <v/>
      </c>
      <c r="D751" s="3" t="str">
        <f>IFERROR(__xludf.DUMMYFUNCTION("if(isblank(B751),,ifna(textjoin(""; "",,filter('On Hand'!E:E,'On Hand'!A:A=A751)),ifna(xlookup(A751,'On Hand'!A:A,'On Hand'!E:E,),)))"),"")</f>
        <v/>
      </c>
    </row>
    <row r="752">
      <c r="A752" s="3" t="str">
        <f t="array" ref="A752">ifna(_xlfn.xlookup(B752,'All Item Code'!B:B,'All Item Code'!A:A,),)</f>
        <v/>
      </c>
      <c r="B752" s="3"/>
      <c r="C752" s="3" t="str">
        <f t="array" ref="C752">if(B752="Tidak Ada",,if(isblank(B752),,ifna(sumif('On Hand'!A:A,A752,'On Hand'!D:D)&amp;" "&amp;_xlfn.xlookup(A752,'All Item Code'!A:A,'All Item Code'!D:D,),0)))</f>
        <v/>
      </c>
      <c r="D752" s="3" t="str">
        <f>IFERROR(__xludf.DUMMYFUNCTION("if(isblank(B752),,ifna(textjoin(""; "",,filter('On Hand'!E:E,'On Hand'!A:A=A752)),ifna(xlookup(A752,'On Hand'!A:A,'On Hand'!E:E,),)))"),"")</f>
        <v/>
      </c>
    </row>
    <row r="753">
      <c r="A753" s="3" t="str">
        <f t="array" ref="A753">ifna(_xlfn.xlookup(B753,'All Item Code'!B:B,'All Item Code'!A:A,),)</f>
        <v/>
      </c>
      <c r="B753" s="3"/>
      <c r="C753" s="3" t="str">
        <f t="array" ref="C753">if(B753="Tidak Ada",,if(isblank(B753),,ifna(sumif('On Hand'!A:A,A753,'On Hand'!D:D)&amp;" "&amp;_xlfn.xlookup(A753,'All Item Code'!A:A,'All Item Code'!D:D,),0)))</f>
        <v/>
      </c>
      <c r="D753" s="3" t="str">
        <f>IFERROR(__xludf.DUMMYFUNCTION("if(isblank(B753),,ifna(textjoin(""; "",,filter('On Hand'!E:E,'On Hand'!A:A=A753)),ifna(xlookup(A753,'On Hand'!A:A,'On Hand'!E:E,),)))"),"")</f>
        <v/>
      </c>
    </row>
    <row r="754">
      <c r="A754" s="3" t="str">
        <f t="array" ref="A754">ifna(_xlfn.xlookup(B754,'All Item Code'!B:B,'All Item Code'!A:A,),)</f>
        <v/>
      </c>
      <c r="B754" s="3"/>
      <c r="C754" s="3" t="str">
        <f t="array" ref="C754">if(B754="Tidak Ada",,if(isblank(B754),,ifna(sumif('On Hand'!A:A,A754,'On Hand'!D:D)&amp;" "&amp;_xlfn.xlookup(A754,'All Item Code'!A:A,'All Item Code'!D:D,),0)))</f>
        <v/>
      </c>
      <c r="D754" s="3" t="str">
        <f>IFERROR(__xludf.DUMMYFUNCTION("if(isblank(B754),,ifna(textjoin(""; "",,filter('On Hand'!E:E,'On Hand'!A:A=A754)),ifna(xlookup(A754,'On Hand'!A:A,'On Hand'!E:E,),)))"),"")</f>
        <v/>
      </c>
    </row>
    <row r="755">
      <c r="A755" s="3" t="str">
        <f t="array" ref="A755">ifna(_xlfn.xlookup(B755,'All Item Code'!B:B,'All Item Code'!A:A,),)</f>
        <v/>
      </c>
      <c r="B755" s="3"/>
      <c r="C755" s="3" t="str">
        <f t="array" ref="C755">if(B755="Tidak Ada",,if(isblank(B755),,ifna(sumif('On Hand'!A:A,A755,'On Hand'!D:D)&amp;" "&amp;_xlfn.xlookup(A755,'All Item Code'!A:A,'All Item Code'!D:D,),0)))</f>
        <v/>
      </c>
      <c r="D755" s="3" t="str">
        <f>IFERROR(__xludf.DUMMYFUNCTION("if(isblank(B755),,ifna(textjoin(""; "",,filter('On Hand'!E:E,'On Hand'!A:A=A755)),ifna(xlookup(A755,'On Hand'!A:A,'On Hand'!E:E,),)))"),"")</f>
        <v/>
      </c>
    </row>
    <row r="756">
      <c r="A756" s="3" t="str">
        <f t="array" ref="A756">ifna(_xlfn.xlookup(B756,'All Item Code'!B:B,'All Item Code'!A:A,),)</f>
        <v/>
      </c>
      <c r="B756" s="3"/>
      <c r="C756" s="3" t="str">
        <f t="array" ref="C756">if(B756="Tidak Ada",,if(isblank(B756),,ifna(sumif('On Hand'!A:A,A756,'On Hand'!D:D)&amp;" "&amp;_xlfn.xlookup(A756,'All Item Code'!A:A,'All Item Code'!D:D,),0)))</f>
        <v/>
      </c>
      <c r="D756" s="3" t="str">
        <f>IFERROR(__xludf.DUMMYFUNCTION("if(isblank(B756),,ifna(textjoin(""; "",,filter('On Hand'!E:E,'On Hand'!A:A=A756)),ifna(xlookup(A756,'On Hand'!A:A,'On Hand'!E:E,),)))"),"")</f>
        <v/>
      </c>
    </row>
    <row r="757">
      <c r="A757" s="3" t="str">
        <f t="array" ref="A757">ifna(_xlfn.xlookup(B757,'All Item Code'!B:B,'All Item Code'!A:A,),)</f>
        <v/>
      </c>
      <c r="B757" s="3"/>
      <c r="C757" s="3" t="str">
        <f t="array" ref="C757">if(B757="Tidak Ada",,if(isblank(B757),,ifna(sumif('On Hand'!A:A,A757,'On Hand'!D:D)&amp;" "&amp;_xlfn.xlookup(A757,'All Item Code'!A:A,'All Item Code'!D:D,),0)))</f>
        <v/>
      </c>
      <c r="D757" s="3" t="str">
        <f>IFERROR(__xludf.DUMMYFUNCTION("if(isblank(B757),,ifna(textjoin(""; "",,filter('On Hand'!E:E,'On Hand'!A:A=A757)),ifna(xlookup(A757,'On Hand'!A:A,'On Hand'!E:E,),)))"),"")</f>
        <v/>
      </c>
    </row>
    <row r="758">
      <c r="A758" s="3" t="str">
        <f t="array" ref="A758">ifna(_xlfn.xlookup(B758,'All Item Code'!B:B,'All Item Code'!A:A,),)</f>
        <v/>
      </c>
      <c r="B758" s="3"/>
      <c r="C758" s="3" t="str">
        <f t="array" ref="C758">if(B758="Tidak Ada",,if(isblank(B758),,ifna(sumif('On Hand'!A:A,A758,'On Hand'!D:D)&amp;" "&amp;_xlfn.xlookup(A758,'All Item Code'!A:A,'All Item Code'!D:D,),0)))</f>
        <v/>
      </c>
      <c r="D758" s="3" t="str">
        <f>IFERROR(__xludf.DUMMYFUNCTION("if(isblank(B758),,ifna(textjoin(""; "",,filter('On Hand'!E:E,'On Hand'!A:A=A758)),ifna(xlookup(A758,'On Hand'!A:A,'On Hand'!E:E,),)))"),"")</f>
        <v/>
      </c>
    </row>
    <row r="759">
      <c r="A759" s="3" t="str">
        <f t="array" ref="A759">ifna(_xlfn.xlookup(B759,'All Item Code'!B:B,'All Item Code'!A:A,),)</f>
        <v/>
      </c>
      <c r="B759" s="3"/>
      <c r="C759" s="3" t="str">
        <f t="array" ref="C759">if(B759="Tidak Ada",,if(isblank(B759),,ifna(sumif('On Hand'!A:A,A759,'On Hand'!D:D)&amp;" "&amp;_xlfn.xlookup(A759,'All Item Code'!A:A,'All Item Code'!D:D,),0)))</f>
        <v/>
      </c>
      <c r="D759" s="3" t="str">
        <f>IFERROR(__xludf.DUMMYFUNCTION("if(isblank(B759),,ifna(textjoin(""; "",,filter('On Hand'!E:E,'On Hand'!A:A=A759)),ifna(xlookup(A759,'On Hand'!A:A,'On Hand'!E:E,),)))"),"")</f>
        <v/>
      </c>
    </row>
    <row r="760">
      <c r="A760" s="3" t="str">
        <f t="array" ref="A760">ifna(_xlfn.xlookup(B760,'All Item Code'!B:B,'All Item Code'!A:A,),)</f>
        <v/>
      </c>
      <c r="B760" s="3"/>
      <c r="C760" s="3" t="str">
        <f t="array" ref="C760">if(B760="Tidak Ada",,if(isblank(B760),,ifna(sumif('On Hand'!A:A,A760,'On Hand'!D:D)&amp;" "&amp;_xlfn.xlookup(A760,'All Item Code'!A:A,'All Item Code'!D:D,),0)))</f>
        <v/>
      </c>
      <c r="D760" s="3" t="str">
        <f>IFERROR(__xludf.DUMMYFUNCTION("if(isblank(B760),,ifna(textjoin(""; "",,filter('On Hand'!E:E,'On Hand'!A:A=A760)),ifna(xlookup(A760,'On Hand'!A:A,'On Hand'!E:E,),)))"),"")</f>
        <v/>
      </c>
    </row>
    <row r="761">
      <c r="A761" s="3" t="str">
        <f t="array" ref="A761">ifna(_xlfn.xlookup(B761,'All Item Code'!B:B,'All Item Code'!A:A,),)</f>
        <v/>
      </c>
      <c r="B761" s="3"/>
      <c r="C761" s="3" t="str">
        <f t="array" ref="C761">if(B761="Tidak Ada",,if(isblank(B761),,ifna(sumif('On Hand'!A:A,A761,'On Hand'!D:D)&amp;" "&amp;_xlfn.xlookup(A761,'All Item Code'!A:A,'All Item Code'!D:D,),0)))</f>
        <v/>
      </c>
      <c r="D761" s="3" t="str">
        <f>IFERROR(__xludf.DUMMYFUNCTION("if(isblank(B761),,ifna(textjoin(""; "",,filter('On Hand'!E:E,'On Hand'!A:A=A761)),ifna(xlookup(A761,'On Hand'!A:A,'On Hand'!E:E,),)))"),"")</f>
        <v/>
      </c>
    </row>
    <row r="762">
      <c r="A762" s="3" t="str">
        <f t="array" ref="A762">ifna(_xlfn.xlookup(B762,'All Item Code'!B:B,'All Item Code'!A:A,),)</f>
        <v/>
      </c>
      <c r="B762" s="3"/>
      <c r="C762" s="3" t="str">
        <f t="array" ref="C762">if(B762="Tidak Ada",,if(isblank(B762),,ifna(sumif('On Hand'!A:A,A762,'On Hand'!D:D)&amp;" "&amp;_xlfn.xlookup(A762,'All Item Code'!A:A,'All Item Code'!D:D,),0)))</f>
        <v/>
      </c>
      <c r="D762" s="3" t="str">
        <f>IFERROR(__xludf.DUMMYFUNCTION("if(isblank(B762),,ifna(textjoin(""; "",,filter('On Hand'!E:E,'On Hand'!A:A=A762)),ifna(xlookup(A762,'On Hand'!A:A,'On Hand'!E:E,),)))"),"")</f>
        <v/>
      </c>
    </row>
    <row r="763">
      <c r="A763" s="3" t="str">
        <f t="array" ref="A763">ifna(_xlfn.xlookup(B763,'All Item Code'!B:B,'All Item Code'!A:A,),)</f>
        <v/>
      </c>
      <c r="B763" s="3"/>
      <c r="C763" s="3" t="str">
        <f t="array" ref="C763">if(B763="Tidak Ada",,if(isblank(B763),,ifna(sumif('On Hand'!A:A,A763,'On Hand'!D:D)&amp;" "&amp;_xlfn.xlookup(A763,'All Item Code'!A:A,'All Item Code'!D:D,),0)))</f>
        <v/>
      </c>
      <c r="D763" s="3" t="str">
        <f>IFERROR(__xludf.DUMMYFUNCTION("if(isblank(B763),,ifna(textjoin(""; "",,filter('On Hand'!E:E,'On Hand'!A:A=A763)),ifna(xlookup(A763,'On Hand'!A:A,'On Hand'!E:E,),)))"),"")</f>
        <v/>
      </c>
    </row>
    <row r="764">
      <c r="A764" s="3" t="str">
        <f t="array" ref="A764">ifna(_xlfn.xlookup(B764,'All Item Code'!B:B,'All Item Code'!A:A,),)</f>
        <v/>
      </c>
      <c r="B764" s="3"/>
      <c r="C764" s="3" t="str">
        <f t="array" ref="C764">if(B764="Tidak Ada",,if(isblank(B764),,ifna(sumif('On Hand'!A:A,A764,'On Hand'!D:D)&amp;" "&amp;_xlfn.xlookup(A764,'All Item Code'!A:A,'All Item Code'!D:D,),0)))</f>
        <v/>
      </c>
      <c r="D764" s="3" t="str">
        <f>IFERROR(__xludf.DUMMYFUNCTION("if(isblank(B764),,ifna(textjoin(""; "",,filter('On Hand'!E:E,'On Hand'!A:A=A764)),ifna(xlookup(A764,'On Hand'!A:A,'On Hand'!E:E,),)))"),"")</f>
        <v/>
      </c>
    </row>
    <row r="765">
      <c r="A765" s="3" t="str">
        <f t="array" ref="A765">ifna(_xlfn.xlookup(B765,'All Item Code'!B:B,'All Item Code'!A:A,),)</f>
        <v/>
      </c>
      <c r="B765" s="3"/>
      <c r="C765" s="3" t="str">
        <f t="array" ref="C765">if(B765="Tidak Ada",,if(isblank(B765),,ifna(sumif('On Hand'!A:A,A765,'On Hand'!D:D)&amp;" "&amp;_xlfn.xlookup(A765,'All Item Code'!A:A,'All Item Code'!D:D,),0)))</f>
        <v/>
      </c>
      <c r="D765" s="3" t="str">
        <f>IFERROR(__xludf.DUMMYFUNCTION("if(isblank(B765),,ifna(textjoin(""; "",,filter('On Hand'!E:E,'On Hand'!A:A=A765)),ifna(xlookup(A765,'On Hand'!A:A,'On Hand'!E:E,),)))"),"")</f>
        <v/>
      </c>
    </row>
    <row r="766">
      <c r="A766" s="3" t="str">
        <f t="array" ref="A766">ifna(_xlfn.xlookup(B766,'All Item Code'!B:B,'All Item Code'!A:A,),)</f>
        <v/>
      </c>
      <c r="B766" s="3"/>
      <c r="C766" s="3" t="str">
        <f t="array" ref="C766">if(B766="Tidak Ada",,if(isblank(B766),,ifna(sumif('On Hand'!A:A,A766,'On Hand'!D:D)&amp;" "&amp;_xlfn.xlookup(A766,'All Item Code'!A:A,'All Item Code'!D:D,),0)))</f>
        <v/>
      </c>
      <c r="D766" s="3" t="str">
        <f>IFERROR(__xludf.DUMMYFUNCTION("if(isblank(B766),,ifna(textjoin(""; "",,filter('On Hand'!E:E,'On Hand'!A:A=A766)),ifna(xlookup(A766,'On Hand'!A:A,'On Hand'!E:E,),)))"),"")</f>
        <v/>
      </c>
    </row>
    <row r="767">
      <c r="A767" s="3" t="str">
        <f t="array" ref="A767">ifna(_xlfn.xlookup(B767,'All Item Code'!B:B,'All Item Code'!A:A,),)</f>
        <v/>
      </c>
      <c r="B767" s="3"/>
      <c r="C767" s="3" t="str">
        <f t="array" ref="C767">if(B767="Tidak Ada",,if(isblank(B767),,ifna(sumif('On Hand'!A:A,A767,'On Hand'!D:D)&amp;" "&amp;_xlfn.xlookup(A767,'All Item Code'!A:A,'All Item Code'!D:D,),0)))</f>
        <v/>
      </c>
      <c r="D767" s="3" t="str">
        <f>IFERROR(__xludf.DUMMYFUNCTION("if(isblank(B767),,ifna(textjoin(""; "",,filter('On Hand'!E:E,'On Hand'!A:A=A767)),ifna(xlookup(A767,'On Hand'!A:A,'On Hand'!E:E,),)))"),"")</f>
        <v/>
      </c>
    </row>
    <row r="768">
      <c r="A768" s="3" t="str">
        <f t="array" ref="A768">ifna(_xlfn.xlookup(B768,'All Item Code'!B:B,'All Item Code'!A:A,),)</f>
        <v/>
      </c>
      <c r="B768" s="3"/>
      <c r="C768" s="3" t="str">
        <f t="array" ref="C768">if(B768="Tidak Ada",,if(isblank(B768),,ifna(sumif('On Hand'!A:A,A768,'On Hand'!D:D)&amp;" "&amp;_xlfn.xlookup(A768,'All Item Code'!A:A,'All Item Code'!D:D,),0)))</f>
        <v/>
      </c>
      <c r="D768" s="3" t="str">
        <f>IFERROR(__xludf.DUMMYFUNCTION("if(isblank(B768),,ifna(textjoin(""; "",,filter('On Hand'!E:E,'On Hand'!A:A=A768)),ifna(xlookup(A768,'On Hand'!A:A,'On Hand'!E:E,),)))"),"")</f>
        <v/>
      </c>
    </row>
    <row r="769">
      <c r="A769" s="3" t="str">
        <f t="array" ref="A769">ifna(_xlfn.xlookup(B769,'All Item Code'!B:B,'All Item Code'!A:A,),)</f>
        <v/>
      </c>
      <c r="B769" s="3"/>
      <c r="C769" s="3" t="str">
        <f t="array" ref="C769">if(B769="Tidak Ada",,if(isblank(B769),,ifna(sumif('On Hand'!A:A,A769,'On Hand'!D:D)&amp;" "&amp;_xlfn.xlookup(A769,'All Item Code'!A:A,'All Item Code'!D:D,),0)))</f>
        <v/>
      </c>
      <c r="D769" s="3" t="str">
        <f>IFERROR(__xludf.DUMMYFUNCTION("if(isblank(B769),,ifna(textjoin(""; "",,filter('On Hand'!E:E,'On Hand'!A:A=A769)),ifna(xlookup(A769,'On Hand'!A:A,'On Hand'!E:E,),)))"),"")</f>
        <v/>
      </c>
    </row>
    <row r="770">
      <c r="A770" s="3" t="str">
        <f t="array" ref="A770">ifna(_xlfn.xlookup(B770,'All Item Code'!B:B,'All Item Code'!A:A,),)</f>
        <v/>
      </c>
      <c r="B770" s="3"/>
      <c r="C770" s="3" t="str">
        <f t="array" ref="C770">if(B770="Tidak Ada",,if(isblank(B770),,ifna(sumif('On Hand'!A:A,A770,'On Hand'!D:D)&amp;" "&amp;_xlfn.xlookup(A770,'All Item Code'!A:A,'All Item Code'!D:D,),0)))</f>
        <v/>
      </c>
      <c r="D770" s="3" t="str">
        <f>IFERROR(__xludf.DUMMYFUNCTION("if(isblank(B770),,ifna(textjoin(""; "",,filter('On Hand'!E:E,'On Hand'!A:A=A770)),ifna(xlookup(A770,'On Hand'!A:A,'On Hand'!E:E,),)))"),"")</f>
        <v/>
      </c>
    </row>
    <row r="771">
      <c r="A771" s="3" t="str">
        <f t="array" ref="A771">ifna(_xlfn.xlookup(B771,'All Item Code'!B:B,'All Item Code'!A:A,),)</f>
        <v/>
      </c>
      <c r="B771" s="3"/>
      <c r="C771" s="3" t="str">
        <f t="array" ref="C771">if(B771="Tidak Ada",,if(isblank(B771),,ifna(sumif('On Hand'!A:A,A771,'On Hand'!D:D)&amp;" "&amp;_xlfn.xlookup(A771,'All Item Code'!A:A,'All Item Code'!D:D,),0)))</f>
        <v/>
      </c>
      <c r="D771" s="3" t="str">
        <f>IFERROR(__xludf.DUMMYFUNCTION("if(isblank(B771),,ifna(textjoin(""; "",,filter('On Hand'!E:E,'On Hand'!A:A=A771)),ifna(xlookup(A771,'On Hand'!A:A,'On Hand'!E:E,),)))"),"")</f>
        <v/>
      </c>
    </row>
    <row r="772">
      <c r="A772" s="3" t="str">
        <f t="array" ref="A772">ifna(_xlfn.xlookup(B772,'All Item Code'!B:B,'All Item Code'!A:A,),)</f>
        <v/>
      </c>
      <c r="B772" s="3"/>
      <c r="C772" s="3" t="str">
        <f t="array" ref="C772">if(B772="Tidak Ada",,if(isblank(B772),,ifna(sumif('On Hand'!A:A,A772,'On Hand'!D:D)&amp;" "&amp;_xlfn.xlookup(A772,'All Item Code'!A:A,'All Item Code'!D:D,),0)))</f>
        <v/>
      </c>
      <c r="D772" s="3" t="str">
        <f>IFERROR(__xludf.DUMMYFUNCTION("if(isblank(B772),,ifna(textjoin(""; "",,filter('On Hand'!E:E,'On Hand'!A:A=A772)),ifna(xlookup(A772,'On Hand'!A:A,'On Hand'!E:E,),)))"),"")</f>
        <v/>
      </c>
    </row>
    <row r="773">
      <c r="A773" s="3" t="str">
        <f t="array" ref="A773">ifna(_xlfn.xlookup(B773,'All Item Code'!B:B,'All Item Code'!A:A,),)</f>
        <v/>
      </c>
      <c r="B773" s="3"/>
      <c r="C773" s="3" t="str">
        <f t="array" ref="C773">if(B773="Tidak Ada",,if(isblank(B773),,ifna(sumif('On Hand'!A:A,A773,'On Hand'!D:D)&amp;" "&amp;_xlfn.xlookup(A773,'All Item Code'!A:A,'All Item Code'!D:D,),0)))</f>
        <v/>
      </c>
      <c r="D773" s="3" t="str">
        <f>IFERROR(__xludf.DUMMYFUNCTION("if(isblank(B773),,ifna(textjoin(""; "",,filter('On Hand'!E:E,'On Hand'!A:A=A773)),ifna(xlookup(A773,'On Hand'!A:A,'On Hand'!E:E,),)))"),"")</f>
        <v/>
      </c>
    </row>
    <row r="774">
      <c r="A774" s="3" t="str">
        <f t="array" ref="A774">ifna(_xlfn.xlookup(B774,'All Item Code'!B:B,'All Item Code'!A:A,),)</f>
        <v/>
      </c>
      <c r="B774" s="3"/>
      <c r="C774" s="3" t="str">
        <f t="array" ref="C774">if(B774="Tidak Ada",,if(isblank(B774),,ifna(sumif('On Hand'!A:A,A774,'On Hand'!D:D)&amp;" "&amp;_xlfn.xlookup(A774,'All Item Code'!A:A,'All Item Code'!D:D,),0)))</f>
        <v/>
      </c>
      <c r="D774" s="3" t="str">
        <f>IFERROR(__xludf.DUMMYFUNCTION("if(isblank(B774),,ifna(textjoin(""; "",,filter('On Hand'!E:E,'On Hand'!A:A=A774)),ifna(xlookup(A774,'On Hand'!A:A,'On Hand'!E:E,),)))"),"")</f>
        <v/>
      </c>
    </row>
    <row r="775">
      <c r="A775" s="3" t="str">
        <f t="array" ref="A775">ifna(_xlfn.xlookup(B775,'All Item Code'!B:B,'All Item Code'!A:A,),)</f>
        <v/>
      </c>
      <c r="B775" s="3"/>
      <c r="C775" s="3" t="str">
        <f t="array" ref="C775">if(B775="Tidak Ada",,if(isblank(B775),,ifna(sumif('On Hand'!A:A,A775,'On Hand'!D:D)&amp;" "&amp;_xlfn.xlookup(A775,'All Item Code'!A:A,'All Item Code'!D:D,),0)))</f>
        <v/>
      </c>
      <c r="D775" s="3" t="str">
        <f>IFERROR(__xludf.DUMMYFUNCTION("if(isblank(B775),,ifna(textjoin(""; "",,filter('On Hand'!E:E,'On Hand'!A:A=A775)),ifna(xlookup(A775,'On Hand'!A:A,'On Hand'!E:E,),)))"),"")</f>
        <v/>
      </c>
    </row>
    <row r="776">
      <c r="A776" s="3" t="str">
        <f t="array" ref="A776">ifna(_xlfn.xlookup(B776,'All Item Code'!B:B,'All Item Code'!A:A,),)</f>
        <v/>
      </c>
      <c r="B776" s="3"/>
      <c r="C776" s="3" t="str">
        <f t="array" ref="C776">if(B776="Tidak Ada",,if(isblank(B776),,ifna(sumif('On Hand'!A:A,A776,'On Hand'!D:D)&amp;" "&amp;_xlfn.xlookup(A776,'All Item Code'!A:A,'All Item Code'!D:D,),0)))</f>
        <v/>
      </c>
      <c r="D776" s="3" t="str">
        <f>IFERROR(__xludf.DUMMYFUNCTION("if(isblank(B776),,ifna(textjoin(""; "",,filter('On Hand'!E:E,'On Hand'!A:A=A776)),ifna(xlookup(A776,'On Hand'!A:A,'On Hand'!E:E,),)))"),"")</f>
        <v/>
      </c>
    </row>
    <row r="777">
      <c r="A777" s="3" t="str">
        <f t="array" ref="A777">ifna(_xlfn.xlookup(B777,'All Item Code'!B:B,'All Item Code'!A:A,),)</f>
        <v/>
      </c>
      <c r="B777" s="3"/>
      <c r="C777" s="3" t="str">
        <f t="array" ref="C777">if(B777="Tidak Ada",,if(isblank(B777),,ifna(sumif('On Hand'!A:A,A777,'On Hand'!D:D)&amp;" "&amp;_xlfn.xlookup(A777,'All Item Code'!A:A,'All Item Code'!D:D,),0)))</f>
        <v/>
      </c>
      <c r="D777" s="3" t="str">
        <f>IFERROR(__xludf.DUMMYFUNCTION("if(isblank(B777),,ifna(textjoin(""; "",,filter('On Hand'!E:E,'On Hand'!A:A=A777)),ifna(xlookup(A777,'On Hand'!A:A,'On Hand'!E:E,),)))"),"")</f>
        <v/>
      </c>
    </row>
    <row r="778">
      <c r="A778" s="3" t="str">
        <f t="array" ref="A778">ifna(_xlfn.xlookup(B778,'All Item Code'!B:B,'All Item Code'!A:A,),)</f>
        <v/>
      </c>
      <c r="B778" s="3"/>
      <c r="C778" s="3" t="str">
        <f t="array" ref="C778">if(B778="Tidak Ada",,if(isblank(B778),,ifna(sumif('On Hand'!A:A,A778,'On Hand'!D:D)&amp;" "&amp;_xlfn.xlookup(A778,'All Item Code'!A:A,'All Item Code'!D:D,),0)))</f>
        <v/>
      </c>
      <c r="D778" s="3" t="str">
        <f>IFERROR(__xludf.DUMMYFUNCTION("if(isblank(B778),,ifna(textjoin(""; "",,filter('On Hand'!E:E,'On Hand'!A:A=A778)),ifna(xlookup(A778,'On Hand'!A:A,'On Hand'!E:E,),)))"),"")</f>
        <v/>
      </c>
    </row>
    <row r="779">
      <c r="A779" s="3" t="str">
        <f t="array" ref="A779">ifna(_xlfn.xlookup(B779,'All Item Code'!B:B,'All Item Code'!A:A,),)</f>
        <v/>
      </c>
      <c r="B779" s="3"/>
      <c r="C779" s="3" t="str">
        <f t="array" ref="C779">if(B779="Tidak Ada",,if(isblank(B779),,ifna(sumif('On Hand'!A:A,A779,'On Hand'!D:D)&amp;" "&amp;_xlfn.xlookup(A779,'All Item Code'!A:A,'All Item Code'!D:D,),0)))</f>
        <v/>
      </c>
      <c r="D779" s="3" t="str">
        <f>IFERROR(__xludf.DUMMYFUNCTION("if(isblank(B779),,ifna(textjoin(""; "",,filter('On Hand'!E:E,'On Hand'!A:A=A779)),ifna(xlookup(A779,'On Hand'!A:A,'On Hand'!E:E,),)))"),"")</f>
        <v/>
      </c>
    </row>
    <row r="780">
      <c r="A780" s="3" t="str">
        <f t="array" ref="A780">ifna(_xlfn.xlookup(B780,'All Item Code'!B:B,'All Item Code'!A:A,),)</f>
        <v/>
      </c>
      <c r="B780" s="3"/>
      <c r="C780" s="3" t="str">
        <f t="array" ref="C780">if(B780="Tidak Ada",,if(isblank(B780),,ifna(sumif('On Hand'!A:A,A780,'On Hand'!D:D)&amp;" "&amp;_xlfn.xlookup(A780,'All Item Code'!A:A,'All Item Code'!D:D,),0)))</f>
        <v/>
      </c>
      <c r="D780" s="3" t="str">
        <f>IFERROR(__xludf.DUMMYFUNCTION("if(isblank(B780),,ifna(textjoin(""; "",,filter('On Hand'!E:E,'On Hand'!A:A=A780)),ifna(xlookup(A780,'On Hand'!A:A,'On Hand'!E:E,),)))"),"")</f>
        <v/>
      </c>
    </row>
    <row r="781">
      <c r="A781" s="3" t="str">
        <f t="array" ref="A781">ifna(_xlfn.xlookup(B781,'All Item Code'!B:B,'All Item Code'!A:A,),)</f>
        <v/>
      </c>
      <c r="B781" s="3"/>
      <c r="C781" s="3" t="str">
        <f t="array" ref="C781">if(B781="Tidak Ada",,if(isblank(B781),,ifna(sumif('On Hand'!A:A,A781,'On Hand'!D:D)&amp;" "&amp;_xlfn.xlookup(A781,'All Item Code'!A:A,'All Item Code'!D:D,),0)))</f>
        <v/>
      </c>
      <c r="D781" s="3" t="str">
        <f>IFERROR(__xludf.DUMMYFUNCTION("if(isblank(B781),,ifna(textjoin(""; "",,filter('On Hand'!E:E,'On Hand'!A:A=A781)),ifna(xlookup(A781,'On Hand'!A:A,'On Hand'!E:E,),)))"),"")</f>
        <v/>
      </c>
    </row>
    <row r="782">
      <c r="A782" s="3" t="str">
        <f t="array" ref="A782">ifna(_xlfn.xlookup(B782,'All Item Code'!B:B,'All Item Code'!A:A,),)</f>
        <v/>
      </c>
      <c r="B782" s="3"/>
      <c r="C782" s="3" t="str">
        <f t="array" ref="C782">if(B782="Tidak Ada",,if(isblank(B782),,ifna(sumif('On Hand'!A:A,A782,'On Hand'!D:D)&amp;" "&amp;_xlfn.xlookup(A782,'All Item Code'!A:A,'All Item Code'!D:D,),0)))</f>
        <v/>
      </c>
      <c r="D782" s="3" t="str">
        <f>IFERROR(__xludf.DUMMYFUNCTION("if(isblank(B782),,ifna(textjoin(""; "",,filter('On Hand'!E:E,'On Hand'!A:A=A782)),ifna(xlookup(A782,'On Hand'!A:A,'On Hand'!E:E,),)))"),"")</f>
        <v/>
      </c>
    </row>
    <row r="783">
      <c r="A783" s="3" t="str">
        <f t="array" ref="A783">ifna(_xlfn.xlookup(B783,'All Item Code'!B:B,'All Item Code'!A:A,),)</f>
        <v/>
      </c>
      <c r="B783" s="3"/>
      <c r="C783" s="3" t="str">
        <f t="array" ref="C783">if(B783="Tidak Ada",,if(isblank(B783),,ifna(sumif('On Hand'!A:A,A783,'On Hand'!D:D)&amp;" "&amp;_xlfn.xlookup(A783,'All Item Code'!A:A,'All Item Code'!D:D,),0)))</f>
        <v/>
      </c>
      <c r="D783" s="3" t="str">
        <f>IFERROR(__xludf.DUMMYFUNCTION("if(isblank(B783),,ifna(textjoin(""; "",,filter('On Hand'!E:E,'On Hand'!A:A=A783)),ifna(xlookup(A783,'On Hand'!A:A,'On Hand'!E:E,),)))"),"")</f>
        <v/>
      </c>
    </row>
    <row r="784">
      <c r="A784" s="3" t="str">
        <f t="array" ref="A784">ifna(_xlfn.xlookup(B784,'All Item Code'!B:B,'All Item Code'!A:A,),)</f>
        <v/>
      </c>
      <c r="B784" s="3"/>
      <c r="C784" s="3" t="str">
        <f t="array" ref="C784">if(B784="Tidak Ada",,if(isblank(B784),,ifna(sumif('On Hand'!A:A,A784,'On Hand'!D:D)&amp;" "&amp;_xlfn.xlookup(A784,'All Item Code'!A:A,'All Item Code'!D:D,),0)))</f>
        <v/>
      </c>
      <c r="D784" s="3" t="str">
        <f>IFERROR(__xludf.DUMMYFUNCTION("if(isblank(B784),,ifna(textjoin(""; "",,filter('On Hand'!E:E,'On Hand'!A:A=A784)),ifna(xlookup(A784,'On Hand'!A:A,'On Hand'!E:E,),)))"),"")</f>
        <v/>
      </c>
    </row>
    <row r="785">
      <c r="A785" s="3" t="str">
        <f t="array" ref="A785">ifna(_xlfn.xlookup(B785,'All Item Code'!B:B,'All Item Code'!A:A,),)</f>
        <v/>
      </c>
      <c r="B785" s="3"/>
      <c r="C785" s="3" t="str">
        <f t="array" ref="C785">if(B785="Tidak Ada",,if(isblank(B785),,ifna(sumif('On Hand'!A:A,A785,'On Hand'!D:D)&amp;" "&amp;_xlfn.xlookup(A785,'All Item Code'!A:A,'All Item Code'!D:D,),0)))</f>
        <v/>
      </c>
      <c r="D785" s="3" t="str">
        <f>IFERROR(__xludf.DUMMYFUNCTION("if(isblank(B785),,ifna(textjoin(""; "",,filter('On Hand'!E:E,'On Hand'!A:A=A785)),ifna(xlookup(A785,'On Hand'!A:A,'On Hand'!E:E,),)))"),"")</f>
        <v/>
      </c>
    </row>
    <row r="786">
      <c r="A786" s="3" t="str">
        <f t="array" ref="A786">ifna(_xlfn.xlookup(B786,'All Item Code'!B:B,'All Item Code'!A:A,),)</f>
        <v/>
      </c>
      <c r="B786" s="3"/>
      <c r="C786" s="3" t="str">
        <f t="array" ref="C786">if(B786="Tidak Ada",,if(isblank(B786),,ifna(sumif('On Hand'!A:A,A786,'On Hand'!D:D)&amp;" "&amp;_xlfn.xlookup(A786,'All Item Code'!A:A,'All Item Code'!D:D,),0)))</f>
        <v/>
      </c>
      <c r="D786" s="3" t="str">
        <f>IFERROR(__xludf.DUMMYFUNCTION("if(isblank(B786),,ifna(textjoin(""; "",,filter('On Hand'!E:E,'On Hand'!A:A=A786)),ifna(xlookup(A786,'On Hand'!A:A,'On Hand'!E:E,),)))"),"")</f>
        <v/>
      </c>
    </row>
    <row r="787">
      <c r="A787" s="3" t="str">
        <f t="array" ref="A787">ifna(_xlfn.xlookup(B787,'All Item Code'!B:B,'All Item Code'!A:A,),)</f>
        <v/>
      </c>
      <c r="B787" s="3"/>
      <c r="C787" s="3" t="str">
        <f t="array" ref="C787">if(B787="Tidak Ada",,if(isblank(B787),,ifna(sumif('On Hand'!A:A,A787,'On Hand'!D:D)&amp;" "&amp;_xlfn.xlookup(A787,'All Item Code'!A:A,'All Item Code'!D:D,),0)))</f>
        <v/>
      </c>
      <c r="D787" s="3" t="str">
        <f>IFERROR(__xludf.DUMMYFUNCTION("if(isblank(B787),,ifna(textjoin(""; "",,filter('On Hand'!E:E,'On Hand'!A:A=A787)),ifna(xlookup(A787,'On Hand'!A:A,'On Hand'!E:E,),)))"),"")</f>
        <v/>
      </c>
    </row>
    <row r="788">
      <c r="A788" s="3" t="str">
        <f t="array" ref="A788">ifna(_xlfn.xlookup(B788,'All Item Code'!B:B,'All Item Code'!A:A,),)</f>
        <v/>
      </c>
      <c r="B788" s="3"/>
      <c r="C788" s="3" t="str">
        <f t="array" ref="C788">if(B788="Tidak Ada",,if(isblank(B788),,ifna(sumif('On Hand'!A:A,A788,'On Hand'!D:D)&amp;" "&amp;_xlfn.xlookup(A788,'All Item Code'!A:A,'All Item Code'!D:D,),0)))</f>
        <v/>
      </c>
      <c r="D788" s="3" t="str">
        <f>IFERROR(__xludf.DUMMYFUNCTION("if(isblank(B788),,ifna(textjoin(""; "",,filter('On Hand'!E:E,'On Hand'!A:A=A788)),ifna(xlookup(A788,'On Hand'!A:A,'On Hand'!E:E,),)))"),"")</f>
        <v/>
      </c>
    </row>
    <row r="789">
      <c r="A789" s="3" t="str">
        <f t="array" ref="A789">ifna(_xlfn.xlookup(B789,'All Item Code'!B:B,'All Item Code'!A:A,),)</f>
        <v/>
      </c>
      <c r="B789" s="3"/>
      <c r="C789" s="3" t="str">
        <f t="array" ref="C789">if(B789="Tidak Ada",,if(isblank(B789),,ifna(sumif('On Hand'!A:A,A789,'On Hand'!D:D)&amp;" "&amp;_xlfn.xlookup(A789,'All Item Code'!A:A,'All Item Code'!D:D,),0)))</f>
        <v/>
      </c>
      <c r="D789" s="3" t="str">
        <f>IFERROR(__xludf.DUMMYFUNCTION("if(isblank(B789),,ifna(textjoin(""; "",,filter('On Hand'!E:E,'On Hand'!A:A=A789)),ifna(xlookup(A789,'On Hand'!A:A,'On Hand'!E:E,),)))"),"")</f>
        <v/>
      </c>
    </row>
    <row r="790">
      <c r="A790" s="3" t="str">
        <f t="array" ref="A790">ifna(_xlfn.xlookup(B790,'All Item Code'!B:B,'All Item Code'!A:A,),)</f>
        <v/>
      </c>
      <c r="B790" s="3"/>
      <c r="C790" s="3" t="str">
        <f t="array" ref="C790">if(B790="Tidak Ada",,if(isblank(B790),,ifna(sumif('On Hand'!A:A,A790,'On Hand'!D:D)&amp;" "&amp;_xlfn.xlookup(A790,'All Item Code'!A:A,'All Item Code'!D:D,),0)))</f>
        <v/>
      </c>
      <c r="D790" s="3" t="str">
        <f>IFERROR(__xludf.DUMMYFUNCTION("if(isblank(B790),,ifna(textjoin(""; "",,filter('On Hand'!E:E,'On Hand'!A:A=A790)),ifna(xlookup(A790,'On Hand'!A:A,'On Hand'!E:E,),)))"),"")</f>
        <v/>
      </c>
    </row>
    <row r="791">
      <c r="A791" s="3" t="str">
        <f t="array" ref="A791">ifna(_xlfn.xlookup(B791,'All Item Code'!B:B,'All Item Code'!A:A,),)</f>
        <v/>
      </c>
      <c r="B791" s="3"/>
      <c r="C791" s="3" t="str">
        <f t="array" ref="C791">if(B791="Tidak Ada",,if(isblank(B791),,ifna(sumif('On Hand'!A:A,A791,'On Hand'!D:D)&amp;" "&amp;_xlfn.xlookup(A791,'All Item Code'!A:A,'All Item Code'!D:D,),0)))</f>
        <v/>
      </c>
      <c r="D791" s="3" t="str">
        <f>IFERROR(__xludf.DUMMYFUNCTION("if(isblank(B791),,ifna(textjoin(""; "",,filter('On Hand'!E:E,'On Hand'!A:A=A791)),ifna(xlookup(A791,'On Hand'!A:A,'On Hand'!E:E,),)))"),"")</f>
        <v/>
      </c>
    </row>
    <row r="792">
      <c r="A792" s="3" t="str">
        <f t="array" ref="A792">ifna(_xlfn.xlookup(B792,'All Item Code'!B:B,'All Item Code'!A:A,),)</f>
        <v/>
      </c>
      <c r="B792" s="3"/>
      <c r="C792" s="3" t="str">
        <f t="array" ref="C792">if(B792="Tidak Ada",,if(isblank(B792),,ifna(sumif('On Hand'!A:A,A792,'On Hand'!D:D)&amp;" "&amp;_xlfn.xlookup(A792,'All Item Code'!A:A,'All Item Code'!D:D,),0)))</f>
        <v/>
      </c>
      <c r="D792" s="3" t="str">
        <f>IFERROR(__xludf.DUMMYFUNCTION("if(isblank(B792),,ifna(textjoin(""; "",,filter('On Hand'!E:E,'On Hand'!A:A=A792)),ifna(xlookup(A792,'On Hand'!A:A,'On Hand'!E:E,),)))"),"")</f>
        <v/>
      </c>
    </row>
    <row r="793">
      <c r="A793" s="3" t="str">
        <f t="array" ref="A793">ifna(_xlfn.xlookup(B793,'All Item Code'!B:B,'All Item Code'!A:A,),)</f>
        <v/>
      </c>
      <c r="B793" s="3"/>
      <c r="C793" s="3" t="str">
        <f t="array" ref="C793">if(B793="Tidak Ada",,if(isblank(B793),,ifna(sumif('On Hand'!A:A,A793,'On Hand'!D:D)&amp;" "&amp;_xlfn.xlookup(A793,'All Item Code'!A:A,'All Item Code'!D:D,),0)))</f>
        <v/>
      </c>
      <c r="D793" s="3" t="str">
        <f>IFERROR(__xludf.DUMMYFUNCTION("if(isblank(B793),,ifna(textjoin(""; "",,filter('On Hand'!E:E,'On Hand'!A:A=A793)),ifna(xlookup(A793,'On Hand'!A:A,'On Hand'!E:E,),)))"),"")</f>
        <v/>
      </c>
    </row>
    <row r="794">
      <c r="A794" s="3" t="str">
        <f t="array" ref="A794">ifna(_xlfn.xlookup(B794,'All Item Code'!B:B,'All Item Code'!A:A,),)</f>
        <v/>
      </c>
      <c r="B794" s="3"/>
      <c r="C794" s="3" t="str">
        <f t="array" ref="C794">if(B794="Tidak Ada",,if(isblank(B794),,ifna(sumif('On Hand'!A:A,A794,'On Hand'!D:D)&amp;" "&amp;_xlfn.xlookup(A794,'All Item Code'!A:A,'All Item Code'!D:D,),0)))</f>
        <v/>
      </c>
      <c r="D794" s="3" t="str">
        <f>IFERROR(__xludf.DUMMYFUNCTION("if(isblank(B794),,ifna(textjoin(""; "",,filter('On Hand'!E:E,'On Hand'!A:A=A794)),ifna(xlookup(A794,'On Hand'!A:A,'On Hand'!E:E,),)))"),"")</f>
        <v/>
      </c>
    </row>
    <row r="795">
      <c r="A795" s="3" t="str">
        <f t="array" ref="A795">ifna(_xlfn.xlookup(B795,'All Item Code'!B:B,'All Item Code'!A:A,),)</f>
        <v/>
      </c>
      <c r="B795" s="3"/>
      <c r="C795" s="3" t="str">
        <f t="array" ref="C795">if(B795="Tidak Ada",,if(isblank(B795),,ifna(sumif('On Hand'!A:A,A795,'On Hand'!D:D)&amp;" "&amp;_xlfn.xlookup(A795,'All Item Code'!A:A,'All Item Code'!D:D,),0)))</f>
        <v/>
      </c>
      <c r="D795" s="3" t="str">
        <f>IFERROR(__xludf.DUMMYFUNCTION("if(isblank(B795),,ifna(textjoin(""; "",,filter('On Hand'!E:E,'On Hand'!A:A=A795)),ifna(xlookup(A795,'On Hand'!A:A,'On Hand'!E:E,),)))"),"")</f>
        <v/>
      </c>
    </row>
    <row r="796">
      <c r="A796" s="3" t="str">
        <f t="array" ref="A796">ifna(_xlfn.xlookup(B796,'All Item Code'!B:B,'All Item Code'!A:A,),)</f>
        <v/>
      </c>
      <c r="B796" s="3"/>
      <c r="C796" s="3" t="str">
        <f t="array" ref="C796">if(B796="Tidak Ada",,if(isblank(B796),,ifna(sumif('On Hand'!A:A,A796,'On Hand'!D:D)&amp;" "&amp;_xlfn.xlookup(A796,'All Item Code'!A:A,'All Item Code'!D:D,),0)))</f>
        <v/>
      </c>
      <c r="D796" s="3" t="str">
        <f>IFERROR(__xludf.DUMMYFUNCTION("if(isblank(B796),,ifna(textjoin(""; "",,filter('On Hand'!E:E,'On Hand'!A:A=A796)),ifna(xlookup(A796,'On Hand'!A:A,'On Hand'!E:E,),)))"),"")</f>
        <v/>
      </c>
    </row>
    <row r="797">
      <c r="A797" s="3" t="str">
        <f t="array" ref="A797">ifna(_xlfn.xlookup(B797,'All Item Code'!B:B,'All Item Code'!A:A,),)</f>
        <v/>
      </c>
      <c r="B797" s="3"/>
      <c r="C797" s="3" t="str">
        <f t="array" ref="C797">if(B797="Tidak Ada",,if(isblank(B797),,ifna(sumif('On Hand'!A:A,A797,'On Hand'!D:D)&amp;" "&amp;_xlfn.xlookup(A797,'All Item Code'!A:A,'All Item Code'!D:D,),0)))</f>
        <v/>
      </c>
      <c r="D797" s="3" t="str">
        <f>IFERROR(__xludf.DUMMYFUNCTION("if(isblank(B797),,ifna(textjoin(""; "",,filter('On Hand'!E:E,'On Hand'!A:A=A797)),ifna(xlookup(A797,'On Hand'!A:A,'On Hand'!E:E,),)))"),"")</f>
        <v/>
      </c>
    </row>
    <row r="798">
      <c r="A798" s="3" t="str">
        <f t="array" ref="A798">ifna(_xlfn.xlookup(B798,'All Item Code'!B:B,'All Item Code'!A:A,),)</f>
        <v/>
      </c>
      <c r="B798" s="3"/>
      <c r="C798" s="3" t="str">
        <f t="array" ref="C798">if(B798="Tidak Ada",,if(isblank(B798),,ifna(sumif('On Hand'!A:A,A798,'On Hand'!D:D)&amp;" "&amp;_xlfn.xlookup(A798,'All Item Code'!A:A,'All Item Code'!D:D,),0)))</f>
        <v/>
      </c>
      <c r="D798" s="3" t="str">
        <f>IFERROR(__xludf.DUMMYFUNCTION("if(isblank(B798),,ifna(textjoin(""; "",,filter('On Hand'!E:E,'On Hand'!A:A=A798)),ifna(xlookup(A798,'On Hand'!A:A,'On Hand'!E:E,),)))"),"")</f>
        <v/>
      </c>
    </row>
    <row r="799">
      <c r="A799" s="3" t="str">
        <f t="array" ref="A799">ifna(_xlfn.xlookup(B799,'All Item Code'!B:B,'All Item Code'!A:A,),)</f>
        <v/>
      </c>
      <c r="B799" s="3"/>
      <c r="C799" s="3" t="str">
        <f t="array" ref="C799">if(B799="Tidak Ada",,if(isblank(B799),,ifna(sumif('On Hand'!A:A,A799,'On Hand'!D:D)&amp;" "&amp;_xlfn.xlookup(A799,'All Item Code'!A:A,'All Item Code'!D:D,),0)))</f>
        <v/>
      </c>
      <c r="D799" s="3" t="str">
        <f>IFERROR(__xludf.DUMMYFUNCTION("if(isblank(B799),,ifna(textjoin(""; "",,filter('On Hand'!E:E,'On Hand'!A:A=A799)),ifna(xlookup(A799,'On Hand'!A:A,'On Hand'!E:E,),)))"),"")</f>
        <v/>
      </c>
    </row>
    <row r="800">
      <c r="A800" s="3" t="str">
        <f t="array" ref="A800">ifna(_xlfn.xlookup(B800,'All Item Code'!B:B,'All Item Code'!A:A,),)</f>
        <v/>
      </c>
      <c r="B800" s="3"/>
      <c r="C800" s="3" t="str">
        <f t="array" ref="C800">if(B800="Tidak Ada",,if(isblank(B800),,ifna(sumif('On Hand'!A:A,A800,'On Hand'!D:D)&amp;" "&amp;_xlfn.xlookup(A800,'All Item Code'!A:A,'All Item Code'!D:D,),0)))</f>
        <v/>
      </c>
      <c r="D800" s="3" t="str">
        <f>IFERROR(__xludf.DUMMYFUNCTION("if(isblank(B800),,ifna(textjoin(""; "",,filter('On Hand'!E:E,'On Hand'!A:A=A800)),ifna(xlookup(A800,'On Hand'!A:A,'On Hand'!E:E,),)))"),"")</f>
        <v/>
      </c>
    </row>
    <row r="801">
      <c r="A801" s="3" t="str">
        <f t="array" ref="A801">ifna(_xlfn.xlookup(B801,'All Item Code'!B:B,'All Item Code'!A:A,),)</f>
        <v/>
      </c>
      <c r="B801" s="3"/>
      <c r="C801" s="3" t="str">
        <f t="array" ref="C801">if(B801="Tidak Ada",,if(isblank(B801),,ifna(sumif('On Hand'!A:A,A801,'On Hand'!D:D)&amp;" "&amp;_xlfn.xlookup(A801,'All Item Code'!A:A,'All Item Code'!D:D,),0)))</f>
        <v/>
      </c>
      <c r="D801" s="3" t="str">
        <f>IFERROR(__xludf.DUMMYFUNCTION("if(isblank(B801),,ifna(textjoin(""; "",,filter('On Hand'!E:E,'On Hand'!A:A=A801)),ifna(xlookup(A801,'On Hand'!A:A,'On Hand'!E:E,),)))"),"")</f>
        <v/>
      </c>
    </row>
    <row r="802">
      <c r="A802" s="3" t="str">
        <f t="array" ref="A802">ifna(_xlfn.xlookup(B802,'All Item Code'!B:B,'All Item Code'!A:A,),)</f>
        <v/>
      </c>
      <c r="B802" s="3"/>
      <c r="C802" s="3" t="str">
        <f t="array" ref="C802">if(B802="Tidak Ada",,if(isblank(B802),,ifna(sumif('On Hand'!A:A,A802,'On Hand'!D:D)&amp;" "&amp;_xlfn.xlookup(A802,'All Item Code'!A:A,'All Item Code'!D:D,),0)))</f>
        <v/>
      </c>
      <c r="D802" s="3" t="str">
        <f>IFERROR(__xludf.DUMMYFUNCTION("if(isblank(B802),,ifna(textjoin(""; "",,filter('On Hand'!E:E,'On Hand'!A:A=A802)),ifna(xlookup(A802,'On Hand'!A:A,'On Hand'!E:E,),)))"),"")</f>
        <v/>
      </c>
    </row>
    <row r="803">
      <c r="A803" s="3" t="str">
        <f t="array" ref="A803">ifna(_xlfn.xlookup(B803,'All Item Code'!B:B,'All Item Code'!A:A,),)</f>
        <v/>
      </c>
      <c r="B803" s="3"/>
      <c r="C803" s="3" t="str">
        <f t="array" ref="C803">if(B803="Tidak Ada",,if(isblank(B803),,ifna(sumif('On Hand'!A:A,A803,'On Hand'!D:D)&amp;" "&amp;_xlfn.xlookup(A803,'All Item Code'!A:A,'All Item Code'!D:D,),0)))</f>
        <v/>
      </c>
      <c r="D803" s="3" t="str">
        <f>IFERROR(__xludf.DUMMYFUNCTION("if(isblank(B803),,ifna(textjoin(""; "",,filter('On Hand'!E:E,'On Hand'!A:A=A803)),ifna(xlookup(A803,'On Hand'!A:A,'On Hand'!E:E,),)))"),"")</f>
        <v/>
      </c>
    </row>
    <row r="804">
      <c r="A804" s="3" t="str">
        <f t="array" ref="A804">ifna(_xlfn.xlookup(B804,'All Item Code'!B:B,'All Item Code'!A:A,),)</f>
        <v/>
      </c>
      <c r="B804" s="3"/>
      <c r="C804" s="3" t="str">
        <f t="array" ref="C804">if(B804="Tidak Ada",,if(isblank(B804),,ifna(sumif('On Hand'!A:A,A804,'On Hand'!D:D)&amp;" "&amp;_xlfn.xlookup(A804,'All Item Code'!A:A,'All Item Code'!D:D,),0)))</f>
        <v/>
      </c>
      <c r="D804" s="3" t="str">
        <f>IFERROR(__xludf.DUMMYFUNCTION("if(isblank(B804),,ifna(textjoin(""; "",,filter('On Hand'!E:E,'On Hand'!A:A=A804)),ifna(xlookup(A804,'On Hand'!A:A,'On Hand'!E:E,),)))"),"")</f>
        <v/>
      </c>
    </row>
    <row r="805">
      <c r="A805" s="3" t="str">
        <f t="array" ref="A805">ifna(_xlfn.xlookup(B805,'All Item Code'!B:B,'All Item Code'!A:A,),)</f>
        <v/>
      </c>
      <c r="B805" s="3"/>
      <c r="C805" s="3" t="str">
        <f t="array" ref="C805">if(B805="Tidak Ada",,if(isblank(B805),,ifna(sumif('On Hand'!A:A,A805,'On Hand'!D:D)&amp;" "&amp;_xlfn.xlookup(A805,'All Item Code'!A:A,'All Item Code'!D:D,),0)))</f>
        <v/>
      </c>
      <c r="D805" s="3" t="str">
        <f>IFERROR(__xludf.DUMMYFUNCTION("if(isblank(B805),,ifna(textjoin(""; "",,filter('On Hand'!E:E,'On Hand'!A:A=A805)),ifna(xlookup(A805,'On Hand'!A:A,'On Hand'!E:E,),)))"),"")</f>
        <v/>
      </c>
    </row>
    <row r="806">
      <c r="A806" s="3" t="str">
        <f t="array" ref="A806">ifna(_xlfn.xlookup(B806,'All Item Code'!B:B,'All Item Code'!A:A,),)</f>
        <v/>
      </c>
      <c r="B806" s="3"/>
      <c r="C806" s="3" t="str">
        <f t="array" ref="C806">if(B806="Tidak Ada",,if(isblank(B806),,ifna(sumif('On Hand'!A:A,A806,'On Hand'!D:D)&amp;" "&amp;_xlfn.xlookup(A806,'All Item Code'!A:A,'All Item Code'!D:D,),0)))</f>
        <v/>
      </c>
      <c r="D806" s="3" t="str">
        <f>IFERROR(__xludf.DUMMYFUNCTION("if(isblank(B806),,ifna(textjoin(""; "",,filter('On Hand'!E:E,'On Hand'!A:A=A806)),ifna(xlookup(A806,'On Hand'!A:A,'On Hand'!E:E,),)))"),"")</f>
        <v/>
      </c>
    </row>
    <row r="807">
      <c r="A807" s="3" t="str">
        <f t="array" ref="A807">ifna(_xlfn.xlookup(B807,'All Item Code'!B:B,'All Item Code'!A:A,),)</f>
        <v/>
      </c>
      <c r="B807" s="3"/>
      <c r="C807" s="3" t="str">
        <f t="array" ref="C807">if(B807="Tidak Ada",,if(isblank(B807),,ifna(sumif('On Hand'!A:A,A807,'On Hand'!D:D)&amp;" "&amp;_xlfn.xlookup(A807,'All Item Code'!A:A,'All Item Code'!D:D,),0)))</f>
        <v/>
      </c>
      <c r="D807" s="3" t="str">
        <f>IFERROR(__xludf.DUMMYFUNCTION("if(isblank(B807),,ifna(textjoin(""; "",,filter('On Hand'!E:E,'On Hand'!A:A=A807)),ifna(xlookup(A807,'On Hand'!A:A,'On Hand'!E:E,),)))"),"")</f>
        <v/>
      </c>
    </row>
    <row r="808">
      <c r="A808" s="3" t="str">
        <f t="array" ref="A808">ifna(_xlfn.xlookup(B808,'All Item Code'!B:B,'All Item Code'!A:A,),)</f>
        <v/>
      </c>
      <c r="B808" s="3"/>
      <c r="C808" s="3" t="str">
        <f t="array" ref="C808">if(B808="Tidak Ada",,if(isblank(B808),,ifna(sumif('On Hand'!A:A,A808,'On Hand'!D:D)&amp;" "&amp;_xlfn.xlookup(A808,'All Item Code'!A:A,'All Item Code'!D:D,),0)))</f>
        <v/>
      </c>
      <c r="D808" s="3" t="str">
        <f>IFERROR(__xludf.DUMMYFUNCTION("if(isblank(B808),,ifna(textjoin(""; "",,filter('On Hand'!E:E,'On Hand'!A:A=A808)),ifna(xlookup(A808,'On Hand'!A:A,'On Hand'!E:E,),)))"),"")</f>
        <v/>
      </c>
    </row>
    <row r="809">
      <c r="A809" s="3" t="str">
        <f t="array" ref="A809">ifna(_xlfn.xlookup(B809,'All Item Code'!B:B,'All Item Code'!A:A,),)</f>
        <v/>
      </c>
      <c r="B809" s="3"/>
      <c r="C809" s="3" t="str">
        <f t="array" ref="C809">if(B809="Tidak Ada",,if(isblank(B809),,ifna(sumif('On Hand'!A:A,A809,'On Hand'!D:D)&amp;" "&amp;_xlfn.xlookup(A809,'All Item Code'!A:A,'All Item Code'!D:D,),0)))</f>
        <v/>
      </c>
      <c r="D809" s="3" t="str">
        <f>IFERROR(__xludf.DUMMYFUNCTION("if(isblank(B809),,ifna(textjoin(""; "",,filter('On Hand'!E:E,'On Hand'!A:A=A809)),ifna(xlookup(A809,'On Hand'!A:A,'On Hand'!E:E,),)))"),"")</f>
        <v/>
      </c>
    </row>
    <row r="810">
      <c r="A810" s="3" t="str">
        <f t="array" ref="A810">ifna(_xlfn.xlookup(B810,'All Item Code'!B:B,'All Item Code'!A:A,),)</f>
        <v/>
      </c>
      <c r="B810" s="3"/>
      <c r="C810" s="3" t="str">
        <f t="array" ref="C810">if(B810="Tidak Ada",,if(isblank(B810),,ifna(sumif('On Hand'!A:A,A810,'On Hand'!D:D)&amp;" "&amp;_xlfn.xlookup(A810,'All Item Code'!A:A,'All Item Code'!D:D,),0)))</f>
        <v/>
      </c>
      <c r="D810" s="3" t="str">
        <f>IFERROR(__xludf.DUMMYFUNCTION("if(isblank(B810),,ifna(textjoin(""; "",,filter('On Hand'!E:E,'On Hand'!A:A=A810)),ifna(xlookup(A810,'On Hand'!A:A,'On Hand'!E:E,),)))"),"")</f>
        <v/>
      </c>
    </row>
    <row r="811">
      <c r="A811" s="3" t="str">
        <f t="array" ref="A811">ifna(_xlfn.xlookup(B811,'All Item Code'!B:B,'All Item Code'!A:A,),)</f>
        <v/>
      </c>
      <c r="B811" s="3"/>
      <c r="C811" s="3" t="str">
        <f t="array" ref="C811">if(B811="Tidak Ada",,if(isblank(B811),,ifna(sumif('On Hand'!A:A,A811,'On Hand'!D:D)&amp;" "&amp;_xlfn.xlookup(A811,'All Item Code'!A:A,'All Item Code'!D:D,),0)))</f>
        <v/>
      </c>
      <c r="D811" s="3" t="str">
        <f>IFERROR(__xludf.DUMMYFUNCTION("if(isblank(B811),,ifna(textjoin(""; "",,filter('On Hand'!E:E,'On Hand'!A:A=A811)),ifna(xlookup(A811,'On Hand'!A:A,'On Hand'!E:E,),)))"),"")</f>
        <v/>
      </c>
    </row>
    <row r="812">
      <c r="A812" s="3" t="str">
        <f t="array" ref="A812">ifna(_xlfn.xlookup(B812,'All Item Code'!B:B,'All Item Code'!A:A,),)</f>
        <v/>
      </c>
      <c r="B812" s="3"/>
      <c r="C812" s="3" t="str">
        <f t="array" ref="C812">if(B812="Tidak Ada",,if(isblank(B812),,ifna(sumif('On Hand'!A:A,A812,'On Hand'!D:D)&amp;" "&amp;_xlfn.xlookup(A812,'All Item Code'!A:A,'All Item Code'!D:D,),0)))</f>
        <v/>
      </c>
      <c r="D812" s="3" t="str">
        <f>IFERROR(__xludf.DUMMYFUNCTION("if(isblank(B812),,ifna(textjoin(""; "",,filter('On Hand'!E:E,'On Hand'!A:A=A812)),ifna(xlookup(A812,'On Hand'!A:A,'On Hand'!E:E,),)))"),"")</f>
        <v/>
      </c>
    </row>
    <row r="813">
      <c r="A813" s="3" t="str">
        <f t="array" ref="A813">ifna(_xlfn.xlookup(B813,'All Item Code'!B:B,'All Item Code'!A:A,),)</f>
        <v/>
      </c>
      <c r="B813" s="3"/>
      <c r="C813" s="3" t="str">
        <f t="array" ref="C813">if(B813="Tidak Ada",,if(isblank(B813),,ifna(sumif('On Hand'!A:A,A813,'On Hand'!D:D)&amp;" "&amp;_xlfn.xlookup(A813,'All Item Code'!A:A,'All Item Code'!D:D,),0)))</f>
        <v/>
      </c>
      <c r="D813" s="3" t="str">
        <f>IFERROR(__xludf.DUMMYFUNCTION("if(isblank(B813),,ifna(textjoin(""; "",,filter('On Hand'!E:E,'On Hand'!A:A=A813)),ifna(xlookup(A813,'On Hand'!A:A,'On Hand'!E:E,),)))"),"")</f>
        <v/>
      </c>
    </row>
    <row r="814">
      <c r="A814" s="3" t="str">
        <f t="array" ref="A814">ifna(_xlfn.xlookup(B814,'All Item Code'!B:B,'All Item Code'!A:A,),)</f>
        <v/>
      </c>
      <c r="B814" s="3"/>
      <c r="C814" s="3" t="str">
        <f t="array" ref="C814">if(B814="Tidak Ada",,if(isblank(B814),,ifna(sumif('On Hand'!A:A,A814,'On Hand'!D:D)&amp;" "&amp;_xlfn.xlookup(A814,'All Item Code'!A:A,'All Item Code'!D:D,),0)))</f>
        <v/>
      </c>
      <c r="D814" s="3" t="str">
        <f>IFERROR(__xludf.DUMMYFUNCTION("if(isblank(B814),,ifna(textjoin(""; "",,filter('On Hand'!E:E,'On Hand'!A:A=A814)),ifna(xlookup(A814,'On Hand'!A:A,'On Hand'!E:E,),)))"),"")</f>
        <v/>
      </c>
    </row>
    <row r="815">
      <c r="A815" s="3" t="str">
        <f t="array" ref="A815">ifna(_xlfn.xlookup(B815,'All Item Code'!B:B,'All Item Code'!A:A,),)</f>
        <v/>
      </c>
      <c r="B815" s="3"/>
      <c r="C815" s="3" t="str">
        <f t="array" ref="C815">if(B815="Tidak Ada",,if(isblank(B815),,ifna(sumif('On Hand'!A:A,A815,'On Hand'!D:D)&amp;" "&amp;_xlfn.xlookup(A815,'All Item Code'!A:A,'All Item Code'!D:D,),0)))</f>
        <v/>
      </c>
      <c r="D815" s="3" t="str">
        <f>IFERROR(__xludf.DUMMYFUNCTION("if(isblank(B815),,ifna(textjoin(""; "",,filter('On Hand'!E:E,'On Hand'!A:A=A815)),ifna(xlookup(A815,'On Hand'!A:A,'On Hand'!E:E,),)))"),"")</f>
        <v/>
      </c>
    </row>
    <row r="816">
      <c r="A816" s="3" t="str">
        <f t="array" ref="A816">ifna(_xlfn.xlookup(B816,'All Item Code'!B:B,'All Item Code'!A:A,),)</f>
        <v/>
      </c>
      <c r="B816" s="3"/>
      <c r="C816" s="3" t="str">
        <f t="array" ref="C816">if(B816="Tidak Ada",,if(isblank(B816),,ifna(sumif('On Hand'!A:A,A816,'On Hand'!D:D)&amp;" "&amp;_xlfn.xlookup(A816,'All Item Code'!A:A,'All Item Code'!D:D,),0)))</f>
        <v/>
      </c>
      <c r="D816" s="3" t="str">
        <f>IFERROR(__xludf.DUMMYFUNCTION("if(isblank(B816),,ifna(textjoin(""; "",,filter('On Hand'!E:E,'On Hand'!A:A=A816)),ifna(xlookup(A816,'On Hand'!A:A,'On Hand'!E:E,),)))"),"")</f>
        <v/>
      </c>
    </row>
    <row r="817">
      <c r="A817" s="3" t="str">
        <f t="array" ref="A817">ifna(_xlfn.xlookup(B817,'All Item Code'!B:B,'All Item Code'!A:A,),)</f>
        <v/>
      </c>
      <c r="B817" s="3"/>
      <c r="C817" s="3" t="str">
        <f t="array" ref="C817">if(B817="Tidak Ada",,if(isblank(B817),,ifna(sumif('On Hand'!A:A,A817,'On Hand'!D:D)&amp;" "&amp;_xlfn.xlookup(A817,'All Item Code'!A:A,'All Item Code'!D:D,),0)))</f>
        <v/>
      </c>
      <c r="D817" s="3" t="str">
        <f>IFERROR(__xludf.DUMMYFUNCTION("if(isblank(B817),,ifna(textjoin(""; "",,filter('On Hand'!E:E,'On Hand'!A:A=A817)),ifna(xlookup(A817,'On Hand'!A:A,'On Hand'!E:E,),)))"),"")</f>
        <v/>
      </c>
    </row>
    <row r="818">
      <c r="A818" s="3" t="str">
        <f t="array" ref="A818">ifna(_xlfn.xlookup(B818,'All Item Code'!B:B,'All Item Code'!A:A,),)</f>
        <v/>
      </c>
      <c r="B818" s="3"/>
      <c r="C818" s="3" t="str">
        <f t="array" ref="C818">if(B818="Tidak Ada",,if(isblank(B818),,ifna(sumif('On Hand'!A:A,A818,'On Hand'!D:D)&amp;" "&amp;_xlfn.xlookup(A818,'All Item Code'!A:A,'All Item Code'!D:D,),0)))</f>
        <v/>
      </c>
      <c r="D818" s="3" t="str">
        <f>IFERROR(__xludf.DUMMYFUNCTION("if(isblank(B818),,ifna(textjoin(""; "",,filter('On Hand'!E:E,'On Hand'!A:A=A818)),ifna(xlookup(A818,'On Hand'!A:A,'On Hand'!E:E,),)))"),"")</f>
        <v/>
      </c>
    </row>
    <row r="819">
      <c r="A819" s="3" t="str">
        <f t="array" ref="A819">ifna(_xlfn.xlookup(B819,'All Item Code'!B:B,'All Item Code'!A:A,),)</f>
        <v/>
      </c>
      <c r="B819" s="3"/>
      <c r="C819" s="3" t="str">
        <f t="array" ref="C819">if(B819="Tidak Ada",,if(isblank(B819),,ifna(sumif('On Hand'!A:A,A819,'On Hand'!D:D)&amp;" "&amp;_xlfn.xlookup(A819,'All Item Code'!A:A,'All Item Code'!D:D,),0)))</f>
        <v/>
      </c>
      <c r="D819" s="3" t="str">
        <f>IFERROR(__xludf.DUMMYFUNCTION("if(isblank(B819),,ifna(textjoin(""; "",,filter('On Hand'!E:E,'On Hand'!A:A=A819)),ifna(xlookup(A819,'On Hand'!A:A,'On Hand'!E:E,),)))"),"")</f>
        <v/>
      </c>
    </row>
    <row r="820">
      <c r="A820" s="3" t="str">
        <f t="array" ref="A820">ifna(_xlfn.xlookup(B820,'All Item Code'!B:B,'All Item Code'!A:A,),)</f>
        <v/>
      </c>
      <c r="B820" s="3"/>
      <c r="C820" s="3" t="str">
        <f t="array" ref="C820">if(B820="Tidak Ada",,if(isblank(B820),,ifna(sumif('On Hand'!A:A,A820,'On Hand'!D:D)&amp;" "&amp;_xlfn.xlookup(A820,'All Item Code'!A:A,'All Item Code'!D:D,),0)))</f>
        <v/>
      </c>
      <c r="D820" s="3" t="str">
        <f>IFERROR(__xludf.DUMMYFUNCTION("if(isblank(B820),,ifna(textjoin(""; "",,filter('On Hand'!E:E,'On Hand'!A:A=A820)),ifna(xlookup(A820,'On Hand'!A:A,'On Hand'!E:E,),)))"),"")</f>
        <v/>
      </c>
    </row>
    <row r="821">
      <c r="A821" s="3" t="str">
        <f t="array" ref="A821">ifna(_xlfn.xlookup(B821,'All Item Code'!B:B,'All Item Code'!A:A,),)</f>
        <v/>
      </c>
      <c r="B821" s="3"/>
      <c r="C821" s="3" t="str">
        <f t="array" ref="C821">if(B821="Tidak Ada",,if(isblank(B821),,ifna(sumif('On Hand'!A:A,A821,'On Hand'!D:D)&amp;" "&amp;_xlfn.xlookup(A821,'All Item Code'!A:A,'All Item Code'!D:D,),0)))</f>
        <v/>
      </c>
      <c r="D821" s="3" t="str">
        <f>IFERROR(__xludf.DUMMYFUNCTION("if(isblank(B821),,ifna(textjoin(""; "",,filter('On Hand'!E:E,'On Hand'!A:A=A821)),ifna(xlookup(A821,'On Hand'!A:A,'On Hand'!E:E,),)))"),"")</f>
        <v/>
      </c>
    </row>
    <row r="822">
      <c r="A822" s="3" t="str">
        <f t="array" ref="A822">ifna(_xlfn.xlookup(B822,'All Item Code'!B:B,'All Item Code'!A:A,),)</f>
        <v/>
      </c>
      <c r="B822" s="3"/>
      <c r="C822" s="3" t="str">
        <f t="array" ref="C822">if(B822="Tidak Ada",,if(isblank(B822),,ifna(sumif('On Hand'!A:A,A822,'On Hand'!D:D)&amp;" "&amp;_xlfn.xlookup(A822,'All Item Code'!A:A,'All Item Code'!D:D,),0)))</f>
        <v/>
      </c>
      <c r="D822" s="3" t="str">
        <f>IFERROR(__xludf.DUMMYFUNCTION("if(isblank(B822),,ifna(textjoin(""; "",,filter('On Hand'!E:E,'On Hand'!A:A=A822)),ifna(xlookup(A822,'On Hand'!A:A,'On Hand'!E:E,),)))"),"")</f>
        <v/>
      </c>
    </row>
    <row r="823">
      <c r="A823" s="3" t="str">
        <f t="array" ref="A823">ifna(_xlfn.xlookup(B823,'All Item Code'!B:B,'All Item Code'!A:A,),)</f>
        <v/>
      </c>
      <c r="B823" s="3"/>
      <c r="C823" s="3" t="str">
        <f t="array" ref="C823">if(B823="Tidak Ada",,if(isblank(B823),,ifna(sumif('On Hand'!A:A,A823,'On Hand'!D:D)&amp;" "&amp;_xlfn.xlookup(A823,'All Item Code'!A:A,'All Item Code'!D:D,),0)))</f>
        <v/>
      </c>
      <c r="D823" s="3" t="str">
        <f>IFERROR(__xludf.DUMMYFUNCTION("if(isblank(B823),,ifna(textjoin(""; "",,filter('On Hand'!E:E,'On Hand'!A:A=A823)),ifna(xlookup(A823,'On Hand'!A:A,'On Hand'!E:E,),)))"),"")</f>
        <v/>
      </c>
    </row>
    <row r="824">
      <c r="A824" s="3" t="str">
        <f t="array" ref="A824">ifna(_xlfn.xlookup(B824,'All Item Code'!B:B,'All Item Code'!A:A,),)</f>
        <v/>
      </c>
      <c r="B824" s="3"/>
      <c r="C824" s="3" t="str">
        <f t="array" ref="C824">if(B824="Tidak Ada",,if(isblank(B824),,ifna(sumif('On Hand'!A:A,A824,'On Hand'!D:D)&amp;" "&amp;_xlfn.xlookup(A824,'All Item Code'!A:A,'All Item Code'!D:D,),0)))</f>
        <v/>
      </c>
      <c r="D824" s="3" t="str">
        <f>IFERROR(__xludf.DUMMYFUNCTION("if(isblank(B824),,ifna(textjoin(""; "",,filter('On Hand'!E:E,'On Hand'!A:A=A824)),ifna(xlookup(A824,'On Hand'!A:A,'On Hand'!E:E,),)))"),"")</f>
        <v/>
      </c>
    </row>
    <row r="825">
      <c r="A825" s="3" t="str">
        <f t="array" ref="A825">ifna(_xlfn.xlookup(B825,'All Item Code'!B:B,'All Item Code'!A:A,),)</f>
        <v/>
      </c>
      <c r="B825" s="3"/>
      <c r="C825" s="3" t="str">
        <f t="array" ref="C825">if(B825="Tidak Ada",,if(isblank(B825),,ifna(sumif('On Hand'!A:A,A825,'On Hand'!D:D)&amp;" "&amp;_xlfn.xlookup(A825,'All Item Code'!A:A,'All Item Code'!D:D,),0)))</f>
        <v/>
      </c>
      <c r="D825" s="3" t="str">
        <f>IFERROR(__xludf.DUMMYFUNCTION("if(isblank(B825),,ifna(textjoin(""; "",,filter('On Hand'!E:E,'On Hand'!A:A=A825)),ifna(xlookup(A825,'On Hand'!A:A,'On Hand'!E:E,),)))"),"")</f>
        <v/>
      </c>
    </row>
    <row r="826">
      <c r="A826" s="3" t="str">
        <f t="array" ref="A826">ifna(_xlfn.xlookup(B826,'All Item Code'!B:B,'All Item Code'!A:A,),)</f>
        <v/>
      </c>
      <c r="B826" s="3"/>
      <c r="C826" s="3" t="str">
        <f t="array" ref="C826">if(B826="Tidak Ada",,if(isblank(B826),,ifna(sumif('On Hand'!A:A,A826,'On Hand'!D:D)&amp;" "&amp;_xlfn.xlookup(A826,'All Item Code'!A:A,'All Item Code'!D:D,),0)))</f>
        <v/>
      </c>
      <c r="D826" s="3" t="str">
        <f>IFERROR(__xludf.DUMMYFUNCTION("if(isblank(B826),,ifna(textjoin(""; "",,filter('On Hand'!E:E,'On Hand'!A:A=A826)),ifna(xlookup(A826,'On Hand'!A:A,'On Hand'!E:E,),)))"),"")</f>
        <v/>
      </c>
    </row>
    <row r="827">
      <c r="A827" s="3" t="str">
        <f t="array" ref="A827">ifna(_xlfn.xlookup(B827,'All Item Code'!B:B,'All Item Code'!A:A,),)</f>
        <v/>
      </c>
      <c r="B827" s="3"/>
      <c r="C827" s="3" t="str">
        <f t="array" ref="C827">if(B827="Tidak Ada",,if(isblank(B827),,ifna(sumif('On Hand'!A:A,A827,'On Hand'!D:D)&amp;" "&amp;_xlfn.xlookup(A827,'All Item Code'!A:A,'All Item Code'!D:D,),0)))</f>
        <v/>
      </c>
      <c r="D827" s="3" t="str">
        <f>IFERROR(__xludf.DUMMYFUNCTION("if(isblank(B827),,ifna(textjoin(""; "",,filter('On Hand'!E:E,'On Hand'!A:A=A827)),ifna(xlookup(A827,'On Hand'!A:A,'On Hand'!E:E,),)))"),"")</f>
        <v/>
      </c>
    </row>
    <row r="828">
      <c r="A828" s="3" t="str">
        <f t="array" ref="A828">ifna(_xlfn.xlookup(B828,'All Item Code'!B:B,'All Item Code'!A:A,),)</f>
        <v/>
      </c>
      <c r="B828" s="3"/>
      <c r="C828" s="3" t="str">
        <f t="array" ref="C828">if(B828="Tidak Ada",,if(isblank(B828),,ifna(sumif('On Hand'!A:A,A828,'On Hand'!D:D)&amp;" "&amp;_xlfn.xlookup(A828,'All Item Code'!A:A,'All Item Code'!D:D,),0)))</f>
        <v/>
      </c>
      <c r="D828" s="3" t="str">
        <f>IFERROR(__xludf.DUMMYFUNCTION("if(isblank(B828),,ifna(textjoin(""; "",,filter('On Hand'!E:E,'On Hand'!A:A=A828)),ifna(xlookup(A828,'On Hand'!A:A,'On Hand'!E:E,),)))"),"")</f>
        <v/>
      </c>
    </row>
    <row r="829">
      <c r="A829" s="3" t="str">
        <f t="array" ref="A829">ifna(_xlfn.xlookup(B829,'All Item Code'!B:B,'All Item Code'!A:A,),)</f>
        <v/>
      </c>
      <c r="B829" s="3"/>
      <c r="C829" s="3" t="str">
        <f t="array" ref="C829">if(B829="Tidak Ada",,if(isblank(B829),,ifna(sumif('On Hand'!A:A,A829,'On Hand'!D:D)&amp;" "&amp;_xlfn.xlookup(A829,'All Item Code'!A:A,'All Item Code'!D:D,),0)))</f>
        <v/>
      </c>
      <c r="D829" s="3" t="str">
        <f>IFERROR(__xludf.DUMMYFUNCTION("if(isblank(B829),,ifna(textjoin(""; "",,filter('On Hand'!E:E,'On Hand'!A:A=A829)),ifna(xlookup(A829,'On Hand'!A:A,'On Hand'!E:E,),)))"),"")</f>
        <v/>
      </c>
    </row>
    <row r="830">
      <c r="A830" s="3" t="str">
        <f t="array" ref="A830">ifna(_xlfn.xlookup(B830,'All Item Code'!B:B,'All Item Code'!A:A,),)</f>
        <v/>
      </c>
      <c r="B830" s="3"/>
      <c r="C830" s="3" t="str">
        <f t="array" ref="C830">if(B830="Tidak Ada",,if(isblank(B830),,ifna(sumif('On Hand'!A:A,A830,'On Hand'!D:D)&amp;" "&amp;_xlfn.xlookup(A830,'All Item Code'!A:A,'All Item Code'!D:D,),0)))</f>
        <v/>
      </c>
      <c r="D830" s="3" t="str">
        <f>IFERROR(__xludf.DUMMYFUNCTION("if(isblank(B830),,ifna(textjoin(""; "",,filter('On Hand'!E:E,'On Hand'!A:A=A830)),ifna(xlookup(A830,'On Hand'!A:A,'On Hand'!E:E,),)))"),"")</f>
        <v/>
      </c>
    </row>
    <row r="831">
      <c r="A831" s="3" t="str">
        <f t="array" ref="A831">ifna(_xlfn.xlookup(B831,'All Item Code'!B:B,'All Item Code'!A:A,),)</f>
        <v/>
      </c>
      <c r="B831" s="3"/>
      <c r="C831" s="3" t="str">
        <f t="array" ref="C831">if(B831="Tidak Ada",,if(isblank(B831),,ifna(sumif('On Hand'!A:A,A831,'On Hand'!D:D)&amp;" "&amp;_xlfn.xlookup(A831,'All Item Code'!A:A,'All Item Code'!D:D,),0)))</f>
        <v/>
      </c>
      <c r="D831" s="3" t="str">
        <f>IFERROR(__xludf.DUMMYFUNCTION("if(isblank(B831),,ifna(textjoin(""; "",,filter('On Hand'!E:E,'On Hand'!A:A=A831)),ifna(xlookup(A831,'On Hand'!A:A,'On Hand'!E:E,),)))"),"")</f>
        <v/>
      </c>
    </row>
    <row r="832">
      <c r="A832" s="3" t="str">
        <f t="array" ref="A832">ifna(_xlfn.xlookup(B832,'All Item Code'!B:B,'All Item Code'!A:A,),)</f>
        <v/>
      </c>
      <c r="B832" s="3"/>
      <c r="C832" s="3" t="str">
        <f t="array" ref="C832">if(B832="Tidak Ada",,if(isblank(B832),,ifna(sumif('On Hand'!A:A,A832,'On Hand'!D:D)&amp;" "&amp;_xlfn.xlookup(A832,'All Item Code'!A:A,'All Item Code'!D:D,),0)))</f>
        <v/>
      </c>
      <c r="D832" s="3" t="str">
        <f>IFERROR(__xludf.DUMMYFUNCTION("if(isblank(B832),,ifna(textjoin(""; "",,filter('On Hand'!E:E,'On Hand'!A:A=A832)),ifna(xlookup(A832,'On Hand'!A:A,'On Hand'!E:E,),)))"),"")</f>
        <v/>
      </c>
    </row>
    <row r="833">
      <c r="A833" s="3" t="str">
        <f t="array" ref="A833">ifna(_xlfn.xlookup(B833,'All Item Code'!B:B,'All Item Code'!A:A,),)</f>
        <v/>
      </c>
      <c r="B833" s="3"/>
      <c r="C833" s="3" t="str">
        <f t="array" ref="C833">if(B833="Tidak Ada",,if(isblank(B833),,ifna(sumif('On Hand'!A:A,A833,'On Hand'!D:D)&amp;" "&amp;_xlfn.xlookup(A833,'All Item Code'!A:A,'All Item Code'!D:D,),0)))</f>
        <v/>
      </c>
      <c r="D833" s="3" t="str">
        <f>IFERROR(__xludf.DUMMYFUNCTION("if(isblank(B833),,ifna(textjoin(""; "",,filter('On Hand'!E:E,'On Hand'!A:A=A833)),ifna(xlookup(A833,'On Hand'!A:A,'On Hand'!E:E,),)))"),"")</f>
        <v/>
      </c>
    </row>
    <row r="834">
      <c r="A834" s="3" t="str">
        <f t="array" ref="A834">ifna(_xlfn.xlookup(B834,'All Item Code'!B:B,'All Item Code'!A:A,),)</f>
        <v/>
      </c>
      <c r="B834" s="3"/>
      <c r="C834" s="3" t="str">
        <f t="array" ref="C834">if(B834="Tidak Ada",,if(isblank(B834),,ifna(sumif('On Hand'!A:A,A834,'On Hand'!D:D)&amp;" "&amp;_xlfn.xlookup(A834,'All Item Code'!A:A,'All Item Code'!D:D,),0)))</f>
        <v/>
      </c>
      <c r="D834" s="3" t="str">
        <f>IFERROR(__xludf.DUMMYFUNCTION("if(isblank(B834),,ifna(textjoin(""; "",,filter('On Hand'!E:E,'On Hand'!A:A=A834)),ifna(xlookup(A834,'On Hand'!A:A,'On Hand'!E:E,),)))"),"")</f>
        <v/>
      </c>
    </row>
    <row r="835">
      <c r="A835" s="3" t="str">
        <f t="array" ref="A835">ifna(_xlfn.xlookup(B835,'All Item Code'!B:B,'All Item Code'!A:A,),)</f>
        <v/>
      </c>
      <c r="B835" s="3"/>
      <c r="C835" s="3" t="str">
        <f t="array" ref="C835">if(B835="Tidak Ada",,if(isblank(B835),,ifna(sumif('On Hand'!A:A,A835,'On Hand'!D:D)&amp;" "&amp;_xlfn.xlookup(A835,'All Item Code'!A:A,'All Item Code'!D:D,),0)))</f>
        <v/>
      </c>
      <c r="D835" s="3" t="str">
        <f>IFERROR(__xludf.DUMMYFUNCTION("if(isblank(B835),,ifna(textjoin(""; "",,filter('On Hand'!E:E,'On Hand'!A:A=A835)),ifna(xlookup(A835,'On Hand'!A:A,'On Hand'!E:E,),)))"),"")</f>
        <v/>
      </c>
    </row>
    <row r="836">
      <c r="A836" s="3" t="str">
        <f t="array" ref="A836">ifna(_xlfn.xlookup(B836,'All Item Code'!B:B,'All Item Code'!A:A,),)</f>
        <v/>
      </c>
      <c r="B836" s="3"/>
      <c r="C836" s="3" t="str">
        <f t="array" ref="C836">if(B836="Tidak Ada",,if(isblank(B836),,ifna(sumif('On Hand'!A:A,A836,'On Hand'!D:D)&amp;" "&amp;_xlfn.xlookup(A836,'All Item Code'!A:A,'All Item Code'!D:D,),0)))</f>
        <v/>
      </c>
      <c r="D836" s="3" t="str">
        <f>IFERROR(__xludf.DUMMYFUNCTION("if(isblank(B836),,ifna(textjoin(""; "",,filter('On Hand'!E:E,'On Hand'!A:A=A836)),ifna(xlookup(A836,'On Hand'!A:A,'On Hand'!E:E,),)))"),"")</f>
        <v/>
      </c>
    </row>
    <row r="837">
      <c r="A837" s="3" t="str">
        <f t="array" ref="A837">ifna(_xlfn.xlookup(B837,'All Item Code'!B:B,'All Item Code'!A:A,),)</f>
        <v/>
      </c>
      <c r="B837" s="3"/>
      <c r="C837" s="3" t="str">
        <f t="array" ref="C837">if(B837="Tidak Ada",,if(isblank(B837),,ifna(sumif('On Hand'!A:A,A837,'On Hand'!D:D)&amp;" "&amp;_xlfn.xlookup(A837,'All Item Code'!A:A,'All Item Code'!D:D,),0)))</f>
        <v/>
      </c>
      <c r="D837" s="3" t="str">
        <f>IFERROR(__xludf.DUMMYFUNCTION("if(isblank(B837),,ifna(textjoin(""; "",,filter('On Hand'!E:E,'On Hand'!A:A=A837)),ifna(xlookup(A837,'On Hand'!A:A,'On Hand'!E:E,),)))"),"")</f>
        <v/>
      </c>
    </row>
    <row r="838">
      <c r="A838" s="3" t="str">
        <f t="array" ref="A838">ifna(_xlfn.xlookup(B838,'All Item Code'!B:B,'All Item Code'!A:A,),)</f>
        <v/>
      </c>
      <c r="B838" s="3"/>
      <c r="C838" s="3" t="str">
        <f t="array" ref="C838">if(B838="Tidak Ada",,if(isblank(B838),,ifna(sumif('On Hand'!A:A,A838,'On Hand'!D:D)&amp;" "&amp;_xlfn.xlookup(A838,'All Item Code'!A:A,'All Item Code'!D:D,),0)))</f>
        <v/>
      </c>
      <c r="D838" s="3" t="str">
        <f>IFERROR(__xludf.DUMMYFUNCTION("if(isblank(B838),,ifna(textjoin(""; "",,filter('On Hand'!E:E,'On Hand'!A:A=A838)),ifna(xlookup(A838,'On Hand'!A:A,'On Hand'!E:E,),)))"),"")</f>
        <v/>
      </c>
    </row>
    <row r="839">
      <c r="A839" s="3" t="str">
        <f t="array" ref="A839">ifna(_xlfn.xlookup(B839,'All Item Code'!B:B,'All Item Code'!A:A,),)</f>
        <v/>
      </c>
      <c r="B839" s="3"/>
      <c r="C839" s="3" t="str">
        <f t="array" ref="C839">if(B839="Tidak Ada",,if(isblank(B839),,ifna(sumif('On Hand'!A:A,A839,'On Hand'!D:D)&amp;" "&amp;_xlfn.xlookup(A839,'All Item Code'!A:A,'All Item Code'!D:D,),0)))</f>
        <v/>
      </c>
      <c r="D839" s="3" t="str">
        <f>IFERROR(__xludf.DUMMYFUNCTION("if(isblank(B839),,ifna(textjoin(""; "",,filter('On Hand'!E:E,'On Hand'!A:A=A839)),ifna(xlookup(A839,'On Hand'!A:A,'On Hand'!E:E,),)))"),"")</f>
        <v/>
      </c>
    </row>
    <row r="840">
      <c r="A840" s="3" t="str">
        <f t="array" ref="A840">ifna(_xlfn.xlookup(B840,'All Item Code'!B:B,'All Item Code'!A:A,),)</f>
        <v/>
      </c>
      <c r="B840" s="3"/>
      <c r="C840" s="3" t="str">
        <f t="array" ref="C840">if(B840="Tidak Ada",,if(isblank(B840),,ifna(sumif('On Hand'!A:A,A840,'On Hand'!D:D)&amp;" "&amp;_xlfn.xlookup(A840,'All Item Code'!A:A,'All Item Code'!D:D,),0)))</f>
        <v/>
      </c>
      <c r="D840" s="3" t="str">
        <f>IFERROR(__xludf.DUMMYFUNCTION("if(isblank(B840),,ifna(textjoin(""; "",,filter('On Hand'!E:E,'On Hand'!A:A=A840)),ifna(xlookup(A840,'On Hand'!A:A,'On Hand'!E:E,),)))"),"")</f>
        <v/>
      </c>
    </row>
    <row r="841">
      <c r="A841" s="3" t="str">
        <f t="array" ref="A841">ifna(_xlfn.xlookup(B841,'All Item Code'!B:B,'All Item Code'!A:A,),)</f>
        <v/>
      </c>
      <c r="B841" s="3"/>
      <c r="C841" s="3" t="str">
        <f t="array" ref="C841">if(B841="Tidak Ada",,if(isblank(B841),,ifna(sumif('On Hand'!A:A,A841,'On Hand'!D:D)&amp;" "&amp;_xlfn.xlookup(A841,'All Item Code'!A:A,'All Item Code'!D:D,),0)))</f>
        <v/>
      </c>
      <c r="D841" s="3" t="str">
        <f>IFERROR(__xludf.DUMMYFUNCTION("if(isblank(B841),,ifna(textjoin(""; "",,filter('On Hand'!E:E,'On Hand'!A:A=A841)),ifna(xlookup(A841,'On Hand'!A:A,'On Hand'!E:E,),)))"),"")</f>
        <v/>
      </c>
    </row>
    <row r="842">
      <c r="A842" s="3" t="str">
        <f t="array" ref="A842">ifna(_xlfn.xlookup(B842,'All Item Code'!B:B,'All Item Code'!A:A,),)</f>
        <v/>
      </c>
      <c r="B842" s="3"/>
      <c r="C842" s="3" t="str">
        <f t="array" ref="C842">if(B842="Tidak Ada",,if(isblank(B842),,ifna(sumif('On Hand'!A:A,A842,'On Hand'!D:D)&amp;" "&amp;_xlfn.xlookup(A842,'All Item Code'!A:A,'All Item Code'!D:D,),0)))</f>
        <v/>
      </c>
      <c r="D842" s="3" t="str">
        <f>IFERROR(__xludf.DUMMYFUNCTION("if(isblank(B842),,ifna(textjoin(""; "",,filter('On Hand'!E:E,'On Hand'!A:A=A842)),ifna(xlookup(A842,'On Hand'!A:A,'On Hand'!E:E,),)))"),"")</f>
        <v/>
      </c>
    </row>
    <row r="843">
      <c r="A843" s="3" t="str">
        <f t="array" ref="A843">ifna(_xlfn.xlookup(B843,'All Item Code'!B:B,'All Item Code'!A:A,),)</f>
        <v/>
      </c>
      <c r="B843" s="3"/>
      <c r="C843" s="3" t="str">
        <f t="array" ref="C843">if(B843="Tidak Ada",,if(isblank(B843),,ifna(sumif('On Hand'!A:A,A843,'On Hand'!D:D)&amp;" "&amp;_xlfn.xlookup(A843,'All Item Code'!A:A,'All Item Code'!D:D,),0)))</f>
        <v/>
      </c>
      <c r="D843" s="3" t="str">
        <f>IFERROR(__xludf.DUMMYFUNCTION("if(isblank(B843),,ifna(textjoin(""; "",,filter('On Hand'!E:E,'On Hand'!A:A=A843)),ifna(xlookup(A843,'On Hand'!A:A,'On Hand'!E:E,),)))"),"")</f>
        <v/>
      </c>
    </row>
    <row r="844">
      <c r="A844" s="3" t="str">
        <f t="array" ref="A844">ifna(_xlfn.xlookup(B844,'All Item Code'!B:B,'All Item Code'!A:A,),)</f>
        <v/>
      </c>
      <c r="B844" s="3"/>
      <c r="C844" s="3" t="str">
        <f t="array" ref="C844">if(B844="Tidak Ada",,if(isblank(B844),,ifna(sumif('On Hand'!A:A,A844,'On Hand'!D:D)&amp;" "&amp;_xlfn.xlookup(A844,'All Item Code'!A:A,'All Item Code'!D:D,),0)))</f>
        <v/>
      </c>
      <c r="D844" s="3" t="str">
        <f>IFERROR(__xludf.DUMMYFUNCTION("if(isblank(B844),,ifna(textjoin(""; "",,filter('On Hand'!E:E,'On Hand'!A:A=A844)),ifna(xlookup(A844,'On Hand'!A:A,'On Hand'!E:E,),)))"),"")</f>
        <v/>
      </c>
    </row>
    <row r="845">
      <c r="A845" s="3" t="str">
        <f t="array" ref="A845">ifna(_xlfn.xlookup(B845,'All Item Code'!B:B,'All Item Code'!A:A,),)</f>
        <v/>
      </c>
      <c r="B845" s="3"/>
      <c r="C845" s="3" t="str">
        <f t="array" ref="C845">if(B845="Tidak Ada",,if(isblank(B845),,ifna(sumif('On Hand'!A:A,A845,'On Hand'!D:D)&amp;" "&amp;_xlfn.xlookup(A845,'All Item Code'!A:A,'All Item Code'!D:D,),0)))</f>
        <v/>
      </c>
      <c r="D845" s="3" t="str">
        <f>IFERROR(__xludf.DUMMYFUNCTION("if(isblank(B845),,ifna(textjoin(""; "",,filter('On Hand'!E:E,'On Hand'!A:A=A845)),ifna(xlookup(A845,'On Hand'!A:A,'On Hand'!E:E,),)))"),"")</f>
        <v/>
      </c>
    </row>
    <row r="846">
      <c r="A846" s="3" t="str">
        <f t="array" ref="A846">ifna(_xlfn.xlookup(B846,'All Item Code'!B:B,'All Item Code'!A:A,),)</f>
        <v/>
      </c>
      <c r="B846" s="3"/>
      <c r="C846" s="3" t="str">
        <f t="array" ref="C846">if(B846="Tidak Ada",,if(isblank(B846),,ifna(sumif('On Hand'!A:A,A846,'On Hand'!D:D)&amp;" "&amp;_xlfn.xlookup(A846,'All Item Code'!A:A,'All Item Code'!D:D,),0)))</f>
        <v/>
      </c>
      <c r="D846" s="3" t="str">
        <f>IFERROR(__xludf.DUMMYFUNCTION("if(isblank(B846),,ifna(textjoin(""; "",,filter('On Hand'!E:E,'On Hand'!A:A=A846)),ifna(xlookup(A846,'On Hand'!A:A,'On Hand'!E:E,),)))"),"")</f>
        <v/>
      </c>
    </row>
    <row r="847">
      <c r="A847" s="3" t="str">
        <f t="array" ref="A847">ifna(_xlfn.xlookup(B847,'All Item Code'!B:B,'All Item Code'!A:A,),)</f>
        <v/>
      </c>
      <c r="B847" s="3"/>
      <c r="C847" s="3" t="str">
        <f t="array" ref="C847">if(B847="Tidak Ada",,if(isblank(B847),,ifna(sumif('On Hand'!A:A,A847,'On Hand'!D:D)&amp;" "&amp;_xlfn.xlookup(A847,'All Item Code'!A:A,'All Item Code'!D:D,),0)))</f>
        <v/>
      </c>
      <c r="D847" s="3" t="str">
        <f>IFERROR(__xludf.DUMMYFUNCTION("if(isblank(B847),,ifna(textjoin(""; "",,filter('On Hand'!E:E,'On Hand'!A:A=A847)),ifna(xlookup(A847,'On Hand'!A:A,'On Hand'!E:E,),)))"),"")</f>
        <v/>
      </c>
    </row>
    <row r="848">
      <c r="A848" s="3" t="str">
        <f t="array" ref="A848">ifna(_xlfn.xlookup(B848,'All Item Code'!B:B,'All Item Code'!A:A,),)</f>
        <v/>
      </c>
      <c r="B848" s="3"/>
      <c r="C848" s="3" t="str">
        <f t="array" ref="C848">if(B848="Tidak Ada",,if(isblank(B848),,ifna(sumif('On Hand'!A:A,A848,'On Hand'!D:D)&amp;" "&amp;_xlfn.xlookup(A848,'All Item Code'!A:A,'All Item Code'!D:D,),0)))</f>
        <v/>
      </c>
      <c r="D848" s="3" t="str">
        <f>IFERROR(__xludf.DUMMYFUNCTION("if(isblank(B848),,ifna(textjoin(""; "",,filter('On Hand'!E:E,'On Hand'!A:A=A848)),ifna(xlookup(A848,'On Hand'!A:A,'On Hand'!E:E,),)))"),"")</f>
        <v/>
      </c>
    </row>
    <row r="849">
      <c r="A849" s="3" t="str">
        <f t="array" ref="A849">ifna(_xlfn.xlookup(B849,'All Item Code'!B:B,'All Item Code'!A:A,),)</f>
        <v/>
      </c>
      <c r="B849" s="3"/>
      <c r="C849" s="3" t="str">
        <f t="array" ref="C849">if(B849="Tidak Ada",,if(isblank(B849),,ifna(sumif('On Hand'!A:A,A849,'On Hand'!D:D)&amp;" "&amp;_xlfn.xlookup(A849,'All Item Code'!A:A,'All Item Code'!D:D,),0)))</f>
        <v/>
      </c>
      <c r="D849" s="3" t="str">
        <f>IFERROR(__xludf.DUMMYFUNCTION("if(isblank(B849),,ifna(textjoin(""; "",,filter('On Hand'!E:E,'On Hand'!A:A=A849)),ifna(xlookup(A849,'On Hand'!A:A,'On Hand'!E:E,),)))"),"")</f>
        <v/>
      </c>
    </row>
    <row r="850">
      <c r="A850" s="3" t="str">
        <f t="array" ref="A850">ifna(_xlfn.xlookup(B850,'All Item Code'!B:B,'All Item Code'!A:A,),)</f>
        <v/>
      </c>
      <c r="B850" s="3"/>
      <c r="C850" s="3" t="str">
        <f t="array" ref="C850">if(B850="Tidak Ada",,if(isblank(B850),,ifna(sumif('On Hand'!A:A,A850,'On Hand'!D:D)&amp;" "&amp;_xlfn.xlookup(A850,'All Item Code'!A:A,'All Item Code'!D:D,),0)))</f>
        <v/>
      </c>
      <c r="D850" s="3" t="str">
        <f>IFERROR(__xludf.DUMMYFUNCTION("if(isblank(B850),,ifna(textjoin(""; "",,filter('On Hand'!E:E,'On Hand'!A:A=A850)),ifna(xlookup(A850,'On Hand'!A:A,'On Hand'!E:E,),)))"),"")</f>
        <v/>
      </c>
    </row>
    <row r="851">
      <c r="A851" s="3" t="str">
        <f t="array" ref="A851">ifna(_xlfn.xlookup(B851,'All Item Code'!B:B,'All Item Code'!A:A,),)</f>
        <v/>
      </c>
      <c r="B851" s="3"/>
      <c r="C851" s="3" t="str">
        <f t="array" ref="C851">if(B851="Tidak Ada",,if(isblank(B851),,ifna(sumif('On Hand'!A:A,A851,'On Hand'!D:D)&amp;" "&amp;_xlfn.xlookup(A851,'All Item Code'!A:A,'All Item Code'!D:D,),0)))</f>
        <v/>
      </c>
      <c r="D851" s="3" t="str">
        <f>IFERROR(__xludf.DUMMYFUNCTION("if(isblank(B851),,ifna(textjoin(""; "",,filter('On Hand'!E:E,'On Hand'!A:A=A851)),ifna(xlookup(A851,'On Hand'!A:A,'On Hand'!E:E,),)))"),"")</f>
        <v/>
      </c>
    </row>
    <row r="852">
      <c r="A852" s="3" t="str">
        <f t="array" ref="A852">ifna(_xlfn.xlookup(B852,'All Item Code'!B:B,'All Item Code'!A:A,),)</f>
        <v/>
      </c>
      <c r="B852" s="3"/>
      <c r="C852" s="3" t="str">
        <f t="array" ref="C852">if(B852="Tidak Ada",,if(isblank(B852),,ifna(sumif('On Hand'!A:A,A852,'On Hand'!D:D)&amp;" "&amp;_xlfn.xlookup(A852,'All Item Code'!A:A,'All Item Code'!D:D,),0)))</f>
        <v/>
      </c>
      <c r="D852" s="3" t="str">
        <f>IFERROR(__xludf.DUMMYFUNCTION("if(isblank(B852),,ifna(textjoin(""; "",,filter('On Hand'!E:E,'On Hand'!A:A=A852)),ifna(xlookup(A852,'On Hand'!A:A,'On Hand'!E:E,),)))"),"")</f>
        <v/>
      </c>
    </row>
    <row r="853">
      <c r="A853" s="3" t="str">
        <f t="array" ref="A853">ifna(_xlfn.xlookup(B853,'All Item Code'!B:B,'All Item Code'!A:A,),)</f>
        <v/>
      </c>
      <c r="B853" s="3"/>
      <c r="C853" s="3" t="str">
        <f t="array" ref="C853">if(B853="Tidak Ada",,if(isblank(B853),,ifna(sumif('On Hand'!A:A,A853,'On Hand'!D:D)&amp;" "&amp;_xlfn.xlookup(A853,'All Item Code'!A:A,'All Item Code'!D:D,),0)))</f>
        <v/>
      </c>
      <c r="D853" s="3" t="str">
        <f>IFERROR(__xludf.DUMMYFUNCTION("if(isblank(B853),,ifna(textjoin(""; "",,filter('On Hand'!E:E,'On Hand'!A:A=A853)),ifna(xlookup(A853,'On Hand'!A:A,'On Hand'!E:E,),)))"),"")</f>
        <v/>
      </c>
    </row>
    <row r="854">
      <c r="A854" s="3" t="str">
        <f t="array" ref="A854">ifna(_xlfn.xlookup(B854,'All Item Code'!B:B,'All Item Code'!A:A,),)</f>
        <v/>
      </c>
      <c r="B854" s="3"/>
      <c r="C854" s="3" t="str">
        <f t="array" ref="C854">if(B854="Tidak Ada",,if(isblank(B854),,ifna(sumif('On Hand'!A:A,A854,'On Hand'!D:D)&amp;" "&amp;_xlfn.xlookup(A854,'All Item Code'!A:A,'All Item Code'!D:D,),0)))</f>
        <v/>
      </c>
      <c r="D854" s="3" t="str">
        <f>IFERROR(__xludf.DUMMYFUNCTION("if(isblank(B854),,ifna(textjoin(""; "",,filter('On Hand'!E:E,'On Hand'!A:A=A854)),ifna(xlookup(A854,'On Hand'!A:A,'On Hand'!E:E,),)))"),"")</f>
        <v/>
      </c>
    </row>
    <row r="855">
      <c r="A855" s="3" t="str">
        <f t="array" ref="A855">ifna(_xlfn.xlookup(B855,'All Item Code'!B:B,'All Item Code'!A:A,),)</f>
        <v/>
      </c>
      <c r="B855" s="3"/>
      <c r="C855" s="3" t="str">
        <f t="array" ref="C855">if(B855="Tidak Ada",,if(isblank(B855),,ifna(sumif('On Hand'!A:A,A855,'On Hand'!D:D)&amp;" "&amp;_xlfn.xlookup(A855,'All Item Code'!A:A,'All Item Code'!D:D,),0)))</f>
        <v/>
      </c>
      <c r="D855" s="3" t="str">
        <f>IFERROR(__xludf.DUMMYFUNCTION("if(isblank(B855),,ifna(textjoin(""; "",,filter('On Hand'!E:E,'On Hand'!A:A=A855)),ifna(xlookup(A855,'On Hand'!A:A,'On Hand'!E:E,),)))"),"")</f>
        <v/>
      </c>
    </row>
    <row r="856">
      <c r="A856" s="3" t="str">
        <f t="array" ref="A856">ifna(_xlfn.xlookup(B856,'All Item Code'!B:B,'All Item Code'!A:A,),)</f>
        <v/>
      </c>
      <c r="B856" s="3"/>
      <c r="C856" s="3" t="str">
        <f t="array" ref="C856">if(B856="Tidak Ada",,if(isblank(B856),,ifna(sumif('On Hand'!A:A,A856,'On Hand'!D:D)&amp;" "&amp;_xlfn.xlookup(A856,'All Item Code'!A:A,'All Item Code'!D:D,),0)))</f>
        <v/>
      </c>
      <c r="D856" s="3" t="str">
        <f>IFERROR(__xludf.DUMMYFUNCTION("if(isblank(B856),,ifna(textjoin(""; "",,filter('On Hand'!E:E,'On Hand'!A:A=A856)),ifna(xlookup(A856,'On Hand'!A:A,'On Hand'!E:E,),)))"),"")</f>
        <v/>
      </c>
    </row>
    <row r="857">
      <c r="A857" s="3" t="str">
        <f t="array" ref="A857">ifna(_xlfn.xlookup(B857,'All Item Code'!B:B,'All Item Code'!A:A,),)</f>
        <v/>
      </c>
      <c r="B857" s="3"/>
      <c r="C857" s="3" t="str">
        <f t="array" ref="C857">if(B857="Tidak Ada",,if(isblank(B857),,ifna(sumif('On Hand'!A:A,A857,'On Hand'!D:D)&amp;" "&amp;_xlfn.xlookup(A857,'All Item Code'!A:A,'All Item Code'!D:D,),0)))</f>
        <v/>
      </c>
      <c r="D857" s="3" t="str">
        <f>IFERROR(__xludf.DUMMYFUNCTION("if(isblank(B857),,ifna(textjoin(""; "",,filter('On Hand'!E:E,'On Hand'!A:A=A857)),ifna(xlookup(A857,'On Hand'!A:A,'On Hand'!E:E,),)))"),"")</f>
        <v/>
      </c>
    </row>
    <row r="858">
      <c r="A858" s="3" t="str">
        <f t="array" ref="A858">ifna(_xlfn.xlookup(B858,'All Item Code'!B:B,'All Item Code'!A:A,),)</f>
        <v/>
      </c>
      <c r="B858" s="3"/>
      <c r="C858" s="3" t="str">
        <f t="array" ref="C858">if(B858="Tidak Ada",,if(isblank(B858),,ifna(sumif('On Hand'!A:A,A858,'On Hand'!D:D)&amp;" "&amp;_xlfn.xlookup(A858,'All Item Code'!A:A,'All Item Code'!D:D,),0)))</f>
        <v/>
      </c>
      <c r="D858" s="3" t="str">
        <f>IFERROR(__xludf.DUMMYFUNCTION("if(isblank(B858),,ifna(textjoin(""; "",,filter('On Hand'!E:E,'On Hand'!A:A=A858)),ifna(xlookup(A858,'On Hand'!A:A,'On Hand'!E:E,),)))"),"")</f>
        <v/>
      </c>
    </row>
    <row r="859">
      <c r="A859" s="3" t="str">
        <f t="array" ref="A859">ifna(_xlfn.xlookup(B859,'All Item Code'!B:B,'All Item Code'!A:A,),)</f>
        <v/>
      </c>
      <c r="B859" s="3"/>
      <c r="C859" s="3" t="str">
        <f t="array" ref="C859">if(B859="Tidak Ada",,if(isblank(B859),,ifna(sumif('On Hand'!A:A,A859,'On Hand'!D:D)&amp;" "&amp;_xlfn.xlookup(A859,'All Item Code'!A:A,'All Item Code'!D:D,),0)))</f>
        <v/>
      </c>
      <c r="D859" s="3" t="str">
        <f>IFERROR(__xludf.DUMMYFUNCTION("if(isblank(B859),,ifna(textjoin(""; "",,filter('On Hand'!E:E,'On Hand'!A:A=A859)),ifna(xlookup(A859,'On Hand'!A:A,'On Hand'!E:E,),)))"),"")</f>
        <v/>
      </c>
    </row>
    <row r="860">
      <c r="A860" s="3" t="str">
        <f t="array" ref="A860">ifna(_xlfn.xlookup(B860,'All Item Code'!B:B,'All Item Code'!A:A,),)</f>
        <v/>
      </c>
      <c r="B860" s="3"/>
      <c r="C860" s="3" t="str">
        <f t="array" ref="C860">if(B860="Tidak Ada",,if(isblank(B860),,ifna(sumif('On Hand'!A:A,A860,'On Hand'!D:D)&amp;" "&amp;_xlfn.xlookup(A860,'All Item Code'!A:A,'All Item Code'!D:D,),0)))</f>
        <v/>
      </c>
      <c r="D860" s="3" t="str">
        <f>IFERROR(__xludf.DUMMYFUNCTION("if(isblank(B860),,ifna(textjoin(""; "",,filter('On Hand'!E:E,'On Hand'!A:A=A860)),ifna(xlookup(A860,'On Hand'!A:A,'On Hand'!E:E,),)))"),"")</f>
        <v/>
      </c>
    </row>
    <row r="861">
      <c r="A861" s="3" t="str">
        <f t="array" ref="A861">ifna(_xlfn.xlookup(B861,'All Item Code'!B:B,'All Item Code'!A:A,),)</f>
        <v/>
      </c>
      <c r="B861" s="3"/>
      <c r="C861" s="3" t="str">
        <f t="array" ref="C861">if(B861="Tidak Ada",,if(isblank(B861),,ifna(sumif('On Hand'!A:A,A861,'On Hand'!D:D)&amp;" "&amp;_xlfn.xlookup(A861,'All Item Code'!A:A,'All Item Code'!D:D,),0)))</f>
        <v/>
      </c>
      <c r="D861" s="3" t="str">
        <f>IFERROR(__xludf.DUMMYFUNCTION("if(isblank(B861),,ifna(textjoin(""; "",,filter('On Hand'!E:E,'On Hand'!A:A=A861)),ifna(xlookup(A861,'On Hand'!A:A,'On Hand'!E:E,),)))"),"")</f>
        <v/>
      </c>
    </row>
    <row r="862">
      <c r="A862" s="3" t="str">
        <f t="array" ref="A862">ifna(_xlfn.xlookup(B862,'All Item Code'!B:B,'All Item Code'!A:A,),)</f>
        <v/>
      </c>
      <c r="B862" s="3"/>
      <c r="C862" s="3" t="str">
        <f t="array" ref="C862">if(B862="Tidak Ada",,if(isblank(B862),,ifna(sumif('On Hand'!A:A,A862,'On Hand'!D:D)&amp;" "&amp;_xlfn.xlookup(A862,'All Item Code'!A:A,'All Item Code'!D:D,),0)))</f>
        <v/>
      </c>
      <c r="D862" s="3" t="str">
        <f>IFERROR(__xludf.DUMMYFUNCTION("if(isblank(B862),,ifna(textjoin(""; "",,filter('On Hand'!E:E,'On Hand'!A:A=A862)),ifna(xlookup(A862,'On Hand'!A:A,'On Hand'!E:E,),)))"),"")</f>
        <v/>
      </c>
    </row>
    <row r="863">
      <c r="A863" s="3" t="str">
        <f t="array" ref="A863">ifna(_xlfn.xlookup(B863,'All Item Code'!B:B,'All Item Code'!A:A,),)</f>
        <v/>
      </c>
      <c r="B863" s="3"/>
      <c r="C863" s="3" t="str">
        <f t="array" ref="C863">if(B863="Tidak Ada",,if(isblank(B863),,ifna(sumif('On Hand'!A:A,A863,'On Hand'!D:D)&amp;" "&amp;_xlfn.xlookup(A863,'All Item Code'!A:A,'All Item Code'!D:D,),0)))</f>
        <v/>
      </c>
      <c r="D863" s="3" t="str">
        <f>IFERROR(__xludf.DUMMYFUNCTION("if(isblank(B863),,ifna(textjoin(""; "",,filter('On Hand'!E:E,'On Hand'!A:A=A863)),ifna(xlookup(A863,'On Hand'!A:A,'On Hand'!E:E,),)))"),"")</f>
        <v/>
      </c>
    </row>
    <row r="864">
      <c r="A864" s="3" t="str">
        <f t="array" ref="A864">ifna(_xlfn.xlookup(B864,'All Item Code'!B:B,'All Item Code'!A:A,),)</f>
        <v/>
      </c>
      <c r="B864" s="3"/>
      <c r="C864" s="3" t="str">
        <f t="array" ref="C864">if(B864="Tidak Ada",,if(isblank(B864),,ifna(sumif('On Hand'!A:A,A864,'On Hand'!D:D)&amp;" "&amp;_xlfn.xlookup(A864,'All Item Code'!A:A,'All Item Code'!D:D,),0)))</f>
        <v/>
      </c>
      <c r="D864" s="3" t="str">
        <f>IFERROR(__xludf.DUMMYFUNCTION("if(isblank(B864),,ifna(textjoin(""; "",,filter('On Hand'!E:E,'On Hand'!A:A=A864)),ifna(xlookup(A864,'On Hand'!A:A,'On Hand'!E:E,),)))"),"")</f>
        <v/>
      </c>
    </row>
    <row r="865">
      <c r="A865" s="3" t="str">
        <f t="array" ref="A865">ifna(_xlfn.xlookup(B865,'All Item Code'!B:B,'All Item Code'!A:A,),)</f>
        <v/>
      </c>
      <c r="B865" s="3"/>
      <c r="C865" s="3" t="str">
        <f t="array" ref="C865">if(B865="Tidak Ada",,if(isblank(B865),,ifna(sumif('On Hand'!A:A,A865,'On Hand'!D:D)&amp;" "&amp;_xlfn.xlookup(A865,'All Item Code'!A:A,'All Item Code'!D:D,),0)))</f>
        <v/>
      </c>
      <c r="D865" s="3" t="str">
        <f>IFERROR(__xludf.DUMMYFUNCTION("if(isblank(B865),,ifna(textjoin(""; "",,filter('On Hand'!E:E,'On Hand'!A:A=A865)),ifna(xlookup(A865,'On Hand'!A:A,'On Hand'!E:E,),)))"),"")</f>
        <v/>
      </c>
    </row>
    <row r="866">
      <c r="A866" s="3" t="str">
        <f t="array" ref="A866">ifna(_xlfn.xlookup(B866,'All Item Code'!B:B,'All Item Code'!A:A,),)</f>
        <v/>
      </c>
      <c r="B866" s="3"/>
      <c r="C866" s="3" t="str">
        <f t="array" ref="C866">if(B866="Tidak Ada",,if(isblank(B866),,ifna(sumif('On Hand'!A:A,A866,'On Hand'!D:D)&amp;" "&amp;_xlfn.xlookup(A866,'All Item Code'!A:A,'All Item Code'!D:D,),0)))</f>
        <v/>
      </c>
      <c r="D866" s="3" t="str">
        <f>IFERROR(__xludf.DUMMYFUNCTION("if(isblank(B866),,ifna(textjoin(""; "",,filter('On Hand'!E:E,'On Hand'!A:A=A866)),ifna(xlookup(A866,'On Hand'!A:A,'On Hand'!E:E,),)))"),"")</f>
        <v/>
      </c>
    </row>
    <row r="867">
      <c r="A867" s="3" t="str">
        <f t="array" ref="A867">ifna(_xlfn.xlookup(B867,'All Item Code'!B:B,'All Item Code'!A:A,),)</f>
        <v/>
      </c>
      <c r="B867" s="3"/>
      <c r="C867" s="3" t="str">
        <f t="array" ref="C867">if(B867="Tidak Ada",,if(isblank(B867),,ifna(sumif('On Hand'!A:A,A867,'On Hand'!D:D)&amp;" "&amp;_xlfn.xlookup(A867,'All Item Code'!A:A,'All Item Code'!D:D,),0)))</f>
        <v/>
      </c>
      <c r="D867" s="3" t="str">
        <f>IFERROR(__xludf.DUMMYFUNCTION("if(isblank(B867),,ifna(textjoin(""; "",,filter('On Hand'!E:E,'On Hand'!A:A=A867)),ifna(xlookup(A867,'On Hand'!A:A,'On Hand'!E:E,),)))"),"")</f>
        <v/>
      </c>
    </row>
    <row r="868">
      <c r="A868" s="3" t="str">
        <f t="array" ref="A868">ifna(_xlfn.xlookup(B868,'All Item Code'!B:B,'All Item Code'!A:A,),)</f>
        <v/>
      </c>
      <c r="B868" s="3"/>
      <c r="C868" s="3" t="str">
        <f t="array" ref="C868">if(B868="Tidak Ada",,if(isblank(B868),,ifna(sumif('On Hand'!A:A,A868,'On Hand'!D:D)&amp;" "&amp;_xlfn.xlookup(A868,'All Item Code'!A:A,'All Item Code'!D:D,),0)))</f>
        <v/>
      </c>
      <c r="D868" s="3" t="str">
        <f>IFERROR(__xludf.DUMMYFUNCTION("if(isblank(B868),,ifna(textjoin(""; "",,filter('On Hand'!E:E,'On Hand'!A:A=A868)),ifna(xlookup(A868,'On Hand'!A:A,'On Hand'!E:E,),)))"),"")</f>
        <v/>
      </c>
    </row>
    <row r="869">
      <c r="A869" s="3" t="str">
        <f t="array" ref="A869">ifna(_xlfn.xlookup(B869,'All Item Code'!B:B,'All Item Code'!A:A,),)</f>
        <v/>
      </c>
      <c r="B869" s="3"/>
      <c r="C869" s="3" t="str">
        <f t="array" ref="C869">if(B869="Tidak Ada",,if(isblank(B869),,ifna(sumif('On Hand'!A:A,A869,'On Hand'!D:D)&amp;" "&amp;_xlfn.xlookup(A869,'All Item Code'!A:A,'All Item Code'!D:D,),0)))</f>
        <v/>
      </c>
      <c r="D869" s="3" t="str">
        <f>IFERROR(__xludf.DUMMYFUNCTION("if(isblank(B869),,ifna(textjoin(""; "",,filter('On Hand'!E:E,'On Hand'!A:A=A869)),ifna(xlookup(A869,'On Hand'!A:A,'On Hand'!E:E,),)))"),"")</f>
        <v/>
      </c>
    </row>
    <row r="870">
      <c r="A870" s="3" t="str">
        <f t="array" ref="A870">ifna(_xlfn.xlookup(B870,'All Item Code'!B:B,'All Item Code'!A:A,),)</f>
        <v/>
      </c>
      <c r="B870" s="3"/>
      <c r="C870" s="3" t="str">
        <f t="array" ref="C870">if(B870="Tidak Ada",,if(isblank(B870),,ifna(sumif('On Hand'!A:A,A870,'On Hand'!D:D)&amp;" "&amp;_xlfn.xlookup(A870,'All Item Code'!A:A,'All Item Code'!D:D,),0)))</f>
        <v/>
      </c>
      <c r="D870" s="3" t="str">
        <f>IFERROR(__xludf.DUMMYFUNCTION("if(isblank(B870),,ifna(textjoin(""; "",,filter('On Hand'!E:E,'On Hand'!A:A=A870)),ifna(xlookup(A870,'On Hand'!A:A,'On Hand'!E:E,),)))"),"")</f>
        <v/>
      </c>
    </row>
    <row r="871">
      <c r="A871" s="3" t="str">
        <f t="array" ref="A871">ifna(_xlfn.xlookup(B871,'All Item Code'!B:B,'All Item Code'!A:A,),)</f>
        <v/>
      </c>
      <c r="B871" s="3"/>
      <c r="C871" s="3" t="str">
        <f t="array" ref="C871">if(B871="Tidak Ada",,if(isblank(B871),,ifna(sumif('On Hand'!A:A,A871,'On Hand'!D:D)&amp;" "&amp;_xlfn.xlookup(A871,'All Item Code'!A:A,'All Item Code'!D:D,),0)))</f>
        <v/>
      </c>
      <c r="D871" s="3" t="str">
        <f>IFERROR(__xludf.DUMMYFUNCTION("if(isblank(B871),,ifna(textjoin(""; "",,filter('On Hand'!E:E,'On Hand'!A:A=A871)),ifna(xlookup(A871,'On Hand'!A:A,'On Hand'!E:E,),)))"),"")</f>
        <v/>
      </c>
    </row>
    <row r="872">
      <c r="A872" s="3" t="str">
        <f t="array" ref="A872">ifna(_xlfn.xlookup(B872,'All Item Code'!B:B,'All Item Code'!A:A,),)</f>
        <v/>
      </c>
      <c r="B872" s="3"/>
      <c r="C872" s="3" t="str">
        <f t="array" ref="C872">if(B872="Tidak Ada",,if(isblank(B872),,ifna(sumif('On Hand'!A:A,A872,'On Hand'!D:D)&amp;" "&amp;_xlfn.xlookup(A872,'All Item Code'!A:A,'All Item Code'!D:D,),0)))</f>
        <v/>
      </c>
      <c r="D872" s="3" t="str">
        <f>IFERROR(__xludf.DUMMYFUNCTION("if(isblank(B872),,ifna(textjoin(""; "",,filter('On Hand'!E:E,'On Hand'!A:A=A872)),ifna(xlookup(A872,'On Hand'!A:A,'On Hand'!E:E,),)))"),"")</f>
        <v/>
      </c>
    </row>
    <row r="873">
      <c r="A873" s="3" t="str">
        <f t="array" ref="A873">ifna(_xlfn.xlookup(B873,'All Item Code'!B:B,'All Item Code'!A:A,),)</f>
        <v/>
      </c>
      <c r="B873" s="3"/>
      <c r="C873" s="3" t="str">
        <f t="array" ref="C873">if(B873="Tidak Ada",,if(isblank(B873),,ifna(sumif('On Hand'!A:A,A873,'On Hand'!D:D)&amp;" "&amp;_xlfn.xlookup(A873,'All Item Code'!A:A,'All Item Code'!D:D,),0)))</f>
        <v/>
      </c>
      <c r="D873" s="3" t="str">
        <f>IFERROR(__xludf.DUMMYFUNCTION("if(isblank(B873),,ifna(textjoin(""; "",,filter('On Hand'!E:E,'On Hand'!A:A=A873)),ifna(xlookup(A873,'On Hand'!A:A,'On Hand'!E:E,),)))"),"")</f>
        <v/>
      </c>
    </row>
    <row r="874">
      <c r="A874" s="3" t="str">
        <f t="array" ref="A874">ifna(_xlfn.xlookup(B874,'All Item Code'!B:B,'All Item Code'!A:A,),)</f>
        <v/>
      </c>
      <c r="B874" s="3"/>
      <c r="C874" s="3" t="str">
        <f t="array" ref="C874">if(B874="Tidak Ada",,if(isblank(B874),,ifna(sumif('On Hand'!A:A,A874,'On Hand'!D:D)&amp;" "&amp;_xlfn.xlookup(A874,'All Item Code'!A:A,'All Item Code'!D:D,),0)))</f>
        <v/>
      </c>
      <c r="D874" s="3" t="str">
        <f>IFERROR(__xludf.DUMMYFUNCTION("if(isblank(B874),,ifna(textjoin(""; "",,filter('On Hand'!E:E,'On Hand'!A:A=A874)),ifna(xlookup(A874,'On Hand'!A:A,'On Hand'!E:E,),)))"),"")</f>
        <v/>
      </c>
    </row>
    <row r="875">
      <c r="A875" s="3" t="str">
        <f t="array" ref="A875">ifna(_xlfn.xlookup(B875,'All Item Code'!B:B,'All Item Code'!A:A,),)</f>
        <v/>
      </c>
      <c r="B875" s="3"/>
      <c r="C875" s="3" t="str">
        <f t="array" ref="C875">if(B875="Tidak Ada",,if(isblank(B875),,ifna(sumif('On Hand'!A:A,A875,'On Hand'!D:D)&amp;" "&amp;_xlfn.xlookup(A875,'All Item Code'!A:A,'All Item Code'!D:D,),0)))</f>
        <v/>
      </c>
      <c r="D875" s="3" t="str">
        <f>IFERROR(__xludf.DUMMYFUNCTION("if(isblank(B875),,ifna(textjoin(""; "",,filter('On Hand'!E:E,'On Hand'!A:A=A875)),ifna(xlookup(A875,'On Hand'!A:A,'On Hand'!E:E,),)))"),"")</f>
        <v/>
      </c>
    </row>
    <row r="876">
      <c r="A876" s="3" t="str">
        <f t="array" ref="A876">ifna(_xlfn.xlookup(B876,'All Item Code'!B:B,'All Item Code'!A:A,),)</f>
        <v/>
      </c>
      <c r="B876" s="3"/>
      <c r="C876" s="3" t="str">
        <f t="array" ref="C876">if(B876="Tidak Ada",,if(isblank(B876),,ifna(sumif('On Hand'!A:A,A876,'On Hand'!D:D)&amp;" "&amp;_xlfn.xlookup(A876,'All Item Code'!A:A,'All Item Code'!D:D,),0)))</f>
        <v/>
      </c>
      <c r="D876" s="3" t="str">
        <f>IFERROR(__xludf.DUMMYFUNCTION("if(isblank(B876),,ifna(textjoin(""; "",,filter('On Hand'!E:E,'On Hand'!A:A=A876)),ifna(xlookup(A876,'On Hand'!A:A,'On Hand'!E:E,),)))"),"")</f>
        <v/>
      </c>
    </row>
    <row r="877">
      <c r="A877" s="3" t="str">
        <f t="array" ref="A877">ifna(_xlfn.xlookup(B877,'All Item Code'!B:B,'All Item Code'!A:A,),)</f>
        <v/>
      </c>
      <c r="B877" s="3"/>
      <c r="C877" s="3" t="str">
        <f t="array" ref="C877">if(B877="Tidak Ada",,if(isblank(B877),,ifna(sumif('On Hand'!A:A,A877,'On Hand'!D:D)&amp;" "&amp;_xlfn.xlookup(A877,'All Item Code'!A:A,'All Item Code'!D:D,),0)))</f>
        <v/>
      </c>
      <c r="D877" s="3" t="str">
        <f>IFERROR(__xludf.DUMMYFUNCTION("if(isblank(B877),,ifna(textjoin(""; "",,filter('On Hand'!E:E,'On Hand'!A:A=A877)),ifna(xlookup(A877,'On Hand'!A:A,'On Hand'!E:E,),)))"),"")</f>
        <v/>
      </c>
    </row>
    <row r="878">
      <c r="A878" s="3" t="str">
        <f t="array" ref="A878">ifna(_xlfn.xlookup(B878,'All Item Code'!B:B,'All Item Code'!A:A,),)</f>
        <v/>
      </c>
      <c r="B878" s="3"/>
      <c r="C878" s="3" t="str">
        <f t="array" ref="C878">if(B878="Tidak Ada",,if(isblank(B878),,ifna(sumif('On Hand'!A:A,A878,'On Hand'!D:D)&amp;" "&amp;_xlfn.xlookup(A878,'All Item Code'!A:A,'All Item Code'!D:D,),0)))</f>
        <v/>
      </c>
      <c r="D878" s="3" t="str">
        <f>IFERROR(__xludf.DUMMYFUNCTION("if(isblank(B878),,ifna(textjoin(""; "",,filter('On Hand'!E:E,'On Hand'!A:A=A878)),ifna(xlookup(A878,'On Hand'!A:A,'On Hand'!E:E,),)))"),"")</f>
        <v/>
      </c>
    </row>
    <row r="879">
      <c r="A879" s="3" t="str">
        <f t="array" ref="A879">ifna(_xlfn.xlookup(B879,'All Item Code'!B:B,'All Item Code'!A:A,),)</f>
        <v/>
      </c>
      <c r="B879" s="3"/>
      <c r="C879" s="3" t="str">
        <f t="array" ref="C879">if(B879="Tidak Ada",,if(isblank(B879),,ifna(sumif('On Hand'!A:A,A879,'On Hand'!D:D)&amp;" "&amp;_xlfn.xlookup(A879,'All Item Code'!A:A,'All Item Code'!D:D,),0)))</f>
        <v/>
      </c>
      <c r="D879" s="3" t="str">
        <f>IFERROR(__xludf.DUMMYFUNCTION("if(isblank(B879),,ifna(textjoin(""; "",,filter('On Hand'!E:E,'On Hand'!A:A=A879)),ifna(xlookup(A879,'On Hand'!A:A,'On Hand'!E:E,),)))"),"")</f>
        <v/>
      </c>
    </row>
    <row r="880">
      <c r="A880" s="3" t="str">
        <f t="array" ref="A880">ifna(_xlfn.xlookup(B880,'All Item Code'!B:B,'All Item Code'!A:A,),)</f>
        <v/>
      </c>
      <c r="B880" s="3"/>
      <c r="C880" s="3" t="str">
        <f t="array" ref="C880">if(B880="Tidak Ada",,if(isblank(B880),,ifna(sumif('On Hand'!A:A,A880,'On Hand'!D:D)&amp;" "&amp;_xlfn.xlookup(A880,'All Item Code'!A:A,'All Item Code'!D:D,),0)))</f>
        <v/>
      </c>
      <c r="D880" s="3" t="str">
        <f>IFERROR(__xludf.DUMMYFUNCTION("if(isblank(B880),,ifna(textjoin(""; "",,filter('On Hand'!E:E,'On Hand'!A:A=A880)),ifna(xlookup(A880,'On Hand'!A:A,'On Hand'!E:E,),)))"),"")</f>
        <v/>
      </c>
    </row>
    <row r="881">
      <c r="A881" s="3" t="str">
        <f t="array" ref="A881">ifna(_xlfn.xlookup(B881,'All Item Code'!B:B,'All Item Code'!A:A,),)</f>
        <v/>
      </c>
      <c r="B881" s="3"/>
      <c r="C881" s="3" t="str">
        <f t="array" ref="C881">if(B881="Tidak Ada",,if(isblank(B881),,ifna(sumif('On Hand'!A:A,A881,'On Hand'!D:D)&amp;" "&amp;_xlfn.xlookup(A881,'All Item Code'!A:A,'All Item Code'!D:D,),0)))</f>
        <v/>
      </c>
      <c r="D881" s="3" t="str">
        <f>IFERROR(__xludf.DUMMYFUNCTION("if(isblank(B881),,ifna(textjoin(""; "",,filter('On Hand'!E:E,'On Hand'!A:A=A881)),ifna(xlookup(A881,'On Hand'!A:A,'On Hand'!E:E,),)))"),"")</f>
        <v/>
      </c>
    </row>
    <row r="882">
      <c r="A882" s="3" t="str">
        <f t="array" ref="A882">ifna(_xlfn.xlookup(B882,'All Item Code'!B:B,'All Item Code'!A:A,),)</f>
        <v/>
      </c>
      <c r="B882" s="3"/>
      <c r="C882" s="3" t="str">
        <f t="array" ref="C882">if(B882="Tidak Ada",,if(isblank(B882),,ifna(sumif('On Hand'!A:A,A882,'On Hand'!D:D)&amp;" "&amp;_xlfn.xlookup(A882,'All Item Code'!A:A,'All Item Code'!D:D,),0)))</f>
        <v/>
      </c>
      <c r="D882" s="3" t="str">
        <f>IFERROR(__xludf.DUMMYFUNCTION("if(isblank(B882),,ifna(textjoin(""; "",,filter('On Hand'!E:E,'On Hand'!A:A=A882)),ifna(xlookup(A882,'On Hand'!A:A,'On Hand'!E:E,),)))"),"")</f>
        <v/>
      </c>
    </row>
    <row r="883">
      <c r="A883" s="3" t="str">
        <f t="array" ref="A883">ifna(_xlfn.xlookup(B883,'All Item Code'!B:B,'All Item Code'!A:A,),)</f>
        <v/>
      </c>
      <c r="B883" s="3"/>
      <c r="C883" s="3" t="str">
        <f t="array" ref="C883">if(B883="Tidak Ada",,if(isblank(B883),,ifna(sumif('On Hand'!A:A,A883,'On Hand'!D:D)&amp;" "&amp;_xlfn.xlookup(A883,'All Item Code'!A:A,'All Item Code'!D:D,),0)))</f>
        <v/>
      </c>
      <c r="D883" s="3" t="str">
        <f>IFERROR(__xludf.DUMMYFUNCTION("if(isblank(B883),,ifna(textjoin(""; "",,filter('On Hand'!E:E,'On Hand'!A:A=A883)),ifna(xlookup(A883,'On Hand'!A:A,'On Hand'!E:E,),)))"),"")</f>
        <v/>
      </c>
    </row>
    <row r="884">
      <c r="A884" s="3" t="str">
        <f t="array" ref="A884">ifna(_xlfn.xlookup(B884,'All Item Code'!B:B,'All Item Code'!A:A,),)</f>
        <v/>
      </c>
      <c r="B884" s="3"/>
      <c r="C884" s="3" t="str">
        <f t="array" ref="C884">if(B884="Tidak Ada",,if(isblank(B884),,ifna(sumif('On Hand'!A:A,A884,'On Hand'!D:D)&amp;" "&amp;_xlfn.xlookup(A884,'All Item Code'!A:A,'All Item Code'!D:D,),0)))</f>
        <v/>
      </c>
      <c r="D884" s="3" t="str">
        <f>IFERROR(__xludf.DUMMYFUNCTION("if(isblank(B884),,ifna(textjoin(""; "",,filter('On Hand'!E:E,'On Hand'!A:A=A884)),ifna(xlookup(A884,'On Hand'!A:A,'On Hand'!E:E,),)))"),"")</f>
        <v/>
      </c>
    </row>
    <row r="885">
      <c r="A885" s="3" t="str">
        <f t="array" ref="A885">ifna(_xlfn.xlookup(B885,'All Item Code'!B:B,'All Item Code'!A:A,),)</f>
        <v/>
      </c>
      <c r="B885" s="3"/>
      <c r="C885" s="3" t="str">
        <f t="array" ref="C885">if(B885="Tidak Ada",,if(isblank(B885),,ifna(sumif('On Hand'!A:A,A885,'On Hand'!D:D)&amp;" "&amp;_xlfn.xlookup(A885,'All Item Code'!A:A,'All Item Code'!D:D,),0)))</f>
        <v/>
      </c>
      <c r="D885" s="3" t="str">
        <f>IFERROR(__xludf.DUMMYFUNCTION("if(isblank(B885),,ifna(textjoin(""; "",,filter('On Hand'!E:E,'On Hand'!A:A=A885)),ifna(xlookup(A885,'On Hand'!A:A,'On Hand'!E:E,),)))"),"")</f>
        <v/>
      </c>
    </row>
    <row r="886">
      <c r="A886" s="3" t="str">
        <f t="array" ref="A886">ifna(_xlfn.xlookup(B886,'All Item Code'!B:B,'All Item Code'!A:A,),)</f>
        <v/>
      </c>
      <c r="B886" s="3"/>
      <c r="C886" s="3" t="str">
        <f t="array" ref="C886">if(B886="Tidak Ada",,if(isblank(B886),,ifna(sumif('On Hand'!A:A,A886,'On Hand'!D:D)&amp;" "&amp;_xlfn.xlookup(A886,'All Item Code'!A:A,'All Item Code'!D:D,),0)))</f>
        <v/>
      </c>
      <c r="D886" s="3" t="str">
        <f>IFERROR(__xludf.DUMMYFUNCTION("if(isblank(B886),,ifna(textjoin(""; "",,filter('On Hand'!E:E,'On Hand'!A:A=A886)),ifna(xlookup(A886,'On Hand'!A:A,'On Hand'!E:E,),)))"),"")</f>
        <v/>
      </c>
    </row>
    <row r="887">
      <c r="A887" s="3" t="str">
        <f t="array" ref="A887">ifna(_xlfn.xlookup(B887,'All Item Code'!B:B,'All Item Code'!A:A,),)</f>
        <v/>
      </c>
      <c r="B887" s="3"/>
      <c r="C887" s="3" t="str">
        <f t="array" ref="C887">if(B887="Tidak Ada",,if(isblank(B887),,ifna(sumif('On Hand'!A:A,A887,'On Hand'!D:D)&amp;" "&amp;_xlfn.xlookup(A887,'All Item Code'!A:A,'All Item Code'!D:D,),0)))</f>
        <v/>
      </c>
      <c r="D887" s="3" t="str">
        <f>IFERROR(__xludf.DUMMYFUNCTION("if(isblank(B887),,ifna(textjoin(""; "",,filter('On Hand'!E:E,'On Hand'!A:A=A887)),ifna(xlookup(A887,'On Hand'!A:A,'On Hand'!E:E,),)))"),"")</f>
        <v/>
      </c>
    </row>
    <row r="888">
      <c r="A888" s="3" t="str">
        <f t="array" ref="A888">ifna(_xlfn.xlookup(B888,'All Item Code'!B:B,'All Item Code'!A:A,),)</f>
        <v/>
      </c>
      <c r="B888" s="3"/>
      <c r="C888" s="3" t="str">
        <f t="array" ref="C888">if(B888="Tidak Ada",,if(isblank(B888),,ifna(sumif('On Hand'!A:A,A888,'On Hand'!D:D)&amp;" "&amp;_xlfn.xlookup(A888,'All Item Code'!A:A,'All Item Code'!D:D,),0)))</f>
        <v/>
      </c>
      <c r="D888" s="3" t="str">
        <f>IFERROR(__xludf.DUMMYFUNCTION("if(isblank(B888),,ifna(textjoin(""; "",,filter('On Hand'!E:E,'On Hand'!A:A=A888)),ifna(xlookup(A888,'On Hand'!A:A,'On Hand'!E:E,),)))"),"")</f>
        <v/>
      </c>
    </row>
    <row r="889">
      <c r="A889" s="3" t="str">
        <f t="array" ref="A889">ifna(_xlfn.xlookup(B889,'All Item Code'!B:B,'All Item Code'!A:A,),)</f>
        <v/>
      </c>
      <c r="B889" s="3"/>
      <c r="C889" s="3" t="str">
        <f t="array" ref="C889">if(B889="Tidak Ada",,if(isblank(B889),,ifna(sumif('On Hand'!A:A,A889,'On Hand'!D:D)&amp;" "&amp;_xlfn.xlookup(A889,'All Item Code'!A:A,'All Item Code'!D:D,),0)))</f>
        <v/>
      </c>
      <c r="D889" s="3" t="str">
        <f>IFERROR(__xludf.DUMMYFUNCTION("if(isblank(B889),,ifna(textjoin(""; "",,filter('On Hand'!E:E,'On Hand'!A:A=A889)),ifna(xlookup(A889,'On Hand'!A:A,'On Hand'!E:E,),)))"),"")</f>
        <v/>
      </c>
    </row>
    <row r="890">
      <c r="A890" s="3" t="str">
        <f t="array" ref="A890">ifna(_xlfn.xlookup(B890,'All Item Code'!B:B,'All Item Code'!A:A,),)</f>
        <v/>
      </c>
      <c r="B890" s="3"/>
      <c r="C890" s="3" t="str">
        <f t="array" ref="C890">if(B890="Tidak Ada",,if(isblank(B890),,ifna(sumif('On Hand'!A:A,A890,'On Hand'!D:D)&amp;" "&amp;_xlfn.xlookup(A890,'All Item Code'!A:A,'All Item Code'!D:D,),0)))</f>
        <v/>
      </c>
      <c r="D890" s="3" t="str">
        <f>IFERROR(__xludf.DUMMYFUNCTION("if(isblank(B890),,ifna(textjoin(""; "",,filter('On Hand'!E:E,'On Hand'!A:A=A890)),ifna(xlookup(A890,'On Hand'!A:A,'On Hand'!E:E,),)))"),"")</f>
        <v/>
      </c>
    </row>
    <row r="891">
      <c r="A891" s="3" t="str">
        <f t="array" ref="A891">ifna(_xlfn.xlookup(B891,'All Item Code'!B:B,'All Item Code'!A:A,),)</f>
        <v/>
      </c>
      <c r="B891" s="3"/>
      <c r="C891" s="3" t="str">
        <f t="array" ref="C891">if(B891="Tidak Ada",,if(isblank(B891),,ifna(sumif('On Hand'!A:A,A891,'On Hand'!D:D)&amp;" "&amp;_xlfn.xlookup(A891,'All Item Code'!A:A,'All Item Code'!D:D,),0)))</f>
        <v/>
      </c>
      <c r="D891" s="3" t="str">
        <f>IFERROR(__xludf.DUMMYFUNCTION("if(isblank(B891),,ifna(textjoin(""; "",,filter('On Hand'!E:E,'On Hand'!A:A=A891)),ifna(xlookup(A891,'On Hand'!A:A,'On Hand'!E:E,),)))"),"")</f>
        <v/>
      </c>
    </row>
    <row r="892">
      <c r="A892" s="3" t="str">
        <f t="array" ref="A892">ifna(_xlfn.xlookup(B892,'All Item Code'!B:B,'All Item Code'!A:A,),)</f>
        <v/>
      </c>
      <c r="B892" s="3"/>
      <c r="C892" s="3" t="str">
        <f t="array" ref="C892">if(B892="Tidak Ada",,if(isblank(B892),,ifna(sumif('On Hand'!A:A,A892,'On Hand'!D:D)&amp;" "&amp;_xlfn.xlookup(A892,'All Item Code'!A:A,'All Item Code'!D:D,),0)))</f>
        <v/>
      </c>
      <c r="D892" s="3" t="str">
        <f>IFERROR(__xludf.DUMMYFUNCTION("if(isblank(B892),,ifna(textjoin(""; "",,filter('On Hand'!E:E,'On Hand'!A:A=A892)),ifna(xlookup(A892,'On Hand'!A:A,'On Hand'!E:E,),)))"),"")</f>
        <v/>
      </c>
    </row>
    <row r="893">
      <c r="A893" s="3" t="str">
        <f t="array" ref="A893">ifna(_xlfn.xlookup(B893,'All Item Code'!B:B,'All Item Code'!A:A,),)</f>
        <v/>
      </c>
      <c r="B893" s="3"/>
      <c r="C893" s="3" t="str">
        <f t="array" ref="C893">if(B893="Tidak Ada",,if(isblank(B893),,ifna(sumif('On Hand'!A:A,A893,'On Hand'!D:D)&amp;" "&amp;_xlfn.xlookup(A893,'All Item Code'!A:A,'All Item Code'!D:D,),0)))</f>
        <v/>
      </c>
      <c r="D893" s="3" t="str">
        <f>IFERROR(__xludf.DUMMYFUNCTION("if(isblank(B893),,ifna(textjoin(""; "",,filter('On Hand'!E:E,'On Hand'!A:A=A893)),ifna(xlookup(A893,'On Hand'!A:A,'On Hand'!E:E,),)))"),"")</f>
        <v/>
      </c>
    </row>
    <row r="894">
      <c r="A894" s="3" t="str">
        <f t="array" ref="A894">ifna(_xlfn.xlookup(B894,'All Item Code'!B:B,'All Item Code'!A:A,),)</f>
        <v/>
      </c>
      <c r="B894" s="3"/>
      <c r="C894" s="3" t="str">
        <f t="array" ref="C894">if(B894="Tidak Ada",,if(isblank(B894),,ifna(sumif('On Hand'!A:A,A894,'On Hand'!D:D)&amp;" "&amp;_xlfn.xlookup(A894,'All Item Code'!A:A,'All Item Code'!D:D,),0)))</f>
        <v/>
      </c>
      <c r="D894" s="3" t="str">
        <f>IFERROR(__xludf.DUMMYFUNCTION("if(isblank(B894),,ifna(textjoin(""; "",,filter('On Hand'!E:E,'On Hand'!A:A=A894)),ifna(xlookup(A894,'On Hand'!A:A,'On Hand'!E:E,),)))"),"")</f>
        <v/>
      </c>
    </row>
    <row r="895">
      <c r="A895" s="3" t="str">
        <f t="array" ref="A895">ifna(_xlfn.xlookup(B895,'All Item Code'!B:B,'All Item Code'!A:A,),)</f>
        <v/>
      </c>
      <c r="B895" s="3"/>
      <c r="C895" s="3" t="str">
        <f t="array" ref="C895">if(B895="Tidak Ada",,if(isblank(B895),,ifna(sumif('On Hand'!A:A,A895,'On Hand'!D:D)&amp;" "&amp;_xlfn.xlookup(A895,'All Item Code'!A:A,'All Item Code'!D:D,),0)))</f>
        <v/>
      </c>
      <c r="D895" s="3" t="str">
        <f>IFERROR(__xludf.DUMMYFUNCTION("if(isblank(B895),,ifna(textjoin(""; "",,filter('On Hand'!E:E,'On Hand'!A:A=A895)),ifna(xlookup(A895,'On Hand'!A:A,'On Hand'!E:E,),)))"),"")</f>
        <v/>
      </c>
    </row>
    <row r="896">
      <c r="A896" s="3" t="str">
        <f t="array" ref="A896">ifna(_xlfn.xlookup(B896,'All Item Code'!B:B,'All Item Code'!A:A,),)</f>
        <v/>
      </c>
      <c r="B896" s="3"/>
      <c r="C896" s="3" t="str">
        <f t="array" ref="C896">if(B896="Tidak Ada",,if(isblank(B896),,ifna(sumif('On Hand'!A:A,A896,'On Hand'!D:D)&amp;" "&amp;_xlfn.xlookup(A896,'All Item Code'!A:A,'All Item Code'!D:D,),0)))</f>
        <v/>
      </c>
      <c r="D896" s="3" t="str">
        <f>IFERROR(__xludf.DUMMYFUNCTION("if(isblank(B896),,ifna(textjoin(""; "",,filter('On Hand'!E:E,'On Hand'!A:A=A896)),ifna(xlookup(A896,'On Hand'!A:A,'On Hand'!E:E,),)))"),"")</f>
        <v/>
      </c>
    </row>
    <row r="897">
      <c r="A897" s="3" t="str">
        <f t="array" ref="A897">ifna(_xlfn.xlookup(B897,'All Item Code'!B:B,'All Item Code'!A:A,),)</f>
        <v/>
      </c>
      <c r="B897" s="3"/>
      <c r="C897" s="3" t="str">
        <f t="array" ref="C897">if(B897="Tidak Ada",,if(isblank(B897),,ifna(sumif('On Hand'!A:A,A897,'On Hand'!D:D)&amp;" "&amp;_xlfn.xlookup(A897,'All Item Code'!A:A,'All Item Code'!D:D,),0)))</f>
        <v/>
      </c>
      <c r="D897" s="3" t="str">
        <f>IFERROR(__xludf.DUMMYFUNCTION("if(isblank(B897),,ifna(textjoin(""; "",,filter('On Hand'!E:E,'On Hand'!A:A=A897)),ifna(xlookup(A897,'On Hand'!A:A,'On Hand'!E:E,),)))"),"")</f>
        <v/>
      </c>
    </row>
    <row r="898">
      <c r="A898" s="3" t="str">
        <f t="array" ref="A898">ifna(_xlfn.xlookup(B898,'All Item Code'!B:B,'All Item Code'!A:A,),)</f>
        <v/>
      </c>
      <c r="B898" s="3"/>
      <c r="C898" s="3" t="str">
        <f t="array" ref="C898">if(B898="Tidak Ada",,if(isblank(B898),,ifna(sumif('On Hand'!A:A,A898,'On Hand'!D:D)&amp;" "&amp;_xlfn.xlookup(A898,'All Item Code'!A:A,'All Item Code'!D:D,),0)))</f>
        <v/>
      </c>
      <c r="D898" s="3" t="str">
        <f>IFERROR(__xludf.DUMMYFUNCTION("if(isblank(B898),,ifna(textjoin(""; "",,filter('On Hand'!E:E,'On Hand'!A:A=A898)),ifna(xlookup(A898,'On Hand'!A:A,'On Hand'!E:E,),)))"),"")</f>
        <v/>
      </c>
    </row>
    <row r="899">
      <c r="A899" s="3" t="str">
        <f t="array" ref="A899">ifna(_xlfn.xlookup(B899,'All Item Code'!B:B,'All Item Code'!A:A,),)</f>
        <v/>
      </c>
      <c r="B899" s="3"/>
      <c r="C899" s="3" t="str">
        <f t="array" ref="C899">if(B899="Tidak Ada",,if(isblank(B899),,ifna(sumif('On Hand'!A:A,A899,'On Hand'!D:D)&amp;" "&amp;_xlfn.xlookup(A899,'All Item Code'!A:A,'All Item Code'!D:D,),0)))</f>
        <v/>
      </c>
      <c r="D899" s="3" t="str">
        <f>IFERROR(__xludf.DUMMYFUNCTION("if(isblank(B899),,ifna(textjoin(""; "",,filter('On Hand'!E:E,'On Hand'!A:A=A899)),ifna(xlookup(A899,'On Hand'!A:A,'On Hand'!E:E,),)))"),"")</f>
        <v/>
      </c>
    </row>
    <row r="900">
      <c r="A900" s="3" t="str">
        <f t="array" ref="A900">ifna(_xlfn.xlookup(B900,'All Item Code'!B:B,'All Item Code'!A:A,),)</f>
        <v/>
      </c>
      <c r="B900" s="3"/>
      <c r="C900" s="3" t="str">
        <f t="array" ref="C900">if(B900="Tidak Ada",,if(isblank(B900),,ifna(sumif('On Hand'!A:A,A900,'On Hand'!D:D)&amp;" "&amp;_xlfn.xlookup(A900,'All Item Code'!A:A,'All Item Code'!D:D,),0)))</f>
        <v/>
      </c>
      <c r="D900" s="3" t="str">
        <f>IFERROR(__xludf.DUMMYFUNCTION("if(isblank(B900),,ifna(textjoin(""; "",,filter('On Hand'!E:E,'On Hand'!A:A=A900)),ifna(xlookup(A900,'On Hand'!A:A,'On Hand'!E:E,),)))"),"")</f>
        <v/>
      </c>
    </row>
    <row r="901">
      <c r="A901" s="3" t="str">
        <f t="array" ref="A901">ifna(_xlfn.xlookup(B901,'All Item Code'!B:B,'All Item Code'!A:A,),)</f>
        <v/>
      </c>
      <c r="B901" s="3"/>
      <c r="C901" s="3" t="str">
        <f t="array" ref="C901">if(B901="Tidak Ada",,if(isblank(B901),,ifna(sumif('On Hand'!A:A,A901,'On Hand'!D:D)&amp;" "&amp;_xlfn.xlookup(A901,'All Item Code'!A:A,'All Item Code'!D:D,),0)))</f>
        <v/>
      </c>
      <c r="D901" s="3" t="str">
        <f>IFERROR(__xludf.DUMMYFUNCTION("if(isblank(B901),,ifna(textjoin(""; "",,filter('On Hand'!E:E,'On Hand'!A:A=A901)),ifna(xlookup(A901,'On Hand'!A:A,'On Hand'!E:E,),)))"),"")</f>
        <v/>
      </c>
    </row>
    <row r="902">
      <c r="A902" s="3" t="str">
        <f t="array" ref="A902">ifna(_xlfn.xlookup(B902,'All Item Code'!B:B,'All Item Code'!A:A,),)</f>
        <v/>
      </c>
      <c r="B902" s="3"/>
      <c r="C902" s="3" t="str">
        <f t="array" ref="C902">if(B902="Tidak Ada",,if(isblank(B902),,ifna(sumif('On Hand'!A:A,A902,'On Hand'!D:D)&amp;" "&amp;_xlfn.xlookup(A902,'All Item Code'!A:A,'All Item Code'!D:D,),0)))</f>
        <v/>
      </c>
      <c r="D902" s="3" t="str">
        <f>IFERROR(__xludf.DUMMYFUNCTION("if(isblank(B902),,ifna(textjoin(""; "",,filter('On Hand'!E:E,'On Hand'!A:A=A902)),ifna(xlookup(A902,'On Hand'!A:A,'On Hand'!E:E,),)))"),"")</f>
        <v/>
      </c>
    </row>
    <row r="903">
      <c r="A903" s="3" t="str">
        <f t="array" ref="A903">ifna(_xlfn.xlookup(B903,'All Item Code'!B:B,'All Item Code'!A:A,),)</f>
        <v/>
      </c>
      <c r="B903" s="3"/>
      <c r="C903" s="3" t="str">
        <f t="array" ref="C903">if(B903="Tidak Ada",,if(isblank(B903),,ifna(sumif('On Hand'!A:A,A903,'On Hand'!D:D)&amp;" "&amp;_xlfn.xlookup(A903,'All Item Code'!A:A,'All Item Code'!D:D,),0)))</f>
        <v/>
      </c>
      <c r="D903" s="3" t="str">
        <f>IFERROR(__xludf.DUMMYFUNCTION("if(isblank(B903),,ifna(textjoin(""; "",,filter('On Hand'!E:E,'On Hand'!A:A=A903)),ifna(xlookup(A903,'On Hand'!A:A,'On Hand'!E:E,),)))"),"")</f>
        <v/>
      </c>
    </row>
    <row r="904">
      <c r="A904" s="3" t="str">
        <f t="array" ref="A904">ifna(_xlfn.xlookup(B904,'All Item Code'!B:B,'All Item Code'!A:A,),)</f>
        <v/>
      </c>
      <c r="B904" s="3"/>
      <c r="C904" s="3" t="str">
        <f t="array" ref="C904">if(B904="Tidak Ada",,if(isblank(B904),,ifna(sumif('On Hand'!A:A,A904,'On Hand'!D:D)&amp;" "&amp;_xlfn.xlookup(A904,'All Item Code'!A:A,'All Item Code'!D:D,),0)))</f>
        <v/>
      </c>
      <c r="D904" s="3" t="str">
        <f>IFERROR(__xludf.DUMMYFUNCTION("if(isblank(B904),,ifna(textjoin(""; "",,filter('On Hand'!E:E,'On Hand'!A:A=A904)),ifna(xlookup(A904,'On Hand'!A:A,'On Hand'!E:E,),)))"),"")</f>
        <v/>
      </c>
    </row>
    <row r="905">
      <c r="A905" s="3" t="str">
        <f t="array" ref="A905">ifna(_xlfn.xlookup(B905,'All Item Code'!B:B,'All Item Code'!A:A,),)</f>
        <v/>
      </c>
      <c r="B905" s="3"/>
      <c r="C905" s="3" t="str">
        <f t="array" ref="C905">if(B905="Tidak Ada",,if(isblank(B905),,ifna(sumif('On Hand'!A:A,A905,'On Hand'!D:D)&amp;" "&amp;_xlfn.xlookup(A905,'All Item Code'!A:A,'All Item Code'!D:D,),0)))</f>
        <v/>
      </c>
      <c r="D905" s="3" t="str">
        <f>IFERROR(__xludf.DUMMYFUNCTION("if(isblank(B905),,ifna(textjoin(""; "",,filter('On Hand'!E:E,'On Hand'!A:A=A905)),ifna(xlookup(A905,'On Hand'!A:A,'On Hand'!E:E,),)))"),"")</f>
        <v/>
      </c>
    </row>
    <row r="906">
      <c r="A906" s="3" t="str">
        <f t="array" ref="A906">ifna(_xlfn.xlookup(B906,'All Item Code'!B:B,'All Item Code'!A:A,),)</f>
        <v/>
      </c>
      <c r="B906" s="3"/>
      <c r="C906" s="3" t="str">
        <f t="array" ref="C906">if(B906="Tidak Ada",,if(isblank(B906),,ifna(sumif('On Hand'!A:A,A906,'On Hand'!D:D)&amp;" "&amp;_xlfn.xlookup(A906,'All Item Code'!A:A,'All Item Code'!D:D,),0)))</f>
        <v/>
      </c>
      <c r="D906" s="3" t="str">
        <f>IFERROR(__xludf.DUMMYFUNCTION("if(isblank(B906),,ifna(textjoin(""; "",,filter('On Hand'!E:E,'On Hand'!A:A=A906)),ifna(xlookup(A906,'On Hand'!A:A,'On Hand'!E:E,),)))"),"")</f>
        <v/>
      </c>
    </row>
    <row r="907">
      <c r="A907" s="3" t="str">
        <f t="array" ref="A907">ifna(_xlfn.xlookup(B907,'All Item Code'!B:B,'All Item Code'!A:A,),)</f>
        <v/>
      </c>
      <c r="B907" s="3"/>
      <c r="C907" s="3" t="str">
        <f t="array" ref="C907">if(B907="Tidak Ada",,if(isblank(B907),,ifna(sumif('On Hand'!A:A,A907,'On Hand'!D:D)&amp;" "&amp;_xlfn.xlookup(A907,'All Item Code'!A:A,'All Item Code'!D:D,),0)))</f>
        <v/>
      </c>
      <c r="D907" s="3" t="str">
        <f>IFERROR(__xludf.DUMMYFUNCTION("if(isblank(B907),,ifna(textjoin(""; "",,filter('On Hand'!E:E,'On Hand'!A:A=A907)),ifna(xlookup(A907,'On Hand'!A:A,'On Hand'!E:E,),)))"),"")</f>
        <v/>
      </c>
    </row>
    <row r="908">
      <c r="A908" s="3" t="str">
        <f t="array" ref="A908">ifna(_xlfn.xlookup(B908,'All Item Code'!B:B,'All Item Code'!A:A,),)</f>
        <v/>
      </c>
      <c r="B908" s="3"/>
      <c r="C908" s="3" t="str">
        <f t="array" ref="C908">if(B908="Tidak Ada",,if(isblank(B908),,ifna(sumif('On Hand'!A:A,A908,'On Hand'!D:D)&amp;" "&amp;_xlfn.xlookup(A908,'All Item Code'!A:A,'All Item Code'!D:D,),0)))</f>
        <v/>
      </c>
      <c r="D908" s="3" t="str">
        <f>IFERROR(__xludf.DUMMYFUNCTION("if(isblank(B908),,ifna(textjoin(""; "",,filter('On Hand'!E:E,'On Hand'!A:A=A908)),ifna(xlookup(A908,'On Hand'!A:A,'On Hand'!E:E,),)))"),"")</f>
        <v/>
      </c>
    </row>
    <row r="909">
      <c r="A909" s="3" t="str">
        <f t="array" ref="A909">ifna(_xlfn.xlookup(B909,'All Item Code'!B:B,'All Item Code'!A:A,),)</f>
        <v/>
      </c>
      <c r="B909" s="3"/>
      <c r="C909" s="3" t="str">
        <f t="array" ref="C909">if(B909="Tidak Ada",,if(isblank(B909),,ifna(sumif('On Hand'!A:A,A909,'On Hand'!D:D)&amp;" "&amp;_xlfn.xlookup(A909,'All Item Code'!A:A,'All Item Code'!D:D,),0)))</f>
        <v/>
      </c>
      <c r="D909" s="3" t="str">
        <f>IFERROR(__xludf.DUMMYFUNCTION("if(isblank(B909),,ifna(textjoin(""; "",,filter('On Hand'!E:E,'On Hand'!A:A=A909)),ifna(xlookup(A909,'On Hand'!A:A,'On Hand'!E:E,),)))"),"")</f>
        <v/>
      </c>
    </row>
    <row r="910">
      <c r="A910" s="3" t="str">
        <f t="array" ref="A910">ifna(_xlfn.xlookup(B910,'All Item Code'!B:B,'All Item Code'!A:A,),)</f>
        <v/>
      </c>
      <c r="B910" s="3"/>
      <c r="C910" s="3" t="str">
        <f t="array" ref="C910">if(B910="Tidak Ada",,if(isblank(B910),,ifna(sumif('On Hand'!A:A,A910,'On Hand'!D:D)&amp;" "&amp;_xlfn.xlookup(A910,'All Item Code'!A:A,'All Item Code'!D:D,),0)))</f>
        <v/>
      </c>
      <c r="D910" s="3" t="str">
        <f>IFERROR(__xludf.DUMMYFUNCTION("if(isblank(B910),,ifna(textjoin(""; "",,filter('On Hand'!E:E,'On Hand'!A:A=A910)),ifna(xlookup(A910,'On Hand'!A:A,'On Hand'!E:E,),)))"),"")</f>
        <v/>
      </c>
    </row>
    <row r="911">
      <c r="A911" s="3" t="str">
        <f t="array" ref="A911">ifna(_xlfn.xlookup(B911,'All Item Code'!B:B,'All Item Code'!A:A,),)</f>
        <v/>
      </c>
      <c r="B911" s="3"/>
      <c r="C911" s="3" t="str">
        <f t="array" ref="C911">if(B911="Tidak Ada",,if(isblank(B911),,ifna(sumif('On Hand'!A:A,A911,'On Hand'!D:D)&amp;" "&amp;_xlfn.xlookup(A911,'All Item Code'!A:A,'All Item Code'!D:D,),0)))</f>
        <v/>
      </c>
      <c r="D911" s="3" t="str">
        <f>IFERROR(__xludf.DUMMYFUNCTION("if(isblank(B911),,ifna(textjoin(""; "",,filter('On Hand'!E:E,'On Hand'!A:A=A911)),ifna(xlookup(A911,'On Hand'!A:A,'On Hand'!E:E,),)))"),"")</f>
        <v/>
      </c>
    </row>
    <row r="912">
      <c r="A912" s="3" t="str">
        <f t="array" ref="A912">ifna(_xlfn.xlookup(B912,'All Item Code'!B:B,'All Item Code'!A:A,),)</f>
        <v/>
      </c>
      <c r="B912" s="3"/>
      <c r="C912" s="3" t="str">
        <f t="array" ref="C912">if(B912="Tidak Ada",,if(isblank(B912),,ifna(sumif('On Hand'!A:A,A912,'On Hand'!D:D)&amp;" "&amp;_xlfn.xlookup(A912,'All Item Code'!A:A,'All Item Code'!D:D,),0)))</f>
        <v/>
      </c>
      <c r="D912" s="3" t="str">
        <f>IFERROR(__xludf.DUMMYFUNCTION("if(isblank(B912),,ifna(textjoin(""; "",,filter('On Hand'!E:E,'On Hand'!A:A=A912)),ifna(xlookup(A912,'On Hand'!A:A,'On Hand'!E:E,),)))"),"")</f>
        <v/>
      </c>
    </row>
    <row r="913">
      <c r="A913" s="3" t="str">
        <f t="array" ref="A913">ifna(_xlfn.xlookup(B913,'All Item Code'!B:B,'All Item Code'!A:A,),)</f>
        <v/>
      </c>
      <c r="B913" s="3"/>
      <c r="C913" s="3" t="str">
        <f t="array" ref="C913">if(B913="Tidak Ada",,if(isblank(B913),,ifna(sumif('On Hand'!A:A,A913,'On Hand'!D:D)&amp;" "&amp;_xlfn.xlookup(A913,'All Item Code'!A:A,'All Item Code'!D:D,),0)))</f>
        <v/>
      </c>
      <c r="D913" s="3" t="str">
        <f>IFERROR(__xludf.DUMMYFUNCTION("if(isblank(B913),,ifna(textjoin(""; "",,filter('On Hand'!E:E,'On Hand'!A:A=A913)),ifna(xlookup(A913,'On Hand'!A:A,'On Hand'!E:E,),)))"),"")</f>
        <v/>
      </c>
    </row>
    <row r="914">
      <c r="A914" s="3" t="str">
        <f t="array" ref="A914">ifna(_xlfn.xlookup(B914,'All Item Code'!B:B,'All Item Code'!A:A,),)</f>
        <v/>
      </c>
      <c r="B914" s="3"/>
      <c r="C914" s="3" t="str">
        <f t="array" ref="C914">if(B914="Tidak Ada",,if(isblank(B914),,ifna(sumif('On Hand'!A:A,A914,'On Hand'!D:D)&amp;" "&amp;_xlfn.xlookup(A914,'All Item Code'!A:A,'All Item Code'!D:D,),0)))</f>
        <v/>
      </c>
      <c r="D914" s="3" t="str">
        <f>IFERROR(__xludf.DUMMYFUNCTION("if(isblank(B914),,ifna(textjoin(""; "",,filter('On Hand'!E:E,'On Hand'!A:A=A914)),ifna(xlookup(A914,'On Hand'!A:A,'On Hand'!E:E,),)))"),"")</f>
        <v/>
      </c>
    </row>
    <row r="915">
      <c r="A915" s="3" t="str">
        <f t="array" ref="A915">ifna(_xlfn.xlookup(B915,'All Item Code'!B:B,'All Item Code'!A:A,),)</f>
        <v/>
      </c>
      <c r="B915" s="3"/>
      <c r="C915" s="3" t="str">
        <f t="array" ref="C915">if(B915="Tidak Ada",,if(isblank(B915),,ifna(sumif('On Hand'!A:A,A915,'On Hand'!D:D)&amp;" "&amp;_xlfn.xlookup(A915,'All Item Code'!A:A,'All Item Code'!D:D,),0)))</f>
        <v/>
      </c>
      <c r="D915" s="3" t="str">
        <f>IFERROR(__xludf.DUMMYFUNCTION("if(isblank(B915),,ifna(textjoin(""; "",,filter('On Hand'!E:E,'On Hand'!A:A=A915)),ifna(xlookup(A915,'On Hand'!A:A,'On Hand'!E:E,),)))"),"")</f>
        <v/>
      </c>
    </row>
    <row r="916">
      <c r="A916" s="3" t="str">
        <f t="array" ref="A916">ifna(_xlfn.xlookup(B916,'All Item Code'!B:B,'All Item Code'!A:A,),)</f>
        <v/>
      </c>
      <c r="B916" s="3"/>
      <c r="C916" s="3" t="str">
        <f t="array" ref="C916">if(B916="Tidak Ada",,if(isblank(B916),,ifna(sumif('On Hand'!A:A,A916,'On Hand'!D:D)&amp;" "&amp;_xlfn.xlookup(A916,'All Item Code'!A:A,'All Item Code'!D:D,),0)))</f>
        <v/>
      </c>
      <c r="D916" s="3" t="str">
        <f>IFERROR(__xludf.DUMMYFUNCTION("if(isblank(B916),,ifna(textjoin(""; "",,filter('On Hand'!E:E,'On Hand'!A:A=A916)),ifna(xlookup(A916,'On Hand'!A:A,'On Hand'!E:E,),)))"),"")</f>
        <v/>
      </c>
    </row>
    <row r="917">
      <c r="A917" s="3" t="str">
        <f t="array" ref="A917">ifna(_xlfn.xlookup(B917,'All Item Code'!B:B,'All Item Code'!A:A,),)</f>
        <v/>
      </c>
      <c r="B917" s="3"/>
      <c r="C917" s="3" t="str">
        <f t="array" ref="C917">if(B917="Tidak Ada",,if(isblank(B917),,ifna(sumif('On Hand'!A:A,A917,'On Hand'!D:D)&amp;" "&amp;_xlfn.xlookup(A917,'All Item Code'!A:A,'All Item Code'!D:D,),0)))</f>
        <v/>
      </c>
      <c r="D917" s="3" t="str">
        <f>IFERROR(__xludf.DUMMYFUNCTION("if(isblank(B917),,ifna(textjoin(""; "",,filter('On Hand'!E:E,'On Hand'!A:A=A917)),ifna(xlookup(A917,'On Hand'!A:A,'On Hand'!E:E,),)))"),"")</f>
        <v/>
      </c>
    </row>
    <row r="918">
      <c r="A918" s="3" t="str">
        <f t="array" ref="A918">ifna(_xlfn.xlookup(B918,'All Item Code'!B:B,'All Item Code'!A:A,),)</f>
        <v/>
      </c>
      <c r="B918" s="3"/>
      <c r="C918" s="3" t="str">
        <f t="array" ref="C918">if(B918="Tidak Ada",,if(isblank(B918),,ifna(sumif('On Hand'!A:A,A918,'On Hand'!D:D)&amp;" "&amp;_xlfn.xlookup(A918,'All Item Code'!A:A,'All Item Code'!D:D,),0)))</f>
        <v/>
      </c>
      <c r="D918" s="3" t="str">
        <f>IFERROR(__xludf.DUMMYFUNCTION("if(isblank(B918),,ifna(textjoin(""; "",,filter('On Hand'!E:E,'On Hand'!A:A=A918)),ifna(xlookup(A918,'On Hand'!A:A,'On Hand'!E:E,),)))"),"")</f>
        <v/>
      </c>
    </row>
    <row r="919">
      <c r="A919" s="3" t="str">
        <f t="array" ref="A919">ifna(_xlfn.xlookup(B919,'All Item Code'!B:B,'All Item Code'!A:A,),)</f>
        <v/>
      </c>
      <c r="B919" s="3"/>
      <c r="C919" s="3" t="str">
        <f t="array" ref="C919">if(B919="Tidak Ada",,if(isblank(B919),,ifna(sumif('On Hand'!A:A,A919,'On Hand'!D:D)&amp;" "&amp;_xlfn.xlookup(A919,'All Item Code'!A:A,'All Item Code'!D:D,),0)))</f>
        <v/>
      </c>
      <c r="D919" s="3" t="str">
        <f>IFERROR(__xludf.DUMMYFUNCTION("if(isblank(B919),,ifna(textjoin(""; "",,filter('On Hand'!E:E,'On Hand'!A:A=A919)),ifna(xlookup(A919,'On Hand'!A:A,'On Hand'!E:E,),)))"),"")</f>
        <v/>
      </c>
    </row>
    <row r="920">
      <c r="A920" s="3" t="str">
        <f t="array" ref="A920">ifna(_xlfn.xlookup(B920,'All Item Code'!B:B,'All Item Code'!A:A,),)</f>
        <v/>
      </c>
      <c r="B920" s="3"/>
      <c r="C920" s="3" t="str">
        <f t="array" ref="C920">if(B920="Tidak Ada",,if(isblank(B920),,ifna(sumif('On Hand'!A:A,A920,'On Hand'!D:D)&amp;" "&amp;_xlfn.xlookup(A920,'All Item Code'!A:A,'All Item Code'!D:D,),0)))</f>
        <v/>
      </c>
      <c r="D920" s="3" t="str">
        <f>IFERROR(__xludf.DUMMYFUNCTION("if(isblank(B920),,ifna(textjoin(""; "",,filter('On Hand'!E:E,'On Hand'!A:A=A920)),ifna(xlookup(A920,'On Hand'!A:A,'On Hand'!E:E,),)))"),"")</f>
        <v/>
      </c>
    </row>
    <row r="921">
      <c r="A921" s="3" t="str">
        <f t="array" ref="A921">ifna(_xlfn.xlookup(B921,'All Item Code'!B:B,'All Item Code'!A:A,),)</f>
        <v/>
      </c>
      <c r="B921" s="3"/>
      <c r="C921" s="3" t="str">
        <f t="array" ref="C921">if(B921="Tidak Ada",,if(isblank(B921),,ifna(sumif('On Hand'!A:A,A921,'On Hand'!D:D)&amp;" "&amp;_xlfn.xlookup(A921,'All Item Code'!A:A,'All Item Code'!D:D,),0)))</f>
        <v/>
      </c>
      <c r="D921" s="3" t="str">
        <f>IFERROR(__xludf.DUMMYFUNCTION("if(isblank(B921),,ifna(textjoin(""; "",,filter('On Hand'!E:E,'On Hand'!A:A=A921)),ifna(xlookup(A921,'On Hand'!A:A,'On Hand'!E:E,),)))"),"")</f>
        <v/>
      </c>
    </row>
    <row r="922">
      <c r="A922" s="3" t="str">
        <f t="array" ref="A922">ifna(_xlfn.xlookup(B922,'All Item Code'!B:B,'All Item Code'!A:A,),)</f>
        <v/>
      </c>
      <c r="B922" s="3"/>
      <c r="C922" s="3" t="str">
        <f t="array" ref="C922">if(B922="Tidak Ada",,if(isblank(B922),,ifna(sumif('On Hand'!A:A,A922,'On Hand'!D:D)&amp;" "&amp;_xlfn.xlookup(A922,'All Item Code'!A:A,'All Item Code'!D:D,),0)))</f>
        <v/>
      </c>
      <c r="D922" s="3" t="str">
        <f>IFERROR(__xludf.DUMMYFUNCTION("if(isblank(B922),,ifna(textjoin(""; "",,filter('On Hand'!E:E,'On Hand'!A:A=A922)),ifna(xlookup(A922,'On Hand'!A:A,'On Hand'!E:E,),)))"),"")</f>
        <v/>
      </c>
    </row>
    <row r="923">
      <c r="A923" s="3" t="str">
        <f t="array" ref="A923">ifna(_xlfn.xlookup(B923,'All Item Code'!B:B,'All Item Code'!A:A,),)</f>
        <v/>
      </c>
      <c r="B923" s="3"/>
      <c r="C923" s="3" t="str">
        <f t="array" ref="C923">if(B923="Tidak Ada",,if(isblank(B923),,ifna(sumif('On Hand'!A:A,A923,'On Hand'!D:D)&amp;" "&amp;_xlfn.xlookup(A923,'All Item Code'!A:A,'All Item Code'!D:D,),0)))</f>
        <v/>
      </c>
      <c r="D923" s="3" t="str">
        <f>IFERROR(__xludf.DUMMYFUNCTION("if(isblank(B923),,ifna(textjoin(""; "",,filter('On Hand'!E:E,'On Hand'!A:A=A923)),ifna(xlookup(A923,'On Hand'!A:A,'On Hand'!E:E,),)))"),"")</f>
        <v/>
      </c>
    </row>
    <row r="924">
      <c r="A924" s="3" t="str">
        <f t="array" ref="A924">ifna(_xlfn.xlookup(B924,'All Item Code'!B:B,'All Item Code'!A:A,),)</f>
        <v/>
      </c>
      <c r="B924" s="3"/>
      <c r="C924" s="3" t="str">
        <f t="array" ref="C924">if(B924="Tidak Ada",,if(isblank(B924),,ifna(sumif('On Hand'!A:A,A924,'On Hand'!D:D)&amp;" "&amp;_xlfn.xlookup(A924,'All Item Code'!A:A,'All Item Code'!D:D,),0)))</f>
        <v/>
      </c>
      <c r="D924" s="3" t="str">
        <f>IFERROR(__xludf.DUMMYFUNCTION("if(isblank(B924),,ifna(textjoin(""; "",,filter('On Hand'!E:E,'On Hand'!A:A=A924)),ifna(xlookup(A924,'On Hand'!A:A,'On Hand'!E:E,),)))"),"")</f>
        <v/>
      </c>
    </row>
    <row r="925">
      <c r="A925" s="3" t="str">
        <f t="array" ref="A925">ifna(_xlfn.xlookup(B925,'All Item Code'!B:B,'All Item Code'!A:A,),)</f>
        <v/>
      </c>
      <c r="B925" s="3"/>
      <c r="C925" s="3" t="str">
        <f t="array" ref="C925">if(B925="Tidak Ada",,if(isblank(B925),,ifna(sumif('On Hand'!A:A,A925,'On Hand'!D:D)&amp;" "&amp;_xlfn.xlookup(A925,'All Item Code'!A:A,'All Item Code'!D:D,),0)))</f>
        <v/>
      </c>
      <c r="D925" s="3" t="str">
        <f>IFERROR(__xludf.DUMMYFUNCTION("if(isblank(B925),,ifna(textjoin(""; "",,filter('On Hand'!E:E,'On Hand'!A:A=A925)),ifna(xlookup(A925,'On Hand'!A:A,'On Hand'!E:E,),)))"),"")</f>
        <v/>
      </c>
    </row>
    <row r="926">
      <c r="A926" s="3" t="str">
        <f t="array" ref="A926">ifna(_xlfn.xlookup(B926,'All Item Code'!B:B,'All Item Code'!A:A,),)</f>
        <v/>
      </c>
      <c r="B926" s="3"/>
      <c r="C926" s="3" t="str">
        <f t="array" ref="C926">if(B926="Tidak Ada",,if(isblank(B926),,ifna(sumif('On Hand'!A:A,A926,'On Hand'!D:D)&amp;" "&amp;_xlfn.xlookup(A926,'All Item Code'!A:A,'All Item Code'!D:D,),0)))</f>
        <v/>
      </c>
      <c r="D926" s="3" t="str">
        <f>IFERROR(__xludf.DUMMYFUNCTION("if(isblank(B926),,ifna(textjoin(""; "",,filter('On Hand'!E:E,'On Hand'!A:A=A926)),ifna(xlookup(A926,'On Hand'!A:A,'On Hand'!E:E,),)))"),"")</f>
        <v/>
      </c>
    </row>
    <row r="927">
      <c r="A927" s="3" t="str">
        <f t="array" ref="A927">ifna(_xlfn.xlookup(B927,'All Item Code'!B:B,'All Item Code'!A:A,),)</f>
        <v/>
      </c>
      <c r="B927" s="3"/>
      <c r="C927" s="3" t="str">
        <f t="array" ref="C927">if(B927="Tidak Ada",,if(isblank(B927),,ifna(sumif('On Hand'!A:A,A927,'On Hand'!D:D)&amp;" "&amp;_xlfn.xlookup(A927,'All Item Code'!A:A,'All Item Code'!D:D,),0)))</f>
        <v/>
      </c>
      <c r="D927" s="3" t="str">
        <f>IFERROR(__xludf.DUMMYFUNCTION("if(isblank(B927),,ifna(textjoin(""; "",,filter('On Hand'!E:E,'On Hand'!A:A=A927)),ifna(xlookup(A927,'On Hand'!A:A,'On Hand'!E:E,),)))"),"")</f>
        <v/>
      </c>
    </row>
    <row r="928">
      <c r="A928" s="3" t="str">
        <f t="array" ref="A928">ifna(_xlfn.xlookup(B928,'All Item Code'!B:B,'All Item Code'!A:A,),)</f>
        <v/>
      </c>
      <c r="B928" s="3"/>
      <c r="C928" s="3" t="str">
        <f t="array" ref="C928">if(B928="Tidak Ada",,if(isblank(B928),,ifna(sumif('On Hand'!A:A,A928,'On Hand'!D:D)&amp;" "&amp;_xlfn.xlookup(A928,'All Item Code'!A:A,'All Item Code'!D:D,),0)))</f>
        <v/>
      </c>
      <c r="D928" s="3" t="str">
        <f>IFERROR(__xludf.DUMMYFUNCTION("if(isblank(B928),,ifna(textjoin(""; "",,filter('On Hand'!E:E,'On Hand'!A:A=A928)),ifna(xlookup(A928,'On Hand'!A:A,'On Hand'!E:E,),)))"),"")</f>
        <v/>
      </c>
    </row>
    <row r="929">
      <c r="A929" s="3" t="str">
        <f t="array" ref="A929">ifna(_xlfn.xlookup(B929,'All Item Code'!B:B,'All Item Code'!A:A,),)</f>
        <v/>
      </c>
      <c r="B929" s="3"/>
      <c r="C929" s="3" t="str">
        <f t="array" ref="C929">if(B929="Tidak Ada",,if(isblank(B929),,ifna(sumif('On Hand'!A:A,A929,'On Hand'!D:D)&amp;" "&amp;_xlfn.xlookup(A929,'All Item Code'!A:A,'All Item Code'!D:D,),0)))</f>
        <v/>
      </c>
      <c r="D929" s="3" t="str">
        <f>IFERROR(__xludf.DUMMYFUNCTION("if(isblank(B929),,ifna(textjoin(""; "",,filter('On Hand'!E:E,'On Hand'!A:A=A929)),ifna(xlookup(A929,'On Hand'!A:A,'On Hand'!E:E,),)))"),"")</f>
        <v/>
      </c>
    </row>
    <row r="930">
      <c r="A930" s="3" t="str">
        <f t="array" ref="A930">ifna(_xlfn.xlookup(B930,'All Item Code'!B:B,'All Item Code'!A:A,),)</f>
        <v/>
      </c>
      <c r="B930" s="3"/>
      <c r="C930" s="3" t="str">
        <f t="array" ref="C930">if(B930="Tidak Ada",,if(isblank(B930),,ifna(sumif('On Hand'!A:A,A930,'On Hand'!D:D)&amp;" "&amp;_xlfn.xlookup(A930,'All Item Code'!A:A,'All Item Code'!D:D,),0)))</f>
        <v/>
      </c>
      <c r="D930" s="3" t="str">
        <f>IFERROR(__xludf.DUMMYFUNCTION("if(isblank(B930),,ifna(textjoin(""; "",,filter('On Hand'!E:E,'On Hand'!A:A=A930)),ifna(xlookup(A930,'On Hand'!A:A,'On Hand'!E:E,),)))"),"")</f>
        <v/>
      </c>
    </row>
    <row r="931">
      <c r="A931" s="3" t="str">
        <f t="array" ref="A931">ifna(_xlfn.xlookup(B931,'All Item Code'!B:B,'All Item Code'!A:A,),)</f>
        <v/>
      </c>
      <c r="B931" s="3"/>
      <c r="C931" s="3" t="str">
        <f t="array" ref="C931">if(B931="Tidak Ada",,if(isblank(B931),,ifna(sumif('On Hand'!A:A,A931,'On Hand'!D:D)&amp;" "&amp;_xlfn.xlookup(A931,'All Item Code'!A:A,'All Item Code'!D:D,),0)))</f>
        <v/>
      </c>
      <c r="D931" s="3" t="str">
        <f>IFERROR(__xludf.DUMMYFUNCTION("if(isblank(B931),,ifna(textjoin(""; "",,filter('On Hand'!E:E,'On Hand'!A:A=A931)),ifna(xlookup(A931,'On Hand'!A:A,'On Hand'!E:E,),)))"),"")</f>
        <v/>
      </c>
    </row>
    <row r="932">
      <c r="A932" s="3" t="str">
        <f t="array" ref="A932">ifna(_xlfn.xlookup(B932,'All Item Code'!B:B,'All Item Code'!A:A,),)</f>
        <v/>
      </c>
      <c r="B932" s="3"/>
      <c r="C932" s="3" t="str">
        <f t="array" ref="C932">if(B932="Tidak Ada",,if(isblank(B932),,ifna(sumif('On Hand'!A:A,A932,'On Hand'!D:D)&amp;" "&amp;_xlfn.xlookup(A932,'All Item Code'!A:A,'All Item Code'!D:D,),0)))</f>
        <v/>
      </c>
      <c r="D932" s="3" t="str">
        <f>IFERROR(__xludf.DUMMYFUNCTION("if(isblank(B932),,ifna(textjoin(""; "",,filter('On Hand'!E:E,'On Hand'!A:A=A932)),ifna(xlookup(A932,'On Hand'!A:A,'On Hand'!E:E,),)))"),"")</f>
        <v/>
      </c>
    </row>
    <row r="933">
      <c r="A933" s="3" t="str">
        <f t="array" ref="A933">ifna(_xlfn.xlookup(B933,'All Item Code'!B:B,'All Item Code'!A:A,),)</f>
        <v/>
      </c>
      <c r="B933" s="3"/>
      <c r="C933" s="3" t="str">
        <f t="array" ref="C933">if(B933="Tidak Ada",,if(isblank(B933),,ifna(sumif('On Hand'!A:A,A933,'On Hand'!D:D)&amp;" "&amp;_xlfn.xlookup(A933,'All Item Code'!A:A,'All Item Code'!D:D,),0)))</f>
        <v/>
      </c>
      <c r="D933" s="3" t="str">
        <f>IFERROR(__xludf.DUMMYFUNCTION("if(isblank(B933),,ifna(textjoin(""; "",,filter('On Hand'!E:E,'On Hand'!A:A=A933)),ifna(xlookup(A933,'On Hand'!A:A,'On Hand'!E:E,),)))"),"")</f>
        <v/>
      </c>
    </row>
    <row r="934">
      <c r="A934" s="3" t="str">
        <f t="array" ref="A934">ifna(_xlfn.xlookup(B934,'All Item Code'!B:B,'All Item Code'!A:A,),)</f>
        <v/>
      </c>
      <c r="B934" s="3"/>
      <c r="C934" s="3" t="str">
        <f t="array" ref="C934">if(B934="Tidak Ada",,if(isblank(B934),,ifna(sumif('On Hand'!A:A,A934,'On Hand'!D:D)&amp;" "&amp;_xlfn.xlookup(A934,'All Item Code'!A:A,'All Item Code'!D:D,),0)))</f>
        <v/>
      </c>
      <c r="D934" s="3" t="str">
        <f>IFERROR(__xludf.DUMMYFUNCTION("if(isblank(B934),,ifna(textjoin(""; "",,filter('On Hand'!E:E,'On Hand'!A:A=A934)),ifna(xlookup(A934,'On Hand'!A:A,'On Hand'!E:E,),)))"),"")</f>
        <v/>
      </c>
    </row>
    <row r="935">
      <c r="A935" s="3" t="str">
        <f t="array" ref="A935">ifna(_xlfn.xlookup(B935,'All Item Code'!B:B,'All Item Code'!A:A,),)</f>
        <v/>
      </c>
      <c r="B935" s="3"/>
      <c r="C935" s="3" t="str">
        <f t="array" ref="C935">if(B935="Tidak Ada",,if(isblank(B935),,ifna(sumif('On Hand'!A:A,A935,'On Hand'!D:D)&amp;" "&amp;_xlfn.xlookup(A935,'All Item Code'!A:A,'All Item Code'!D:D,),0)))</f>
        <v/>
      </c>
      <c r="D935" s="3" t="str">
        <f>IFERROR(__xludf.DUMMYFUNCTION("if(isblank(B935),,ifna(textjoin(""; "",,filter('On Hand'!E:E,'On Hand'!A:A=A935)),ifna(xlookup(A935,'On Hand'!A:A,'On Hand'!E:E,),)))"),"")</f>
        <v/>
      </c>
    </row>
    <row r="936">
      <c r="A936" s="3" t="str">
        <f t="array" ref="A936">ifna(_xlfn.xlookup(B936,'All Item Code'!B:B,'All Item Code'!A:A,),)</f>
        <v/>
      </c>
      <c r="B936" s="3"/>
      <c r="C936" s="3" t="str">
        <f t="array" ref="C936">if(B936="Tidak Ada",,if(isblank(B936),,ifna(sumif('On Hand'!A:A,A936,'On Hand'!D:D)&amp;" "&amp;_xlfn.xlookup(A936,'All Item Code'!A:A,'All Item Code'!D:D,),0)))</f>
        <v/>
      </c>
      <c r="D936" s="3" t="str">
        <f>IFERROR(__xludf.DUMMYFUNCTION("if(isblank(B936),,ifna(textjoin(""; "",,filter('On Hand'!E:E,'On Hand'!A:A=A936)),ifna(xlookup(A936,'On Hand'!A:A,'On Hand'!E:E,),)))"),"")</f>
        <v/>
      </c>
    </row>
    <row r="937">
      <c r="A937" s="3" t="str">
        <f t="array" ref="A937">ifna(_xlfn.xlookup(B937,'All Item Code'!B:B,'All Item Code'!A:A,),)</f>
        <v/>
      </c>
      <c r="B937" s="3"/>
      <c r="C937" s="3" t="str">
        <f t="array" ref="C937">if(B937="Tidak Ada",,if(isblank(B937),,ifna(sumif('On Hand'!A:A,A937,'On Hand'!D:D)&amp;" "&amp;_xlfn.xlookup(A937,'All Item Code'!A:A,'All Item Code'!D:D,),0)))</f>
        <v/>
      </c>
      <c r="D937" s="3" t="str">
        <f>IFERROR(__xludf.DUMMYFUNCTION("if(isblank(B937),,ifna(textjoin(""; "",,filter('On Hand'!E:E,'On Hand'!A:A=A937)),ifna(xlookup(A937,'On Hand'!A:A,'On Hand'!E:E,),)))"),"")</f>
        <v/>
      </c>
    </row>
    <row r="938">
      <c r="A938" s="3" t="str">
        <f t="array" ref="A938">ifna(_xlfn.xlookup(B938,'All Item Code'!B:B,'All Item Code'!A:A,),)</f>
        <v/>
      </c>
      <c r="B938" s="3"/>
      <c r="C938" s="3" t="str">
        <f t="array" ref="C938">if(B938="Tidak Ada",,if(isblank(B938),,ifna(sumif('On Hand'!A:A,A938,'On Hand'!D:D)&amp;" "&amp;_xlfn.xlookup(A938,'All Item Code'!A:A,'All Item Code'!D:D,),0)))</f>
        <v/>
      </c>
      <c r="D938" s="3" t="str">
        <f>IFERROR(__xludf.DUMMYFUNCTION("if(isblank(B938),,ifna(textjoin(""; "",,filter('On Hand'!E:E,'On Hand'!A:A=A938)),ifna(xlookup(A938,'On Hand'!A:A,'On Hand'!E:E,),)))"),"")</f>
        <v/>
      </c>
    </row>
    <row r="939">
      <c r="A939" s="3" t="str">
        <f t="array" ref="A939">ifna(_xlfn.xlookup(B939,'All Item Code'!B:B,'All Item Code'!A:A,),)</f>
        <v/>
      </c>
      <c r="B939" s="3"/>
      <c r="C939" s="3" t="str">
        <f t="array" ref="C939">if(B939="Tidak Ada",,if(isblank(B939),,ifna(sumif('On Hand'!A:A,A939,'On Hand'!D:D)&amp;" "&amp;_xlfn.xlookup(A939,'All Item Code'!A:A,'All Item Code'!D:D,),0)))</f>
        <v/>
      </c>
      <c r="D939" s="3" t="str">
        <f>IFERROR(__xludf.DUMMYFUNCTION("if(isblank(B939),,ifna(textjoin(""; "",,filter('On Hand'!E:E,'On Hand'!A:A=A939)),ifna(xlookup(A939,'On Hand'!A:A,'On Hand'!E:E,),)))"),"")</f>
        <v/>
      </c>
    </row>
    <row r="940">
      <c r="A940" s="3" t="str">
        <f t="array" ref="A940">ifna(_xlfn.xlookup(B940,'All Item Code'!B:B,'All Item Code'!A:A,),)</f>
        <v/>
      </c>
      <c r="B940" s="3"/>
      <c r="C940" s="3" t="str">
        <f t="array" ref="C940">if(B940="Tidak Ada",,if(isblank(B940),,ifna(sumif('On Hand'!A:A,A940,'On Hand'!D:D)&amp;" "&amp;_xlfn.xlookup(A940,'All Item Code'!A:A,'All Item Code'!D:D,),0)))</f>
        <v/>
      </c>
      <c r="D940" s="3" t="str">
        <f>IFERROR(__xludf.DUMMYFUNCTION("if(isblank(B940),,ifna(textjoin(""; "",,filter('On Hand'!E:E,'On Hand'!A:A=A940)),ifna(xlookup(A940,'On Hand'!A:A,'On Hand'!E:E,),)))"),"")</f>
        <v/>
      </c>
    </row>
    <row r="941">
      <c r="A941" s="3" t="str">
        <f t="array" ref="A941">ifna(_xlfn.xlookup(B941,'All Item Code'!B:B,'All Item Code'!A:A,),)</f>
        <v/>
      </c>
      <c r="B941" s="3"/>
      <c r="C941" s="3" t="str">
        <f t="array" ref="C941">if(B941="Tidak Ada",,if(isblank(B941),,ifna(sumif('On Hand'!A:A,A941,'On Hand'!D:D)&amp;" "&amp;_xlfn.xlookup(A941,'All Item Code'!A:A,'All Item Code'!D:D,),0)))</f>
        <v/>
      </c>
      <c r="D941" s="3" t="str">
        <f>IFERROR(__xludf.DUMMYFUNCTION("if(isblank(B941),,ifna(textjoin(""; "",,filter('On Hand'!E:E,'On Hand'!A:A=A941)),ifna(xlookup(A941,'On Hand'!A:A,'On Hand'!E:E,),)))"),"")</f>
        <v/>
      </c>
    </row>
    <row r="942">
      <c r="A942" s="3" t="str">
        <f t="array" ref="A942">ifna(_xlfn.xlookup(B942,'All Item Code'!B:B,'All Item Code'!A:A,),)</f>
        <v/>
      </c>
      <c r="B942" s="3"/>
      <c r="C942" s="3" t="str">
        <f t="array" ref="C942">if(B942="Tidak Ada",,if(isblank(B942),,ifna(sumif('On Hand'!A:A,A942,'On Hand'!D:D)&amp;" "&amp;_xlfn.xlookup(A942,'All Item Code'!A:A,'All Item Code'!D:D,),0)))</f>
        <v/>
      </c>
      <c r="D942" s="3" t="str">
        <f>IFERROR(__xludf.DUMMYFUNCTION("if(isblank(B942),,ifna(textjoin(""; "",,filter('On Hand'!E:E,'On Hand'!A:A=A942)),ifna(xlookup(A942,'On Hand'!A:A,'On Hand'!E:E,),)))"),"")</f>
        <v/>
      </c>
    </row>
    <row r="943">
      <c r="A943" s="3" t="str">
        <f t="array" ref="A943">ifna(_xlfn.xlookup(B943,'All Item Code'!B:B,'All Item Code'!A:A,),)</f>
        <v/>
      </c>
      <c r="B943" s="3"/>
      <c r="C943" s="3" t="str">
        <f t="array" ref="C943">if(B943="Tidak Ada",,if(isblank(B943),,ifna(sumif('On Hand'!A:A,A943,'On Hand'!D:D)&amp;" "&amp;_xlfn.xlookup(A943,'All Item Code'!A:A,'All Item Code'!D:D,),0)))</f>
        <v/>
      </c>
      <c r="D943" s="3" t="str">
        <f>IFERROR(__xludf.DUMMYFUNCTION("if(isblank(B943),,ifna(textjoin(""; "",,filter('On Hand'!E:E,'On Hand'!A:A=A943)),ifna(xlookup(A943,'On Hand'!A:A,'On Hand'!E:E,),)))"),"")</f>
        <v/>
      </c>
    </row>
    <row r="944">
      <c r="A944" s="3" t="str">
        <f t="array" ref="A944">ifna(_xlfn.xlookup(B944,'All Item Code'!B:B,'All Item Code'!A:A,),)</f>
        <v/>
      </c>
      <c r="B944" s="3"/>
      <c r="C944" s="3" t="str">
        <f t="array" ref="C944">if(B944="Tidak Ada",,if(isblank(B944),,ifna(sumif('On Hand'!A:A,A944,'On Hand'!D:D)&amp;" "&amp;_xlfn.xlookup(A944,'All Item Code'!A:A,'All Item Code'!D:D,),0)))</f>
        <v/>
      </c>
      <c r="D944" s="3" t="str">
        <f>IFERROR(__xludf.DUMMYFUNCTION("if(isblank(B944),,ifna(textjoin(""; "",,filter('On Hand'!E:E,'On Hand'!A:A=A944)),ifna(xlookup(A944,'On Hand'!A:A,'On Hand'!E:E,),)))"),"")</f>
        <v/>
      </c>
    </row>
    <row r="945">
      <c r="A945" s="3" t="str">
        <f t="array" ref="A945">ifna(_xlfn.xlookup(B945,'All Item Code'!B:B,'All Item Code'!A:A,),)</f>
        <v/>
      </c>
      <c r="B945" s="3"/>
      <c r="C945" s="3" t="str">
        <f t="array" ref="C945">if(B945="Tidak Ada",,if(isblank(B945),,ifna(sumif('On Hand'!A:A,A945,'On Hand'!D:D)&amp;" "&amp;_xlfn.xlookup(A945,'All Item Code'!A:A,'All Item Code'!D:D,),0)))</f>
        <v/>
      </c>
      <c r="D945" s="3" t="str">
        <f>IFERROR(__xludf.DUMMYFUNCTION("if(isblank(B945),,ifna(textjoin(""; "",,filter('On Hand'!E:E,'On Hand'!A:A=A945)),ifna(xlookup(A945,'On Hand'!A:A,'On Hand'!E:E,),)))"),"")</f>
        <v/>
      </c>
    </row>
    <row r="946">
      <c r="A946" s="3" t="str">
        <f t="array" ref="A946">ifna(_xlfn.xlookup(B946,'All Item Code'!B:B,'All Item Code'!A:A,),)</f>
        <v/>
      </c>
      <c r="B946" s="3"/>
      <c r="C946" s="3" t="str">
        <f t="array" ref="C946">if(B946="Tidak Ada",,if(isblank(B946),,ifna(sumif('On Hand'!A:A,A946,'On Hand'!D:D)&amp;" "&amp;_xlfn.xlookup(A946,'All Item Code'!A:A,'All Item Code'!D:D,),0)))</f>
        <v/>
      </c>
      <c r="D946" s="3" t="str">
        <f>IFERROR(__xludf.DUMMYFUNCTION("if(isblank(B946),,ifna(textjoin(""; "",,filter('On Hand'!E:E,'On Hand'!A:A=A946)),ifna(xlookup(A946,'On Hand'!A:A,'On Hand'!E:E,),)))"),"")</f>
        <v/>
      </c>
    </row>
    <row r="947">
      <c r="A947" s="3" t="str">
        <f t="array" ref="A947">ifna(_xlfn.xlookup(B947,'All Item Code'!B:B,'All Item Code'!A:A,),)</f>
        <v/>
      </c>
      <c r="B947" s="3"/>
      <c r="C947" s="3" t="str">
        <f t="array" ref="C947">if(B947="Tidak Ada",,if(isblank(B947),,ifna(sumif('On Hand'!A:A,A947,'On Hand'!D:D)&amp;" "&amp;_xlfn.xlookup(A947,'All Item Code'!A:A,'All Item Code'!D:D,),0)))</f>
        <v/>
      </c>
      <c r="D947" s="3" t="str">
        <f>IFERROR(__xludf.DUMMYFUNCTION("if(isblank(B947),,ifna(textjoin(""; "",,filter('On Hand'!E:E,'On Hand'!A:A=A947)),ifna(xlookup(A947,'On Hand'!A:A,'On Hand'!E:E,),)))"),"")</f>
        <v/>
      </c>
    </row>
    <row r="948">
      <c r="A948" s="3" t="str">
        <f t="array" ref="A948">ifna(_xlfn.xlookup(B948,'All Item Code'!B:B,'All Item Code'!A:A,),)</f>
        <v/>
      </c>
      <c r="B948" s="3"/>
      <c r="C948" s="3" t="str">
        <f t="array" ref="C948">if(B948="Tidak Ada",,if(isblank(B948),,ifna(sumif('On Hand'!A:A,A948,'On Hand'!D:D)&amp;" "&amp;_xlfn.xlookup(A948,'All Item Code'!A:A,'All Item Code'!D:D,),0)))</f>
        <v/>
      </c>
      <c r="D948" s="3" t="str">
        <f>IFERROR(__xludf.DUMMYFUNCTION("if(isblank(B948),,ifna(textjoin(""; "",,filter('On Hand'!E:E,'On Hand'!A:A=A948)),ifna(xlookup(A948,'On Hand'!A:A,'On Hand'!E:E,),)))"),"")</f>
        <v/>
      </c>
    </row>
    <row r="949">
      <c r="A949" s="3" t="str">
        <f t="array" ref="A949">ifna(_xlfn.xlookup(B949,'All Item Code'!B:B,'All Item Code'!A:A,),)</f>
        <v/>
      </c>
      <c r="B949" s="3"/>
      <c r="C949" s="3" t="str">
        <f t="array" ref="C949">if(B949="Tidak Ada",,if(isblank(B949),,ifna(sumif('On Hand'!A:A,A949,'On Hand'!D:D)&amp;" "&amp;_xlfn.xlookup(A949,'All Item Code'!A:A,'All Item Code'!D:D,),0)))</f>
        <v/>
      </c>
      <c r="D949" s="3" t="str">
        <f>IFERROR(__xludf.DUMMYFUNCTION("if(isblank(B949),,ifna(textjoin(""; "",,filter('On Hand'!E:E,'On Hand'!A:A=A949)),ifna(xlookup(A949,'On Hand'!A:A,'On Hand'!E:E,),)))"),"")</f>
        <v/>
      </c>
    </row>
    <row r="950">
      <c r="A950" s="3" t="str">
        <f t="array" ref="A950">ifna(_xlfn.xlookup(B950,'All Item Code'!B:B,'All Item Code'!A:A,),)</f>
        <v/>
      </c>
      <c r="B950" s="3"/>
      <c r="C950" s="3" t="str">
        <f t="array" ref="C950">if(B950="Tidak Ada",,if(isblank(B950),,ifna(sumif('On Hand'!A:A,A950,'On Hand'!D:D)&amp;" "&amp;_xlfn.xlookup(A950,'All Item Code'!A:A,'All Item Code'!D:D,),0)))</f>
        <v/>
      </c>
      <c r="D950" s="3" t="str">
        <f>IFERROR(__xludf.DUMMYFUNCTION("if(isblank(B950),,ifna(textjoin(""; "",,filter('On Hand'!E:E,'On Hand'!A:A=A950)),ifna(xlookup(A950,'On Hand'!A:A,'On Hand'!E:E,),)))"),"")</f>
        <v/>
      </c>
    </row>
    <row r="951">
      <c r="A951" s="3" t="str">
        <f t="array" ref="A951">ifna(_xlfn.xlookup(B951,'All Item Code'!B:B,'All Item Code'!A:A,),)</f>
        <v/>
      </c>
      <c r="B951" s="3"/>
      <c r="C951" s="3" t="str">
        <f t="array" ref="C951">if(B951="Tidak Ada",,if(isblank(B951),,ifna(sumif('On Hand'!A:A,A951,'On Hand'!D:D)&amp;" "&amp;_xlfn.xlookup(A951,'All Item Code'!A:A,'All Item Code'!D:D,),0)))</f>
        <v/>
      </c>
      <c r="D951" s="3" t="str">
        <f>IFERROR(__xludf.DUMMYFUNCTION("if(isblank(B951),,ifna(textjoin(""; "",,filter('On Hand'!E:E,'On Hand'!A:A=A951)),ifna(xlookup(A951,'On Hand'!A:A,'On Hand'!E:E,),)))"),"")</f>
        <v/>
      </c>
    </row>
    <row r="952">
      <c r="A952" s="3" t="str">
        <f t="array" ref="A952">ifna(_xlfn.xlookup(B952,'All Item Code'!B:B,'All Item Code'!A:A,),)</f>
        <v/>
      </c>
      <c r="B952" s="3"/>
      <c r="C952" s="3" t="str">
        <f t="array" ref="C952">if(B952="Tidak Ada",,if(isblank(B952),,ifna(sumif('On Hand'!A:A,A952,'On Hand'!D:D)&amp;" "&amp;_xlfn.xlookup(A952,'All Item Code'!A:A,'All Item Code'!D:D,),0)))</f>
        <v/>
      </c>
      <c r="D952" s="3" t="str">
        <f>IFERROR(__xludf.DUMMYFUNCTION("if(isblank(B952),,ifna(textjoin(""; "",,filter('On Hand'!E:E,'On Hand'!A:A=A952)),ifna(xlookup(A952,'On Hand'!A:A,'On Hand'!E:E,),)))"),"")</f>
        <v/>
      </c>
    </row>
    <row r="953">
      <c r="A953" s="3" t="str">
        <f t="array" ref="A953">ifna(_xlfn.xlookup(B953,'All Item Code'!B:B,'All Item Code'!A:A,),)</f>
        <v/>
      </c>
      <c r="B953" s="3"/>
      <c r="C953" s="3" t="str">
        <f t="array" ref="C953">if(B953="Tidak Ada",,if(isblank(B953),,ifna(sumif('On Hand'!A:A,A953,'On Hand'!D:D)&amp;" "&amp;_xlfn.xlookup(A953,'All Item Code'!A:A,'All Item Code'!D:D,),0)))</f>
        <v/>
      </c>
      <c r="D953" s="3" t="str">
        <f>IFERROR(__xludf.DUMMYFUNCTION("if(isblank(B953),,ifna(textjoin(""; "",,filter('On Hand'!E:E,'On Hand'!A:A=A953)),ifna(xlookup(A953,'On Hand'!A:A,'On Hand'!E:E,),)))"),"")</f>
        <v/>
      </c>
    </row>
    <row r="954">
      <c r="A954" s="3" t="str">
        <f t="array" ref="A954">ifna(_xlfn.xlookup(B954,'All Item Code'!B:B,'All Item Code'!A:A,),)</f>
        <v/>
      </c>
      <c r="B954" s="3"/>
      <c r="C954" s="3" t="str">
        <f t="array" ref="C954">if(B954="Tidak Ada",,if(isblank(B954),,ifna(sumif('On Hand'!A:A,A954,'On Hand'!D:D)&amp;" "&amp;_xlfn.xlookup(A954,'All Item Code'!A:A,'All Item Code'!D:D,),0)))</f>
        <v/>
      </c>
      <c r="D954" s="3" t="str">
        <f>IFERROR(__xludf.DUMMYFUNCTION("if(isblank(B954),,ifna(textjoin(""; "",,filter('On Hand'!E:E,'On Hand'!A:A=A954)),ifna(xlookup(A954,'On Hand'!A:A,'On Hand'!E:E,),)))"),"")</f>
        <v/>
      </c>
    </row>
    <row r="955">
      <c r="A955" s="3" t="str">
        <f t="array" ref="A955">ifna(_xlfn.xlookup(B955,'All Item Code'!B:B,'All Item Code'!A:A,),)</f>
        <v/>
      </c>
      <c r="B955" s="3"/>
      <c r="C955" s="3" t="str">
        <f t="array" ref="C955">if(B955="Tidak Ada",,if(isblank(B955),,ifna(sumif('On Hand'!A:A,A955,'On Hand'!D:D)&amp;" "&amp;_xlfn.xlookup(A955,'All Item Code'!A:A,'All Item Code'!D:D,),0)))</f>
        <v/>
      </c>
      <c r="D955" s="3" t="str">
        <f>IFERROR(__xludf.DUMMYFUNCTION("if(isblank(B955),,ifna(textjoin(""; "",,filter('On Hand'!E:E,'On Hand'!A:A=A955)),ifna(xlookup(A955,'On Hand'!A:A,'On Hand'!E:E,),)))"),"")</f>
        <v/>
      </c>
    </row>
    <row r="956">
      <c r="A956" s="3" t="str">
        <f t="array" ref="A956">ifna(_xlfn.xlookup(B956,'All Item Code'!B:B,'All Item Code'!A:A,),)</f>
        <v/>
      </c>
      <c r="B956" s="3"/>
      <c r="C956" s="3" t="str">
        <f t="array" ref="C956">if(B956="Tidak Ada",,if(isblank(B956),,ifna(sumif('On Hand'!A:A,A956,'On Hand'!D:D)&amp;" "&amp;_xlfn.xlookup(A956,'All Item Code'!A:A,'All Item Code'!D:D,),0)))</f>
        <v/>
      </c>
      <c r="D956" s="3" t="str">
        <f>IFERROR(__xludf.DUMMYFUNCTION("if(isblank(B956),,ifna(textjoin(""; "",,filter('On Hand'!E:E,'On Hand'!A:A=A956)),ifna(xlookup(A956,'On Hand'!A:A,'On Hand'!E:E,),)))"),"")</f>
        <v/>
      </c>
    </row>
    <row r="957">
      <c r="A957" s="3" t="str">
        <f t="array" ref="A957">ifna(_xlfn.xlookup(B957,'All Item Code'!B:B,'All Item Code'!A:A,),)</f>
        <v/>
      </c>
      <c r="B957" s="3"/>
      <c r="C957" s="3" t="str">
        <f t="array" ref="C957">if(B957="Tidak Ada",,if(isblank(B957),,ifna(sumif('On Hand'!A:A,A957,'On Hand'!D:D)&amp;" "&amp;_xlfn.xlookup(A957,'All Item Code'!A:A,'All Item Code'!D:D,),0)))</f>
        <v/>
      </c>
      <c r="D957" s="3" t="str">
        <f>IFERROR(__xludf.DUMMYFUNCTION("if(isblank(B957),,ifna(textjoin(""; "",,filter('On Hand'!E:E,'On Hand'!A:A=A957)),ifna(xlookup(A957,'On Hand'!A:A,'On Hand'!E:E,),)))"),"")</f>
        <v/>
      </c>
    </row>
    <row r="958">
      <c r="A958" s="3" t="str">
        <f t="array" ref="A958">ifna(_xlfn.xlookup(B958,'All Item Code'!B:B,'All Item Code'!A:A,),)</f>
        <v/>
      </c>
      <c r="B958" s="3"/>
      <c r="C958" s="3" t="str">
        <f t="array" ref="C958">if(B958="Tidak Ada",,if(isblank(B958),,ifna(sumif('On Hand'!A:A,A958,'On Hand'!D:D)&amp;" "&amp;_xlfn.xlookup(A958,'All Item Code'!A:A,'All Item Code'!D:D,),0)))</f>
        <v/>
      </c>
      <c r="D958" s="3" t="str">
        <f>IFERROR(__xludf.DUMMYFUNCTION("if(isblank(B958),,ifna(textjoin(""; "",,filter('On Hand'!E:E,'On Hand'!A:A=A958)),ifna(xlookup(A958,'On Hand'!A:A,'On Hand'!E:E,),)))"),"")</f>
        <v/>
      </c>
    </row>
    <row r="959">
      <c r="A959" s="3" t="str">
        <f t="array" ref="A959">ifna(_xlfn.xlookup(B959,'All Item Code'!B:B,'All Item Code'!A:A,),)</f>
        <v/>
      </c>
      <c r="B959" s="3"/>
      <c r="C959" s="3" t="str">
        <f t="array" ref="C959">if(B959="Tidak Ada",,if(isblank(B959),,ifna(sumif('On Hand'!A:A,A959,'On Hand'!D:D)&amp;" "&amp;_xlfn.xlookup(A959,'All Item Code'!A:A,'All Item Code'!D:D,),0)))</f>
        <v/>
      </c>
      <c r="D959" s="3" t="str">
        <f>IFERROR(__xludf.DUMMYFUNCTION("if(isblank(B959),,ifna(textjoin(""; "",,filter('On Hand'!E:E,'On Hand'!A:A=A959)),ifna(xlookup(A959,'On Hand'!A:A,'On Hand'!E:E,),)))"),"")</f>
        <v/>
      </c>
    </row>
    <row r="960">
      <c r="A960" s="3" t="str">
        <f t="array" ref="A960">ifna(_xlfn.xlookup(B960,'All Item Code'!B:B,'All Item Code'!A:A,),)</f>
        <v/>
      </c>
      <c r="B960" s="3"/>
      <c r="C960" s="3" t="str">
        <f t="array" ref="C960">if(B960="Tidak Ada",,if(isblank(B960),,ifna(sumif('On Hand'!A:A,A960,'On Hand'!D:D)&amp;" "&amp;_xlfn.xlookup(A960,'All Item Code'!A:A,'All Item Code'!D:D,),0)))</f>
        <v/>
      </c>
      <c r="D960" s="3" t="str">
        <f>IFERROR(__xludf.DUMMYFUNCTION("if(isblank(B960),,ifna(textjoin(""; "",,filter('On Hand'!E:E,'On Hand'!A:A=A960)),ifna(xlookup(A960,'On Hand'!A:A,'On Hand'!E:E,),)))"),"")</f>
        <v/>
      </c>
    </row>
    <row r="961">
      <c r="A961" s="3" t="str">
        <f t="array" ref="A961">ifna(_xlfn.xlookup(B961,'All Item Code'!B:B,'All Item Code'!A:A,),)</f>
        <v/>
      </c>
      <c r="B961" s="3"/>
      <c r="C961" s="3" t="str">
        <f t="array" ref="C961">if(B961="Tidak Ada",,if(isblank(B961),,ifna(sumif('On Hand'!A:A,A961,'On Hand'!D:D)&amp;" "&amp;_xlfn.xlookup(A961,'All Item Code'!A:A,'All Item Code'!D:D,),0)))</f>
        <v/>
      </c>
      <c r="D961" s="3" t="str">
        <f>IFERROR(__xludf.DUMMYFUNCTION("if(isblank(B961),,ifna(textjoin(""; "",,filter('On Hand'!E:E,'On Hand'!A:A=A961)),ifna(xlookup(A961,'On Hand'!A:A,'On Hand'!E:E,),)))"),"")</f>
        <v/>
      </c>
    </row>
    <row r="962">
      <c r="A962" s="3" t="str">
        <f t="array" ref="A962">ifna(_xlfn.xlookup(B962,'All Item Code'!B:B,'All Item Code'!A:A,),)</f>
        <v/>
      </c>
      <c r="B962" s="3"/>
      <c r="C962" s="3" t="str">
        <f t="array" ref="C962">if(B962="Tidak Ada",,if(isblank(B962),,ifna(sumif('On Hand'!A:A,A962,'On Hand'!D:D)&amp;" "&amp;_xlfn.xlookup(A962,'All Item Code'!A:A,'All Item Code'!D:D,),0)))</f>
        <v/>
      </c>
      <c r="D962" s="3" t="str">
        <f>IFERROR(__xludf.DUMMYFUNCTION("if(isblank(B962),,ifna(textjoin(""; "",,filter('On Hand'!E:E,'On Hand'!A:A=A962)),ifna(xlookup(A962,'On Hand'!A:A,'On Hand'!E:E,),)))"),"")</f>
        <v/>
      </c>
    </row>
    <row r="963">
      <c r="A963" s="3" t="str">
        <f t="array" ref="A963">ifna(_xlfn.xlookup(B963,'All Item Code'!B:B,'All Item Code'!A:A,),)</f>
        <v/>
      </c>
      <c r="B963" s="3"/>
      <c r="C963" s="3" t="str">
        <f t="array" ref="C963">if(B963="Tidak Ada",,if(isblank(B963),,ifna(sumif('On Hand'!A:A,A963,'On Hand'!D:D)&amp;" "&amp;_xlfn.xlookup(A963,'All Item Code'!A:A,'All Item Code'!D:D,),0)))</f>
        <v/>
      </c>
      <c r="D963" s="3" t="str">
        <f>IFERROR(__xludf.DUMMYFUNCTION("if(isblank(B963),,ifna(textjoin(""; "",,filter('On Hand'!E:E,'On Hand'!A:A=A963)),ifna(xlookup(A963,'On Hand'!A:A,'On Hand'!E:E,),)))"),"")</f>
        <v/>
      </c>
    </row>
    <row r="964">
      <c r="A964" s="3" t="str">
        <f t="array" ref="A964">ifna(_xlfn.xlookup(B964,'All Item Code'!B:B,'All Item Code'!A:A,),)</f>
        <v/>
      </c>
      <c r="B964" s="3"/>
      <c r="C964" s="3" t="str">
        <f t="array" ref="C964">if(B964="Tidak Ada",,if(isblank(B964),,ifna(sumif('On Hand'!A:A,A964,'On Hand'!D:D)&amp;" "&amp;_xlfn.xlookup(A964,'All Item Code'!A:A,'All Item Code'!D:D,),0)))</f>
        <v/>
      </c>
      <c r="D964" s="3" t="str">
        <f>IFERROR(__xludf.DUMMYFUNCTION("if(isblank(B964),,ifna(textjoin(""; "",,filter('On Hand'!E:E,'On Hand'!A:A=A964)),ifna(xlookup(A964,'On Hand'!A:A,'On Hand'!E:E,),)))"),"")</f>
        <v/>
      </c>
    </row>
    <row r="965">
      <c r="A965" s="3" t="str">
        <f t="array" ref="A965">ifna(_xlfn.xlookup(B965,'All Item Code'!B:B,'All Item Code'!A:A,),)</f>
        <v/>
      </c>
      <c r="B965" s="3"/>
      <c r="C965" s="3" t="str">
        <f t="array" ref="C965">if(B965="Tidak Ada",,if(isblank(B965),,ifna(sumif('On Hand'!A:A,A965,'On Hand'!D:D)&amp;" "&amp;_xlfn.xlookup(A965,'All Item Code'!A:A,'All Item Code'!D:D,),0)))</f>
        <v/>
      </c>
      <c r="D965" s="3" t="str">
        <f>IFERROR(__xludf.DUMMYFUNCTION("if(isblank(B965),,ifna(textjoin(""; "",,filter('On Hand'!E:E,'On Hand'!A:A=A965)),ifna(xlookup(A965,'On Hand'!A:A,'On Hand'!E:E,),)))"),"")</f>
        <v/>
      </c>
    </row>
    <row r="966">
      <c r="A966" s="3" t="str">
        <f t="array" ref="A966">ifna(_xlfn.xlookup(B966,'All Item Code'!B:B,'All Item Code'!A:A,),)</f>
        <v/>
      </c>
      <c r="B966" s="3"/>
      <c r="C966" s="3" t="str">
        <f t="array" ref="C966">if(B966="Tidak Ada",,if(isblank(B966),,ifna(sumif('On Hand'!A:A,A966,'On Hand'!D:D)&amp;" "&amp;_xlfn.xlookup(A966,'All Item Code'!A:A,'All Item Code'!D:D,),0)))</f>
        <v/>
      </c>
      <c r="D966" s="3" t="str">
        <f>IFERROR(__xludf.DUMMYFUNCTION("if(isblank(B966),,ifna(textjoin(""; "",,filter('On Hand'!E:E,'On Hand'!A:A=A966)),ifna(xlookup(A966,'On Hand'!A:A,'On Hand'!E:E,),)))"),"")</f>
        <v/>
      </c>
    </row>
    <row r="967">
      <c r="A967" s="3" t="str">
        <f t="array" ref="A967">ifna(_xlfn.xlookup(B967,'All Item Code'!B:B,'All Item Code'!A:A,),)</f>
        <v/>
      </c>
      <c r="B967" s="3"/>
      <c r="C967" s="3" t="str">
        <f t="array" ref="C967">if(B967="Tidak Ada",,if(isblank(B967),,ifna(sumif('On Hand'!A:A,A967,'On Hand'!D:D)&amp;" "&amp;_xlfn.xlookup(A967,'All Item Code'!A:A,'All Item Code'!D:D,),0)))</f>
        <v/>
      </c>
      <c r="D967" s="3" t="str">
        <f>IFERROR(__xludf.DUMMYFUNCTION("if(isblank(B967),,ifna(textjoin(""; "",,filter('On Hand'!E:E,'On Hand'!A:A=A967)),ifna(xlookup(A967,'On Hand'!A:A,'On Hand'!E:E,),)))"),"")</f>
        <v/>
      </c>
    </row>
    <row r="968">
      <c r="A968" s="3" t="str">
        <f t="array" ref="A968">ifna(_xlfn.xlookup(B968,'All Item Code'!B:B,'All Item Code'!A:A,),)</f>
        <v/>
      </c>
      <c r="B968" s="3"/>
      <c r="C968" s="3" t="str">
        <f t="array" ref="C968">if(B968="Tidak Ada",,if(isblank(B968),,ifna(sumif('On Hand'!A:A,A968,'On Hand'!D:D)&amp;" "&amp;_xlfn.xlookup(A968,'All Item Code'!A:A,'All Item Code'!D:D,),0)))</f>
        <v/>
      </c>
      <c r="D968" s="3" t="str">
        <f>IFERROR(__xludf.DUMMYFUNCTION("if(isblank(B968),,ifna(textjoin(""; "",,filter('On Hand'!E:E,'On Hand'!A:A=A968)),ifna(xlookup(A968,'On Hand'!A:A,'On Hand'!E:E,),)))"),"")</f>
        <v/>
      </c>
    </row>
    <row r="969">
      <c r="A969" s="3" t="str">
        <f t="array" ref="A969">ifna(_xlfn.xlookup(B969,'All Item Code'!B:B,'All Item Code'!A:A,),)</f>
        <v/>
      </c>
      <c r="B969" s="3"/>
      <c r="C969" s="3" t="str">
        <f t="array" ref="C969">if(B969="Tidak Ada",,if(isblank(B969),,ifna(sumif('On Hand'!A:A,A969,'On Hand'!D:D)&amp;" "&amp;_xlfn.xlookup(A969,'All Item Code'!A:A,'All Item Code'!D:D,),0)))</f>
        <v/>
      </c>
      <c r="D969" s="3" t="str">
        <f>IFERROR(__xludf.DUMMYFUNCTION("if(isblank(B969),,ifna(textjoin(""; "",,filter('On Hand'!E:E,'On Hand'!A:A=A969)),ifna(xlookup(A969,'On Hand'!A:A,'On Hand'!E:E,),)))"),"")</f>
        <v/>
      </c>
    </row>
    <row r="970">
      <c r="A970" s="3" t="str">
        <f t="array" ref="A970">ifna(_xlfn.xlookup(B970,'All Item Code'!B:B,'All Item Code'!A:A,),)</f>
        <v/>
      </c>
      <c r="B970" s="3"/>
      <c r="C970" s="3" t="str">
        <f t="array" ref="C970">if(B970="Tidak Ada",,if(isblank(B970),,ifna(sumif('On Hand'!A:A,A970,'On Hand'!D:D)&amp;" "&amp;_xlfn.xlookup(A970,'All Item Code'!A:A,'All Item Code'!D:D,),0)))</f>
        <v/>
      </c>
      <c r="D970" s="3" t="str">
        <f>IFERROR(__xludf.DUMMYFUNCTION("if(isblank(B970),,ifna(textjoin(""; "",,filter('On Hand'!E:E,'On Hand'!A:A=A970)),ifna(xlookup(A970,'On Hand'!A:A,'On Hand'!E:E,),)))"),"")</f>
        <v/>
      </c>
    </row>
    <row r="971">
      <c r="A971" s="3" t="str">
        <f t="array" ref="A971">ifna(_xlfn.xlookup(B971,'All Item Code'!B:B,'All Item Code'!A:A,),)</f>
        <v/>
      </c>
      <c r="B971" s="3"/>
      <c r="C971" s="3" t="str">
        <f t="array" ref="C971">if(B971="Tidak Ada",,if(isblank(B971),,ifna(sumif('On Hand'!A:A,A971,'On Hand'!D:D)&amp;" "&amp;_xlfn.xlookup(A971,'All Item Code'!A:A,'All Item Code'!D:D,),0)))</f>
        <v/>
      </c>
      <c r="D971" s="3" t="str">
        <f>IFERROR(__xludf.DUMMYFUNCTION("if(isblank(B971),,ifna(textjoin(""; "",,filter('On Hand'!E:E,'On Hand'!A:A=A971)),ifna(xlookup(A971,'On Hand'!A:A,'On Hand'!E:E,),)))"),"")</f>
        <v/>
      </c>
    </row>
    <row r="972">
      <c r="A972" s="3" t="str">
        <f t="array" ref="A972">ifna(_xlfn.xlookup(B972,'All Item Code'!B:B,'All Item Code'!A:A,),)</f>
        <v/>
      </c>
      <c r="B972" s="3"/>
      <c r="C972" s="3" t="str">
        <f t="array" ref="C972">if(B972="Tidak Ada",,if(isblank(B972),,ifna(sumif('On Hand'!A:A,A972,'On Hand'!D:D)&amp;" "&amp;_xlfn.xlookup(A972,'All Item Code'!A:A,'All Item Code'!D:D,),0)))</f>
        <v/>
      </c>
      <c r="D972" s="3" t="str">
        <f>IFERROR(__xludf.DUMMYFUNCTION("if(isblank(B972),,ifna(textjoin(""; "",,filter('On Hand'!E:E,'On Hand'!A:A=A972)),ifna(xlookup(A972,'On Hand'!A:A,'On Hand'!E:E,),)))"),"")</f>
        <v/>
      </c>
    </row>
    <row r="973">
      <c r="A973" s="3" t="str">
        <f t="array" ref="A973">ifna(_xlfn.xlookup(B973,'All Item Code'!B:B,'All Item Code'!A:A,),)</f>
        <v/>
      </c>
      <c r="B973" s="3"/>
      <c r="C973" s="3" t="str">
        <f t="array" ref="C973">if(B973="Tidak Ada",,if(isblank(B973),,ifna(sumif('On Hand'!A:A,A973,'On Hand'!D:D)&amp;" "&amp;_xlfn.xlookup(A973,'All Item Code'!A:A,'All Item Code'!D:D,),0)))</f>
        <v/>
      </c>
      <c r="D973" s="3" t="str">
        <f>IFERROR(__xludf.DUMMYFUNCTION("if(isblank(B973),,ifna(textjoin(""; "",,filter('On Hand'!E:E,'On Hand'!A:A=A973)),ifna(xlookup(A973,'On Hand'!A:A,'On Hand'!E:E,),)))"),"")</f>
        <v/>
      </c>
    </row>
    <row r="974">
      <c r="A974" s="3" t="str">
        <f t="array" ref="A974">ifna(_xlfn.xlookup(B974,'All Item Code'!B:B,'All Item Code'!A:A,),)</f>
        <v/>
      </c>
      <c r="B974" s="3"/>
      <c r="C974" s="3" t="str">
        <f t="array" ref="C974">if(B974="Tidak Ada",,if(isblank(B974),,ifna(sumif('On Hand'!A:A,A974,'On Hand'!D:D)&amp;" "&amp;_xlfn.xlookup(A974,'All Item Code'!A:A,'All Item Code'!D:D,),0)))</f>
        <v/>
      </c>
      <c r="D974" s="3" t="str">
        <f>IFERROR(__xludf.DUMMYFUNCTION("if(isblank(B974),,ifna(textjoin(""; "",,filter('On Hand'!E:E,'On Hand'!A:A=A974)),ifna(xlookup(A974,'On Hand'!A:A,'On Hand'!E:E,),)))"),"")</f>
        <v/>
      </c>
    </row>
    <row r="975">
      <c r="A975" s="3" t="str">
        <f t="array" ref="A975">ifna(_xlfn.xlookup(B975,'All Item Code'!B:B,'All Item Code'!A:A,),)</f>
        <v/>
      </c>
      <c r="B975" s="3"/>
      <c r="C975" s="3" t="str">
        <f t="array" ref="C975">if(B975="Tidak Ada",,if(isblank(B975),,ifna(sumif('On Hand'!A:A,A975,'On Hand'!D:D)&amp;" "&amp;_xlfn.xlookup(A975,'All Item Code'!A:A,'All Item Code'!D:D,),0)))</f>
        <v/>
      </c>
      <c r="D975" s="3" t="str">
        <f>IFERROR(__xludf.DUMMYFUNCTION("if(isblank(B975),,ifna(textjoin(""; "",,filter('On Hand'!E:E,'On Hand'!A:A=A975)),ifna(xlookup(A975,'On Hand'!A:A,'On Hand'!E:E,),)))"),"")</f>
        <v/>
      </c>
    </row>
    <row r="976">
      <c r="A976" s="3" t="str">
        <f t="array" ref="A976">ifna(_xlfn.xlookup(B976,'All Item Code'!B:B,'All Item Code'!A:A,),)</f>
        <v/>
      </c>
      <c r="B976" s="3"/>
      <c r="C976" s="3" t="str">
        <f t="array" ref="C976">if(B976="Tidak Ada",,if(isblank(B976),,ifna(sumif('On Hand'!A:A,A976,'On Hand'!D:D)&amp;" "&amp;_xlfn.xlookup(A976,'All Item Code'!A:A,'All Item Code'!D:D,),0)))</f>
        <v/>
      </c>
      <c r="D976" s="3" t="str">
        <f>IFERROR(__xludf.DUMMYFUNCTION("if(isblank(B976),,ifna(textjoin(""; "",,filter('On Hand'!E:E,'On Hand'!A:A=A976)),ifna(xlookup(A976,'On Hand'!A:A,'On Hand'!E:E,),)))"),"")</f>
        <v/>
      </c>
    </row>
    <row r="977">
      <c r="A977" s="3" t="str">
        <f t="array" ref="A977">ifna(_xlfn.xlookup(B977,'All Item Code'!B:B,'All Item Code'!A:A,),)</f>
        <v/>
      </c>
      <c r="B977" s="3"/>
      <c r="C977" s="3" t="str">
        <f t="array" ref="C977">if(B977="Tidak Ada",,if(isblank(B977),,ifna(sumif('On Hand'!A:A,A977,'On Hand'!D:D)&amp;" "&amp;_xlfn.xlookup(A977,'All Item Code'!A:A,'All Item Code'!D:D,),0)))</f>
        <v/>
      </c>
      <c r="D977" s="3" t="str">
        <f>IFERROR(__xludf.DUMMYFUNCTION("if(isblank(B977),,ifna(textjoin(""; "",,filter('On Hand'!E:E,'On Hand'!A:A=A977)),ifna(xlookup(A977,'On Hand'!A:A,'On Hand'!E:E,),)))"),"")</f>
        <v/>
      </c>
    </row>
    <row r="978">
      <c r="A978" s="3" t="str">
        <f t="array" ref="A978">ifna(_xlfn.xlookup(B978,'All Item Code'!B:B,'All Item Code'!A:A,),)</f>
        <v/>
      </c>
      <c r="B978" s="3"/>
      <c r="C978" s="3" t="str">
        <f t="array" ref="C978">if(B978="Tidak Ada",,if(isblank(B978),,ifna(sumif('On Hand'!A:A,A978,'On Hand'!D:D)&amp;" "&amp;_xlfn.xlookup(A978,'All Item Code'!A:A,'All Item Code'!D:D,),0)))</f>
        <v/>
      </c>
      <c r="D978" s="3" t="str">
        <f>IFERROR(__xludf.DUMMYFUNCTION("if(isblank(B978),,ifna(textjoin(""; "",,filter('On Hand'!E:E,'On Hand'!A:A=A978)),ifna(xlookup(A978,'On Hand'!A:A,'On Hand'!E:E,),)))"),"")</f>
        <v/>
      </c>
    </row>
    <row r="979">
      <c r="A979" s="3" t="str">
        <f t="array" ref="A979">ifna(_xlfn.xlookup(B979,'All Item Code'!B:B,'All Item Code'!A:A,),)</f>
        <v/>
      </c>
      <c r="B979" s="3"/>
      <c r="C979" s="3" t="str">
        <f t="array" ref="C979">if(B979="Tidak Ada",,if(isblank(B979),,ifna(sumif('On Hand'!A:A,A979,'On Hand'!D:D)&amp;" "&amp;_xlfn.xlookup(A979,'All Item Code'!A:A,'All Item Code'!D:D,),0)))</f>
        <v/>
      </c>
      <c r="D979" s="3" t="str">
        <f>IFERROR(__xludf.DUMMYFUNCTION("if(isblank(B979),,ifna(textjoin(""; "",,filter('On Hand'!E:E,'On Hand'!A:A=A979)),ifna(xlookup(A979,'On Hand'!A:A,'On Hand'!E:E,),)))"),"")</f>
        <v/>
      </c>
    </row>
    <row r="980">
      <c r="A980" s="3" t="str">
        <f t="array" ref="A980">ifna(_xlfn.xlookup(B980,'All Item Code'!B:B,'All Item Code'!A:A,),)</f>
        <v/>
      </c>
      <c r="B980" s="3"/>
      <c r="C980" s="3" t="str">
        <f t="array" ref="C980">if(B980="Tidak Ada",,if(isblank(B980),,ifna(sumif('On Hand'!A:A,A980,'On Hand'!D:D)&amp;" "&amp;_xlfn.xlookup(A980,'All Item Code'!A:A,'All Item Code'!D:D,),0)))</f>
        <v/>
      </c>
      <c r="D980" s="3" t="str">
        <f>IFERROR(__xludf.DUMMYFUNCTION("if(isblank(B980),,ifna(textjoin(""; "",,filter('On Hand'!E:E,'On Hand'!A:A=A980)),ifna(xlookup(A980,'On Hand'!A:A,'On Hand'!E:E,),)))"),"")</f>
        <v/>
      </c>
    </row>
    <row r="981">
      <c r="A981" s="3" t="str">
        <f t="array" ref="A981">ifna(_xlfn.xlookup(B981,'All Item Code'!B:B,'All Item Code'!A:A,),)</f>
        <v/>
      </c>
      <c r="B981" s="3"/>
      <c r="C981" s="3" t="str">
        <f t="array" ref="C981">if(B981="Tidak Ada",,if(isblank(B981),,ifna(sumif('On Hand'!A:A,A981,'On Hand'!D:D)&amp;" "&amp;_xlfn.xlookup(A981,'All Item Code'!A:A,'All Item Code'!D:D,),0)))</f>
        <v/>
      </c>
      <c r="D981" s="3" t="str">
        <f>IFERROR(__xludf.DUMMYFUNCTION("if(isblank(B981),,ifna(textjoin(""; "",,filter('On Hand'!E:E,'On Hand'!A:A=A981)),ifna(xlookup(A981,'On Hand'!A:A,'On Hand'!E:E,),)))"),"")</f>
        <v/>
      </c>
    </row>
    <row r="982">
      <c r="A982" s="3" t="str">
        <f t="array" ref="A982">ifna(_xlfn.xlookup(B982,'All Item Code'!B:B,'All Item Code'!A:A,),)</f>
        <v/>
      </c>
      <c r="B982" s="3"/>
      <c r="C982" s="3" t="str">
        <f t="array" ref="C982">if(B982="Tidak Ada",,if(isblank(B982),,ifna(sumif('On Hand'!A:A,A982,'On Hand'!D:D)&amp;" "&amp;_xlfn.xlookup(A982,'All Item Code'!A:A,'All Item Code'!D:D,),0)))</f>
        <v/>
      </c>
      <c r="D982" s="3" t="str">
        <f>IFERROR(__xludf.DUMMYFUNCTION("if(isblank(B982),,ifna(textjoin(""; "",,filter('On Hand'!E:E,'On Hand'!A:A=A982)),ifna(xlookup(A982,'On Hand'!A:A,'On Hand'!E:E,),)))"),"")</f>
        <v/>
      </c>
    </row>
    <row r="983">
      <c r="A983" s="3" t="str">
        <f t="array" ref="A983">ifna(_xlfn.xlookup(B983,'All Item Code'!B:B,'All Item Code'!A:A,),)</f>
        <v/>
      </c>
      <c r="B983" s="3"/>
      <c r="C983" s="3" t="str">
        <f t="array" ref="C983">if(B983="Tidak Ada",,if(isblank(B983),,ifna(sumif('On Hand'!A:A,A983,'On Hand'!D:D)&amp;" "&amp;_xlfn.xlookup(A983,'All Item Code'!A:A,'All Item Code'!D:D,),0)))</f>
        <v/>
      </c>
      <c r="D983" s="3" t="str">
        <f>IFERROR(__xludf.DUMMYFUNCTION("if(isblank(B983),,ifna(textjoin(""; "",,filter('On Hand'!E:E,'On Hand'!A:A=A983)),ifna(xlookup(A983,'On Hand'!A:A,'On Hand'!E:E,),)))"),"")</f>
        <v/>
      </c>
    </row>
    <row r="984">
      <c r="A984" s="3" t="str">
        <f t="array" ref="A984">ifna(_xlfn.xlookup(B984,'All Item Code'!B:B,'All Item Code'!A:A,),)</f>
        <v/>
      </c>
      <c r="B984" s="3"/>
      <c r="C984" s="3" t="str">
        <f t="array" ref="C984">if(B984="Tidak Ada",,if(isblank(B984),,ifna(sumif('On Hand'!A:A,A984,'On Hand'!D:D)&amp;" "&amp;_xlfn.xlookup(A984,'All Item Code'!A:A,'All Item Code'!D:D,),0)))</f>
        <v/>
      </c>
      <c r="D984" s="3" t="str">
        <f>IFERROR(__xludf.DUMMYFUNCTION("if(isblank(B984),,ifna(textjoin(""; "",,filter('On Hand'!E:E,'On Hand'!A:A=A984)),ifna(xlookup(A984,'On Hand'!A:A,'On Hand'!E:E,),)))"),"")</f>
        <v/>
      </c>
    </row>
    <row r="985">
      <c r="A985" s="3" t="str">
        <f t="array" ref="A985">ifna(_xlfn.xlookup(B985,'All Item Code'!B:B,'All Item Code'!A:A,),)</f>
        <v/>
      </c>
      <c r="B985" s="3"/>
      <c r="C985" s="3" t="str">
        <f t="array" ref="C985">if(B985="Tidak Ada",,if(isblank(B985),,ifna(sumif('On Hand'!A:A,A985,'On Hand'!D:D)&amp;" "&amp;_xlfn.xlookup(A985,'All Item Code'!A:A,'All Item Code'!D:D,),0)))</f>
        <v/>
      </c>
      <c r="D985" s="3" t="str">
        <f>IFERROR(__xludf.DUMMYFUNCTION("if(isblank(B985),,ifna(textjoin(""; "",,filter('On Hand'!E:E,'On Hand'!A:A=A985)),ifna(xlookup(A985,'On Hand'!A:A,'On Hand'!E:E,),)))"),"")</f>
        <v/>
      </c>
    </row>
    <row r="986">
      <c r="A986" s="3" t="str">
        <f t="array" ref="A986">ifna(_xlfn.xlookup(B986,'All Item Code'!B:B,'All Item Code'!A:A,),)</f>
        <v/>
      </c>
      <c r="B986" s="3"/>
      <c r="C986" s="3" t="str">
        <f t="array" ref="C986">if(B986="Tidak Ada",,if(isblank(B986),,ifna(sumif('On Hand'!A:A,A986,'On Hand'!D:D)&amp;" "&amp;_xlfn.xlookup(A986,'All Item Code'!A:A,'All Item Code'!D:D,),0)))</f>
        <v/>
      </c>
      <c r="D986" s="3" t="str">
        <f>IFERROR(__xludf.DUMMYFUNCTION("if(isblank(B986),,ifna(textjoin(""; "",,filter('On Hand'!E:E,'On Hand'!A:A=A986)),ifna(xlookup(A986,'On Hand'!A:A,'On Hand'!E:E,),)))"),"")</f>
        <v/>
      </c>
    </row>
    <row r="987">
      <c r="A987" s="3" t="str">
        <f t="array" ref="A987">ifna(_xlfn.xlookup(B987,'All Item Code'!B:B,'All Item Code'!A:A,),)</f>
        <v/>
      </c>
      <c r="B987" s="3"/>
      <c r="C987" s="3" t="str">
        <f t="array" ref="C987">if(B987="Tidak Ada",,if(isblank(B987),,ifna(sumif('On Hand'!A:A,A987,'On Hand'!D:D)&amp;" "&amp;_xlfn.xlookup(A987,'All Item Code'!A:A,'All Item Code'!D:D,),0)))</f>
        <v/>
      </c>
      <c r="D987" s="3" t="str">
        <f>IFERROR(__xludf.DUMMYFUNCTION("if(isblank(B987),,ifna(textjoin(""; "",,filter('On Hand'!E:E,'On Hand'!A:A=A987)),ifna(xlookup(A987,'On Hand'!A:A,'On Hand'!E:E,),)))"),"")</f>
        <v/>
      </c>
    </row>
    <row r="988">
      <c r="A988" s="3" t="str">
        <f t="array" ref="A988">ifna(_xlfn.xlookup(B988,'All Item Code'!B:B,'All Item Code'!A:A,),)</f>
        <v/>
      </c>
      <c r="B988" s="3"/>
      <c r="C988" s="3" t="str">
        <f t="array" ref="C988">if(B988="Tidak Ada",,if(isblank(B988),,ifna(sumif('On Hand'!A:A,A988,'On Hand'!D:D)&amp;" "&amp;_xlfn.xlookup(A988,'All Item Code'!A:A,'All Item Code'!D:D,),0)))</f>
        <v/>
      </c>
      <c r="D988" s="3" t="str">
        <f>IFERROR(__xludf.DUMMYFUNCTION("if(isblank(B988),,ifna(textjoin(""; "",,filter('On Hand'!E:E,'On Hand'!A:A=A988)),ifna(xlookup(A988,'On Hand'!A:A,'On Hand'!E:E,),)))"),"")</f>
        <v/>
      </c>
    </row>
    <row r="989">
      <c r="A989" s="3" t="str">
        <f t="array" ref="A989">ifna(_xlfn.xlookup(B989,'All Item Code'!B:B,'All Item Code'!A:A,),)</f>
        <v/>
      </c>
      <c r="B989" s="3"/>
      <c r="C989" s="3" t="str">
        <f t="array" ref="C989">if(B989="Tidak Ada",,if(isblank(B989),,ifna(sumif('On Hand'!A:A,A989,'On Hand'!D:D)&amp;" "&amp;_xlfn.xlookup(A989,'All Item Code'!A:A,'All Item Code'!D:D,),0)))</f>
        <v/>
      </c>
      <c r="D989" s="3" t="str">
        <f>IFERROR(__xludf.DUMMYFUNCTION("if(isblank(B989),,ifna(textjoin(""; "",,filter('On Hand'!E:E,'On Hand'!A:A=A989)),ifna(xlookup(A989,'On Hand'!A:A,'On Hand'!E:E,),)))"),"")</f>
        <v/>
      </c>
    </row>
    <row r="990">
      <c r="A990" s="3" t="str">
        <f t="array" ref="A990">ifna(_xlfn.xlookup(B990,'All Item Code'!B:B,'All Item Code'!A:A,),)</f>
        <v/>
      </c>
      <c r="B990" s="3"/>
      <c r="C990" s="3" t="str">
        <f t="array" ref="C990">if(B990="Tidak Ada",,if(isblank(B990),,ifna(sumif('On Hand'!A:A,A990,'On Hand'!D:D)&amp;" "&amp;_xlfn.xlookup(A990,'All Item Code'!A:A,'All Item Code'!D:D,),0)))</f>
        <v/>
      </c>
      <c r="D990" s="3" t="str">
        <f>IFERROR(__xludf.DUMMYFUNCTION("if(isblank(B990),,ifna(textjoin(""; "",,filter('On Hand'!E:E,'On Hand'!A:A=A990)),ifna(xlookup(A990,'On Hand'!A:A,'On Hand'!E:E,),)))"),"")</f>
        <v/>
      </c>
    </row>
    <row r="991">
      <c r="A991" s="3" t="str">
        <f t="array" ref="A991">ifna(_xlfn.xlookup(B991,'All Item Code'!B:B,'All Item Code'!A:A,),)</f>
        <v/>
      </c>
      <c r="B991" s="3"/>
      <c r="C991" s="3" t="str">
        <f t="array" ref="C991">if(B991="Tidak Ada",,if(isblank(B991),,ifna(sumif('On Hand'!A:A,A991,'On Hand'!D:D)&amp;" "&amp;_xlfn.xlookup(A991,'All Item Code'!A:A,'All Item Code'!D:D,),0)))</f>
        <v/>
      </c>
      <c r="D991" s="3" t="str">
        <f>IFERROR(__xludf.DUMMYFUNCTION("if(isblank(B991),,ifna(textjoin(""; "",,filter('On Hand'!E:E,'On Hand'!A:A=A991)),ifna(xlookup(A991,'On Hand'!A:A,'On Hand'!E:E,),)))"),"")</f>
        <v/>
      </c>
    </row>
    <row r="992">
      <c r="A992" s="3" t="str">
        <f t="array" ref="A992">ifna(_xlfn.xlookup(B992,'All Item Code'!B:B,'All Item Code'!A:A,),)</f>
        <v/>
      </c>
      <c r="B992" s="3"/>
      <c r="C992" s="3" t="str">
        <f t="array" ref="C992">if(B992="Tidak Ada",,if(isblank(B992),,ifna(sumif('On Hand'!A:A,A992,'On Hand'!D:D)&amp;" "&amp;_xlfn.xlookup(A992,'All Item Code'!A:A,'All Item Code'!D:D,),0)))</f>
        <v/>
      </c>
      <c r="D992" s="3" t="str">
        <f>IFERROR(__xludf.DUMMYFUNCTION("if(isblank(B992),,ifna(textjoin(""; "",,filter('On Hand'!E:E,'On Hand'!A:A=A992)),ifna(xlookup(A992,'On Hand'!A:A,'On Hand'!E:E,),)))"),"")</f>
        <v/>
      </c>
    </row>
    <row r="993">
      <c r="A993" s="3" t="str">
        <f t="array" ref="A993">ifna(_xlfn.xlookup(B993,'All Item Code'!B:B,'All Item Code'!A:A,),)</f>
        <v/>
      </c>
      <c r="B993" s="3"/>
      <c r="C993" s="3" t="str">
        <f t="array" ref="C993">if(B993="Tidak Ada",,if(isblank(B993),,ifna(sumif('On Hand'!A:A,A993,'On Hand'!D:D)&amp;" "&amp;_xlfn.xlookup(A993,'All Item Code'!A:A,'All Item Code'!D:D,),0)))</f>
        <v/>
      </c>
      <c r="D993" s="3" t="str">
        <f>IFERROR(__xludf.DUMMYFUNCTION("if(isblank(B993),,ifna(textjoin(""; "",,filter('On Hand'!E:E,'On Hand'!A:A=A993)),ifna(xlookup(A993,'On Hand'!A:A,'On Hand'!E:E,),)))"),"")</f>
        <v/>
      </c>
    </row>
    <row r="994">
      <c r="A994" s="3" t="str">
        <f t="array" ref="A994">ifna(_xlfn.xlookup(B994,'All Item Code'!B:B,'All Item Code'!A:A,),)</f>
        <v/>
      </c>
      <c r="B994" s="3"/>
      <c r="C994" s="3" t="str">
        <f t="array" ref="C994">if(B994="Tidak Ada",,if(isblank(B994),,ifna(sumif('On Hand'!A:A,A994,'On Hand'!D:D)&amp;" "&amp;_xlfn.xlookup(A994,'All Item Code'!A:A,'All Item Code'!D:D,),0)))</f>
        <v/>
      </c>
      <c r="D994" s="3" t="str">
        <f>IFERROR(__xludf.DUMMYFUNCTION("if(isblank(B994),,ifna(textjoin(""; "",,filter('On Hand'!E:E,'On Hand'!A:A=A994)),ifna(xlookup(A994,'On Hand'!A:A,'On Hand'!E:E,),)))"),"")</f>
        <v/>
      </c>
    </row>
    <row r="995">
      <c r="A995" s="3" t="str">
        <f t="array" ref="A995">ifna(_xlfn.xlookup(B995,'All Item Code'!B:B,'All Item Code'!A:A,),)</f>
        <v/>
      </c>
      <c r="B995" s="3"/>
      <c r="C995" s="3" t="str">
        <f t="array" ref="C995">if(B995="Tidak Ada",,if(isblank(B995),,ifna(sumif('On Hand'!A:A,A995,'On Hand'!D:D)&amp;" "&amp;_xlfn.xlookup(A995,'All Item Code'!A:A,'All Item Code'!D:D,),0)))</f>
        <v/>
      </c>
      <c r="D995" s="3" t="str">
        <f>IFERROR(__xludf.DUMMYFUNCTION("if(isblank(B995),,ifna(textjoin(""; "",,filter('On Hand'!E:E,'On Hand'!A:A=A995)),ifna(xlookup(A995,'On Hand'!A:A,'On Hand'!E:E,),)))"),"")</f>
        <v/>
      </c>
    </row>
    <row r="996">
      <c r="A996" s="3" t="str">
        <f t="array" ref="A996">ifna(_xlfn.xlookup(B996,'All Item Code'!B:B,'All Item Code'!A:A,),)</f>
        <v/>
      </c>
      <c r="B996" s="3"/>
      <c r="C996" s="3" t="str">
        <f t="array" ref="C996">if(B996="Tidak Ada",,if(isblank(B996),,ifna(sumif('On Hand'!A:A,A996,'On Hand'!D:D)&amp;" "&amp;_xlfn.xlookup(A996,'All Item Code'!A:A,'All Item Code'!D:D,),0)))</f>
        <v/>
      </c>
      <c r="D996" s="3" t="str">
        <f>IFERROR(__xludf.DUMMYFUNCTION("if(isblank(B996),,ifna(textjoin(""; "",,filter('On Hand'!E:E,'On Hand'!A:A=A996)),ifna(xlookup(A996,'On Hand'!A:A,'On Hand'!E:E,),)))"),"")</f>
        <v/>
      </c>
    </row>
    <row r="997">
      <c r="A997" s="3" t="str">
        <f t="array" ref="A997">ifna(_xlfn.xlookup(B997,'All Item Code'!B:B,'All Item Code'!A:A,),)</f>
        <v/>
      </c>
      <c r="B997" s="3"/>
      <c r="C997" s="3" t="str">
        <f t="array" ref="C997">if(B997="Tidak Ada",,if(isblank(B997),,ifna(sumif('On Hand'!A:A,A997,'On Hand'!D:D)&amp;" "&amp;_xlfn.xlookup(A997,'All Item Code'!A:A,'All Item Code'!D:D,),0)))</f>
        <v/>
      </c>
      <c r="D997" s="3" t="str">
        <f>IFERROR(__xludf.DUMMYFUNCTION("if(isblank(B997),,ifna(textjoin(""; "",,filter('On Hand'!E:E,'On Hand'!A:A=A997)),ifna(xlookup(A997,'On Hand'!A:A,'On Hand'!E:E,),)))"),"")</f>
        <v/>
      </c>
    </row>
    <row r="998">
      <c r="A998" s="3" t="str">
        <f t="array" ref="A998">ifna(_xlfn.xlookup(B998,'All Item Code'!B:B,'All Item Code'!A:A,),)</f>
        <v/>
      </c>
      <c r="B998" s="3"/>
      <c r="C998" s="3" t="str">
        <f t="array" ref="C998">if(B998="Tidak Ada",,if(isblank(B998),,ifna(sumif('On Hand'!A:A,A998,'On Hand'!D:D)&amp;" "&amp;_xlfn.xlookup(A998,'All Item Code'!A:A,'All Item Code'!D:D,),0)))</f>
        <v/>
      </c>
      <c r="D998" s="3" t="str">
        <f>IFERROR(__xludf.DUMMYFUNCTION("if(isblank(B998),,ifna(textjoin(""; "",,filter('On Hand'!E:E,'On Hand'!A:A=A998)),ifna(xlookup(A998,'On Hand'!A:A,'On Hand'!E:E,),)))"),"")</f>
        <v/>
      </c>
    </row>
    <row r="999">
      <c r="A999" s="3" t="str">
        <f t="array" ref="A999">ifna(_xlfn.xlookup(B999,'All Item Code'!B:B,'All Item Code'!A:A,),)</f>
        <v/>
      </c>
      <c r="B999" s="3"/>
      <c r="C999" s="3" t="str">
        <f t="array" ref="C999">if(B999="Tidak Ada",,if(isblank(B999),,ifna(sumif('On Hand'!A:A,A999,'On Hand'!D:D)&amp;" "&amp;_xlfn.xlookup(A999,'All Item Code'!A:A,'All Item Code'!D:D,),0)))</f>
        <v/>
      </c>
      <c r="D999" s="3" t="str">
        <f>IFERROR(__xludf.DUMMYFUNCTION("if(isblank(B999),,ifna(textjoin(""; "",,filter('On Hand'!E:E,'On Hand'!A:A=A999)),ifna(xlookup(A999,'On Hand'!A:A,'On Hand'!E:E,),)))"),"")</f>
        <v/>
      </c>
    </row>
    <row r="1000">
      <c r="A1000" s="3" t="str">
        <f t="array" ref="A1000">ifna(_xlfn.xlookup(B1000,'All Item Code'!B:B,'All Item Code'!A:A,),)</f>
        <v/>
      </c>
      <c r="B1000" s="3"/>
      <c r="C1000" s="3" t="str">
        <f t="array" ref="C1000">if(B1000="Tidak Ada",,if(isblank(B1000),,ifna(sumif('On Hand'!A:A,A1000,'On Hand'!D:D)&amp;" "&amp;_xlfn.xlookup(A1000,'All Item Code'!A:A,'All Item Code'!D:D,),0)))</f>
        <v/>
      </c>
      <c r="D1000" s="3" t="str">
        <f>IFERROR(__xludf.DUMMYFUNCTION("if(isblank(B1000),,ifna(textjoin(""; "",,filter('On Hand'!E:E,'On Hand'!A:A=A1000)),ifna(xlookup(A1000,'On Hand'!A:A,'On Hand'!E:E,),)))"),"")</f>
        <v/>
      </c>
    </row>
    <row r="1001">
      <c r="A1001" s="3" t="str">
        <f t="array" ref="A1001">ifna(_xlfn.xlookup(B1001,'All Item Code'!B:B,'All Item Code'!A:A,),)</f>
        <v/>
      </c>
      <c r="B1001" s="3"/>
      <c r="C1001" s="3" t="str">
        <f t="array" ref="C1001">if(B1001="Tidak Ada",,if(isblank(B1001),,ifna(sumif('On Hand'!A:A,A1001,'On Hand'!D:D)&amp;" "&amp;_xlfn.xlookup(A1001,'All Item Code'!A:A,'All Item Code'!D:D,),0)))</f>
        <v/>
      </c>
      <c r="D1001" s="3" t="str">
        <f>IFERROR(__xludf.DUMMYFUNCTION("if(isblank(B1001),,ifna(textjoin(""; "",,filter('On Hand'!E:E,'On Hand'!A:A=A1001)),ifna(xlookup(A1001,'On Hand'!A:A,'On Hand'!E:E,),)))"),"")</f>
        <v/>
      </c>
    </row>
    <row r="1002">
      <c r="A1002" s="3" t="str">
        <f t="array" ref="A1002">ifna(_xlfn.xlookup(B1002,'All Item Code'!B:B,'All Item Code'!A:A,),)</f>
        <v/>
      </c>
      <c r="B1002" s="3"/>
      <c r="C1002" s="3" t="str">
        <f t="array" ref="C1002">if(B1002="Tidak Ada",,if(isblank(B1002),,ifna(sumif('On Hand'!A:A,A1002,'On Hand'!D:D)&amp;" "&amp;_xlfn.xlookup(A1002,'All Item Code'!A:A,'All Item Code'!D:D,),0)))</f>
        <v/>
      </c>
      <c r="D1002" s="3" t="str">
        <f>IFERROR(__xludf.DUMMYFUNCTION("if(isblank(B1002),,ifna(textjoin(""; "",,filter('On Hand'!E:E,'On Hand'!A:A=A1002)),ifna(xlookup(A1002,'On Hand'!A:A,'On Hand'!E:E,),)))"),"")</f>
        <v/>
      </c>
    </row>
    <row r="1003">
      <c r="A1003" s="3" t="str">
        <f t="array" ref="A1003">ifna(_xlfn.xlookup(B1003,'All Item Code'!B:B,'All Item Code'!A:A,),)</f>
        <v/>
      </c>
      <c r="B1003" s="3"/>
      <c r="C1003" s="3" t="str">
        <f t="array" ref="C1003">if(B1003="Tidak Ada",,if(isblank(B1003),,ifna(sumif('On Hand'!A:A,A1003,'On Hand'!D:D)&amp;" "&amp;_xlfn.xlookup(A1003,'All Item Code'!A:A,'All Item Code'!D:D,),0)))</f>
        <v/>
      </c>
      <c r="D1003" s="3" t="str">
        <f>IFERROR(__xludf.DUMMYFUNCTION("if(isblank(B1003),,ifna(textjoin(""; "",,filter('On Hand'!E:E,'On Hand'!A:A=A1003)),ifna(xlookup(A1003,'On Hand'!A:A,'On Hand'!E:E,),)))"),"")</f>
        <v/>
      </c>
    </row>
    <row r="1004">
      <c r="A1004" s="3" t="str">
        <f t="array" ref="A1004">ifna(_xlfn.xlookup(B1004,'All Item Code'!B:B,'All Item Code'!A:A,),)</f>
        <v/>
      </c>
      <c r="B1004" s="3"/>
      <c r="C1004" s="3" t="str">
        <f t="array" ref="C1004">if(B1004="Tidak Ada",,if(isblank(B1004),,ifna(sumif('On Hand'!A:A,A1004,'On Hand'!D:D)&amp;" "&amp;_xlfn.xlookup(A1004,'All Item Code'!A:A,'All Item Code'!D:D,),0)))</f>
        <v/>
      </c>
      <c r="D1004" s="3" t="str">
        <f>IFERROR(__xludf.DUMMYFUNCTION("if(isblank(B1004),,ifna(textjoin(""; "",,filter('On Hand'!E:E,'On Hand'!A:A=A1004)),ifna(xlookup(A1004,'On Hand'!A:A,'On Hand'!E:E,),)))"),"")</f>
        <v/>
      </c>
    </row>
    <row r="1005">
      <c r="A1005" s="3" t="str">
        <f t="array" ref="A1005">ifna(_xlfn.xlookup(B1005,'All Item Code'!B:B,'All Item Code'!A:A,),)</f>
        <v/>
      </c>
      <c r="B1005" s="3"/>
      <c r="C1005" s="3" t="str">
        <f t="array" ref="C1005">if(B1005="Tidak Ada",,if(isblank(B1005),,ifna(sumif('On Hand'!A:A,A1005,'On Hand'!D:D)&amp;" "&amp;_xlfn.xlookup(A1005,'All Item Code'!A:A,'All Item Code'!D:D,),0)))</f>
        <v/>
      </c>
      <c r="D1005" s="3" t="str">
        <f>IFERROR(__xludf.DUMMYFUNCTION("if(isblank(B1005),,ifna(textjoin(""; "",,filter('On Hand'!E:E,'On Hand'!A:A=A1005)),ifna(xlookup(A1005,'On Hand'!A:A,'On Hand'!E:E,),)))"),"")</f>
        <v/>
      </c>
    </row>
    <row r="1006">
      <c r="A1006" s="3" t="str">
        <f t="array" ref="A1006">ifna(_xlfn.xlookup(B1006,'All Item Code'!B:B,'All Item Code'!A:A,),)</f>
        <v/>
      </c>
      <c r="B1006" s="3"/>
      <c r="C1006" s="3" t="str">
        <f t="array" ref="C1006">if(B1006="Tidak Ada",,if(isblank(B1006),,ifna(sumif('On Hand'!A:A,A1006,'On Hand'!D:D)&amp;" "&amp;_xlfn.xlookup(A1006,'All Item Code'!A:A,'All Item Code'!D:D,),0)))</f>
        <v/>
      </c>
      <c r="D1006" s="3" t="str">
        <f>IFERROR(__xludf.DUMMYFUNCTION("if(isblank(B1006),,ifna(textjoin(""; "",,filter('On Hand'!E:E,'On Hand'!A:A=A1006)),ifna(xlookup(A1006,'On Hand'!A:A,'On Hand'!E:E,),)))"),"")</f>
        <v/>
      </c>
    </row>
    <row r="1007">
      <c r="A1007" s="3" t="str">
        <f t="array" ref="A1007">ifna(_xlfn.xlookup(B1007,'All Item Code'!B:B,'All Item Code'!A:A,),)</f>
        <v/>
      </c>
      <c r="B1007" s="3"/>
      <c r="C1007" s="3" t="str">
        <f t="array" ref="C1007">if(B1007="Tidak Ada",,if(isblank(B1007),,ifna(sumif('On Hand'!A:A,A1007,'On Hand'!D:D)&amp;" "&amp;_xlfn.xlookup(A1007,'All Item Code'!A:A,'All Item Code'!D:D,),0)))</f>
        <v/>
      </c>
      <c r="D1007" s="3" t="str">
        <f>IFERROR(__xludf.DUMMYFUNCTION("if(isblank(B1007),,ifna(textjoin(""; "",,filter('On Hand'!E:E,'On Hand'!A:A=A1007)),ifna(xlookup(A1007,'On Hand'!A:A,'On Hand'!E:E,),)))"),"")</f>
        <v/>
      </c>
    </row>
    <row r="1008">
      <c r="A1008" s="3" t="str">
        <f t="array" ref="A1008">ifna(_xlfn.xlookup(B1008,'All Item Code'!B:B,'All Item Code'!A:A,),)</f>
        <v/>
      </c>
      <c r="B1008" s="3"/>
      <c r="C1008" s="3" t="str">
        <f t="array" ref="C1008">if(B1008="Tidak Ada",,if(isblank(B1008),,ifna(sumif('On Hand'!A:A,A1008,'On Hand'!D:D)&amp;" "&amp;_xlfn.xlookup(A1008,'All Item Code'!A:A,'All Item Code'!D:D,),0)))</f>
        <v/>
      </c>
      <c r="D1008" s="3" t="str">
        <f>IFERROR(__xludf.DUMMYFUNCTION("if(isblank(B1008),,ifna(textjoin(""; "",,filter('On Hand'!E:E,'On Hand'!A:A=A1008)),ifna(xlookup(A1008,'On Hand'!A:A,'On Hand'!E:E,),)))"),"")</f>
        <v/>
      </c>
    </row>
    <row r="1009">
      <c r="A1009" s="3" t="str">
        <f t="array" ref="A1009">ifna(_xlfn.xlookup(B1009,'All Item Code'!B:B,'All Item Code'!A:A,),)</f>
        <v/>
      </c>
      <c r="B1009" s="3"/>
      <c r="C1009" s="3" t="str">
        <f t="array" ref="C1009">if(B1009="Tidak Ada",,if(isblank(B1009),,ifna(sumif('On Hand'!A:A,A1009,'On Hand'!D:D)&amp;" "&amp;_xlfn.xlookup(A1009,'All Item Code'!A:A,'All Item Code'!D:D,),0)))</f>
        <v/>
      </c>
      <c r="D1009" s="3" t="str">
        <f>IFERROR(__xludf.DUMMYFUNCTION("if(isblank(B1009),,ifna(textjoin(""; "",,filter('On Hand'!E:E,'On Hand'!A:A=A1009)),ifna(xlookup(A1009,'On Hand'!A:A,'On Hand'!E:E,),)))"),"")</f>
        <v/>
      </c>
    </row>
    <row r="1010">
      <c r="A1010" s="3" t="str">
        <f t="array" ref="A1010">ifna(_xlfn.xlookup(B1010,'All Item Code'!B:B,'All Item Code'!A:A,),)</f>
        <v/>
      </c>
      <c r="B1010" s="3"/>
      <c r="C1010" s="3" t="str">
        <f t="array" ref="C1010">if(B1010="Tidak Ada",,if(isblank(B1010),,ifna(sumif('On Hand'!A:A,A1010,'On Hand'!D:D)&amp;" "&amp;_xlfn.xlookup(A1010,'All Item Code'!A:A,'All Item Code'!D:D,),0)))</f>
        <v/>
      </c>
      <c r="D1010" s="3" t="str">
        <f>IFERROR(__xludf.DUMMYFUNCTION("if(isblank(B1010),,ifna(textjoin(""; "",,filter('On Hand'!E:E,'On Hand'!A:A=A1010)),ifna(xlookup(A1010,'On Hand'!A:A,'On Hand'!E:E,),)))"),"")</f>
        <v/>
      </c>
    </row>
    <row r="1011">
      <c r="A1011" s="3" t="str">
        <f t="array" ref="A1011">ifna(_xlfn.xlookup(B1011,'All Item Code'!B:B,'All Item Code'!A:A,),)</f>
        <v/>
      </c>
      <c r="B1011" s="3"/>
      <c r="C1011" s="3" t="str">
        <f t="array" ref="C1011">if(B1011="Tidak Ada",,if(isblank(B1011),,ifna(sumif('On Hand'!A:A,A1011,'On Hand'!D:D)&amp;" "&amp;_xlfn.xlookup(A1011,'All Item Code'!A:A,'All Item Code'!D:D,),0)))</f>
        <v/>
      </c>
      <c r="D1011" s="3" t="str">
        <f>IFERROR(__xludf.DUMMYFUNCTION("if(isblank(B1011),,ifna(textjoin(""; "",,filter('On Hand'!E:E,'On Hand'!A:A=A1011)),ifna(xlookup(A1011,'On Hand'!A:A,'On Hand'!E:E,),)))"),"")</f>
        <v/>
      </c>
    </row>
    <row r="1012">
      <c r="A1012" s="3" t="str">
        <f t="array" ref="A1012">ifna(_xlfn.xlookup(B1012,'All Item Code'!B:B,'All Item Code'!A:A,),)</f>
        <v/>
      </c>
      <c r="B1012" s="3"/>
      <c r="C1012" s="3" t="str">
        <f t="array" ref="C1012">if(B1012="Tidak Ada",,if(isblank(B1012),,ifna(sumif('On Hand'!A:A,A1012,'On Hand'!D:D)&amp;" "&amp;_xlfn.xlookup(A1012,'All Item Code'!A:A,'All Item Code'!D:D,),0)))</f>
        <v/>
      </c>
      <c r="D1012" s="3" t="str">
        <f>IFERROR(__xludf.DUMMYFUNCTION("if(isblank(B1012),,ifna(textjoin(""; "",,filter('On Hand'!E:E,'On Hand'!A:A=A1012)),ifna(xlookup(A1012,'On Hand'!A:A,'On Hand'!E:E,),)))"),"")</f>
        <v/>
      </c>
    </row>
    <row r="1013">
      <c r="A1013" s="3" t="str">
        <f t="array" ref="A1013">ifna(_xlfn.xlookup(B1013,'All Item Code'!B:B,'All Item Code'!A:A,),)</f>
        <v/>
      </c>
      <c r="B1013" s="3"/>
      <c r="C1013" s="3" t="str">
        <f t="array" ref="C1013">if(B1013="Tidak Ada",,if(isblank(B1013),,ifna(sumif('On Hand'!A:A,A1013,'On Hand'!D:D)&amp;" "&amp;_xlfn.xlookup(A1013,'All Item Code'!A:A,'All Item Code'!D:D,),0)))</f>
        <v/>
      </c>
      <c r="D1013" s="3" t="str">
        <f>IFERROR(__xludf.DUMMYFUNCTION("if(isblank(B1013),,ifna(textjoin(""; "",,filter('On Hand'!E:E,'On Hand'!A:A=A1013)),ifna(xlookup(A1013,'On Hand'!A:A,'On Hand'!E:E,),)))"),"")</f>
        <v/>
      </c>
    </row>
    <row r="1014">
      <c r="A1014" s="3" t="str">
        <f t="array" ref="A1014">ifna(_xlfn.xlookup(B1014,'All Item Code'!B:B,'All Item Code'!A:A,),)</f>
        <v/>
      </c>
      <c r="B1014" s="3"/>
      <c r="C1014" s="3" t="str">
        <f t="array" ref="C1014">if(B1014="Tidak Ada",,if(isblank(B1014),,ifna(sumif('On Hand'!A:A,A1014,'On Hand'!D:D)&amp;" "&amp;_xlfn.xlookup(A1014,'All Item Code'!A:A,'All Item Code'!D:D,),0)))</f>
        <v/>
      </c>
      <c r="D1014" s="3" t="str">
        <f>IFERROR(__xludf.DUMMYFUNCTION("if(isblank(B1014),,ifna(textjoin(""; "",,filter('On Hand'!E:E,'On Hand'!A:A=A1014)),ifna(xlookup(A1014,'On Hand'!A:A,'On Hand'!E:E,),)))"),"")</f>
        <v/>
      </c>
    </row>
    <row r="1015">
      <c r="A1015" s="3" t="str">
        <f t="array" ref="A1015">ifna(_xlfn.xlookup(B1015,'All Item Code'!B:B,'All Item Code'!A:A,),)</f>
        <v/>
      </c>
      <c r="B1015" s="3"/>
      <c r="C1015" s="3" t="str">
        <f t="array" ref="C1015">if(B1015="Tidak Ada",,if(isblank(B1015),,ifna(sumif('On Hand'!A:A,A1015,'On Hand'!D:D)&amp;" "&amp;_xlfn.xlookup(A1015,'All Item Code'!A:A,'All Item Code'!D:D,),0)))</f>
        <v/>
      </c>
      <c r="D1015" s="3" t="str">
        <f>IFERROR(__xludf.DUMMYFUNCTION("if(isblank(B1015),,ifna(textjoin(""; "",,filter('On Hand'!E:E,'On Hand'!A:A=A1015)),ifna(xlookup(A1015,'On Hand'!A:A,'On Hand'!E:E,),)))"),"")</f>
        <v/>
      </c>
    </row>
    <row r="1016">
      <c r="A1016" s="3" t="str">
        <f t="array" ref="A1016">ifna(_xlfn.xlookup(B1016,'All Item Code'!B:B,'All Item Code'!A:A,),)</f>
        <v/>
      </c>
      <c r="B1016" s="3"/>
      <c r="C1016" s="3" t="str">
        <f t="array" ref="C1016">if(B1016="Tidak Ada",,if(isblank(B1016),,ifna(sumif('On Hand'!A:A,A1016,'On Hand'!D:D)&amp;" "&amp;_xlfn.xlookup(A1016,'All Item Code'!A:A,'All Item Code'!D:D,),0)))</f>
        <v/>
      </c>
      <c r="D1016" s="3" t="str">
        <f>IFERROR(__xludf.DUMMYFUNCTION("if(isblank(B1016),,ifna(textjoin(""; "",,filter('On Hand'!E:E,'On Hand'!A:A=A1016)),ifna(xlookup(A1016,'On Hand'!A:A,'On Hand'!E:E,),)))"),"")</f>
        <v/>
      </c>
    </row>
    <row r="1017">
      <c r="A1017" s="3" t="str">
        <f t="array" ref="A1017">ifna(_xlfn.xlookup(B1017,'All Item Code'!B:B,'All Item Code'!A:A,),)</f>
        <v/>
      </c>
      <c r="B1017" s="3"/>
      <c r="C1017" s="3" t="str">
        <f t="array" ref="C1017">if(B1017="Tidak Ada",,if(isblank(B1017),,ifna(sumif('On Hand'!A:A,A1017,'On Hand'!D:D)&amp;" "&amp;_xlfn.xlookup(A1017,'All Item Code'!A:A,'All Item Code'!D:D,),0)))</f>
        <v/>
      </c>
      <c r="D1017" s="3" t="str">
        <f>IFERROR(__xludf.DUMMYFUNCTION("if(isblank(B1017),,ifna(textjoin(""; "",,filter('On Hand'!E:E,'On Hand'!A:A=A1017)),ifna(xlookup(A1017,'On Hand'!A:A,'On Hand'!E:E,),)))"),"")</f>
        <v/>
      </c>
    </row>
    <row r="1018">
      <c r="A1018" s="3" t="str">
        <f t="array" ref="A1018">ifna(_xlfn.xlookup(B1018,'All Item Code'!B:B,'All Item Code'!A:A,),)</f>
        <v/>
      </c>
      <c r="B1018" s="3"/>
      <c r="C1018" s="3" t="str">
        <f t="array" ref="C1018">if(B1018="Tidak Ada",,if(isblank(B1018),,ifna(sumif('On Hand'!A:A,A1018,'On Hand'!D:D)&amp;" "&amp;_xlfn.xlookup(A1018,'All Item Code'!A:A,'All Item Code'!D:D,),0)))</f>
        <v/>
      </c>
      <c r="D1018" s="3" t="str">
        <f>IFERROR(__xludf.DUMMYFUNCTION("if(isblank(B1018),,ifna(textjoin(""; "",,filter('On Hand'!E:E,'On Hand'!A:A=A1018)),ifna(xlookup(A1018,'On Hand'!A:A,'On Hand'!E:E,),)))"),"")</f>
        <v/>
      </c>
    </row>
    <row r="1019">
      <c r="A1019" s="3" t="str">
        <f t="array" ref="A1019">ifna(_xlfn.xlookup(B1019,'All Item Code'!B:B,'All Item Code'!A:A,),)</f>
        <v/>
      </c>
      <c r="B1019" s="3"/>
      <c r="C1019" s="3" t="str">
        <f t="array" ref="C1019">if(B1019="Tidak Ada",,if(isblank(B1019),,ifna(sumif('On Hand'!A:A,A1019,'On Hand'!D:D)&amp;" "&amp;_xlfn.xlookup(A1019,'All Item Code'!A:A,'All Item Code'!D:D,),0)))</f>
        <v/>
      </c>
      <c r="D1019" s="3" t="str">
        <f>IFERROR(__xludf.DUMMYFUNCTION("if(isblank(B1019),,ifna(textjoin(""; "",,filter('On Hand'!E:E,'On Hand'!A:A=A1019)),ifna(xlookup(A1019,'On Hand'!A:A,'On Hand'!E:E,),)))"),"")</f>
        <v/>
      </c>
    </row>
    <row r="1020">
      <c r="A1020" s="3" t="str">
        <f t="array" ref="A1020">ifna(_xlfn.xlookup(B1020,'All Item Code'!B:B,'All Item Code'!A:A,),)</f>
        <v/>
      </c>
      <c r="B1020" s="3"/>
      <c r="C1020" s="3" t="str">
        <f t="array" ref="C1020">if(B1020="Tidak Ada",,if(isblank(B1020),,ifna(sumif('On Hand'!A:A,A1020,'On Hand'!D:D)&amp;" "&amp;_xlfn.xlookup(A1020,'All Item Code'!A:A,'All Item Code'!D:D,),0)))</f>
        <v/>
      </c>
      <c r="D1020" s="3" t="str">
        <f>IFERROR(__xludf.DUMMYFUNCTION("if(isblank(B1020),,ifna(textjoin(""; "",,filter('On Hand'!E:E,'On Hand'!A:A=A1020)),ifna(xlookup(A1020,'On Hand'!A:A,'On Hand'!E:E,),)))"),"")</f>
        <v/>
      </c>
    </row>
    <row r="1021">
      <c r="A1021" s="3" t="str">
        <f t="array" ref="A1021">ifna(_xlfn.xlookup(B1021,'All Item Code'!B:B,'All Item Code'!A:A,),)</f>
        <v/>
      </c>
      <c r="B1021" s="3"/>
      <c r="C1021" s="3" t="str">
        <f t="array" ref="C1021">if(B1021="Tidak Ada",,if(isblank(B1021),,ifna(sumif('On Hand'!A:A,A1021,'On Hand'!D:D)&amp;" "&amp;_xlfn.xlookup(A1021,'All Item Code'!A:A,'All Item Code'!D:D,),0)))</f>
        <v/>
      </c>
      <c r="D1021" s="3" t="str">
        <f>IFERROR(__xludf.DUMMYFUNCTION("if(isblank(B1021),,ifna(textjoin(""; "",,filter('On Hand'!E:E,'On Hand'!A:A=A1021)),ifna(xlookup(A1021,'On Hand'!A:A,'On Hand'!E:E,),)))"),"")</f>
        <v/>
      </c>
    </row>
    <row r="1022">
      <c r="A1022" s="3" t="str">
        <f t="array" ref="A1022">ifna(_xlfn.xlookup(B1022,'All Item Code'!B:B,'All Item Code'!A:A,),)</f>
        <v/>
      </c>
      <c r="B1022" s="3"/>
      <c r="C1022" s="3" t="str">
        <f t="array" ref="C1022">if(B1022="Tidak Ada",,if(isblank(B1022),,ifna(sumif('On Hand'!A:A,A1022,'On Hand'!D:D)&amp;" "&amp;_xlfn.xlookup(A1022,'All Item Code'!A:A,'All Item Code'!D:D,),0)))</f>
        <v/>
      </c>
      <c r="D1022" s="3" t="str">
        <f>IFERROR(__xludf.DUMMYFUNCTION("if(isblank(B1022),,ifna(textjoin(""; "",,filter('On Hand'!E:E,'On Hand'!A:A=A1022)),ifna(xlookup(A1022,'On Hand'!A:A,'On Hand'!E:E,),)))"),"")</f>
        <v/>
      </c>
    </row>
    <row r="1023">
      <c r="A1023" s="3" t="str">
        <f t="array" ref="A1023">ifna(_xlfn.xlookup(B1023,'All Item Code'!B:B,'All Item Code'!A:A,),)</f>
        <v/>
      </c>
      <c r="B1023" s="3"/>
      <c r="C1023" s="3" t="str">
        <f t="array" ref="C1023">if(B1023="Tidak Ada",,if(isblank(B1023),,ifna(sumif('On Hand'!A:A,A1023,'On Hand'!D:D)&amp;" "&amp;_xlfn.xlookup(A1023,'All Item Code'!A:A,'All Item Code'!D:D,),0)))</f>
        <v/>
      </c>
      <c r="D1023" s="3" t="str">
        <f>IFERROR(__xludf.DUMMYFUNCTION("if(isblank(B1023),,ifna(textjoin(""; "",,filter('On Hand'!E:E,'On Hand'!A:A=A1023)),ifna(xlookup(A1023,'On Hand'!A:A,'On Hand'!E:E,),)))"),"")</f>
        <v/>
      </c>
    </row>
    <row r="1024">
      <c r="A1024" s="3" t="str">
        <f t="array" ref="A1024">ifna(_xlfn.xlookup(B1024,'All Item Code'!B:B,'All Item Code'!A:A,),)</f>
        <v/>
      </c>
      <c r="B1024" s="3"/>
      <c r="C1024" s="3" t="str">
        <f t="array" ref="C1024">if(B1024="Tidak Ada",,if(isblank(B1024),,ifna(sumif('On Hand'!A:A,A1024,'On Hand'!D:D)&amp;" "&amp;_xlfn.xlookup(A1024,'All Item Code'!A:A,'All Item Code'!D:D,),0)))</f>
        <v/>
      </c>
      <c r="D1024" s="3" t="str">
        <f>IFERROR(__xludf.DUMMYFUNCTION("if(isblank(B1024),,ifna(textjoin(""; "",,filter('On Hand'!E:E,'On Hand'!A:A=A1024)),ifna(xlookup(A1024,'On Hand'!A:A,'On Hand'!E:E,),)))"),"")</f>
        <v/>
      </c>
    </row>
    <row r="1025">
      <c r="A1025" s="3" t="str">
        <f t="array" ref="A1025">ifna(_xlfn.xlookup(B1025,'All Item Code'!B:B,'All Item Code'!A:A,),)</f>
        <v/>
      </c>
      <c r="B1025" s="3"/>
      <c r="C1025" s="3" t="str">
        <f t="array" ref="C1025">if(B1025="Tidak Ada",,if(isblank(B1025),,ifna(sumif('On Hand'!A:A,A1025,'On Hand'!D:D)&amp;" "&amp;_xlfn.xlookup(A1025,'All Item Code'!A:A,'All Item Code'!D:D,),0)))</f>
        <v/>
      </c>
      <c r="D1025" s="3" t="str">
        <f>IFERROR(__xludf.DUMMYFUNCTION("if(isblank(B1025),,ifna(textjoin(""; "",,filter('On Hand'!E:E,'On Hand'!A:A=A1025)),ifna(xlookup(A1025,'On Hand'!A:A,'On Hand'!E:E,),)))"),"")</f>
        <v/>
      </c>
    </row>
    <row r="1026">
      <c r="A1026" s="3" t="str">
        <f t="array" ref="A1026">ifna(_xlfn.xlookup(B1026,'All Item Code'!B:B,'All Item Code'!A:A,),)</f>
        <v/>
      </c>
      <c r="B1026" s="3"/>
      <c r="C1026" s="3" t="str">
        <f t="array" ref="C1026">if(B1026="Tidak Ada",,if(isblank(B1026),,ifna(sumif('On Hand'!A:A,A1026,'On Hand'!D:D)&amp;" "&amp;_xlfn.xlookup(A1026,'All Item Code'!A:A,'All Item Code'!D:D,),0)))</f>
        <v/>
      </c>
      <c r="D1026" s="3" t="str">
        <f>IFERROR(__xludf.DUMMYFUNCTION("if(isblank(B1026),,ifna(textjoin(""; "",,filter('On Hand'!E:E,'On Hand'!A:A=A1026)),ifna(xlookup(A1026,'On Hand'!A:A,'On Hand'!E:E,),)))"),"")</f>
        <v/>
      </c>
    </row>
    <row r="1027">
      <c r="A1027" s="3" t="str">
        <f t="array" ref="A1027">ifna(_xlfn.xlookup(B1027,'All Item Code'!B:B,'All Item Code'!A:A,),)</f>
        <v/>
      </c>
      <c r="B1027" s="3"/>
      <c r="C1027" s="3" t="str">
        <f t="array" ref="C1027">if(B1027="Tidak Ada",,if(isblank(B1027),,ifna(sumif('On Hand'!A:A,A1027,'On Hand'!D:D)&amp;" "&amp;_xlfn.xlookup(A1027,'All Item Code'!A:A,'All Item Code'!D:D,),0)))</f>
        <v/>
      </c>
      <c r="D1027" s="3" t="str">
        <f>IFERROR(__xludf.DUMMYFUNCTION("if(isblank(B1027),,ifna(textjoin(""; "",,filter('On Hand'!E:E,'On Hand'!A:A=A1027)),ifna(xlookup(A1027,'On Hand'!A:A,'On Hand'!E:E,),)))"),"")</f>
        <v/>
      </c>
    </row>
    <row r="1028">
      <c r="A1028" s="3" t="str">
        <f t="array" ref="A1028">ifna(_xlfn.xlookup(B1028,'All Item Code'!B:B,'All Item Code'!A:A,),)</f>
        <v/>
      </c>
      <c r="B1028" s="3"/>
      <c r="C1028" s="3" t="str">
        <f t="array" ref="C1028">if(B1028="Tidak Ada",,if(isblank(B1028),,ifna(sumif('On Hand'!A:A,A1028,'On Hand'!D:D)&amp;" "&amp;_xlfn.xlookup(A1028,'All Item Code'!A:A,'All Item Code'!D:D,),0)))</f>
        <v/>
      </c>
      <c r="D1028" s="3" t="str">
        <f>IFERROR(__xludf.DUMMYFUNCTION("if(isblank(B1028),,ifna(textjoin(""; "",,filter('On Hand'!E:E,'On Hand'!A:A=A1028)),ifna(xlookup(A1028,'On Hand'!A:A,'On Hand'!E:E,),)))"),"")</f>
        <v/>
      </c>
    </row>
    <row r="1029">
      <c r="A1029" s="3" t="str">
        <f t="array" ref="A1029">ifna(_xlfn.xlookup(B1029,'All Item Code'!B:B,'All Item Code'!A:A,),)</f>
        <v/>
      </c>
      <c r="B1029" s="3"/>
      <c r="C1029" s="3" t="str">
        <f t="array" ref="C1029">if(B1029="Tidak Ada",,if(isblank(B1029),,ifna(sumif('On Hand'!A:A,A1029,'On Hand'!D:D)&amp;" "&amp;_xlfn.xlookup(A1029,'All Item Code'!A:A,'All Item Code'!D:D,),0)))</f>
        <v/>
      </c>
      <c r="D1029" s="3" t="str">
        <f>IFERROR(__xludf.DUMMYFUNCTION("if(isblank(B1029),,ifna(textjoin(""; "",,filter('On Hand'!E:E,'On Hand'!A:A=A1029)),ifna(xlookup(A1029,'On Hand'!A:A,'On Hand'!E:E,),)))"),"")</f>
        <v/>
      </c>
    </row>
    <row r="1030">
      <c r="A1030" s="3" t="str">
        <f t="array" ref="A1030">ifna(_xlfn.xlookup(B1030,'All Item Code'!B:B,'All Item Code'!A:A,),)</f>
        <v/>
      </c>
      <c r="B1030" s="3"/>
      <c r="C1030" s="3" t="str">
        <f t="array" ref="C1030">if(B1030="Tidak Ada",,if(isblank(B1030),,ifna(sumif('On Hand'!A:A,A1030,'On Hand'!D:D)&amp;" "&amp;_xlfn.xlookup(A1030,'All Item Code'!A:A,'All Item Code'!D:D,),0)))</f>
        <v/>
      </c>
      <c r="D1030" s="3" t="str">
        <f>IFERROR(__xludf.DUMMYFUNCTION("if(isblank(B1030),,ifna(textjoin(""; "",,filter('On Hand'!E:E,'On Hand'!A:A=A1030)),ifna(xlookup(A1030,'On Hand'!A:A,'On Hand'!E:E,),)))"),"")</f>
        <v/>
      </c>
    </row>
    <row r="1031">
      <c r="A1031" s="3" t="str">
        <f t="array" ref="A1031">ifna(_xlfn.xlookup(B1031,'All Item Code'!B:B,'All Item Code'!A:A,),)</f>
        <v/>
      </c>
      <c r="B1031" s="3"/>
      <c r="C1031" s="3" t="str">
        <f t="array" ref="C1031">if(B1031="Tidak Ada",,if(isblank(B1031),,ifna(sumif('On Hand'!A:A,A1031,'On Hand'!D:D)&amp;" "&amp;_xlfn.xlookup(A1031,'All Item Code'!A:A,'All Item Code'!D:D,),0)))</f>
        <v/>
      </c>
      <c r="D1031" s="3" t="str">
        <f>IFERROR(__xludf.DUMMYFUNCTION("if(isblank(B1031),,ifna(textjoin(""; "",,filter('On Hand'!E:E,'On Hand'!A:A=A1031)),ifna(xlookup(A1031,'On Hand'!A:A,'On Hand'!E:E,),)))"),"")</f>
        <v/>
      </c>
    </row>
    <row r="1032">
      <c r="A1032" s="3" t="str">
        <f t="array" ref="A1032">ifna(_xlfn.xlookup(B1032,'All Item Code'!B:B,'All Item Code'!A:A,),)</f>
        <v/>
      </c>
      <c r="B1032" s="3"/>
      <c r="C1032" s="3" t="str">
        <f t="array" ref="C1032">if(B1032="Tidak Ada",,if(isblank(B1032),,ifna(sumif('On Hand'!A:A,A1032,'On Hand'!D:D)&amp;" "&amp;_xlfn.xlookup(A1032,'All Item Code'!A:A,'All Item Code'!D:D,),0)))</f>
        <v/>
      </c>
      <c r="D1032" s="3" t="str">
        <f>IFERROR(__xludf.DUMMYFUNCTION("if(isblank(B1032),,ifna(textjoin(""; "",,filter('On Hand'!E:E,'On Hand'!A:A=A1032)),ifna(xlookup(A1032,'On Hand'!A:A,'On Hand'!E:E,),)))"),"")</f>
        <v/>
      </c>
    </row>
    <row r="1033">
      <c r="A1033" s="3" t="str">
        <f t="array" ref="A1033">ifna(_xlfn.xlookup(B1033,'All Item Code'!B:B,'All Item Code'!A:A,),)</f>
        <v/>
      </c>
      <c r="B1033" s="3"/>
      <c r="C1033" s="3" t="str">
        <f t="array" ref="C1033">if(B1033="Tidak Ada",,if(isblank(B1033),,ifna(sumif('On Hand'!A:A,A1033,'On Hand'!D:D)&amp;" "&amp;_xlfn.xlookup(A1033,'All Item Code'!A:A,'All Item Code'!D:D,),0)))</f>
        <v/>
      </c>
      <c r="D1033" s="3" t="str">
        <f>IFERROR(__xludf.DUMMYFUNCTION("if(isblank(B1033),,ifna(textjoin(""; "",,filter('On Hand'!E:E,'On Hand'!A:A=A1033)),ifna(xlookup(A1033,'On Hand'!A:A,'On Hand'!E:E,),)))"),"")</f>
        <v/>
      </c>
    </row>
    <row r="1034">
      <c r="A1034" s="3" t="str">
        <f t="array" ref="A1034">ifna(_xlfn.xlookup(B1034,'All Item Code'!B:B,'All Item Code'!A:A,),)</f>
        <v/>
      </c>
      <c r="B1034" s="3"/>
      <c r="C1034" s="3" t="str">
        <f t="array" ref="C1034">if(B1034="Tidak Ada",,if(isblank(B1034),,ifna(sumif('On Hand'!A:A,A1034,'On Hand'!D:D)&amp;" "&amp;_xlfn.xlookup(A1034,'All Item Code'!A:A,'All Item Code'!D:D,),0)))</f>
        <v/>
      </c>
      <c r="D1034" s="3" t="str">
        <f>IFERROR(__xludf.DUMMYFUNCTION("if(isblank(B1034),,ifna(textjoin(""; "",,filter('On Hand'!E:E,'On Hand'!A:A=A1034)),ifna(xlookup(A1034,'On Hand'!A:A,'On Hand'!E:E,),)))"),"")</f>
        <v/>
      </c>
    </row>
    <row r="1035">
      <c r="A1035" s="3" t="str">
        <f t="array" ref="A1035">ifna(_xlfn.xlookup(B1035,'All Item Code'!B:B,'All Item Code'!A:A,),)</f>
        <v/>
      </c>
      <c r="B1035" s="3"/>
      <c r="C1035" s="3" t="str">
        <f t="array" ref="C1035">if(B1035="Tidak Ada",,if(isblank(B1035),,ifna(sumif('On Hand'!A:A,A1035,'On Hand'!D:D)&amp;" "&amp;_xlfn.xlookup(A1035,'All Item Code'!A:A,'All Item Code'!D:D,),0)))</f>
        <v/>
      </c>
      <c r="D1035" s="3" t="str">
        <f>IFERROR(__xludf.DUMMYFUNCTION("if(isblank(B1035),,ifna(textjoin(""; "",,filter('On Hand'!E:E,'On Hand'!A:A=A1035)),ifna(xlookup(A1035,'On Hand'!A:A,'On Hand'!E:E,),)))"),"")</f>
        <v/>
      </c>
    </row>
    <row r="1036">
      <c r="A1036" s="3" t="str">
        <f t="array" ref="A1036">ifna(_xlfn.xlookup(B1036,'All Item Code'!B:B,'All Item Code'!A:A,),)</f>
        <v/>
      </c>
      <c r="B1036" s="3"/>
      <c r="C1036" s="3" t="str">
        <f t="array" ref="C1036">if(B1036="Tidak Ada",,if(isblank(B1036),,ifna(sumif('On Hand'!A:A,A1036,'On Hand'!D:D)&amp;" "&amp;_xlfn.xlookup(A1036,'All Item Code'!A:A,'All Item Code'!D:D,),0)))</f>
        <v/>
      </c>
      <c r="D1036" s="3" t="str">
        <f>IFERROR(__xludf.DUMMYFUNCTION("if(isblank(B1036),,ifna(textjoin(""; "",,filter('On Hand'!E:E,'On Hand'!A:A=A1036)),ifna(xlookup(A1036,'On Hand'!A:A,'On Hand'!E:E,),)))"),"")</f>
        <v/>
      </c>
    </row>
    <row r="1037">
      <c r="A1037" s="3" t="str">
        <f t="array" ref="A1037">ifna(_xlfn.xlookup(B1037,'All Item Code'!B:B,'All Item Code'!A:A,),)</f>
        <v/>
      </c>
      <c r="B1037" s="3"/>
      <c r="C1037" s="3" t="str">
        <f t="array" ref="C1037">if(B1037="Tidak Ada",,if(isblank(B1037),,ifna(sumif('On Hand'!A:A,A1037,'On Hand'!D:D)&amp;" "&amp;_xlfn.xlookup(A1037,'All Item Code'!A:A,'All Item Code'!D:D,),0)))</f>
        <v/>
      </c>
      <c r="D1037" s="3" t="str">
        <f>IFERROR(__xludf.DUMMYFUNCTION("if(isblank(B1037),,ifna(textjoin(""; "",,filter('On Hand'!E:E,'On Hand'!A:A=A1037)),ifna(xlookup(A1037,'On Hand'!A:A,'On Hand'!E:E,),)))"),"")</f>
        <v/>
      </c>
    </row>
    <row r="1038">
      <c r="A1038" s="3" t="str">
        <f t="array" ref="A1038">ifna(_xlfn.xlookup(B1038,'All Item Code'!B:B,'All Item Code'!A:A,),)</f>
        <v/>
      </c>
      <c r="B1038" s="3"/>
      <c r="C1038" s="3" t="str">
        <f t="array" ref="C1038">if(B1038="Tidak Ada",,if(isblank(B1038),,ifna(sumif('On Hand'!A:A,A1038,'On Hand'!D:D)&amp;" "&amp;_xlfn.xlookup(A1038,'All Item Code'!A:A,'All Item Code'!D:D,),0)))</f>
        <v/>
      </c>
      <c r="D1038" s="3" t="str">
        <f>IFERROR(__xludf.DUMMYFUNCTION("if(isblank(B1038),,ifna(textjoin(""; "",,filter('On Hand'!E:E,'On Hand'!A:A=A1038)),ifna(xlookup(A1038,'On Hand'!A:A,'On Hand'!E:E,),)))"),"")</f>
        <v/>
      </c>
    </row>
    <row r="1039">
      <c r="A1039" s="3" t="str">
        <f t="array" ref="A1039">ifna(_xlfn.xlookup(B1039,'All Item Code'!B:B,'All Item Code'!A:A,),)</f>
        <v/>
      </c>
      <c r="B1039" s="3"/>
      <c r="C1039" s="3" t="str">
        <f t="array" ref="C1039">if(B1039="Tidak Ada",,if(isblank(B1039),,ifna(sumif('On Hand'!A:A,A1039,'On Hand'!D:D)&amp;" "&amp;_xlfn.xlookup(A1039,'All Item Code'!A:A,'All Item Code'!D:D,),0)))</f>
        <v/>
      </c>
      <c r="D1039" s="3" t="str">
        <f>IFERROR(__xludf.DUMMYFUNCTION("if(isblank(B1039),,ifna(textjoin(""; "",,filter('On Hand'!E:E,'On Hand'!A:A=A1039)),ifna(xlookup(A1039,'On Hand'!A:A,'On Hand'!E:E,),)))"),"")</f>
        <v/>
      </c>
    </row>
    <row r="1040">
      <c r="A1040" s="3" t="str">
        <f t="array" ref="A1040">ifna(_xlfn.xlookup(B1040,'All Item Code'!B:B,'All Item Code'!A:A,),)</f>
        <v/>
      </c>
      <c r="B1040" s="3"/>
      <c r="C1040" s="3" t="str">
        <f t="array" ref="C1040">if(B1040="Tidak Ada",,if(isblank(B1040),,ifna(sumif('On Hand'!A:A,A1040,'On Hand'!D:D)&amp;" "&amp;_xlfn.xlookup(A1040,'All Item Code'!A:A,'All Item Code'!D:D,),0)))</f>
        <v/>
      </c>
      <c r="D1040" s="3" t="str">
        <f>IFERROR(__xludf.DUMMYFUNCTION("if(isblank(B1040),,ifna(textjoin(""; "",,filter('On Hand'!E:E,'On Hand'!A:A=A1040)),ifna(xlookup(A1040,'On Hand'!A:A,'On Hand'!E:E,),)))"),"")</f>
        <v/>
      </c>
    </row>
    <row r="1041">
      <c r="A1041" s="3" t="str">
        <f t="array" ref="A1041">ifna(_xlfn.xlookup(B1041,'All Item Code'!B:B,'All Item Code'!A:A,),)</f>
        <v/>
      </c>
      <c r="B1041" s="3"/>
      <c r="C1041" s="3" t="str">
        <f t="array" ref="C1041">if(B1041="Tidak Ada",,if(isblank(B1041),,ifna(sumif('On Hand'!A:A,A1041,'On Hand'!D:D)&amp;" "&amp;_xlfn.xlookup(A1041,'All Item Code'!A:A,'All Item Code'!D:D,),0)))</f>
        <v/>
      </c>
      <c r="D1041" s="3" t="str">
        <f>IFERROR(__xludf.DUMMYFUNCTION("if(isblank(B1041),,ifna(textjoin(""; "",,filter('On Hand'!E:E,'On Hand'!A:A=A1041)),ifna(xlookup(A1041,'On Hand'!A:A,'On Hand'!E:E,),)))"),"")</f>
        <v/>
      </c>
    </row>
    <row r="1042">
      <c r="A1042" s="3" t="str">
        <f t="array" ref="A1042">ifna(_xlfn.xlookup(B1042,'All Item Code'!B:B,'All Item Code'!A:A,),)</f>
        <v/>
      </c>
      <c r="B1042" s="3"/>
      <c r="C1042" s="3" t="str">
        <f t="array" ref="C1042">if(B1042="Tidak Ada",,if(isblank(B1042),,ifna(sumif('On Hand'!A:A,A1042,'On Hand'!D:D)&amp;" "&amp;_xlfn.xlookup(A1042,'All Item Code'!A:A,'All Item Code'!D:D,),0)))</f>
        <v/>
      </c>
      <c r="D1042" s="3" t="str">
        <f>IFERROR(__xludf.DUMMYFUNCTION("if(isblank(B1042),,ifna(textjoin(""; "",,filter('On Hand'!E:E,'On Hand'!A:A=A1042)),ifna(xlookup(A1042,'On Hand'!A:A,'On Hand'!E:E,),)))"),"")</f>
        <v/>
      </c>
    </row>
    <row r="1043">
      <c r="A1043" s="3" t="str">
        <f t="array" ref="A1043">ifna(_xlfn.xlookup(B1043,'All Item Code'!B:B,'All Item Code'!A:A,),)</f>
        <v/>
      </c>
      <c r="B1043" s="3"/>
      <c r="C1043" s="3" t="str">
        <f t="array" ref="C1043">if(B1043="Tidak Ada",,if(isblank(B1043),,ifna(sumif('On Hand'!A:A,A1043,'On Hand'!D:D)&amp;" "&amp;_xlfn.xlookup(A1043,'All Item Code'!A:A,'All Item Code'!D:D,),0)))</f>
        <v/>
      </c>
      <c r="D1043" s="3" t="str">
        <f>IFERROR(__xludf.DUMMYFUNCTION("if(isblank(B1043),,ifna(textjoin(""; "",,filter('On Hand'!E:E,'On Hand'!A:A=A1043)),ifna(xlookup(A1043,'On Hand'!A:A,'On Hand'!E:E,),)))"),"")</f>
        <v/>
      </c>
    </row>
    <row r="1044">
      <c r="A1044" s="3" t="str">
        <f t="array" ref="A1044">ifna(_xlfn.xlookup(B1044,'All Item Code'!B:B,'All Item Code'!A:A,),)</f>
        <v/>
      </c>
      <c r="B1044" s="3"/>
      <c r="C1044" s="3" t="str">
        <f t="array" ref="C1044">if(B1044="Tidak Ada",,if(isblank(B1044),,ifna(sumif('On Hand'!A:A,A1044,'On Hand'!D:D)&amp;" "&amp;_xlfn.xlookup(A1044,'All Item Code'!A:A,'All Item Code'!D:D,),0)))</f>
        <v/>
      </c>
      <c r="D1044" s="3" t="str">
        <f>IFERROR(__xludf.DUMMYFUNCTION("if(isblank(B1044),,ifna(textjoin(""; "",,filter('On Hand'!E:E,'On Hand'!A:A=A1044)),ifna(xlookup(A1044,'On Hand'!A:A,'On Hand'!E:E,),)))"),"")</f>
        <v/>
      </c>
    </row>
    <row r="1045">
      <c r="A1045" s="3" t="str">
        <f t="array" ref="A1045">ifna(_xlfn.xlookup(B1045,'All Item Code'!B:B,'All Item Code'!A:A,),)</f>
        <v/>
      </c>
      <c r="B1045" s="3"/>
      <c r="C1045" s="3" t="str">
        <f t="array" ref="C1045">if(B1045="Tidak Ada",,if(isblank(B1045),,ifna(sumif('On Hand'!A:A,A1045,'On Hand'!D:D)&amp;" "&amp;_xlfn.xlookup(A1045,'All Item Code'!A:A,'All Item Code'!D:D,),0)))</f>
        <v/>
      </c>
      <c r="D1045" s="3" t="str">
        <f>IFERROR(__xludf.DUMMYFUNCTION("if(isblank(B1045),,ifna(textjoin(""; "",,filter('On Hand'!E:E,'On Hand'!A:A=A1045)),ifna(xlookup(A1045,'On Hand'!A:A,'On Hand'!E:E,),)))"),"")</f>
        <v/>
      </c>
    </row>
    <row r="1046">
      <c r="A1046" s="3" t="str">
        <f t="array" ref="A1046">ifna(_xlfn.xlookup(B1046,'All Item Code'!B:B,'All Item Code'!A:A,),)</f>
        <v/>
      </c>
      <c r="B1046" s="3"/>
      <c r="C1046" s="3" t="str">
        <f t="array" ref="C1046">if(B1046="Tidak Ada",,if(isblank(B1046),,ifna(sumif('On Hand'!A:A,A1046,'On Hand'!D:D)&amp;" "&amp;_xlfn.xlookup(A1046,'All Item Code'!A:A,'All Item Code'!D:D,),0)))</f>
        <v/>
      </c>
      <c r="D1046" s="3" t="str">
        <f>IFERROR(__xludf.DUMMYFUNCTION("if(isblank(B1046),,ifna(textjoin(""; "",,filter('On Hand'!E:E,'On Hand'!A:A=A1046)),ifna(xlookup(A1046,'On Hand'!A:A,'On Hand'!E:E,),)))"),"")</f>
        <v/>
      </c>
    </row>
    <row r="1047">
      <c r="A1047" s="3" t="str">
        <f t="array" ref="A1047">ifna(_xlfn.xlookup(B1047,'All Item Code'!B:B,'All Item Code'!A:A,),)</f>
        <v/>
      </c>
      <c r="B1047" s="3"/>
      <c r="C1047" s="3" t="str">
        <f t="array" ref="C1047">if(B1047="Tidak Ada",,if(isblank(B1047),,ifna(sumif('On Hand'!A:A,A1047,'On Hand'!D:D)&amp;" "&amp;_xlfn.xlookup(A1047,'All Item Code'!A:A,'All Item Code'!D:D,),0)))</f>
        <v/>
      </c>
      <c r="D1047" s="3" t="str">
        <f>IFERROR(__xludf.DUMMYFUNCTION("if(isblank(B1047),,ifna(textjoin(""; "",,filter('On Hand'!E:E,'On Hand'!A:A=A1047)),ifna(xlookup(A1047,'On Hand'!A:A,'On Hand'!E:E,),)))"),"")</f>
        <v/>
      </c>
    </row>
    <row r="1048">
      <c r="A1048" s="3" t="str">
        <f t="array" ref="A1048">ifna(_xlfn.xlookup(B1048,'All Item Code'!B:B,'All Item Code'!A:A,),)</f>
        <v/>
      </c>
      <c r="B1048" s="3"/>
      <c r="C1048" s="3" t="str">
        <f t="array" ref="C1048">if(B1048="Tidak Ada",,if(isblank(B1048),,ifna(sumif('On Hand'!A:A,A1048,'On Hand'!D:D)&amp;" "&amp;_xlfn.xlookup(A1048,'All Item Code'!A:A,'All Item Code'!D:D,),0)))</f>
        <v/>
      </c>
      <c r="D1048" s="3" t="str">
        <f>IFERROR(__xludf.DUMMYFUNCTION("if(isblank(B1048),,ifna(textjoin(""; "",,filter('On Hand'!E:E,'On Hand'!A:A=A1048)),ifna(xlookup(A1048,'On Hand'!A:A,'On Hand'!E:E,),)))"),"")</f>
        <v/>
      </c>
    </row>
    <row r="1049">
      <c r="A1049" s="3" t="str">
        <f t="array" ref="A1049">ifna(_xlfn.xlookup(B1049,'All Item Code'!B:B,'All Item Code'!A:A,),)</f>
        <v/>
      </c>
      <c r="B1049" s="3"/>
      <c r="C1049" s="3" t="str">
        <f t="array" ref="C1049">if(B1049="Tidak Ada",,if(isblank(B1049),,ifna(sumif('On Hand'!A:A,A1049,'On Hand'!D:D)&amp;" "&amp;_xlfn.xlookup(A1049,'All Item Code'!A:A,'All Item Code'!D:D,),0)))</f>
        <v/>
      </c>
      <c r="D1049" s="3" t="str">
        <f>IFERROR(__xludf.DUMMYFUNCTION("if(isblank(B1049),,ifna(textjoin(""; "",,filter('On Hand'!E:E,'On Hand'!A:A=A1049)),ifna(xlookup(A1049,'On Hand'!A:A,'On Hand'!E:E,),)))"),"")</f>
        <v/>
      </c>
    </row>
    <row r="1050">
      <c r="A1050" s="3" t="str">
        <f t="array" ref="A1050">ifna(_xlfn.xlookup(B1050,'All Item Code'!B:B,'All Item Code'!A:A,),)</f>
        <v/>
      </c>
      <c r="B1050" s="3"/>
      <c r="C1050" s="3" t="str">
        <f t="array" ref="C1050">if(B1050="Tidak Ada",,if(isblank(B1050),,ifna(sumif('On Hand'!A:A,A1050,'On Hand'!D:D)&amp;" "&amp;_xlfn.xlookup(A1050,'All Item Code'!A:A,'All Item Code'!D:D,),0)))</f>
        <v/>
      </c>
      <c r="D1050" s="3" t="str">
        <f>IFERROR(__xludf.DUMMYFUNCTION("if(isblank(B1050),,ifna(textjoin(""; "",,filter('On Hand'!E:E,'On Hand'!A:A=A1050)),ifna(xlookup(A1050,'On Hand'!A:A,'On Hand'!E:E,),)))"),"")</f>
        <v/>
      </c>
    </row>
    <row r="1051">
      <c r="A1051" s="3" t="str">
        <f t="array" ref="A1051">ifna(_xlfn.xlookup(B1051,'All Item Code'!B:B,'All Item Code'!A:A,),)</f>
        <v/>
      </c>
      <c r="B1051" s="3"/>
      <c r="C1051" s="3" t="str">
        <f t="array" ref="C1051">if(B1051="Tidak Ada",,if(isblank(B1051),,ifna(sumif('On Hand'!A:A,A1051,'On Hand'!D:D)&amp;" "&amp;_xlfn.xlookup(A1051,'All Item Code'!A:A,'All Item Code'!D:D,),0)))</f>
        <v/>
      </c>
      <c r="D1051" s="3" t="str">
        <f>IFERROR(__xludf.DUMMYFUNCTION("if(isblank(B1051),,ifna(textjoin(""; "",,filter('On Hand'!E:E,'On Hand'!A:A=A1051)),ifna(xlookup(A1051,'On Hand'!A:A,'On Hand'!E:E,),)))"),"")</f>
        <v/>
      </c>
    </row>
    <row r="1052">
      <c r="A1052" s="3" t="str">
        <f t="array" ref="A1052">ifna(_xlfn.xlookup(B1052,'All Item Code'!B:B,'All Item Code'!A:A,),)</f>
        <v/>
      </c>
      <c r="B1052" s="3"/>
      <c r="C1052" s="3" t="str">
        <f t="array" ref="C1052">if(B1052="Tidak Ada",,if(isblank(B1052),,ifna(sumif('On Hand'!A:A,A1052,'On Hand'!D:D)&amp;" "&amp;_xlfn.xlookup(A1052,'All Item Code'!A:A,'All Item Code'!D:D,),0)))</f>
        <v/>
      </c>
      <c r="D1052" s="3" t="str">
        <f>IFERROR(__xludf.DUMMYFUNCTION("if(isblank(B1052),,ifna(textjoin(""; "",,filter('On Hand'!E:E,'On Hand'!A:A=A1052)),ifna(xlookup(A1052,'On Hand'!A:A,'On Hand'!E:E,),)))"),"")</f>
        <v/>
      </c>
    </row>
    <row r="1053">
      <c r="A1053" s="3" t="str">
        <f t="array" ref="A1053">ifna(_xlfn.xlookup(B1053,'All Item Code'!B:B,'All Item Code'!A:A,),)</f>
        <v/>
      </c>
      <c r="B1053" s="3"/>
      <c r="C1053" s="3" t="str">
        <f t="array" ref="C1053">if(B1053="Tidak Ada",,if(isblank(B1053),,ifna(sumif('On Hand'!A:A,A1053,'On Hand'!D:D)&amp;" "&amp;_xlfn.xlookup(A1053,'All Item Code'!A:A,'All Item Code'!D:D,),0)))</f>
        <v/>
      </c>
      <c r="D1053" s="3" t="str">
        <f>IFERROR(__xludf.DUMMYFUNCTION("if(isblank(B1053),,ifna(textjoin(""; "",,filter('On Hand'!E:E,'On Hand'!A:A=A1053)),ifna(xlookup(A1053,'On Hand'!A:A,'On Hand'!E:E,),)))"),"")</f>
        <v/>
      </c>
    </row>
    <row r="1054">
      <c r="A1054" s="3" t="str">
        <f t="array" ref="A1054">ifna(_xlfn.xlookup(B1054,'All Item Code'!B:B,'All Item Code'!A:A,),)</f>
        <v/>
      </c>
      <c r="B1054" s="3"/>
      <c r="C1054" s="3" t="str">
        <f t="array" ref="C1054">if(B1054="Tidak Ada",,if(isblank(B1054),,ifna(sumif('On Hand'!A:A,A1054,'On Hand'!D:D)&amp;" "&amp;_xlfn.xlookup(A1054,'All Item Code'!A:A,'All Item Code'!D:D,),0)))</f>
        <v/>
      </c>
      <c r="D1054" s="3" t="str">
        <f>IFERROR(__xludf.DUMMYFUNCTION("if(isblank(B1054),,ifna(textjoin(""; "",,filter('On Hand'!E:E,'On Hand'!A:A=A1054)),ifna(xlookup(A1054,'On Hand'!A:A,'On Hand'!E:E,),)))"),"")</f>
        <v/>
      </c>
    </row>
    <row r="1055">
      <c r="A1055" s="3" t="str">
        <f t="array" ref="A1055">ifna(_xlfn.xlookup(B1055,'All Item Code'!B:B,'All Item Code'!A:A,),)</f>
        <v/>
      </c>
      <c r="B1055" s="3"/>
      <c r="C1055" s="3" t="str">
        <f t="array" ref="C1055">if(B1055="Tidak Ada",,if(isblank(B1055),,ifna(sumif('On Hand'!A:A,A1055,'On Hand'!D:D)&amp;" "&amp;_xlfn.xlookup(A1055,'All Item Code'!A:A,'All Item Code'!D:D,),0)))</f>
        <v/>
      </c>
      <c r="D1055" s="3" t="str">
        <f>IFERROR(__xludf.DUMMYFUNCTION("if(isblank(B1055),,ifna(textjoin(""; "",,filter('On Hand'!E:E,'On Hand'!A:A=A1055)),ifna(xlookup(A1055,'On Hand'!A:A,'On Hand'!E:E,),)))"),"")</f>
        <v/>
      </c>
    </row>
    <row r="1056">
      <c r="A1056" s="3" t="str">
        <f t="array" ref="A1056">ifna(_xlfn.xlookup(B1056,'All Item Code'!B:B,'All Item Code'!A:A,),)</f>
        <v/>
      </c>
      <c r="B1056" s="3"/>
      <c r="C1056" s="3" t="str">
        <f t="array" ref="C1056">if(B1056="Tidak Ada",,if(isblank(B1056),,ifna(sumif('On Hand'!A:A,A1056,'On Hand'!D:D)&amp;" "&amp;_xlfn.xlookup(A1056,'All Item Code'!A:A,'All Item Code'!D:D,),0)))</f>
        <v/>
      </c>
      <c r="D1056" s="3" t="str">
        <f>IFERROR(__xludf.DUMMYFUNCTION("if(isblank(B1056),,ifna(textjoin(""; "",,filter('On Hand'!E:E,'On Hand'!A:A=A1056)),ifna(xlookup(A1056,'On Hand'!A:A,'On Hand'!E:E,),)))"),"")</f>
        <v/>
      </c>
    </row>
    <row r="1057">
      <c r="A1057" s="3" t="str">
        <f t="array" ref="A1057">ifna(_xlfn.xlookup(B1057,'All Item Code'!B:B,'All Item Code'!A:A,),)</f>
        <v/>
      </c>
      <c r="B1057" s="3"/>
      <c r="C1057" s="3" t="str">
        <f t="array" ref="C1057">if(B1057="Tidak Ada",,if(isblank(B1057),,ifna(sumif('On Hand'!A:A,A1057,'On Hand'!D:D)&amp;" "&amp;_xlfn.xlookup(A1057,'All Item Code'!A:A,'All Item Code'!D:D,),0)))</f>
        <v/>
      </c>
      <c r="D1057" s="3" t="str">
        <f>IFERROR(__xludf.DUMMYFUNCTION("if(isblank(B1057),,ifna(textjoin(""; "",,filter('On Hand'!E:E,'On Hand'!A:A=A1057)),ifna(xlookup(A1057,'On Hand'!A:A,'On Hand'!E:E,),)))"),"")</f>
        <v/>
      </c>
    </row>
    <row r="1058">
      <c r="A1058" s="3" t="str">
        <f t="array" ref="A1058">ifna(_xlfn.xlookup(B1058,'All Item Code'!B:B,'All Item Code'!A:A,),)</f>
        <v/>
      </c>
      <c r="B1058" s="3"/>
      <c r="C1058" s="3" t="str">
        <f t="array" ref="C1058">if(B1058="Tidak Ada",,if(isblank(B1058),,ifna(sumif('On Hand'!A:A,A1058,'On Hand'!D:D)&amp;" "&amp;_xlfn.xlookup(A1058,'All Item Code'!A:A,'All Item Code'!D:D,),0)))</f>
        <v/>
      </c>
      <c r="D1058" s="3" t="str">
        <f>IFERROR(__xludf.DUMMYFUNCTION("if(isblank(B1058),,ifna(textjoin(""; "",,filter('On Hand'!E:E,'On Hand'!A:A=A1058)),ifna(xlookup(A1058,'On Hand'!A:A,'On Hand'!E:E,),)))"),"")</f>
        <v/>
      </c>
    </row>
    <row r="1059">
      <c r="A1059" s="3" t="str">
        <f t="array" ref="A1059">ifna(_xlfn.xlookup(B1059,'All Item Code'!B:B,'All Item Code'!A:A,),)</f>
        <v/>
      </c>
      <c r="B1059" s="3"/>
      <c r="C1059" s="3" t="str">
        <f t="array" ref="C1059">if(B1059="Tidak Ada",,if(isblank(B1059),,ifna(sumif('On Hand'!A:A,A1059,'On Hand'!D:D)&amp;" "&amp;_xlfn.xlookup(A1059,'All Item Code'!A:A,'All Item Code'!D:D,),0)))</f>
        <v/>
      </c>
      <c r="D1059" s="3" t="str">
        <f>IFERROR(__xludf.DUMMYFUNCTION("if(isblank(B1059),,ifna(textjoin(""; "",,filter('On Hand'!E:E,'On Hand'!A:A=A1059)),ifna(xlookup(A1059,'On Hand'!A:A,'On Hand'!E:E,),)))"),"")</f>
        <v/>
      </c>
    </row>
    <row r="1060">
      <c r="A1060" s="3" t="str">
        <f t="array" ref="A1060">ifna(_xlfn.xlookup(B1060,'All Item Code'!B:B,'All Item Code'!A:A,),)</f>
        <v/>
      </c>
      <c r="B1060" s="3"/>
      <c r="C1060" s="3" t="str">
        <f t="array" ref="C1060">if(B1060="Tidak Ada",,if(isblank(B1060),,ifna(sumif('On Hand'!A:A,A1060,'On Hand'!D:D)&amp;" "&amp;_xlfn.xlookup(A1060,'All Item Code'!A:A,'All Item Code'!D:D,),0)))</f>
        <v/>
      </c>
      <c r="D1060" s="3" t="str">
        <f>IFERROR(__xludf.DUMMYFUNCTION("if(isblank(B1060),,ifna(textjoin(""; "",,filter('On Hand'!E:E,'On Hand'!A:A=A1060)),ifna(xlookup(A1060,'On Hand'!A:A,'On Hand'!E:E,),)))"),"")</f>
        <v/>
      </c>
    </row>
    <row r="1061">
      <c r="A1061" s="3" t="str">
        <f t="array" ref="A1061">ifna(_xlfn.xlookup(B1061,'All Item Code'!B:B,'All Item Code'!A:A,),)</f>
        <v/>
      </c>
      <c r="B1061" s="3"/>
      <c r="C1061" s="3" t="str">
        <f t="array" ref="C1061">if(B1061="Tidak Ada",,if(isblank(B1061),,ifna(sumif('On Hand'!A:A,A1061,'On Hand'!D:D)&amp;" "&amp;_xlfn.xlookup(A1061,'All Item Code'!A:A,'All Item Code'!D:D,),0)))</f>
        <v/>
      </c>
      <c r="D1061" s="3" t="str">
        <f>IFERROR(__xludf.DUMMYFUNCTION("if(isblank(B1061),,ifna(textjoin(""; "",,filter('On Hand'!E:E,'On Hand'!A:A=A1061)),ifna(xlookup(A1061,'On Hand'!A:A,'On Hand'!E:E,),)))"),"")</f>
        <v/>
      </c>
    </row>
    <row r="1062">
      <c r="A1062" s="3" t="str">
        <f t="array" ref="A1062">ifna(_xlfn.xlookup(B1062,'All Item Code'!B:B,'All Item Code'!A:A,),)</f>
        <v/>
      </c>
      <c r="B1062" s="3"/>
      <c r="C1062" s="3" t="str">
        <f t="array" ref="C1062">if(B1062="Tidak Ada",,if(isblank(B1062),,ifna(sumif('On Hand'!A:A,A1062,'On Hand'!D:D)&amp;" "&amp;_xlfn.xlookup(A1062,'All Item Code'!A:A,'All Item Code'!D:D,),0)))</f>
        <v/>
      </c>
      <c r="D1062" s="3" t="str">
        <f>IFERROR(__xludf.DUMMYFUNCTION("if(isblank(B1062),,ifna(textjoin(""; "",,filter('On Hand'!E:E,'On Hand'!A:A=A1062)),ifna(xlookup(A1062,'On Hand'!A:A,'On Hand'!E:E,),)))"),"")</f>
        <v/>
      </c>
    </row>
    <row r="1063">
      <c r="A1063" s="3" t="str">
        <f t="array" ref="A1063">ifna(_xlfn.xlookup(B1063,'All Item Code'!B:B,'All Item Code'!A:A,),)</f>
        <v/>
      </c>
      <c r="B1063" s="3"/>
      <c r="C1063" s="3" t="str">
        <f t="array" ref="C1063">if(B1063="Tidak Ada",,if(isblank(B1063),,ifna(sumif('On Hand'!A:A,A1063,'On Hand'!D:D)&amp;" "&amp;_xlfn.xlookup(A1063,'All Item Code'!A:A,'All Item Code'!D:D,),0)))</f>
        <v/>
      </c>
      <c r="D1063" s="3" t="str">
        <f>IFERROR(__xludf.DUMMYFUNCTION("if(isblank(B1063),,ifna(textjoin(""; "",,filter('On Hand'!E:E,'On Hand'!A:A=A1063)),ifna(xlookup(A1063,'On Hand'!A:A,'On Hand'!E:E,),)))"),"")</f>
        <v/>
      </c>
    </row>
    <row r="1064">
      <c r="A1064" s="3" t="str">
        <f t="array" ref="A1064">ifna(_xlfn.xlookup(B1064,'All Item Code'!B:B,'All Item Code'!A:A,),)</f>
        <v/>
      </c>
      <c r="B1064" s="3"/>
      <c r="C1064" s="3" t="str">
        <f t="array" ref="C1064">if(B1064="Tidak Ada",,if(isblank(B1064),,ifna(sumif('On Hand'!A:A,A1064,'On Hand'!D:D)&amp;" "&amp;_xlfn.xlookup(A1064,'All Item Code'!A:A,'All Item Code'!D:D,),0)))</f>
        <v/>
      </c>
      <c r="D1064" s="3" t="str">
        <f>IFERROR(__xludf.DUMMYFUNCTION("if(isblank(B1064),,ifna(textjoin(""; "",,filter('On Hand'!E:E,'On Hand'!A:A=A1064)),ifna(xlookup(A1064,'On Hand'!A:A,'On Hand'!E:E,),)))"),"")</f>
        <v/>
      </c>
    </row>
    <row r="1065">
      <c r="A1065" s="3" t="str">
        <f t="array" ref="A1065">ifna(_xlfn.xlookup(B1065,'All Item Code'!B:B,'All Item Code'!A:A,),)</f>
        <v/>
      </c>
      <c r="B1065" s="3"/>
      <c r="C1065" s="3" t="str">
        <f t="array" ref="C1065">if(B1065="Tidak Ada",,if(isblank(B1065),,ifna(sumif('On Hand'!A:A,A1065,'On Hand'!D:D)&amp;" "&amp;_xlfn.xlookup(A1065,'All Item Code'!A:A,'All Item Code'!D:D,),0)))</f>
        <v/>
      </c>
      <c r="D1065" s="3" t="str">
        <f>IFERROR(__xludf.DUMMYFUNCTION("if(isblank(B1065),,ifna(textjoin(""; "",,filter('On Hand'!E:E,'On Hand'!A:A=A1065)),ifna(xlookup(A1065,'On Hand'!A:A,'On Hand'!E:E,),)))"),"")</f>
        <v/>
      </c>
    </row>
    <row r="1066">
      <c r="A1066" s="3" t="str">
        <f t="array" ref="A1066">ifna(_xlfn.xlookup(B1066,'All Item Code'!B:B,'All Item Code'!A:A,),)</f>
        <v/>
      </c>
      <c r="B1066" s="3"/>
      <c r="C1066" s="3" t="str">
        <f t="array" ref="C1066">if(B1066="Tidak Ada",,if(isblank(B1066),,ifna(sumif('On Hand'!A:A,A1066,'On Hand'!D:D)&amp;" "&amp;_xlfn.xlookup(A1066,'All Item Code'!A:A,'All Item Code'!D:D,),0)))</f>
        <v/>
      </c>
      <c r="D1066" s="3" t="str">
        <f>IFERROR(__xludf.DUMMYFUNCTION("if(isblank(B1066),,ifna(textjoin(""; "",,filter('On Hand'!E:E,'On Hand'!A:A=A1066)),ifna(xlookup(A1066,'On Hand'!A:A,'On Hand'!E:E,),)))"),"")</f>
        <v/>
      </c>
    </row>
    <row r="1067">
      <c r="A1067" s="3" t="str">
        <f t="array" ref="A1067">ifna(_xlfn.xlookup(B1067,'All Item Code'!B:B,'All Item Code'!A:A,),)</f>
        <v/>
      </c>
      <c r="B1067" s="3"/>
      <c r="C1067" s="3" t="str">
        <f t="array" ref="C1067">if(B1067="Tidak Ada",,if(isblank(B1067),,ifna(sumif('On Hand'!A:A,A1067,'On Hand'!D:D)&amp;" "&amp;_xlfn.xlookup(A1067,'All Item Code'!A:A,'All Item Code'!D:D,),0)))</f>
        <v/>
      </c>
      <c r="D1067" s="3" t="str">
        <f>IFERROR(__xludf.DUMMYFUNCTION("if(isblank(B1067),,ifna(textjoin(""; "",,filter('On Hand'!E:E,'On Hand'!A:A=A1067)),ifna(xlookup(A1067,'On Hand'!A:A,'On Hand'!E:E,),)))"),"")</f>
        <v/>
      </c>
    </row>
    <row r="1068">
      <c r="A1068" s="3" t="str">
        <f t="array" ref="A1068">ifna(_xlfn.xlookup(B1068,'All Item Code'!B:B,'All Item Code'!A:A,),)</f>
        <v/>
      </c>
      <c r="B1068" s="3"/>
      <c r="C1068" s="3" t="str">
        <f t="array" ref="C1068">if(B1068="Tidak Ada",,if(isblank(B1068),,ifna(sumif('On Hand'!A:A,A1068,'On Hand'!D:D)&amp;" "&amp;_xlfn.xlookup(A1068,'All Item Code'!A:A,'All Item Code'!D:D,),0)))</f>
        <v/>
      </c>
      <c r="D1068" s="3" t="str">
        <f>IFERROR(__xludf.DUMMYFUNCTION("if(isblank(B1068),,ifna(textjoin(""; "",,filter('On Hand'!E:E,'On Hand'!A:A=A1068)),ifna(xlookup(A1068,'On Hand'!A:A,'On Hand'!E:E,),)))"),"")</f>
        <v/>
      </c>
    </row>
    <row r="1069">
      <c r="A1069" s="3" t="str">
        <f t="array" ref="A1069">ifna(_xlfn.xlookup(B1069,'All Item Code'!B:B,'All Item Code'!A:A,),)</f>
        <v/>
      </c>
      <c r="B1069" s="3"/>
      <c r="C1069" s="3" t="str">
        <f t="array" ref="C1069">if(B1069="Tidak Ada",,if(isblank(B1069),,ifna(sumif('On Hand'!A:A,A1069,'On Hand'!D:D)&amp;" "&amp;_xlfn.xlookup(A1069,'All Item Code'!A:A,'All Item Code'!D:D,),0)))</f>
        <v/>
      </c>
      <c r="D1069" s="3" t="str">
        <f>IFERROR(__xludf.DUMMYFUNCTION("if(isblank(B1069),,ifna(textjoin(""; "",,filter('On Hand'!E:E,'On Hand'!A:A=A1069)),ifna(xlookup(A1069,'On Hand'!A:A,'On Hand'!E:E,),)))"),"")</f>
        <v/>
      </c>
    </row>
    <row r="1070">
      <c r="A1070" s="3" t="str">
        <f t="array" ref="A1070">ifna(_xlfn.xlookup(B1070,'All Item Code'!B:B,'All Item Code'!A:A,),)</f>
        <v/>
      </c>
      <c r="B1070" s="3"/>
      <c r="C1070" s="3" t="str">
        <f t="array" ref="C1070">if(B1070="Tidak Ada",,if(isblank(B1070),,ifna(sumif('On Hand'!A:A,A1070,'On Hand'!D:D)&amp;" "&amp;_xlfn.xlookup(A1070,'All Item Code'!A:A,'All Item Code'!D:D,),0)))</f>
        <v/>
      </c>
      <c r="D1070" s="3" t="str">
        <f>IFERROR(__xludf.DUMMYFUNCTION("if(isblank(B1070),,ifna(textjoin(""; "",,filter('On Hand'!E:E,'On Hand'!A:A=A1070)),ifna(xlookup(A1070,'On Hand'!A:A,'On Hand'!E:E,),)))"),"")</f>
        <v/>
      </c>
    </row>
    <row r="1071">
      <c r="A1071" s="3" t="str">
        <f t="array" ref="A1071">ifna(_xlfn.xlookup(B1071,'All Item Code'!B:B,'All Item Code'!A:A,),)</f>
        <v/>
      </c>
      <c r="B1071" s="3"/>
      <c r="C1071" s="3" t="str">
        <f t="array" ref="C1071">if(B1071="Tidak Ada",,if(isblank(B1071),,ifna(sumif('On Hand'!A:A,A1071,'On Hand'!D:D)&amp;" "&amp;_xlfn.xlookup(A1071,'All Item Code'!A:A,'All Item Code'!D:D,),0)))</f>
        <v/>
      </c>
      <c r="D1071" s="3" t="str">
        <f>IFERROR(__xludf.DUMMYFUNCTION("if(isblank(B1071),,ifna(textjoin(""; "",,filter('On Hand'!E:E,'On Hand'!A:A=A1071)),ifna(xlookup(A1071,'On Hand'!A:A,'On Hand'!E:E,),)))"),"")</f>
        <v/>
      </c>
    </row>
    <row r="1072">
      <c r="A1072" s="3" t="str">
        <f t="array" ref="A1072">ifna(_xlfn.xlookup(B1072,'All Item Code'!B:B,'All Item Code'!A:A,),)</f>
        <v/>
      </c>
      <c r="B1072" s="3"/>
      <c r="C1072" s="3" t="str">
        <f t="array" ref="C1072">if(B1072="Tidak Ada",,if(isblank(B1072),,ifna(sumif('On Hand'!A:A,A1072,'On Hand'!D:D)&amp;" "&amp;_xlfn.xlookup(A1072,'All Item Code'!A:A,'All Item Code'!D:D,),0)))</f>
        <v/>
      </c>
      <c r="D1072" s="3" t="str">
        <f>IFERROR(__xludf.DUMMYFUNCTION("if(isblank(B1072),,ifna(textjoin(""; "",,filter('On Hand'!E:E,'On Hand'!A:A=A1072)),ifna(xlookup(A1072,'On Hand'!A:A,'On Hand'!E:E,),)))"),"")</f>
        <v/>
      </c>
    </row>
    <row r="1073">
      <c r="A1073" s="3" t="str">
        <f t="array" ref="A1073">ifna(_xlfn.xlookup(B1073,'All Item Code'!B:B,'All Item Code'!A:A,),)</f>
        <v/>
      </c>
      <c r="B1073" s="3"/>
      <c r="C1073" s="3" t="str">
        <f t="array" ref="C1073">if(B1073="Tidak Ada",,if(isblank(B1073),,ifna(sumif('On Hand'!A:A,A1073,'On Hand'!D:D)&amp;" "&amp;_xlfn.xlookup(A1073,'All Item Code'!A:A,'All Item Code'!D:D,),0)))</f>
        <v/>
      </c>
      <c r="D1073" s="3" t="str">
        <f>IFERROR(__xludf.DUMMYFUNCTION("if(isblank(B1073),,ifna(textjoin(""; "",,filter('On Hand'!E:E,'On Hand'!A:A=A1073)),ifna(xlookup(A1073,'On Hand'!A:A,'On Hand'!E:E,),)))"),"")</f>
        <v/>
      </c>
    </row>
    <row r="1074">
      <c r="A1074" s="3" t="str">
        <f t="array" ref="A1074">ifna(_xlfn.xlookup(B1074,'All Item Code'!B:B,'All Item Code'!A:A,),)</f>
        <v/>
      </c>
      <c r="B1074" s="3"/>
      <c r="C1074" s="3" t="str">
        <f t="array" ref="C1074">if(B1074="Tidak Ada",,if(isblank(B1074),,ifna(sumif('On Hand'!A:A,A1074,'On Hand'!D:D)&amp;" "&amp;_xlfn.xlookup(A1074,'All Item Code'!A:A,'All Item Code'!D:D,),0)))</f>
        <v/>
      </c>
      <c r="D1074" s="3" t="str">
        <f>IFERROR(__xludf.DUMMYFUNCTION("if(isblank(B1074),,ifna(textjoin(""; "",,filter('On Hand'!E:E,'On Hand'!A:A=A1074)),ifna(xlookup(A1074,'On Hand'!A:A,'On Hand'!E:E,),)))"),"")</f>
        <v/>
      </c>
    </row>
    <row r="1075">
      <c r="A1075" s="3" t="str">
        <f t="array" ref="A1075">ifna(_xlfn.xlookup(B1075,'All Item Code'!B:B,'All Item Code'!A:A,),)</f>
        <v/>
      </c>
      <c r="B1075" s="3"/>
      <c r="C1075" s="3" t="str">
        <f t="array" ref="C1075">if(B1075="Tidak Ada",,if(isblank(B1075),,ifna(sumif('On Hand'!A:A,A1075,'On Hand'!D:D)&amp;" "&amp;_xlfn.xlookup(A1075,'All Item Code'!A:A,'All Item Code'!D:D,),0)))</f>
        <v/>
      </c>
      <c r="D1075" s="3" t="str">
        <f>IFERROR(__xludf.DUMMYFUNCTION("if(isblank(B1075),,ifna(textjoin(""; "",,filter('On Hand'!E:E,'On Hand'!A:A=A1075)),ifna(xlookup(A1075,'On Hand'!A:A,'On Hand'!E:E,),)))"),"")</f>
        <v/>
      </c>
    </row>
    <row r="1076">
      <c r="A1076" s="3" t="str">
        <f t="array" ref="A1076">ifna(_xlfn.xlookup(B1076,'All Item Code'!B:B,'All Item Code'!A:A,),)</f>
        <v/>
      </c>
      <c r="B1076" s="3"/>
      <c r="C1076" s="3" t="str">
        <f t="array" ref="C1076">if(B1076="Tidak Ada",,if(isblank(B1076),,ifna(sumif('On Hand'!A:A,A1076,'On Hand'!D:D)&amp;" "&amp;_xlfn.xlookup(A1076,'All Item Code'!A:A,'All Item Code'!D:D,),0)))</f>
        <v/>
      </c>
      <c r="D1076" s="3" t="str">
        <f>IFERROR(__xludf.DUMMYFUNCTION("if(isblank(B1076),,ifna(textjoin(""; "",,filter('On Hand'!E:E,'On Hand'!A:A=A1076)),ifna(xlookup(A1076,'On Hand'!A:A,'On Hand'!E:E,),)))"),"")</f>
        <v/>
      </c>
    </row>
    <row r="1077">
      <c r="A1077" s="3" t="str">
        <f t="array" ref="A1077">ifna(_xlfn.xlookup(B1077,'All Item Code'!B:B,'All Item Code'!A:A,),)</f>
        <v/>
      </c>
      <c r="B1077" s="3"/>
      <c r="C1077" s="3" t="str">
        <f t="array" ref="C1077">if(B1077="Tidak Ada",,if(isblank(B1077),,ifna(sumif('On Hand'!A:A,A1077,'On Hand'!D:D)&amp;" "&amp;_xlfn.xlookup(A1077,'All Item Code'!A:A,'All Item Code'!D:D,),0)))</f>
        <v/>
      </c>
      <c r="D1077" s="3" t="str">
        <f>IFERROR(__xludf.DUMMYFUNCTION("if(isblank(B1077),,ifna(textjoin(""; "",,filter('On Hand'!E:E,'On Hand'!A:A=A1077)),ifna(xlookup(A1077,'On Hand'!A:A,'On Hand'!E:E,),)))"),"")</f>
        <v/>
      </c>
    </row>
    <row r="1078">
      <c r="A1078" s="3" t="str">
        <f t="array" ref="A1078">ifna(_xlfn.xlookup(B1078,'All Item Code'!B:B,'All Item Code'!A:A,),)</f>
        <v/>
      </c>
      <c r="B1078" s="3"/>
      <c r="C1078" s="3" t="str">
        <f t="array" ref="C1078">if(B1078="Tidak Ada",,if(isblank(B1078),,ifna(sumif('On Hand'!A:A,A1078,'On Hand'!D:D)&amp;" "&amp;_xlfn.xlookup(A1078,'All Item Code'!A:A,'All Item Code'!D:D,),0)))</f>
        <v/>
      </c>
      <c r="D1078" s="3" t="str">
        <f>IFERROR(__xludf.DUMMYFUNCTION("if(isblank(B1078),,ifna(textjoin(""; "",,filter('On Hand'!E:E,'On Hand'!A:A=A1078)),ifna(xlookup(A1078,'On Hand'!A:A,'On Hand'!E:E,),)))"),"")</f>
        <v/>
      </c>
    </row>
    <row r="1079">
      <c r="A1079" s="3" t="str">
        <f t="array" ref="A1079">ifna(_xlfn.xlookup(B1079,'All Item Code'!B:B,'All Item Code'!A:A,),)</f>
        <v/>
      </c>
      <c r="B1079" s="3"/>
      <c r="C1079" s="3" t="str">
        <f t="array" ref="C1079">if(B1079="Tidak Ada",,if(isblank(B1079),,ifna(sumif('On Hand'!A:A,A1079,'On Hand'!D:D)&amp;" "&amp;_xlfn.xlookup(A1079,'All Item Code'!A:A,'All Item Code'!D:D,),0)))</f>
        <v/>
      </c>
      <c r="D1079" s="3" t="str">
        <f>IFERROR(__xludf.DUMMYFUNCTION("if(isblank(B1079),,ifna(textjoin(""; "",,filter('On Hand'!E:E,'On Hand'!A:A=A1079)),ifna(xlookup(A1079,'On Hand'!A:A,'On Hand'!E:E,),)))"),"")</f>
        <v/>
      </c>
    </row>
    <row r="1080">
      <c r="A1080" s="3" t="str">
        <f t="array" ref="A1080">ifna(_xlfn.xlookup(B1080,'All Item Code'!B:B,'All Item Code'!A:A,),)</f>
        <v/>
      </c>
      <c r="B1080" s="3"/>
      <c r="C1080" s="3" t="str">
        <f t="array" ref="C1080">if(B1080="Tidak Ada",,if(isblank(B1080),,ifna(sumif('On Hand'!A:A,A1080,'On Hand'!D:D)&amp;" "&amp;_xlfn.xlookup(A1080,'All Item Code'!A:A,'All Item Code'!D:D,),0)))</f>
        <v/>
      </c>
      <c r="D1080" s="3" t="str">
        <f>IFERROR(__xludf.DUMMYFUNCTION("if(isblank(B1080),,ifna(textjoin(""; "",,filter('On Hand'!E:E,'On Hand'!A:A=A1080)),ifna(xlookup(A1080,'On Hand'!A:A,'On Hand'!E:E,),)))"),"")</f>
        <v/>
      </c>
    </row>
    <row r="1081">
      <c r="A1081" s="3" t="str">
        <f t="array" ref="A1081">ifna(_xlfn.xlookup(B1081,'All Item Code'!B:B,'All Item Code'!A:A,),)</f>
        <v/>
      </c>
      <c r="B1081" s="3"/>
      <c r="C1081" s="3" t="str">
        <f t="array" ref="C1081">if(B1081="Tidak Ada",,if(isblank(B1081),,ifna(sumif('On Hand'!A:A,A1081,'On Hand'!D:D)&amp;" "&amp;_xlfn.xlookup(A1081,'All Item Code'!A:A,'All Item Code'!D:D,),0)))</f>
        <v/>
      </c>
      <c r="D1081" s="3" t="str">
        <f>IFERROR(__xludf.DUMMYFUNCTION("if(isblank(B1081),,ifna(textjoin(""; "",,filter('On Hand'!E:E,'On Hand'!A:A=A1081)),ifna(xlookup(A1081,'On Hand'!A:A,'On Hand'!E:E,),)))"),"")</f>
        <v/>
      </c>
    </row>
    <row r="1082">
      <c r="A1082" s="3" t="str">
        <f t="array" ref="A1082">ifna(_xlfn.xlookup(B1082,'All Item Code'!B:B,'All Item Code'!A:A,),)</f>
        <v/>
      </c>
      <c r="B1082" s="3"/>
      <c r="C1082" s="3" t="str">
        <f t="array" ref="C1082">if(B1082="Tidak Ada",,if(isblank(B1082),,ifna(sumif('On Hand'!A:A,A1082,'On Hand'!D:D)&amp;" "&amp;_xlfn.xlookup(A1082,'All Item Code'!A:A,'All Item Code'!D:D,),0)))</f>
        <v/>
      </c>
      <c r="D1082" s="3" t="str">
        <f>IFERROR(__xludf.DUMMYFUNCTION("if(isblank(B1082),,ifna(textjoin(""; "",,filter('On Hand'!E:E,'On Hand'!A:A=A1082)),ifna(xlookup(A1082,'On Hand'!A:A,'On Hand'!E:E,),)))"),"")</f>
        <v/>
      </c>
    </row>
    <row r="1083">
      <c r="A1083" s="3" t="str">
        <f t="array" ref="A1083">ifna(_xlfn.xlookup(B1083,'All Item Code'!B:B,'All Item Code'!A:A,),)</f>
        <v/>
      </c>
      <c r="B1083" s="3"/>
      <c r="C1083" s="3" t="str">
        <f t="array" ref="C1083">if(B1083="Tidak Ada",,if(isblank(B1083),,ifna(sumif('On Hand'!A:A,A1083,'On Hand'!D:D)&amp;" "&amp;_xlfn.xlookup(A1083,'All Item Code'!A:A,'All Item Code'!D:D,),0)))</f>
        <v/>
      </c>
      <c r="D1083" s="3" t="str">
        <f>IFERROR(__xludf.DUMMYFUNCTION("if(isblank(B1083),,ifna(textjoin(""; "",,filter('On Hand'!E:E,'On Hand'!A:A=A1083)),ifna(xlookup(A1083,'On Hand'!A:A,'On Hand'!E:E,),)))"),"")</f>
        <v/>
      </c>
    </row>
    <row r="1084">
      <c r="A1084" s="3" t="str">
        <f t="array" ref="A1084">ifna(_xlfn.xlookup(B1084,'All Item Code'!B:B,'All Item Code'!A:A,),)</f>
        <v/>
      </c>
      <c r="B1084" s="3"/>
      <c r="C1084" s="3" t="str">
        <f t="array" ref="C1084">if(B1084="Tidak Ada",,if(isblank(B1084),,ifna(sumif('On Hand'!A:A,A1084,'On Hand'!D:D)&amp;" "&amp;_xlfn.xlookup(A1084,'All Item Code'!A:A,'All Item Code'!D:D,),0)))</f>
        <v/>
      </c>
      <c r="D1084" s="3" t="str">
        <f>IFERROR(__xludf.DUMMYFUNCTION("if(isblank(B1084),,ifna(textjoin(""; "",,filter('On Hand'!E:E,'On Hand'!A:A=A1084)),ifna(xlookup(A1084,'On Hand'!A:A,'On Hand'!E:E,),)))"),"")</f>
        <v/>
      </c>
    </row>
    <row r="1085">
      <c r="A1085" s="3" t="str">
        <f t="array" ref="A1085">ifna(_xlfn.xlookup(B1085,'All Item Code'!B:B,'All Item Code'!A:A,),)</f>
        <v/>
      </c>
      <c r="B1085" s="3"/>
      <c r="C1085" s="3" t="str">
        <f t="array" ref="C1085">if(B1085="Tidak Ada",,if(isblank(B1085),,ifna(sumif('On Hand'!A:A,A1085,'On Hand'!D:D)&amp;" "&amp;_xlfn.xlookup(A1085,'All Item Code'!A:A,'All Item Code'!D:D,),0)))</f>
        <v/>
      </c>
      <c r="D1085" s="3" t="str">
        <f>IFERROR(__xludf.DUMMYFUNCTION("if(isblank(B1085),,ifna(textjoin(""; "",,filter('On Hand'!E:E,'On Hand'!A:A=A1085)),ifna(xlookup(A1085,'On Hand'!A:A,'On Hand'!E:E,),)))"),"")</f>
        <v/>
      </c>
    </row>
    <row r="1086">
      <c r="A1086" s="3" t="str">
        <f t="array" ref="A1086">ifna(_xlfn.xlookup(B1086,'All Item Code'!B:B,'All Item Code'!A:A,),)</f>
        <v/>
      </c>
      <c r="B1086" s="3"/>
      <c r="C1086" s="3" t="str">
        <f t="array" ref="C1086">if(B1086="Tidak Ada",,if(isblank(B1086),,ifna(sumif('On Hand'!A:A,A1086,'On Hand'!D:D)&amp;" "&amp;_xlfn.xlookup(A1086,'All Item Code'!A:A,'All Item Code'!D:D,),0)))</f>
        <v/>
      </c>
      <c r="D1086" s="3" t="str">
        <f>IFERROR(__xludf.DUMMYFUNCTION("if(isblank(B1086),,ifna(textjoin(""; "",,filter('On Hand'!E:E,'On Hand'!A:A=A1086)),ifna(xlookup(A1086,'On Hand'!A:A,'On Hand'!E:E,),)))"),"")</f>
        <v/>
      </c>
    </row>
    <row r="1087">
      <c r="A1087" s="3" t="str">
        <f t="array" ref="A1087">ifna(_xlfn.xlookup(B1087,'All Item Code'!B:B,'All Item Code'!A:A,),)</f>
        <v/>
      </c>
      <c r="B1087" s="3"/>
      <c r="C1087" s="3" t="str">
        <f t="array" ref="C1087">if(B1087="Tidak Ada",,if(isblank(B1087),,ifna(sumif('On Hand'!A:A,A1087,'On Hand'!D:D)&amp;" "&amp;_xlfn.xlookup(A1087,'All Item Code'!A:A,'All Item Code'!D:D,),0)))</f>
        <v/>
      </c>
      <c r="D1087" s="3" t="str">
        <f>IFERROR(__xludf.DUMMYFUNCTION("if(isblank(B1087),,ifna(textjoin(""; "",,filter('On Hand'!E:E,'On Hand'!A:A=A1087)),ifna(xlookup(A1087,'On Hand'!A:A,'On Hand'!E:E,),)))"),"")</f>
        <v/>
      </c>
    </row>
    <row r="1088">
      <c r="A1088" s="3" t="str">
        <f t="array" ref="A1088">ifna(_xlfn.xlookup(B1088,'All Item Code'!B:B,'All Item Code'!A:A,),)</f>
        <v/>
      </c>
      <c r="B1088" s="3"/>
      <c r="C1088" s="3" t="str">
        <f t="array" ref="C1088">if(B1088="Tidak Ada",,if(isblank(B1088),,ifna(sumif('On Hand'!A:A,A1088,'On Hand'!D:D)&amp;" "&amp;_xlfn.xlookup(A1088,'All Item Code'!A:A,'All Item Code'!D:D,),0)))</f>
        <v/>
      </c>
      <c r="D1088" s="3" t="str">
        <f>IFERROR(__xludf.DUMMYFUNCTION("if(isblank(B1088),,ifna(textjoin(""; "",,filter('On Hand'!E:E,'On Hand'!A:A=A1088)),ifna(xlookup(A1088,'On Hand'!A:A,'On Hand'!E:E,),)))"),"")</f>
        <v/>
      </c>
    </row>
    <row r="1089">
      <c r="A1089" s="3" t="str">
        <f t="array" ref="A1089">ifna(_xlfn.xlookup(B1089,'All Item Code'!B:B,'All Item Code'!A:A,),)</f>
        <v/>
      </c>
      <c r="B1089" s="3"/>
      <c r="C1089" s="3" t="str">
        <f t="array" ref="C1089">if(B1089="Tidak Ada",,if(isblank(B1089),,ifna(sumif('On Hand'!A:A,A1089,'On Hand'!D:D)&amp;" "&amp;_xlfn.xlookup(A1089,'All Item Code'!A:A,'All Item Code'!D:D,),0)))</f>
        <v/>
      </c>
      <c r="D1089" s="3" t="str">
        <f>IFERROR(__xludf.DUMMYFUNCTION("if(isblank(B1089),,ifna(textjoin(""; "",,filter('On Hand'!E:E,'On Hand'!A:A=A1089)),ifna(xlookup(A1089,'On Hand'!A:A,'On Hand'!E:E,),)))"),"")</f>
        <v/>
      </c>
    </row>
    <row r="1090">
      <c r="A1090" s="3" t="str">
        <f t="array" ref="A1090">ifna(_xlfn.xlookup(B1090,'All Item Code'!B:B,'All Item Code'!A:A,),)</f>
        <v/>
      </c>
      <c r="B1090" s="3"/>
      <c r="C1090" s="3" t="str">
        <f t="array" ref="C1090">if(B1090="Tidak Ada",,if(isblank(B1090),,ifna(sumif('On Hand'!A:A,A1090,'On Hand'!D:D)&amp;" "&amp;_xlfn.xlookup(A1090,'All Item Code'!A:A,'All Item Code'!D:D,),0)))</f>
        <v/>
      </c>
      <c r="D1090" s="3" t="str">
        <f>IFERROR(__xludf.DUMMYFUNCTION("if(isblank(B1090),,ifna(textjoin(""; "",,filter('On Hand'!E:E,'On Hand'!A:A=A1090)),ifna(xlookup(A1090,'On Hand'!A:A,'On Hand'!E:E,),)))"),"")</f>
        <v/>
      </c>
    </row>
    <row r="1091">
      <c r="A1091" s="3" t="str">
        <f t="array" ref="A1091">ifna(_xlfn.xlookup(B1091,'All Item Code'!B:B,'All Item Code'!A:A,),)</f>
        <v/>
      </c>
      <c r="B1091" s="3"/>
      <c r="C1091" s="3" t="str">
        <f t="array" ref="C1091">if(B1091="Tidak Ada",,if(isblank(B1091),,ifna(sumif('On Hand'!A:A,A1091,'On Hand'!D:D)&amp;" "&amp;_xlfn.xlookup(A1091,'All Item Code'!A:A,'All Item Code'!D:D,),0)))</f>
        <v/>
      </c>
      <c r="D1091" s="3" t="str">
        <f>IFERROR(__xludf.DUMMYFUNCTION("if(isblank(B1091),,ifna(textjoin(""; "",,filter('On Hand'!E:E,'On Hand'!A:A=A1091)),ifna(xlookup(A1091,'On Hand'!A:A,'On Hand'!E:E,),)))"),"")</f>
        <v/>
      </c>
    </row>
    <row r="1092">
      <c r="A1092" s="3" t="str">
        <f t="array" ref="A1092">ifna(_xlfn.xlookup(B1092,'All Item Code'!B:B,'All Item Code'!A:A,),)</f>
        <v/>
      </c>
      <c r="B1092" s="3"/>
      <c r="C1092" s="3" t="str">
        <f t="array" ref="C1092">if(B1092="Tidak Ada",,if(isblank(B1092),,ifna(sumif('On Hand'!A:A,A1092,'On Hand'!D:D)&amp;" "&amp;_xlfn.xlookup(A1092,'All Item Code'!A:A,'All Item Code'!D:D,),0)))</f>
        <v/>
      </c>
      <c r="D1092" s="3" t="str">
        <f>IFERROR(__xludf.DUMMYFUNCTION("if(isblank(B1092),,ifna(textjoin(""; "",,filter('On Hand'!E:E,'On Hand'!A:A=A1092)),ifna(xlookup(A1092,'On Hand'!A:A,'On Hand'!E:E,),)))"),"")</f>
        <v/>
      </c>
    </row>
    <row r="1093">
      <c r="A1093" s="3" t="str">
        <f t="array" ref="A1093">ifna(_xlfn.xlookup(B1093,'All Item Code'!B:B,'All Item Code'!A:A,),)</f>
        <v/>
      </c>
      <c r="B1093" s="3"/>
      <c r="C1093" s="3" t="str">
        <f t="array" ref="C1093">if(B1093="Tidak Ada",,if(isblank(B1093),,ifna(sumif('On Hand'!A:A,A1093,'On Hand'!D:D)&amp;" "&amp;_xlfn.xlookup(A1093,'All Item Code'!A:A,'All Item Code'!D:D,),0)))</f>
        <v/>
      </c>
      <c r="D1093" s="3" t="str">
        <f>IFERROR(__xludf.DUMMYFUNCTION("if(isblank(B1093),,ifna(textjoin(""; "",,filter('On Hand'!E:E,'On Hand'!A:A=A1093)),ifna(xlookup(A1093,'On Hand'!A:A,'On Hand'!E:E,),)))"),"")</f>
        <v/>
      </c>
    </row>
    <row r="1094">
      <c r="A1094" s="3" t="str">
        <f t="array" ref="A1094">ifna(_xlfn.xlookup(B1094,'All Item Code'!B:B,'All Item Code'!A:A,),)</f>
        <v/>
      </c>
      <c r="B1094" s="3"/>
      <c r="C1094" s="3" t="str">
        <f t="array" ref="C1094">if(B1094="Tidak Ada",,if(isblank(B1094),,ifna(sumif('On Hand'!A:A,A1094,'On Hand'!D:D)&amp;" "&amp;_xlfn.xlookup(A1094,'All Item Code'!A:A,'All Item Code'!D:D,),0)))</f>
        <v/>
      </c>
      <c r="D1094" s="3" t="str">
        <f>IFERROR(__xludf.DUMMYFUNCTION("if(isblank(B1094),,ifna(textjoin(""; "",,filter('On Hand'!E:E,'On Hand'!A:A=A1094)),ifna(xlookup(A1094,'On Hand'!A:A,'On Hand'!E:E,),)))"),"")</f>
        <v/>
      </c>
    </row>
    <row r="1095">
      <c r="A1095" s="3" t="str">
        <f t="array" ref="A1095">ifna(_xlfn.xlookup(B1095,'All Item Code'!B:B,'All Item Code'!A:A,),)</f>
        <v/>
      </c>
      <c r="B1095" s="3"/>
      <c r="C1095" s="3" t="str">
        <f t="array" ref="C1095">if(B1095="Tidak Ada",,if(isblank(B1095),,ifna(sumif('On Hand'!A:A,A1095,'On Hand'!D:D)&amp;" "&amp;_xlfn.xlookup(A1095,'All Item Code'!A:A,'All Item Code'!D:D,),0)))</f>
        <v/>
      </c>
      <c r="D1095" s="3" t="str">
        <f>IFERROR(__xludf.DUMMYFUNCTION("if(isblank(B1095),,ifna(textjoin(""; "",,filter('On Hand'!E:E,'On Hand'!A:A=A1095)),ifna(xlookup(A1095,'On Hand'!A:A,'On Hand'!E:E,),)))"),"")</f>
        <v/>
      </c>
    </row>
    <row r="1096">
      <c r="A1096" s="3" t="str">
        <f t="array" ref="A1096">ifna(_xlfn.xlookup(B1096,'All Item Code'!B:B,'All Item Code'!A:A,),)</f>
        <v/>
      </c>
      <c r="B1096" s="3"/>
      <c r="C1096" s="3" t="str">
        <f t="array" ref="C1096">if(B1096="Tidak Ada",,if(isblank(B1096),,ifna(sumif('On Hand'!A:A,A1096,'On Hand'!D:D)&amp;" "&amp;_xlfn.xlookup(A1096,'All Item Code'!A:A,'All Item Code'!D:D,),0)))</f>
        <v/>
      </c>
      <c r="D1096" s="3" t="str">
        <f>IFERROR(__xludf.DUMMYFUNCTION("if(isblank(B1096),,ifna(textjoin(""; "",,filter('On Hand'!E:E,'On Hand'!A:A=A1096)),ifna(xlookup(A1096,'On Hand'!A:A,'On Hand'!E:E,),)))"),"")</f>
        <v/>
      </c>
    </row>
    <row r="1097">
      <c r="A1097" s="3" t="str">
        <f t="array" ref="A1097">ifna(_xlfn.xlookup(B1097,'All Item Code'!B:B,'All Item Code'!A:A,),)</f>
        <v/>
      </c>
      <c r="B1097" s="3"/>
      <c r="C1097" s="3" t="str">
        <f t="array" ref="C1097">if(B1097="Tidak Ada",,if(isblank(B1097),,ifna(sumif('On Hand'!A:A,A1097,'On Hand'!D:D)&amp;" "&amp;_xlfn.xlookup(A1097,'All Item Code'!A:A,'All Item Code'!D:D,),0)))</f>
        <v/>
      </c>
      <c r="D1097" s="3" t="str">
        <f>IFERROR(__xludf.DUMMYFUNCTION("if(isblank(B1097),,ifna(textjoin(""; "",,filter('On Hand'!E:E,'On Hand'!A:A=A1097)),ifna(xlookup(A1097,'On Hand'!A:A,'On Hand'!E:E,),)))"),"")</f>
        <v/>
      </c>
    </row>
    <row r="1098">
      <c r="A1098" s="3" t="str">
        <f t="array" ref="A1098">ifna(_xlfn.xlookup(B1098,'All Item Code'!B:B,'All Item Code'!A:A,),)</f>
        <v/>
      </c>
      <c r="B1098" s="3"/>
      <c r="C1098" s="3" t="str">
        <f t="array" ref="C1098">if(B1098="Tidak Ada",,if(isblank(B1098),,ifna(sumif('On Hand'!A:A,A1098,'On Hand'!D:D)&amp;" "&amp;_xlfn.xlookup(A1098,'All Item Code'!A:A,'All Item Code'!D:D,),0)))</f>
        <v/>
      </c>
      <c r="D1098" s="3" t="str">
        <f>IFERROR(__xludf.DUMMYFUNCTION("if(isblank(B1098),,ifna(textjoin(""; "",,filter('On Hand'!E:E,'On Hand'!A:A=A1098)),ifna(xlookup(A1098,'On Hand'!A:A,'On Hand'!E:E,),)))"),"")</f>
        <v/>
      </c>
    </row>
    <row r="1099">
      <c r="A1099" s="3" t="str">
        <f t="array" ref="A1099">ifna(_xlfn.xlookup(B1099,'All Item Code'!B:B,'All Item Code'!A:A,),)</f>
        <v/>
      </c>
      <c r="B1099" s="3"/>
      <c r="C1099" s="3" t="str">
        <f t="array" ref="C1099">if(B1099="Tidak Ada",,if(isblank(B1099),,ifna(sumif('On Hand'!A:A,A1099,'On Hand'!D:D)&amp;" "&amp;_xlfn.xlookup(A1099,'All Item Code'!A:A,'All Item Code'!D:D,),0)))</f>
        <v/>
      </c>
      <c r="D1099" s="3" t="str">
        <f>IFERROR(__xludf.DUMMYFUNCTION("if(isblank(B1099),,ifna(textjoin(""; "",,filter('On Hand'!E:E,'On Hand'!A:A=A1099)),ifna(xlookup(A1099,'On Hand'!A:A,'On Hand'!E:E,),)))"),"")</f>
        <v/>
      </c>
    </row>
    <row r="1100">
      <c r="A1100" s="3" t="str">
        <f t="array" ref="A1100">ifna(_xlfn.xlookup(B1100,'All Item Code'!B:B,'All Item Code'!A:A,),)</f>
        <v/>
      </c>
      <c r="B1100" s="3"/>
      <c r="C1100" s="3" t="str">
        <f t="array" ref="C1100">if(B1100="Tidak Ada",,if(isblank(B1100),,ifna(sumif('On Hand'!A:A,A1100,'On Hand'!D:D)&amp;" "&amp;_xlfn.xlookup(A1100,'All Item Code'!A:A,'All Item Code'!D:D,),0)))</f>
        <v/>
      </c>
      <c r="D1100" s="3" t="str">
        <f>IFERROR(__xludf.DUMMYFUNCTION("if(isblank(B1100),,ifna(textjoin(""; "",,filter('On Hand'!E:E,'On Hand'!A:A=A1100)),ifna(xlookup(A1100,'On Hand'!A:A,'On Hand'!E:E,),)))"),"")</f>
        <v/>
      </c>
    </row>
    <row r="1101">
      <c r="A1101" s="3" t="str">
        <f t="array" ref="A1101">ifna(_xlfn.xlookup(B1101,'All Item Code'!B:B,'All Item Code'!A:A,),)</f>
        <v/>
      </c>
      <c r="B1101" s="3"/>
      <c r="C1101" s="3" t="str">
        <f t="array" ref="C1101">if(B1101="Tidak Ada",,if(isblank(B1101),,ifna(sumif('On Hand'!A:A,A1101,'On Hand'!D:D)&amp;" "&amp;_xlfn.xlookup(A1101,'All Item Code'!A:A,'All Item Code'!D:D,),0)))</f>
        <v/>
      </c>
      <c r="D1101" s="3" t="str">
        <f>IFERROR(__xludf.DUMMYFUNCTION("if(isblank(B1101),,ifna(textjoin(""; "",,filter('On Hand'!E:E,'On Hand'!A:A=A1101)),ifna(xlookup(A1101,'On Hand'!A:A,'On Hand'!E:E,),)))"),"")</f>
        <v/>
      </c>
    </row>
    <row r="1102">
      <c r="A1102" s="3" t="str">
        <f t="array" ref="A1102">ifna(_xlfn.xlookup(B1102,'All Item Code'!B:B,'All Item Code'!A:A,),)</f>
        <v/>
      </c>
      <c r="B1102" s="3"/>
      <c r="C1102" s="3" t="str">
        <f t="array" ref="C1102">if(B1102="Tidak Ada",,if(isblank(B1102),,ifna(sumif('On Hand'!A:A,A1102,'On Hand'!D:D)&amp;" "&amp;_xlfn.xlookup(A1102,'All Item Code'!A:A,'All Item Code'!D:D,),0)))</f>
        <v/>
      </c>
      <c r="D1102" s="3" t="str">
        <f>IFERROR(__xludf.DUMMYFUNCTION("if(isblank(B1102),,ifna(textjoin(""; "",,filter('On Hand'!E:E,'On Hand'!A:A=A1102)),ifna(xlookup(A1102,'On Hand'!A:A,'On Hand'!E:E,),)))"),"")</f>
        <v/>
      </c>
    </row>
    <row r="1103">
      <c r="A1103" s="3" t="str">
        <f t="array" ref="A1103">ifna(_xlfn.xlookup(B1103,'All Item Code'!B:B,'All Item Code'!A:A,),)</f>
        <v/>
      </c>
      <c r="B1103" s="3"/>
      <c r="C1103" s="3" t="str">
        <f t="array" ref="C1103">if(B1103="Tidak Ada",,if(isblank(B1103),,ifna(sumif('On Hand'!A:A,A1103,'On Hand'!D:D)&amp;" "&amp;_xlfn.xlookup(A1103,'All Item Code'!A:A,'All Item Code'!D:D,),0)))</f>
        <v/>
      </c>
      <c r="D1103" s="3" t="str">
        <f>IFERROR(__xludf.DUMMYFUNCTION("if(isblank(B1103),,ifna(textjoin(""; "",,filter('On Hand'!E:E,'On Hand'!A:A=A1103)),ifna(xlookup(A1103,'On Hand'!A:A,'On Hand'!E:E,),)))"),"")</f>
        <v/>
      </c>
    </row>
    <row r="1104">
      <c r="A1104" s="3" t="str">
        <f t="array" ref="A1104">ifna(_xlfn.xlookup(B1104,'All Item Code'!B:B,'All Item Code'!A:A,),)</f>
        <v/>
      </c>
      <c r="B1104" s="3"/>
      <c r="C1104" s="3" t="str">
        <f t="array" ref="C1104">if(B1104="Tidak Ada",,if(isblank(B1104),,ifna(sumif('On Hand'!A:A,A1104,'On Hand'!D:D)&amp;" "&amp;_xlfn.xlookup(A1104,'All Item Code'!A:A,'All Item Code'!D:D,),0)))</f>
        <v/>
      </c>
      <c r="D1104" s="3" t="str">
        <f>IFERROR(__xludf.DUMMYFUNCTION("if(isblank(B1104),,ifna(textjoin(""; "",,filter('On Hand'!E:E,'On Hand'!A:A=A1104)),ifna(xlookup(A1104,'On Hand'!A:A,'On Hand'!E:E,),)))"),"")</f>
        <v/>
      </c>
    </row>
    <row r="1105">
      <c r="A1105" s="3" t="str">
        <f t="array" ref="A1105">ifna(_xlfn.xlookup(B1105,'All Item Code'!B:B,'All Item Code'!A:A,),)</f>
        <v/>
      </c>
      <c r="B1105" s="3"/>
      <c r="C1105" s="3" t="str">
        <f t="array" ref="C1105">if(B1105="Tidak Ada",,if(isblank(B1105),,ifna(sumif('On Hand'!A:A,A1105,'On Hand'!D:D)&amp;" "&amp;_xlfn.xlookup(A1105,'All Item Code'!A:A,'All Item Code'!D:D,),0)))</f>
        <v/>
      </c>
      <c r="D1105" s="3" t="str">
        <f>IFERROR(__xludf.DUMMYFUNCTION("if(isblank(B1105),,ifna(textjoin(""; "",,filter('On Hand'!E:E,'On Hand'!A:A=A1105)),ifna(xlookup(A1105,'On Hand'!A:A,'On Hand'!E:E,),)))"),"")</f>
        <v/>
      </c>
    </row>
    <row r="1106">
      <c r="A1106" s="3" t="str">
        <f t="array" ref="A1106">ifna(_xlfn.xlookup(B1106,'All Item Code'!B:B,'All Item Code'!A:A,),)</f>
        <v/>
      </c>
      <c r="B1106" s="3"/>
      <c r="C1106" s="3" t="str">
        <f t="array" ref="C1106">if(B1106="Tidak Ada",,if(isblank(B1106),,ifna(sumif('On Hand'!A:A,A1106,'On Hand'!D:D)&amp;" "&amp;_xlfn.xlookup(A1106,'All Item Code'!A:A,'All Item Code'!D:D,),0)))</f>
        <v/>
      </c>
      <c r="D1106" s="3" t="str">
        <f>IFERROR(__xludf.DUMMYFUNCTION("if(isblank(B1106),,ifna(textjoin(""; "",,filter('On Hand'!E:E,'On Hand'!A:A=A1106)),ifna(xlookup(A1106,'On Hand'!A:A,'On Hand'!E:E,),)))"),"")</f>
        <v/>
      </c>
    </row>
    <row r="1107">
      <c r="A1107" s="3" t="str">
        <f t="array" ref="A1107">ifna(_xlfn.xlookup(B1107,'All Item Code'!B:B,'All Item Code'!A:A,),)</f>
        <v/>
      </c>
      <c r="B1107" s="3"/>
      <c r="C1107" s="3" t="str">
        <f t="array" ref="C1107">if(B1107="Tidak Ada",,if(isblank(B1107),,ifna(sumif('On Hand'!A:A,A1107,'On Hand'!D:D)&amp;" "&amp;_xlfn.xlookup(A1107,'All Item Code'!A:A,'All Item Code'!D:D,),0)))</f>
        <v/>
      </c>
      <c r="D1107" s="3" t="str">
        <f>IFERROR(__xludf.DUMMYFUNCTION("if(isblank(B1107),,ifna(textjoin(""; "",,filter('On Hand'!E:E,'On Hand'!A:A=A1107)),ifna(xlookup(A1107,'On Hand'!A:A,'On Hand'!E:E,),)))"),"")</f>
        <v/>
      </c>
    </row>
    <row r="1108">
      <c r="A1108" s="3" t="str">
        <f t="array" ref="A1108">ifna(_xlfn.xlookup(B1108,'All Item Code'!B:B,'All Item Code'!A:A,),)</f>
        <v/>
      </c>
      <c r="B1108" s="3"/>
      <c r="C1108" s="3" t="str">
        <f t="array" ref="C1108">if(B1108="Tidak Ada",,if(isblank(B1108),,ifna(sumif('On Hand'!A:A,A1108,'On Hand'!D:D)&amp;" "&amp;_xlfn.xlookup(A1108,'All Item Code'!A:A,'All Item Code'!D:D,),0)))</f>
        <v/>
      </c>
      <c r="D1108" s="3" t="str">
        <f>IFERROR(__xludf.DUMMYFUNCTION("if(isblank(B1108),,ifna(textjoin(""; "",,filter('On Hand'!E:E,'On Hand'!A:A=A1108)),ifna(xlookup(A1108,'On Hand'!A:A,'On Hand'!E:E,),)))"),"")</f>
        <v/>
      </c>
    </row>
    <row r="1109">
      <c r="A1109" s="3" t="str">
        <f t="array" ref="A1109">ifna(_xlfn.xlookup(B1109,'All Item Code'!B:B,'All Item Code'!A:A,),)</f>
        <v/>
      </c>
      <c r="B1109" s="3"/>
      <c r="C1109" s="3" t="str">
        <f t="array" ref="C1109">if(B1109="Tidak Ada",,if(isblank(B1109),,ifna(sumif('On Hand'!A:A,A1109,'On Hand'!D:D)&amp;" "&amp;_xlfn.xlookup(A1109,'All Item Code'!A:A,'All Item Code'!D:D,),0)))</f>
        <v/>
      </c>
      <c r="D1109" s="3" t="str">
        <f>IFERROR(__xludf.DUMMYFUNCTION("if(isblank(B1109),,ifna(textjoin(""; "",,filter('On Hand'!E:E,'On Hand'!A:A=A1109)),ifna(xlookup(A1109,'On Hand'!A:A,'On Hand'!E:E,),)))"),"")</f>
        <v/>
      </c>
    </row>
    <row r="1110">
      <c r="A1110" s="3" t="str">
        <f t="array" ref="A1110">ifna(_xlfn.xlookup(B1110,'All Item Code'!B:B,'All Item Code'!A:A,),)</f>
        <v/>
      </c>
      <c r="B1110" s="3"/>
      <c r="C1110" s="3" t="str">
        <f t="array" ref="C1110">if(B1110="Tidak Ada",,if(isblank(B1110),,ifna(sumif('On Hand'!A:A,A1110,'On Hand'!D:D)&amp;" "&amp;_xlfn.xlookup(A1110,'All Item Code'!A:A,'All Item Code'!D:D,),0)))</f>
        <v/>
      </c>
      <c r="D1110" s="3" t="str">
        <f>IFERROR(__xludf.DUMMYFUNCTION("if(isblank(B1110),,ifna(textjoin(""; "",,filter('On Hand'!E:E,'On Hand'!A:A=A1110)),ifna(xlookup(A1110,'On Hand'!A:A,'On Hand'!E:E,),)))"),"")</f>
        <v/>
      </c>
    </row>
    <row r="1111">
      <c r="A1111" s="3" t="str">
        <f t="array" ref="A1111">ifna(_xlfn.xlookup(B1111,'All Item Code'!B:B,'All Item Code'!A:A,),)</f>
        <v/>
      </c>
      <c r="B1111" s="3"/>
      <c r="C1111" s="3" t="str">
        <f t="array" ref="C1111">if(B1111="Tidak Ada",,if(isblank(B1111),,ifna(sumif('On Hand'!A:A,A1111,'On Hand'!D:D)&amp;" "&amp;_xlfn.xlookup(A1111,'All Item Code'!A:A,'All Item Code'!D:D,),0)))</f>
        <v/>
      </c>
      <c r="D1111" s="3" t="str">
        <f>IFERROR(__xludf.DUMMYFUNCTION("if(isblank(B1111),,ifna(textjoin(""; "",,filter('On Hand'!E:E,'On Hand'!A:A=A1111)),ifna(xlookup(A1111,'On Hand'!A:A,'On Hand'!E:E,),)))"),"")</f>
        <v/>
      </c>
    </row>
    <row r="1112">
      <c r="A1112" s="3" t="str">
        <f t="array" ref="A1112">ifna(_xlfn.xlookup(B1112,'All Item Code'!B:B,'All Item Code'!A:A,),)</f>
        <v/>
      </c>
      <c r="B1112" s="3"/>
      <c r="C1112" s="3" t="str">
        <f t="array" ref="C1112">if(B1112="Tidak Ada",,if(isblank(B1112),,ifna(sumif('On Hand'!A:A,A1112,'On Hand'!D:D)&amp;" "&amp;_xlfn.xlookup(A1112,'All Item Code'!A:A,'All Item Code'!D:D,),0)))</f>
        <v/>
      </c>
      <c r="D1112" s="3" t="str">
        <f>IFERROR(__xludf.DUMMYFUNCTION("if(isblank(B1112),,ifna(textjoin(""; "",,filter('On Hand'!E:E,'On Hand'!A:A=A1112)),ifna(xlookup(A1112,'On Hand'!A:A,'On Hand'!E:E,),)))"),"")</f>
        <v/>
      </c>
    </row>
    <row r="1113">
      <c r="A1113" s="3" t="str">
        <f t="array" ref="A1113">ifna(_xlfn.xlookup(B1113,'All Item Code'!B:B,'All Item Code'!A:A,),)</f>
        <v/>
      </c>
      <c r="B1113" s="3"/>
      <c r="C1113" s="3" t="str">
        <f t="array" ref="C1113">if(B1113="Tidak Ada",,if(isblank(B1113),,ifna(sumif('On Hand'!A:A,A1113,'On Hand'!D:D)&amp;" "&amp;_xlfn.xlookup(A1113,'All Item Code'!A:A,'All Item Code'!D:D,),0)))</f>
        <v/>
      </c>
      <c r="D1113" s="3" t="str">
        <f>IFERROR(__xludf.DUMMYFUNCTION("if(isblank(B1113),,ifna(textjoin(""; "",,filter('On Hand'!E:E,'On Hand'!A:A=A1113)),ifna(xlookup(A1113,'On Hand'!A:A,'On Hand'!E:E,),)))"),"")</f>
        <v/>
      </c>
    </row>
    <row r="1114">
      <c r="A1114" s="3" t="str">
        <f t="array" ref="A1114">ifna(_xlfn.xlookup(B1114,'All Item Code'!B:B,'All Item Code'!A:A,),)</f>
        <v/>
      </c>
      <c r="B1114" s="3"/>
      <c r="C1114" s="3" t="str">
        <f t="array" ref="C1114">if(B1114="Tidak Ada",,if(isblank(B1114),,ifna(sumif('On Hand'!A:A,A1114,'On Hand'!D:D)&amp;" "&amp;_xlfn.xlookup(A1114,'All Item Code'!A:A,'All Item Code'!D:D,),0)))</f>
        <v/>
      </c>
      <c r="D1114" s="3" t="str">
        <f>IFERROR(__xludf.DUMMYFUNCTION("if(isblank(B1114),,ifna(textjoin(""; "",,filter('On Hand'!E:E,'On Hand'!A:A=A1114)),ifna(xlookup(A1114,'On Hand'!A:A,'On Hand'!E:E,),)))"),"")</f>
        <v/>
      </c>
    </row>
    <row r="1115">
      <c r="A1115" s="3" t="str">
        <f t="array" ref="A1115">ifna(_xlfn.xlookup(B1115,'All Item Code'!B:B,'All Item Code'!A:A,),)</f>
        <v/>
      </c>
      <c r="B1115" s="3"/>
      <c r="C1115" s="3" t="str">
        <f t="array" ref="C1115">if(B1115="Tidak Ada",,if(isblank(B1115),,ifna(sumif('On Hand'!A:A,A1115,'On Hand'!D:D)&amp;" "&amp;_xlfn.xlookup(A1115,'All Item Code'!A:A,'All Item Code'!D:D,),0)))</f>
        <v/>
      </c>
      <c r="D1115" s="3" t="str">
        <f>IFERROR(__xludf.DUMMYFUNCTION("if(isblank(B1115),,ifna(textjoin(""; "",,filter('On Hand'!E:E,'On Hand'!A:A=A1115)),ifna(xlookup(A1115,'On Hand'!A:A,'On Hand'!E:E,),)))"),"")</f>
        <v/>
      </c>
    </row>
    <row r="1116">
      <c r="A1116" s="3" t="str">
        <f t="array" ref="A1116">ifna(_xlfn.xlookup(B1116,'All Item Code'!B:B,'All Item Code'!A:A,),)</f>
        <v/>
      </c>
      <c r="B1116" s="3"/>
      <c r="C1116" s="3" t="str">
        <f t="array" ref="C1116">if(B1116="Tidak Ada",,if(isblank(B1116),,ifna(sumif('On Hand'!A:A,A1116,'On Hand'!D:D)&amp;" "&amp;_xlfn.xlookup(A1116,'All Item Code'!A:A,'All Item Code'!D:D,),0)))</f>
        <v/>
      </c>
      <c r="D1116" s="3" t="str">
        <f>IFERROR(__xludf.DUMMYFUNCTION("if(isblank(B1116),,ifna(textjoin(""; "",,filter('On Hand'!E:E,'On Hand'!A:A=A1116)),ifna(xlookup(A1116,'On Hand'!A:A,'On Hand'!E:E,),)))"),"")</f>
        <v/>
      </c>
    </row>
    <row r="1117">
      <c r="A1117" s="3" t="str">
        <f t="array" ref="A1117">ifna(_xlfn.xlookup(B1117,'All Item Code'!B:B,'All Item Code'!A:A,),)</f>
        <v/>
      </c>
      <c r="B1117" s="3"/>
      <c r="C1117" s="3" t="str">
        <f t="array" ref="C1117">if(B1117="Tidak Ada",,if(isblank(B1117),,ifna(sumif('On Hand'!A:A,A1117,'On Hand'!D:D)&amp;" "&amp;_xlfn.xlookup(A1117,'All Item Code'!A:A,'All Item Code'!D:D,),0)))</f>
        <v/>
      </c>
      <c r="D1117" s="3" t="str">
        <f>IFERROR(__xludf.DUMMYFUNCTION("if(isblank(B1117),,ifna(textjoin(""; "",,filter('On Hand'!E:E,'On Hand'!A:A=A1117)),ifna(xlookup(A1117,'On Hand'!A:A,'On Hand'!E:E,),)))"),"")</f>
        <v/>
      </c>
    </row>
    <row r="1118">
      <c r="A1118" s="3" t="str">
        <f t="array" ref="A1118">ifna(_xlfn.xlookup(B1118,'All Item Code'!B:B,'All Item Code'!A:A,),)</f>
        <v/>
      </c>
      <c r="B1118" s="3"/>
      <c r="C1118" s="3" t="str">
        <f t="array" ref="C1118">if(B1118="Tidak Ada",,if(isblank(B1118),,ifna(sumif('On Hand'!A:A,A1118,'On Hand'!D:D)&amp;" "&amp;_xlfn.xlookup(A1118,'All Item Code'!A:A,'All Item Code'!D:D,),0)))</f>
        <v/>
      </c>
      <c r="D1118" s="3" t="str">
        <f>IFERROR(__xludf.DUMMYFUNCTION("if(isblank(B1118),,ifna(textjoin(""; "",,filter('On Hand'!E:E,'On Hand'!A:A=A1118)),ifna(xlookup(A1118,'On Hand'!A:A,'On Hand'!E:E,),)))"),"")</f>
        <v/>
      </c>
    </row>
    <row r="1119">
      <c r="A1119" s="3" t="str">
        <f t="array" ref="A1119">ifna(_xlfn.xlookup(B1119,'All Item Code'!B:B,'All Item Code'!A:A,),)</f>
        <v/>
      </c>
      <c r="B1119" s="3"/>
      <c r="C1119" s="3" t="str">
        <f t="array" ref="C1119">if(B1119="Tidak Ada",,if(isblank(B1119),,ifna(sumif('On Hand'!A:A,A1119,'On Hand'!D:D)&amp;" "&amp;_xlfn.xlookup(A1119,'All Item Code'!A:A,'All Item Code'!D:D,),0)))</f>
        <v/>
      </c>
      <c r="D1119" s="3" t="str">
        <f>IFERROR(__xludf.DUMMYFUNCTION("if(isblank(B1119),,ifna(textjoin(""; "",,filter('On Hand'!E:E,'On Hand'!A:A=A1119)),ifna(xlookup(A1119,'On Hand'!A:A,'On Hand'!E:E,),)))"),"")</f>
        <v/>
      </c>
    </row>
    <row r="1120">
      <c r="A1120" s="3" t="str">
        <f t="array" ref="A1120">ifna(_xlfn.xlookup(B1120,'All Item Code'!B:B,'All Item Code'!A:A,),)</f>
        <v/>
      </c>
      <c r="B1120" s="3"/>
      <c r="C1120" s="3" t="str">
        <f t="array" ref="C1120">if(B1120="Tidak Ada",,if(isblank(B1120),,ifna(sumif('On Hand'!A:A,A1120,'On Hand'!D:D)&amp;" "&amp;_xlfn.xlookup(A1120,'All Item Code'!A:A,'All Item Code'!D:D,),0)))</f>
        <v/>
      </c>
      <c r="D1120" s="3" t="str">
        <f>IFERROR(__xludf.DUMMYFUNCTION("if(isblank(B1120),,ifna(textjoin(""; "",,filter('On Hand'!E:E,'On Hand'!A:A=A1120)),ifna(xlookup(A1120,'On Hand'!A:A,'On Hand'!E:E,),)))"),"")</f>
        <v/>
      </c>
    </row>
    <row r="1121">
      <c r="A1121" s="3" t="str">
        <f t="array" ref="A1121">ifna(_xlfn.xlookup(B1121,'All Item Code'!B:B,'All Item Code'!A:A,),)</f>
        <v/>
      </c>
      <c r="B1121" s="3"/>
      <c r="C1121" s="3" t="str">
        <f t="array" ref="C1121">if(B1121="Tidak Ada",,if(isblank(B1121),,ifna(sumif('On Hand'!A:A,A1121,'On Hand'!D:D)&amp;" "&amp;_xlfn.xlookup(A1121,'All Item Code'!A:A,'All Item Code'!D:D,),0)))</f>
        <v/>
      </c>
      <c r="D1121" s="3" t="str">
        <f>IFERROR(__xludf.DUMMYFUNCTION("if(isblank(B1121),,ifna(textjoin(""; "",,filter('On Hand'!E:E,'On Hand'!A:A=A1121)),ifna(xlookup(A1121,'On Hand'!A:A,'On Hand'!E:E,),)))"),"")</f>
        <v/>
      </c>
    </row>
    <row r="1122">
      <c r="A1122" s="3" t="str">
        <f t="array" ref="A1122">ifna(_xlfn.xlookup(B1122,'All Item Code'!B:B,'All Item Code'!A:A,),)</f>
        <v/>
      </c>
      <c r="B1122" s="3"/>
      <c r="C1122" s="3" t="str">
        <f t="array" ref="C1122">if(B1122="Tidak Ada",,if(isblank(B1122),,ifna(sumif('On Hand'!A:A,A1122,'On Hand'!D:D)&amp;" "&amp;_xlfn.xlookup(A1122,'All Item Code'!A:A,'All Item Code'!D:D,),0)))</f>
        <v/>
      </c>
      <c r="D1122" s="3" t="str">
        <f>IFERROR(__xludf.DUMMYFUNCTION("if(isblank(B1122),,ifna(textjoin(""; "",,filter('On Hand'!E:E,'On Hand'!A:A=A1122)),ifna(xlookup(A1122,'On Hand'!A:A,'On Hand'!E:E,),)))"),"")</f>
        <v/>
      </c>
    </row>
    <row r="1123">
      <c r="A1123" s="3" t="str">
        <f t="array" ref="A1123">ifna(_xlfn.xlookup(B1123,'All Item Code'!B:B,'All Item Code'!A:A,),)</f>
        <v/>
      </c>
      <c r="B1123" s="3"/>
      <c r="C1123" s="3" t="str">
        <f t="array" ref="C1123">if(B1123="Tidak Ada",,if(isblank(B1123),,ifna(sumif('On Hand'!A:A,A1123,'On Hand'!D:D)&amp;" "&amp;_xlfn.xlookup(A1123,'All Item Code'!A:A,'All Item Code'!D:D,),0)))</f>
        <v/>
      </c>
      <c r="D1123" s="3" t="str">
        <f>IFERROR(__xludf.DUMMYFUNCTION("if(isblank(B1123),,ifna(textjoin(""; "",,filter('On Hand'!E:E,'On Hand'!A:A=A1123)),ifna(xlookup(A1123,'On Hand'!A:A,'On Hand'!E:E,),)))"),"")</f>
        <v/>
      </c>
    </row>
    <row r="1124">
      <c r="A1124" s="3" t="str">
        <f t="array" ref="A1124">ifna(_xlfn.xlookup(B1124,'All Item Code'!B:B,'All Item Code'!A:A,),)</f>
        <v/>
      </c>
      <c r="B1124" s="3"/>
      <c r="C1124" s="3" t="str">
        <f t="array" ref="C1124">if(B1124="Tidak Ada",,if(isblank(B1124),,ifna(sumif('On Hand'!A:A,A1124,'On Hand'!D:D)&amp;" "&amp;_xlfn.xlookup(A1124,'All Item Code'!A:A,'All Item Code'!D:D,),0)))</f>
        <v/>
      </c>
      <c r="D1124" s="3" t="str">
        <f>IFERROR(__xludf.DUMMYFUNCTION("if(isblank(B1124),,ifna(textjoin(""; "",,filter('On Hand'!E:E,'On Hand'!A:A=A1124)),ifna(xlookup(A1124,'On Hand'!A:A,'On Hand'!E:E,),)))"),"")</f>
        <v/>
      </c>
    </row>
    <row r="1125">
      <c r="A1125" s="3" t="str">
        <f t="array" ref="A1125">ifna(_xlfn.xlookup(B1125,'All Item Code'!B:B,'All Item Code'!A:A,),)</f>
        <v/>
      </c>
      <c r="B1125" s="3"/>
      <c r="C1125" s="3" t="str">
        <f t="array" ref="C1125">if(B1125="Tidak Ada",,if(isblank(B1125),,ifna(sumif('On Hand'!A:A,A1125,'On Hand'!D:D)&amp;" "&amp;_xlfn.xlookup(A1125,'All Item Code'!A:A,'All Item Code'!D:D,),0)))</f>
        <v/>
      </c>
      <c r="D1125" s="3" t="str">
        <f>IFERROR(__xludf.DUMMYFUNCTION("if(isblank(B1125),,ifna(textjoin(""; "",,filter('On Hand'!E:E,'On Hand'!A:A=A1125)),ifna(xlookup(A1125,'On Hand'!A:A,'On Hand'!E:E,),)))"),"")</f>
        <v/>
      </c>
    </row>
    <row r="1126">
      <c r="A1126" s="3" t="str">
        <f t="array" ref="A1126">ifna(_xlfn.xlookup(B1126,'All Item Code'!B:B,'All Item Code'!A:A,),)</f>
        <v/>
      </c>
      <c r="B1126" s="3"/>
      <c r="C1126" s="3" t="str">
        <f t="array" ref="C1126">if(B1126="Tidak Ada",,if(isblank(B1126),,ifna(sumif('On Hand'!A:A,A1126,'On Hand'!D:D)&amp;" "&amp;_xlfn.xlookup(A1126,'All Item Code'!A:A,'All Item Code'!D:D,),0)))</f>
        <v/>
      </c>
      <c r="D1126" s="3" t="str">
        <f>IFERROR(__xludf.DUMMYFUNCTION("if(isblank(B1126),,ifna(textjoin(""; "",,filter('On Hand'!E:E,'On Hand'!A:A=A1126)),ifna(xlookup(A1126,'On Hand'!A:A,'On Hand'!E:E,),)))"),"")</f>
        <v/>
      </c>
    </row>
    <row r="1127">
      <c r="A1127" s="3" t="str">
        <f t="array" ref="A1127">ifna(_xlfn.xlookup(B1127,'All Item Code'!B:B,'All Item Code'!A:A,),)</f>
        <v/>
      </c>
      <c r="B1127" s="3"/>
      <c r="C1127" s="3" t="str">
        <f t="array" ref="C1127">if(B1127="Tidak Ada",,if(isblank(B1127),,ifna(sumif('On Hand'!A:A,A1127,'On Hand'!D:D)&amp;" "&amp;_xlfn.xlookup(A1127,'All Item Code'!A:A,'All Item Code'!D:D,),0)))</f>
        <v/>
      </c>
      <c r="D1127" s="3" t="str">
        <f>IFERROR(__xludf.DUMMYFUNCTION("if(isblank(B1127),,ifna(textjoin(""; "",,filter('On Hand'!E:E,'On Hand'!A:A=A1127)),ifna(xlookup(A1127,'On Hand'!A:A,'On Hand'!E:E,),)))"),"")</f>
        <v/>
      </c>
    </row>
    <row r="1128">
      <c r="A1128" s="3" t="str">
        <f t="array" ref="A1128">ifna(_xlfn.xlookup(B1128,'All Item Code'!B:B,'All Item Code'!A:A,),)</f>
        <v/>
      </c>
      <c r="B1128" s="3"/>
      <c r="C1128" s="3" t="str">
        <f t="array" ref="C1128">if(B1128="Tidak Ada",,if(isblank(B1128),,ifna(sumif('On Hand'!A:A,A1128,'On Hand'!D:D)&amp;" "&amp;_xlfn.xlookup(A1128,'All Item Code'!A:A,'All Item Code'!D:D,),0)))</f>
        <v/>
      </c>
      <c r="D1128" s="3" t="str">
        <f>IFERROR(__xludf.DUMMYFUNCTION("if(isblank(B1128),,ifna(textjoin(""; "",,filter('On Hand'!E:E,'On Hand'!A:A=A1128)),ifna(xlookup(A1128,'On Hand'!A:A,'On Hand'!E:E,),)))"),"")</f>
        <v/>
      </c>
    </row>
    <row r="1129">
      <c r="A1129" s="3" t="str">
        <f t="array" ref="A1129">ifna(_xlfn.xlookup(B1129,'All Item Code'!B:B,'All Item Code'!A:A,),)</f>
        <v/>
      </c>
      <c r="B1129" s="3"/>
      <c r="C1129" s="3" t="str">
        <f t="array" ref="C1129">if(B1129="Tidak Ada",,if(isblank(B1129),,ifna(sumif('On Hand'!A:A,A1129,'On Hand'!D:D)&amp;" "&amp;_xlfn.xlookup(A1129,'All Item Code'!A:A,'All Item Code'!D:D,),0)))</f>
        <v/>
      </c>
      <c r="D1129" s="3" t="str">
        <f>IFERROR(__xludf.DUMMYFUNCTION("if(isblank(B1129),,ifna(textjoin(""; "",,filter('On Hand'!E:E,'On Hand'!A:A=A1129)),ifna(xlookup(A1129,'On Hand'!A:A,'On Hand'!E:E,),)))"),"")</f>
        <v/>
      </c>
    </row>
    <row r="1130">
      <c r="A1130" s="3" t="str">
        <f t="array" ref="A1130">ifna(_xlfn.xlookup(B1130,'All Item Code'!B:B,'All Item Code'!A:A,),)</f>
        <v/>
      </c>
      <c r="B1130" s="3"/>
      <c r="C1130" s="3" t="str">
        <f t="array" ref="C1130">if(B1130="Tidak Ada",,if(isblank(B1130),,ifna(sumif('On Hand'!A:A,A1130,'On Hand'!D:D)&amp;" "&amp;_xlfn.xlookup(A1130,'All Item Code'!A:A,'All Item Code'!D:D,),0)))</f>
        <v/>
      </c>
      <c r="D1130" s="3" t="str">
        <f>IFERROR(__xludf.DUMMYFUNCTION("if(isblank(B1130),,ifna(textjoin(""; "",,filter('On Hand'!E:E,'On Hand'!A:A=A1130)),ifna(xlookup(A1130,'On Hand'!A:A,'On Hand'!E:E,),)))"),"")</f>
        <v/>
      </c>
    </row>
    <row r="1131">
      <c r="A1131" s="3" t="str">
        <f t="array" ref="A1131">ifna(_xlfn.xlookup(B1131,'All Item Code'!B:B,'All Item Code'!A:A,),)</f>
        <v/>
      </c>
      <c r="B1131" s="3"/>
      <c r="C1131" s="3" t="str">
        <f t="array" ref="C1131">if(B1131="Tidak Ada",,if(isblank(B1131),,ifna(sumif('On Hand'!A:A,A1131,'On Hand'!D:D)&amp;" "&amp;_xlfn.xlookup(A1131,'All Item Code'!A:A,'All Item Code'!D:D,),0)))</f>
        <v/>
      </c>
      <c r="D1131" s="3" t="str">
        <f>IFERROR(__xludf.DUMMYFUNCTION("if(isblank(B1131),,ifna(textjoin(""; "",,filter('On Hand'!E:E,'On Hand'!A:A=A1131)),ifna(xlookup(A1131,'On Hand'!A:A,'On Hand'!E:E,),)))"),"")</f>
        <v/>
      </c>
    </row>
    <row r="1132">
      <c r="A1132" s="3" t="str">
        <f t="array" ref="A1132">ifna(_xlfn.xlookup(B1132,'All Item Code'!B:B,'All Item Code'!A:A,),)</f>
        <v/>
      </c>
      <c r="B1132" s="3"/>
      <c r="C1132" s="3" t="str">
        <f t="array" ref="C1132">if(B1132="Tidak Ada",,if(isblank(B1132),,ifna(sumif('On Hand'!A:A,A1132,'On Hand'!D:D)&amp;" "&amp;_xlfn.xlookup(A1132,'All Item Code'!A:A,'All Item Code'!D:D,),0)))</f>
        <v/>
      </c>
      <c r="D1132" s="3" t="str">
        <f>IFERROR(__xludf.DUMMYFUNCTION("if(isblank(B1132),,ifna(textjoin(""; "",,filter('On Hand'!E:E,'On Hand'!A:A=A1132)),ifna(xlookup(A1132,'On Hand'!A:A,'On Hand'!E:E,),)))"),"")</f>
        <v/>
      </c>
    </row>
    <row r="1133">
      <c r="A1133" s="3" t="str">
        <f t="array" ref="A1133">ifna(_xlfn.xlookup(B1133,'All Item Code'!B:B,'All Item Code'!A:A,),)</f>
        <v/>
      </c>
      <c r="B1133" s="3"/>
      <c r="C1133" s="3" t="str">
        <f t="array" ref="C1133">if(B1133="Tidak Ada",,if(isblank(B1133),,ifna(sumif('On Hand'!A:A,A1133,'On Hand'!D:D)&amp;" "&amp;_xlfn.xlookup(A1133,'All Item Code'!A:A,'All Item Code'!D:D,),0)))</f>
        <v/>
      </c>
      <c r="D1133" s="3" t="str">
        <f>IFERROR(__xludf.DUMMYFUNCTION("if(isblank(B1133),,ifna(textjoin(""; "",,filter('On Hand'!E:E,'On Hand'!A:A=A1133)),ifna(xlookup(A1133,'On Hand'!A:A,'On Hand'!E:E,),)))"),"")</f>
        <v/>
      </c>
    </row>
    <row r="1134">
      <c r="A1134" s="3" t="str">
        <f t="array" ref="A1134">ifna(_xlfn.xlookup(B1134,'All Item Code'!B:B,'All Item Code'!A:A,),)</f>
        <v/>
      </c>
      <c r="B1134" s="3"/>
      <c r="C1134" s="3" t="str">
        <f t="array" ref="C1134">if(B1134="Tidak Ada",,if(isblank(B1134),,ifna(sumif('On Hand'!A:A,A1134,'On Hand'!D:D)&amp;" "&amp;_xlfn.xlookup(A1134,'All Item Code'!A:A,'All Item Code'!D:D,),0)))</f>
        <v/>
      </c>
      <c r="D1134" s="3" t="str">
        <f>IFERROR(__xludf.DUMMYFUNCTION("if(isblank(B1134),,ifna(textjoin(""; "",,filter('On Hand'!E:E,'On Hand'!A:A=A1134)),ifna(xlookup(A1134,'On Hand'!A:A,'On Hand'!E:E,),)))"),"")</f>
        <v/>
      </c>
    </row>
    <row r="1135">
      <c r="A1135" s="3" t="str">
        <f t="array" ref="A1135">ifna(_xlfn.xlookup(B1135,'All Item Code'!B:B,'All Item Code'!A:A,),)</f>
        <v/>
      </c>
      <c r="B1135" s="3"/>
      <c r="C1135" s="3" t="str">
        <f t="array" ref="C1135">if(B1135="Tidak Ada",,if(isblank(B1135),,ifna(sumif('On Hand'!A:A,A1135,'On Hand'!D:D)&amp;" "&amp;_xlfn.xlookup(A1135,'All Item Code'!A:A,'All Item Code'!D:D,),0)))</f>
        <v/>
      </c>
      <c r="D1135" s="3" t="str">
        <f>IFERROR(__xludf.DUMMYFUNCTION("if(isblank(B1135),,ifna(textjoin(""; "",,filter('On Hand'!E:E,'On Hand'!A:A=A1135)),ifna(xlookup(A1135,'On Hand'!A:A,'On Hand'!E:E,),)))"),"")</f>
        <v/>
      </c>
    </row>
    <row r="1136">
      <c r="A1136" s="3" t="str">
        <f t="array" ref="A1136">ifna(_xlfn.xlookup(B1136,'All Item Code'!B:B,'All Item Code'!A:A,),)</f>
        <v/>
      </c>
      <c r="B1136" s="3"/>
      <c r="C1136" s="3" t="str">
        <f t="array" ref="C1136">if(B1136="Tidak Ada",,if(isblank(B1136),,ifna(sumif('On Hand'!A:A,A1136,'On Hand'!D:D)&amp;" "&amp;_xlfn.xlookup(A1136,'All Item Code'!A:A,'All Item Code'!D:D,),0)))</f>
        <v/>
      </c>
      <c r="D1136" s="3" t="str">
        <f>IFERROR(__xludf.DUMMYFUNCTION("if(isblank(B1136),,ifna(textjoin(""; "",,filter('On Hand'!E:E,'On Hand'!A:A=A1136)),ifna(xlookup(A1136,'On Hand'!A:A,'On Hand'!E:E,),)))"),"")</f>
        <v/>
      </c>
    </row>
    <row r="1137">
      <c r="A1137" s="3" t="str">
        <f t="array" ref="A1137">ifna(_xlfn.xlookup(B1137,'All Item Code'!B:B,'All Item Code'!A:A,),)</f>
        <v/>
      </c>
      <c r="B1137" s="3"/>
      <c r="C1137" s="3" t="str">
        <f t="array" ref="C1137">if(B1137="Tidak Ada",,if(isblank(B1137),,ifna(sumif('On Hand'!A:A,A1137,'On Hand'!D:D)&amp;" "&amp;_xlfn.xlookup(A1137,'All Item Code'!A:A,'All Item Code'!D:D,),0)))</f>
        <v/>
      </c>
      <c r="D1137" s="3" t="str">
        <f>IFERROR(__xludf.DUMMYFUNCTION("if(isblank(B1137),,ifna(textjoin(""; "",,filter('On Hand'!E:E,'On Hand'!A:A=A1137)),ifna(xlookup(A1137,'On Hand'!A:A,'On Hand'!E:E,),)))"),"")</f>
        <v/>
      </c>
    </row>
    <row r="1138">
      <c r="A1138" s="3" t="str">
        <f t="array" ref="A1138">ifna(_xlfn.xlookup(B1138,'All Item Code'!B:B,'All Item Code'!A:A,),)</f>
        <v/>
      </c>
      <c r="B1138" s="3"/>
      <c r="C1138" s="3" t="str">
        <f t="array" ref="C1138">if(B1138="Tidak Ada",,if(isblank(B1138),,ifna(sumif('On Hand'!A:A,A1138,'On Hand'!D:D)&amp;" "&amp;_xlfn.xlookup(A1138,'All Item Code'!A:A,'All Item Code'!D:D,),0)))</f>
        <v/>
      </c>
      <c r="D1138" s="3" t="str">
        <f>IFERROR(__xludf.DUMMYFUNCTION("if(isblank(B1138),,ifna(textjoin(""; "",,filter('On Hand'!E:E,'On Hand'!A:A=A1138)),ifna(xlookup(A1138,'On Hand'!A:A,'On Hand'!E:E,),)))"),"")</f>
        <v/>
      </c>
    </row>
    <row r="1139">
      <c r="A1139" s="3" t="str">
        <f t="array" ref="A1139">ifna(_xlfn.xlookup(B1139,'All Item Code'!B:B,'All Item Code'!A:A,),)</f>
        <v/>
      </c>
      <c r="B1139" s="3"/>
      <c r="C1139" s="3" t="str">
        <f t="array" ref="C1139">if(B1139="Tidak Ada",,if(isblank(B1139),,ifna(sumif('On Hand'!A:A,A1139,'On Hand'!D:D)&amp;" "&amp;_xlfn.xlookup(A1139,'All Item Code'!A:A,'All Item Code'!D:D,),0)))</f>
        <v/>
      </c>
      <c r="D1139" s="3" t="str">
        <f>IFERROR(__xludf.DUMMYFUNCTION("if(isblank(B1139),,ifna(textjoin(""; "",,filter('On Hand'!E:E,'On Hand'!A:A=A1139)),ifna(xlookup(A1139,'On Hand'!A:A,'On Hand'!E:E,),)))"),"")</f>
        <v/>
      </c>
    </row>
    <row r="1140">
      <c r="A1140" s="3" t="str">
        <f t="array" ref="A1140">ifna(_xlfn.xlookup(B1140,'All Item Code'!B:B,'All Item Code'!A:A,),)</f>
        <v/>
      </c>
      <c r="B1140" s="3"/>
      <c r="C1140" s="3" t="str">
        <f t="array" ref="C1140">if(B1140="Tidak Ada",,if(isblank(B1140),,ifna(sumif('On Hand'!A:A,A1140,'On Hand'!D:D)&amp;" "&amp;_xlfn.xlookup(A1140,'All Item Code'!A:A,'All Item Code'!D:D,),0)))</f>
        <v/>
      </c>
      <c r="D1140" s="3" t="str">
        <f>IFERROR(__xludf.DUMMYFUNCTION("if(isblank(B1140),,ifna(textjoin(""; "",,filter('On Hand'!E:E,'On Hand'!A:A=A1140)),ifna(xlookup(A1140,'On Hand'!A:A,'On Hand'!E:E,),)))"),"")</f>
        <v/>
      </c>
    </row>
    <row r="1141">
      <c r="A1141" s="3" t="str">
        <f t="array" ref="A1141">ifna(_xlfn.xlookup(B1141,'All Item Code'!B:B,'All Item Code'!A:A,),)</f>
        <v/>
      </c>
      <c r="B1141" s="3"/>
      <c r="C1141" s="3" t="str">
        <f t="array" ref="C1141">if(B1141="Tidak Ada",,if(isblank(B1141),,ifna(sumif('On Hand'!A:A,A1141,'On Hand'!D:D)&amp;" "&amp;_xlfn.xlookup(A1141,'All Item Code'!A:A,'All Item Code'!D:D,),0)))</f>
        <v/>
      </c>
      <c r="D1141" s="3" t="str">
        <f>IFERROR(__xludf.DUMMYFUNCTION("if(isblank(B1141),,ifna(textjoin(""; "",,filter('On Hand'!E:E,'On Hand'!A:A=A1141)),ifna(xlookup(A1141,'On Hand'!A:A,'On Hand'!E:E,),)))"),"")</f>
        <v/>
      </c>
    </row>
    <row r="1142">
      <c r="A1142" s="3" t="str">
        <f t="array" ref="A1142">ifna(_xlfn.xlookup(B1142,'All Item Code'!B:B,'All Item Code'!A:A,),)</f>
        <v/>
      </c>
      <c r="B1142" s="3"/>
      <c r="C1142" s="3" t="str">
        <f t="array" ref="C1142">if(B1142="Tidak Ada",,if(isblank(B1142),,ifna(sumif('On Hand'!A:A,A1142,'On Hand'!D:D)&amp;" "&amp;_xlfn.xlookup(A1142,'All Item Code'!A:A,'All Item Code'!D:D,),0)))</f>
        <v/>
      </c>
      <c r="D1142" s="3" t="str">
        <f>IFERROR(__xludf.DUMMYFUNCTION("if(isblank(B1142),,ifna(textjoin(""; "",,filter('On Hand'!E:E,'On Hand'!A:A=A1142)),ifna(xlookup(A1142,'On Hand'!A:A,'On Hand'!E:E,),)))"),"")</f>
        <v/>
      </c>
    </row>
    <row r="1143">
      <c r="A1143" s="3" t="str">
        <f t="array" ref="A1143">ifna(_xlfn.xlookup(B1143,'All Item Code'!B:B,'All Item Code'!A:A,),)</f>
        <v/>
      </c>
      <c r="B1143" s="3"/>
      <c r="C1143" s="3" t="str">
        <f t="array" ref="C1143">if(B1143="Tidak Ada",,if(isblank(B1143),,ifna(sumif('On Hand'!A:A,A1143,'On Hand'!D:D)&amp;" "&amp;_xlfn.xlookup(A1143,'All Item Code'!A:A,'All Item Code'!D:D,),0)))</f>
        <v/>
      </c>
      <c r="D1143" s="3" t="str">
        <f>IFERROR(__xludf.DUMMYFUNCTION("if(isblank(B1143),,ifna(textjoin(""; "",,filter('On Hand'!E:E,'On Hand'!A:A=A1143)),ifna(xlookup(A1143,'On Hand'!A:A,'On Hand'!E:E,),)))"),"")</f>
        <v/>
      </c>
    </row>
    <row r="1144">
      <c r="A1144" s="3" t="str">
        <f t="array" ref="A1144">ifna(_xlfn.xlookup(B1144,'All Item Code'!B:B,'All Item Code'!A:A,),)</f>
        <v/>
      </c>
      <c r="B1144" s="3"/>
      <c r="C1144" s="3" t="str">
        <f t="array" ref="C1144">if(B1144="Tidak Ada",,if(isblank(B1144),,ifna(sumif('On Hand'!A:A,A1144,'On Hand'!D:D)&amp;" "&amp;_xlfn.xlookup(A1144,'All Item Code'!A:A,'All Item Code'!D:D,),0)))</f>
        <v/>
      </c>
      <c r="D1144" s="3" t="str">
        <f>IFERROR(__xludf.DUMMYFUNCTION("if(isblank(B1144),,ifna(textjoin(""; "",,filter('On Hand'!E:E,'On Hand'!A:A=A1144)),ifna(xlookup(A1144,'On Hand'!A:A,'On Hand'!E:E,),)))"),"")</f>
        <v/>
      </c>
    </row>
    <row r="1145">
      <c r="A1145" s="3" t="str">
        <f t="array" ref="A1145">ifna(_xlfn.xlookup(B1145,'All Item Code'!B:B,'All Item Code'!A:A,),)</f>
        <v/>
      </c>
      <c r="B1145" s="3"/>
      <c r="C1145" s="3" t="str">
        <f t="array" ref="C1145">if(B1145="Tidak Ada",,if(isblank(B1145),,ifna(sumif('On Hand'!A:A,A1145,'On Hand'!D:D)&amp;" "&amp;_xlfn.xlookup(A1145,'All Item Code'!A:A,'All Item Code'!D:D,),0)))</f>
        <v/>
      </c>
      <c r="D1145" s="3" t="str">
        <f>IFERROR(__xludf.DUMMYFUNCTION("if(isblank(B1145),,ifna(textjoin(""; "",,filter('On Hand'!E:E,'On Hand'!A:A=A1145)),ifna(xlookup(A1145,'On Hand'!A:A,'On Hand'!E:E,),)))"),"")</f>
        <v/>
      </c>
    </row>
    <row r="1146">
      <c r="A1146" s="3" t="str">
        <f t="array" ref="A1146">ifna(_xlfn.xlookup(B1146,'All Item Code'!B:B,'All Item Code'!A:A,),)</f>
        <v/>
      </c>
      <c r="B1146" s="3"/>
      <c r="C1146" s="3" t="str">
        <f t="array" ref="C1146">if(B1146="Tidak Ada",,if(isblank(B1146),,ifna(sumif('On Hand'!A:A,A1146,'On Hand'!D:D)&amp;" "&amp;_xlfn.xlookup(A1146,'All Item Code'!A:A,'All Item Code'!D:D,),0)))</f>
        <v/>
      </c>
      <c r="D1146" s="3" t="str">
        <f>IFERROR(__xludf.DUMMYFUNCTION("if(isblank(B1146),,ifna(textjoin(""; "",,filter('On Hand'!E:E,'On Hand'!A:A=A1146)),ifna(xlookup(A1146,'On Hand'!A:A,'On Hand'!E:E,),)))"),"")</f>
        <v/>
      </c>
    </row>
    <row r="1147">
      <c r="A1147" s="3" t="str">
        <f t="array" ref="A1147">ifna(_xlfn.xlookup(B1147,'All Item Code'!B:B,'All Item Code'!A:A,),)</f>
        <v/>
      </c>
      <c r="B1147" s="3"/>
      <c r="C1147" s="3" t="str">
        <f t="array" ref="C1147">if(B1147="Tidak Ada",,if(isblank(B1147),,ifna(sumif('On Hand'!A:A,A1147,'On Hand'!D:D)&amp;" "&amp;_xlfn.xlookup(A1147,'All Item Code'!A:A,'All Item Code'!D:D,),0)))</f>
        <v/>
      </c>
      <c r="D1147" s="3" t="str">
        <f>IFERROR(__xludf.DUMMYFUNCTION("if(isblank(B1147),,ifna(textjoin(""; "",,filter('On Hand'!E:E,'On Hand'!A:A=A1147)),ifna(xlookup(A1147,'On Hand'!A:A,'On Hand'!E:E,),)))"),"")</f>
        <v/>
      </c>
    </row>
    <row r="1148">
      <c r="A1148" s="3" t="str">
        <f t="array" ref="A1148">ifna(_xlfn.xlookup(B1148,'All Item Code'!B:B,'All Item Code'!A:A,),)</f>
        <v/>
      </c>
      <c r="B1148" s="3"/>
      <c r="C1148" s="3" t="str">
        <f t="array" ref="C1148">if(B1148="Tidak Ada",,if(isblank(B1148),,ifna(sumif('On Hand'!A:A,A1148,'On Hand'!D:D)&amp;" "&amp;_xlfn.xlookup(A1148,'All Item Code'!A:A,'All Item Code'!D:D,),0)))</f>
        <v/>
      </c>
      <c r="D1148" s="3" t="str">
        <f>IFERROR(__xludf.DUMMYFUNCTION("if(isblank(B1148),,ifna(textjoin(""; "",,filter('On Hand'!E:E,'On Hand'!A:A=A1148)),ifna(xlookup(A1148,'On Hand'!A:A,'On Hand'!E:E,),)))"),"")</f>
        <v/>
      </c>
    </row>
    <row r="1149">
      <c r="A1149" s="3" t="str">
        <f t="array" ref="A1149">ifna(_xlfn.xlookup(B1149,'All Item Code'!B:B,'All Item Code'!A:A,),)</f>
        <v/>
      </c>
      <c r="B1149" s="3"/>
      <c r="C1149" s="3" t="str">
        <f t="array" ref="C1149">if(B1149="Tidak Ada",,if(isblank(B1149),,ifna(sumif('On Hand'!A:A,A1149,'On Hand'!D:D)&amp;" "&amp;_xlfn.xlookup(A1149,'All Item Code'!A:A,'All Item Code'!D:D,),0)))</f>
        <v/>
      </c>
      <c r="D1149" s="3" t="str">
        <f>IFERROR(__xludf.DUMMYFUNCTION("if(isblank(B1149),,ifna(textjoin(""; "",,filter('On Hand'!E:E,'On Hand'!A:A=A1149)),ifna(xlookup(A1149,'On Hand'!A:A,'On Hand'!E:E,),)))"),"")</f>
        <v/>
      </c>
    </row>
    <row r="1150">
      <c r="A1150" s="3" t="str">
        <f t="array" ref="A1150">ifna(_xlfn.xlookup(B1150,'All Item Code'!B:B,'All Item Code'!A:A,),)</f>
        <v/>
      </c>
      <c r="B1150" s="3"/>
      <c r="C1150" s="3" t="str">
        <f t="array" ref="C1150">if(B1150="Tidak Ada",,if(isblank(B1150),,ifna(sumif('On Hand'!A:A,A1150,'On Hand'!D:D)&amp;" "&amp;_xlfn.xlookup(A1150,'All Item Code'!A:A,'All Item Code'!D:D,),0)))</f>
        <v/>
      </c>
      <c r="D1150" s="3" t="str">
        <f>IFERROR(__xludf.DUMMYFUNCTION("if(isblank(B1150),,ifna(textjoin(""; "",,filter('On Hand'!E:E,'On Hand'!A:A=A1150)),ifna(xlookup(A1150,'On Hand'!A:A,'On Hand'!E:E,),)))"),"")</f>
        <v/>
      </c>
    </row>
    <row r="1151">
      <c r="A1151" s="3" t="str">
        <f t="array" ref="A1151">ifna(_xlfn.xlookup(B1151,'All Item Code'!B:B,'All Item Code'!A:A,),)</f>
        <v/>
      </c>
      <c r="B1151" s="3"/>
      <c r="C1151" s="3" t="str">
        <f t="array" ref="C1151">if(B1151="Tidak Ada",,if(isblank(B1151),,ifna(sumif('On Hand'!A:A,A1151,'On Hand'!D:D)&amp;" "&amp;_xlfn.xlookup(A1151,'All Item Code'!A:A,'All Item Code'!D:D,),0)))</f>
        <v/>
      </c>
      <c r="D1151" s="3" t="str">
        <f>IFERROR(__xludf.DUMMYFUNCTION("if(isblank(B1151),,ifna(textjoin(""; "",,filter('On Hand'!E:E,'On Hand'!A:A=A1151)),ifna(xlookup(A1151,'On Hand'!A:A,'On Hand'!E:E,),)))"),"")</f>
        <v/>
      </c>
    </row>
    <row r="1152">
      <c r="A1152" s="3" t="str">
        <f t="array" ref="A1152">ifna(_xlfn.xlookup(B1152,'All Item Code'!B:B,'All Item Code'!A:A,),)</f>
        <v/>
      </c>
      <c r="B1152" s="3"/>
      <c r="C1152" s="3" t="str">
        <f t="array" ref="C1152">if(B1152="Tidak Ada",,if(isblank(B1152),,ifna(sumif('On Hand'!A:A,A1152,'On Hand'!D:D)&amp;" "&amp;_xlfn.xlookup(A1152,'All Item Code'!A:A,'All Item Code'!D:D,),0)))</f>
        <v/>
      </c>
      <c r="D1152" s="3" t="str">
        <f>IFERROR(__xludf.DUMMYFUNCTION("if(isblank(B1152),,ifna(textjoin(""; "",,filter('On Hand'!E:E,'On Hand'!A:A=A1152)),ifna(xlookup(A1152,'On Hand'!A:A,'On Hand'!E:E,),)))"),"")</f>
        <v/>
      </c>
    </row>
    <row r="1153">
      <c r="A1153" s="3" t="str">
        <f t="array" ref="A1153">ifna(_xlfn.xlookup(B1153,'All Item Code'!B:B,'All Item Code'!A:A,),)</f>
        <v/>
      </c>
      <c r="B1153" s="3"/>
      <c r="C1153" s="3" t="str">
        <f t="array" ref="C1153">if(B1153="Tidak Ada",,if(isblank(B1153),,ifna(sumif('On Hand'!A:A,A1153,'On Hand'!D:D)&amp;" "&amp;_xlfn.xlookup(A1153,'All Item Code'!A:A,'All Item Code'!D:D,),0)))</f>
        <v/>
      </c>
      <c r="D1153" s="3" t="str">
        <f>IFERROR(__xludf.DUMMYFUNCTION("if(isblank(B1153),,ifna(textjoin(""; "",,filter('On Hand'!E:E,'On Hand'!A:A=A1153)),ifna(xlookup(A1153,'On Hand'!A:A,'On Hand'!E:E,),)))"),"")</f>
        <v/>
      </c>
    </row>
    <row r="1154">
      <c r="A1154" s="3" t="str">
        <f t="array" ref="A1154">ifna(_xlfn.xlookup(B1154,'All Item Code'!B:B,'All Item Code'!A:A,),)</f>
        <v/>
      </c>
      <c r="B1154" s="3"/>
      <c r="C1154" s="3" t="str">
        <f t="array" ref="C1154">if(B1154="Tidak Ada",,if(isblank(B1154),,ifna(sumif('On Hand'!A:A,A1154,'On Hand'!D:D)&amp;" "&amp;_xlfn.xlookup(A1154,'All Item Code'!A:A,'All Item Code'!D:D,),0)))</f>
        <v/>
      </c>
      <c r="D1154" s="3" t="str">
        <f>IFERROR(__xludf.DUMMYFUNCTION("if(isblank(B1154),,ifna(textjoin(""; "",,filter('On Hand'!E:E,'On Hand'!A:A=A1154)),ifna(xlookup(A1154,'On Hand'!A:A,'On Hand'!E:E,),)))"),"")</f>
        <v/>
      </c>
    </row>
    <row r="1155">
      <c r="A1155" s="3" t="str">
        <f t="array" ref="A1155">ifna(_xlfn.xlookup(B1155,'All Item Code'!B:B,'All Item Code'!A:A,),)</f>
        <v/>
      </c>
      <c r="B1155" s="3"/>
      <c r="C1155" s="3" t="str">
        <f t="array" ref="C1155">if(B1155="Tidak Ada",,if(isblank(B1155),,ifna(sumif('On Hand'!A:A,A1155,'On Hand'!D:D)&amp;" "&amp;_xlfn.xlookup(A1155,'All Item Code'!A:A,'All Item Code'!D:D,),0)))</f>
        <v/>
      </c>
      <c r="D1155" s="3" t="str">
        <f>IFERROR(__xludf.DUMMYFUNCTION("if(isblank(B1155),,ifna(textjoin(""; "",,filter('On Hand'!E:E,'On Hand'!A:A=A1155)),ifna(xlookup(A1155,'On Hand'!A:A,'On Hand'!E:E,),)))"),"")</f>
        <v/>
      </c>
    </row>
    <row r="1156">
      <c r="A1156" s="3" t="str">
        <f t="array" ref="A1156">ifna(_xlfn.xlookup(B1156,'All Item Code'!B:B,'All Item Code'!A:A,),)</f>
        <v/>
      </c>
      <c r="B1156" s="3"/>
      <c r="C1156" s="3" t="str">
        <f t="array" ref="C1156">if(B1156="Tidak Ada",,if(isblank(B1156),,ifna(sumif('On Hand'!A:A,A1156,'On Hand'!D:D)&amp;" "&amp;_xlfn.xlookup(A1156,'All Item Code'!A:A,'All Item Code'!D:D,),0)))</f>
        <v/>
      </c>
      <c r="D1156" s="3" t="str">
        <f>IFERROR(__xludf.DUMMYFUNCTION("if(isblank(B1156),,ifna(textjoin(""; "",,filter('On Hand'!E:E,'On Hand'!A:A=A1156)),ifna(xlookup(A1156,'On Hand'!A:A,'On Hand'!E:E,),)))"),"")</f>
        <v/>
      </c>
    </row>
    <row r="1157">
      <c r="A1157" s="3" t="str">
        <f t="array" ref="A1157">ifna(_xlfn.xlookup(B1157,'All Item Code'!B:B,'All Item Code'!A:A,),)</f>
        <v/>
      </c>
      <c r="B1157" s="3"/>
      <c r="C1157" s="3" t="str">
        <f t="array" ref="C1157">if(B1157="Tidak Ada",,if(isblank(B1157),,ifna(sumif('On Hand'!A:A,A1157,'On Hand'!D:D)&amp;" "&amp;_xlfn.xlookup(A1157,'All Item Code'!A:A,'All Item Code'!D:D,),0)))</f>
        <v/>
      </c>
      <c r="D1157" s="3" t="str">
        <f>IFERROR(__xludf.DUMMYFUNCTION("if(isblank(B1157),,ifna(textjoin(""; "",,filter('On Hand'!E:E,'On Hand'!A:A=A1157)),ifna(xlookup(A1157,'On Hand'!A:A,'On Hand'!E:E,),)))"),"")</f>
        <v/>
      </c>
    </row>
    <row r="1158">
      <c r="A1158" s="3" t="str">
        <f t="array" ref="A1158">ifna(_xlfn.xlookup(B1158,'All Item Code'!B:B,'All Item Code'!A:A,),)</f>
        <v/>
      </c>
      <c r="B1158" s="3"/>
      <c r="C1158" s="3" t="str">
        <f t="array" ref="C1158">if(B1158="Tidak Ada",,if(isblank(B1158),,ifna(sumif('On Hand'!A:A,A1158,'On Hand'!D:D)&amp;" "&amp;_xlfn.xlookup(A1158,'All Item Code'!A:A,'All Item Code'!D:D,),0)))</f>
        <v/>
      </c>
      <c r="D1158" s="3" t="str">
        <f>IFERROR(__xludf.DUMMYFUNCTION("if(isblank(B1158),,ifna(textjoin(""; "",,filter('On Hand'!E:E,'On Hand'!A:A=A1158)),ifna(xlookup(A1158,'On Hand'!A:A,'On Hand'!E:E,),)))"),"")</f>
        <v/>
      </c>
    </row>
    <row r="1159">
      <c r="A1159" s="3" t="str">
        <f t="array" ref="A1159">ifna(_xlfn.xlookup(B1159,'All Item Code'!B:B,'All Item Code'!A:A,),)</f>
        <v/>
      </c>
      <c r="B1159" s="3"/>
      <c r="C1159" s="3" t="str">
        <f t="array" ref="C1159">if(B1159="Tidak Ada",,if(isblank(B1159),,ifna(sumif('On Hand'!A:A,A1159,'On Hand'!D:D)&amp;" "&amp;_xlfn.xlookup(A1159,'All Item Code'!A:A,'All Item Code'!D:D,),0)))</f>
        <v/>
      </c>
      <c r="D1159" s="3" t="str">
        <f>IFERROR(__xludf.DUMMYFUNCTION("if(isblank(B1159),,ifna(textjoin(""; "",,filter('On Hand'!E:E,'On Hand'!A:A=A1159)),ifna(xlookup(A1159,'On Hand'!A:A,'On Hand'!E:E,),)))"),"")</f>
        <v/>
      </c>
    </row>
    <row r="1160">
      <c r="A1160" s="3" t="str">
        <f t="array" ref="A1160">ifna(_xlfn.xlookup(B1160,'All Item Code'!B:B,'All Item Code'!A:A,),)</f>
        <v/>
      </c>
      <c r="B1160" s="3"/>
      <c r="C1160" s="3" t="str">
        <f t="array" ref="C1160">if(B1160="Tidak Ada",,if(isblank(B1160),,ifna(sumif('On Hand'!A:A,A1160,'On Hand'!D:D)&amp;" "&amp;_xlfn.xlookup(A1160,'All Item Code'!A:A,'All Item Code'!D:D,),0)))</f>
        <v/>
      </c>
      <c r="D1160" s="3" t="str">
        <f>IFERROR(__xludf.DUMMYFUNCTION("if(isblank(B1160),,ifna(textjoin(""; "",,filter('On Hand'!E:E,'On Hand'!A:A=A1160)),ifna(xlookup(A1160,'On Hand'!A:A,'On Hand'!E:E,),)))"),"")</f>
        <v/>
      </c>
    </row>
    <row r="1161">
      <c r="A1161" s="3" t="str">
        <f t="array" ref="A1161">ifna(_xlfn.xlookup(B1161,'All Item Code'!B:B,'All Item Code'!A:A,),)</f>
        <v/>
      </c>
      <c r="B1161" s="3"/>
      <c r="C1161" s="3" t="str">
        <f t="array" ref="C1161">if(B1161="Tidak Ada",,if(isblank(B1161),,ifna(sumif('On Hand'!A:A,A1161,'On Hand'!D:D)&amp;" "&amp;_xlfn.xlookup(A1161,'All Item Code'!A:A,'All Item Code'!D:D,),0)))</f>
        <v/>
      </c>
      <c r="D1161" s="3" t="str">
        <f>IFERROR(__xludf.DUMMYFUNCTION("if(isblank(B1161),,ifna(textjoin(""; "",,filter('On Hand'!E:E,'On Hand'!A:A=A1161)),ifna(xlookup(A1161,'On Hand'!A:A,'On Hand'!E:E,),)))"),"")</f>
        <v/>
      </c>
    </row>
    <row r="1162">
      <c r="A1162" s="3" t="str">
        <f t="array" ref="A1162">ifna(_xlfn.xlookup(B1162,'All Item Code'!B:B,'All Item Code'!A:A,),)</f>
        <v/>
      </c>
      <c r="B1162" s="3"/>
      <c r="C1162" s="3" t="str">
        <f t="array" ref="C1162">if(B1162="Tidak Ada",,if(isblank(B1162),,ifna(sumif('On Hand'!A:A,A1162,'On Hand'!D:D)&amp;" "&amp;_xlfn.xlookup(A1162,'All Item Code'!A:A,'All Item Code'!D:D,),0)))</f>
        <v/>
      </c>
      <c r="D1162" s="3" t="str">
        <f>IFERROR(__xludf.DUMMYFUNCTION("if(isblank(B1162),,ifna(textjoin(""; "",,filter('On Hand'!E:E,'On Hand'!A:A=A1162)),ifna(xlookup(A1162,'On Hand'!A:A,'On Hand'!E:E,),)))"),"")</f>
        <v/>
      </c>
    </row>
    <row r="1163">
      <c r="A1163" s="3" t="str">
        <f t="array" ref="A1163">ifna(_xlfn.xlookup(B1163,'All Item Code'!B:B,'All Item Code'!A:A,),)</f>
        <v/>
      </c>
      <c r="B1163" s="3"/>
      <c r="C1163" s="3" t="str">
        <f t="array" ref="C1163">if(B1163="Tidak Ada",,if(isblank(B1163),,ifna(sumif('On Hand'!A:A,A1163,'On Hand'!D:D)&amp;" "&amp;_xlfn.xlookup(A1163,'All Item Code'!A:A,'All Item Code'!D:D,),0)))</f>
        <v/>
      </c>
      <c r="D1163" s="3" t="str">
        <f>IFERROR(__xludf.DUMMYFUNCTION("if(isblank(B1163),,ifna(textjoin(""; "",,filter('On Hand'!E:E,'On Hand'!A:A=A1163)),ifna(xlookup(A1163,'On Hand'!A:A,'On Hand'!E:E,),)))"),"")</f>
        <v/>
      </c>
    </row>
    <row r="1164">
      <c r="A1164" s="3" t="str">
        <f t="array" ref="A1164">ifna(_xlfn.xlookup(B1164,'All Item Code'!B:B,'All Item Code'!A:A,),)</f>
        <v/>
      </c>
      <c r="B1164" s="3"/>
      <c r="C1164" s="3" t="str">
        <f t="array" ref="C1164">if(B1164="Tidak Ada",,if(isblank(B1164),,ifna(sumif('On Hand'!A:A,A1164,'On Hand'!D:D)&amp;" "&amp;_xlfn.xlookup(A1164,'All Item Code'!A:A,'All Item Code'!D:D,),0)))</f>
        <v/>
      </c>
      <c r="D1164" s="3" t="str">
        <f>IFERROR(__xludf.DUMMYFUNCTION("if(isblank(B1164),,ifna(textjoin(""; "",,filter('On Hand'!E:E,'On Hand'!A:A=A1164)),ifna(xlookup(A1164,'On Hand'!A:A,'On Hand'!E:E,),)))"),"")</f>
        <v/>
      </c>
    </row>
    <row r="1165">
      <c r="A1165" s="3" t="str">
        <f t="array" ref="A1165">ifna(_xlfn.xlookup(B1165,'All Item Code'!B:B,'All Item Code'!A:A,),)</f>
        <v/>
      </c>
      <c r="B1165" s="3"/>
      <c r="C1165" s="3" t="str">
        <f t="array" ref="C1165">if(B1165="Tidak Ada",,if(isblank(B1165),,ifna(sumif('On Hand'!A:A,A1165,'On Hand'!D:D)&amp;" "&amp;_xlfn.xlookup(A1165,'All Item Code'!A:A,'All Item Code'!D:D,),0)))</f>
        <v/>
      </c>
      <c r="D1165" s="3" t="str">
        <f>IFERROR(__xludf.DUMMYFUNCTION("if(isblank(B1165),,ifna(textjoin(""; "",,filter('On Hand'!E:E,'On Hand'!A:A=A1165)),ifna(xlookup(A1165,'On Hand'!A:A,'On Hand'!E:E,),)))"),"")</f>
        <v/>
      </c>
    </row>
    <row r="1166">
      <c r="A1166" s="3" t="str">
        <f t="array" ref="A1166">ifna(_xlfn.xlookup(B1166,'All Item Code'!B:B,'All Item Code'!A:A,),)</f>
        <v/>
      </c>
      <c r="B1166" s="3"/>
      <c r="C1166" s="3" t="str">
        <f t="array" ref="C1166">if(B1166="Tidak Ada",,if(isblank(B1166),,ifna(sumif('On Hand'!A:A,A1166,'On Hand'!D:D)&amp;" "&amp;_xlfn.xlookup(A1166,'All Item Code'!A:A,'All Item Code'!D:D,),0)))</f>
        <v/>
      </c>
      <c r="D1166" s="3" t="str">
        <f>IFERROR(__xludf.DUMMYFUNCTION("if(isblank(B1166),,ifna(textjoin(""; "",,filter('On Hand'!E:E,'On Hand'!A:A=A1166)),ifna(xlookup(A1166,'On Hand'!A:A,'On Hand'!E:E,),)))"),"")</f>
        <v/>
      </c>
    </row>
    <row r="1167">
      <c r="A1167" s="3" t="str">
        <f t="array" ref="A1167">ifna(_xlfn.xlookup(B1167,'All Item Code'!B:B,'All Item Code'!A:A,),)</f>
        <v/>
      </c>
      <c r="B1167" s="3"/>
      <c r="C1167" s="3" t="str">
        <f t="array" ref="C1167">if(B1167="Tidak Ada",,if(isblank(B1167),,ifna(sumif('On Hand'!A:A,A1167,'On Hand'!D:D)&amp;" "&amp;_xlfn.xlookup(A1167,'All Item Code'!A:A,'All Item Code'!D:D,),0)))</f>
        <v/>
      </c>
      <c r="D1167" s="3" t="str">
        <f>IFERROR(__xludf.DUMMYFUNCTION("if(isblank(B1167),,ifna(textjoin(""; "",,filter('On Hand'!E:E,'On Hand'!A:A=A1167)),ifna(xlookup(A1167,'On Hand'!A:A,'On Hand'!E:E,),)))"),"")</f>
        <v/>
      </c>
    </row>
    <row r="1168">
      <c r="A1168" s="3" t="str">
        <f t="array" ref="A1168">ifna(_xlfn.xlookup(B1168,'All Item Code'!B:B,'All Item Code'!A:A,),)</f>
        <v/>
      </c>
      <c r="B1168" s="3"/>
      <c r="C1168" s="3" t="str">
        <f t="array" ref="C1168">if(B1168="Tidak Ada",,if(isblank(B1168),,ifna(sumif('On Hand'!A:A,A1168,'On Hand'!D:D)&amp;" "&amp;_xlfn.xlookup(A1168,'All Item Code'!A:A,'All Item Code'!D:D,),0)))</f>
        <v/>
      </c>
      <c r="D1168" s="3" t="str">
        <f>IFERROR(__xludf.DUMMYFUNCTION("if(isblank(B1168),,ifna(textjoin(""; "",,filter('On Hand'!E:E,'On Hand'!A:A=A1168)),ifna(xlookup(A1168,'On Hand'!A:A,'On Hand'!E:E,),)))"),"")</f>
        <v/>
      </c>
    </row>
    <row r="1169">
      <c r="A1169" s="3" t="str">
        <f t="array" ref="A1169">ifna(_xlfn.xlookup(B1169,'All Item Code'!B:B,'All Item Code'!A:A,),)</f>
        <v/>
      </c>
      <c r="B1169" s="3"/>
      <c r="C1169" s="3" t="str">
        <f t="array" ref="C1169">if(B1169="Tidak Ada",,if(isblank(B1169),,ifna(sumif('On Hand'!A:A,A1169,'On Hand'!D:D)&amp;" "&amp;_xlfn.xlookup(A1169,'All Item Code'!A:A,'All Item Code'!D:D,),0)))</f>
        <v/>
      </c>
      <c r="D1169" s="3" t="str">
        <f>IFERROR(__xludf.DUMMYFUNCTION("if(isblank(B1169),,ifna(textjoin(""; "",,filter('On Hand'!E:E,'On Hand'!A:A=A1169)),ifna(xlookup(A1169,'On Hand'!A:A,'On Hand'!E:E,),)))"),"")</f>
        <v/>
      </c>
    </row>
    <row r="1170">
      <c r="A1170" s="3" t="str">
        <f t="array" ref="A1170">ifna(_xlfn.xlookup(B1170,'All Item Code'!B:B,'All Item Code'!A:A,),)</f>
        <v/>
      </c>
      <c r="B1170" s="3"/>
      <c r="C1170" s="3" t="str">
        <f t="array" ref="C1170">if(B1170="Tidak Ada",,if(isblank(B1170),,ifna(sumif('On Hand'!A:A,A1170,'On Hand'!D:D)&amp;" "&amp;_xlfn.xlookup(A1170,'All Item Code'!A:A,'All Item Code'!D:D,),0)))</f>
        <v/>
      </c>
      <c r="D1170" s="3" t="str">
        <f>IFERROR(__xludf.DUMMYFUNCTION("if(isblank(B1170),,ifna(textjoin(""; "",,filter('On Hand'!E:E,'On Hand'!A:A=A1170)),ifna(xlookup(A1170,'On Hand'!A:A,'On Hand'!E:E,),)))"),"")</f>
        <v/>
      </c>
    </row>
    <row r="1171">
      <c r="A1171" s="3" t="str">
        <f t="array" ref="A1171">ifna(_xlfn.xlookup(B1171,'All Item Code'!B:B,'All Item Code'!A:A,),)</f>
        <v/>
      </c>
      <c r="B1171" s="3"/>
      <c r="C1171" s="3" t="str">
        <f t="array" ref="C1171">if(B1171="Tidak Ada",,if(isblank(B1171),,ifna(sumif('On Hand'!A:A,A1171,'On Hand'!D:D)&amp;" "&amp;_xlfn.xlookup(A1171,'All Item Code'!A:A,'All Item Code'!D:D,),0)))</f>
        <v/>
      </c>
      <c r="D1171" s="3" t="str">
        <f>IFERROR(__xludf.DUMMYFUNCTION("if(isblank(B1171),,ifna(textjoin(""; "",,filter('On Hand'!E:E,'On Hand'!A:A=A1171)),ifna(xlookup(A1171,'On Hand'!A:A,'On Hand'!E:E,),)))"),"")</f>
        <v/>
      </c>
    </row>
    <row r="1172">
      <c r="A1172" s="3" t="str">
        <f t="array" ref="A1172">ifna(_xlfn.xlookup(B1172,'All Item Code'!B:B,'All Item Code'!A:A,),)</f>
        <v/>
      </c>
      <c r="B1172" s="3"/>
      <c r="C1172" s="3" t="str">
        <f t="array" ref="C1172">if(B1172="Tidak Ada",,if(isblank(B1172),,ifna(sumif('On Hand'!A:A,A1172,'On Hand'!D:D)&amp;" "&amp;_xlfn.xlookup(A1172,'All Item Code'!A:A,'All Item Code'!D:D,),0)))</f>
        <v/>
      </c>
      <c r="D1172" s="3" t="str">
        <f>IFERROR(__xludf.DUMMYFUNCTION("if(isblank(B1172),,ifna(textjoin(""; "",,filter('On Hand'!E:E,'On Hand'!A:A=A1172)),ifna(xlookup(A1172,'On Hand'!A:A,'On Hand'!E:E,),)))"),"")</f>
        <v/>
      </c>
    </row>
    <row r="1173">
      <c r="A1173" s="3" t="str">
        <f t="array" ref="A1173">ifna(_xlfn.xlookup(B1173,'All Item Code'!B:B,'All Item Code'!A:A,),)</f>
        <v/>
      </c>
      <c r="B1173" s="3"/>
      <c r="C1173" s="3" t="str">
        <f t="array" ref="C1173">if(B1173="Tidak Ada",,if(isblank(B1173),,ifna(sumif('On Hand'!A:A,A1173,'On Hand'!D:D)&amp;" "&amp;_xlfn.xlookup(A1173,'All Item Code'!A:A,'All Item Code'!D:D,),0)))</f>
        <v/>
      </c>
      <c r="D1173" s="3" t="str">
        <f>IFERROR(__xludf.DUMMYFUNCTION("if(isblank(B1173),,ifna(textjoin(""; "",,filter('On Hand'!E:E,'On Hand'!A:A=A1173)),ifna(xlookup(A1173,'On Hand'!A:A,'On Hand'!E:E,),)))"),"")</f>
        <v/>
      </c>
    </row>
    <row r="1174">
      <c r="A1174" s="3" t="str">
        <f t="array" ref="A1174">ifna(_xlfn.xlookup(B1174,'All Item Code'!B:B,'All Item Code'!A:A,),)</f>
        <v/>
      </c>
      <c r="B1174" s="3"/>
      <c r="C1174" s="3" t="str">
        <f t="array" ref="C1174">if(B1174="Tidak Ada",,if(isblank(B1174),,ifna(sumif('On Hand'!A:A,A1174,'On Hand'!D:D)&amp;" "&amp;_xlfn.xlookup(A1174,'All Item Code'!A:A,'All Item Code'!D:D,),0)))</f>
        <v/>
      </c>
      <c r="D1174" s="3" t="str">
        <f>IFERROR(__xludf.DUMMYFUNCTION("if(isblank(B1174),,ifna(textjoin(""; "",,filter('On Hand'!E:E,'On Hand'!A:A=A1174)),ifna(xlookup(A1174,'On Hand'!A:A,'On Hand'!E:E,),)))"),"")</f>
        <v/>
      </c>
    </row>
    <row r="1175">
      <c r="A1175" s="3" t="str">
        <f t="array" ref="A1175">ifna(_xlfn.xlookup(B1175,'All Item Code'!B:B,'All Item Code'!A:A,),)</f>
        <v/>
      </c>
      <c r="B1175" s="3"/>
      <c r="C1175" s="3" t="str">
        <f t="array" ref="C1175">if(B1175="Tidak Ada",,if(isblank(B1175),,ifna(sumif('On Hand'!A:A,A1175,'On Hand'!D:D)&amp;" "&amp;_xlfn.xlookup(A1175,'All Item Code'!A:A,'All Item Code'!D:D,),0)))</f>
        <v/>
      </c>
      <c r="D1175" s="3" t="str">
        <f>IFERROR(__xludf.DUMMYFUNCTION("if(isblank(B1175),,ifna(textjoin(""; "",,filter('On Hand'!E:E,'On Hand'!A:A=A1175)),ifna(xlookup(A1175,'On Hand'!A:A,'On Hand'!E:E,),)))"),"")</f>
        <v/>
      </c>
    </row>
    <row r="1176">
      <c r="A1176" s="3" t="str">
        <f t="array" ref="A1176">ifna(_xlfn.xlookup(B1176,'All Item Code'!B:B,'All Item Code'!A:A,),)</f>
        <v/>
      </c>
      <c r="B1176" s="3"/>
      <c r="C1176" s="3" t="str">
        <f t="array" ref="C1176">if(B1176="Tidak Ada",,if(isblank(B1176),,ifna(sumif('On Hand'!A:A,A1176,'On Hand'!D:D)&amp;" "&amp;_xlfn.xlookup(A1176,'All Item Code'!A:A,'All Item Code'!D:D,),0)))</f>
        <v/>
      </c>
      <c r="D1176" s="3" t="str">
        <f>IFERROR(__xludf.DUMMYFUNCTION("if(isblank(B1176),,ifna(textjoin(""; "",,filter('On Hand'!E:E,'On Hand'!A:A=A1176)),ifna(xlookup(A1176,'On Hand'!A:A,'On Hand'!E:E,),)))"),"")</f>
        <v/>
      </c>
    </row>
    <row r="1177">
      <c r="A1177" s="3" t="str">
        <f t="array" ref="A1177">ifna(_xlfn.xlookup(B1177,'All Item Code'!B:B,'All Item Code'!A:A,),)</f>
        <v/>
      </c>
      <c r="B1177" s="3"/>
      <c r="C1177" s="3" t="str">
        <f t="array" ref="C1177">if(B1177="Tidak Ada",,if(isblank(B1177),,ifna(sumif('On Hand'!A:A,A1177,'On Hand'!D:D)&amp;" "&amp;_xlfn.xlookup(A1177,'All Item Code'!A:A,'All Item Code'!D:D,),0)))</f>
        <v/>
      </c>
      <c r="D1177" s="3" t="str">
        <f>IFERROR(__xludf.DUMMYFUNCTION("if(isblank(B1177),,ifna(textjoin(""; "",,filter('On Hand'!E:E,'On Hand'!A:A=A1177)),ifna(xlookup(A1177,'On Hand'!A:A,'On Hand'!E:E,),)))"),"")</f>
        <v/>
      </c>
    </row>
    <row r="1178">
      <c r="A1178" s="3" t="str">
        <f t="array" ref="A1178">ifna(_xlfn.xlookup(B1178,'All Item Code'!B:B,'All Item Code'!A:A,),)</f>
        <v/>
      </c>
      <c r="B1178" s="3"/>
      <c r="C1178" s="3" t="str">
        <f t="array" ref="C1178">if(B1178="Tidak Ada",,if(isblank(B1178),,ifna(sumif('On Hand'!A:A,A1178,'On Hand'!D:D)&amp;" "&amp;_xlfn.xlookup(A1178,'All Item Code'!A:A,'All Item Code'!D:D,),0)))</f>
        <v/>
      </c>
      <c r="D1178" s="3" t="str">
        <f>IFERROR(__xludf.DUMMYFUNCTION("if(isblank(B1178),,ifna(textjoin(""; "",,filter('On Hand'!E:E,'On Hand'!A:A=A1178)),ifna(xlookup(A1178,'On Hand'!A:A,'On Hand'!E:E,),)))"),"")</f>
        <v/>
      </c>
    </row>
    <row r="1179">
      <c r="A1179" s="3" t="str">
        <f t="array" ref="A1179">ifna(_xlfn.xlookup(B1179,'All Item Code'!B:B,'All Item Code'!A:A,),)</f>
        <v/>
      </c>
      <c r="B1179" s="3"/>
      <c r="C1179" s="3" t="str">
        <f t="array" ref="C1179">if(B1179="Tidak Ada",,if(isblank(B1179),,ifna(sumif('On Hand'!A:A,A1179,'On Hand'!D:D)&amp;" "&amp;_xlfn.xlookup(A1179,'All Item Code'!A:A,'All Item Code'!D:D,),0)))</f>
        <v/>
      </c>
      <c r="D1179" s="3" t="str">
        <f>IFERROR(__xludf.DUMMYFUNCTION("if(isblank(B1179),,ifna(textjoin(""; "",,filter('On Hand'!E:E,'On Hand'!A:A=A1179)),ifna(xlookup(A1179,'On Hand'!A:A,'On Hand'!E:E,),)))"),"")</f>
        <v/>
      </c>
    </row>
    <row r="1180">
      <c r="A1180" s="3" t="str">
        <f t="array" ref="A1180">ifna(_xlfn.xlookup(B1180,'All Item Code'!B:B,'All Item Code'!A:A,),)</f>
        <v/>
      </c>
      <c r="B1180" s="3"/>
      <c r="C1180" s="3" t="str">
        <f t="array" ref="C1180">if(B1180="Tidak Ada",,if(isblank(B1180),,ifna(sumif('On Hand'!A:A,A1180,'On Hand'!D:D)&amp;" "&amp;_xlfn.xlookup(A1180,'All Item Code'!A:A,'All Item Code'!D:D,),0)))</f>
        <v/>
      </c>
      <c r="D1180" s="3" t="str">
        <f>IFERROR(__xludf.DUMMYFUNCTION("if(isblank(B1180),,ifna(textjoin(""; "",,filter('On Hand'!E:E,'On Hand'!A:A=A1180)),ifna(xlookup(A1180,'On Hand'!A:A,'On Hand'!E:E,),)))"),"")</f>
        <v/>
      </c>
    </row>
    <row r="1181">
      <c r="A1181" s="3" t="str">
        <f t="array" ref="A1181">ifna(_xlfn.xlookup(B1181,'All Item Code'!B:B,'All Item Code'!A:A,),)</f>
        <v/>
      </c>
      <c r="B1181" s="3"/>
      <c r="C1181" s="3" t="str">
        <f t="array" ref="C1181">if(B1181="Tidak Ada",,if(isblank(B1181),,ifna(sumif('On Hand'!A:A,A1181,'On Hand'!D:D)&amp;" "&amp;_xlfn.xlookup(A1181,'All Item Code'!A:A,'All Item Code'!D:D,),0)))</f>
        <v/>
      </c>
      <c r="D1181" s="3" t="str">
        <f>IFERROR(__xludf.DUMMYFUNCTION("if(isblank(B1181),,ifna(textjoin(""; "",,filter('On Hand'!E:E,'On Hand'!A:A=A1181)),ifna(xlookup(A1181,'On Hand'!A:A,'On Hand'!E:E,),)))"),"")</f>
        <v/>
      </c>
    </row>
    <row r="1182">
      <c r="A1182" s="3" t="str">
        <f t="array" ref="A1182">ifna(_xlfn.xlookup(B1182,'All Item Code'!B:B,'All Item Code'!A:A,),)</f>
        <v/>
      </c>
      <c r="B1182" s="3"/>
      <c r="C1182" s="3" t="str">
        <f t="array" ref="C1182">if(B1182="Tidak Ada",,if(isblank(B1182),,ifna(sumif('On Hand'!A:A,A1182,'On Hand'!D:D)&amp;" "&amp;_xlfn.xlookup(A1182,'All Item Code'!A:A,'All Item Code'!D:D,),0)))</f>
        <v/>
      </c>
      <c r="D1182" s="3" t="str">
        <f>IFERROR(__xludf.DUMMYFUNCTION("if(isblank(B1182),,ifna(textjoin(""; "",,filter('On Hand'!E:E,'On Hand'!A:A=A1182)),ifna(xlookup(A1182,'On Hand'!A:A,'On Hand'!E:E,),)))"),"")</f>
        <v/>
      </c>
    </row>
    <row r="1183">
      <c r="A1183" s="3" t="str">
        <f t="array" ref="A1183">ifna(_xlfn.xlookup(B1183,'All Item Code'!B:B,'All Item Code'!A:A,),)</f>
        <v/>
      </c>
      <c r="B1183" s="3"/>
      <c r="C1183" s="3" t="str">
        <f t="array" ref="C1183">if(B1183="Tidak Ada",,if(isblank(B1183),,ifna(sumif('On Hand'!A:A,A1183,'On Hand'!D:D)&amp;" "&amp;_xlfn.xlookup(A1183,'All Item Code'!A:A,'All Item Code'!D:D,),0)))</f>
        <v/>
      </c>
      <c r="D1183" s="3" t="str">
        <f>IFERROR(__xludf.DUMMYFUNCTION("if(isblank(B1183),,ifna(textjoin(""; "",,filter('On Hand'!E:E,'On Hand'!A:A=A1183)),ifna(xlookup(A1183,'On Hand'!A:A,'On Hand'!E:E,),)))"),"")</f>
        <v/>
      </c>
    </row>
    <row r="1184">
      <c r="A1184" s="3" t="str">
        <f t="array" ref="A1184">ifna(_xlfn.xlookup(B1184,'All Item Code'!B:B,'All Item Code'!A:A,),)</f>
        <v/>
      </c>
      <c r="B1184" s="3"/>
      <c r="C1184" s="3" t="str">
        <f t="array" ref="C1184">if(B1184="Tidak Ada",,if(isblank(B1184),,ifna(sumif('On Hand'!A:A,A1184,'On Hand'!D:D)&amp;" "&amp;_xlfn.xlookup(A1184,'All Item Code'!A:A,'All Item Code'!D:D,),0)))</f>
        <v/>
      </c>
      <c r="D1184" s="3" t="str">
        <f>IFERROR(__xludf.DUMMYFUNCTION("if(isblank(B1184),,ifna(textjoin(""; "",,filter('On Hand'!E:E,'On Hand'!A:A=A1184)),ifna(xlookup(A1184,'On Hand'!A:A,'On Hand'!E:E,),)))"),"")</f>
        <v/>
      </c>
    </row>
    <row r="1185">
      <c r="A1185" s="3" t="str">
        <f t="array" ref="A1185">ifna(_xlfn.xlookup(B1185,'All Item Code'!B:B,'All Item Code'!A:A,),)</f>
        <v/>
      </c>
      <c r="B1185" s="3"/>
      <c r="C1185" s="3" t="str">
        <f t="array" ref="C1185">if(B1185="Tidak Ada",,if(isblank(B1185),,ifna(sumif('On Hand'!A:A,A1185,'On Hand'!D:D)&amp;" "&amp;_xlfn.xlookup(A1185,'All Item Code'!A:A,'All Item Code'!D:D,),0)))</f>
        <v/>
      </c>
      <c r="D1185" s="3" t="str">
        <f>IFERROR(__xludf.DUMMYFUNCTION("if(isblank(B1185),,ifna(textjoin(""; "",,filter('On Hand'!E:E,'On Hand'!A:A=A1185)),ifna(xlookup(A1185,'On Hand'!A:A,'On Hand'!E:E,),)))"),"")</f>
        <v/>
      </c>
    </row>
    <row r="1186">
      <c r="A1186" s="3" t="str">
        <f t="array" ref="A1186">ifna(_xlfn.xlookup(B1186,'All Item Code'!B:B,'All Item Code'!A:A,),)</f>
        <v/>
      </c>
      <c r="B1186" s="3"/>
      <c r="C1186" s="3" t="str">
        <f t="array" ref="C1186">if(B1186="Tidak Ada",,if(isblank(B1186),,ifna(sumif('On Hand'!A:A,A1186,'On Hand'!D:D)&amp;" "&amp;_xlfn.xlookup(A1186,'All Item Code'!A:A,'All Item Code'!D:D,),0)))</f>
        <v/>
      </c>
      <c r="D1186" s="3" t="str">
        <f>IFERROR(__xludf.DUMMYFUNCTION("if(isblank(B1186),,ifna(textjoin(""; "",,filter('On Hand'!E:E,'On Hand'!A:A=A1186)),ifna(xlookup(A1186,'On Hand'!A:A,'On Hand'!E:E,),)))"),"")</f>
        <v/>
      </c>
    </row>
    <row r="1187">
      <c r="A1187" s="3" t="str">
        <f t="array" ref="A1187">ifna(_xlfn.xlookup(B1187,'All Item Code'!B:B,'All Item Code'!A:A,),)</f>
        <v/>
      </c>
      <c r="B1187" s="3"/>
      <c r="C1187" s="3" t="str">
        <f t="array" ref="C1187">if(B1187="Tidak Ada",,if(isblank(B1187),,ifna(sumif('On Hand'!A:A,A1187,'On Hand'!D:D)&amp;" "&amp;_xlfn.xlookup(A1187,'All Item Code'!A:A,'All Item Code'!D:D,),0)))</f>
        <v/>
      </c>
      <c r="D1187" s="3" t="str">
        <f>IFERROR(__xludf.DUMMYFUNCTION("if(isblank(B1187),,ifna(textjoin(""; "",,filter('On Hand'!E:E,'On Hand'!A:A=A1187)),ifna(xlookup(A1187,'On Hand'!A:A,'On Hand'!E:E,),)))"),"")</f>
        <v/>
      </c>
    </row>
    <row r="1188">
      <c r="A1188" s="3" t="str">
        <f t="array" ref="A1188">ifna(_xlfn.xlookup(B1188,'All Item Code'!B:B,'All Item Code'!A:A,),)</f>
        <v/>
      </c>
      <c r="B1188" s="3"/>
      <c r="C1188" s="3" t="str">
        <f t="array" ref="C1188">if(B1188="Tidak Ada",,if(isblank(B1188),,ifna(sumif('On Hand'!A:A,A1188,'On Hand'!D:D)&amp;" "&amp;_xlfn.xlookup(A1188,'All Item Code'!A:A,'All Item Code'!D:D,),0)))</f>
        <v/>
      </c>
      <c r="D1188" s="3" t="str">
        <f>IFERROR(__xludf.DUMMYFUNCTION("if(isblank(B1188),,ifna(textjoin(""; "",,filter('On Hand'!E:E,'On Hand'!A:A=A1188)),ifna(xlookup(A1188,'On Hand'!A:A,'On Hand'!E:E,),)))"),"")</f>
        <v/>
      </c>
    </row>
    <row r="1189">
      <c r="A1189" s="3" t="str">
        <f t="array" ref="A1189">ifna(_xlfn.xlookup(B1189,'All Item Code'!B:B,'All Item Code'!A:A,),)</f>
        <v/>
      </c>
      <c r="B1189" s="3"/>
      <c r="C1189" s="3" t="str">
        <f t="array" ref="C1189">if(B1189="Tidak Ada",,if(isblank(B1189),,ifna(sumif('On Hand'!A:A,A1189,'On Hand'!D:D)&amp;" "&amp;_xlfn.xlookup(A1189,'All Item Code'!A:A,'All Item Code'!D:D,),0)))</f>
        <v/>
      </c>
      <c r="D1189" s="3" t="str">
        <f>IFERROR(__xludf.DUMMYFUNCTION("if(isblank(B1189),,ifna(textjoin(""; "",,filter('On Hand'!E:E,'On Hand'!A:A=A1189)),ifna(xlookup(A1189,'On Hand'!A:A,'On Hand'!E:E,),)))"),"")</f>
        <v/>
      </c>
    </row>
    <row r="1190">
      <c r="A1190" s="3" t="str">
        <f t="array" ref="A1190">ifna(_xlfn.xlookup(B1190,'All Item Code'!B:B,'All Item Code'!A:A,),)</f>
        <v/>
      </c>
      <c r="B1190" s="3"/>
      <c r="C1190" s="3" t="str">
        <f t="array" ref="C1190">if(B1190="Tidak Ada",,if(isblank(B1190),,ifna(sumif('On Hand'!A:A,A1190,'On Hand'!D:D)&amp;" "&amp;_xlfn.xlookup(A1190,'All Item Code'!A:A,'All Item Code'!D:D,),0)))</f>
        <v/>
      </c>
      <c r="D1190" s="3" t="str">
        <f>IFERROR(__xludf.DUMMYFUNCTION("if(isblank(B1190),,ifna(textjoin(""; "",,filter('On Hand'!E:E,'On Hand'!A:A=A1190)),ifna(xlookup(A1190,'On Hand'!A:A,'On Hand'!E:E,),)))"),"")</f>
        <v/>
      </c>
    </row>
    <row r="1191">
      <c r="A1191" s="3" t="str">
        <f t="array" ref="A1191">ifna(_xlfn.xlookup(B1191,'All Item Code'!B:B,'All Item Code'!A:A,),)</f>
        <v/>
      </c>
      <c r="B1191" s="3"/>
      <c r="C1191" s="3" t="str">
        <f t="array" ref="C1191">if(B1191="Tidak Ada",,if(isblank(B1191),,ifna(sumif('On Hand'!A:A,A1191,'On Hand'!D:D)&amp;" "&amp;_xlfn.xlookup(A1191,'All Item Code'!A:A,'All Item Code'!D:D,),0)))</f>
        <v/>
      </c>
      <c r="D1191" s="3" t="str">
        <f>IFERROR(__xludf.DUMMYFUNCTION("if(isblank(B1191),,ifna(textjoin(""; "",,filter('On Hand'!E:E,'On Hand'!A:A=A1191)),ifna(xlookup(A1191,'On Hand'!A:A,'On Hand'!E:E,),)))"),"")</f>
        <v/>
      </c>
    </row>
    <row r="1192">
      <c r="A1192" s="3" t="str">
        <f t="array" ref="A1192">ifna(_xlfn.xlookup(B1192,'All Item Code'!B:B,'All Item Code'!A:A,),)</f>
        <v/>
      </c>
      <c r="B1192" s="3"/>
      <c r="C1192" s="3" t="str">
        <f t="array" ref="C1192">if(B1192="Tidak Ada",,if(isblank(B1192),,ifna(sumif('On Hand'!A:A,A1192,'On Hand'!D:D)&amp;" "&amp;_xlfn.xlookup(A1192,'All Item Code'!A:A,'All Item Code'!D:D,),0)))</f>
        <v/>
      </c>
      <c r="D1192" s="3" t="str">
        <f>IFERROR(__xludf.DUMMYFUNCTION("if(isblank(B1192),,ifna(textjoin(""; "",,filter('On Hand'!E:E,'On Hand'!A:A=A1192)),ifna(xlookup(A1192,'On Hand'!A:A,'On Hand'!E:E,),)))"),"")</f>
        <v/>
      </c>
    </row>
    <row r="1193">
      <c r="A1193" s="3" t="str">
        <f t="array" ref="A1193">ifna(_xlfn.xlookup(B1193,'All Item Code'!B:B,'All Item Code'!A:A,),)</f>
        <v/>
      </c>
      <c r="B1193" s="3"/>
      <c r="C1193" s="3" t="str">
        <f t="array" ref="C1193">if(B1193="Tidak Ada",,if(isblank(B1193),,ifna(sumif('On Hand'!A:A,A1193,'On Hand'!D:D)&amp;" "&amp;_xlfn.xlookup(A1193,'All Item Code'!A:A,'All Item Code'!D:D,),0)))</f>
        <v/>
      </c>
      <c r="D1193" s="3" t="str">
        <f>IFERROR(__xludf.DUMMYFUNCTION("if(isblank(B1193),,ifna(textjoin(""; "",,filter('On Hand'!E:E,'On Hand'!A:A=A1193)),ifna(xlookup(A1193,'On Hand'!A:A,'On Hand'!E:E,),)))"),"")</f>
        <v/>
      </c>
    </row>
    <row r="1194">
      <c r="A1194" s="3" t="str">
        <f t="array" ref="A1194">ifna(_xlfn.xlookup(B1194,'All Item Code'!B:B,'All Item Code'!A:A,),)</f>
        <v/>
      </c>
      <c r="B1194" s="3"/>
      <c r="C1194" s="3" t="str">
        <f t="array" ref="C1194">if(B1194="Tidak Ada",,if(isblank(B1194),,ifna(sumif('On Hand'!A:A,A1194,'On Hand'!D:D)&amp;" "&amp;_xlfn.xlookup(A1194,'All Item Code'!A:A,'All Item Code'!D:D,),0)))</f>
        <v/>
      </c>
      <c r="D1194" s="3" t="str">
        <f>IFERROR(__xludf.DUMMYFUNCTION("if(isblank(B1194),,ifna(textjoin(""; "",,filter('On Hand'!E:E,'On Hand'!A:A=A1194)),ifna(xlookup(A1194,'On Hand'!A:A,'On Hand'!E:E,),)))"),"")</f>
        <v/>
      </c>
    </row>
    <row r="1195">
      <c r="A1195" s="3" t="str">
        <f t="array" ref="A1195">ifna(_xlfn.xlookup(B1195,'All Item Code'!B:B,'All Item Code'!A:A,),)</f>
        <v/>
      </c>
      <c r="B1195" s="3"/>
      <c r="C1195" s="3" t="str">
        <f t="array" ref="C1195">if(B1195="Tidak Ada",,if(isblank(B1195),,ifna(sumif('On Hand'!A:A,A1195,'On Hand'!D:D)&amp;" "&amp;_xlfn.xlookup(A1195,'All Item Code'!A:A,'All Item Code'!D:D,),0)))</f>
        <v/>
      </c>
      <c r="D1195" s="3" t="str">
        <f>IFERROR(__xludf.DUMMYFUNCTION("if(isblank(B1195),,ifna(textjoin(""; "",,filter('On Hand'!E:E,'On Hand'!A:A=A1195)),ifna(xlookup(A1195,'On Hand'!A:A,'On Hand'!E:E,),)))"),"")</f>
        <v/>
      </c>
    </row>
    <row r="1196">
      <c r="A1196" s="3" t="str">
        <f t="array" ref="A1196">ifna(_xlfn.xlookup(B1196,'All Item Code'!B:B,'All Item Code'!A:A,),)</f>
        <v/>
      </c>
      <c r="B1196" s="3"/>
      <c r="C1196" s="3" t="str">
        <f t="array" ref="C1196">if(B1196="Tidak Ada",,if(isblank(B1196),,ifna(sumif('On Hand'!A:A,A1196,'On Hand'!D:D)&amp;" "&amp;_xlfn.xlookup(A1196,'All Item Code'!A:A,'All Item Code'!D:D,),0)))</f>
        <v/>
      </c>
      <c r="D1196" s="3" t="str">
        <f>IFERROR(__xludf.DUMMYFUNCTION("if(isblank(B1196),,ifna(textjoin(""; "",,filter('On Hand'!E:E,'On Hand'!A:A=A1196)),ifna(xlookup(A1196,'On Hand'!A:A,'On Hand'!E:E,),)))"),"")</f>
        <v/>
      </c>
    </row>
    <row r="1197">
      <c r="A1197" s="3" t="str">
        <f t="array" ref="A1197">ifna(_xlfn.xlookup(B1197,'All Item Code'!B:B,'All Item Code'!A:A,),)</f>
        <v/>
      </c>
      <c r="B1197" s="3"/>
      <c r="C1197" s="3" t="str">
        <f t="array" ref="C1197">if(B1197="Tidak Ada",,if(isblank(B1197),,ifna(sumif('On Hand'!A:A,A1197,'On Hand'!D:D)&amp;" "&amp;_xlfn.xlookup(A1197,'All Item Code'!A:A,'All Item Code'!D:D,),0)))</f>
        <v/>
      </c>
      <c r="D1197" s="3" t="str">
        <f>IFERROR(__xludf.DUMMYFUNCTION("if(isblank(B1197),,ifna(textjoin(""; "",,filter('On Hand'!E:E,'On Hand'!A:A=A1197)),ifna(xlookup(A1197,'On Hand'!A:A,'On Hand'!E:E,),)))"),"")</f>
        <v/>
      </c>
    </row>
    <row r="1198">
      <c r="A1198" s="3" t="str">
        <f t="array" ref="A1198">ifna(_xlfn.xlookup(B1198,'All Item Code'!B:B,'All Item Code'!A:A,),)</f>
        <v/>
      </c>
      <c r="B1198" s="3"/>
      <c r="C1198" s="3" t="str">
        <f t="array" ref="C1198">if(B1198="Tidak Ada",,if(isblank(B1198),,ifna(sumif('On Hand'!A:A,A1198,'On Hand'!D:D)&amp;" "&amp;_xlfn.xlookup(A1198,'All Item Code'!A:A,'All Item Code'!D:D,),0)))</f>
        <v/>
      </c>
      <c r="D1198" s="3" t="str">
        <f>IFERROR(__xludf.DUMMYFUNCTION("if(isblank(B1198),,ifna(textjoin(""; "",,filter('On Hand'!E:E,'On Hand'!A:A=A1198)),ifna(xlookup(A1198,'On Hand'!A:A,'On Hand'!E:E,),)))"),"")</f>
        <v/>
      </c>
    </row>
    <row r="1199">
      <c r="A1199" s="3" t="str">
        <f t="array" ref="A1199">ifna(_xlfn.xlookup(B1199,'All Item Code'!B:B,'All Item Code'!A:A,),)</f>
        <v/>
      </c>
      <c r="B1199" s="3"/>
      <c r="C1199" s="3" t="str">
        <f t="array" ref="C1199">if(B1199="Tidak Ada",,if(isblank(B1199),,ifna(sumif('On Hand'!A:A,A1199,'On Hand'!D:D)&amp;" "&amp;_xlfn.xlookup(A1199,'All Item Code'!A:A,'All Item Code'!D:D,),0)))</f>
        <v/>
      </c>
      <c r="D1199" s="3" t="str">
        <f>IFERROR(__xludf.DUMMYFUNCTION("if(isblank(B1199),,ifna(textjoin(""; "",,filter('On Hand'!E:E,'On Hand'!A:A=A1199)),ifna(xlookup(A1199,'On Hand'!A:A,'On Hand'!E:E,),)))"),"")</f>
        <v/>
      </c>
    </row>
    <row r="1200">
      <c r="A1200" s="3" t="str">
        <f t="array" ref="A1200">ifna(_xlfn.xlookup(B1200,'All Item Code'!B:B,'All Item Code'!A:A,),)</f>
        <v/>
      </c>
      <c r="B1200" s="3"/>
      <c r="C1200" s="3" t="str">
        <f t="array" ref="C1200">if(B1200="Tidak Ada",,if(isblank(B1200),,ifna(sumif('On Hand'!A:A,A1200,'On Hand'!D:D)&amp;" "&amp;_xlfn.xlookup(A1200,'All Item Code'!A:A,'All Item Code'!D:D,),0)))</f>
        <v/>
      </c>
      <c r="D1200" s="3" t="str">
        <f>IFERROR(__xludf.DUMMYFUNCTION("if(isblank(B1200),,ifna(textjoin(""; "",,filter('On Hand'!E:E,'On Hand'!A:A=A1200)),ifna(xlookup(A1200,'On Hand'!A:A,'On Hand'!E:E,),)))"),"")</f>
        <v/>
      </c>
    </row>
    <row r="1201">
      <c r="A1201" s="3" t="str">
        <f t="array" ref="A1201">ifna(_xlfn.xlookup(B1201,'All Item Code'!B:B,'All Item Code'!A:A,),)</f>
        <v/>
      </c>
      <c r="B1201" s="3"/>
      <c r="C1201" s="3" t="str">
        <f t="array" ref="C1201">if(B1201="Tidak Ada",,if(isblank(B1201),,ifna(sumif('On Hand'!A:A,A1201,'On Hand'!D:D)&amp;" "&amp;_xlfn.xlookup(A1201,'All Item Code'!A:A,'All Item Code'!D:D,),0)))</f>
        <v/>
      </c>
      <c r="D1201" s="3" t="str">
        <f>IFERROR(__xludf.DUMMYFUNCTION("if(isblank(B1201),,ifna(textjoin(""; "",,filter('On Hand'!E:E,'On Hand'!A:A=A1201)),ifna(xlookup(A1201,'On Hand'!A:A,'On Hand'!E:E,),)))"),"")</f>
        <v/>
      </c>
    </row>
    <row r="1202">
      <c r="A1202" s="3" t="str">
        <f t="array" ref="A1202">ifna(_xlfn.xlookup(B1202,'All Item Code'!B:B,'All Item Code'!A:A,),)</f>
        <v/>
      </c>
      <c r="B1202" s="3"/>
      <c r="C1202" s="3" t="str">
        <f t="array" ref="C1202">if(B1202="Tidak Ada",,if(isblank(B1202),,ifna(sumif('On Hand'!A:A,A1202,'On Hand'!D:D)&amp;" "&amp;_xlfn.xlookup(A1202,'All Item Code'!A:A,'All Item Code'!D:D,),0)))</f>
        <v/>
      </c>
      <c r="D1202" s="3" t="str">
        <f>IFERROR(__xludf.DUMMYFUNCTION("if(isblank(B1202),,ifna(textjoin(""; "",,filter('On Hand'!E:E,'On Hand'!A:A=A1202)),ifna(xlookup(A1202,'On Hand'!A:A,'On Hand'!E:E,),)))"),"")</f>
        <v/>
      </c>
    </row>
    <row r="1203">
      <c r="A1203" s="3" t="str">
        <f t="array" ref="A1203">ifna(_xlfn.xlookup(B1203,'All Item Code'!B:B,'All Item Code'!A:A,),)</f>
        <v/>
      </c>
      <c r="B1203" s="3"/>
      <c r="C1203" s="3" t="str">
        <f t="array" ref="C1203">if(B1203="Tidak Ada",,if(isblank(B1203),,ifna(sumif('On Hand'!A:A,A1203,'On Hand'!D:D)&amp;" "&amp;_xlfn.xlookup(A1203,'All Item Code'!A:A,'All Item Code'!D:D,),0)))</f>
        <v/>
      </c>
      <c r="D1203" s="3" t="str">
        <f>IFERROR(__xludf.DUMMYFUNCTION("if(isblank(B1203),,ifna(textjoin(""; "",,filter('On Hand'!E:E,'On Hand'!A:A=A1203)),ifna(xlookup(A1203,'On Hand'!A:A,'On Hand'!E:E,),)))"),"")</f>
        <v/>
      </c>
    </row>
    <row r="1204">
      <c r="A1204" s="3" t="str">
        <f t="array" ref="A1204">ifna(_xlfn.xlookup(B1204,'All Item Code'!B:B,'All Item Code'!A:A,),)</f>
        <v/>
      </c>
      <c r="B1204" s="3"/>
      <c r="C1204" s="3" t="str">
        <f t="array" ref="C1204">if(B1204="Tidak Ada",,if(isblank(B1204),,ifna(sumif('On Hand'!A:A,A1204,'On Hand'!D:D)&amp;" "&amp;_xlfn.xlookup(A1204,'All Item Code'!A:A,'All Item Code'!D:D,),0)))</f>
        <v/>
      </c>
      <c r="D1204" s="3" t="str">
        <f>IFERROR(__xludf.DUMMYFUNCTION("if(isblank(B1204),,ifna(textjoin(""; "",,filter('On Hand'!E:E,'On Hand'!A:A=A1204)),ifna(xlookup(A1204,'On Hand'!A:A,'On Hand'!E:E,),)))"),"")</f>
        <v/>
      </c>
    </row>
    <row r="1205">
      <c r="A1205" s="3" t="str">
        <f t="array" ref="A1205">ifna(_xlfn.xlookup(B1205,'All Item Code'!B:B,'All Item Code'!A:A,),)</f>
        <v/>
      </c>
      <c r="B1205" s="3"/>
      <c r="C1205" s="3" t="str">
        <f t="array" ref="C1205">if(B1205="Tidak Ada",,if(isblank(B1205),,ifna(sumif('On Hand'!A:A,A1205,'On Hand'!D:D)&amp;" "&amp;_xlfn.xlookup(A1205,'All Item Code'!A:A,'All Item Code'!D:D,),0)))</f>
        <v/>
      </c>
      <c r="D1205" s="3" t="str">
        <f>IFERROR(__xludf.DUMMYFUNCTION("if(isblank(B1205),,ifna(textjoin(""; "",,filter('On Hand'!E:E,'On Hand'!A:A=A1205)),ifna(xlookup(A1205,'On Hand'!A:A,'On Hand'!E:E,),)))"),"")</f>
        <v/>
      </c>
    </row>
    <row r="1206">
      <c r="A1206" s="3" t="str">
        <f t="array" ref="A1206">ifna(_xlfn.xlookup(B1206,'All Item Code'!B:B,'All Item Code'!A:A,),)</f>
        <v/>
      </c>
      <c r="B1206" s="3"/>
      <c r="C1206" s="3" t="str">
        <f t="array" ref="C1206">if(B1206="Tidak Ada",,if(isblank(B1206),,ifna(sumif('On Hand'!A:A,A1206,'On Hand'!D:D)&amp;" "&amp;_xlfn.xlookup(A1206,'All Item Code'!A:A,'All Item Code'!D:D,),0)))</f>
        <v/>
      </c>
      <c r="D1206" s="3" t="str">
        <f>IFERROR(__xludf.DUMMYFUNCTION("if(isblank(B1206),,ifna(textjoin(""; "",,filter('On Hand'!E:E,'On Hand'!A:A=A1206)),ifna(xlookup(A1206,'On Hand'!A:A,'On Hand'!E:E,),)))"),"")</f>
        <v/>
      </c>
    </row>
    <row r="1207">
      <c r="A1207" s="3" t="str">
        <f t="array" ref="A1207">ifna(_xlfn.xlookup(B1207,'All Item Code'!B:B,'All Item Code'!A:A,),)</f>
        <v/>
      </c>
      <c r="B1207" s="3"/>
      <c r="C1207" s="3" t="str">
        <f t="array" ref="C1207">if(B1207="Tidak Ada",,if(isblank(B1207),,ifna(sumif('On Hand'!A:A,A1207,'On Hand'!D:D)&amp;" "&amp;_xlfn.xlookup(A1207,'All Item Code'!A:A,'All Item Code'!D:D,),0)))</f>
        <v/>
      </c>
      <c r="D1207" s="3" t="str">
        <f>IFERROR(__xludf.DUMMYFUNCTION("if(isblank(B1207),,ifna(textjoin(""; "",,filter('On Hand'!E:E,'On Hand'!A:A=A1207)),ifna(xlookup(A1207,'On Hand'!A:A,'On Hand'!E:E,),)))"),"")</f>
        <v/>
      </c>
    </row>
    <row r="1208">
      <c r="A1208" s="3" t="str">
        <f t="array" ref="A1208">ifna(_xlfn.xlookup(B1208,'All Item Code'!B:B,'All Item Code'!A:A,),)</f>
        <v/>
      </c>
      <c r="B1208" s="3"/>
      <c r="C1208" s="3" t="str">
        <f t="array" ref="C1208">if(B1208="Tidak Ada",,if(isblank(B1208),,ifna(sumif('On Hand'!A:A,A1208,'On Hand'!D:D)&amp;" "&amp;_xlfn.xlookup(A1208,'All Item Code'!A:A,'All Item Code'!D:D,),0)))</f>
        <v/>
      </c>
      <c r="D1208" s="3" t="str">
        <f>IFERROR(__xludf.DUMMYFUNCTION("if(isblank(B1208),,ifna(textjoin(""; "",,filter('On Hand'!E:E,'On Hand'!A:A=A1208)),ifna(xlookup(A1208,'On Hand'!A:A,'On Hand'!E:E,),)))"),"")</f>
        <v/>
      </c>
    </row>
    <row r="1209">
      <c r="A1209" s="3" t="str">
        <f t="array" ref="A1209">ifna(_xlfn.xlookup(B1209,'All Item Code'!B:B,'All Item Code'!A:A,),)</f>
        <v/>
      </c>
      <c r="B1209" s="3"/>
      <c r="C1209" s="3" t="str">
        <f t="array" ref="C1209">if(B1209="Tidak Ada",,if(isblank(B1209),,ifna(sumif('On Hand'!A:A,A1209,'On Hand'!D:D)&amp;" "&amp;_xlfn.xlookup(A1209,'All Item Code'!A:A,'All Item Code'!D:D,),0)))</f>
        <v/>
      </c>
      <c r="D1209" s="3" t="str">
        <f>IFERROR(__xludf.DUMMYFUNCTION("if(isblank(B1209),,ifna(textjoin(""; "",,filter('On Hand'!E:E,'On Hand'!A:A=A1209)),ifna(xlookup(A1209,'On Hand'!A:A,'On Hand'!E:E,),)))"),"")</f>
        <v/>
      </c>
    </row>
    <row r="1210">
      <c r="A1210" s="3" t="str">
        <f t="array" ref="A1210">ifna(_xlfn.xlookup(B1210,'All Item Code'!B:B,'All Item Code'!A:A,),)</f>
        <v/>
      </c>
      <c r="B1210" s="3"/>
      <c r="C1210" s="3" t="str">
        <f t="array" ref="C1210">if(B1210="Tidak Ada",,if(isblank(B1210),,ifna(sumif('On Hand'!A:A,A1210,'On Hand'!D:D)&amp;" "&amp;_xlfn.xlookup(A1210,'All Item Code'!A:A,'All Item Code'!D:D,),0)))</f>
        <v/>
      </c>
      <c r="D1210" s="3" t="str">
        <f>IFERROR(__xludf.DUMMYFUNCTION("if(isblank(B1210),,ifna(textjoin(""; "",,filter('On Hand'!E:E,'On Hand'!A:A=A1210)),ifna(xlookup(A1210,'On Hand'!A:A,'On Hand'!E:E,),)))"),"")</f>
        <v/>
      </c>
    </row>
    <row r="1211">
      <c r="A1211" s="3" t="str">
        <f t="array" ref="A1211">ifna(_xlfn.xlookup(B1211,'All Item Code'!B:B,'All Item Code'!A:A,),)</f>
        <v/>
      </c>
      <c r="B1211" s="3"/>
      <c r="C1211" s="3" t="str">
        <f t="array" ref="C1211">if(B1211="Tidak Ada",,if(isblank(B1211),,ifna(sumif('On Hand'!A:A,A1211,'On Hand'!D:D)&amp;" "&amp;_xlfn.xlookup(A1211,'All Item Code'!A:A,'All Item Code'!D:D,),0)))</f>
        <v/>
      </c>
      <c r="D1211" s="3" t="str">
        <f>IFERROR(__xludf.DUMMYFUNCTION("if(isblank(B1211),,ifna(textjoin(""; "",,filter('On Hand'!E:E,'On Hand'!A:A=A1211)),ifna(xlookup(A1211,'On Hand'!A:A,'On Hand'!E:E,),)))"),"")</f>
        <v/>
      </c>
    </row>
    <row r="1212">
      <c r="A1212" s="3" t="str">
        <f t="array" ref="A1212">ifna(_xlfn.xlookup(B1212,'All Item Code'!B:B,'All Item Code'!A:A,),)</f>
        <v/>
      </c>
      <c r="B1212" s="3"/>
      <c r="C1212" s="3" t="str">
        <f t="array" ref="C1212">if(B1212="Tidak Ada",,if(isblank(B1212),,ifna(sumif('On Hand'!A:A,A1212,'On Hand'!D:D)&amp;" "&amp;_xlfn.xlookup(A1212,'All Item Code'!A:A,'All Item Code'!D:D,),0)))</f>
        <v/>
      </c>
      <c r="D1212" s="3" t="str">
        <f>IFERROR(__xludf.DUMMYFUNCTION("if(isblank(B1212),,ifna(textjoin(""; "",,filter('On Hand'!E:E,'On Hand'!A:A=A1212)),ifna(xlookup(A1212,'On Hand'!A:A,'On Hand'!E:E,),)))"),"")</f>
        <v/>
      </c>
    </row>
    <row r="1213">
      <c r="A1213" s="3" t="str">
        <f t="array" ref="A1213">ifna(_xlfn.xlookup(B1213,'All Item Code'!B:B,'All Item Code'!A:A,),)</f>
        <v/>
      </c>
      <c r="B1213" s="3"/>
      <c r="C1213" s="3" t="str">
        <f t="array" ref="C1213">if(B1213="Tidak Ada",,if(isblank(B1213),,ifna(sumif('On Hand'!A:A,A1213,'On Hand'!D:D)&amp;" "&amp;_xlfn.xlookup(A1213,'All Item Code'!A:A,'All Item Code'!D:D,),0)))</f>
        <v/>
      </c>
      <c r="D1213" s="3" t="str">
        <f>IFERROR(__xludf.DUMMYFUNCTION("if(isblank(B1213),,ifna(textjoin(""; "",,filter('On Hand'!E:E,'On Hand'!A:A=A1213)),ifna(xlookup(A1213,'On Hand'!A:A,'On Hand'!E:E,),)))"),"")</f>
        <v/>
      </c>
    </row>
    <row r="1214">
      <c r="A1214" s="3" t="str">
        <f t="array" ref="A1214">ifna(_xlfn.xlookup(B1214,'All Item Code'!B:B,'All Item Code'!A:A,),)</f>
        <v/>
      </c>
      <c r="B1214" s="3"/>
      <c r="C1214" s="3" t="str">
        <f t="array" ref="C1214">if(B1214="Tidak Ada",,if(isblank(B1214),,ifna(sumif('On Hand'!A:A,A1214,'On Hand'!D:D)&amp;" "&amp;_xlfn.xlookup(A1214,'All Item Code'!A:A,'All Item Code'!D:D,),0)))</f>
        <v/>
      </c>
      <c r="D1214" s="3" t="str">
        <f>IFERROR(__xludf.DUMMYFUNCTION("if(isblank(B1214),,ifna(textjoin(""; "",,filter('On Hand'!E:E,'On Hand'!A:A=A1214)),ifna(xlookup(A1214,'On Hand'!A:A,'On Hand'!E:E,),)))"),"")</f>
        <v/>
      </c>
    </row>
    <row r="1215">
      <c r="A1215" s="3" t="str">
        <f t="array" ref="A1215">ifna(_xlfn.xlookup(B1215,'All Item Code'!B:B,'All Item Code'!A:A,),)</f>
        <v/>
      </c>
      <c r="B1215" s="3"/>
      <c r="C1215" s="3" t="str">
        <f t="array" ref="C1215">if(B1215="Tidak Ada",,if(isblank(B1215),,ifna(sumif('On Hand'!A:A,A1215,'On Hand'!D:D)&amp;" "&amp;_xlfn.xlookup(A1215,'All Item Code'!A:A,'All Item Code'!D:D,),0)))</f>
        <v/>
      </c>
      <c r="D1215" s="3" t="str">
        <f>IFERROR(__xludf.DUMMYFUNCTION("if(isblank(B1215),,ifna(textjoin(""; "",,filter('On Hand'!E:E,'On Hand'!A:A=A1215)),ifna(xlookup(A1215,'On Hand'!A:A,'On Hand'!E:E,),)))"),"")</f>
        <v/>
      </c>
    </row>
    <row r="1216">
      <c r="A1216" s="3" t="str">
        <f t="array" ref="A1216">ifna(_xlfn.xlookup(B1216,'All Item Code'!B:B,'All Item Code'!A:A,),)</f>
        <v/>
      </c>
      <c r="B1216" s="3"/>
      <c r="C1216" s="3" t="str">
        <f t="array" ref="C1216">if(B1216="Tidak Ada",,if(isblank(B1216),,ifna(sumif('On Hand'!A:A,A1216,'On Hand'!D:D)&amp;" "&amp;_xlfn.xlookup(A1216,'All Item Code'!A:A,'All Item Code'!D:D,),0)))</f>
        <v/>
      </c>
      <c r="D1216" s="3" t="str">
        <f>IFERROR(__xludf.DUMMYFUNCTION("if(isblank(B1216),,ifna(textjoin(""; "",,filter('On Hand'!E:E,'On Hand'!A:A=A1216)),ifna(xlookup(A1216,'On Hand'!A:A,'On Hand'!E:E,),)))"),"")</f>
        <v/>
      </c>
    </row>
    <row r="1217">
      <c r="A1217" s="3" t="str">
        <f t="array" ref="A1217">ifna(_xlfn.xlookup(B1217,'All Item Code'!B:B,'All Item Code'!A:A,),)</f>
        <v/>
      </c>
      <c r="B1217" s="3"/>
      <c r="C1217" s="3" t="str">
        <f t="array" ref="C1217">if(B1217="Tidak Ada",,if(isblank(B1217),,ifna(sumif('On Hand'!A:A,A1217,'On Hand'!D:D)&amp;" "&amp;_xlfn.xlookup(A1217,'All Item Code'!A:A,'All Item Code'!D:D,),0)))</f>
        <v/>
      </c>
      <c r="D1217" s="3" t="str">
        <f>IFERROR(__xludf.DUMMYFUNCTION("if(isblank(B1217),,ifna(textjoin(""; "",,filter('On Hand'!E:E,'On Hand'!A:A=A1217)),ifna(xlookup(A1217,'On Hand'!A:A,'On Hand'!E:E,),)))"),"")</f>
        <v/>
      </c>
    </row>
    <row r="1218">
      <c r="A1218" s="3" t="str">
        <f t="array" ref="A1218">ifna(_xlfn.xlookup(B1218,'All Item Code'!B:B,'All Item Code'!A:A,),)</f>
        <v/>
      </c>
      <c r="B1218" s="3"/>
      <c r="C1218" s="3" t="str">
        <f t="array" ref="C1218">if(B1218="Tidak Ada",,if(isblank(B1218),,ifna(sumif('On Hand'!A:A,A1218,'On Hand'!D:D)&amp;" "&amp;_xlfn.xlookup(A1218,'All Item Code'!A:A,'All Item Code'!D:D,),0)))</f>
        <v/>
      </c>
      <c r="D1218" s="3" t="str">
        <f>IFERROR(__xludf.DUMMYFUNCTION("if(isblank(B1218),,ifna(textjoin(""; "",,filter('On Hand'!E:E,'On Hand'!A:A=A1218)),ifna(xlookup(A1218,'On Hand'!A:A,'On Hand'!E:E,),)))"),"")</f>
        <v/>
      </c>
    </row>
    <row r="1219">
      <c r="A1219" s="3" t="str">
        <f t="array" ref="A1219">ifna(_xlfn.xlookup(B1219,'All Item Code'!B:B,'All Item Code'!A:A,),)</f>
        <v/>
      </c>
      <c r="B1219" s="3"/>
      <c r="C1219" s="3" t="str">
        <f t="array" ref="C1219">if(B1219="Tidak Ada",,if(isblank(B1219),,ifna(sumif('On Hand'!A:A,A1219,'On Hand'!D:D)&amp;" "&amp;_xlfn.xlookup(A1219,'All Item Code'!A:A,'All Item Code'!D:D,),0)))</f>
        <v/>
      </c>
      <c r="D1219" s="3" t="str">
        <f>IFERROR(__xludf.DUMMYFUNCTION("if(isblank(B1219),,ifna(textjoin(""; "",,filter('On Hand'!E:E,'On Hand'!A:A=A1219)),ifna(xlookup(A1219,'On Hand'!A:A,'On Hand'!E:E,),)))"),"")</f>
        <v/>
      </c>
    </row>
    <row r="1220">
      <c r="A1220" s="3" t="str">
        <f t="array" ref="A1220">ifna(_xlfn.xlookup(B1220,'All Item Code'!B:B,'All Item Code'!A:A,),)</f>
        <v/>
      </c>
      <c r="B1220" s="3"/>
      <c r="C1220" s="3" t="str">
        <f t="array" ref="C1220">if(B1220="Tidak Ada",,if(isblank(B1220),,ifna(sumif('On Hand'!A:A,A1220,'On Hand'!D:D)&amp;" "&amp;_xlfn.xlookup(A1220,'All Item Code'!A:A,'All Item Code'!D:D,),0)))</f>
        <v/>
      </c>
      <c r="D1220" s="3" t="str">
        <f>IFERROR(__xludf.DUMMYFUNCTION("if(isblank(B1220),,ifna(textjoin(""; "",,filter('On Hand'!E:E,'On Hand'!A:A=A1220)),ifna(xlookup(A1220,'On Hand'!A:A,'On Hand'!E:E,),)))"),"")</f>
        <v/>
      </c>
    </row>
    <row r="1221">
      <c r="A1221" s="3" t="str">
        <f t="array" ref="A1221">ifna(_xlfn.xlookup(B1221,'All Item Code'!B:B,'All Item Code'!A:A,),)</f>
        <v/>
      </c>
      <c r="B1221" s="3"/>
      <c r="C1221" s="3" t="str">
        <f t="array" ref="C1221">if(B1221="Tidak Ada",,if(isblank(B1221),,ifna(sumif('On Hand'!A:A,A1221,'On Hand'!D:D)&amp;" "&amp;_xlfn.xlookup(A1221,'All Item Code'!A:A,'All Item Code'!D:D,),0)))</f>
        <v/>
      </c>
      <c r="D1221" s="3" t="str">
        <f>IFERROR(__xludf.DUMMYFUNCTION("if(isblank(B1221),,ifna(textjoin(""; "",,filter('On Hand'!E:E,'On Hand'!A:A=A1221)),ifna(xlookup(A1221,'On Hand'!A:A,'On Hand'!E:E,),)))"),"")</f>
        <v/>
      </c>
    </row>
    <row r="1222">
      <c r="A1222" s="3" t="str">
        <f t="array" ref="A1222">ifna(_xlfn.xlookup(B1222,'All Item Code'!B:B,'All Item Code'!A:A,),)</f>
        <v/>
      </c>
      <c r="B1222" s="3"/>
      <c r="C1222" s="3" t="str">
        <f t="array" ref="C1222">if(B1222="Tidak Ada",,if(isblank(B1222),,ifna(sumif('On Hand'!A:A,A1222,'On Hand'!D:D)&amp;" "&amp;_xlfn.xlookup(A1222,'All Item Code'!A:A,'All Item Code'!D:D,),0)))</f>
        <v/>
      </c>
      <c r="D1222" s="3" t="str">
        <f>IFERROR(__xludf.DUMMYFUNCTION("if(isblank(B1222),,ifna(textjoin(""; "",,filter('On Hand'!E:E,'On Hand'!A:A=A1222)),ifna(xlookup(A1222,'On Hand'!A:A,'On Hand'!E:E,),)))"),"")</f>
        <v/>
      </c>
    </row>
    <row r="1223">
      <c r="A1223" s="3" t="str">
        <f t="array" ref="A1223">ifna(_xlfn.xlookup(B1223,'All Item Code'!B:B,'All Item Code'!A:A,),)</f>
        <v/>
      </c>
      <c r="B1223" s="3"/>
      <c r="C1223" s="3" t="str">
        <f t="array" ref="C1223">if(B1223="Tidak Ada",,if(isblank(B1223),,ifna(sumif('On Hand'!A:A,A1223,'On Hand'!D:D)&amp;" "&amp;_xlfn.xlookup(A1223,'All Item Code'!A:A,'All Item Code'!D:D,),0)))</f>
        <v/>
      </c>
      <c r="D1223" s="3" t="str">
        <f>IFERROR(__xludf.DUMMYFUNCTION("if(isblank(B1223),,ifna(textjoin(""; "",,filter('On Hand'!E:E,'On Hand'!A:A=A1223)),ifna(xlookup(A1223,'On Hand'!A:A,'On Hand'!E:E,),)))"),"")</f>
        <v/>
      </c>
    </row>
    <row r="1224">
      <c r="A1224" s="3" t="str">
        <f t="array" ref="A1224">ifna(_xlfn.xlookup(B1224,'All Item Code'!B:B,'All Item Code'!A:A,),)</f>
        <v/>
      </c>
      <c r="B1224" s="3"/>
      <c r="C1224" s="3" t="str">
        <f t="array" ref="C1224">if(B1224="Tidak Ada",,if(isblank(B1224),,ifna(sumif('On Hand'!A:A,A1224,'On Hand'!D:D)&amp;" "&amp;_xlfn.xlookup(A1224,'All Item Code'!A:A,'All Item Code'!D:D,),0)))</f>
        <v/>
      </c>
      <c r="D1224" s="3" t="str">
        <f>IFERROR(__xludf.DUMMYFUNCTION("if(isblank(B1224),,ifna(textjoin(""; "",,filter('On Hand'!E:E,'On Hand'!A:A=A1224)),ifna(xlookup(A1224,'On Hand'!A:A,'On Hand'!E:E,),)))"),"")</f>
        <v/>
      </c>
    </row>
    <row r="1225">
      <c r="A1225" s="3" t="str">
        <f t="array" ref="A1225">ifna(_xlfn.xlookup(B1225,'All Item Code'!B:B,'All Item Code'!A:A,),)</f>
        <v/>
      </c>
      <c r="B1225" s="3"/>
      <c r="C1225" s="3" t="str">
        <f t="array" ref="C1225">if(B1225="Tidak Ada",,if(isblank(B1225),,ifna(sumif('On Hand'!A:A,A1225,'On Hand'!D:D)&amp;" "&amp;_xlfn.xlookup(A1225,'All Item Code'!A:A,'All Item Code'!D:D,),0)))</f>
        <v/>
      </c>
      <c r="D1225" s="3" t="str">
        <f>IFERROR(__xludf.DUMMYFUNCTION("if(isblank(B1225),,ifna(textjoin(""; "",,filter('On Hand'!E:E,'On Hand'!A:A=A1225)),ifna(xlookup(A1225,'On Hand'!A:A,'On Hand'!E:E,),)))"),"")</f>
        <v/>
      </c>
    </row>
    <row r="1226">
      <c r="A1226" s="3" t="str">
        <f t="array" ref="A1226">ifna(_xlfn.xlookup(B1226,'All Item Code'!B:B,'All Item Code'!A:A,),)</f>
        <v/>
      </c>
      <c r="B1226" s="3"/>
      <c r="C1226" s="3" t="str">
        <f t="array" ref="C1226">if(B1226="Tidak Ada",,if(isblank(B1226),,ifna(sumif('On Hand'!A:A,A1226,'On Hand'!D:D)&amp;" "&amp;_xlfn.xlookup(A1226,'All Item Code'!A:A,'All Item Code'!D:D,),0)))</f>
        <v/>
      </c>
      <c r="D1226" s="3" t="str">
        <f>IFERROR(__xludf.DUMMYFUNCTION("if(isblank(B1226),,ifna(textjoin(""; "",,filter('On Hand'!E:E,'On Hand'!A:A=A1226)),ifna(xlookup(A1226,'On Hand'!A:A,'On Hand'!E:E,),)))"),"")</f>
        <v/>
      </c>
    </row>
    <row r="1227">
      <c r="A1227" s="3" t="str">
        <f t="array" ref="A1227">ifna(_xlfn.xlookup(B1227,'All Item Code'!B:B,'All Item Code'!A:A,),)</f>
        <v/>
      </c>
      <c r="B1227" s="3"/>
      <c r="C1227" s="3" t="str">
        <f t="array" ref="C1227">if(B1227="Tidak Ada",,if(isblank(B1227),,ifna(sumif('On Hand'!A:A,A1227,'On Hand'!D:D)&amp;" "&amp;_xlfn.xlookup(A1227,'All Item Code'!A:A,'All Item Code'!D:D,),0)))</f>
        <v/>
      </c>
      <c r="D1227" s="3" t="str">
        <f>IFERROR(__xludf.DUMMYFUNCTION("if(isblank(B1227),,ifna(textjoin(""; "",,filter('On Hand'!E:E,'On Hand'!A:A=A1227)),ifna(xlookup(A1227,'On Hand'!A:A,'On Hand'!E:E,),)))"),"")</f>
        <v/>
      </c>
    </row>
    <row r="1228">
      <c r="A1228" s="3" t="str">
        <f t="array" ref="A1228">ifna(_xlfn.xlookup(B1228,'All Item Code'!B:B,'All Item Code'!A:A,),)</f>
        <v/>
      </c>
      <c r="B1228" s="3"/>
      <c r="C1228" s="3" t="str">
        <f t="array" ref="C1228">if(B1228="Tidak Ada",,if(isblank(B1228),,ifna(sumif('On Hand'!A:A,A1228,'On Hand'!D:D)&amp;" "&amp;_xlfn.xlookup(A1228,'All Item Code'!A:A,'All Item Code'!D:D,),0)))</f>
        <v/>
      </c>
      <c r="D1228" s="3" t="str">
        <f>IFERROR(__xludf.DUMMYFUNCTION("if(isblank(B1228),,ifna(textjoin(""; "",,filter('On Hand'!E:E,'On Hand'!A:A=A1228)),ifna(xlookup(A1228,'On Hand'!A:A,'On Hand'!E:E,),)))"),"")</f>
        <v/>
      </c>
    </row>
    <row r="1229">
      <c r="A1229" s="3" t="str">
        <f t="array" ref="A1229">ifna(_xlfn.xlookup(B1229,'All Item Code'!B:B,'All Item Code'!A:A,),)</f>
        <v/>
      </c>
      <c r="B1229" s="3"/>
      <c r="C1229" s="3" t="str">
        <f t="array" ref="C1229">if(B1229="Tidak Ada",,if(isblank(B1229),,ifna(sumif('On Hand'!A:A,A1229,'On Hand'!D:D)&amp;" "&amp;_xlfn.xlookup(A1229,'All Item Code'!A:A,'All Item Code'!D:D,),0)))</f>
        <v/>
      </c>
      <c r="D1229" s="3" t="str">
        <f>IFERROR(__xludf.DUMMYFUNCTION("if(isblank(B1229),,ifna(textjoin(""; "",,filter('On Hand'!E:E,'On Hand'!A:A=A1229)),ifna(xlookup(A1229,'On Hand'!A:A,'On Hand'!E:E,),)))"),"")</f>
        <v/>
      </c>
    </row>
    <row r="1230">
      <c r="A1230" s="3" t="str">
        <f t="array" ref="A1230">ifna(_xlfn.xlookup(B1230,'All Item Code'!B:B,'All Item Code'!A:A,),)</f>
        <v/>
      </c>
      <c r="B1230" s="3"/>
      <c r="C1230" s="3" t="str">
        <f t="array" ref="C1230">if(B1230="Tidak Ada",,if(isblank(B1230),,ifna(sumif('On Hand'!A:A,A1230,'On Hand'!D:D)&amp;" "&amp;_xlfn.xlookup(A1230,'All Item Code'!A:A,'All Item Code'!D:D,),0)))</f>
        <v/>
      </c>
      <c r="D1230" s="3" t="str">
        <f>IFERROR(__xludf.DUMMYFUNCTION("if(isblank(B1230),,ifna(textjoin(""; "",,filter('On Hand'!E:E,'On Hand'!A:A=A1230)),ifna(xlookup(A1230,'On Hand'!A:A,'On Hand'!E:E,),)))"),"")</f>
        <v/>
      </c>
    </row>
    <row r="1231">
      <c r="A1231" s="3" t="str">
        <f t="array" ref="A1231">ifna(_xlfn.xlookup(B1231,'All Item Code'!B:B,'All Item Code'!A:A,),)</f>
        <v/>
      </c>
      <c r="B1231" s="3"/>
      <c r="C1231" s="3" t="str">
        <f t="array" ref="C1231">if(B1231="Tidak Ada",,if(isblank(B1231),,ifna(sumif('On Hand'!A:A,A1231,'On Hand'!D:D)&amp;" "&amp;_xlfn.xlookup(A1231,'All Item Code'!A:A,'All Item Code'!D:D,),0)))</f>
        <v/>
      </c>
      <c r="D1231" s="3" t="str">
        <f>IFERROR(__xludf.DUMMYFUNCTION("if(isblank(B1231),,ifna(textjoin(""; "",,filter('On Hand'!E:E,'On Hand'!A:A=A1231)),ifna(xlookup(A1231,'On Hand'!A:A,'On Hand'!E:E,),)))"),"")</f>
        <v/>
      </c>
    </row>
    <row r="1232">
      <c r="A1232" s="3" t="str">
        <f t="array" ref="A1232">ifna(_xlfn.xlookup(B1232,'All Item Code'!B:B,'All Item Code'!A:A,),)</f>
        <v/>
      </c>
      <c r="B1232" s="3"/>
      <c r="C1232" s="3" t="str">
        <f t="array" ref="C1232">if(B1232="Tidak Ada",,if(isblank(B1232),,ifna(sumif('On Hand'!A:A,A1232,'On Hand'!D:D)&amp;" "&amp;_xlfn.xlookup(A1232,'All Item Code'!A:A,'All Item Code'!D:D,),0)))</f>
        <v/>
      </c>
      <c r="D1232" s="3" t="str">
        <f>IFERROR(__xludf.DUMMYFUNCTION("if(isblank(B1232),,ifna(textjoin(""; "",,filter('On Hand'!E:E,'On Hand'!A:A=A1232)),ifna(xlookup(A1232,'On Hand'!A:A,'On Hand'!E:E,),)))"),"")</f>
        <v/>
      </c>
    </row>
    <row r="1233">
      <c r="A1233" s="3" t="str">
        <f t="array" ref="A1233">ifna(_xlfn.xlookup(B1233,'All Item Code'!B:B,'All Item Code'!A:A,),)</f>
        <v/>
      </c>
      <c r="B1233" s="3"/>
      <c r="C1233" s="3" t="str">
        <f t="array" ref="C1233">if(B1233="Tidak Ada",,if(isblank(B1233),,ifna(sumif('On Hand'!A:A,A1233,'On Hand'!D:D)&amp;" "&amp;_xlfn.xlookup(A1233,'All Item Code'!A:A,'All Item Code'!D:D,),0)))</f>
        <v/>
      </c>
      <c r="D1233" s="3" t="str">
        <f>IFERROR(__xludf.DUMMYFUNCTION("if(isblank(B1233),,ifna(textjoin(""; "",,filter('On Hand'!E:E,'On Hand'!A:A=A1233)),ifna(xlookup(A1233,'On Hand'!A:A,'On Hand'!E:E,),)))"),"")</f>
        <v/>
      </c>
    </row>
    <row r="1234">
      <c r="A1234" s="3" t="str">
        <f t="array" ref="A1234">ifna(_xlfn.xlookup(B1234,'All Item Code'!B:B,'All Item Code'!A:A,),)</f>
        <v/>
      </c>
      <c r="B1234" s="3"/>
      <c r="C1234" s="3" t="str">
        <f t="array" ref="C1234">if(B1234="Tidak Ada",,if(isblank(B1234),,ifna(sumif('On Hand'!A:A,A1234,'On Hand'!D:D)&amp;" "&amp;_xlfn.xlookup(A1234,'All Item Code'!A:A,'All Item Code'!D:D,),0)))</f>
        <v/>
      </c>
      <c r="D1234" s="3" t="str">
        <f>IFERROR(__xludf.DUMMYFUNCTION("if(isblank(B1234),,ifna(textjoin(""; "",,filter('On Hand'!E:E,'On Hand'!A:A=A1234)),ifna(xlookup(A1234,'On Hand'!A:A,'On Hand'!E:E,),)))"),"")</f>
        <v/>
      </c>
    </row>
    <row r="1235">
      <c r="A1235" s="3" t="str">
        <f t="array" ref="A1235">ifna(_xlfn.xlookup(B1235,'All Item Code'!B:B,'All Item Code'!A:A,),)</f>
        <v/>
      </c>
      <c r="B1235" s="3"/>
      <c r="C1235" s="3" t="str">
        <f t="array" ref="C1235">if(B1235="Tidak Ada",,if(isblank(B1235),,ifna(sumif('On Hand'!A:A,A1235,'On Hand'!D:D)&amp;" "&amp;_xlfn.xlookup(A1235,'All Item Code'!A:A,'All Item Code'!D:D,),0)))</f>
        <v/>
      </c>
      <c r="D1235" s="3" t="str">
        <f>IFERROR(__xludf.DUMMYFUNCTION("if(isblank(B1235),,ifna(textjoin(""; "",,filter('On Hand'!E:E,'On Hand'!A:A=A1235)),ifna(xlookup(A1235,'On Hand'!A:A,'On Hand'!E:E,),)))"),"")</f>
        <v/>
      </c>
    </row>
    <row r="1236">
      <c r="A1236" s="3" t="str">
        <f t="array" ref="A1236">ifna(_xlfn.xlookup(B1236,'All Item Code'!B:B,'All Item Code'!A:A,),)</f>
        <v/>
      </c>
      <c r="B1236" s="3"/>
      <c r="C1236" s="3" t="str">
        <f t="array" ref="C1236">if(B1236="Tidak Ada",,if(isblank(B1236),,ifna(sumif('On Hand'!A:A,A1236,'On Hand'!D:D)&amp;" "&amp;_xlfn.xlookup(A1236,'All Item Code'!A:A,'All Item Code'!D:D,),0)))</f>
        <v/>
      </c>
      <c r="D1236" s="3" t="str">
        <f>IFERROR(__xludf.DUMMYFUNCTION("if(isblank(B1236),,ifna(textjoin(""; "",,filter('On Hand'!E:E,'On Hand'!A:A=A1236)),ifna(xlookup(A1236,'On Hand'!A:A,'On Hand'!E:E,),)))"),"")</f>
        <v/>
      </c>
    </row>
    <row r="1237">
      <c r="A1237" s="3" t="str">
        <f t="array" ref="A1237">ifna(_xlfn.xlookup(B1237,'All Item Code'!B:B,'All Item Code'!A:A,),)</f>
        <v/>
      </c>
      <c r="B1237" s="3"/>
      <c r="C1237" s="3" t="str">
        <f t="array" ref="C1237">if(B1237="Tidak Ada",,if(isblank(B1237),,ifna(sumif('On Hand'!A:A,A1237,'On Hand'!D:D)&amp;" "&amp;_xlfn.xlookup(A1237,'All Item Code'!A:A,'All Item Code'!D:D,),0)))</f>
        <v/>
      </c>
      <c r="D1237" s="3" t="str">
        <f>IFERROR(__xludf.DUMMYFUNCTION("if(isblank(B1237),,ifna(textjoin(""; "",,filter('On Hand'!E:E,'On Hand'!A:A=A1237)),ifna(xlookup(A1237,'On Hand'!A:A,'On Hand'!E:E,),)))"),"")</f>
        <v/>
      </c>
    </row>
    <row r="1238">
      <c r="A1238" s="3" t="str">
        <f t="array" ref="A1238">ifna(_xlfn.xlookup(B1238,'All Item Code'!B:B,'All Item Code'!A:A,),)</f>
        <v/>
      </c>
      <c r="B1238" s="3"/>
      <c r="C1238" s="3" t="str">
        <f t="array" ref="C1238">if(B1238="Tidak Ada",,if(isblank(B1238),,ifna(sumif('On Hand'!A:A,A1238,'On Hand'!D:D)&amp;" "&amp;_xlfn.xlookup(A1238,'All Item Code'!A:A,'All Item Code'!D:D,),0)))</f>
        <v/>
      </c>
      <c r="D1238" s="3" t="str">
        <f>IFERROR(__xludf.DUMMYFUNCTION("if(isblank(B1238),,ifna(textjoin(""; "",,filter('On Hand'!E:E,'On Hand'!A:A=A1238)),ifna(xlookup(A1238,'On Hand'!A:A,'On Hand'!E:E,),)))"),"")</f>
        <v/>
      </c>
    </row>
    <row r="1239">
      <c r="A1239" s="3" t="str">
        <f t="array" ref="A1239">ifna(_xlfn.xlookup(B1239,'All Item Code'!B:B,'All Item Code'!A:A,),)</f>
        <v/>
      </c>
      <c r="B1239" s="3"/>
      <c r="C1239" s="3" t="str">
        <f t="array" ref="C1239">if(B1239="Tidak Ada",,if(isblank(B1239),,ifna(sumif('On Hand'!A:A,A1239,'On Hand'!D:D)&amp;" "&amp;_xlfn.xlookup(A1239,'All Item Code'!A:A,'All Item Code'!D:D,),0)))</f>
        <v/>
      </c>
      <c r="D1239" s="3" t="str">
        <f>IFERROR(__xludf.DUMMYFUNCTION("if(isblank(B1239),,ifna(textjoin(""; "",,filter('On Hand'!E:E,'On Hand'!A:A=A1239)),ifna(xlookup(A1239,'On Hand'!A:A,'On Hand'!E:E,),)))"),"")</f>
        <v/>
      </c>
    </row>
    <row r="1240">
      <c r="A1240" s="3" t="str">
        <f t="array" ref="A1240">ifna(_xlfn.xlookup(B1240,'All Item Code'!B:B,'All Item Code'!A:A,),)</f>
        <v/>
      </c>
      <c r="B1240" s="3"/>
      <c r="C1240" s="3" t="str">
        <f t="array" ref="C1240">if(B1240="Tidak Ada",,if(isblank(B1240),,ifna(sumif('On Hand'!A:A,A1240,'On Hand'!D:D)&amp;" "&amp;_xlfn.xlookup(A1240,'All Item Code'!A:A,'All Item Code'!D:D,),0)))</f>
        <v/>
      </c>
      <c r="D1240" s="3" t="str">
        <f>IFERROR(__xludf.DUMMYFUNCTION("if(isblank(B1240),,ifna(textjoin(""; "",,filter('On Hand'!E:E,'On Hand'!A:A=A1240)),ifna(xlookup(A1240,'On Hand'!A:A,'On Hand'!E:E,),)))"),"")</f>
        <v/>
      </c>
    </row>
    <row r="1241">
      <c r="A1241" s="3" t="str">
        <f t="array" ref="A1241">ifna(_xlfn.xlookup(B1241,'All Item Code'!B:B,'All Item Code'!A:A,),)</f>
        <v/>
      </c>
      <c r="B1241" s="3"/>
      <c r="C1241" s="3" t="str">
        <f t="array" ref="C1241">if(B1241="Tidak Ada",,if(isblank(B1241),,ifna(sumif('On Hand'!A:A,A1241,'On Hand'!D:D)&amp;" "&amp;_xlfn.xlookup(A1241,'All Item Code'!A:A,'All Item Code'!D:D,),0)))</f>
        <v/>
      </c>
      <c r="D1241" s="3" t="str">
        <f>IFERROR(__xludf.DUMMYFUNCTION("if(isblank(B1241),,ifna(textjoin(""; "",,filter('On Hand'!E:E,'On Hand'!A:A=A1241)),ifna(xlookup(A1241,'On Hand'!A:A,'On Hand'!E:E,),)))"),"")</f>
        <v/>
      </c>
    </row>
    <row r="1242">
      <c r="A1242" s="3" t="str">
        <f t="array" ref="A1242">ifna(_xlfn.xlookup(B1242,'All Item Code'!B:B,'All Item Code'!A:A,),)</f>
        <v/>
      </c>
      <c r="B1242" s="3"/>
      <c r="C1242" s="3" t="str">
        <f t="array" ref="C1242">if(B1242="Tidak Ada",,if(isblank(B1242),,ifna(sumif('On Hand'!A:A,A1242,'On Hand'!D:D)&amp;" "&amp;_xlfn.xlookup(A1242,'All Item Code'!A:A,'All Item Code'!D:D,),0)))</f>
        <v/>
      </c>
      <c r="D1242" s="3" t="str">
        <f>IFERROR(__xludf.DUMMYFUNCTION("if(isblank(B1242),,ifna(textjoin(""; "",,filter('On Hand'!E:E,'On Hand'!A:A=A1242)),ifna(xlookup(A1242,'On Hand'!A:A,'On Hand'!E:E,),)))"),"")</f>
        <v/>
      </c>
    </row>
    <row r="1243">
      <c r="A1243" s="3" t="str">
        <f t="array" ref="A1243">ifna(_xlfn.xlookup(B1243,'All Item Code'!B:B,'All Item Code'!A:A,),)</f>
        <v/>
      </c>
      <c r="B1243" s="3"/>
      <c r="C1243" s="3" t="str">
        <f t="array" ref="C1243">if(B1243="Tidak Ada",,if(isblank(B1243),,ifna(sumif('On Hand'!A:A,A1243,'On Hand'!D:D)&amp;" "&amp;_xlfn.xlookup(A1243,'All Item Code'!A:A,'All Item Code'!D:D,),0)))</f>
        <v/>
      </c>
      <c r="D1243" s="3" t="str">
        <f>IFERROR(__xludf.DUMMYFUNCTION("if(isblank(B1243),,ifna(textjoin(""; "",,filter('On Hand'!E:E,'On Hand'!A:A=A1243)),ifna(xlookup(A1243,'On Hand'!A:A,'On Hand'!E:E,),)))"),"")</f>
        <v/>
      </c>
    </row>
    <row r="1244">
      <c r="A1244" s="3" t="str">
        <f t="array" ref="A1244">ifna(_xlfn.xlookup(B1244,'All Item Code'!B:B,'All Item Code'!A:A,),)</f>
        <v/>
      </c>
      <c r="B1244" s="3"/>
      <c r="C1244" s="3" t="str">
        <f t="array" ref="C1244">if(B1244="Tidak Ada",,if(isblank(B1244),,ifna(sumif('On Hand'!A:A,A1244,'On Hand'!D:D)&amp;" "&amp;_xlfn.xlookup(A1244,'All Item Code'!A:A,'All Item Code'!D:D,),0)))</f>
        <v/>
      </c>
      <c r="D1244" s="3" t="str">
        <f>IFERROR(__xludf.DUMMYFUNCTION("if(isblank(B1244),,ifna(textjoin(""; "",,filter('On Hand'!E:E,'On Hand'!A:A=A1244)),ifna(xlookup(A1244,'On Hand'!A:A,'On Hand'!E:E,),)))"),"")</f>
        <v/>
      </c>
    </row>
    <row r="1245">
      <c r="A1245" s="3" t="str">
        <f t="array" ref="A1245">ifna(_xlfn.xlookup(B1245,'All Item Code'!B:B,'All Item Code'!A:A,),)</f>
        <v/>
      </c>
      <c r="B1245" s="3"/>
      <c r="C1245" s="3" t="str">
        <f t="array" ref="C1245">if(B1245="Tidak Ada",,if(isblank(B1245),,ifna(sumif('On Hand'!A:A,A1245,'On Hand'!D:D)&amp;" "&amp;_xlfn.xlookup(A1245,'All Item Code'!A:A,'All Item Code'!D:D,),0)))</f>
        <v/>
      </c>
      <c r="D1245" s="3" t="str">
        <f>IFERROR(__xludf.DUMMYFUNCTION("if(isblank(B1245),,ifna(textjoin(""; "",,filter('On Hand'!E:E,'On Hand'!A:A=A1245)),ifna(xlookup(A1245,'On Hand'!A:A,'On Hand'!E:E,),)))"),"")</f>
        <v/>
      </c>
    </row>
    <row r="1246">
      <c r="A1246" s="3" t="str">
        <f t="array" ref="A1246">ifna(_xlfn.xlookup(B1246,'All Item Code'!B:B,'All Item Code'!A:A,),)</f>
        <v/>
      </c>
      <c r="B1246" s="3"/>
      <c r="C1246" s="3" t="str">
        <f t="array" ref="C1246">if(B1246="Tidak Ada",,if(isblank(B1246),,ifna(sumif('On Hand'!A:A,A1246,'On Hand'!D:D)&amp;" "&amp;_xlfn.xlookup(A1246,'All Item Code'!A:A,'All Item Code'!D:D,),0)))</f>
        <v/>
      </c>
      <c r="D1246" s="3" t="str">
        <f>IFERROR(__xludf.DUMMYFUNCTION("if(isblank(B1246),,ifna(textjoin(""; "",,filter('On Hand'!E:E,'On Hand'!A:A=A1246)),ifna(xlookup(A1246,'On Hand'!A:A,'On Hand'!E:E,),)))"),"")</f>
        <v/>
      </c>
    </row>
    <row r="1247">
      <c r="A1247" s="3" t="str">
        <f t="array" ref="A1247">ifna(_xlfn.xlookup(B1247,'All Item Code'!B:B,'All Item Code'!A:A,),)</f>
        <v/>
      </c>
      <c r="B1247" s="3"/>
      <c r="C1247" s="3" t="str">
        <f t="array" ref="C1247">if(B1247="Tidak Ada",,if(isblank(B1247),,ifna(sumif('On Hand'!A:A,A1247,'On Hand'!D:D)&amp;" "&amp;_xlfn.xlookup(A1247,'All Item Code'!A:A,'All Item Code'!D:D,),0)))</f>
        <v/>
      </c>
      <c r="D1247" s="3" t="str">
        <f>IFERROR(__xludf.DUMMYFUNCTION("if(isblank(B1247),,ifna(textjoin(""; "",,filter('On Hand'!E:E,'On Hand'!A:A=A1247)),ifna(xlookup(A1247,'On Hand'!A:A,'On Hand'!E:E,),)))"),"")</f>
        <v/>
      </c>
    </row>
    <row r="1248">
      <c r="A1248" s="3" t="str">
        <f t="array" ref="A1248">ifna(_xlfn.xlookup(B1248,'All Item Code'!B:B,'All Item Code'!A:A,),)</f>
        <v/>
      </c>
      <c r="B1248" s="3"/>
      <c r="C1248" s="3" t="str">
        <f t="array" ref="C1248">if(B1248="Tidak Ada",,if(isblank(B1248),,ifna(sumif('On Hand'!A:A,A1248,'On Hand'!D:D)&amp;" "&amp;_xlfn.xlookup(A1248,'All Item Code'!A:A,'All Item Code'!D:D,),0)))</f>
        <v/>
      </c>
      <c r="D1248" s="3" t="str">
        <f>IFERROR(__xludf.DUMMYFUNCTION("if(isblank(B1248),,ifna(textjoin(""; "",,filter('On Hand'!E:E,'On Hand'!A:A=A1248)),ifna(xlookup(A1248,'On Hand'!A:A,'On Hand'!E:E,),)))"),"")</f>
        <v/>
      </c>
    </row>
    <row r="1249">
      <c r="A1249" s="3" t="str">
        <f t="array" ref="A1249">ifna(_xlfn.xlookup(B1249,'All Item Code'!B:B,'All Item Code'!A:A,),)</f>
        <v/>
      </c>
      <c r="B1249" s="3"/>
      <c r="C1249" s="3" t="str">
        <f t="array" ref="C1249">if(B1249="Tidak Ada",,if(isblank(B1249),,ifna(sumif('On Hand'!A:A,A1249,'On Hand'!D:D)&amp;" "&amp;_xlfn.xlookup(A1249,'All Item Code'!A:A,'All Item Code'!D:D,),0)))</f>
        <v/>
      </c>
      <c r="D1249" s="3" t="str">
        <f>IFERROR(__xludf.DUMMYFUNCTION("if(isblank(B1249),,ifna(textjoin(""; "",,filter('On Hand'!E:E,'On Hand'!A:A=A1249)),ifna(xlookup(A1249,'On Hand'!A:A,'On Hand'!E:E,),)))"),"")</f>
        <v/>
      </c>
    </row>
    <row r="1250">
      <c r="A1250" s="3" t="str">
        <f t="array" ref="A1250">ifna(_xlfn.xlookup(B1250,'All Item Code'!B:B,'All Item Code'!A:A,),)</f>
        <v/>
      </c>
      <c r="B1250" s="3"/>
      <c r="C1250" s="3" t="str">
        <f t="array" ref="C1250">if(B1250="Tidak Ada",,if(isblank(B1250),,ifna(sumif('On Hand'!A:A,A1250,'On Hand'!D:D)&amp;" "&amp;_xlfn.xlookup(A1250,'All Item Code'!A:A,'All Item Code'!D:D,),0)))</f>
        <v/>
      </c>
      <c r="D1250" s="3" t="str">
        <f>IFERROR(__xludf.DUMMYFUNCTION("if(isblank(B1250),,ifna(textjoin(""; "",,filter('On Hand'!E:E,'On Hand'!A:A=A1250)),ifna(xlookup(A1250,'On Hand'!A:A,'On Hand'!E:E,),)))"),"")</f>
        <v/>
      </c>
    </row>
    <row r="1251">
      <c r="A1251" s="3" t="str">
        <f t="array" ref="A1251">ifna(_xlfn.xlookup(B1251,'All Item Code'!B:B,'All Item Code'!A:A,),)</f>
        <v/>
      </c>
      <c r="B1251" s="3"/>
      <c r="C1251" s="3" t="str">
        <f t="array" ref="C1251">if(B1251="Tidak Ada",,if(isblank(B1251),,ifna(sumif('On Hand'!A:A,A1251,'On Hand'!D:D)&amp;" "&amp;_xlfn.xlookup(A1251,'All Item Code'!A:A,'All Item Code'!D:D,),0)))</f>
        <v/>
      </c>
      <c r="D1251" s="3" t="str">
        <f>IFERROR(__xludf.DUMMYFUNCTION("if(isblank(B1251),,ifna(textjoin(""; "",,filter('On Hand'!E:E,'On Hand'!A:A=A1251)),ifna(xlookup(A1251,'On Hand'!A:A,'On Hand'!E:E,),)))"),"")</f>
        <v/>
      </c>
    </row>
    <row r="1252">
      <c r="A1252" s="3" t="str">
        <f t="array" ref="A1252">ifna(_xlfn.xlookup(B1252,'All Item Code'!B:B,'All Item Code'!A:A,),)</f>
        <v/>
      </c>
      <c r="B1252" s="3"/>
      <c r="C1252" s="3" t="str">
        <f t="array" ref="C1252">if(B1252="Tidak Ada",,if(isblank(B1252),,ifna(sumif('On Hand'!A:A,A1252,'On Hand'!D:D)&amp;" "&amp;_xlfn.xlookup(A1252,'All Item Code'!A:A,'All Item Code'!D:D,),0)))</f>
        <v/>
      </c>
      <c r="D1252" s="3" t="str">
        <f>IFERROR(__xludf.DUMMYFUNCTION("if(isblank(B1252),,ifna(textjoin(""; "",,filter('On Hand'!E:E,'On Hand'!A:A=A1252)),ifna(xlookup(A1252,'On Hand'!A:A,'On Hand'!E:E,),)))"),"")</f>
        <v/>
      </c>
    </row>
    <row r="1253">
      <c r="A1253" s="3" t="str">
        <f t="array" ref="A1253">ifna(_xlfn.xlookup(B1253,'All Item Code'!B:B,'All Item Code'!A:A,),)</f>
        <v/>
      </c>
      <c r="B1253" s="3"/>
      <c r="C1253" s="3" t="str">
        <f t="array" ref="C1253">if(B1253="Tidak Ada",,if(isblank(B1253),,ifna(sumif('On Hand'!A:A,A1253,'On Hand'!D:D)&amp;" "&amp;_xlfn.xlookup(A1253,'All Item Code'!A:A,'All Item Code'!D:D,),0)))</f>
        <v/>
      </c>
      <c r="D1253" s="3" t="str">
        <f>IFERROR(__xludf.DUMMYFUNCTION("if(isblank(B1253),,ifna(textjoin(""; "",,filter('On Hand'!E:E,'On Hand'!A:A=A1253)),ifna(xlookup(A1253,'On Hand'!A:A,'On Hand'!E:E,),)))"),"")</f>
        <v/>
      </c>
    </row>
    <row r="1254">
      <c r="A1254" s="3" t="str">
        <f t="array" ref="A1254">ifna(_xlfn.xlookup(B1254,'All Item Code'!B:B,'All Item Code'!A:A,),)</f>
        <v/>
      </c>
      <c r="B1254" s="3"/>
      <c r="C1254" s="3" t="str">
        <f t="array" ref="C1254">if(B1254="Tidak Ada",,if(isblank(B1254),,ifna(sumif('On Hand'!A:A,A1254,'On Hand'!D:D)&amp;" "&amp;_xlfn.xlookup(A1254,'All Item Code'!A:A,'All Item Code'!D:D,),0)))</f>
        <v/>
      </c>
      <c r="D1254" s="3" t="str">
        <f>IFERROR(__xludf.DUMMYFUNCTION("if(isblank(B1254),,ifna(textjoin(""; "",,filter('On Hand'!E:E,'On Hand'!A:A=A1254)),ifna(xlookup(A1254,'On Hand'!A:A,'On Hand'!E:E,),)))"),"")</f>
        <v/>
      </c>
    </row>
    <row r="1255">
      <c r="A1255" s="3" t="str">
        <f t="array" ref="A1255">ifna(_xlfn.xlookup(B1255,'All Item Code'!B:B,'All Item Code'!A:A,),)</f>
        <v/>
      </c>
      <c r="B1255" s="3"/>
      <c r="C1255" s="3" t="str">
        <f t="array" ref="C1255">if(B1255="Tidak Ada",,if(isblank(B1255),,ifna(sumif('On Hand'!A:A,A1255,'On Hand'!D:D)&amp;" "&amp;_xlfn.xlookup(A1255,'All Item Code'!A:A,'All Item Code'!D:D,),0)))</f>
        <v/>
      </c>
      <c r="D1255" s="3" t="str">
        <f>IFERROR(__xludf.DUMMYFUNCTION("if(isblank(B1255),,ifna(textjoin(""; "",,filter('On Hand'!E:E,'On Hand'!A:A=A1255)),ifna(xlookup(A1255,'On Hand'!A:A,'On Hand'!E:E,),)))"),"")</f>
        <v/>
      </c>
    </row>
    <row r="1256">
      <c r="A1256" s="3" t="str">
        <f t="array" ref="A1256">ifna(_xlfn.xlookup(B1256,'All Item Code'!B:B,'All Item Code'!A:A,),)</f>
        <v/>
      </c>
      <c r="B1256" s="3"/>
      <c r="C1256" s="3" t="str">
        <f t="array" ref="C1256">if(B1256="Tidak Ada",,if(isblank(B1256),,ifna(sumif('On Hand'!A:A,A1256,'On Hand'!D:D)&amp;" "&amp;_xlfn.xlookup(A1256,'All Item Code'!A:A,'All Item Code'!D:D,),0)))</f>
        <v/>
      </c>
      <c r="D1256" s="3" t="str">
        <f>IFERROR(__xludf.DUMMYFUNCTION("if(isblank(B1256),,ifna(textjoin(""; "",,filter('On Hand'!E:E,'On Hand'!A:A=A1256)),ifna(xlookup(A1256,'On Hand'!A:A,'On Hand'!E:E,),)))"),"")</f>
        <v/>
      </c>
    </row>
    <row r="1257">
      <c r="A1257" s="3" t="str">
        <f t="array" ref="A1257">ifna(_xlfn.xlookup(B1257,'All Item Code'!B:B,'All Item Code'!A:A,),)</f>
        <v/>
      </c>
      <c r="B1257" s="3"/>
      <c r="C1257" s="3" t="str">
        <f t="array" ref="C1257">if(B1257="Tidak Ada",,if(isblank(B1257),,ifna(sumif('On Hand'!A:A,A1257,'On Hand'!D:D)&amp;" "&amp;_xlfn.xlookup(A1257,'All Item Code'!A:A,'All Item Code'!D:D,),0)))</f>
        <v/>
      </c>
      <c r="D1257" s="3" t="str">
        <f>IFERROR(__xludf.DUMMYFUNCTION("if(isblank(B1257),,ifna(textjoin(""; "",,filter('On Hand'!E:E,'On Hand'!A:A=A1257)),ifna(xlookup(A1257,'On Hand'!A:A,'On Hand'!E:E,),)))"),"")</f>
        <v/>
      </c>
    </row>
    <row r="1258">
      <c r="A1258" s="3" t="str">
        <f t="array" ref="A1258">ifna(_xlfn.xlookup(B1258,'All Item Code'!B:B,'All Item Code'!A:A,),)</f>
        <v/>
      </c>
      <c r="B1258" s="3"/>
      <c r="C1258" s="3" t="str">
        <f t="array" ref="C1258">if(B1258="Tidak Ada",,if(isblank(B1258),,ifna(sumif('On Hand'!A:A,A1258,'On Hand'!D:D)&amp;" "&amp;_xlfn.xlookup(A1258,'All Item Code'!A:A,'All Item Code'!D:D,),0)))</f>
        <v/>
      </c>
      <c r="D1258" s="3" t="str">
        <f>IFERROR(__xludf.DUMMYFUNCTION("if(isblank(B1258),,ifna(textjoin(""; "",,filter('On Hand'!E:E,'On Hand'!A:A=A1258)),ifna(xlookup(A1258,'On Hand'!A:A,'On Hand'!E:E,),)))"),"")</f>
        <v/>
      </c>
    </row>
    <row r="1259">
      <c r="A1259" s="3" t="str">
        <f t="array" ref="A1259">ifna(_xlfn.xlookup(B1259,'All Item Code'!B:B,'All Item Code'!A:A,),)</f>
        <v/>
      </c>
      <c r="B1259" s="3"/>
      <c r="C1259" s="3" t="str">
        <f t="array" ref="C1259">if(B1259="Tidak Ada",,if(isblank(B1259),,ifna(sumif('On Hand'!A:A,A1259,'On Hand'!D:D)&amp;" "&amp;_xlfn.xlookup(A1259,'All Item Code'!A:A,'All Item Code'!D:D,),0)))</f>
        <v/>
      </c>
      <c r="D1259" s="3" t="str">
        <f>IFERROR(__xludf.DUMMYFUNCTION("if(isblank(B1259),,ifna(textjoin(""; "",,filter('On Hand'!E:E,'On Hand'!A:A=A1259)),ifna(xlookup(A1259,'On Hand'!A:A,'On Hand'!E:E,),)))"),"")</f>
        <v/>
      </c>
    </row>
    <row r="1260">
      <c r="A1260" s="3" t="str">
        <f t="array" ref="A1260">ifna(_xlfn.xlookup(B1260,'All Item Code'!B:B,'All Item Code'!A:A,),)</f>
        <v/>
      </c>
      <c r="B1260" s="3"/>
      <c r="C1260" s="3" t="str">
        <f t="array" ref="C1260">if(B1260="Tidak Ada",,if(isblank(B1260),,ifna(sumif('On Hand'!A:A,A1260,'On Hand'!D:D)&amp;" "&amp;_xlfn.xlookup(A1260,'All Item Code'!A:A,'All Item Code'!D:D,),0)))</f>
        <v/>
      </c>
      <c r="D1260" s="3" t="str">
        <f>IFERROR(__xludf.DUMMYFUNCTION("if(isblank(B1260),,ifna(textjoin(""; "",,filter('On Hand'!E:E,'On Hand'!A:A=A1260)),ifna(xlookup(A1260,'On Hand'!A:A,'On Hand'!E:E,),)))"),"")</f>
        <v/>
      </c>
    </row>
    <row r="1261">
      <c r="A1261" s="3" t="str">
        <f t="array" ref="A1261">ifna(_xlfn.xlookup(B1261,'All Item Code'!B:B,'All Item Code'!A:A,),)</f>
        <v/>
      </c>
      <c r="B1261" s="3"/>
      <c r="C1261" s="3" t="str">
        <f t="array" ref="C1261">if(B1261="Tidak Ada",,if(isblank(B1261),,ifna(sumif('On Hand'!A:A,A1261,'On Hand'!D:D)&amp;" "&amp;_xlfn.xlookup(A1261,'All Item Code'!A:A,'All Item Code'!D:D,),0)))</f>
        <v/>
      </c>
      <c r="D1261" s="3" t="str">
        <f>IFERROR(__xludf.DUMMYFUNCTION("if(isblank(B1261),,ifna(textjoin(""; "",,filter('On Hand'!E:E,'On Hand'!A:A=A1261)),ifna(xlookup(A1261,'On Hand'!A:A,'On Hand'!E:E,),)))"),"")</f>
        <v/>
      </c>
    </row>
    <row r="1262">
      <c r="A1262" s="3" t="str">
        <f t="array" ref="A1262">ifna(_xlfn.xlookup(B1262,'All Item Code'!B:B,'All Item Code'!A:A,),)</f>
        <v/>
      </c>
      <c r="B1262" s="3"/>
      <c r="C1262" s="3" t="str">
        <f t="array" ref="C1262">if(B1262="Tidak Ada",,if(isblank(B1262),,ifna(sumif('On Hand'!A:A,A1262,'On Hand'!D:D)&amp;" "&amp;_xlfn.xlookup(A1262,'All Item Code'!A:A,'All Item Code'!D:D,),0)))</f>
        <v/>
      </c>
      <c r="D1262" s="3" t="str">
        <f>IFERROR(__xludf.DUMMYFUNCTION("if(isblank(B1262),,ifna(textjoin(""; "",,filter('On Hand'!E:E,'On Hand'!A:A=A1262)),ifna(xlookup(A1262,'On Hand'!A:A,'On Hand'!E:E,),)))"),"")</f>
        <v/>
      </c>
    </row>
    <row r="1263">
      <c r="A1263" s="3" t="str">
        <f t="array" ref="A1263">ifna(_xlfn.xlookup(B1263,'All Item Code'!B:B,'All Item Code'!A:A,),)</f>
        <v/>
      </c>
      <c r="B1263" s="3"/>
      <c r="C1263" s="3" t="str">
        <f t="array" ref="C1263">if(B1263="Tidak Ada",,if(isblank(B1263),,ifna(sumif('On Hand'!A:A,A1263,'On Hand'!D:D)&amp;" "&amp;_xlfn.xlookup(A1263,'All Item Code'!A:A,'All Item Code'!D:D,),0)))</f>
        <v/>
      </c>
      <c r="D1263" s="3" t="str">
        <f>IFERROR(__xludf.DUMMYFUNCTION("if(isblank(B1263),,ifna(textjoin(""; "",,filter('On Hand'!E:E,'On Hand'!A:A=A1263)),ifna(xlookup(A1263,'On Hand'!A:A,'On Hand'!E:E,),)))"),"")</f>
        <v/>
      </c>
    </row>
    <row r="1264">
      <c r="A1264" s="3" t="str">
        <f t="array" ref="A1264">ifna(_xlfn.xlookup(B1264,'All Item Code'!B:B,'All Item Code'!A:A,),)</f>
        <v/>
      </c>
      <c r="B1264" s="3"/>
      <c r="C1264" s="3" t="str">
        <f t="array" ref="C1264">if(B1264="Tidak Ada",,if(isblank(B1264),,ifna(sumif('On Hand'!A:A,A1264,'On Hand'!D:D)&amp;" "&amp;_xlfn.xlookup(A1264,'All Item Code'!A:A,'All Item Code'!D:D,),0)))</f>
        <v/>
      </c>
      <c r="D1264" s="3" t="str">
        <f>IFERROR(__xludf.DUMMYFUNCTION("if(isblank(B1264),,ifna(textjoin(""; "",,filter('On Hand'!E:E,'On Hand'!A:A=A1264)),ifna(xlookup(A1264,'On Hand'!A:A,'On Hand'!E:E,),)))"),"")</f>
        <v/>
      </c>
    </row>
    <row r="1265">
      <c r="A1265" s="3" t="str">
        <f t="array" ref="A1265">ifna(_xlfn.xlookup(B1265,'All Item Code'!B:B,'All Item Code'!A:A,),)</f>
        <v/>
      </c>
      <c r="B1265" s="3"/>
      <c r="C1265" s="3" t="str">
        <f t="array" ref="C1265">if(B1265="Tidak Ada",,if(isblank(B1265),,ifna(sumif('On Hand'!A:A,A1265,'On Hand'!D:D)&amp;" "&amp;_xlfn.xlookup(A1265,'All Item Code'!A:A,'All Item Code'!D:D,),0)))</f>
        <v/>
      </c>
      <c r="D1265" s="3" t="str">
        <f>IFERROR(__xludf.DUMMYFUNCTION("if(isblank(B1265),,ifna(textjoin(""; "",,filter('On Hand'!E:E,'On Hand'!A:A=A1265)),ifna(xlookup(A1265,'On Hand'!A:A,'On Hand'!E:E,),)))"),"")</f>
        <v/>
      </c>
    </row>
    <row r="1266">
      <c r="A1266" s="3" t="str">
        <f t="array" ref="A1266">ifna(_xlfn.xlookup(B1266,'All Item Code'!B:B,'All Item Code'!A:A,),)</f>
        <v/>
      </c>
      <c r="B1266" s="3"/>
      <c r="C1266" s="3" t="str">
        <f t="array" ref="C1266">if(B1266="Tidak Ada",,if(isblank(B1266),,ifna(sumif('On Hand'!A:A,A1266,'On Hand'!D:D)&amp;" "&amp;_xlfn.xlookup(A1266,'All Item Code'!A:A,'All Item Code'!D:D,),0)))</f>
        <v/>
      </c>
      <c r="D1266" s="3" t="str">
        <f>IFERROR(__xludf.DUMMYFUNCTION("if(isblank(B1266),,ifna(textjoin(""; "",,filter('On Hand'!E:E,'On Hand'!A:A=A1266)),ifna(xlookup(A1266,'On Hand'!A:A,'On Hand'!E:E,),)))"),"")</f>
        <v/>
      </c>
    </row>
    <row r="1267">
      <c r="A1267" s="3" t="str">
        <f t="array" ref="A1267">ifna(_xlfn.xlookup(B1267,'All Item Code'!B:B,'All Item Code'!A:A,),)</f>
        <v/>
      </c>
      <c r="B1267" s="3"/>
      <c r="C1267" s="3" t="str">
        <f t="array" ref="C1267">if(B1267="Tidak Ada",,if(isblank(B1267),,ifna(sumif('On Hand'!A:A,A1267,'On Hand'!D:D)&amp;" "&amp;_xlfn.xlookup(A1267,'All Item Code'!A:A,'All Item Code'!D:D,),0)))</f>
        <v/>
      </c>
      <c r="D1267" s="3" t="str">
        <f>IFERROR(__xludf.DUMMYFUNCTION("if(isblank(B1267),,ifna(textjoin(""; "",,filter('On Hand'!E:E,'On Hand'!A:A=A1267)),ifna(xlookup(A1267,'On Hand'!A:A,'On Hand'!E:E,),)))"),"")</f>
        <v/>
      </c>
    </row>
    <row r="1268">
      <c r="A1268" s="3" t="str">
        <f t="array" ref="A1268">ifna(_xlfn.xlookup(B1268,'All Item Code'!B:B,'All Item Code'!A:A,),)</f>
        <v/>
      </c>
      <c r="B1268" s="3"/>
      <c r="C1268" s="3" t="str">
        <f t="array" ref="C1268">if(B1268="Tidak Ada",,if(isblank(B1268),,ifna(sumif('On Hand'!A:A,A1268,'On Hand'!D:D)&amp;" "&amp;_xlfn.xlookup(A1268,'All Item Code'!A:A,'All Item Code'!D:D,),0)))</f>
        <v/>
      </c>
      <c r="D1268" s="3" t="str">
        <f>IFERROR(__xludf.DUMMYFUNCTION("if(isblank(B1268),,ifna(textjoin(""; "",,filter('On Hand'!E:E,'On Hand'!A:A=A1268)),ifna(xlookup(A1268,'On Hand'!A:A,'On Hand'!E:E,),)))"),"")</f>
        <v/>
      </c>
    </row>
    <row r="1269">
      <c r="A1269" s="3" t="str">
        <f t="array" ref="A1269">ifna(_xlfn.xlookup(B1269,'All Item Code'!B:B,'All Item Code'!A:A,),)</f>
        <v/>
      </c>
      <c r="B1269" s="3"/>
      <c r="C1269" s="3" t="str">
        <f t="array" ref="C1269">if(B1269="Tidak Ada",,if(isblank(B1269),,ifna(sumif('On Hand'!A:A,A1269,'On Hand'!D:D)&amp;" "&amp;_xlfn.xlookup(A1269,'All Item Code'!A:A,'All Item Code'!D:D,),0)))</f>
        <v/>
      </c>
      <c r="D1269" s="3" t="str">
        <f>IFERROR(__xludf.DUMMYFUNCTION("if(isblank(B1269),,ifna(textjoin(""; "",,filter('On Hand'!E:E,'On Hand'!A:A=A1269)),ifna(xlookup(A1269,'On Hand'!A:A,'On Hand'!E:E,),)))"),"")</f>
        <v/>
      </c>
    </row>
    <row r="1270">
      <c r="A1270" s="3" t="str">
        <f t="array" ref="A1270">ifna(_xlfn.xlookup(B1270,'All Item Code'!B:B,'All Item Code'!A:A,),)</f>
        <v/>
      </c>
      <c r="B1270" s="3"/>
      <c r="C1270" s="3" t="str">
        <f t="array" ref="C1270">if(B1270="Tidak Ada",,if(isblank(B1270),,ifna(sumif('On Hand'!A:A,A1270,'On Hand'!D:D)&amp;" "&amp;_xlfn.xlookup(A1270,'All Item Code'!A:A,'All Item Code'!D:D,),0)))</f>
        <v/>
      </c>
      <c r="D1270" s="3" t="str">
        <f>IFERROR(__xludf.DUMMYFUNCTION("if(isblank(B1270),,ifna(textjoin(""; "",,filter('On Hand'!E:E,'On Hand'!A:A=A1270)),ifna(xlookup(A1270,'On Hand'!A:A,'On Hand'!E:E,),)))"),"")</f>
        <v/>
      </c>
    </row>
    <row r="1271">
      <c r="A1271" s="3" t="str">
        <f t="array" ref="A1271">ifna(_xlfn.xlookup(B1271,'All Item Code'!B:B,'All Item Code'!A:A,),)</f>
        <v/>
      </c>
      <c r="B1271" s="3"/>
      <c r="C1271" s="3" t="str">
        <f t="array" ref="C1271">if(B1271="Tidak Ada",,if(isblank(B1271),,ifna(sumif('On Hand'!A:A,A1271,'On Hand'!D:D)&amp;" "&amp;_xlfn.xlookup(A1271,'All Item Code'!A:A,'All Item Code'!D:D,),0)))</f>
        <v/>
      </c>
      <c r="D1271" s="3" t="str">
        <f>IFERROR(__xludf.DUMMYFUNCTION("if(isblank(B1271),,ifna(textjoin(""; "",,filter('On Hand'!E:E,'On Hand'!A:A=A1271)),ifna(xlookup(A1271,'On Hand'!A:A,'On Hand'!E:E,),)))"),"")</f>
        <v/>
      </c>
    </row>
    <row r="1272">
      <c r="A1272" s="3" t="str">
        <f t="array" ref="A1272">ifna(_xlfn.xlookup(B1272,'All Item Code'!B:B,'All Item Code'!A:A,),)</f>
        <v/>
      </c>
      <c r="B1272" s="3"/>
      <c r="C1272" s="3" t="str">
        <f t="array" ref="C1272">if(B1272="Tidak Ada",,if(isblank(B1272),,ifna(sumif('On Hand'!A:A,A1272,'On Hand'!D:D)&amp;" "&amp;_xlfn.xlookup(A1272,'All Item Code'!A:A,'All Item Code'!D:D,),0)))</f>
        <v/>
      </c>
      <c r="D1272" s="3" t="str">
        <f>IFERROR(__xludf.DUMMYFUNCTION("if(isblank(B1272),,ifna(textjoin(""; "",,filter('On Hand'!E:E,'On Hand'!A:A=A1272)),ifna(xlookup(A1272,'On Hand'!A:A,'On Hand'!E:E,),)))"),"")</f>
        <v/>
      </c>
    </row>
    <row r="1273">
      <c r="A1273" s="3" t="str">
        <f t="array" ref="A1273">ifna(_xlfn.xlookup(B1273,'All Item Code'!B:B,'All Item Code'!A:A,),)</f>
        <v/>
      </c>
      <c r="B1273" s="3"/>
      <c r="C1273" s="3" t="str">
        <f t="array" ref="C1273">if(B1273="Tidak Ada",,if(isblank(B1273),,ifna(sumif('On Hand'!A:A,A1273,'On Hand'!D:D)&amp;" "&amp;_xlfn.xlookup(A1273,'All Item Code'!A:A,'All Item Code'!D:D,),0)))</f>
        <v/>
      </c>
      <c r="D1273" s="3" t="str">
        <f>IFERROR(__xludf.DUMMYFUNCTION("if(isblank(B1273),,ifna(textjoin(""; "",,filter('On Hand'!E:E,'On Hand'!A:A=A1273)),ifna(xlookup(A1273,'On Hand'!A:A,'On Hand'!E:E,),)))"),"")</f>
        <v/>
      </c>
    </row>
    <row r="1274">
      <c r="A1274" s="3" t="str">
        <f t="array" ref="A1274">ifna(_xlfn.xlookup(B1274,'All Item Code'!B:B,'All Item Code'!A:A,),)</f>
        <v/>
      </c>
      <c r="B1274" s="3"/>
      <c r="C1274" s="3" t="str">
        <f t="array" ref="C1274">if(B1274="Tidak Ada",,if(isblank(B1274),,ifna(sumif('On Hand'!A:A,A1274,'On Hand'!D:D)&amp;" "&amp;_xlfn.xlookup(A1274,'All Item Code'!A:A,'All Item Code'!D:D,),0)))</f>
        <v/>
      </c>
      <c r="D1274" s="3" t="str">
        <f>IFERROR(__xludf.DUMMYFUNCTION("if(isblank(B1274),,ifna(textjoin(""; "",,filter('On Hand'!E:E,'On Hand'!A:A=A1274)),ifna(xlookup(A1274,'On Hand'!A:A,'On Hand'!E:E,),)))"),"")</f>
        <v/>
      </c>
    </row>
    <row r="1275">
      <c r="A1275" s="3" t="str">
        <f t="array" ref="A1275">ifna(_xlfn.xlookup(B1275,'All Item Code'!B:B,'All Item Code'!A:A,),)</f>
        <v/>
      </c>
      <c r="B1275" s="3"/>
      <c r="C1275" s="3" t="str">
        <f t="array" ref="C1275">if(B1275="Tidak Ada",,if(isblank(B1275),,ifna(sumif('On Hand'!A:A,A1275,'On Hand'!D:D)&amp;" "&amp;_xlfn.xlookup(A1275,'All Item Code'!A:A,'All Item Code'!D:D,),0)))</f>
        <v/>
      </c>
      <c r="D1275" s="3" t="str">
        <f>IFERROR(__xludf.DUMMYFUNCTION("if(isblank(B1275),,ifna(textjoin(""; "",,filter('On Hand'!E:E,'On Hand'!A:A=A1275)),ifna(xlookup(A1275,'On Hand'!A:A,'On Hand'!E:E,),)))"),"")</f>
        <v/>
      </c>
    </row>
    <row r="1276">
      <c r="A1276" s="3" t="str">
        <f t="array" ref="A1276">ifna(_xlfn.xlookup(B1276,'All Item Code'!B:B,'All Item Code'!A:A,),)</f>
        <v/>
      </c>
      <c r="B1276" s="3"/>
      <c r="C1276" s="3" t="str">
        <f t="array" ref="C1276">if(B1276="Tidak Ada",,if(isblank(B1276),,ifna(sumif('On Hand'!A:A,A1276,'On Hand'!D:D)&amp;" "&amp;_xlfn.xlookup(A1276,'All Item Code'!A:A,'All Item Code'!D:D,),0)))</f>
        <v/>
      </c>
      <c r="D1276" s="3" t="str">
        <f>IFERROR(__xludf.DUMMYFUNCTION("if(isblank(B1276),,ifna(textjoin(""; "",,filter('On Hand'!E:E,'On Hand'!A:A=A1276)),ifna(xlookup(A1276,'On Hand'!A:A,'On Hand'!E:E,),)))"),"")</f>
        <v/>
      </c>
    </row>
    <row r="1277">
      <c r="A1277" s="3" t="str">
        <f t="array" ref="A1277">ifna(_xlfn.xlookup(B1277,'All Item Code'!B:B,'All Item Code'!A:A,),)</f>
        <v/>
      </c>
      <c r="B1277" s="3"/>
      <c r="C1277" s="3" t="str">
        <f t="array" ref="C1277">if(B1277="Tidak Ada",,if(isblank(B1277),,ifna(sumif('On Hand'!A:A,A1277,'On Hand'!D:D)&amp;" "&amp;_xlfn.xlookup(A1277,'All Item Code'!A:A,'All Item Code'!D:D,),0)))</f>
        <v/>
      </c>
      <c r="D1277" s="3" t="str">
        <f>IFERROR(__xludf.DUMMYFUNCTION("if(isblank(B1277),,ifna(textjoin(""; "",,filter('On Hand'!E:E,'On Hand'!A:A=A1277)),ifna(xlookup(A1277,'On Hand'!A:A,'On Hand'!E:E,),)))"),"")</f>
        <v/>
      </c>
    </row>
    <row r="1278">
      <c r="A1278" s="3" t="str">
        <f t="array" ref="A1278">ifna(_xlfn.xlookup(B1278,'All Item Code'!B:B,'All Item Code'!A:A,),)</f>
        <v/>
      </c>
      <c r="B1278" s="3"/>
      <c r="C1278" s="3" t="str">
        <f t="array" ref="C1278">if(B1278="Tidak Ada",,if(isblank(B1278),,ifna(sumif('On Hand'!A:A,A1278,'On Hand'!D:D)&amp;" "&amp;_xlfn.xlookup(A1278,'All Item Code'!A:A,'All Item Code'!D:D,),0)))</f>
        <v/>
      </c>
      <c r="D1278" s="3" t="str">
        <f>IFERROR(__xludf.DUMMYFUNCTION("if(isblank(B1278),,ifna(textjoin(""; "",,filter('On Hand'!E:E,'On Hand'!A:A=A1278)),ifna(xlookup(A1278,'On Hand'!A:A,'On Hand'!E:E,),)))"),"")</f>
        <v/>
      </c>
    </row>
    <row r="1279">
      <c r="A1279" s="3" t="str">
        <f t="array" ref="A1279">ifna(_xlfn.xlookup(B1279,'All Item Code'!B:B,'All Item Code'!A:A,),)</f>
        <v/>
      </c>
      <c r="B1279" s="3"/>
      <c r="C1279" s="3" t="str">
        <f t="array" ref="C1279">if(B1279="Tidak Ada",,if(isblank(B1279),,ifna(sumif('On Hand'!A:A,A1279,'On Hand'!D:D)&amp;" "&amp;_xlfn.xlookup(A1279,'All Item Code'!A:A,'All Item Code'!D:D,),0)))</f>
        <v/>
      </c>
      <c r="D1279" s="3" t="str">
        <f>IFERROR(__xludf.DUMMYFUNCTION("if(isblank(B1279),,ifna(textjoin(""; "",,filter('On Hand'!E:E,'On Hand'!A:A=A1279)),ifna(xlookup(A1279,'On Hand'!A:A,'On Hand'!E:E,),)))"),"")</f>
        <v/>
      </c>
    </row>
    <row r="1280">
      <c r="A1280" s="3" t="str">
        <f t="array" ref="A1280">ifna(_xlfn.xlookup(B1280,'All Item Code'!B:B,'All Item Code'!A:A,),)</f>
        <v/>
      </c>
      <c r="B1280" s="3"/>
      <c r="C1280" s="3" t="str">
        <f t="array" ref="C1280">if(B1280="Tidak Ada",,if(isblank(B1280),,ifna(sumif('On Hand'!A:A,A1280,'On Hand'!D:D)&amp;" "&amp;_xlfn.xlookup(A1280,'All Item Code'!A:A,'All Item Code'!D:D,),0)))</f>
        <v/>
      </c>
      <c r="D1280" s="3" t="str">
        <f>IFERROR(__xludf.DUMMYFUNCTION("if(isblank(B1280),,ifna(textjoin(""; "",,filter('On Hand'!E:E,'On Hand'!A:A=A1280)),ifna(xlookup(A1280,'On Hand'!A:A,'On Hand'!E:E,),)))"),"")</f>
        <v/>
      </c>
    </row>
    <row r="1281">
      <c r="A1281" s="3" t="str">
        <f t="array" ref="A1281">ifna(_xlfn.xlookup(B1281,'All Item Code'!B:B,'All Item Code'!A:A,),)</f>
        <v/>
      </c>
      <c r="B1281" s="3"/>
      <c r="C1281" s="3" t="str">
        <f t="array" ref="C1281">if(B1281="Tidak Ada",,if(isblank(B1281),,ifna(sumif('On Hand'!A:A,A1281,'On Hand'!D:D)&amp;" "&amp;_xlfn.xlookup(A1281,'All Item Code'!A:A,'All Item Code'!D:D,),0)))</f>
        <v/>
      </c>
      <c r="D1281" s="3" t="str">
        <f>IFERROR(__xludf.DUMMYFUNCTION("if(isblank(B1281),,ifna(textjoin(""; "",,filter('On Hand'!E:E,'On Hand'!A:A=A1281)),ifna(xlookup(A1281,'On Hand'!A:A,'On Hand'!E:E,),)))"),"")</f>
        <v/>
      </c>
    </row>
    <row r="1282">
      <c r="A1282" s="3" t="str">
        <f t="array" ref="A1282">ifna(_xlfn.xlookup(B1282,'All Item Code'!B:B,'All Item Code'!A:A,),)</f>
        <v/>
      </c>
      <c r="B1282" s="3"/>
      <c r="C1282" s="3" t="str">
        <f t="array" ref="C1282">if(B1282="Tidak Ada",,if(isblank(B1282),,ifna(sumif('On Hand'!A:A,A1282,'On Hand'!D:D)&amp;" "&amp;_xlfn.xlookup(A1282,'All Item Code'!A:A,'All Item Code'!D:D,),0)))</f>
        <v/>
      </c>
      <c r="D1282" s="3" t="str">
        <f>IFERROR(__xludf.DUMMYFUNCTION("if(isblank(B1282),,ifna(textjoin(""; "",,filter('On Hand'!E:E,'On Hand'!A:A=A1282)),ifna(xlookup(A1282,'On Hand'!A:A,'On Hand'!E:E,),)))"),"")</f>
        <v/>
      </c>
    </row>
    <row r="1283">
      <c r="A1283" s="3" t="str">
        <f t="array" ref="A1283">ifna(_xlfn.xlookup(B1283,'All Item Code'!B:B,'All Item Code'!A:A,),)</f>
        <v/>
      </c>
      <c r="B1283" s="3"/>
      <c r="C1283" s="3" t="str">
        <f t="array" ref="C1283">if(B1283="Tidak Ada",,if(isblank(B1283),,ifna(sumif('On Hand'!A:A,A1283,'On Hand'!D:D)&amp;" "&amp;_xlfn.xlookup(A1283,'All Item Code'!A:A,'All Item Code'!D:D,),0)))</f>
        <v/>
      </c>
      <c r="D1283" s="3" t="str">
        <f>IFERROR(__xludf.DUMMYFUNCTION("if(isblank(B1283),,ifna(textjoin(""; "",,filter('On Hand'!E:E,'On Hand'!A:A=A1283)),ifna(xlookup(A1283,'On Hand'!A:A,'On Hand'!E:E,),)))"),"")</f>
        <v/>
      </c>
    </row>
    <row r="1284">
      <c r="A1284" s="3" t="str">
        <f t="array" ref="A1284">ifna(_xlfn.xlookup(B1284,'All Item Code'!B:B,'All Item Code'!A:A,),)</f>
        <v/>
      </c>
      <c r="B1284" s="3"/>
      <c r="C1284" s="3" t="str">
        <f t="array" ref="C1284">if(B1284="Tidak Ada",,if(isblank(B1284),,ifna(sumif('On Hand'!A:A,A1284,'On Hand'!D:D)&amp;" "&amp;_xlfn.xlookup(A1284,'All Item Code'!A:A,'All Item Code'!D:D,),0)))</f>
        <v/>
      </c>
      <c r="D1284" s="3" t="str">
        <f>IFERROR(__xludf.DUMMYFUNCTION("if(isblank(B1284),,ifna(textjoin(""; "",,filter('On Hand'!E:E,'On Hand'!A:A=A1284)),ifna(xlookup(A1284,'On Hand'!A:A,'On Hand'!E:E,),)))"),"")</f>
        <v/>
      </c>
    </row>
    <row r="1285">
      <c r="A1285" s="3" t="str">
        <f t="array" ref="A1285">ifna(_xlfn.xlookup(B1285,'All Item Code'!B:B,'All Item Code'!A:A,),)</f>
        <v/>
      </c>
      <c r="B1285" s="3"/>
      <c r="C1285" s="3" t="str">
        <f t="array" ref="C1285">if(B1285="Tidak Ada",,if(isblank(B1285),,ifna(sumif('On Hand'!A:A,A1285,'On Hand'!D:D)&amp;" "&amp;_xlfn.xlookup(A1285,'All Item Code'!A:A,'All Item Code'!D:D,),0)))</f>
        <v/>
      </c>
      <c r="D1285" s="3" t="str">
        <f>IFERROR(__xludf.DUMMYFUNCTION("if(isblank(B1285),,ifna(textjoin(""; "",,filter('On Hand'!E:E,'On Hand'!A:A=A1285)),ifna(xlookup(A1285,'On Hand'!A:A,'On Hand'!E:E,),)))"),"")</f>
        <v/>
      </c>
    </row>
    <row r="1286">
      <c r="A1286" s="3" t="str">
        <f t="array" ref="A1286">ifna(_xlfn.xlookup(B1286,'All Item Code'!B:B,'All Item Code'!A:A,),)</f>
        <v/>
      </c>
      <c r="B1286" s="3"/>
      <c r="C1286" s="3" t="str">
        <f t="array" ref="C1286">if(B1286="Tidak Ada",,if(isblank(B1286),,ifna(sumif('On Hand'!A:A,A1286,'On Hand'!D:D)&amp;" "&amp;_xlfn.xlookup(A1286,'All Item Code'!A:A,'All Item Code'!D:D,),0)))</f>
        <v/>
      </c>
      <c r="D1286" s="3" t="str">
        <f>IFERROR(__xludf.DUMMYFUNCTION("if(isblank(B1286),,ifna(textjoin(""; "",,filter('On Hand'!E:E,'On Hand'!A:A=A1286)),ifna(xlookup(A1286,'On Hand'!A:A,'On Hand'!E:E,),)))"),"")</f>
        <v/>
      </c>
    </row>
    <row r="1287">
      <c r="A1287" s="3" t="str">
        <f t="array" ref="A1287">ifna(_xlfn.xlookup(B1287,'All Item Code'!B:B,'All Item Code'!A:A,),)</f>
        <v/>
      </c>
      <c r="B1287" s="3"/>
      <c r="C1287" s="3" t="str">
        <f t="array" ref="C1287">if(B1287="Tidak Ada",,if(isblank(B1287),,ifna(sumif('On Hand'!A:A,A1287,'On Hand'!D:D)&amp;" "&amp;_xlfn.xlookup(A1287,'All Item Code'!A:A,'All Item Code'!D:D,),0)))</f>
        <v/>
      </c>
      <c r="D1287" s="3" t="str">
        <f>IFERROR(__xludf.DUMMYFUNCTION("if(isblank(B1287),,ifna(textjoin(""; "",,filter('On Hand'!E:E,'On Hand'!A:A=A1287)),ifna(xlookup(A1287,'On Hand'!A:A,'On Hand'!E:E,),)))"),"")</f>
        <v/>
      </c>
    </row>
    <row r="1288">
      <c r="A1288" s="3" t="str">
        <f t="array" ref="A1288">ifna(_xlfn.xlookup(B1288,'All Item Code'!B:B,'All Item Code'!A:A,),)</f>
        <v/>
      </c>
      <c r="B1288" s="3"/>
      <c r="C1288" s="3" t="str">
        <f t="array" ref="C1288">if(B1288="Tidak Ada",,if(isblank(B1288),,ifna(sumif('On Hand'!A:A,A1288,'On Hand'!D:D)&amp;" "&amp;_xlfn.xlookup(A1288,'All Item Code'!A:A,'All Item Code'!D:D,),0)))</f>
        <v/>
      </c>
      <c r="D1288" s="3" t="str">
        <f>IFERROR(__xludf.DUMMYFUNCTION("if(isblank(B1288),,ifna(textjoin(""; "",,filter('On Hand'!E:E,'On Hand'!A:A=A1288)),ifna(xlookup(A1288,'On Hand'!A:A,'On Hand'!E:E,),)))"),"")</f>
        <v/>
      </c>
    </row>
    <row r="1289">
      <c r="A1289" s="3" t="str">
        <f t="array" ref="A1289">ifna(_xlfn.xlookup(B1289,'All Item Code'!B:B,'All Item Code'!A:A,),)</f>
        <v/>
      </c>
      <c r="B1289" s="3"/>
      <c r="C1289" s="3" t="str">
        <f t="array" ref="C1289">if(B1289="Tidak Ada",,if(isblank(B1289),,ifna(sumif('On Hand'!A:A,A1289,'On Hand'!D:D)&amp;" "&amp;_xlfn.xlookup(A1289,'All Item Code'!A:A,'All Item Code'!D:D,),0)))</f>
        <v/>
      </c>
      <c r="D1289" s="3" t="str">
        <f>IFERROR(__xludf.DUMMYFUNCTION("if(isblank(B1289),,ifna(textjoin(""; "",,filter('On Hand'!E:E,'On Hand'!A:A=A1289)),ifna(xlookup(A1289,'On Hand'!A:A,'On Hand'!E:E,),)))"),"")</f>
        <v/>
      </c>
    </row>
    <row r="1290">
      <c r="A1290" s="3" t="str">
        <f t="array" ref="A1290">ifna(_xlfn.xlookup(B1290,'All Item Code'!B:B,'All Item Code'!A:A,),)</f>
        <v/>
      </c>
      <c r="B1290" s="3"/>
      <c r="C1290" s="3" t="str">
        <f t="array" ref="C1290">if(B1290="Tidak Ada",,if(isblank(B1290),,ifna(sumif('On Hand'!A:A,A1290,'On Hand'!D:D)&amp;" "&amp;_xlfn.xlookup(A1290,'All Item Code'!A:A,'All Item Code'!D:D,),0)))</f>
        <v/>
      </c>
      <c r="D1290" s="3" t="str">
        <f>IFERROR(__xludf.DUMMYFUNCTION("if(isblank(B1290),,ifna(textjoin(""; "",,filter('On Hand'!E:E,'On Hand'!A:A=A1290)),ifna(xlookup(A1290,'On Hand'!A:A,'On Hand'!E:E,),)))"),"")</f>
        <v/>
      </c>
    </row>
    <row r="1291">
      <c r="A1291" s="3" t="str">
        <f t="array" ref="A1291">ifna(_xlfn.xlookup(B1291,'All Item Code'!B:B,'All Item Code'!A:A,),)</f>
        <v/>
      </c>
      <c r="B1291" s="3"/>
      <c r="C1291" s="3" t="str">
        <f t="array" ref="C1291">if(B1291="Tidak Ada",,if(isblank(B1291),,ifna(sumif('On Hand'!A:A,A1291,'On Hand'!D:D)&amp;" "&amp;_xlfn.xlookup(A1291,'All Item Code'!A:A,'All Item Code'!D:D,),0)))</f>
        <v/>
      </c>
      <c r="D1291" s="3" t="str">
        <f>IFERROR(__xludf.DUMMYFUNCTION("if(isblank(B1291),,ifna(textjoin(""; "",,filter('On Hand'!E:E,'On Hand'!A:A=A1291)),ifna(xlookup(A1291,'On Hand'!A:A,'On Hand'!E:E,),)))"),"")</f>
        <v/>
      </c>
    </row>
    <row r="1292">
      <c r="A1292" s="3" t="str">
        <f t="array" ref="A1292">ifna(_xlfn.xlookup(B1292,'All Item Code'!B:B,'All Item Code'!A:A,),)</f>
        <v/>
      </c>
      <c r="B1292" s="3"/>
      <c r="C1292" s="3" t="str">
        <f t="array" ref="C1292">if(B1292="Tidak Ada",,if(isblank(B1292),,ifna(sumif('On Hand'!A:A,A1292,'On Hand'!D:D)&amp;" "&amp;_xlfn.xlookup(A1292,'All Item Code'!A:A,'All Item Code'!D:D,),0)))</f>
        <v/>
      </c>
      <c r="D1292" s="3" t="str">
        <f>IFERROR(__xludf.DUMMYFUNCTION("if(isblank(B1292),,ifna(textjoin(""; "",,filter('On Hand'!E:E,'On Hand'!A:A=A1292)),ifna(xlookup(A1292,'On Hand'!A:A,'On Hand'!E:E,),)))"),"")</f>
        <v/>
      </c>
    </row>
    <row r="1293">
      <c r="A1293" s="3" t="str">
        <f t="array" ref="A1293">ifna(_xlfn.xlookup(B1293,'All Item Code'!B:B,'All Item Code'!A:A,),)</f>
        <v/>
      </c>
      <c r="B1293" s="3"/>
      <c r="C1293" s="3" t="str">
        <f t="array" ref="C1293">if(B1293="Tidak Ada",,if(isblank(B1293),,ifna(sumif('On Hand'!A:A,A1293,'On Hand'!D:D)&amp;" "&amp;_xlfn.xlookup(A1293,'All Item Code'!A:A,'All Item Code'!D:D,),0)))</f>
        <v/>
      </c>
      <c r="D1293" s="3" t="str">
        <f>IFERROR(__xludf.DUMMYFUNCTION("if(isblank(B1293),,ifna(textjoin(""; "",,filter('On Hand'!E:E,'On Hand'!A:A=A1293)),ifna(xlookup(A1293,'On Hand'!A:A,'On Hand'!E:E,),)))"),"")</f>
        <v/>
      </c>
    </row>
    <row r="1294">
      <c r="A1294" s="3" t="str">
        <f t="array" ref="A1294">ifna(_xlfn.xlookup(B1294,'All Item Code'!B:B,'All Item Code'!A:A,),)</f>
        <v/>
      </c>
      <c r="B1294" s="3"/>
      <c r="C1294" s="3" t="str">
        <f t="array" ref="C1294">if(B1294="Tidak Ada",,if(isblank(B1294),,ifna(sumif('On Hand'!A:A,A1294,'On Hand'!D:D)&amp;" "&amp;_xlfn.xlookup(A1294,'All Item Code'!A:A,'All Item Code'!D:D,),0)))</f>
        <v/>
      </c>
      <c r="D1294" s="3" t="str">
        <f>IFERROR(__xludf.DUMMYFUNCTION("if(isblank(B1294),,ifna(textjoin(""; "",,filter('On Hand'!E:E,'On Hand'!A:A=A1294)),ifna(xlookup(A1294,'On Hand'!A:A,'On Hand'!E:E,),)))"),"")</f>
        <v/>
      </c>
    </row>
    <row r="1295">
      <c r="A1295" s="3" t="str">
        <f t="array" ref="A1295">ifna(_xlfn.xlookup(B1295,'All Item Code'!B:B,'All Item Code'!A:A,),)</f>
        <v/>
      </c>
      <c r="B1295" s="3"/>
      <c r="C1295" s="3" t="str">
        <f t="array" ref="C1295">if(B1295="Tidak Ada",,if(isblank(B1295),,ifna(sumif('On Hand'!A:A,A1295,'On Hand'!D:D)&amp;" "&amp;_xlfn.xlookup(A1295,'All Item Code'!A:A,'All Item Code'!D:D,),0)))</f>
        <v/>
      </c>
      <c r="D1295" s="3" t="str">
        <f>IFERROR(__xludf.DUMMYFUNCTION("if(isblank(B1295),,ifna(textjoin(""; "",,filter('On Hand'!E:E,'On Hand'!A:A=A1295)),ifna(xlookup(A1295,'On Hand'!A:A,'On Hand'!E:E,),)))"),"")</f>
        <v/>
      </c>
    </row>
    <row r="1296">
      <c r="A1296" s="3" t="str">
        <f t="array" ref="A1296">ifna(_xlfn.xlookup(B1296,'All Item Code'!B:B,'All Item Code'!A:A,),)</f>
        <v/>
      </c>
      <c r="B1296" s="3"/>
      <c r="C1296" s="3" t="str">
        <f t="array" ref="C1296">if(B1296="Tidak Ada",,if(isblank(B1296),,ifna(sumif('On Hand'!A:A,A1296,'On Hand'!D:D)&amp;" "&amp;_xlfn.xlookup(A1296,'All Item Code'!A:A,'All Item Code'!D:D,),0)))</f>
        <v/>
      </c>
      <c r="D1296" s="3" t="str">
        <f>IFERROR(__xludf.DUMMYFUNCTION("if(isblank(B1296),,ifna(textjoin(""; "",,filter('On Hand'!E:E,'On Hand'!A:A=A1296)),ifna(xlookup(A1296,'On Hand'!A:A,'On Hand'!E:E,),)))"),"")</f>
        <v/>
      </c>
    </row>
    <row r="1297">
      <c r="A1297" s="3" t="str">
        <f t="array" ref="A1297">ifna(_xlfn.xlookup(B1297,'All Item Code'!B:B,'All Item Code'!A:A,),)</f>
        <v/>
      </c>
      <c r="B1297" s="3"/>
      <c r="C1297" s="3" t="str">
        <f t="array" ref="C1297">if(B1297="Tidak Ada",,if(isblank(B1297),,ifna(sumif('On Hand'!A:A,A1297,'On Hand'!D:D)&amp;" "&amp;_xlfn.xlookup(A1297,'All Item Code'!A:A,'All Item Code'!D:D,),0)))</f>
        <v/>
      </c>
      <c r="D1297" s="3" t="str">
        <f>IFERROR(__xludf.DUMMYFUNCTION("if(isblank(B1297),,ifna(textjoin(""; "",,filter('On Hand'!E:E,'On Hand'!A:A=A1297)),ifna(xlookup(A1297,'On Hand'!A:A,'On Hand'!E:E,),)))"),"")</f>
        <v/>
      </c>
    </row>
    <row r="1298">
      <c r="A1298" s="3" t="str">
        <f t="array" ref="A1298">ifna(_xlfn.xlookup(B1298,'All Item Code'!B:B,'All Item Code'!A:A,),)</f>
        <v/>
      </c>
      <c r="B1298" s="3"/>
      <c r="C1298" s="3" t="str">
        <f t="array" ref="C1298">if(B1298="Tidak Ada",,if(isblank(B1298),,ifna(sumif('On Hand'!A:A,A1298,'On Hand'!D:D)&amp;" "&amp;_xlfn.xlookup(A1298,'All Item Code'!A:A,'All Item Code'!D:D,),0)))</f>
        <v/>
      </c>
      <c r="D1298" s="3" t="str">
        <f>IFERROR(__xludf.DUMMYFUNCTION("if(isblank(B1298),,ifna(textjoin(""; "",,filter('On Hand'!E:E,'On Hand'!A:A=A1298)),ifna(xlookup(A1298,'On Hand'!A:A,'On Hand'!E:E,),)))"),"")</f>
        <v/>
      </c>
    </row>
    <row r="1299">
      <c r="A1299" s="3" t="str">
        <f t="array" ref="A1299">ifna(_xlfn.xlookup(B1299,'All Item Code'!B:B,'All Item Code'!A:A,),)</f>
        <v/>
      </c>
      <c r="B1299" s="3"/>
      <c r="C1299" s="3" t="str">
        <f t="array" ref="C1299">if(B1299="Tidak Ada",,if(isblank(B1299),,ifna(sumif('On Hand'!A:A,A1299,'On Hand'!D:D)&amp;" "&amp;_xlfn.xlookup(A1299,'All Item Code'!A:A,'All Item Code'!D:D,),0)))</f>
        <v/>
      </c>
      <c r="D1299" s="3" t="str">
        <f>IFERROR(__xludf.DUMMYFUNCTION("if(isblank(B1299),,ifna(textjoin(""; "",,filter('On Hand'!E:E,'On Hand'!A:A=A1299)),ifna(xlookup(A1299,'On Hand'!A:A,'On Hand'!E:E,),)))"),"")</f>
        <v/>
      </c>
    </row>
    <row r="1300">
      <c r="A1300" s="3" t="str">
        <f t="array" ref="A1300">ifna(_xlfn.xlookup(B1300,'All Item Code'!B:B,'All Item Code'!A:A,),)</f>
        <v/>
      </c>
      <c r="B1300" s="3"/>
      <c r="C1300" s="3" t="str">
        <f t="array" ref="C1300">if(B1300="Tidak Ada",,if(isblank(B1300),,ifna(sumif('On Hand'!A:A,A1300,'On Hand'!D:D)&amp;" "&amp;_xlfn.xlookup(A1300,'All Item Code'!A:A,'All Item Code'!D:D,),0)))</f>
        <v/>
      </c>
      <c r="D1300" s="3" t="str">
        <f>IFERROR(__xludf.DUMMYFUNCTION("if(isblank(B1300),,ifna(textjoin(""; "",,filter('On Hand'!E:E,'On Hand'!A:A=A1300)),ifna(xlookup(A1300,'On Hand'!A:A,'On Hand'!E:E,),)))"),"")</f>
        <v/>
      </c>
    </row>
    <row r="1301">
      <c r="A1301" s="3" t="str">
        <f t="array" ref="A1301">ifna(_xlfn.xlookup(B1301,'All Item Code'!B:B,'All Item Code'!A:A,),)</f>
        <v/>
      </c>
      <c r="B1301" s="3"/>
      <c r="C1301" s="3" t="str">
        <f t="array" ref="C1301">if(B1301="Tidak Ada",,if(isblank(B1301),,ifna(sumif('On Hand'!A:A,A1301,'On Hand'!D:D)&amp;" "&amp;_xlfn.xlookup(A1301,'All Item Code'!A:A,'All Item Code'!D:D,),0)))</f>
        <v/>
      </c>
      <c r="D1301" s="3" t="str">
        <f>IFERROR(__xludf.DUMMYFUNCTION("if(isblank(B1301),,ifna(textjoin(""; "",,filter('On Hand'!E:E,'On Hand'!A:A=A1301)),ifna(xlookup(A1301,'On Hand'!A:A,'On Hand'!E:E,),)))"),"")</f>
        <v/>
      </c>
    </row>
    <row r="1302">
      <c r="A1302" s="3" t="str">
        <f t="array" ref="A1302">ifna(_xlfn.xlookup(B1302,'All Item Code'!B:B,'All Item Code'!A:A,),)</f>
        <v/>
      </c>
      <c r="B1302" s="3"/>
      <c r="C1302" s="3" t="str">
        <f t="array" ref="C1302">if(B1302="Tidak Ada",,if(isblank(B1302),,ifna(sumif('On Hand'!A:A,A1302,'On Hand'!D:D)&amp;" "&amp;_xlfn.xlookup(A1302,'All Item Code'!A:A,'All Item Code'!D:D,),0)))</f>
        <v/>
      </c>
      <c r="D1302" s="3" t="str">
        <f>IFERROR(__xludf.DUMMYFUNCTION("if(isblank(B1302),,ifna(textjoin(""; "",,filter('On Hand'!E:E,'On Hand'!A:A=A1302)),ifna(xlookup(A1302,'On Hand'!A:A,'On Hand'!E:E,),)))"),"")</f>
        <v/>
      </c>
    </row>
    <row r="1303">
      <c r="A1303" s="3" t="str">
        <f t="array" ref="A1303">ifna(_xlfn.xlookup(B1303,'All Item Code'!B:B,'All Item Code'!A:A,),)</f>
        <v/>
      </c>
      <c r="B1303" s="3"/>
      <c r="C1303" s="3" t="str">
        <f t="array" ref="C1303">if(B1303="Tidak Ada",,if(isblank(B1303),,ifna(sumif('On Hand'!A:A,A1303,'On Hand'!D:D)&amp;" "&amp;_xlfn.xlookup(A1303,'All Item Code'!A:A,'All Item Code'!D:D,),0)))</f>
        <v/>
      </c>
      <c r="D1303" s="3" t="str">
        <f>IFERROR(__xludf.DUMMYFUNCTION("if(isblank(B1303),,ifna(textjoin(""; "",,filter('On Hand'!E:E,'On Hand'!A:A=A1303)),ifna(xlookup(A1303,'On Hand'!A:A,'On Hand'!E:E,),)))"),"")</f>
        <v/>
      </c>
    </row>
    <row r="1304">
      <c r="A1304" s="3" t="str">
        <f t="array" ref="A1304">ifna(_xlfn.xlookup(B1304,'All Item Code'!B:B,'All Item Code'!A:A,),)</f>
        <v/>
      </c>
      <c r="B1304" s="3"/>
      <c r="C1304" s="3" t="str">
        <f t="array" ref="C1304">if(B1304="Tidak Ada",,if(isblank(B1304),,ifna(sumif('On Hand'!A:A,A1304,'On Hand'!D:D)&amp;" "&amp;_xlfn.xlookup(A1304,'All Item Code'!A:A,'All Item Code'!D:D,),0)))</f>
        <v/>
      </c>
      <c r="D1304" s="3" t="str">
        <f>IFERROR(__xludf.DUMMYFUNCTION("if(isblank(B1304),,ifna(textjoin(""; "",,filter('On Hand'!E:E,'On Hand'!A:A=A1304)),ifna(xlookup(A1304,'On Hand'!A:A,'On Hand'!E:E,),)))"),"")</f>
        <v/>
      </c>
    </row>
    <row r="1305">
      <c r="A1305" s="3" t="str">
        <f t="array" ref="A1305">ifna(_xlfn.xlookup(B1305,'All Item Code'!B:B,'All Item Code'!A:A,),)</f>
        <v/>
      </c>
      <c r="B1305" s="3"/>
      <c r="C1305" s="3" t="str">
        <f t="array" ref="C1305">if(B1305="Tidak Ada",,if(isblank(B1305),,ifna(sumif('On Hand'!A:A,A1305,'On Hand'!D:D)&amp;" "&amp;_xlfn.xlookup(A1305,'All Item Code'!A:A,'All Item Code'!D:D,),0)))</f>
        <v/>
      </c>
      <c r="D1305" s="3" t="str">
        <f>IFERROR(__xludf.DUMMYFUNCTION("if(isblank(B1305),,ifna(textjoin(""; "",,filter('On Hand'!E:E,'On Hand'!A:A=A1305)),ifna(xlookup(A1305,'On Hand'!A:A,'On Hand'!E:E,),)))"),"")</f>
        <v/>
      </c>
    </row>
    <row r="1306">
      <c r="A1306" s="3" t="str">
        <f t="array" ref="A1306">ifna(_xlfn.xlookup(B1306,'All Item Code'!B:B,'All Item Code'!A:A,),)</f>
        <v/>
      </c>
      <c r="B1306" s="3"/>
      <c r="C1306" s="3" t="str">
        <f t="array" ref="C1306">if(B1306="Tidak Ada",,if(isblank(B1306),,ifna(sumif('On Hand'!A:A,A1306,'On Hand'!D:D)&amp;" "&amp;_xlfn.xlookup(A1306,'All Item Code'!A:A,'All Item Code'!D:D,),0)))</f>
        <v/>
      </c>
      <c r="D1306" s="3" t="str">
        <f>IFERROR(__xludf.DUMMYFUNCTION("if(isblank(B1306),,ifna(textjoin(""; "",,filter('On Hand'!E:E,'On Hand'!A:A=A1306)),ifna(xlookup(A1306,'On Hand'!A:A,'On Hand'!E:E,),)))"),"")</f>
        <v/>
      </c>
    </row>
    <row r="1307">
      <c r="A1307" s="3" t="str">
        <f t="array" ref="A1307">ifna(_xlfn.xlookup(B1307,'All Item Code'!B:B,'All Item Code'!A:A,),)</f>
        <v/>
      </c>
      <c r="B1307" s="3"/>
      <c r="C1307" s="3" t="str">
        <f t="array" ref="C1307">if(B1307="Tidak Ada",,if(isblank(B1307),,ifna(sumif('On Hand'!A:A,A1307,'On Hand'!D:D)&amp;" "&amp;_xlfn.xlookup(A1307,'All Item Code'!A:A,'All Item Code'!D:D,),0)))</f>
        <v/>
      </c>
      <c r="D1307" s="3" t="str">
        <f>IFERROR(__xludf.DUMMYFUNCTION("if(isblank(B1307),,ifna(textjoin(""; "",,filter('On Hand'!E:E,'On Hand'!A:A=A1307)),ifna(xlookup(A1307,'On Hand'!A:A,'On Hand'!E:E,),)))"),"")</f>
        <v/>
      </c>
    </row>
    <row r="1308">
      <c r="A1308" s="3" t="str">
        <f t="array" ref="A1308">ifna(_xlfn.xlookup(B1308,'All Item Code'!B:B,'All Item Code'!A:A,),)</f>
        <v/>
      </c>
      <c r="B1308" s="3"/>
      <c r="C1308" s="3" t="str">
        <f t="array" ref="C1308">if(B1308="Tidak Ada",,if(isblank(B1308),,ifna(sumif('On Hand'!A:A,A1308,'On Hand'!D:D)&amp;" "&amp;_xlfn.xlookup(A1308,'All Item Code'!A:A,'All Item Code'!D:D,),0)))</f>
        <v/>
      </c>
      <c r="D1308" s="3" t="str">
        <f>IFERROR(__xludf.DUMMYFUNCTION("if(isblank(B1308),,ifna(textjoin(""; "",,filter('On Hand'!E:E,'On Hand'!A:A=A1308)),ifna(xlookup(A1308,'On Hand'!A:A,'On Hand'!E:E,),)))"),"")</f>
        <v/>
      </c>
    </row>
    <row r="1309">
      <c r="A1309" s="3" t="str">
        <f t="array" ref="A1309">ifna(_xlfn.xlookup(B1309,'All Item Code'!B:B,'All Item Code'!A:A,),)</f>
        <v/>
      </c>
      <c r="B1309" s="3"/>
      <c r="C1309" s="3" t="str">
        <f t="array" ref="C1309">if(B1309="Tidak Ada",,if(isblank(B1309),,ifna(sumif('On Hand'!A:A,A1309,'On Hand'!D:D)&amp;" "&amp;_xlfn.xlookup(A1309,'All Item Code'!A:A,'All Item Code'!D:D,),0)))</f>
        <v/>
      </c>
      <c r="D1309" s="3" t="str">
        <f>IFERROR(__xludf.DUMMYFUNCTION("if(isblank(B1309),,ifna(textjoin(""; "",,filter('On Hand'!E:E,'On Hand'!A:A=A1309)),ifna(xlookup(A1309,'On Hand'!A:A,'On Hand'!E:E,),)))"),"")</f>
        <v/>
      </c>
    </row>
    <row r="1310">
      <c r="A1310" s="3" t="str">
        <f t="array" ref="A1310">ifna(_xlfn.xlookup(B1310,'All Item Code'!B:B,'All Item Code'!A:A,),)</f>
        <v/>
      </c>
      <c r="B1310" s="3"/>
      <c r="C1310" s="3" t="str">
        <f t="array" ref="C1310">if(B1310="Tidak Ada",,if(isblank(B1310),,ifna(sumif('On Hand'!A:A,A1310,'On Hand'!D:D)&amp;" "&amp;_xlfn.xlookup(A1310,'All Item Code'!A:A,'All Item Code'!D:D,),0)))</f>
        <v/>
      </c>
      <c r="D1310" s="3" t="str">
        <f>IFERROR(__xludf.DUMMYFUNCTION("if(isblank(B1310),,ifna(textjoin(""; "",,filter('On Hand'!E:E,'On Hand'!A:A=A1310)),ifna(xlookup(A1310,'On Hand'!A:A,'On Hand'!E:E,),)))"),"")</f>
        <v/>
      </c>
    </row>
    <row r="1311">
      <c r="A1311" s="3" t="str">
        <f t="array" ref="A1311">ifna(_xlfn.xlookup(B1311,'All Item Code'!B:B,'All Item Code'!A:A,),)</f>
        <v/>
      </c>
      <c r="B1311" s="3"/>
      <c r="C1311" s="3" t="str">
        <f t="array" ref="C1311">if(B1311="Tidak Ada",,if(isblank(B1311),,ifna(sumif('On Hand'!A:A,A1311,'On Hand'!D:D)&amp;" "&amp;_xlfn.xlookup(A1311,'All Item Code'!A:A,'All Item Code'!D:D,),0)))</f>
        <v/>
      </c>
      <c r="D1311" s="3" t="str">
        <f>IFERROR(__xludf.DUMMYFUNCTION("if(isblank(B1311),,ifna(textjoin(""; "",,filter('On Hand'!E:E,'On Hand'!A:A=A1311)),ifna(xlookup(A1311,'On Hand'!A:A,'On Hand'!E:E,),)))"),"")</f>
        <v/>
      </c>
    </row>
    <row r="1312">
      <c r="A1312" s="3" t="str">
        <f t="array" ref="A1312">ifna(_xlfn.xlookup(B1312,'All Item Code'!B:B,'All Item Code'!A:A,),)</f>
        <v/>
      </c>
      <c r="B1312" s="3"/>
      <c r="C1312" s="3" t="str">
        <f t="array" ref="C1312">if(B1312="Tidak Ada",,if(isblank(B1312),,ifna(sumif('On Hand'!A:A,A1312,'On Hand'!D:D)&amp;" "&amp;_xlfn.xlookup(A1312,'All Item Code'!A:A,'All Item Code'!D:D,),0)))</f>
        <v/>
      </c>
      <c r="D1312" s="3" t="str">
        <f>IFERROR(__xludf.DUMMYFUNCTION("if(isblank(B1312),,ifna(textjoin(""; "",,filter('On Hand'!E:E,'On Hand'!A:A=A1312)),ifna(xlookup(A1312,'On Hand'!A:A,'On Hand'!E:E,),)))"),"")</f>
        <v/>
      </c>
    </row>
    <row r="1313">
      <c r="A1313" s="3" t="str">
        <f t="array" ref="A1313">ifna(_xlfn.xlookup(B1313,'All Item Code'!B:B,'All Item Code'!A:A,),)</f>
        <v/>
      </c>
      <c r="B1313" s="3"/>
      <c r="C1313" s="3" t="str">
        <f t="array" ref="C1313">if(B1313="Tidak Ada",,if(isblank(B1313),,ifna(sumif('On Hand'!A:A,A1313,'On Hand'!D:D)&amp;" "&amp;_xlfn.xlookup(A1313,'All Item Code'!A:A,'All Item Code'!D:D,),0)))</f>
        <v/>
      </c>
      <c r="D1313" s="3" t="str">
        <f>IFERROR(__xludf.DUMMYFUNCTION("if(isblank(B1313),,ifna(textjoin(""; "",,filter('On Hand'!E:E,'On Hand'!A:A=A1313)),ifna(xlookup(A1313,'On Hand'!A:A,'On Hand'!E:E,),)))"),"")</f>
        <v/>
      </c>
    </row>
    <row r="1314">
      <c r="A1314" s="3" t="str">
        <f t="array" ref="A1314">ifna(_xlfn.xlookup(B1314,'All Item Code'!B:B,'All Item Code'!A:A,),)</f>
        <v/>
      </c>
      <c r="B1314" s="3"/>
      <c r="C1314" s="3" t="str">
        <f t="array" ref="C1314">if(B1314="Tidak Ada",,if(isblank(B1314),,ifna(sumif('On Hand'!A:A,A1314,'On Hand'!D:D)&amp;" "&amp;_xlfn.xlookup(A1314,'All Item Code'!A:A,'All Item Code'!D:D,),0)))</f>
        <v/>
      </c>
      <c r="D1314" s="3" t="str">
        <f>IFERROR(__xludf.DUMMYFUNCTION("if(isblank(B1314),,ifna(textjoin(""; "",,filter('On Hand'!E:E,'On Hand'!A:A=A1314)),ifna(xlookup(A1314,'On Hand'!A:A,'On Hand'!E:E,),)))"),"")</f>
        <v/>
      </c>
    </row>
    <row r="1315">
      <c r="A1315" s="3" t="str">
        <f t="array" ref="A1315">ifna(_xlfn.xlookup(B1315,'All Item Code'!B:B,'All Item Code'!A:A,),)</f>
        <v/>
      </c>
      <c r="B1315" s="3"/>
      <c r="C1315" s="3" t="str">
        <f t="array" ref="C1315">if(B1315="Tidak Ada",,if(isblank(B1315),,ifna(sumif('On Hand'!A:A,A1315,'On Hand'!D:D)&amp;" "&amp;_xlfn.xlookup(A1315,'All Item Code'!A:A,'All Item Code'!D:D,),0)))</f>
        <v/>
      </c>
      <c r="D1315" s="3" t="str">
        <f>IFERROR(__xludf.DUMMYFUNCTION("if(isblank(B1315),,ifna(textjoin(""; "",,filter('On Hand'!E:E,'On Hand'!A:A=A1315)),ifna(xlookup(A1315,'On Hand'!A:A,'On Hand'!E:E,),)))"),"")</f>
        <v/>
      </c>
    </row>
    <row r="1316">
      <c r="A1316" s="3" t="str">
        <f t="array" ref="A1316">ifna(_xlfn.xlookup(B1316,'All Item Code'!B:B,'All Item Code'!A:A,),)</f>
        <v/>
      </c>
      <c r="B1316" s="3"/>
      <c r="C1316" s="3" t="str">
        <f t="array" ref="C1316">if(B1316="Tidak Ada",,if(isblank(B1316),,ifna(sumif('On Hand'!A:A,A1316,'On Hand'!D:D)&amp;" "&amp;_xlfn.xlookup(A1316,'All Item Code'!A:A,'All Item Code'!D:D,),0)))</f>
        <v/>
      </c>
      <c r="D1316" s="3" t="str">
        <f>IFERROR(__xludf.DUMMYFUNCTION("if(isblank(B1316),,ifna(textjoin(""; "",,filter('On Hand'!E:E,'On Hand'!A:A=A1316)),ifna(xlookup(A1316,'On Hand'!A:A,'On Hand'!E:E,),)))"),"")</f>
        <v/>
      </c>
    </row>
    <row r="1317">
      <c r="A1317" s="3" t="str">
        <f t="array" ref="A1317">ifna(_xlfn.xlookup(B1317,'All Item Code'!B:B,'All Item Code'!A:A,),)</f>
        <v/>
      </c>
      <c r="B1317" s="3"/>
      <c r="C1317" s="3" t="str">
        <f t="array" ref="C1317">if(B1317="Tidak Ada",,if(isblank(B1317),,ifna(sumif('On Hand'!A:A,A1317,'On Hand'!D:D)&amp;" "&amp;_xlfn.xlookup(A1317,'All Item Code'!A:A,'All Item Code'!D:D,),0)))</f>
        <v/>
      </c>
      <c r="D1317" s="3" t="str">
        <f>IFERROR(__xludf.DUMMYFUNCTION("if(isblank(B1317),,ifna(textjoin(""; "",,filter('On Hand'!E:E,'On Hand'!A:A=A1317)),ifna(xlookup(A1317,'On Hand'!A:A,'On Hand'!E:E,),)))"),"")</f>
        <v/>
      </c>
    </row>
    <row r="1318">
      <c r="A1318" s="3" t="str">
        <f t="array" ref="A1318">ifna(_xlfn.xlookup(B1318,'All Item Code'!B:B,'All Item Code'!A:A,),)</f>
        <v/>
      </c>
      <c r="B1318" s="3"/>
      <c r="C1318" s="3" t="str">
        <f t="array" ref="C1318">if(B1318="Tidak Ada",,if(isblank(B1318),,ifna(sumif('On Hand'!A:A,A1318,'On Hand'!D:D)&amp;" "&amp;_xlfn.xlookup(A1318,'All Item Code'!A:A,'All Item Code'!D:D,),0)))</f>
        <v/>
      </c>
      <c r="D1318" s="3" t="str">
        <f>IFERROR(__xludf.DUMMYFUNCTION("if(isblank(B1318),,ifna(textjoin(""; "",,filter('On Hand'!E:E,'On Hand'!A:A=A1318)),ifna(xlookup(A1318,'On Hand'!A:A,'On Hand'!E:E,),)))"),"")</f>
        <v/>
      </c>
    </row>
    <row r="1319">
      <c r="A1319" s="3" t="str">
        <f t="array" ref="A1319">ifna(_xlfn.xlookup(B1319,'All Item Code'!B:B,'All Item Code'!A:A,),)</f>
        <v/>
      </c>
      <c r="B1319" s="3"/>
      <c r="C1319" s="3" t="str">
        <f t="array" ref="C1319">if(B1319="Tidak Ada",,if(isblank(B1319),,ifna(sumif('On Hand'!A:A,A1319,'On Hand'!D:D)&amp;" "&amp;_xlfn.xlookup(A1319,'All Item Code'!A:A,'All Item Code'!D:D,),0)))</f>
        <v/>
      </c>
      <c r="D1319" s="3" t="str">
        <f>IFERROR(__xludf.DUMMYFUNCTION("if(isblank(B1319),,ifna(textjoin(""; "",,filter('On Hand'!E:E,'On Hand'!A:A=A1319)),ifna(xlookup(A1319,'On Hand'!A:A,'On Hand'!E:E,),)))"),"")</f>
        <v/>
      </c>
    </row>
    <row r="1320">
      <c r="A1320" s="3" t="str">
        <f t="array" ref="A1320">ifna(_xlfn.xlookup(B1320,'All Item Code'!B:B,'All Item Code'!A:A,),)</f>
        <v/>
      </c>
      <c r="B1320" s="3"/>
      <c r="C1320" s="3" t="str">
        <f t="array" ref="C1320">if(B1320="Tidak Ada",,if(isblank(B1320),,ifna(sumif('On Hand'!A:A,A1320,'On Hand'!D:D)&amp;" "&amp;_xlfn.xlookup(A1320,'All Item Code'!A:A,'All Item Code'!D:D,),0)))</f>
        <v/>
      </c>
      <c r="D1320" s="3" t="str">
        <f>IFERROR(__xludf.DUMMYFUNCTION("if(isblank(B1320),,ifna(textjoin(""; "",,filter('On Hand'!E:E,'On Hand'!A:A=A1320)),ifna(xlookup(A1320,'On Hand'!A:A,'On Hand'!E:E,),)))"),"")</f>
        <v/>
      </c>
    </row>
    <row r="1321">
      <c r="A1321" s="3" t="str">
        <f t="array" ref="A1321">ifna(_xlfn.xlookup(B1321,'All Item Code'!B:B,'All Item Code'!A:A,),)</f>
        <v/>
      </c>
      <c r="B1321" s="3"/>
      <c r="C1321" s="3" t="str">
        <f t="array" ref="C1321">if(B1321="Tidak Ada",,if(isblank(B1321),,ifna(sumif('On Hand'!A:A,A1321,'On Hand'!D:D)&amp;" "&amp;_xlfn.xlookup(A1321,'All Item Code'!A:A,'All Item Code'!D:D,),0)))</f>
        <v/>
      </c>
      <c r="D1321" s="3" t="str">
        <f>IFERROR(__xludf.DUMMYFUNCTION("if(isblank(B1321),,ifna(textjoin(""; "",,filter('On Hand'!E:E,'On Hand'!A:A=A1321)),ifna(xlookup(A1321,'On Hand'!A:A,'On Hand'!E:E,),)))"),"")</f>
        <v/>
      </c>
    </row>
    <row r="1322">
      <c r="A1322" s="3" t="str">
        <f t="array" ref="A1322">ifna(_xlfn.xlookup(B1322,'All Item Code'!B:B,'All Item Code'!A:A,),)</f>
        <v/>
      </c>
      <c r="B1322" s="3"/>
      <c r="C1322" s="3" t="str">
        <f t="array" ref="C1322">if(B1322="Tidak Ada",,if(isblank(B1322),,ifna(sumif('On Hand'!A:A,A1322,'On Hand'!D:D)&amp;" "&amp;_xlfn.xlookup(A1322,'All Item Code'!A:A,'All Item Code'!D:D,),0)))</f>
        <v/>
      </c>
      <c r="D1322" s="3" t="str">
        <f>IFERROR(__xludf.DUMMYFUNCTION("if(isblank(B1322),,ifna(textjoin(""; "",,filter('On Hand'!E:E,'On Hand'!A:A=A1322)),ifna(xlookup(A1322,'On Hand'!A:A,'On Hand'!E:E,),)))"),"")</f>
        <v/>
      </c>
    </row>
    <row r="1323">
      <c r="A1323" s="3" t="str">
        <f t="array" ref="A1323">ifna(_xlfn.xlookup(B1323,'All Item Code'!B:B,'All Item Code'!A:A,),)</f>
        <v/>
      </c>
      <c r="B1323" s="3"/>
      <c r="C1323" s="3" t="str">
        <f t="array" ref="C1323">if(B1323="Tidak Ada",,if(isblank(B1323),,ifna(sumif('On Hand'!A:A,A1323,'On Hand'!D:D)&amp;" "&amp;_xlfn.xlookup(A1323,'All Item Code'!A:A,'All Item Code'!D:D,),0)))</f>
        <v/>
      </c>
      <c r="D1323" s="3" t="str">
        <f>IFERROR(__xludf.DUMMYFUNCTION("if(isblank(B1323),,ifna(textjoin(""; "",,filter('On Hand'!E:E,'On Hand'!A:A=A1323)),ifna(xlookup(A1323,'On Hand'!A:A,'On Hand'!E:E,),)))"),"")</f>
        <v/>
      </c>
    </row>
    <row r="1324">
      <c r="A1324" s="3" t="str">
        <f t="array" ref="A1324">ifna(_xlfn.xlookup(B1324,'All Item Code'!B:B,'All Item Code'!A:A,),)</f>
        <v/>
      </c>
      <c r="B1324" s="3"/>
      <c r="C1324" s="3" t="str">
        <f t="array" ref="C1324">if(B1324="Tidak Ada",,if(isblank(B1324),,ifna(sumif('On Hand'!A:A,A1324,'On Hand'!D:D)&amp;" "&amp;_xlfn.xlookup(A1324,'All Item Code'!A:A,'All Item Code'!D:D,),0)))</f>
        <v/>
      </c>
      <c r="D1324" s="3" t="str">
        <f>IFERROR(__xludf.DUMMYFUNCTION("if(isblank(B1324),,ifna(textjoin(""; "",,filter('On Hand'!E:E,'On Hand'!A:A=A1324)),ifna(xlookup(A1324,'On Hand'!A:A,'On Hand'!E:E,),)))"),"")</f>
        <v/>
      </c>
    </row>
    <row r="1325">
      <c r="A1325" s="3" t="str">
        <f t="array" ref="A1325">ifna(_xlfn.xlookup(B1325,'All Item Code'!B:B,'All Item Code'!A:A,),)</f>
        <v/>
      </c>
      <c r="B1325" s="3"/>
      <c r="C1325" s="3" t="str">
        <f t="array" ref="C1325">if(B1325="Tidak Ada",,if(isblank(B1325),,ifna(sumif('On Hand'!A:A,A1325,'On Hand'!D:D)&amp;" "&amp;_xlfn.xlookup(A1325,'All Item Code'!A:A,'All Item Code'!D:D,),0)))</f>
        <v/>
      </c>
      <c r="D1325" s="3" t="str">
        <f>IFERROR(__xludf.DUMMYFUNCTION("if(isblank(B1325),,ifna(textjoin(""; "",,filter('On Hand'!E:E,'On Hand'!A:A=A1325)),ifna(xlookup(A1325,'On Hand'!A:A,'On Hand'!E:E,),)))"),"")</f>
        <v/>
      </c>
    </row>
    <row r="1326">
      <c r="A1326" s="3" t="str">
        <f t="array" ref="A1326">ifna(_xlfn.xlookup(B1326,'All Item Code'!B:B,'All Item Code'!A:A,),)</f>
        <v/>
      </c>
      <c r="B1326" s="3"/>
      <c r="C1326" s="3" t="str">
        <f t="array" ref="C1326">if(B1326="Tidak Ada",,if(isblank(B1326),,ifna(sumif('On Hand'!A:A,A1326,'On Hand'!D:D)&amp;" "&amp;_xlfn.xlookup(A1326,'All Item Code'!A:A,'All Item Code'!D:D,),0)))</f>
        <v/>
      </c>
      <c r="D1326" s="3" t="str">
        <f>IFERROR(__xludf.DUMMYFUNCTION("if(isblank(B1326),,ifna(textjoin(""; "",,filter('On Hand'!E:E,'On Hand'!A:A=A1326)),ifna(xlookup(A1326,'On Hand'!A:A,'On Hand'!E:E,),)))"),"")</f>
        <v/>
      </c>
    </row>
    <row r="1327">
      <c r="A1327" s="3" t="str">
        <f t="array" ref="A1327">ifna(_xlfn.xlookup(B1327,'All Item Code'!B:B,'All Item Code'!A:A,),)</f>
        <v/>
      </c>
      <c r="B1327" s="3"/>
      <c r="C1327" s="3" t="str">
        <f t="array" ref="C1327">if(B1327="Tidak Ada",,if(isblank(B1327),,ifna(sumif('On Hand'!A:A,A1327,'On Hand'!D:D)&amp;" "&amp;_xlfn.xlookup(A1327,'All Item Code'!A:A,'All Item Code'!D:D,),0)))</f>
        <v/>
      </c>
      <c r="D1327" s="3" t="str">
        <f>IFERROR(__xludf.DUMMYFUNCTION("if(isblank(B1327),,ifna(textjoin(""; "",,filter('On Hand'!E:E,'On Hand'!A:A=A1327)),ifna(xlookup(A1327,'On Hand'!A:A,'On Hand'!E:E,),)))"),"")</f>
        <v/>
      </c>
    </row>
    <row r="1328">
      <c r="A1328" s="3" t="str">
        <f t="array" ref="A1328">ifna(_xlfn.xlookup(B1328,'All Item Code'!B:B,'All Item Code'!A:A,),)</f>
        <v/>
      </c>
      <c r="B1328" s="3"/>
      <c r="C1328" s="3" t="str">
        <f t="array" ref="C1328">if(B1328="Tidak Ada",,if(isblank(B1328),,ifna(sumif('On Hand'!A:A,A1328,'On Hand'!D:D)&amp;" "&amp;_xlfn.xlookup(A1328,'All Item Code'!A:A,'All Item Code'!D:D,),0)))</f>
        <v/>
      </c>
      <c r="D1328" s="3" t="str">
        <f>IFERROR(__xludf.DUMMYFUNCTION("if(isblank(B1328),,ifna(textjoin(""; "",,filter('On Hand'!E:E,'On Hand'!A:A=A1328)),ifna(xlookup(A1328,'On Hand'!A:A,'On Hand'!E:E,),)))"),"")</f>
        <v/>
      </c>
    </row>
    <row r="1329">
      <c r="A1329" s="3" t="str">
        <f t="array" ref="A1329">ifna(_xlfn.xlookup(B1329,'All Item Code'!B:B,'All Item Code'!A:A,),)</f>
        <v/>
      </c>
      <c r="B1329" s="3"/>
      <c r="C1329" s="3" t="str">
        <f t="array" ref="C1329">if(B1329="Tidak Ada",,if(isblank(B1329),,ifna(sumif('On Hand'!A:A,A1329,'On Hand'!D:D)&amp;" "&amp;_xlfn.xlookup(A1329,'All Item Code'!A:A,'All Item Code'!D:D,),0)))</f>
        <v/>
      </c>
      <c r="D1329" s="3" t="str">
        <f>IFERROR(__xludf.DUMMYFUNCTION("if(isblank(B1329),,ifna(textjoin(""; "",,filter('On Hand'!E:E,'On Hand'!A:A=A1329)),ifna(xlookup(A1329,'On Hand'!A:A,'On Hand'!E:E,),)))"),"")</f>
        <v/>
      </c>
    </row>
    <row r="1330">
      <c r="A1330" s="3" t="str">
        <f t="array" ref="A1330">ifna(_xlfn.xlookup(B1330,'All Item Code'!B:B,'All Item Code'!A:A,),)</f>
        <v/>
      </c>
      <c r="B1330" s="3"/>
      <c r="C1330" s="3" t="str">
        <f t="array" ref="C1330">if(B1330="Tidak Ada",,if(isblank(B1330),,ifna(sumif('On Hand'!A:A,A1330,'On Hand'!D:D)&amp;" "&amp;_xlfn.xlookup(A1330,'All Item Code'!A:A,'All Item Code'!D:D,),0)))</f>
        <v/>
      </c>
      <c r="D1330" s="3" t="str">
        <f>IFERROR(__xludf.DUMMYFUNCTION("if(isblank(B1330),,ifna(textjoin(""; "",,filter('On Hand'!E:E,'On Hand'!A:A=A1330)),ifna(xlookup(A1330,'On Hand'!A:A,'On Hand'!E:E,),)))"),"")</f>
        <v/>
      </c>
    </row>
    <row r="1331">
      <c r="A1331" s="3" t="str">
        <f t="array" ref="A1331">ifna(_xlfn.xlookup(B1331,'All Item Code'!B:B,'All Item Code'!A:A,),)</f>
        <v/>
      </c>
      <c r="B1331" s="3"/>
      <c r="C1331" s="3" t="str">
        <f t="array" ref="C1331">if(B1331="Tidak Ada",,if(isblank(B1331),,ifna(sumif('On Hand'!A:A,A1331,'On Hand'!D:D)&amp;" "&amp;_xlfn.xlookup(A1331,'All Item Code'!A:A,'All Item Code'!D:D,),0)))</f>
        <v/>
      </c>
      <c r="D1331" s="3" t="str">
        <f>IFERROR(__xludf.DUMMYFUNCTION("if(isblank(B1331),,ifna(textjoin(""; "",,filter('On Hand'!E:E,'On Hand'!A:A=A1331)),ifna(xlookup(A1331,'On Hand'!A:A,'On Hand'!E:E,),)))"),"")</f>
        <v/>
      </c>
    </row>
    <row r="1332">
      <c r="A1332" s="3" t="str">
        <f t="array" ref="A1332">ifna(_xlfn.xlookup(B1332,'All Item Code'!B:B,'All Item Code'!A:A,),)</f>
        <v/>
      </c>
      <c r="B1332" s="3"/>
      <c r="C1332" s="3" t="str">
        <f t="array" ref="C1332">if(B1332="Tidak Ada",,if(isblank(B1332),,ifna(sumif('On Hand'!A:A,A1332,'On Hand'!D:D)&amp;" "&amp;_xlfn.xlookup(A1332,'All Item Code'!A:A,'All Item Code'!D:D,),0)))</f>
        <v/>
      </c>
      <c r="D1332" s="3" t="str">
        <f>IFERROR(__xludf.DUMMYFUNCTION("if(isblank(B1332),,ifna(textjoin(""; "",,filter('On Hand'!E:E,'On Hand'!A:A=A1332)),ifna(xlookup(A1332,'On Hand'!A:A,'On Hand'!E:E,),)))"),"")</f>
        <v/>
      </c>
    </row>
    <row r="1333">
      <c r="A1333" s="3" t="str">
        <f t="array" ref="A1333">ifna(_xlfn.xlookup(B1333,'All Item Code'!B:B,'All Item Code'!A:A,),)</f>
        <v/>
      </c>
      <c r="B1333" s="3"/>
      <c r="C1333" s="3" t="str">
        <f t="array" ref="C1333">if(B1333="Tidak Ada",,if(isblank(B1333),,ifna(sumif('On Hand'!A:A,A1333,'On Hand'!D:D)&amp;" "&amp;_xlfn.xlookup(A1333,'All Item Code'!A:A,'All Item Code'!D:D,),0)))</f>
        <v/>
      </c>
      <c r="D1333" s="3" t="str">
        <f>IFERROR(__xludf.DUMMYFUNCTION("if(isblank(B1333),,ifna(textjoin(""; "",,filter('On Hand'!E:E,'On Hand'!A:A=A1333)),ifna(xlookup(A1333,'On Hand'!A:A,'On Hand'!E:E,),)))"),"")</f>
        <v/>
      </c>
    </row>
    <row r="1334">
      <c r="A1334" s="3" t="str">
        <f t="array" ref="A1334">ifna(_xlfn.xlookup(B1334,'All Item Code'!B:B,'All Item Code'!A:A,),)</f>
        <v/>
      </c>
      <c r="B1334" s="3"/>
      <c r="C1334" s="3" t="str">
        <f t="array" ref="C1334">if(B1334="Tidak Ada",,if(isblank(B1334),,ifna(sumif('On Hand'!A:A,A1334,'On Hand'!D:D)&amp;" "&amp;_xlfn.xlookup(A1334,'All Item Code'!A:A,'All Item Code'!D:D,),0)))</f>
        <v/>
      </c>
      <c r="D1334" s="3" t="str">
        <f>IFERROR(__xludf.DUMMYFUNCTION("if(isblank(B1334),,ifna(textjoin(""; "",,filter('On Hand'!E:E,'On Hand'!A:A=A1334)),ifna(xlookup(A1334,'On Hand'!A:A,'On Hand'!E:E,),)))"),"")</f>
        <v/>
      </c>
    </row>
    <row r="1335">
      <c r="A1335" s="3" t="str">
        <f t="array" ref="A1335">ifna(_xlfn.xlookup(B1335,'All Item Code'!B:B,'All Item Code'!A:A,),)</f>
        <v/>
      </c>
      <c r="B1335" s="3"/>
      <c r="C1335" s="3" t="str">
        <f t="array" ref="C1335">if(B1335="Tidak Ada",,if(isblank(B1335),,ifna(sumif('On Hand'!A:A,A1335,'On Hand'!D:D)&amp;" "&amp;_xlfn.xlookup(A1335,'All Item Code'!A:A,'All Item Code'!D:D,),0)))</f>
        <v/>
      </c>
      <c r="D1335" s="3" t="str">
        <f>IFERROR(__xludf.DUMMYFUNCTION("if(isblank(B1335),,ifna(textjoin(""; "",,filter('On Hand'!E:E,'On Hand'!A:A=A1335)),ifna(xlookup(A1335,'On Hand'!A:A,'On Hand'!E:E,),)))"),"")</f>
        <v/>
      </c>
    </row>
    <row r="1336">
      <c r="A1336" s="3" t="str">
        <f t="array" ref="A1336">ifna(_xlfn.xlookup(B1336,'All Item Code'!B:B,'All Item Code'!A:A,),)</f>
        <v/>
      </c>
      <c r="B1336" s="3"/>
      <c r="C1336" s="3" t="str">
        <f t="array" ref="C1336">if(B1336="Tidak Ada",,if(isblank(B1336),,ifna(sumif('On Hand'!A:A,A1336,'On Hand'!D:D)&amp;" "&amp;_xlfn.xlookup(A1336,'All Item Code'!A:A,'All Item Code'!D:D,),0)))</f>
        <v/>
      </c>
      <c r="D1336" s="3" t="str">
        <f>IFERROR(__xludf.DUMMYFUNCTION("if(isblank(B1336),,ifna(textjoin(""; "",,filter('On Hand'!E:E,'On Hand'!A:A=A1336)),ifna(xlookup(A1336,'On Hand'!A:A,'On Hand'!E:E,),)))"),"")</f>
        <v/>
      </c>
    </row>
    <row r="1337">
      <c r="A1337" s="3" t="str">
        <f t="array" ref="A1337">ifna(_xlfn.xlookup(B1337,'All Item Code'!B:B,'All Item Code'!A:A,),)</f>
        <v/>
      </c>
      <c r="B1337" s="3"/>
      <c r="C1337" s="3" t="str">
        <f t="array" ref="C1337">if(B1337="Tidak Ada",,if(isblank(B1337),,ifna(sumif('On Hand'!A:A,A1337,'On Hand'!D:D)&amp;" "&amp;_xlfn.xlookup(A1337,'All Item Code'!A:A,'All Item Code'!D:D,),0)))</f>
        <v/>
      </c>
      <c r="D1337" s="3" t="str">
        <f>IFERROR(__xludf.DUMMYFUNCTION("if(isblank(B1337),,ifna(textjoin(""; "",,filter('On Hand'!E:E,'On Hand'!A:A=A1337)),ifna(xlookup(A1337,'On Hand'!A:A,'On Hand'!E:E,),)))"),"")</f>
        <v/>
      </c>
    </row>
    <row r="1338">
      <c r="A1338" s="3" t="str">
        <f t="array" ref="A1338">ifna(_xlfn.xlookup(B1338,'All Item Code'!B:B,'All Item Code'!A:A,),)</f>
        <v/>
      </c>
      <c r="B1338" s="3"/>
      <c r="C1338" s="3" t="str">
        <f t="array" ref="C1338">if(B1338="Tidak Ada",,if(isblank(B1338),,ifna(sumif('On Hand'!A:A,A1338,'On Hand'!D:D)&amp;" "&amp;_xlfn.xlookup(A1338,'All Item Code'!A:A,'All Item Code'!D:D,),0)))</f>
        <v/>
      </c>
      <c r="D1338" s="3" t="str">
        <f>IFERROR(__xludf.DUMMYFUNCTION("if(isblank(B1338),,ifna(textjoin(""; "",,filter('On Hand'!E:E,'On Hand'!A:A=A1338)),ifna(xlookup(A1338,'On Hand'!A:A,'On Hand'!E:E,),)))"),"")</f>
        <v/>
      </c>
    </row>
    <row r="1339">
      <c r="A1339" s="3" t="str">
        <f t="array" ref="A1339">ifna(_xlfn.xlookup(B1339,'All Item Code'!B:B,'All Item Code'!A:A,),)</f>
        <v/>
      </c>
      <c r="B1339" s="3"/>
      <c r="C1339" s="3" t="str">
        <f t="array" ref="C1339">if(B1339="Tidak Ada",,if(isblank(B1339),,ifna(sumif('On Hand'!A:A,A1339,'On Hand'!D:D)&amp;" "&amp;_xlfn.xlookup(A1339,'All Item Code'!A:A,'All Item Code'!D:D,),0)))</f>
        <v/>
      </c>
      <c r="D1339" s="3" t="str">
        <f>IFERROR(__xludf.DUMMYFUNCTION("if(isblank(B1339),,ifna(textjoin(""; "",,filter('On Hand'!E:E,'On Hand'!A:A=A1339)),ifna(xlookup(A1339,'On Hand'!A:A,'On Hand'!E:E,),)))"),"")</f>
        <v/>
      </c>
    </row>
    <row r="1340">
      <c r="A1340" s="3" t="str">
        <f t="array" ref="A1340">ifna(_xlfn.xlookup(B1340,'All Item Code'!B:B,'All Item Code'!A:A,),)</f>
        <v/>
      </c>
      <c r="B1340" s="3"/>
      <c r="C1340" s="3" t="str">
        <f t="array" ref="C1340">if(B1340="Tidak Ada",,if(isblank(B1340),,ifna(sumif('On Hand'!A:A,A1340,'On Hand'!D:D)&amp;" "&amp;_xlfn.xlookup(A1340,'All Item Code'!A:A,'All Item Code'!D:D,),0)))</f>
        <v/>
      </c>
      <c r="D1340" s="3" t="str">
        <f>IFERROR(__xludf.DUMMYFUNCTION("if(isblank(B1340),,ifna(textjoin(""; "",,filter('On Hand'!E:E,'On Hand'!A:A=A1340)),ifna(xlookup(A1340,'On Hand'!A:A,'On Hand'!E:E,),)))"),"")</f>
        <v/>
      </c>
    </row>
    <row r="1341">
      <c r="A1341" s="3" t="str">
        <f t="array" ref="A1341">ifna(_xlfn.xlookup(B1341,'All Item Code'!B:B,'All Item Code'!A:A,),)</f>
        <v/>
      </c>
      <c r="B1341" s="3"/>
      <c r="C1341" s="3" t="str">
        <f t="array" ref="C1341">if(B1341="Tidak Ada",,if(isblank(B1341),,ifna(sumif('On Hand'!A:A,A1341,'On Hand'!D:D)&amp;" "&amp;_xlfn.xlookup(A1341,'All Item Code'!A:A,'All Item Code'!D:D,),0)))</f>
        <v/>
      </c>
      <c r="D1341" s="3" t="str">
        <f>IFERROR(__xludf.DUMMYFUNCTION("if(isblank(B1341),,ifna(textjoin(""; "",,filter('On Hand'!E:E,'On Hand'!A:A=A1341)),ifna(xlookup(A1341,'On Hand'!A:A,'On Hand'!E:E,),)))"),"")</f>
        <v/>
      </c>
    </row>
    <row r="1342">
      <c r="A1342" s="3" t="str">
        <f t="array" ref="A1342">ifna(_xlfn.xlookup(B1342,'All Item Code'!B:B,'All Item Code'!A:A,),)</f>
        <v/>
      </c>
      <c r="B1342" s="3"/>
      <c r="C1342" s="3" t="str">
        <f t="array" ref="C1342">if(B1342="Tidak Ada",,if(isblank(B1342),,ifna(sumif('On Hand'!A:A,A1342,'On Hand'!D:D)&amp;" "&amp;_xlfn.xlookup(A1342,'All Item Code'!A:A,'All Item Code'!D:D,),0)))</f>
        <v/>
      </c>
      <c r="D1342" s="3" t="str">
        <f>IFERROR(__xludf.DUMMYFUNCTION("if(isblank(B1342),,ifna(textjoin(""; "",,filter('On Hand'!E:E,'On Hand'!A:A=A1342)),ifna(xlookup(A1342,'On Hand'!A:A,'On Hand'!E:E,),)))"),"")</f>
        <v/>
      </c>
    </row>
    <row r="1343">
      <c r="A1343" s="3" t="str">
        <f t="array" ref="A1343">ifna(_xlfn.xlookup(B1343,'All Item Code'!B:B,'All Item Code'!A:A,),)</f>
        <v/>
      </c>
      <c r="B1343" s="3"/>
      <c r="C1343" s="3" t="str">
        <f t="array" ref="C1343">if(B1343="Tidak Ada",,if(isblank(B1343),,ifna(sumif('On Hand'!A:A,A1343,'On Hand'!D:D)&amp;" "&amp;_xlfn.xlookup(A1343,'All Item Code'!A:A,'All Item Code'!D:D,),0)))</f>
        <v/>
      </c>
      <c r="D1343" s="3" t="str">
        <f>IFERROR(__xludf.DUMMYFUNCTION("if(isblank(B1343),,ifna(textjoin(""; "",,filter('On Hand'!E:E,'On Hand'!A:A=A1343)),ifna(xlookup(A1343,'On Hand'!A:A,'On Hand'!E:E,),)))"),"")</f>
        <v/>
      </c>
    </row>
    <row r="1344">
      <c r="A1344" s="3" t="str">
        <f t="array" ref="A1344">ifna(_xlfn.xlookup(B1344,'All Item Code'!B:B,'All Item Code'!A:A,),)</f>
        <v/>
      </c>
      <c r="B1344" s="3"/>
      <c r="C1344" s="3" t="str">
        <f t="array" ref="C1344">if(B1344="Tidak Ada",,if(isblank(B1344),,ifna(sumif('On Hand'!A:A,A1344,'On Hand'!D:D)&amp;" "&amp;_xlfn.xlookup(A1344,'All Item Code'!A:A,'All Item Code'!D:D,),0)))</f>
        <v/>
      </c>
      <c r="D1344" s="3" t="str">
        <f>IFERROR(__xludf.DUMMYFUNCTION("if(isblank(B1344),,ifna(textjoin(""; "",,filter('On Hand'!E:E,'On Hand'!A:A=A1344)),ifna(xlookup(A1344,'On Hand'!A:A,'On Hand'!E:E,),)))"),"")</f>
        <v/>
      </c>
    </row>
    <row r="1345">
      <c r="A1345" s="3" t="str">
        <f t="array" ref="A1345">ifna(_xlfn.xlookup(B1345,'All Item Code'!B:B,'All Item Code'!A:A,),)</f>
        <v/>
      </c>
      <c r="B1345" s="3"/>
      <c r="C1345" s="3" t="str">
        <f t="array" ref="C1345">if(B1345="Tidak Ada",,if(isblank(B1345),,ifna(sumif('On Hand'!A:A,A1345,'On Hand'!D:D)&amp;" "&amp;_xlfn.xlookup(A1345,'All Item Code'!A:A,'All Item Code'!D:D,),0)))</f>
        <v/>
      </c>
      <c r="D1345" s="3" t="str">
        <f>IFERROR(__xludf.DUMMYFUNCTION("if(isblank(B1345),,ifna(textjoin(""; "",,filter('On Hand'!E:E,'On Hand'!A:A=A1345)),ifna(xlookup(A1345,'On Hand'!A:A,'On Hand'!E:E,),)))"),"")</f>
        <v/>
      </c>
    </row>
    <row r="1346">
      <c r="A1346" s="3" t="str">
        <f t="array" ref="A1346">ifna(_xlfn.xlookup(B1346,'All Item Code'!B:B,'All Item Code'!A:A,),)</f>
        <v/>
      </c>
      <c r="B1346" s="3"/>
      <c r="C1346" s="3" t="str">
        <f t="array" ref="C1346">if(B1346="Tidak Ada",,if(isblank(B1346),,ifna(sumif('On Hand'!A:A,A1346,'On Hand'!D:D)&amp;" "&amp;_xlfn.xlookup(A1346,'All Item Code'!A:A,'All Item Code'!D:D,),0)))</f>
        <v/>
      </c>
      <c r="D1346" s="3" t="str">
        <f>IFERROR(__xludf.DUMMYFUNCTION("if(isblank(B1346),,ifna(textjoin(""; "",,filter('On Hand'!E:E,'On Hand'!A:A=A1346)),ifna(xlookup(A1346,'On Hand'!A:A,'On Hand'!E:E,),)))"),"")</f>
        <v/>
      </c>
    </row>
    <row r="1347">
      <c r="A1347" s="3" t="str">
        <f t="array" ref="A1347">ifna(_xlfn.xlookup(B1347,'All Item Code'!B:B,'All Item Code'!A:A,),)</f>
        <v/>
      </c>
      <c r="B1347" s="3"/>
      <c r="C1347" s="3" t="str">
        <f t="array" ref="C1347">if(B1347="Tidak Ada",,if(isblank(B1347),,ifna(sumif('On Hand'!A:A,A1347,'On Hand'!D:D)&amp;" "&amp;_xlfn.xlookup(A1347,'All Item Code'!A:A,'All Item Code'!D:D,),0)))</f>
        <v/>
      </c>
      <c r="D1347" s="3" t="str">
        <f>IFERROR(__xludf.DUMMYFUNCTION("if(isblank(B1347),,ifna(textjoin(""; "",,filter('On Hand'!E:E,'On Hand'!A:A=A1347)),ifna(xlookup(A1347,'On Hand'!A:A,'On Hand'!E:E,),)))"),"")</f>
        <v/>
      </c>
    </row>
    <row r="1348">
      <c r="A1348" s="3" t="str">
        <f t="array" ref="A1348">ifna(_xlfn.xlookup(B1348,'All Item Code'!B:B,'All Item Code'!A:A,),)</f>
        <v/>
      </c>
      <c r="B1348" s="3"/>
      <c r="C1348" s="3" t="str">
        <f t="array" ref="C1348">if(B1348="Tidak Ada",,if(isblank(B1348),,ifna(sumif('On Hand'!A:A,A1348,'On Hand'!D:D)&amp;" "&amp;_xlfn.xlookup(A1348,'All Item Code'!A:A,'All Item Code'!D:D,),0)))</f>
        <v/>
      </c>
      <c r="D1348" s="3" t="str">
        <f>IFERROR(__xludf.DUMMYFUNCTION("if(isblank(B1348),,ifna(textjoin(""; "",,filter('On Hand'!E:E,'On Hand'!A:A=A1348)),ifna(xlookup(A1348,'On Hand'!A:A,'On Hand'!E:E,),)))"),"")</f>
        <v/>
      </c>
    </row>
    <row r="1349">
      <c r="A1349" s="3" t="str">
        <f t="array" ref="A1349">ifna(_xlfn.xlookup(B1349,'All Item Code'!B:B,'All Item Code'!A:A,),)</f>
        <v/>
      </c>
      <c r="B1349" s="3"/>
      <c r="C1349" s="3" t="str">
        <f t="array" ref="C1349">if(B1349="Tidak Ada",,if(isblank(B1349),,ifna(sumif('On Hand'!A:A,A1349,'On Hand'!D:D)&amp;" "&amp;_xlfn.xlookup(A1349,'All Item Code'!A:A,'All Item Code'!D:D,),0)))</f>
        <v/>
      </c>
      <c r="D1349" s="3" t="str">
        <f>IFERROR(__xludf.DUMMYFUNCTION("if(isblank(B1349),,ifna(textjoin(""; "",,filter('On Hand'!E:E,'On Hand'!A:A=A1349)),ifna(xlookup(A1349,'On Hand'!A:A,'On Hand'!E:E,),)))"),"")</f>
        <v/>
      </c>
    </row>
    <row r="1350">
      <c r="A1350" s="3" t="str">
        <f t="array" ref="A1350">ifna(_xlfn.xlookup(B1350,'All Item Code'!B:B,'All Item Code'!A:A,),)</f>
        <v/>
      </c>
      <c r="B1350" s="3"/>
      <c r="C1350" s="3" t="str">
        <f t="array" ref="C1350">if(B1350="Tidak Ada",,if(isblank(B1350),,ifna(sumif('On Hand'!A:A,A1350,'On Hand'!D:D)&amp;" "&amp;_xlfn.xlookup(A1350,'All Item Code'!A:A,'All Item Code'!D:D,),0)))</f>
        <v/>
      </c>
      <c r="D1350" s="3" t="str">
        <f>IFERROR(__xludf.DUMMYFUNCTION("if(isblank(B1350),,ifna(textjoin(""; "",,filter('On Hand'!E:E,'On Hand'!A:A=A1350)),ifna(xlookup(A1350,'On Hand'!A:A,'On Hand'!E:E,),)))"),"")</f>
        <v/>
      </c>
    </row>
    <row r="1351">
      <c r="A1351" s="3" t="str">
        <f t="array" ref="A1351">ifna(_xlfn.xlookup(B1351,'All Item Code'!B:B,'All Item Code'!A:A,),)</f>
        <v/>
      </c>
      <c r="B1351" s="3"/>
      <c r="C1351" s="3" t="str">
        <f t="array" ref="C1351">if(B1351="Tidak Ada",,if(isblank(B1351),,ifna(sumif('On Hand'!A:A,A1351,'On Hand'!D:D)&amp;" "&amp;_xlfn.xlookup(A1351,'All Item Code'!A:A,'All Item Code'!D:D,),0)))</f>
        <v/>
      </c>
      <c r="D1351" s="3" t="str">
        <f>IFERROR(__xludf.DUMMYFUNCTION("if(isblank(B1351),,ifna(textjoin(""; "",,filter('On Hand'!E:E,'On Hand'!A:A=A1351)),ifna(xlookup(A1351,'On Hand'!A:A,'On Hand'!E:E,),)))"),"")</f>
        <v/>
      </c>
    </row>
    <row r="1352">
      <c r="A1352" s="3" t="str">
        <f t="array" ref="A1352">ifna(_xlfn.xlookup(B1352,'All Item Code'!B:B,'All Item Code'!A:A,),)</f>
        <v/>
      </c>
      <c r="B1352" s="3"/>
      <c r="C1352" s="3" t="str">
        <f t="array" ref="C1352">if(B1352="Tidak Ada",,if(isblank(B1352),,ifna(sumif('On Hand'!A:A,A1352,'On Hand'!D:D)&amp;" "&amp;_xlfn.xlookup(A1352,'All Item Code'!A:A,'All Item Code'!D:D,),0)))</f>
        <v/>
      </c>
      <c r="D1352" s="3" t="str">
        <f>IFERROR(__xludf.DUMMYFUNCTION("if(isblank(B1352),,ifna(textjoin(""; "",,filter('On Hand'!E:E,'On Hand'!A:A=A1352)),ifna(xlookup(A1352,'On Hand'!A:A,'On Hand'!E:E,),)))"),"")</f>
        <v/>
      </c>
    </row>
    <row r="1353">
      <c r="A1353" s="3" t="str">
        <f t="array" ref="A1353">ifna(_xlfn.xlookup(B1353,'All Item Code'!B:B,'All Item Code'!A:A,),)</f>
        <v/>
      </c>
      <c r="B1353" s="3"/>
      <c r="C1353" s="3" t="str">
        <f t="array" ref="C1353">if(B1353="Tidak Ada",,if(isblank(B1353),,ifna(sumif('On Hand'!A:A,A1353,'On Hand'!D:D)&amp;" "&amp;_xlfn.xlookup(A1353,'All Item Code'!A:A,'All Item Code'!D:D,),0)))</f>
        <v/>
      </c>
      <c r="D1353" s="3" t="str">
        <f>IFERROR(__xludf.DUMMYFUNCTION("if(isblank(B1353),,ifna(textjoin(""; "",,filter('On Hand'!E:E,'On Hand'!A:A=A1353)),ifna(xlookup(A1353,'On Hand'!A:A,'On Hand'!E:E,),)))"),"")</f>
        <v/>
      </c>
    </row>
    <row r="1354">
      <c r="A1354" s="3" t="str">
        <f t="array" ref="A1354">ifna(_xlfn.xlookup(B1354,'All Item Code'!B:B,'All Item Code'!A:A,),)</f>
        <v/>
      </c>
      <c r="B1354" s="3"/>
      <c r="C1354" s="3" t="str">
        <f t="array" ref="C1354">if(B1354="Tidak Ada",,if(isblank(B1354),,ifna(sumif('On Hand'!A:A,A1354,'On Hand'!D:D)&amp;" "&amp;_xlfn.xlookup(A1354,'All Item Code'!A:A,'All Item Code'!D:D,),0)))</f>
        <v/>
      </c>
      <c r="D1354" s="3" t="str">
        <f>IFERROR(__xludf.DUMMYFUNCTION("if(isblank(B1354),,ifna(textjoin(""; "",,filter('On Hand'!E:E,'On Hand'!A:A=A1354)),ifna(xlookup(A1354,'On Hand'!A:A,'On Hand'!E:E,),)))"),"")</f>
        <v/>
      </c>
    </row>
    <row r="1355">
      <c r="A1355" s="3" t="str">
        <f t="array" ref="A1355">ifna(_xlfn.xlookup(B1355,'All Item Code'!B:B,'All Item Code'!A:A,),)</f>
        <v/>
      </c>
      <c r="B1355" s="3"/>
      <c r="C1355" s="3" t="str">
        <f t="array" ref="C1355">if(B1355="Tidak Ada",,if(isblank(B1355),,ifna(sumif('On Hand'!A:A,A1355,'On Hand'!D:D)&amp;" "&amp;_xlfn.xlookup(A1355,'All Item Code'!A:A,'All Item Code'!D:D,),0)))</f>
        <v/>
      </c>
      <c r="D1355" s="3" t="str">
        <f>IFERROR(__xludf.DUMMYFUNCTION("if(isblank(B1355),,ifna(textjoin(""; "",,filter('On Hand'!E:E,'On Hand'!A:A=A1355)),ifna(xlookup(A1355,'On Hand'!A:A,'On Hand'!E:E,),)))"),"")</f>
        <v/>
      </c>
    </row>
    <row r="1356">
      <c r="A1356" s="3" t="str">
        <f t="array" ref="A1356">ifna(_xlfn.xlookup(B1356,'All Item Code'!B:B,'All Item Code'!A:A,),)</f>
        <v/>
      </c>
      <c r="B1356" s="3"/>
      <c r="C1356" s="3" t="str">
        <f t="array" ref="C1356">if(B1356="Tidak Ada",,if(isblank(B1356),,ifna(sumif('On Hand'!A:A,A1356,'On Hand'!D:D)&amp;" "&amp;_xlfn.xlookup(A1356,'All Item Code'!A:A,'All Item Code'!D:D,),0)))</f>
        <v/>
      </c>
      <c r="D1356" s="3" t="str">
        <f>IFERROR(__xludf.DUMMYFUNCTION("if(isblank(B1356),,ifna(textjoin(""; "",,filter('On Hand'!E:E,'On Hand'!A:A=A1356)),ifna(xlookup(A1356,'On Hand'!A:A,'On Hand'!E:E,),)))"),"")</f>
        <v/>
      </c>
    </row>
    <row r="1357">
      <c r="A1357" s="3" t="str">
        <f t="array" ref="A1357">ifna(_xlfn.xlookup(B1357,'All Item Code'!B:B,'All Item Code'!A:A,),)</f>
        <v/>
      </c>
      <c r="B1357" s="3"/>
      <c r="C1357" s="3" t="str">
        <f t="array" ref="C1357">if(B1357="Tidak Ada",,if(isblank(B1357),,ifna(sumif('On Hand'!A:A,A1357,'On Hand'!D:D)&amp;" "&amp;_xlfn.xlookup(A1357,'All Item Code'!A:A,'All Item Code'!D:D,),0)))</f>
        <v/>
      </c>
      <c r="D1357" s="3" t="str">
        <f>IFERROR(__xludf.DUMMYFUNCTION("if(isblank(B1357),,ifna(textjoin(""; "",,filter('On Hand'!E:E,'On Hand'!A:A=A1357)),ifna(xlookup(A1357,'On Hand'!A:A,'On Hand'!E:E,),)))"),"")</f>
        <v/>
      </c>
    </row>
    <row r="1358">
      <c r="A1358" s="3" t="str">
        <f t="array" ref="A1358">ifna(_xlfn.xlookup(B1358,'All Item Code'!B:B,'All Item Code'!A:A,),)</f>
        <v/>
      </c>
      <c r="B1358" s="3"/>
      <c r="C1358" s="3" t="str">
        <f t="array" ref="C1358">if(B1358="Tidak Ada",,if(isblank(B1358),,ifna(sumif('On Hand'!A:A,A1358,'On Hand'!D:D)&amp;" "&amp;_xlfn.xlookup(A1358,'All Item Code'!A:A,'All Item Code'!D:D,),0)))</f>
        <v/>
      </c>
      <c r="D1358" s="3" t="str">
        <f>IFERROR(__xludf.DUMMYFUNCTION("if(isblank(B1358),,ifna(textjoin(""; "",,filter('On Hand'!E:E,'On Hand'!A:A=A1358)),ifna(xlookup(A1358,'On Hand'!A:A,'On Hand'!E:E,),)))"),"")</f>
        <v/>
      </c>
    </row>
    <row r="1359">
      <c r="A1359" s="3" t="str">
        <f t="array" ref="A1359">ifna(_xlfn.xlookup(B1359,'All Item Code'!B:B,'All Item Code'!A:A,),)</f>
        <v/>
      </c>
      <c r="B1359" s="3"/>
      <c r="C1359" s="3" t="str">
        <f t="array" ref="C1359">if(B1359="Tidak Ada",,if(isblank(B1359),,ifna(sumif('On Hand'!A:A,A1359,'On Hand'!D:D)&amp;" "&amp;_xlfn.xlookup(A1359,'All Item Code'!A:A,'All Item Code'!D:D,),0)))</f>
        <v/>
      </c>
      <c r="D1359" s="3" t="str">
        <f>IFERROR(__xludf.DUMMYFUNCTION("if(isblank(B1359),,ifna(textjoin(""; "",,filter('On Hand'!E:E,'On Hand'!A:A=A1359)),ifna(xlookup(A1359,'On Hand'!A:A,'On Hand'!E:E,),)))"),"")</f>
        <v/>
      </c>
    </row>
    <row r="1360">
      <c r="A1360" s="3" t="str">
        <f t="array" ref="A1360">ifna(_xlfn.xlookup(B1360,'All Item Code'!B:B,'All Item Code'!A:A,),)</f>
        <v/>
      </c>
      <c r="B1360" s="3"/>
      <c r="C1360" s="3" t="str">
        <f t="array" ref="C1360">if(B1360="Tidak Ada",,if(isblank(B1360),,ifna(sumif('On Hand'!A:A,A1360,'On Hand'!D:D)&amp;" "&amp;_xlfn.xlookup(A1360,'All Item Code'!A:A,'All Item Code'!D:D,),0)))</f>
        <v/>
      </c>
      <c r="D1360" s="3" t="str">
        <f>IFERROR(__xludf.DUMMYFUNCTION("if(isblank(B1360),,ifna(textjoin(""; "",,filter('On Hand'!E:E,'On Hand'!A:A=A1360)),ifna(xlookup(A1360,'On Hand'!A:A,'On Hand'!E:E,),)))"),"")</f>
        <v/>
      </c>
    </row>
    <row r="1361">
      <c r="A1361" s="3" t="str">
        <f t="array" ref="A1361">ifna(_xlfn.xlookup(B1361,'All Item Code'!B:B,'All Item Code'!A:A,),)</f>
        <v/>
      </c>
      <c r="B1361" s="3"/>
      <c r="C1361" s="3" t="str">
        <f t="array" ref="C1361">if(B1361="Tidak Ada",,if(isblank(B1361),,ifna(sumif('On Hand'!A:A,A1361,'On Hand'!D:D)&amp;" "&amp;_xlfn.xlookup(A1361,'All Item Code'!A:A,'All Item Code'!D:D,),0)))</f>
        <v/>
      </c>
      <c r="D1361" s="3" t="str">
        <f>IFERROR(__xludf.DUMMYFUNCTION("if(isblank(B1361),,ifna(textjoin(""; "",,filter('On Hand'!E:E,'On Hand'!A:A=A1361)),ifna(xlookup(A1361,'On Hand'!A:A,'On Hand'!E:E,),)))"),"")</f>
        <v/>
      </c>
    </row>
    <row r="1362">
      <c r="A1362" s="3" t="str">
        <f t="array" ref="A1362">ifna(_xlfn.xlookup(B1362,'All Item Code'!B:B,'All Item Code'!A:A,),)</f>
        <v/>
      </c>
      <c r="B1362" s="3"/>
      <c r="C1362" s="3" t="str">
        <f t="array" ref="C1362">if(B1362="Tidak Ada",,if(isblank(B1362),,ifna(sumif('On Hand'!A:A,A1362,'On Hand'!D:D)&amp;" "&amp;_xlfn.xlookup(A1362,'All Item Code'!A:A,'All Item Code'!D:D,),0)))</f>
        <v/>
      </c>
      <c r="D1362" s="3" t="str">
        <f>IFERROR(__xludf.DUMMYFUNCTION("if(isblank(B1362),,ifna(textjoin(""; "",,filter('On Hand'!E:E,'On Hand'!A:A=A1362)),ifna(xlookup(A1362,'On Hand'!A:A,'On Hand'!E:E,),)))"),"")</f>
        <v/>
      </c>
    </row>
    <row r="1363">
      <c r="A1363" s="3" t="str">
        <f t="array" ref="A1363">ifna(_xlfn.xlookup(B1363,'All Item Code'!B:B,'All Item Code'!A:A,),)</f>
        <v/>
      </c>
      <c r="B1363" s="3"/>
      <c r="C1363" s="3" t="str">
        <f t="array" ref="C1363">if(B1363="Tidak Ada",,if(isblank(B1363),,ifna(sumif('On Hand'!A:A,A1363,'On Hand'!D:D)&amp;" "&amp;_xlfn.xlookup(A1363,'All Item Code'!A:A,'All Item Code'!D:D,),0)))</f>
        <v/>
      </c>
      <c r="D1363" s="3" t="str">
        <f>IFERROR(__xludf.DUMMYFUNCTION("if(isblank(B1363),,ifna(textjoin(""; "",,filter('On Hand'!E:E,'On Hand'!A:A=A1363)),ifna(xlookup(A1363,'On Hand'!A:A,'On Hand'!E:E,),)))"),"")</f>
        <v/>
      </c>
    </row>
    <row r="1364">
      <c r="A1364" s="3" t="str">
        <f t="array" ref="A1364">ifna(_xlfn.xlookup(B1364,'All Item Code'!B:B,'All Item Code'!A:A,),)</f>
        <v/>
      </c>
      <c r="B1364" s="3"/>
      <c r="C1364" s="3" t="str">
        <f t="array" ref="C1364">if(B1364="Tidak Ada",,if(isblank(B1364),,ifna(sumif('On Hand'!A:A,A1364,'On Hand'!D:D)&amp;" "&amp;_xlfn.xlookup(A1364,'All Item Code'!A:A,'All Item Code'!D:D,),0)))</f>
        <v/>
      </c>
      <c r="D1364" s="3" t="str">
        <f>IFERROR(__xludf.DUMMYFUNCTION("if(isblank(B1364),,ifna(textjoin(""; "",,filter('On Hand'!E:E,'On Hand'!A:A=A1364)),ifna(xlookup(A1364,'On Hand'!A:A,'On Hand'!E:E,),)))"),"")</f>
        <v/>
      </c>
    </row>
    <row r="1365">
      <c r="A1365" s="3" t="str">
        <f t="array" ref="A1365">ifna(_xlfn.xlookup(B1365,'All Item Code'!B:B,'All Item Code'!A:A,),)</f>
        <v/>
      </c>
      <c r="B1365" s="3"/>
      <c r="C1365" s="3" t="str">
        <f t="array" ref="C1365">if(B1365="Tidak Ada",,if(isblank(B1365),,ifna(sumif('On Hand'!A:A,A1365,'On Hand'!D:D)&amp;" "&amp;_xlfn.xlookup(A1365,'All Item Code'!A:A,'All Item Code'!D:D,),0)))</f>
        <v/>
      </c>
      <c r="D1365" s="3" t="str">
        <f>IFERROR(__xludf.DUMMYFUNCTION("if(isblank(B1365),,ifna(textjoin(""; "",,filter('On Hand'!E:E,'On Hand'!A:A=A1365)),ifna(xlookup(A1365,'On Hand'!A:A,'On Hand'!E:E,),)))"),"")</f>
        <v/>
      </c>
    </row>
    <row r="1366">
      <c r="A1366" s="3" t="str">
        <f t="array" ref="A1366">ifna(_xlfn.xlookup(B1366,'All Item Code'!B:B,'All Item Code'!A:A,),)</f>
        <v/>
      </c>
      <c r="B1366" s="3"/>
      <c r="C1366" s="3" t="str">
        <f t="array" ref="C1366">if(B1366="Tidak Ada",,if(isblank(B1366),,ifna(sumif('On Hand'!A:A,A1366,'On Hand'!D:D)&amp;" "&amp;_xlfn.xlookup(A1366,'All Item Code'!A:A,'All Item Code'!D:D,),0)))</f>
        <v/>
      </c>
      <c r="D1366" s="3" t="str">
        <f>IFERROR(__xludf.DUMMYFUNCTION("if(isblank(B1366),,ifna(textjoin(""; "",,filter('On Hand'!E:E,'On Hand'!A:A=A1366)),ifna(xlookup(A1366,'On Hand'!A:A,'On Hand'!E:E,),)))"),"")</f>
        <v/>
      </c>
    </row>
    <row r="1367">
      <c r="A1367" s="3" t="str">
        <f t="array" ref="A1367">ifna(_xlfn.xlookup(B1367,'All Item Code'!B:B,'All Item Code'!A:A,),)</f>
        <v/>
      </c>
      <c r="B1367" s="3"/>
      <c r="C1367" s="3" t="str">
        <f t="array" ref="C1367">if(B1367="Tidak Ada",,if(isblank(B1367),,ifna(sumif('On Hand'!A:A,A1367,'On Hand'!D:D)&amp;" "&amp;_xlfn.xlookup(A1367,'All Item Code'!A:A,'All Item Code'!D:D,),0)))</f>
        <v/>
      </c>
      <c r="D1367" s="3" t="str">
        <f>IFERROR(__xludf.DUMMYFUNCTION("if(isblank(B1367),,ifna(textjoin(""; "",,filter('On Hand'!E:E,'On Hand'!A:A=A1367)),ifna(xlookup(A1367,'On Hand'!A:A,'On Hand'!E:E,),)))"),"")</f>
        <v/>
      </c>
    </row>
    <row r="1368">
      <c r="A1368" s="3" t="str">
        <f t="array" ref="A1368">ifna(_xlfn.xlookup(B1368,'All Item Code'!B:B,'All Item Code'!A:A,),)</f>
        <v/>
      </c>
      <c r="B1368" s="3"/>
      <c r="C1368" s="3" t="str">
        <f t="array" ref="C1368">if(B1368="Tidak Ada",,if(isblank(B1368),,ifna(sumif('On Hand'!A:A,A1368,'On Hand'!D:D)&amp;" "&amp;_xlfn.xlookup(A1368,'All Item Code'!A:A,'All Item Code'!D:D,),0)))</f>
        <v/>
      </c>
      <c r="D1368" s="3" t="str">
        <f>IFERROR(__xludf.DUMMYFUNCTION("if(isblank(B1368),,ifna(textjoin(""; "",,filter('On Hand'!E:E,'On Hand'!A:A=A1368)),ifna(xlookup(A1368,'On Hand'!A:A,'On Hand'!E:E,),)))"),"")</f>
        <v/>
      </c>
    </row>
    <row r="1369">
      <c r="A1369" s="3" t="str">
        <f t="array" ref="A1369">ifna(_xlfn.xlookup(B1369,'All Item Code'!B:B,'All Item Code'!A:A,),)</f>
        <v/>
      </c>
      <c r="B1369" s="3"/>
      <c r="C1369" s="3" t="str">
        <f t="array" ref="C1369">if(B1369="Tidak Ada",,if(isblank(B1369),,ifna(sumif('On Hand'!A:A,A1369,'On Hand'!D:D)&amp;" "&amp;_xlfn.xlookup(A1369,'All Item Code'!A:A,'All Item Code'!D:D,),0)))</f>
        <v/>
      </c>
      <c r="D1369" s="3" t="str">
        <f>IFERROR(__xludf.DUMMYFUNCTION("if(isblank(B1369),,ifna(textjoin(""; "",,filter('On Hand'!E:E,'On Hand'!A:A=A1369)),ifna(xlookup(A1369,'On Hand'!A:A,'On Hand'!E:E,),)))"),"")</f>
        <v/>
      </c>
    </row>
    <row r="1370">
      <c r="A1370" s="3" t="str">
        <f t="array" ref="A1370">ifna(_xlfn.xlookup(B1370,'All Item Code'!B:B,'All Item Code'!A:A,),)</f>
        <v/>
      </c>
      <c r="B1370" s="3"/>
      <c r="C1370" s="3" t="str">
        <f t="array" ref="C1370">if(B1370="Tidak Ada",,if(isblank(B1370),,ifna(sumif('On Hand'!A:A,A1370,'On Hand'!D:D)&amp;" "&amp;_xlfn.xlookup(A1370,'All Item Code'!A:A,'All Item Code'!D:D,),0)))</f>
        <v/>
      </c>
      <c r="D1370" s="3" t="str">
        <f>IFERROR(__xludf.DUMMYFUNCTION("if(isblank(B1370),,ifna(textjoin(""; "",,filter('On Hand'!E:E,'On Hand'!A:A=A1370)),ifna(xlookup(A1370,'On Hand'!A:A,'On Hand'!E:E,),)))"),"")</f>
        <v/>
      </c>
    </row>
    <row r="1371">
      <c r="A1371" s="3" t="str">
        <f t="array" ref="A1371">ifna(_xlfn.xlookup(B1371,'All Item Code'!B:B,'All Item Code'!A:A,),)</f>
        <v/>
      </c>
      <c r="B1371" s="3"/>
      <c r="C1371" s="3" t="str">
        <f t="array" ref="C1371">if(B1371="Tidak Ada",,if(isblank(B1371),,ifna(sumif('On Hand'!A:A,A1371,'On Hand'!D:D)&amp;" "&amp;_xlfn.xlookup(A1371,'All Item Code'!A:A,'All Item Code'!D:D,),0)))</f>
        <v/>
      </c>
      <c r="D1371" s="3" t="str">
        <f>IFERROR(__xludf.DUMMYFUNCTION("if(isblank(B1371),,ifna(textjoin(""; "",,filter('On Hand'!E:E,'On Hand'!A:A=A1371)),ifna(xlookup(A1371,'On Hand'!A:A,'On Hand'!E:E,),)))"),"")</f>
        <v/>
      </c>
    </row>
    <row r="1372">
      <c r="A1372" s="3" t="str">
        <f t="array" ref="A1372">ifna(_xlfn.xlookup(B1372,'All Item Code'!B:B,'All Item Code'!A:A,),)</f>
        <v/>
      </c>
      <c r="B1372" s="3"/>
      <c r="C1372" s="3" t="str">
        <f t="array" ref="C1372">if(B1372="Tidak Ada",,if(isblank(B1372),,ifna(sumif('On Hand'!A:A,A1372,'On Hand'!D:D)&amp;" "&amp;_xlfn.xlookup(A1372,'All Item Code'!A:A,'All Item Code'!D:D,),0)))</f>
        <v/>
      </c>
      <c r="D1372" s="3" t="str">
        <f>IFERROR(__xludf.DUMMYFUNCTION("if(isblank(B1372),,ifna(textjoin(""; "",,filter('On Hand'!E:E,'On Hand'!A:A=A1372)),ifna(xlookup(A1372,'On Hand'!A:A,'On Hand'!E:E,),)))"),"")</f>
        <v/>
      </c>
    </row>
    <row r="1373">
      <c r="A1373" s="3" t="str">
        <f t="array" ref="A1373">ifna(_xlfn.xlookup(B1373,'All Item Code'!B:B,'All Item Code'!A:A,),)</f>
        <v/>
      </c>
      <c r="B1373" s="3"/>
      <c r="C1373" s="3" t="str">
        <f t="array" ref="C1373">if(B1373="Tidak Ada",,if(isblank(B1373),,ifna(sumif('On Hand'!A:A,A1373,'On Hand'!D:D)&amp;" "&amp;_xlfn.xlookup(A1373,'All Item Code'!A:A,'All Item Code'!D:D,),0)))</f>
        <v/>
      </c>
      <c r="D1373" s="3" t="str">
        <f>IFERROR(__xludf.DUMMYFUNCTION("if(isblank(B1373),,ifna(textjoin(""; "",,filter('On Hand'!E:E,'On Hand'!A:A=A1373)),ifna(xlookup(A1373,'On Hand'!A:A,'On Hand'!E:E,),)))"),"")</f>
        <v/>
      </c>
    </row>
    <row r="1374">
      <c r="A1374" s="3" t="str">
        <f t="array" ref="A1374">ifna(_xlfn.xlookup(B1374,'All Item Code'!B:B,'All Item Code'!A:A,),)</f>
        <v/>
      </c>
      <c r="B1374" s="3"/>
      <c r="C1374" s="3" t="str">
        <f t="array" ref="C1374">if(B1374="Tidak Ada",,if(isblank(B1374),,ifna(sumif('On Hand'!A:A,A1374,'On Hand'!D:D)&amp;" "&amp;_xlfn.xlookup(A1374,'All Item Code'!A:A,'All Item Code'!D:D,),0)))</f>
        <v/>
      </c>
      <c r="D1374" s="3" t="str">
        <f>IFERROR(__xludf.DUMMYFUNCTION("if(isblank(B1374),,ifna(textjoin(""; "",,filter('On Hand'!E:E,'On Hand'!A:A=A1374)),ifna(xlookup(A1374,'On Hand'!A:A,'On Hand'!E:E,),)))"),"")</f>
        <v/>
      </c>
    </row>
    <row r="1375">
      <c r="A1375" s="3" t="str">
        <f t="array" ref="A1375">ifna(_xlfn.xlookup(B1375,'All Item Code'!B:B,'All Item Code'!A:A,),)</f>
        <v/>
      </c>
      <c r="B1375" s="3"/>
      <c r="C1375" s="3" t="str">
        <f t="array" ref="C1375">if(B1375="Tidak Ada",,if(isblank(B1375),,ifna(sumif('On Hand'!A:A,A1375,'On Hand'!D:D)&amp;" "&amp;_xlfn.xlookup(A1375,'All Item Code'!A:A,'All Item Code'!D:D,),0)))</f>
        <v/>
      </c>
      <c r="D1375" s="3" t="str">
        <f>IFERROR(__xludf.DUMMYFUNCTION("if(isblank(B1375),,ifna(textjoin(""; "",,filter('On Hand'!E:E,'On Hand'!A:A=A1375)),ifna(xlookup(A1375,'On Hand'!A:A,'On Hand'!E:E,),)))"),"")</f>
        <v/>
      </c>
    </row>
    <row r="1376">
      <c r="A1376" s="3" t="str">
        <f t="array" ref="A1376">ifna(_xlfn.xlookup(B1376,'All Item Code'!B:B,'All Item Code'!A:A,),)</f>
        <v/>
      </c>
      <c r="B1376" s="3"/>
      <c r="C1376" s="3" t="str">
        <f t="array" ref="C1376">if(B1376="Tidak Ada",,if(isblank(B1376),,ifna(sumif('On Hand'!A:A,A1376,'On Hand'!D:D)&amp;" "&amp;_xlfn.xlookup(A1376,'All Item Code'!A:A,'All Item Code'!D:D,),0)))</f>
        <v/>
      </c>
      <c r="D1376" s="3" t="str">
        <f>IFERROR(__xludf.DUMMYFUNCTION("if(isblank(B1376),,ifna(textjoin(""; "",,filter('On Hand'!E:E,'On Hand'!A:A=A1376)),ifna(xlookup(A1376,'On Hand'!A:A,'On Hand'!E:E,),)))"),"")</f>
        <v/>
      </c>
    </row>
    <row r="1377">
      <c r="A1377" s="3" t="str">
        <f t="array" ref="A1377">ifna(_xlfn.xlookup(B1377,'All Item Code'!B:B,'All Item Code'!A:A,),)</f>
        <v/>
      </c>
      <c r="B1377" s="3"/>
      <c r="C1377" s="3" t="str">
        <f t="array" ref="C1377">if(B1377="Tidak Ada",,if(isblank(B1377),,ifna(sumif('On Hand'!A:A,A1377,'On Hand'!D:D)&amp;" "&amp;_xlfn.xlookup(A1377,'All Item Code'!A:A,'All Item Code'!D:D,),0)))</f>
        <v/>
      </c>
      <c r="D1377" s="3" t="str">
        <f>IFERROR(__xludf.DUMMYFUNCTION("if(isblank(B1377),,ifna(textjoin(""; "",,filter('On Hand'!E:E,'On Hand'!A:A=A1377)),ifna(xlookup(A1377,'On Hand'!A:A,'On Hand'!E:E,),)))"),"")</f>
        <v/>
      </c>
    </row>
    <row r="1378">
      <c r="A1378" s="3" t="str">
        <f t="array" ref="A1378">ifna(_xlfn.xlookup(B1378,'All Item Code'!B:B,'All Item Code'!A:A,),)</f>
        <v/>
      </c>
      <c r="B1378" s="3"/>
      <c r="C1378" s="3" t="str">
        <f t="array" ref="C1378">if(B1378="Tidak Ada",,if(isblank(B1378),,ifna(sumif('On Hand'!A:A,A1378,'On Hand'!D:D)&amp;" "&amp;_xlfn.xlookup(A1378,'All Item Code'!A:A,'All Item Code'!D:D,),0)))</f>
        <v/>
      </c>
      <c r="D1378" s="3" t="str">
        <f>IFERROR(__xludf.DUMMYFUNCTION("if(isblank(B1378),,ifna(textjoin(""; "",,filter('On Hand'!E:E,'On Hand'!A:A=A1378)),ifna(xlookup(A1378,'On Hand'!A:A,'On Hand'!E:E,),)))"),"")</f>
        <v/>
      </c>
    </row>
    <row r="1379">
      <c r="A1379" s="3" t="str">
        <f t="array" ref="A1379">ifna(_xlfn.xlookup(B1379,'All Item Code'!B:B,'All Item Code'!A:A,),)</f>
        <v/>
      </c>
      <c r="B1379" s="3"/>
      <c r="C1379" s="3" t="str">
        <f t="array" ref="C1379">if(B1379="Tidak Ada",,if(isblank(B1379),,ifna(sumif('On Hand'!A:A,A1379,'On Hand'!D:D)&amp;" "&amp;_xlfn.xlookup(A1379,'All Item Code'!A:A,'All Item Code'!D:D,),0)))</f>
        <v/>
      </c>
      <c r="D1379" s="3" t="str">
        <f>IFERROR(__xludf.DUMMYFUNCTION("if(isblank(B1379),,ifna(textjoin(""; "",,filter('On Hand'!E:E,'On Hand'!A:A=A1379)),ifna(xlookup(A1379,'On Hand'!A:A,'On Hand'!E:E,),)))"),"")</f>
        <v/>
      </c>
    </row>
    <row r="1380">
      <c r="A1380" s="3" t="str">
        <f t="array" ref="A1380">ifna(_xlfn.xlookup(B1380,'All Item Code'!B:B,'All Item Code'!A:A,),)</f>
        <v/>
      </c>
      <c r="B1380" s="3"/>
      <c r="C1380" s="3" t="str">
        <f t="array" ref="C1380">if(B1380="Tidak Ada",,if(isblank(B1380),,ifna(sumif('On Hand'!A:A,A1380,'On Hand'!D:D)&amp;" "&amp;_xlfn.xlookup(A1380,'All Item Code'!A:A,'All Item Code'!D:D,),0)))</f>
        <v/>
      </c>
      <c r="D1380" s="3" t="str">
        <f>IFERROR(__xludf.DUMMYFUNCTION("if(isblank(B1380),,ifna(textjoin(""; "",,filter('On Hand'!E:E,'On Hand'!A:A=A1380)),ifna(xlookup(A1380,'On Hand'!A:A,'On Hand'!E:E,),)))"),"")</f>
        <v/>
      </c>
    </row>
    <row r="1381">
      <c r="A1381" s="3" t="str">
        <f t="array" ref="A1381">ifna(_xlfn.xlookup(B1381,'All Item Code'!B:B,'All Item Code'!A:A,),)</f>
        <v/>
      </c>
      <c r="B1381" s="3"/>
      <c r="C1381" s="3" t="str">
        <f t="array" ref="C1381">if(B1381="Tidak Ada",,if(isblank(B1381),,ifna(sumif('On Hand'!A:A,A1381,'On Hand'!D:D)&amp;" "&amp;_xlfn.xlookup(A1381,'All Item Code'!A:A,'All Item Code'!D:D,),0)))</f>
        <v/>
      </c>
      <c r="D1381" s="3" t="str">
        <f>IFERROR(__xludf.DUMMYFUNCTION("if(isblank(B1381),,ifna(textjoin(""; "",,filter('On Hand'!E:E,'On Hand'!A:A=A1381)),ifna(xlookup(A1381,'On Hand'!A:A,'On Hand'!E:E,),)))"),"")</f>
        <v/>
      </c>
    </row>
    <row r="1382">
      <c r="A1382" s="3" t="str">
        <f t="array" ref="A1382">ifna(_xlfn.xlookup(B1382,'All Item Code'!B:B,'All Item Code'!A:A,),)</f>
        <v/>
      </c>
      <c r="B1382" s="3"/>
      <c r="C1382" s="3" t="str">
        <f t="array" ref="C1382">if(B1382="Tidak Ada",,if(isblank(B1382),,ifna(sumif('On Hand'!A:A,A1382,'On Hand'!D:D)&amp;" "&amp;_xlfn.xlookup(A1382,'All Item Code'!A:A,'All Item Code'!D:D,),0)))</f>
        <v/>
      </c>
      <c r="D1382" s="3" t="str">
        <f>IFERROR(__xludf.DUMMYFUNCTION("if(isblank(B1382),,ifna(textjoin(""; "",,filter('On Hand'!E:E,'On Hand'!A:A=A1382)),ifna(xlookup(A1382,'On Hand'!A:A,'On Hand'!E:E,),)))"),"")</f>
        <v/>
      </c>
    </row>
    <row r="1383">
      <c r="A1383" s="3" t="str">
        <f t="array" ref="A1383">ifna(_xlfn.xlookup(B1383,'All Item Code'!B:B,'All Item Code'!A:A,),)</f>
        <v/>
      </c>
      <c r="B1383" s="3"/>
      <c r="C1383" s="3" t="str">
        <f t="array" ref="C1383">if(B1383="Tidak Ada",,if(isblank(B1383),,ifna(sumif('On Hand'!A:A,A1383,'On Hand'!D:D)&amp;" "&amp;_xlfn.xlookup(A1383,'All Item Code'!A:A,'All Item Code'!D:D,),0)))</f>
        <v/>
      </c>
      <c r="D1383" s="3" t="str">
        <f>IFERROR(__xludf.DUMMYFUNCTION("if(isblank(B1383),,ifna(textjoin(""; "",,filter('On Hand'!E:E,'On Hand'!A:A=A1383)),ifna(xlookup(A1383,'On Hand'!A:A,'On Hand'!E:E,),)))"),"")</f>
        <v/>
      </c>
    </row>
    <row r="1384">
      <c r="A1384" s="3" t="str">
        <f t="array" ref="A1384">ifna(_xlfn.xlookup(B1384,'All Item Code'!B:B,'All Item Code'!A:A,),)</f>
        <v/>
      </c>
      <c r="B1384" s="3"/>
      <c r="C1384" s="3" t="str">
        <f t="array" ref="C1384">if(B1384="Tidak Ada",,if(isblank(B1384),,ifna(sumif('On Hand'!A:A,A1384,'On Hand'!D:D)&amp;" "&amp;_xlfn.xlookup(A1384,'All Item Code'!A:A,'All Item Code'!D:D,),0)))</f>
        <v/>
      </c>
      <c r="D1384" s="3" t="str">
        <f>IFERROR(__xludf.DUMMYFUNCTION("if(isblank(B1384),,ifna(textjoin(""; "",,filter('On Hand'!E:E,'On Hand'!A:A=A1384)),ifna(xlookup(A1384,'On Hand'!A:A,'On Hand'!E:E,),)))"),"")</f>
        <v/>
      </c>
    </row>
    <row r="1385">
      <c r="A1385" s="3" t="str">
        <f t="array" ref="A1385">ifna(_xlfn.xlookup(B1385,'All Item Code'!B:B,'All Item Code'!A:A,),)</f>
        <v/>
      </c>
      <c r="B1385" s="3"/>
      <c r="C1385" s="3" t="str">
        <f t="array" ref="C1385">if(B1385="Tidak Ada",,if(isblank(B1385),,ifna(sumif('On Hand'!A:A,A1385,'On Hand'!D:D)&amp;" "&amp;_xlfn.xlookup(A1385,'All Item Code'!A:A,'All Item Code'!D:D,),0)))</f>
        <v/>
      </c>
      <c r="D1385" s="3" t="str">
        <f>IFERROR(__xludf.DUMMYFUNCTION("if(isblank(B1385),,ifna(textjoin(""; "",,filter('On Hand'!E:E,'On Hand'!A:A=A1385)),ifna(xlookup(A1385,'On Hand'!A:A,'On Hand'!E:E,),)))"),"")</f>
        <v/>
      </c>
    </row>
    <row r="1386">
      <c r="A1386" s="3" t="str">
        <f t="array" ref="A1386">ifna(_xlfn.xlookup(B1386,'All Item Code'!B:B,'All Item Code'!A:A,),)</f>
        <v/>
      </c>
      <c r="B1386" s="3"/>
      <c r="C1386" s="3" t="str">
        <f t="array" ref="C1386">if(B1386="Tidak Ada",,if(isblank(B1386),,ifna(sumif('On Hand'!A:A,A1386,'On Hand'!D:D)&amp;" "&amp;_xlfn.xlookup(A1386,'All Item Code'!A:A,'All Item Code'!D:D,),0)))</f>
        <v/>
      </c>
      <c r="D1386" s="3" t="str">
        <f>IFERROR(__xludf.DUMMYFUNCTION("if(isblank(B1386),,ifna(textjoin(""; "",,filter('On Hand'!E:E,'On Hand'!A:A=A1386)),ifna(xlookup(A1386,'On Hand'!A:A,'On Hand'!E:E,),)))"),"")</f>
        <v/>
      </c>
    </row>
    <row r="1387">
      <c r="A1387" s="3" t="str">
        <f t="array" ref="A1387">ifna(_xlfn.xlookup(B1387,'All Item Code'!B:B,'All Item Code'!A:A,),)</f>
        <v/>
      </c>
      <c r="B1387" s="3"/>
      <c r="C1387" s="3" t="str">
        <f t="array" ref="C1387">if(B1387="Tidak Ada",,if(isblank(B1387),,ifna(sumif('On Hand'!A:A,A1387,'On Hand'!D:D)&amp;" "&amp;_xlfn.xlookup(A1387,'All Item Code'!A:A,'All Item Code'!D:D,),0)))</f>
        <v/>
      </c>
      <c r="D1387" s="3" t="str">
        <f>IFERROR(__xludf.DUMMYFUNCTION("if(isblank(B1387),,ifna(textjoin(""; "",,filter('On Hand'!E:E,'On Hand'!A:A=A1387)),ifna(xlookup(A1387,'On Hand'!A:A,'On Hand'!E:E,),)))"),"")</f>
        <v/>
      </c>
    </row>
    <row r="1388">
      <c r="A1388" s="3" t="str">
        <f t="array" ref="A1388">ifna(_xlfn.xlookup(B1388,'All Item Code'!B:B,'All Item Code'!A:A,),)</f>
        <v/>
      </c>
      <c r="B1388" s="3"/>
      <c r="C1388" s="3" t="str">
        <f t="array" ref="C1388">if(B1388="Tidak Ada",,if(isblank(B1388),,ifna(sumif('On Hand'!A:A,A1388,'On Hand'!D:D)&amp;" "&amp;_xlfn.xlookup(A1388,'All Item Code'!A:A,'All Item Code'!D:D,),0)))</f>
        <v/>
      </c>
      <c r="D1388" s="3" t="str">
        <f>IFERROR(__xludf.DUMMYFUNCTION("if(isblank(B1388),,ifna(textjoin(""; "",,filter('On Hand'!E:E,'On Hand'!A:A=A1388)),ifna(xlookup(A1388,'On Hand'!A:A,'On Hand'!E:E,),)))"),"")</f>
        <v/>
      </c>
    </row>
    <row r="1389">
      <c r="A1389" s="3" t="str">
        <f t="array" ref="A1389">ifna(_xlfn.xlookup(B1389,'All Item Code'!B:B,'All Item Code'!A:A,),)</f>
        <v/>
      </c>
      <c r="B1389" s="3"/>
      <c r="C1389" s="3" t="str">
        <f t="array" ref="C1389">if(B1389="Tidak Ada",,if(isblank(B1389),,ifna(sumif('On Hand'!A:A,A1389,'On Hand'!D:D)&amp;" "&amp;_xlfn.xlookup(A1389,'All Item Code'!A:A,'All Item Code'!D:D,),0)))</f>
        <v/>
      </c>
      <c r="D1389" s="3" t="str">
        <f>IFERROR(__xludf.DUMMYFUNCTION("if(isblank(B1389),,ifna(textjoin(""; "",,filter('On Hand'!E:E,'On Hand'!A:A=A1389)),ifna(xlookup(A1389,'On Hand'!A:A,'On Hand'!E:E,),)))"),"")</f>
        <v/>
      </c>
    </row>
    <row r="1390">
      <c r="A1390" s="3" t="str">
        <f t="array" ref="A1390">ifna(_xlfn.xlookup(B1390,'All Item Code'!B:B,'All Item Code'!A:A,),)</f>
        <v/>
      </c>
      <c r="B1390" s="3"/>
      <c r="C1390" s="3" t="str">
        <f t="array" ref="C1390">if(B1390="Tidak Ada",,if(isblank(B1390),,ifna(sumif('On Hand'!A:A,A1390,'On Hand'!D:D)&amp;" "&amp;_xlfn.xlookup(A1390,'All Item Code'!A:A,'All Item Code'!D:D,),0)))</f>
        <v/>
      </c>
      <c r="D1390" s="3" t="str">
        <f>IFERROR(__xludf.DUMMYFUNCTION("if(isblank(B1390),,ifna(textjoin(""; "",,filter('On Hand'!E:E,'On Hand'!A:A=A1390)),ifna(xlookup(A1390,'On Hand'!A:A,'On Hand'!E:E,),)))"),"")</f>
        <v/>
      </c>
    </row>
    <row r="1391">
      <c r="A1391" s="3" t="str">
        <f t="array" ref="A1391">ifna(_xlfn.xlookup(B1391,'All Item Code'!B:B,'All Item Code'!A:A,),)</f>
        <v/>
      </c>
      <c r="B1391" s="3"/>
      <c r="C1391" s="3" t="str">
        <f t="array" ref="C1391">if(B1391="Tidak Ada",,if(isblank(B1391),,ifna(sumif('On Hand'!A:A,A1391,'On Hand'!D:D)&amp;" "&amp;_xlfn.xlookup(A1391,'All Item Code'!A:A,'All Item Code'!D:D,),0)))</f>
        <v/>
      </c>
      <c r="D1391" s="3" t="str">
        <f>IFERROR(__xludf.DUMMYFUNCTION("if(isblank(B1391),,ifna(textjoin(""; "",,filter('On Hand'!E:E,'On Hand'!A:A=A1391)),ifna(xlookup(A1391,'On Hand'!A:A,'On Hand'!E:E,),)))"),"")</f>
        <v/>
      </c>
    </row>
    <row r="1392">
      <c r="A1392" s="3" t="str">
        <f t="array" ref="A1392">ifna(_xlfn.xlookup(B1392,'All Item Code'!B:B,'All Item Code'!A:A,),)</f>
        <v/>
      </c>
      <c r="B1392" s="3"/>
      <c r="C1392" s="3" t="str">
        <f t="array" ref="C1392">if(B1392="Tidak Ada",,if(isblank(B1392),,ifna(sumif('On Hand'!A:A,A1392,'On Hand'!D:D)&amp;" "&amp;_xlfn.xlookup(A1392,'All Item Code'!A:A,'All Item Code'!D:D,),0)))</f>
        <v/>
      </c>
      <c r="D1392" s="3" t="str">
        <f>IFERROR(__xludf.DUMMYFUNCTION("if(isblank(B1392),,ifna(textjoin(""; "",,filter('On Hand'!E:E,'On Hand'!A:A=A1392)),ifna(xlookup(A1392,'On Hand'!A:A,'On Hand'!E:E,),)))"),"")</f>
        <v/>
      </c>
    </row>
    <row r="1393">
      <c r="A1393" s="3" t="str">
        <f t="array" ref="A1393">ifna(_xlfn.xlookup(B1393,'All Item Code'!B:B,'All Item Code'!A:A,),)</f>
        <v/>
      </c>
      <c r="B1393" s="3"/>
      <c r="C1393" s="3" t="str">
        <f t="array" ref="C1393">if(B1393="Tidak Ada",,if(isblank(B1393),,ifna(sumif('On Hand'!A:A,A1393,'On Hand'!D:D)&amp;" "&amp;_xlfn.xlookup(A1393,'All Item Code'!A:A,'All Item Code'!D:D,),0)))</f>
        <v/>
      </c>
      <c r="D1393" s="3" t="str">
        <f>IFERROR(__xludf.DUMMYFUNCTION("if(isblank(B1393),,ifna(textjoin(""; "",,filter('On Hand'!E:E,'On Hand'!A:A=A1393)),ifna(xlookup(A1393,'On Hand'!A:A,'On Hand'!E:E,),)))"),"")</f>
        <v/>
      </c>
    </row>
    <row r="1394">
      <c r="A1394" s="3" t="str">
        <f t="array" ref="A1394">ifna(_xlfn.xlookup(B1394,'All Item Code'!B:B,'All Item Code'!A:A,),)</f>
        <v/>
      </c>
      <c r="B1394" s="3"/>
      <c r="C1394" s="3" t="str">
        <f t="array" ref="C1394">if(B1394="Tidak Ada",,if(isblank(B1394),,ifna(sumif('On Hand'!A:A,A1394,'On Hand'!D:D)&amp;" "&amp;_xlfn.xlookup(A1394,'All Item Code'!A:A,'All Item Code'!D:D,),0)))</f>
        <v/>
      </c>
      <c r="D1394" s="3" t="str">
        <f>IFERROR(__xludf.DUMMYFUNCTION("if(isblank(B1394),,ifna(textjoin(""; "",,filter('On Hand'!E:E,'On Hand'!A:A=A1394)),ifna(xlookup(A1394,'On Hand'!A:A,'On Hand'!E:E,),)))"),"")</f>
        <v/>
      </c>
    </row>
    <row r="1395">
      <c r="A1395" s="3" t="str">
        <f t="array" ref="A1395">ifna(_xlfn.xlookup(B1395,'All Item Code'!B:B,'All Item Code'!A:A,),)</f>
        <v/>
      </c>
      <c r="B1395" s="3"/>
      <c r="C1395" s="3" t="str">
        <f t="array" ref="C1395">if(B1395="Tidak Ada",,if(isblank(B1395),,ifna(sumif('On Hand'!A:A,A1395,'On Hand'!D:D)&amp;" "&amp;_xlfn.xlookup(A1395,'All Item Code'!A:A,'All Item Code'!D:D,),0)))</f>
        <v/>
      </c>
      <c r="D1395" s="3" t="str">
        <f>IFERROR(__xludf.DUMMYFUNCTION("if(isblank(B1395),,ifna(textjoin(""; "",,filter('On Hand'!E:E,'On Hand'!A:A=A1395)),ifna(xlookup(A1395,'On Hand'!A:A,'On Hand'!E:E,),)))"),"")</f>
        <v/>
      </c>
    </row>
    <row r="1396">
      <c r="A1396" s="3" t="str">
        <f t="array" ref="A1396">ifna(_xlfn.xlookup(B1396,'All Item Code'!B:B,'All Item Code'!A:A,),)</f>
        <v/>
      </c>
      <c r="B1396" s="3"/>
      <c r="C1396" s="3" t="str">
        <f t="array" ref="C1396">if(B1396="Tidak Ada",,if(isblank(B1396),,ifna(sumif('On Hand'!A:A,A1396,'On Hand'!D:D)&amp;" "&amp;_xlfn.xlookup(A1396,'All Item Code'!A:A,'All Item Code'!D:D,),0)))</f>
        <v/>
      </c>
      <c r="D1396" s="3" t="str">
        <f>IFERROR(__xludf.DUMMYFUNCTION("if(isblank(B1396),,ifna(textjoin(""; "",,filter('On Hand'!E:E,'On Hand'!A:A=A1396)),ifna(xlookup(A1396,'On Hand'!A:A,'On Hand'!E:E,),)))"),"")</f>
        <v/>
      </c>
    </row>
    <row r="1397">
      <c r="A1397" s="3" t="str">
        <f t="array" ref="A1397">ifna(_xlfn.xlookup(B1397,'All Item Code'!B:B,'All Item Code'!A:A,),)</f>
        <v/>
      </c>
      <c r="B1397" s="3"/>
      <c r="C1397" s="3" t="str">
        <f t="array" ref="C1397">if(B1397="Tidak Ada",,if(isblank(B1397),,ifna(sumif('On Hand'!A:A,A1397,'On Hand'!D:D)&amp;" "&amp;_xlfn.xlookup(A1397,'All Item Code'!A:A,'All Item Code'!D:D,),0)))</f>
        <v/>
      </c>
      <c r="D1397" s="3" t="str">
        <f>IFERROR(__xludf.DUMMYFUNCTION("if(isblank(B1397),,ifna(textjoin(""; "",,filter('On Hand'!E:E,'On Hand'!A:A=A1397)),ifna(xlookup(A1397,'On Hand'!A:A,'On Hand'!E:E,),)))"),"")</f>
        <v/>
      </c>
    </row>
    <row r="1398">
      <c r="A1398" s="3" t="str">
        <f t="array" ref="A1398">ifna(_xlfn.xlookup(B1398,'All Item Code'!B:B,'All Item Code'!A:A,),)</f>
        <v/>
      </c>
      <c r="B1398" s="3"/>
      <c r="C1398" s="3" t="str">
        <f t="array" ref="C1398">if(B1398="Tidak Ada",,if(isblank(B1398),,ifna(sumif('On Hand'!A:A,A1398,'On Hand'!D:D)&amp;" "&amp;_xlfn.xlookup(A1398,'All Item Code'!A:A,'All Item Code'!D:D,),0)))</f>
        <v/>
      </c>
      <c r="D1398" s="3" t="str">
        <f>IFERROR(__xludf.DUMMYFUNCTION("if(isblank(B1398),,ifna(textjoin(""; "",,filter('On Hand'!E:E,'On Hand'!A:A=A1398)),ifna(xlookup(A1398,'On Hand'!A:A,'On Hand'!E:E,),)))"),"")</f>
        <v/>
      </c>
    </row>
    <row r="1399">
      <c r="A1399" s="3" t="str">
        <f t="array" ref="A1399">ifna(_xlfn.xlookup(B1399,'All Item Code'!B:B,'All Item Code'!A:A,),)</f>
        <v/>
      </c>
      <c r="B1399" s="3"/>
      <c r="C1399" s="3" t="str">
        <f t="array" ref="C1399">if(B1399="Tidak Ada",,if(isblank(B1399),,ifna(sumif('On Hand'!A:A,A1399,'On Hand'!D:D)&amp;" "&amp;_xlfn.xlookup(A1399,'All Item Code'!A:A,'All Item Code'!D:D,),0)))</f>
        <v/>
      </c>
      <c r="D1399" s="3" t="str">
        <f>IFERROR(__xludf.DUMMYFUNCTION("if(isblank(B1399),,ifna(textjoin(""; "",,filter('On Hand'!E:E,'On Hand'!A:A=A1399)),ifna(xlookup(A1399,'On Hand'!A:A,'On Hand'!E:E,),)))"),"")</f>
        <v/>
      </c>
    </row>
    <row r="1400">
      <c r="A1400" s="3" t="str">
        <f t="array" ref="A1400">ifna(_xlfn.xlookup(B1400,'All Item Code'!B:B,'All Item Code'!A:A,),)</f>
        <v/>
      </c>
      <c r="B1400" s="3"/>
      <c r="C1400" s="3" t="str">
        <f t="array" ref="C1400">if(B1400="Tidak Ada",,if(isblank(B1400),,ifna(sumif('On Hand'!A:A,A1400,'On Hand'!D:D)&amp;" "&amp;_xlfn.xlookup(A1400,'All Item Code'!A:A,'All Item Code'!D:D,),0)))</f>
        <v/>
      </c>
      <c r="D1400" s="3" t="str">
        <f>IFERROR(__xludf.DUMMYFUNCTION("if(isblank(B1400),,ifna(textjoin(""; "",,filter('On Hand'!E:E,'On Hand'!A:A=A1400)),ifna(xlookup(A1400,'On Hand'!A:A,'On Hand'!E:E,),)))"),"")</f>
        <v/>
      </c>
    </row>
    <row r="1401">
      <c r="A1401" s="3" t="str">
        <f t="array" ref="A1401">ifna(_xlfn.xlookup(B1401,'All Item Code'!B:B,'All Item Code'!A:A,),)</f>
        <v/>
      </c>
      <c r="B1401" s="3"/>
      <c r="C1401" s="3" t="str">
        <f t="array" ref="C1401">if(B1401="Tidak Ada",,if(isblank(B1401),,ifna(sumif('On Hand'!A:A,A1401,'On Hand'!D:D)&amp;" "&amp;_xlfn.xlookup(A1401,'All Item Code'!A:A,'All Item Code'!D:D,),0)))</f>
        <v/>
      </c>
      <c r="D1401" s="3" t="str">
        <f>IFERROR(__xludf.DUMMYFUNCTION("if(isblank(B1401),,ifna(textjoin(""; "",,filter('On Hand'!E:E,'On Hand'!A:A=A1401)),ifna(xlookup(A1401,'On Hand'!A:A,'On Hand'!E:E,),)))"),"")</f>
        <v/>
      </c>
    </row>
    <row r="1402">
      <c r="A1402" s="3" t="str">
        <f t="array" ref="A1402">ifna(_xlfn.xlookup(B1402,'All Item Code'!B:B,'All Item Code'!A:A,),)</f>
        <v/>
      </c>
      <c r="B1402" s="3"/>
      <c r="C1402" s="3" t="str">
        <f t="array" ref="C1402">if(B1402="Tidak Ada",,if(isblank(B1402),,ifna(sumif('On Hand'!A:A,A1402,'On Hand'!D:D)&amp;" "&amp;_xlfn.xlookup(A1402,'All Item Code'!A:A,'All Item Code'!D:D,),0)))</f>
        <v/>
      </c>
      <c r="D1402" s="3" t="str">
        <f>IFERROR(__xludf.DUMMYFUNCTION("if(isblank(B1402),,ifna(textjoin(""; "",,filter('On Hand'!E:E,'On Hand'!A:A=A1402)),ifna(xlookup(A1402,'On Hand'!A:A,'On Hand'!E:E,),)))"),"")</f>
        <v/>
      </c>
    </row>
    <row r="1403">
      <c r="A1403" s="3" t="str">
        <f t="array" ref="A1403">ifna(_xlfn.xlookup(B1403,'All Item Code'!B:B,'All Item Code'!A:A,),)</f>
        <v/>
      </c>
      <c r="B1403" s="3"/>
      <c r="C1403" s="3" t="str">
        <f t="array" ref="C1403">if(B1403="Tidak Ada",,if(isblank(B1403),,ifna(sumif('On Hand'!A:A,A1403,'On Hand'!D:D)&amp;" "&amp;_xlfn.xlookup(A1403,'All Item Code'!A:A,'All Item Code'!D:D,),0)))</f>
        <v/>
      </c>
      <c r="D1403" s="3" t="str">
        <f>IFERROR(__xludf.DUMMYFUNCTION("if(isblank(B1403),,ifna(textjoin(""; "",,filter('On Hand'!E:E,'On Hand'!A:A=A1403)),ifna(xlookup(A1403,'On Hand'!A:A,'On Hand'!E:E,),)))"),"")</f>
        <v/>
      </c>
    </row>
    <row r="1404">
      <c r="A1404" s="3" t="str">
        <f t="array" ref="A1404">ifna(_xlfn.xlookup(B1404,'All Item Code'!B:B,'All Item Code'!A:A,),)</f>
        <v/>
      </c>
      <c r="B1404" s="3"/>
      <c r="C1404" s="3" t="str">
        <f t="array" ref="C1404">if(B1404="Tidak Ada",,if(isblank(B1404),,ifna(sumif('On Hand'!A:A,A1404,'On Hand'!D:D)&amp;" "&amp;_xlfn.xlookup(A1404,'All Item Code'!A:A,'All Item Code'!D:D,),0)))</f>
        <v/>
      </c>
      <c r="D1404" s="3" t="str">
        <f>IFERROR(__xludf.DUMMYFUNCTION("if(isblank(B1404),,ifna(textjoin(""; "",,filter('On Hand'!E:E,'On Hand'!A:A=A1404)),ifna(xlookup(A1404,'On Hand'!A:A,'On Hand'!E:E,),)))"),"")</f>
        <v/>
      </c>
    </row>
    <row r="1405">
      <c r="A1405" s="3" t="str">
        <f t="array" ref="A1405">ifna(_xlfn.xlookup(B1405,'All Item Code'!B:B,'All Item Code'!A:A,),)</f>
        <v/>
      </c>
      <c r="B1405" s="3"/>
      <c r="C1405" s="3" t="str">
        <f t="array" ref="C1405">if(B1405="Tidak Ada",,if(isblank(B1405),,ifna(sumif('On Hand'!A:A,A1405,'On Hand'!D:D)&amp;" "&amp;_xlfn.xlookup(A1405,'All Item Code'!A:A,'All Item Code'!D:D,),0)))</f>
        <v/>
      </c>
      <c r="D1405" s="3" t="str">
        <f>IFERROR(__xludf.DUMMYFUNCTION("if(isblank(B1405),,ifna(textjoin(""; "",,filter('On Hand'!E:E,'On Hand'!A:A=A1405)),ifna(xlookup(A1405,'On Hand'!A:A,'On Hand'!E:E,),)))"),"")</f>
        <v/>
      </c>
    </row>
    <row r="1406">
      <c r="A1406" s="3" t="str">
        <f t="array" ref="A1406">ifna(_xlfn.xlookup(B1406,'All Item Code'!B:B,'All Item Code'!A:A,),)</f>
        <v/>
      </c>
      <c r="B1406" s="3"/>
      <c r="C1406" s="3" t="str">
        <f t="array" ref="C1406">if(B1406="Tidak Ada",,if(isblank(B1406),,ifna(sumif('On Hand'!A:A,A1406,'On Hand'!D:D)&amp;" "&amp;_xlfn.xlookup(A1406,'All Item Code'!A:A,'All Item Code'!D:D,),0)))</f>
        <v/>
      </c>
      <c r="D1406" s="3" t="str">
        <f>IFERROR(__xludf.DUMMYFUNCTION("if(isblank(B1406),,ifna(textjoin(""; "",,filter('On Hand'!E:E,'On Hand'!A:A=A1406)),ifna(xlookup(A1406,'On Hand'!A:A,'On Hand'!E:E,),)))"),"")</f>
        <v/>
      </c>
    </row>
    <row r="1407">
      <c r="A1407" s="3" t="str">
        <f t="array" ref="A1407">ifna(_xlfn.xlookup(B1407,'All Item Code'!B:B,'All Item Code'!A:A,),)</f>
        <v/>
      </c>
      <c r="B1407" s="3"/>
      <c r="C1407" s="3" t="str">
        <f t="array" ref="C1407">if(B1407="Tidak Ada",,if(isblank(B1407),,ifna(sumif('On Hand'!A:A,A1407,'On Hand'!D:D)&amp;" "&amp;_xlfn.xlookup(A1407,'All Item Code'!A:A,'All Item Code'!D:D,),0)))</f>
        <v/>
      </c>
      <c r="D1407" s="3" t="str">
        <f>IFERROR(__xludf.DUMMYFUNCTION("if(isblank(B1407),,ifna(textjoin(""; "",,filter('On Hand'!E:E,'On Hand'!A:A=A1407)),ifna(xlookup(A1407,'On Hand'!A:A,'On Hand'!E:E,),)))"),"")</f>
        <v/>
      </c>
    </row>
    <row r="1408">
      <c r="A1408" s="3" t="str">
        <f t="array" ref="A1408">ifna(_xlfn.xlookup(B1408,'All Item Code'!B:B,'All Item Code'!A:A,),)</f>
        <v/>
      </c>
      <c r="B1408" s="3"/>
      <c r="C1408" s="3" t="str">
        <f t="array" ref="C1408">if(B1408="Tidak Ada",,if(isblank(B1408),,ifna(sumif('On Hand'!A:A,A1408,'On Hand'!D:D)&amp;" "&amp;_xlfn.xlookup(A1408,'All Item Code'!A:A,'All Item Code'!D:D,),0)))</f>
        <v/>
      </c>
      <c r="D1408" s="3" t="str">
        <f>IFERROR(__xludf.DUMMYFUNCTION("if(isblank(B1408),,ifna(textjoin(""; "",,filter('On Hand'!E:E,'On Hand'!A:A=A1408)),ifna(xlookup(A1408,'On Hand'!A:A,'On Hand'!E:E,),)))"),"")</f>
        <v/>
      </c>
    </row>
    <row r="1409">
      <c r="A1409" s="3" t="str">
        <f t="array" ref="A1409">ifna(_xlfn.xlookup(B1409,'All Item Code'!B:B,'All Item Code'!A:A,),)</f>
        <v/>
      </c>
      <c r="B1409" s="3"/>
      <c r="C1409" s="3" t="str">
        <f t="array" ref="C1409">if(B1409="Tidak Ada",,if(isblank(B1409),,ifna(sumif('On Hand'!A:A,A1409,'On Hand'!D:D)&amp;" "&amp;_xlfn.xlookup(A1409,'All Item Code'!A:A,'All Item Code'!D:D,),0)))</f>
        <v/>
      </c>
      <c r="D1409" s="3" t="str">
        <f>IFERROR(__xludf.DUMMYFUNCTION("if(isblank(B1409),,ifna(textjoin(""; "",,filter('On Hand'!E:E,'On Hand'!A:A=A1409)),ifna(xlookup(A1409,'On Hand'!A:A,'On Hand'!E:E,),)))"),"")</f>
        <v/>
      </c>
    </row>
    <row r="1410">
      <c r="A1410" s="3" t="str">
        <f t="array" ref="A1410">ifna(_xlfn.xlookup(B1410,'All Item Code'!B:B,'All Item Code'!A:A,),)</f>
        <v/>
      </c>
      <c r="B1410" s="3"/>
      <c r="C1410" s="3" t="str">
        <f t="array" ref="C1410">if(B1410="Tidak Ada",,if(isblank(B1410),,ifna(sumif('On Hand'!A:A,A1410,'On Hand'!D:D)&amp;" "&amp;_xlfn.xlookup(A1410,'All Item Code'!A:A,'All Item Code'!D:D,),0)))</f>
        <v/>
      </c>
      <c r="D1410" s="3" t="str">
        <f>IFERROR(__xludf.DUMMYFUNCTION("if(isblank(B1410),,ifna(textjoin(""; "",,filter('On Hand'!E:E,'On Hand'!A:A=A1410)),ifna(xlookup(A1410,'On Hand'!A:A,'On Hand'!E:E,),)))"),"")</f>
        <v/>
      </c>
    </row>
    <row r="1411">
      <c r="A1411" s="3" t="str">
        <f t="array" ref="A1411">ifna(_xlfn.xlookup(B1411,'All Item Code'!B:B,'All Item Code'!A:A,),)</f>
        <v/>
      </c>
      <c r="B1411" s="3"/>
      <c r="C1411" s="3" t="str">
        <f t="array" ref="C1411">if(B1411="Tidak Ada",,if(isblank(B1411),,ifna(sumif('On Hand'!A:A,A1411,'On Hand'!D:D)&amp;" "&amp;_xlfn.xlookup(A1411,'All Item Code'!A:A,'All Item Code'!D:D,),0)))</f>
        <v/>
      </c>
      <c r="D1411" s="3" t="str">
        <f>IFERROR(__xludf.DUMMYFUNCTION("if(isblank(B1411),,ifna(textjoin(""; "",,filter('On Hand'!E:E,'On Hand'!A:A=A1411)),ifna(xlookup(A1411,'On Hand'!A:A,'On Hand'!E:E,),)))"),"")</f>
        <v/>
      </c>
    </row>
    <row r="1412">
      <c r="A1412" s="3" t="str">
        <f t="array" ref="A1412">ifna(_xlfn.xlookup(B1412,'All Item Code'!B:B,'All Item Code'!A:A,),)</f>
        <v/>
      </c>
      <c r="B1412" s="3"/>
      <c r="C1412" s="3" t="str">
        <f t="array" ref="C1412">if(B1412="Tidak Ada",,if(isblank(B1412),,ifna(sumif('On Hand'!A:A,A1412,'On Hand'!D:D)&amp;" "&amp;_xlfn.xlookup(A1412,'All Item Code'!A:A,'All Item Code'!D:D,),0)))</f>
        <v/>
      </c>
      <c r="D1412" s="3" t="str">
        <f>IFERROR(__xludf.DUMMYFUNCTION("if(isblank(B1412),,ifna(textjoin(""; "",,filter('On Hand'!E:E,'On Hand'!A:A=A1412)),ifna(xlookup(A1412,'On Hand'!A:A,'On Hand'!E:E,),)))"),"")</f>
        <v/>
      </c>
    </row>
    <row r="1413">
      <c r="A1413" s="3" t="str">
        <f t="array" ref="A1413">ifna(_xlfn.xlookup(B1413,'All Item Code'!B:B,'All Item Code'!A:A,),)</f>
        <v/>
      </c>
      <c r="B1413" s="3"/>
      <c r="C1413" s="3" t="str">
        <f t="array" ref="C1413">if(B1413="Tidak Ada",,if(isblank(B1413),,ifna(sumif('On Hand'!A:A,A1413,'On Hand'!D:D)&amp;" "&amp;_xlfn.xlookup(A1413,'All Item Code'!A:A,'All Item Code'!D:D,),0)))</f>
        <v/>
      </c>
      <c r="D1413" s="3" t="str">
        <f>IFERROR(__xludf.DUMMYFUNCTION("if(isblank(B1413),,ifna(textjoin(""; "",,filter('On Hand'!E:E,'On Hand'!A:A=A1413)),ifna(xlookup(A1413,'On Hand'!A:A,'On Hand'!E:E,),)))"),"")</f>
        <v/>
      </c>
    </row>
    <row r="1414">
      <c r="A1414" s="3" t="str">
        <f t="array" ref="A1414">ifna(_xlfn.xlookup(B1414,'All Item Code'!B:B,'All Item Code'!A:A,),)</f>
        <v/>
      </c>
      <c r="B1414" s="3"/>
      <c r="C1414" s="3" t="str">
        <f t="array" ref="C1414">if(B1414="Tidak Ada",,if(isblank(B1414),,ifna(sumif('On Hand'!A:A,A1414,'On Hand'!D:D)&amp;" "&amp;_xlfn.xlookup(A1414,'All Item Code'!A:A,'All Item Code'!D:D,),0)))</f>
        <v/>
      </c>
      <c r="D1414" s="3" t="str">
        <f>IFERROR(__xludf.DUMMYFUNCTION("if(isblank(B1414),,ifna(textjoin(""; "",,filter('On Hand'!E:E,'On Hand'!A:A=A1414)),ifna(xlookup(A1414,'On Hand'!A:A,'On Hand'!E:E,),)))"),"")</f>
        <v/>
      </c>
    </row>
    <row r="1415">
      <c r="A1415" s="3" t="str">
        <f t="array" ref="A1415">ifna(_xlfn.xlookup(B1415,'All Item Code'!B:B,'All Item Code'!A:A,),)</f>
        <v/>
      </c>
      <c r="B1415" s="3"/>
      <c r="C1415" s="3" t="str">
        <f t="array" ref="C1415">if(B1415="Tidak Ada",,if(isblank(B1415),,ifna(sumif('On Hand'!A:A,A1415,'On Hand'!D:D)&amp;" "&amp;_xlfn.xlookup(A1415,'All Item Code'!A:A,'All Item Code'!D:D,),0)))</f>
        <v/>
      </c>
      <c r="D1415" s="3" t="str">
        <f>IFERROR(__xludf.DUMMYFUNCTION("if(isblank(B1415),,ifna(textjoin(""; "",,filter('On Hand'!E:E,'On Hand'!A:A=A1415)),ifna(xlookup(A1415,'On Hand'!A:A,'On Hand'!E:E,),)))"),"")</f>
        <v/>
      </c>
    </row>
    <row r="1416">
      <c r="A1416" s="3" t="str">
        <f t="array" ref="A1416">ifna(_xlfn.xlookup(B1416,'All Item Code'!B:B,'All Item Code'!A:A,),)</f>
        <v/>
      </c>
      <c r="B1416" s="3"/>
      <c r="C1416" s="3" t="str">
        <f t="array" ref="C1416">if(B1416="Tidak Ada",,if(isblank(B1416),,ifna(sumif('On Hand'!A:A,A1416,'On Hand'!D:D)&amp;" "&amp;_xlfn.xlookup(A1416,'All Item Code'!A:A,'All Item Code'!D:D,),0)))</f>
        <v/>
      </c>
      <c r="D1416" s="3" t="str">
        <f>IFERROR(__xludf.DUMMYFUNCTION("if(isblank(B1416),,ifna(textjoin(""; "",,filter('On Hand'!E:E,'On Hand'!A:A=A1416)),ifna(xlookup(A1416,'On Hand'!A:A,'On Hand'!E:E,),)))"),"")</f>
        <v/>
      </c>
    </row>
    <row r="1417">
      <c r="A1417" s="3" t="str">
        <f t="array" ref="A1417">ifna(_xlfn.xlookup(B1417,'All Item Code'!B:B,'All Item Code'!A:A,),)</f>
        <v/>
      </c>
      <c r="B1417" s="3"/>
      <c r="C1417" s="3" t="str">
        <f t="array" ref="C1417">if(B1417="Tidak Ada",,if(isblank(B1417),,ifna(sumif('On Hand'!A:A,A1417,'On Hand'!D:D)&amp;" "&amp;_xlfn.xlookup(A1417,'All Item Code'!A:A,'All Item Code'!D:D,),0)))</f>
        <v/>
      </c>
      <c r="D1417" s="3" t="str">
        <f>IFERROR(__xludf.DUMMYFUNCTION("if(isblank(B1417),,ifna(textjoin(""; "",,filter('On Hand'!E:E,'On Hand'!A:A=A1417)),ifna(xlookup(A1417,'On Hand'!A:A,'On Hand'!E:E,),)))"),"")</f>
        <v/>
      </c>
    </row>
    <row r="1418">
      <c r="A1418" s="3" t="str">
        <f t="array" ref="A1418">ifna(_xlfn.xlookup(B1418,'All Item Code'!B:B,'All Item Code'!A:A,),)</f>
        <v/>
      </c>
      <c r="B1418" s="3"/>
      <c r="C1418" s="3" t="str">
        <f t="array" ref="C1418">if(B1418="Tidak Ada",,if(isblank(B1418),,ifna(sumif('On Hand'!A:A,A1418,'On Hand'!D:D)&amp;" "&amp;_xlfn.xlookup(A1418,'All Item Code'!A:A,'All Item Code'!D:D,),0)))</f>
        <v/>
      </c>
      <c r="D1418" s="3" t="str">
        <f>IFERROR(__xludf.DUMMYFUNCTION("if(isblank(B1418),,ifna(textjoin(""; "",,filter('On Hand'!E:E,'On Hand'!A:A=A1418)),ifna(xlookup(A1418,'On Hand'!A:A,'On Hand'!E:E,),)))"),"")</f>
        <v/>
      </c>
    </row>
    <row r="1419">
      <c r="A1419" s="3" t="str">
        <f t="array" ref="A1419">ifna(_xlfn.xlookup(B1419,'All Item Code'!B:B,'All Item Code'!A:A,),)</f>
        <v/>
      </c>
      <c r="B1419" s="3"/>
      <c r="C1419" s="3" t="str">
        <f t="array" ref="C1419">if(B1419="Tidak Ada",,if(isblank(B1419),,ifna(sumif('On Hand'!A:A,A1419,'On Hand'!D:D)&amp;" "&amp;_xlfn.xlookup(A1419,'All Item Code'!A:A,'All Item Code'!D:D,),0)))</f>
        <v/>
      </c>
      <c r="D1419" s="3" t="str">
        <f>IFERROR(__xludf.DUMMYFUNCTION("if(isblank(B1419),,ifna(textjoin(""; "",,filter('On Hand'!E:E,'On Hand'!A:A=A1419)),ifna(xlookup(A1419,'On Hand'!A:A,'On Hand'!E:E,),)))"),"")</f>
        <v/>
      </c>
    </row>
    <row r="1420">
      <c r="A1420" s="3" t="str">
        <f t="array" ref="A1420">ifna(_xlfn.xlookup(B1420,'All Item Code'!B:B,'All Item Code'!A:A,),)</f>
        <v/>
      </c>
      <c r="B1420" s="3"/>
      <c r="C1420" s="3" t="str">
        <f t="array" ref="C1420">if(B1420="Tidak Ada",,if(isblank(B1420),,ifna(sumif('On Hand'!A:A,A1420,'On Hand'!D:D)&amp;" "&amp;_xlfn.xlookup(A1420,'All Item Code'!A:A,'All Item Code'!D:D,),0)))</f>
        <v/>
      </c>
      <c r="D1420" s="3" t="str">
        <f>IFERROR(__xludf.DUMMYFUNCTION("if(isblank(B1420),,ifna(textjoin(""; "",,filter('On Hand'!E:E,'On Hand'!A:A=A1420)),ifna(xlookup(A1420,'On Hand'!A:A,'On Hand'!E:E,),)))"),"")</f>
        <v/>
      </c>
    </row>
    <row r="1421">
      <c r="A1421" s="3" t="str">
        <f t="array" ref="A1421">ifna(_xlfn.xlookup(B1421,'All Item Code'!B:B,'All Item Code'!A:A,),)</f>
        <v/>
      </c>
      <c r="B1421" s="3"/>
      <c r="C1421" s="3" t="str">
        <f t="array" ref="C1421">if(B1421="Tidak Ada",,if(isblank(B1421),,ifna(sumif('On Hand'!A:A,A1421,'On Hand'!D:D)&amp;" "&amp;_xlfn.xlookup(A1421,'All Item Code'!A:A,'All Item Code'!D:D,),0)))</f>
        <v/>
      </c>
      <c r="D1421" s="3" t="str">
        <f>IFERROR(__xludf.DUMMYFUNCTION("if(isblank(B1421),,ifna(textjoin(""; "",,filter('On Hand'!E:E,'On Hand'!A:A=A1421)),ifna(xlookup(A1421,'On Hand'!A:A,'On Hand'!E:E,),)))"),"")</f>
        <v/>
      </c>
    </row>
    <row r="1422">
      <c r="A1422" s="3" t="str">
        <f t="array" ref="A1422">ifna(_xlfn.xlookup(B1422,'All Item Code'!B:B,'All Item Code'!A:A,),)</f>
        <v/>
      </c>
      <c r="B1422" s="3"/>
      <c r="C1422" s="3" t="str">
        <f t="array" ref="C1422">if(B1422="Tidak Ada",,if(isblank(B1422),,ifna(sumif('On Hand'!A:A,A1422,'On Hand'!D:D)&amp;" "&amp;_xlfn.xlookup(A1422,'All Item Code'!A:A,'All Item Code'!D:D,),0)))</f>
        <v/>
      </c>
      <c r="D1422" s="3" t="str">
        <f>IFERROR(__xludf.DUMMYFUNCTION("if(isblank(B1422),,ifna(textjoin(""; "",,filter('On Hand'!E:E,'On Hand'!A:A=A1422)),ifna(xlookup(A1422,'On Hand'!A:A,'On Hand'!E:E,),)))"),"")</f>
        <v/>
      </c>
    </row>
    <row r="1423">
      <c r="A1423" s="3" t="str">
        <f t="array" ref="A1423">ifna(_xlfn.xlookup(B1423,'All Item Code'!B:B,'All Item Code'!A:A,),)</f>
        <v/>
      </c>
      <c r="B1423" s="3"/>
      <c r="C1423" s="3" t="str">
        <f t="array" ref="C1423">if(B1423="Tidak Ada",,if(isblank(B1423),,ifna(sumif('On Hand'!A:A,A1423,'On Hand'!D:D)&amp;" "&amp;_xlfn.xlookup(A1423,'All Item Code'!A:A,'All Item Code'!D:D,),0)))</f>
        <v/>
      </c>
      <c r="D1423" s="3" t="str">
        <f>IFERROR(__xludf.DUMMYFUNCTION("if(isblank(B1423),,ifna(textjoin(""; "",,filter('On Hand'!E:E,'On Hand'!A:A=A1423)),ifna(xlookup(A1423,'On Hand'!A:A,'On Hand'!E:E,),)))"),"")</f>
        <v/>
      </c>
    </row>
    <row r="1424">
      <c r="A1424" s="3" t="str">
        <f t="array" ref="A1424">ifna(_xlfn.xlookup(B1424,'All Item Code'!B:B,'All Item Code'!A:A,),)</f>
        <v/>
      </c>
      <c r="B1424" s="3"/>
      <c r="C1424" s="3" t="str">
        <f t="array" ref="C1424">if(B1424="Tidak Ada",,if(isblank(B1424),,ifna(sumif('On Hand'!A:A,A1424,'On Hand'!D:D)&amp;" "&amp;_xlfn.xlookup(A1424,'All Item Code'!A:A,'All Item Code'!D:D,),0)))</f>
        <v/>
      </c>
      <c r="D1424" s="3" t="str">
        <f>IFERROR(__xludf.DUMMYFUNCTION("if(isblank(B1424),,ifna(textjoin(""; "",,filter('On Hand'!E:E,'On Hand'!A:A=A1424)),ifna(xlookup(A1424,'On Hand'!A:A,'On Hand'!E:E,),)))"),"")</f>
        <v/>
      </c>
    </row>
    <row r="1425">
      <c r="A1425" s="3" t="str">
        <f t="array" ref="A1425">ifna(_xlfn.xlookup(B1425,'All Item Code'!B:B,'All Item Code'!A:A,),)</f>
        <v/>
      </c>
      <c r="B1425" s="3"/>
      <c r="C1425" s="3" t="str">
        <f t="array" ref="C1425">if(B1425="Tidak Ada",,if(isblank(B1425),,ifna(sumif('On Hand'!A:A,A1425,'On Hand'!D:D)&amp;" "&amp;_xlfn.xlookup(A1425,'All Item Code'!A:A,'All Item Code'!D:D,),0)))</f>
        <v/>
      </c>
      <c r="D1425" s="3" t="str">
        <f>IFERROR(__xludf.DUMMYFUNCTION("if(isblank(B1425),,ifna(textjoin(""; "",,filter('On Hand'!E:E,'On Hand'!A:A=A1425)),ifna(xlookup(A1425,'On Hand'!A:A,'On Hand'!E:E,),)))"),"")</f>
        <v/>
      </c>
    </row>
    <row r="1426">
      <c r="A1426" s="3" t="str">
        <f t="array" ref="A1426">ifna(_xlfn.xlookup(B1426,'All Item Code'!B:B,'All Item Code'!A:A,),)</f>
        <v/>
      </c>
      <c r="B1426" s="3"/>
      <c r="C1426" s="3" t="str">
        <f t="array" ref="C1426">if(B1426="Tidak Ada",,if(isblank(B1426),,ifna(sumif('On Hand'!A:A,A1426,'On Hand'!D:D)&amp;" "&amp;_xlfn.xlookup(A1426,'All Item Code'!A:A,'All Item Code'!D:D,),0)))</f>
        <v/>
      </c>
      <c r="D1426" s="3" t="str">
        <f>IFERROR(__xludf.DUMMYFUNCTION("if(isblank(B1426),,ifna(textjoin(""; "",,filter('On Hand'!E:E,'On Hand'!A:A=A1426)),ifna(xlookup(A1426,'On Hand'!A:A,'On Hand'!E:E,),)))"),"")</f>
        <v/>
      </c>
    </row>
    <row r="1427">
      <c r="A1427" s="3" t="str">
        <f t="array" ref="A1427">ifna(_xlfn.xlookup(B1427,'All Item Code'!B:B,'All Item Code'!A:A,),)</f>
        <v/>
      </c>
      <c r="B1427" s="3"/>
      <c r="C1427" s="3" t="str">
        <f t="array" ref="C1427">if(B1427="Tidak Ada",,if(isblank(B1427),,ifna(sumif('On Hand'!A:A,A1427,'On Hand'!D:D)&amp;" "&amp;_xlfn.xlookup(A1427,'All Item Code'!A:A,'All Item Code'!D:D,),0)))</f>
        <v/>
      </c>
      <c r="D1427" s="3" t="str">
        <f>IFERROR(__xludf.DUMMYFUNCTION("if(isblank(B1427),,ifna(textjoin(""; "",,filter('On Hand'!E:E,'On Hand'!A:A=A1427)),ifna(xlookup(A1427,'On Hand'!A:A,'On Hand'!E:E,),)))"),"")</f>
        <v/>
      </c>
    </row>
    <row r="1428">
      <c r="A1428" s="3" t="str">
        <f t="array" ref="A1428">ifna(_xlfn.xlookup(B1428,'All Item Code'!B:B,'All Item Code'!A:A,),)</f>
        <v/>
      </c>
      <c r="B1428" s="3"/>
      <c r="C1428" s="3" t="str">
        <f t="array" ref="C1428">if(B1428="Tidak Ada",,if(isblank(B1428),,ifna(sumif('On Hand'!A:A,A1428,'On Hand'!D:D)&amp;" "&amp;_xlfn.xlookup(A1428,'All Item Code'!A:A,'All Item Code'!D:D,),0)))</f>
        <v/>
      </c>
      <c r="D1428" s="3" t="str">
        <f>IFERROR(__xludf.DUMMYFUNCTION("if(isblank(B1428),,ifna(textjoin(""; "",,filter('On Hand'!E:E,'On Hand'!A:A=A1428)),ifna(xlookup(A1428,'On Hand'!A:A,'On Hand'!E:E,),)))"),"")</f>
        <v/>
      </c>
    </row>
    <row r="1429">
      <c r="A1429" s="3" t="str">
        <f t="array" ref="A1429">ifna(_xlfn.xlookup(B1429,'All Item Code'!B:B,'All Item Code'!A:A,),)</f>
        <v/>
      </c>
      <c r="B1429" s="3"/>
      <c r="C1429" s="3" t="str">
        <f t="array" ref="C1429">if(B1429="Tidak Ada",,if(isblank(B1429),,ifna(sumif('On Hand'!A:A,A1429,'On Hand'!D:D)&amp;" "&amp;_xlfn.xlookup(A1429,'All Item Code'!A:A,'All Item Code'!D:D,),0)))</f>
        <v/>
      </c>
      <c r="D1429" s="3" t="str">
        <f>IFERROR(__xludf.DUMMYFUNCTION("if(isblank(B1429),,ifna(textjoin(""; "",,filter('On Hand'!E:E,'On Hand'!A:A=A1429)),ifna(xlookup(A1429,'On Hand'!A:A,'On Hand'!E:E,),)))"),"")</f>
        <v/>
      </c>
    </row>
    <row r="1430">
      <c r="A1430" s="3" t="str">
        <f t="array" ref="A1430">ifna(_xlfn.xlookup(B1430,'All Item Code'!B:B,'All Item Code'!A:A,),)</f>
        <v/>
      </c>
      <c r="B1430" s="3"/>
      <c r="C1430" s="3" t="str">
        <f t="array" ref="C1430">if(B1430="Tidak Ada",,if(isblank(B1430),,ifna(sumif('On Hand'!A:A,A1430,'On Hand'!D:D)&amp;" "&amp;_xlfn.xlookup(A1430,'All Item Code'!A:A,'All Item Code'!D:D,),0)))</f>
        <v/>
      </c>
      <c r="D1430" s="3" t="str">
        <f>IFERROR(__xludf.DUMMYFUNCTION("if(isblank(B1430),,ifna(textjoin(""; "",,filter('On Hand'!E:E,'On Hand'!A:A=A1430)),ifna(xlookup(A1430,'On Hand'!A:A,'On Hand'!E:E,),)))"),"")</f>
        <v/>
      </c>
    </row>
    <row r="1431">
      <c r="A1431" s="3" t="str">
        <f t="array" ref="A1431">ifna(_xlfn.xlookup(B1431,'All Item Code'!B:B,'All Item Code'!A:A,),)</f>
        <v/>
      </c>
      <c r="B1431" s="3"/>
      <c r="C1431" s="3" t="str">
        <f t="array" ref="C1431">if(B1431="Tidak Ada",,if(isblank(B1431),,ifna(sumif('On Hand'!A:A,A1431,'On Hand'!D:D)&amp;" "&amp;_xlfn.xlookup(A1431,'All Item Code'!A:A,'All Item Code'!D:D,),0)))</f>
        <v/>
      </c>
      <c r="D1431" s="3" t="str">
        <f>IFERROR(__xludf.DUMMYFUNCTION("if(isblank(B1431),,ifna(textjoin(""; "",,filter('On Hand'!E:E,'On Hand'!A:A=A1431)),ifna(xlookup(A1431,'On Hand'!A:A,'On Hand'!E:E,),)))"),"")</f>
        <v/>
      </c>
    </row>
    <row r="1432">
      <c r="A1432" s="3" t="str">
        <f t="array" ref="A1432">ifna(_xlfn.xlookup(B1432,'All Item Code'!B:B,'All Item Code'!A:A,),)</f>
        <v/>
      </c>
      <c r="B1432" s="3"/>
      <c r="C1432" s="3" t="str">
        <f t="array" ref="C1432">if(B1432="Tidak Ada",,if(isblank(B1432),,ifna(sumif('On Hand'!A:A,A1432,'On Hand'!D:D)&amp;" "&amp;_xlfn.xlookup(A1432,'All Item Code'!A:A,'All Item Code'!D:D,),0)))</f>
        <v/>
      </c>
      <c r="D1432" s="3" t="str">
        <f>IFERROR(__xludf.DUMMYFUNCTION("if(isblank(B1432),,ifna(textjoin(""; "",,filter('On Hand'!E:E,'On Hand'!A:A=A1432)),ifna(xlookup(A1432,'On Hand'!A:A,'On Hand'!E:E,),)))"),"")</f>
        <v/>
      </c>
    </row>
    <row r="1433">
      <c r="A1433" s="3" t="str">
        <f t="array" ref="A1433">ifna(_xlfn.xlookup(B1433,'All Item Code'!B:B,'All Item Code'!A:A,),)</f>
        <v/>
      </c>
      <c r="B1433" s="3"/>
      <c r="C1433" s="3" t="str">
        <f t="array" ref="C1433">if(B1433="Tidak Ada",,if(isblank(B1433),,ifna(sumif('On Hand'!A:A,A1433,'On Hand'!D:D)&amp;" "&amp;_xlfn.xlookup(A1433,'All Item Code'!A:A,'All Item Code'!D:D,),0)))</f>
        <v/>
      </c>
      <c r="D1433" s="3" t="str">
        <f>IFERROR(__xludf.DUMMYFUNCTION("if(isblank(B1433),,ifna(textjoin(""; "",,filter('On Hand'!E:E,'On Hand'!A:A=A1433)),ifna(xlookup(A1433,'On Hand'!A:A,'On Hand'!E:E,),)))"),"")</f>
        <v/>
      </c>
    </row>
    <row r="1434">
      <c r="A1434" s="3" t="str">
        <f t="array" ref="A1434">ifna(_xlfn.xlookup(B1434,'All Item Code'!B:B,'All Item Code'!A:A,),)</f>
        <v/>
      </c>
      <c r="B1434" s="3"/>
      <c r="C1434" s="3" t="str">
        <f t="array" ref="C1434">if(B1434="Tidak Ada",,if(isblank(B1434),,ifna(sumif('On Hand'!A:A,A1434,'On Hand'!D:D)&amp;" "&amp;_xlfn.xlookup(A1434,'All Item Code'!A:A,'All Item Code'!D:D,),0)))</f>
        <v/>
      </c>
      <c r="D1434" s="3" t="str">
        <f>IFERROR(__xludf.DUMMYFUNCTION("if(isblank(B1434),,ifna(textjoin(""; "",,filter('On Hand'!E:E,'On Hand'!A:A=A1434)),ifna(xlookup(A1434,'On Hand'!A:A,'On Hand'!E:E,),)))"),"")</f>
        <v/>
      </c>
    </row>
    <row r="1435">
      <c r="A1435" s="3" t="str">
        <f t="array" ref="A1435">ifna(_xlfn.xlookup(B1435,'All Item Code'!B:B,'All Item Code'!A:A,),)</f>
        <v/>
      </c>
      <c r="B1435" s="3"/>
      <c r="C1435" s="3" t="str">
        <f t="array" ref="C1435">if(B1435="Tidak Ada",,if(isblank(B1435),,ifna(sumif('On Hand'!A:A,A1435,'On Hand'!D:D)&amp;" "&amp;_xlfn.xlookup(A1435,'All Item Code'!A:A,'All Item Code'!D:D,),0)))</f>
        <v/>
      </c>
      <c r="D1435" s="3" t="str">
        <f>IFERROR(__xludf.DUMMYFUNCTION("if(isblank(B1435),,ifna(textjoin(""; "",,filter('On Hand'!E:E,'On Hand'!A:A=A1435)),ifna(xlookup(A1435,'On Hand'!A:A,'On Hand'!E:E,),)))"),"")</f>
        <v/>
      </c>
    </row>
    <row r="1436">
      <c r="A1436" s="3" t="str">
        <f t="array" ref="A1436">ifna(_xlfn.xlookup(B1436,'All Item Code'!B:B,'All Item Code'!A:A,),)</f>
        <v/>
      </c>
      <c r="B1436" s="3"/>
      <c r="C1436" s="3" t="str">
        <f t="array" ref="C1436">if(B1436="Tidak Ada",,if(isblank(B1436),,ifna(sumif('On Hand'!A:A,A1436,'On Hand'!D:D)&amp;" "&amp;_xlfn.xlookup(A1436,'All Item Code'!A:A,'All Item Code'!D:D,),0)))</f>
        <v/>
      </c>
      <c r="D1436" s="3" t="str">
        <f>IFERROR(__xludf.DUMMYFUNCTION("if(isblank(B1436),,ifna(textjoin(""; "",,filter('On Hand'!E:E,'On Hand'!A:A=A1436)),ifna(xlookup(A1436,'On Hand'!A:A,'On Hand'!E:E,),)))"),"")</f>
        <v/>
      </c>
    </row>
    <row r="1437">
      <c r="A1437" s="3" t="str">
        <f t="array" ref="A1437">ifna(_xlfn.xlookup(B1437,'All Item Code'!B:B,'All Item Code'!A:A,),)</f>
        <v/>
      </c>
      <c r="B1437" s="3"/>
      <c r="C1437" s="3" t="str">
        <f t="array" ref="C1437">if(B1437="Tidak Ada",,if(isblank(B1437),,ifna(sumif('On Hand'!A:A,A1437,'On Hand'!D:D)&amp;" "&amp;_xlfn.xlookup(A1437,'All Item Code'!A:A,'All Item Code'!D:D,),0)))</f>
        <v/>
      </c>
      <c r="D1437" s="3" t="str">
        <f>IFERROR(__xludf.DUMMYFUNCTION("if(isblank(B1437),,ifna(textjoin(""; "",,filter('On Hand'!E:E,'On Hand'!A:A=A1437)),ifna(xlookup(A1437,'On Hand'!A:A,'On Hand'!E:E,),)))"),"")</f>
        <v/>
      </c>
    </row>
    <row r="1438">
      <c r="A1438" s="3" t="str">
        <f t="array" ref="A1438">ifna(_xlfn.xlookup(B1438,'All Item Code'!B:B,'All Item Code'!A:A,),)</f>
        <v/>
      </c>
      <c r="B1438" s="3"/>
      <c r="C1438" s="3" t="str">
        <f t="array" ref="C1438">if(B1438="Tidak Ada",,if(isblank(B1438),,ifna(sumif('On Hand'!A:A,A1438,'On Hand'!D:D)&amp;" "&amp;_xlfn.xlookup(A1438,'All Item Code'!A:A,'All Item Code'!D:D,),0)))</f>
        <v/>
      </c>
      <c r="D1438" s="3" t="str">
        <f>IFERROR(__xludf.DUMMYFUNCTION("if(isblank(B1438),,ifna(textjoin(""; "",,filter('On Hand'!E:E,'On Hand'!A:A=A1438)),ifna(xlookup(A1438,'On Hand'!A:A,'On Hand'!E:E,),)))"),"")</f>
        <v/>
      </c>
    </row>
    <row r="1439">
      <c r="A1439" s="3" t="str">
        <f t="array" ref="A1439">ifna(_xlfn.xlookup(B1439,'All Item Code'!B:B,'All Item Code'!A:A,),)</f>
        <v/>
      </c>
      <c r="B1439" s="3"/>
      <c r="C1439" s="3" t="str">
        <f t="array" ref="C1439">if(B1439="Tidak Ada",,if(isblank(B1439),,ifna(sumif('On Hand'!A:A,A1439,'On Hand'!D:D)&amp;" "&amp;_xlfn.xlookup(A1439,'All Item Code'!A:A,'All Item Code'!D:D,),0)))</f>
        <v/>
      </c>
      <c r="D1439" s="3" t="str">
        <f>IFERROR(__xludf.DUMMYFUNCTION("if(isblank(B1439),,ifna(textjoin(""; "",,filter('On Hand'!E:E,'On Hand'!A:A=A1439)),ifna(xlookup(A1439,'On Hand'!A:A,'On Hand'!E:E,),)))"),"")</f>
        <v/>
      </c>
    </row>
    <row r="1440">
      <c r="A1440" s="3" t="str">
        <f t="array" ref="A1440">ifna(_xlfn.xlookup(B1440,'All Item Code'!B:B,'All Item Code'!A:A,),)</f>
        <v/>
      </c>
      <c r="B1440" s="3"/>
      <c r="C1440" s="3" t="str">
        <f t="array" ref="C1440">if(B1440="Tidak Ada",,if(isblank(B1440),,ifna(sumif('On Hand'!A:A,A1440,'On Hand'!D:D)&amp;" "&amp;_xlfn.xlookup(A1440,'All Item Code'!A:A,'All Item Code'!D:D,),0)))</f>
        <v/>
      </c>
      <c r="D1440" s="3" t="str">
        <f>IFERROR(__xludf.DUMMYFUNCTION("if(isblank(B1440),,ifna(textjoin(""; "",,filter('On Hand'!E:E,'On Hand'!A:A=A1440)),ifna(xlookup(A1440,'On Hand'!A:A,'On Hand'!E:E,),)))"),"")</f>
        <v/>
      </c>
    </row>
    <row r="1441">
      <c r="A1441" s="3" t="str">
        <f t="array" ref="A1441">ifna(_xlfn.xlookup(B1441,'All Item Code'!B:B,'All Item Code'!A:A,),)</f>
        <v/>
      </c>
      <c r="B1441" s="3"/>
      <c r="C1441" s="3" t="str">
        <f t="array" ref="C1441">if(B1441="Tidak Ada",,if(isblank(B1441),,ifna(sumif('On Hand'!A:A,A1441,'On Hand'!D:D)&amp;" "&amp;_xlfn.xlookup(A1441,'All Item Code'!A:A,'All Item Code'!D:D,),0)))</f>
        <v/>
      </c>
      <c r="D1441" s="3" t="str">
        <f>IFERROR(__xludf.DUMMYFUNCTION("if(isblank(B1441),,ifna(textjoin(""; "",,filter('On Hand'!E:E,'On Hand'!A:A=A1441)),ifna(xlookup(A1441,'On Hand'!A:A,'On Hand'!E:E,),)))"),"")</f>
        <v/>
      </c>
    </row>
    <row r="1442">
      <c r="A1442" s="3" t="str">
        <f t="array" ref="A1442">ifna(_xlfn.xlookup(B1442,'All Item Code'!B:B,'All Item Code'!A:A,),)</f>
        <v/>
      </c>
      <c r="B1442" s="3"/>
      <c r="C1442" s="3" t="str">
        <f t="array" ref="C1442">if(B1442="Tidak Ada",,if(isblank(B1442),,ifna(sumif('On Hand'!A:A,A1442,'On Hand'!D:D)&amp;" "&amp;_xlfn.xlookup(A1442,'All Item Code'!A:A,'All Item Code'!D:D,),0)))</f>
        <v/>
      </c>
      <c r="D1442" s="3" t="str">
        <f>IFERROR(__xludf.DUMMYFUNCTION("if(isblank(B1442),,ifna(textjoin(""; "",,filter('On Hand'!E:E,'On Hand'!A:A=A1442)),ifna(xlookup(A1442,'On Hand'!A:A,'On Hand'!E:E,),)))"),"")</f>
        <v/>
      </c>
    </row>
    <row r="1443">
      <c r="A1443" s="3" t="str">
        <f t="array" ref="A1443">ifna(_xlfn.xlookup(B1443,'All Item Code'!B:B,'All Item Code'!A:A,),)</f>
        <v/>
      </c>
      <c r="B1443" s="3"/>
      <c r="C1443" s="3" t="str">
        <f t="array" ref="C1443">if(B1443="Tidak Ada",,if(isblank(B1443),,ifna(sumif('On Hand'!A:A,A1443,'On Hand'!D:D)&amp;" "&amp;_xlfn.xlookup(A1443,'All Item Code'!A:A,'All Item Code'!D:D,),0)))</f>
        <v/>
      </c>
      <c r="D1443" s="3" t="str">
        <f>IFERROR(__xludf.DUMMYFUNCTION("if(isblank(B1443),,ifna(textjoin(""; "",,filter('On Hand'!E:E,'On Hand'!A:A=A1443)),ifna(xlookup(A1443,'On Hand'!A:A,'On Hand'!E:E,),)))"),"")</f>
        <v/>
      </c>
    </row>
    <row r="1444">
      <c r="A1444" s="3" t="str">
        <f t="array" ref="A1444">ifna(_xlfn.xlookup(B1444,'All Item Code'!B:B,'All Item Code'!A:A,),)</f>
        <v/>
      </c>
      <c r="B1444" s="3"/>
      <c r="C1444" s="3" t="str">
        <f t="array" ref="C1444">if(B1444="Tidak Ada",,if(isblank(B1444),,ifna(sumif('On Hand'!A:A,A1444,'On Hand'!D:D)&amp;" "&amp;_xlfn.xlookup(A1444,'All Item Code'!A:A,'All Item Code'!D:D,),0)))</f>
        <v/>
      </c>
      <c r="D1444" s="3" t="str">
        <f>IFERROR(__xludf.DUMMYFUNCTION("if(isblank(B1444),,ifna(textjoin(""; "",,filter('On Hand'!E:E,'On Hand'!A:A=A1444)),ifna(xlookup(A1444,'On Hand'!A:A,'On Hand'!E:E,),)))"),"")</f>
        <v/>
      </c>
    </row>
    <row r="1445">
      <c r="A1445" s="3" t="str">
        <f t="array" ref="A1445">ifna(_xlfn.xlookup(B1445,'All Item Code'!B:B,'All Item Code'!A:A,),)</f>
        <v/>
      </c>
      <c r="B1445" s="3"/>
      <c r="C1445" s="3" t="str">
        <f t="array" ref="C1445">if(B1445="Tidak Ada",,if(isblank(B1445),,ifna(sumif('On Hand'!A:A,A1445,'On Hand'!D:D)&amp;" "&amp;_xlfn.xlookup(A1445,'All Item Code'!A:A,'All Item Code'!D:D,),0)))</f>
        <v/>
      </c>
      <c r="D1445" s="3" t="str">
        <f>IFERROR(__xludf.DUMMYFUNCTION("if(isblank(B1445),,ifna(textjoin(""; "",,filter('On Hand'!E:E,'On Hand'!A:A=A1445)),ifna(xlookup(A1445,'On Hand'!A:A,'On Hand'!E:E,),)))"),"")</f>
        <v/>
      </c>
    </row>
    <row r="1446">
      <c r="A1446" s="3" t="str">
        <f t="array" ref="A1446">ifna(_xlfn.xlookup(B1446,'All Item Code'!B:B,'All Item Code'!A:A,),)</f>
        <v/>
      </c>
      <c r="B1446" s="3"/>
      <c r="C1446" s="3" t="str">
        <f t="array" ref="C1446">if(B1446="Tidak Ada",,if(isblank(B1446),,ifna(sumif('On Hand'!A:A,A1446,'On Hand'!D:D)&amp;" "&amp;_xlfn.xlookup(A1446,'All Item Code'!A:A,'All Item Code'!D:D,),0)))</f>
        <v/>
      </c>
      <c r="D1446" s="3" t="str">
        <f>IFERROR(__xludf.DUMMYFUNCTION("if(isblank(B1446),,ifna(textjoin(""; "",,filter('On Hand'!E:E,'On Hand'!A:A=A1446)),ifna(xlookup(A1446,'On Hand'!A:A,'On Hand'!E:E,),)))"),"")</f>
        <v/>
      </c>
    </row>
    <row r="1447">
      <c r="A1447" s="3" t="str">
        <f t="array" ref="A1447">ifna(_xlfn.xlookup(B1447,'All Item Code'!B:B,'All Item Code'!A:A,),)</f>
        <v/>
      </c>
      <c r="B1447" s="3"/>
      <c r="C1447" s="3" t="str">
        <f t="array" ref="C1447">if(B1447="Tidak Ada",,if(isblank(B1447),,ifna(sumif('On Hand'!A:A,A1447,'On Hand'!D:D)&amp;" "&amp;_xlfn.xlookup(A1447,'All Item Code'!A:A,'All Item Code'!D:D,),0)))</f>
        <v/>
      </c>
      <c r="D1447" s="3" t="str">
        <f>IFERROR(__xludf.DUMMYFUNCTION("if(isblank(B1447),,ifna(textjoin(""; "",,filter('On Hand'!E:E,'On Hand'!A:A=A1447)),ifna(xlookup(A1447,'On Hand'!A:A,'On Hand'!E:E,),)))"),"")</f>
        <v/>
      </c>
    </row>
    <row r="1448">
      <c r="A1448" s="3" t="str">
        <f t="array" ref="A1448">ifna(_xlfn.xlookup(B1448,'All Item Code'!B:B,'All Item Code'!A:A,),)</f>
        <v/>
      </c>
      <c r="B1448" s="3"/>
      <c r="C1448" s="3" t="str">
        <f t="array" ref="C1448">if(B1448="Tidak Ada",,if(isblank(B1448),,ifna(sumif('On Hand'!A:A,A1448,'On Hand'!D:D)&amp;" "&amp;_xlfn.xlookup(A1448,'All Item Code'!A:A,'All Item Code'!D:D,),0)))</f>
        <v/>
      </c>
      <c r="D1448" s="3" t="str">
        <f>IFERROR(__xludf.DUMMYFUNCTION("if(isblank(B1448),,ifna(textjoin(""; "",,filter('On Hand'!E:E,'On Hand'!A:A=A1448)),ifna(xlookup(A1448,'On Hand'!A:A,'On Hand'!E:E,),)))"),"")</f>
        <v/>
      </c>
    </row>
    <row r="1449">
      <c r="A1449" s="3" t="str">
        <f t="array" ref="A1449">ifna(_xlfn.xlookup(B1449,'All Item Code'!B:B,'All Item Code'!A:A,),)</f>
        <v/>
      </c>
      <c r="B1449" s="3"/>
      <c r="C1449" s="3" t="str">
        <f t="array" ref="C1449">if(B1449="Tidak Ada",,if(isblank(B1449),,ifna(sumif('On Hand'!A:A,A1449,'On Hand'!D:D)&amp;" "&amp;_xlfn.xlookup(A1449,'All Item Code'!A:A,'All Item Code'!D:D,),0)))</f>
        <v/>
      </c>
      <c r="D1449" s="3" t="str">
        <f>IFERROR(__xludf.DUMMYFUNCTION("if(isblank(B1449),,ifna(textjoin(""; "",,filter('On Hand'!E:E,'On Hand'!A:A=A1449)),ifna(xlookup(A1449,'On Hand'!A:A,'On Hand'!E:E,),)))"),"")</f>
        <v/>
      </c>
    </row>
    <row r="1450">
      <c r="A1450" s="3" t="str">
        <f t="array" ref="A1450">ifna(_xlfn.xlookup(B1450,'All Item Code'!B:B,'All Item Code'!A:A,),)</f>
        <v/>
      </c>
      <c r="B1450" s="3"/>
      <c r="C1450" s="3" t="str">
        <f t="array" ref="C1450">if(B1450="Tidak Ada",,if(isblank(B1450),,ifna(sumif('On Hand'!A:A,A1450,'On Hand'!D:D)&amp;" "&amp;_xlfn.xlookup(A1450,'All Item Code'!A:A,'All Item Code'!D:D,),0)))</f>
        <v/>
      </c>
      <c r="D1450" s="3" t="str">
        <f>IFERROR(__xludf.DUMMYFUNCTION("if(isblank(B1450),,ifna(textjoin(""; "",,filter('On Hand'!E:E,'On Hand'!A:A=A1450)),ifna(xlookup(A1450,'On Hand'!A:A,'On Hand'!E:E,),)))"),"")</f>
        <v/>
      </c>
    </row>
    <row r="1451">
      <c r="A1451" s="3" t="str">
        <f t="array" ref="A1451">ifna(_xlfn.xlookup(B1451,'All Item Code'!B:B,'All Item Code'!A:A,),)</f>
        <v/>
      </c>
      <c r="B1451" s="3"/>
      <c r="C1451" s="3" t="str">
        <f t="array" ref="C1451">if(B1451="Tidak Ada",,if(isblank(B1451),,ifna(sumif('On Hand'!A:A,A1451,'On Hand'!D:D)&amp;" "&amp;_xlfn.xlookup(A1451,'All Item Code'!A:A,'All Item Code'!D:D,),0)))</f>
        <v/>
      </c>
      <c r="D1451" s="3" t="str">
        <f>IFERROR(__xludf.DUMMYFUNCTION("if(isblank(B1451),,ifna(textjoin(""; "",,filter('On Hand'!E:E,'On Hand'!A:A=A1451)),ifna(xlookup(A1451,'On Hand'!A:A,'On Hand'!E:E,),)))"),"")</f>
        <v/>
      </c>
    </row>
    <row r="1452">
      <c r="A1452" s="3" t="str">
        <f t="array" ref="A1452">ifna(_xlfn.xlookup(B1452,'All Item Code'!B:B,'All Item Code'!A:A,),)</f>
        <v/>
      </c>
      <c r="B1452" s="3"/>
      <c r="C1452" s="3" t="str">
        <f t="array" ref="C1452">if(B1452="Tidak Ada",,if(isblank(B1452),,ifna(sumif('On Hand'!A:A,A1452,'On Hand'!D:D)&amp;" "&amp;_xlfn.xlookup(A1452,'All Item Code'!A:A,'All Item Code'!D:D,),0)))</f>
        <v/>
      </c>
      <c r="D1452" s="3" t="str">
        <f>IFERROR(__xludf.DUMMYFUNCTION("if(isblank(B1452),,ifna(textjoin(""; "",,filter('On Hand'!E:E,'On Hand'!A:A=A1452)),ifna(xlookup(A1452,'On Hand'!A:A,'On Hand'!E:E,),)))"),"")</f>
        <v/>
      </c>
    </row>
    <row r="1453">
      <c r="A1453" s="3" t="str">
        <f t="array" ref="A1453">ifna(_xlfn.xlookup(B1453,'All Item Code'!B:B,'All Item Code'!A:A,),)</f>
        <v/>
      </c>
      <c r="B1453" s="3"/>
      <c r="C1453" s="3" t="str">
        <f t="array" ref="C1453">if(B1453="Tidak Ada",,if(isblank(B1453),,ifna(sumif('On Hand'!A:A,A1453,'On Hand'!D:D)&amp;" "&amp;_xlfn.xlookup(A1453,'All Item Code'!A:A,'All Item Code'!D:D,),0)))</f>
        <v/>
      </c>
      <c r="D1453" s="3" t="str">
        <f>IFERROR(__xludf.DUMMYFUNCTION("if(isblank(B1453),,ifna(textjoin(""; "",,filter('On Hand'!E:E,'On Hand'!A:A=A1453)),ifna(xlookup(A1453,'On Hand'!A:A,'On Hand'!E:E,),)))"),"")</f>
        <v/>
      </c>
    </row>
    <row r="1454">
      <c r="A1454" s="3" t="str">
        <f t="array" ref="A1454">ifna(_xlfn.xlookup(B1454,'All Item Code'!B:B,'All Item Code'!A:A,),)</f>
        <v/>
      </c>
      <c r="B1454" s="3"/>
      <c r="C1454" s="3" t="str">
        <f t="array" ref="C1454">if(B1454="Tidak Ada",,if(isblank(B1454),,ifna(sumif('On Hand'!A:A,A1454,'On Hand'!D:D)&amp;" "&amp;_xlfn.xlookup(A1454,'All Item Code'!A:A,'All Item Code'!D:D,),0)))</f>
        <v/>
      </c>
      <c r="D1454" s="3" t="str">
        <f>IFERROR(__xludf.DUMMYFUNCTION("if(isblank(B1454),,ifna(textjoin(""; "",,filter('On Hand'!E:E,'On Hand'!A:A=A1454)),ifna(xlookup(A1454,'On Hand'!A:A,'On Hand'!E:E,),)))"),"")</f>
        <v/>
      </c>
    </row>
    <row r="1455">
      <c r="A1455" s="3" t="str">
        <f t="array" ref="A1455">ifna(_xlfn.xlookup(B1455,'All Item Code'!B:B,'All Item Code'!A:A,),)</f>
        <v/>
      </c>
      <c r="B1455" s="3"/>
      <c r="C1455" s="3" t="str">
        <f t="array" ref="C1455">if(B1455="Tidak Ada",,if(isblank(B1455),,ifna(sumif('On Hand'!A:A,A1455,'On Hand'!D:D)&amp;" "&amp;_xlfn.xlookup(A1455,'All Item Code'!A:A,'All Item Code'!D:D,),0)))</f>
        <v/>
      </c>
      <c r="D1455" s="3" t="str">
        <f>IFERROR(__xludf.DUMMYFUNCTION("if(isblank(B1455),,ifna(textjoin(""; "",,filter('On Hand'!E:E,'On Hand'!A:A=A1455)),ifna(xlookup(A1455,'On Hand'!A:A,'On Hand'!E:E,),)))"),"")</f>
        <v/>
      </c>
    </row>
    <row r="1456">
      <c r="A1456" s="3" t="str">
        <f t="array" ref="A1456">ifna(_xlfn.xlookup(B1456,'All Item Code'!B:B,'All Item Code'!A:A,),)</f>
        <v/>
      </c>
      <c r="B1456" s="3"/>
      <c r="C1456" s="3" t="str">
        <f t="array" ref="C1456">if(B1456="Tidak Ada",,if(isblank(B1456),,ifna(sumif('On Hand'!A:A,A1456,'On Hand'!D:D)&amp;" "&amp;_xlfn.xlookup(A1456,'All Item Code'!A:A,'All Item Code'!D:D,),0)))</f>
        <v/>
      </c>
      <c r="D1456" s="3" t="str">
        <f>IFERROR(__xludf.DUMMYFUNCTION("if(isblank(B1456),,ifna(textjoin(""; "",,filter('On Hand'!E:E,'On Hand'!A:A=A1456)),ifna(xlookup(A1456,'On Hand'!A:A,'On Hand'!E:E,),)))"),"")</f>
        <v/>
      </c>
    </row>
    <row r="1457">
      <c r="A1457" s="3" t="str">
        <f t="array" ref="A1457">ifna(_xlfn.xlookup(B1457,'All Item Code'!B:B,'All Item Code'!A:A,),)</f>
        <v/>
      </c>
      <c r="B1457" s="3"/>
      <c r="C1457" s="3" t="str">
        <f t="array" ref="C1457">if(B1457="Tidak Ada",,if(isblank(B1457),,ifna(sumif('On Hand'!A:A,A1457,'On Hand'!D:D)&amp;" "&amp;_xlfn.xlookup(A1457,'All Item Code'!A:A,'All Item Code'!D:D,),0)))</f>
        <v/>
      </c>
      <c r="D1457" s="3" t="str">
        <f>IFERROR(__xludf.DUMMYFUNCTION("if(isblank(B1457),,ifna(textjoin(""; "",,filter('On Hand'!E:E,'On Hand'!A:A=A1457)),ifna(xlookup(A1457,'On Hand'!A:A,'On Hand'!E:E,),)))"),"")</f>
        <v/>
      </c>
    </row>
    <row r="1458">
      <c r="A1458" s="3" t="str">
        <f t="array" ref="A1458">ifna(_xlfn.xlookup(B1458,'All Item Code'!B:B,'All Item Code'!A:A,),)</f>
        <v/>
      </c>
      <c r="B1458" s="3"/>
      <c r="C1458" s="3" t="str">
        <f t="array" ref="C1458">if(B1458="Tidak Ada",,if(isblank(B1458),,ifna(sumif('On Hand'!A:A,A1458,'On Hand'!D:D)&amp;" "&amp;_xlfn.xlookup(A1458,'All Item Code'!A:A,'All Item Code'!D:D,),0)))</f>
        <v/>
      </c>
      <c r="D1458" s="3" t="str">
        <f>IFERROR(__xludf.DUMMYFUNCTION("if(isblank(B1458),,ifna(textjoin(""; "",,filter('On Hand'!E:E,'On Hand'!A:A=A1458)),ifna(xlookup(A1458,'On Hand'!A:A,'On Hand'!E:E,),)))"),"")</f>
        <v/>
      </c>
    </row>
    <row r="1459">
      <c r="A1459" s="3" t="str">
        <f t="array" ref="A1459">ifna(_xlfn.xlookup(B1459,'All Item Code'!B:B,'All Item Code'!A:A,),)</f>
        <v/>
      </c>
      <c r="B1459" s="3"/>
      <c r="C1459" s="3" t="str">
        <f t="array" ref="C1459">if(B1459="Tidak Ada",,if(isblank(B1459),,ifna(sumif('On Hand'!A:A,A1459,'On Hand'!D:D)&amp;" "&amp;_xlfn.xlookup(A1459,'All Item Code'!A:A,'All Item Code'!D:D,),0)))</f>
        <v/>
      </c>
      <c r="D1459" s="3" t="str">
        <f>IFERROR(__xludf.DUMMYFUNCTION("if(isblank(B1459),,ifna(textjoin(""; "",,filter('On Hand'!E:E,'On Hand'!A:A=A1459)),ifna(xlookup(A1459,'On Hand'!A:A,'On Hand'!E:E,),)))"),"")</f>
        <v/>
      </c>
    </row>
    <row r="1460">
      <c r="A1460" s="3" t="str">
        <f t="array" ref="A1460">ifna(_xlfn.xlookup(B1460,'All Item Code'!B:B,'All Item Code'!A:A,),)</f>
        <v/>
      </c>
      <c r="B1460" s="3"/>
      <c r="C1460" s="3" t="str">
        <f t="array" ref="C1460">if(B1460="Tidak Ada",,if(isblank(B1460),,ifna(sumif('On Hand'!A:A,A1460,'On Hand'!D:D)&amp;" "&amp;_xlfn.xlookup(A1460,'All Item Code'!A:A,'All Item Code'!D:D,),0)))</f>
        <v/>
      </c>
      <c r="D1460" s="3" t="str">
        <f>IFERROR(__xludf.DUMMYFUNCTION("if(isblank(B1460),,ifna(textjoin(""; "",,filter('On Hand'!E:E,'On Hand'!A:A=A1460)),ifna(xlookup(A1460,'On Hand'!A:A,'On Hand'!E:E,),)))"),"")</f>
        <v/>
      </c>
    </row>
    <row r="1461">
      <c r="A1461" s="3" t="str">
        <f t="array" ref="A1461">ifna(_xlfn.xlookup(B1461,'All Item Code'!B:B,'All Item Code'!A:A,),)</f>
        <v/>
      </c>
      <c r="B1461" s="3"/>
      <c r="C1461" s="3" t="str">
        <f t="array" ref="C1461">if(B1461="Tidak Ada",,if(isblank(B1461),,ifna(sumif('On Hand'!A:A,A1461,'On Hand'!D:D)&amp;" "&amp;_xlfn.xlookup(A1461,'All Item Code'!A:A,'All Item Code'!D:D,),0)))</f>
        <v/>
      </c>
      <c r="D1461" s="3" t="str">
        <f>IFERROR(__xludf.DUMMYFUNCTION("if(isblank(B1461),,ifna(textjoin(""; "",,filter('On Hand'!E:E,'On Hand'!A:A=A1461)),ifna(xlookup(A1461,'On Hand'!A:A,'On Hand'!E:E,),)))"),"")</f>
        <v/>
      </c>
    </row>
    <row r="1462">
      <c r="A1462" s="3" t="str">
        <f t="array" ref="A1462">ifna(_xlfn.xlookup(B1462,'All Item Code'!B:B,'All Item Code'!A:A,),)</f>
        <v/>
      </c>
      <c r="B1462" s="3"/>
      <c r="C1462" s="3" t="str">
        <f t="array" ref="C1462">if(B1462="Tidak Ada",,if(isblank(B1462),,ifna(sumif('On Hand'!A:A,A1462,'On Hand'!D:D)&amp;" "&amp;_xlfn.xlookup(A1462,'All Item Code'!A:A,'All Item Code'!D:D,),0)))</f>
        <v/>
      </c>
      <c r="D1462" s="3" t="str">
        <f>IFERROR(__xludf.DUMMYFUNCTION("if(isblank(B1462),,ifna(textjoin(""; "",,filter('On Hand'!E:E,'On Hand'!A:A=A1462)),ifna(xlookup(A1462,'On Hand'!A:A,'On Hand'!E:E,),)))"),"")</f>
        <v/>
      </c>
    </row>
    <row r="1463">
      <c r="A1463" s="3" t="str">
        <f t="array" ref="A1463">ifna(_xlfn.xlookup(B1463,'All Item Code'!B:B,'All Item Code'!A:A,),)</f>
        <v/>
      </c>
      <c r="B1463" s="3"/>
      <c r="C1463" s="3" t="str">
        <f t="array" ref="C1463">if(B1463="Tidak Ada",,if(isblank(B1463),,ifna(sumif('On Hand'!A:A,A1463,'On Hand'!D:D)&amp;" "&amp;_xlfn.xlookup(A1463,'All Item Code'!A:A,'All Item Code'!D:D,),0)))</f>
        <v/>
      </c>
      <c r="D1463" s="3" t="str">
        <f>IFERROR(__xludf.DUMMYFUNCTION("if(isblank(B1463),,ifna(textjoin(""; "",,filter('On Hand'!E:E,'On Hand'!A:A=A1463)),ifna(xlookup(A1463,'On Hand'!A:A,'On Hand'!E:E,),)))"),"")</f>
        <v/>
      </c>
    </row>
    <row r="1464">
      <c r="A1464" s="3" t="str">
        <f t="array" ref="A1464">ifna(_xlfn.xlookup(B1464,'All Item Code'!B:B,'All Item Code'!A:A,),)</f>
        <v/>
      </c>
      <c r="B1464" s="3"/>
      <c r="C1464" s="3" t="str">
        <f t="array" ref="C1464">if(B1464="Tidak Ada",,if(isblank(B1464),,ifna(sumif('On Hand'!A:A,A1464,'On Hand'!D:D)&amp;" "&amp;_xlfn.xlookup(A1464,'All Item Code'!A:A,'All Item Code'!D:D,),0)))</f>
        <v/>
      </c>
      <c r="D1464" s="3" t="str">
        <f>IFERROR(__xludf.DUMMYFUNCTION("if(isblank(B1464),,ifna(textjoin(""; "",,filter('On Hand'!E:E,'On Hand'!A:A=A1464)),ifna(xlookup(A1464,'On Hand'!A:A,'On Hand'!E:E,),)))"),"")</f>
        <v/>
      </c>
    </row>
    <row r="1465">
      <c r="A1465" s="3" t="str">
        <f t="array" ref="A1465">ifna(_xlfn.xlookup(B1465,'All Item Code'!B:B,'All Item Code'!A:A,),)</f>
        <v/>
      </c>
      <c r="B1465" s="3"/>
      <c r="C1465" s="3" t="str">
        <f t="array" ref="C1465">if(B1465="Tidak Ada",,if(isblank(B1465),,ifna(sumif('On Hand'!A:A,A1465,'On Hand'!D:D)&amp;" "&amp;_xlfn.xlookup(A1465,'All Item Code'!A:A,'All Item Code'!D:D,),0)))</f>
        <v/>
      </c>
      <c r="D1465" s="3" t="str">
        <f>IFERROR(__xludf.DUMMYFUNCTION("if(isblank(B1465),,ifna(textjoin(""; "",,filter('On Hand'!E:E,'On Hand'!A:A=A1465)),ifna(xlookup(A1465,'On Hand'!A:A,'On Hand'!E:E,),)))"),"")</f>
        <v/>
      </c>
    </row>
    <row r="1466">
      <c r="A1466" s="3" t="str">
        <f t="array" ref="A1466">ifna(_xlfn.xlookup(B1466,'All Item Code'!B:B,'All Item Code'!A:A,),)</f>
        <v/>
      </c>
      <c r="B1466" s="3"/>
      <c r="C1466" s="3" t="str">
        <f t="array" ref="C1466">if(B1466="Tidak Ada",,if(isblank(B1466),,ifna(sumif('On Hand'!A:A,A1466,'On Hand'!D:D)&amp;" "&amp;_xlfn.xlookup(A1466,'All Item Code'!A:A,'All Item Code'!D:D,),0)))</f>
        <v/>
      </c>
      <c r="D1466" s="3" t="str">
        <f>IFERROR(__xludf.DUMMYFUNCTION("if(isblank(B1466),,ifna(textjoin(""; "",,filter('On Hand'!E:E,'On Hand'!A:A=A1466)),ifna(xlookup(A1466,'On Hand'!A:A,'On Hand'!E:E,),)))"),"")</f>
        <v/>
      </c>
    </row>
    <row r="1467">
      <c r="A1467" s="3" t="str">
        <f t="array" ref="A1467">ifna(_xlfn.xlookup(B1467,'All Item Code'!B:B,'All Item Code'!A:A,),)</f>
        <v/>
      </c>
      <c r="B1467" s="3"/>
      <c r="C1467" s="3" t="str">
        <f t="array" ref="C1467">if(B1467="Tidak Ada",,if(isblank(B1467),,ifna(sumif('On Hand'!A:A,A1467,'On Hand'!D:D)&amp;" "&amp;_xlfn.xlookup(A1467,'All Item Code'!A:A,'All Item Code'!D:D,),0)))</f>
        <v/>
      </c>
      <c r="D1467" s="3" t="str">
        <f>IFERROR(__xludf.DUMMYFUNCTION("if(isblank(B1467),,ifna(textjoin(""; "",,filter('On Hand'!E:E,'On Hand'!A:A=A1467)),ifna(xlookup(A1467,'On Hand'!A:A,'On Hand'!E:E,),)))"),"")</f>
        <v/>
      </c>
    </row>
    <row r="1468">
      <c r="A1468" s="3" t="str">
        <f t="array" ref="A1468">ifna(_xlfn.xlookup(B1468,'All Item Code'!B:B,'All Item Code'!A:A,),)</f>
        <v/>
      </c>
      <c r="B1468" s="3"/>
      <c r="C1468" s="3" t="str">
        <f t="array" ref="C1468">if(B1468="Tidak Ada",,if(isblank(B1468),,ifna(sumif('On Hand'!A:A,A1468,'On Hand'!D:D)&amp;" "&amp;_xlfn.xlookup(A1468,'All Item Code'!A:A,'All Item Code'!D:D,),0)))</f>
        <v/>
      </c>
      <c r="D1468" s="3" t="str">
        <f>IFERROR(__xludf.DUMMYFUNCTION("if(isblank(B1468),,ifna(textjoin(""; "",,filter('On Hand'!E:E,'On Hand'!A:A=A1468)),ifna(xlookup(A1468,'On Hand'!A:A,'On Hand'!E:E,),)))"),"")</f>
        <v/>
      </c>
    </row>
    <row r="1469">
      <c r="A1469" s="3" t="str">
        <f t="array" ref="A1469">ifna(_xlfn.xlookup(B1469,'All Item Code'!B:B,'All Item Code'!A:A,),)</f>
        <v/>
      </c>
      <c r="B1469" s="3"/>
      <c r="C1469" s="3" t="str">
        <f t="array" ref="C1469">if(B1469="Tidak Ada",,if(isblank(B1469),,ifna(sumif('On Hand'!A:A,A1469,'On Hand'!D:D)&amp;" "&amp;_xlfn.xlookup(A1469,'All Item Code'!A:A,'All Item Code'!D:D,),0)))</f>
        <v/>
      </c>
      <c r="D1469" s="3" t="str">
        <f>IFERROR(__xludf.DUMMYFUNCTION("if(isblank(B1469),,ifna(textjoin(""; "",,filter('On Hand'!E:E,'On Hand'!A:A=A1469)),ifna(xlookup(A1469,'On Hand'!A:A,'On Hand'!E:E,),)))"),"")</f>
        <v/>
      </c>
    </row>
    <row r="1470">
      <c r="A1470" s="3" t="str">
        <f t="array" ref="A1470">ifna(_xlfn.xlookup(B1470,'All Item Code'!B:B,'All Item Code'!A:A,),)</f>
        <v/>
      </c>
      <c r="B1470" s="3"/>
      <c r="C1470" s="3" t="str">
        <f t="array" ref="C1470">if(B1470="Tidak Ada",,if(isblank(B1470),,ifna(sumif('On Hand'!A:A,A1470,'On Hand'!D:D)&amp;" "&amp;_xlfn.xlookup(A1470,'All Item Code'!A:A,'All Item Code'!D:D,),0)))</f>
        <v/>
      </c>
      <c r="D1470" s="3" t="str">
        <f>IFERROR(__xludf.DUMMYFUNCTION("if(isblank(B1470),,ifna(textjoin(""; "",,filter('On Hand'!E:E,'On Hand'!A:A=A1470)),ifna(xlookup(A1470,'On Hand'!A:A,'On Hand'!E:E,),)))"),"")</f>
        <v/>
      </c>
    </row>
    <row r="1471">
      <c r="A1471" s="3" t="str">
        <f t="array" ref="A1471">ifna(_xlfn.xlookup(B1471,'All Item Code'!B:B,'All Item Code'!A:A,),)</f>
        <v/>
      </c>
      <c r="B1471" s="3"/>
      <c r="C1471" s="3" t="str">
        <f t="array" ref="C1471">if(B1471="Tidak Ada",,if(isblank(B1471),,ifna(sumif('On Hand'!A:A,A1471,'On Hand'!D:D)&amp;" "&amp;_xlfn.xlookup(A1471,'All Item Code'!A:A,'All Item Code'!D:D,),0)))</f>
        <v/>
      </c>
      <c r="D1471" s="3" t="str">
        <f>IFERROR(__xludf.DUMMYFUNCTION("if(isblank(B1471),,ifna(textjoin(""; "",,filter('On Hand'!E:E,'On Hand'!A:A=A1471)),ifna(xlookup(A1471,'On Hand'!A:A,'On Hand'!E:E,),)))"),"")</f>
        <v/>
      </c>
    </row>
    <row r="1472">
      <c r="A1472" s="3" t="str">
        <f t="array" ref="A1472">ifna(_xlfn.xlookup(B1472,'All Item Code'!B:B,'All Item Code'!A:A,),)</f>
        <v/>
      </c>
      <c r="B1472" s="3"/>
      <c r="C1472" s="3" t="str">
        <f t="array" ref="C1472">if(B1472="Tidak Ada",,if(isblank(B1472),,ifna(sumif('On Hand'!A:A,A1472,'On Hand'!D:D)&amp;" "&amp;_xlfn.xlookup(A1472,'All Item Code'!A:A,'All Item Code'!D:D,),0)))</f>
        <v/>
      </c>
      <c r="D1472" s="3" t="str">
        <f>IFERROR(__xludf.DUMMYFUNCTION("if(isblank(B1472),,ifna(textjoin(""; "",,filter('On Hand'!E:E,'On Hand'!A:A=A1472)),ifna(xlookup(A1472,'On Hand'!A:A,'On Hand'!E:E,),)))"),"")</f>
        <v/>
      </c>
    </row>
    <row r="1473">
      <c r="A1473" s="3" t="str">
        <f t="array" ref="A1473">ifna(_xlfn.xlookup(B1473,'All Item Code'!B:B,'All Item Code'!A:A,),)</f>
        <v/>
      </c>
      <c r="B1473" s="3"/>
      <c r="C1473" s="3" t="str">
        <f t="array" ref="C1473">if(B1473="Tidak Ada",,if(isblank(B1473),,ifna(sumif('On Hand'!A:A,A1473,'On Hand'!D:D)&amp;" "&amp;_xlfn.xlookup(A1473,'All Item Code'!A:A,'All Item Code'!D:D,),0)))</f>
        <v/>
      </c>
      <c r="D1473" s="3" t="str">
        <f>IFERROR(__xludf.DUMMYFUNCTION("if(isblank(B1473),,ifna(textjoin(""; "",,filter('On Hand'!E:E,'On Hand'!A:A=A1473)),ifna(xlookup(A1473,'On Hand'!A:A,'On Hand'!E:E,),)))"),"")</f>
        <v/>
      </c>
    </row>
    <row r="1474">
      <c r="A1474" s="3" t="str">
        <f t="array" ref="A1474">ifna(_xlfn.xlookup(B1474,'All Item Code'!B:B,'All Item Code'!A:A,),)</f>
        <v/>
      </c>
      <c r="B1474" s="3"/>
      <c r="C1474" s="3" t="str">
        <f t="array" ref="C1474">if(B1474="Tidak Ada",,if(isblank(B1474),,ifna(sumif('On Hand'!A:A,A1474,'On Hand'!D:D)&amp;" "&amp;_xlfn.xlookup(A1474,'All Item Code'!A:A,'All Item Code'!D:D,),0)))</f>
        <v/>
      </c>
      <c r="D1474" s="3" t="str">
        <f>IFERROR(__xludf.DUMMYFUNCTION("if(isblank(B1474),,ifna(textjoin(""; "",,filter('On Hand'!E:E,'On Hand'!A:A=A1474)),ifna(xlookup(A1474,'On Hand'!A:A,'On Hand'!E:E,),)))"),"")</f>
        <v/>
      </c>
    </row>
    <row r="1475">
      <c r="A1475" s="3" t="str">
        <f t="array" ref="A1475">ifna(_xlfn.xlookup(B1475,'All Item Code'!B:B,'All Item Code'!A:A,),)</f>
        <v/>
      </c>
      <c r="B1475" s="3"/>
      <c r="C1475" s="3" t="str">
        <f t="array" ref="C1475">if(B1475="Tidak Ada",,if(isblank(B1475),,ifna(sumif('On Hand'!A:A,A1475,'On Hand'!D:D)&amp;" "&amp;_xlfn.xlookup(A1475,'All Item Code'!A:A,'All Item Code'!D:D,),0)))</f>
        <v/>
      </c>
      <c r="D1475" s="3" t="str">
        <f>IFERROR(__xludf.DUMMYFUNCTION("if(isblank(B1475),,ifna(textjoin(""; "",,filter('On Hand'!E:E,'On Hand'!A:A=A1475)),ifna(xlookup(A1475,'On Hand'!A:A,'On Hand'!E:E,),)))"),"")</f>
        <v/>
      </c>
    </row>
    <row r="1476">
      <c r="A1476" s="3" t="str">
        <f t="array" ref="A1476">ifna(_xlfn.xlookup(B1476,'All Item Code'!B:B,'All Item Code'!A:A,),)</f>
        <v/>
      </c>
      <c r="B1476" s="3"/>
      <c r="C1476" s="3" t="str">
        <f t="array" ref="C1476">if(B1476="Tidak Ada",,if(isblank(B1476),,ifna(sumif('On Hand'!A:A,A1476,'On Hand'!D:D)&amp;" "&amp;_xlfn.xlookup(A1476,'All Item Code'!A:A,'All Item Code'!D:D,),0)))</f>
        <v/>
      </c>
      <c r="D1476" s="3" t="str">
        <f>IFERROR(__xludf.DUMMYFUNCTION("if(isblank(B1476),,ifna(textjoin(""; "",,filter('On Hand'!E:E,'On Hand'!A:A=A1476)),ifna(xlookup(A1476,'On Hand'!A:A,'On Hand'!E:E,),)))"),"")</f>
        <v/>
      </c>
    </row>
    <row r="1477">
      <c r="A1477" s="3" t="str">
        <f t="array" ref="A1477">ifna(_xlfn.xlookup(B1477,'All Item Code'!B:B,'All Item Code'!A:A,),)</f>
        <v/>
      </c>
      <c r="B1477" s="3"/>
      <c r="C1477" s="3" t="str">
        <f t="array" ref="C1477">if(B1477="Tidak Ada",,if(isblank(B1477),,ifna(sumif('On Hand'!A:A,A1477,'On Hand'!D:D)&amp;" "&amp;_xlfn.xlookup(A1477,'All Item Code'!A:A,'All Item Code'!D:D,),0)))</f>
        <v/>
      </c>
      <c r="D1477" s="3" t="str">
        <f>IFERROR(__xludf.DUMMYFUNCTION("if(isblank(B1477),,ifna(textjoin(""; "",,filter('On Hand'!E:E,'On Hand'!A:A=A1477)),ifna(xlookup(A1477,'On Hand'!A:A,'On Hand'!E:E,),)))"),"")</f>
        <v/>
      </c>
    </row>
    <row r="1478">
      <c r="A1478" s="3" t="str">
        <f t="array" ref="A1478">ifna(_xlfn.xlookup(B1478,'All Item Code'!B:B,'All Item Code'!A:A,),)</f>
        <v/>
      </c>
      <c r="B1478" s="3"/>
      <c r="C1478" s="3" t="str">
        <f t="array" ref="C1478">if(B1478="Tidak Ada",,if(isblank(B1478),,ifna(sumif('On Hand'!A:A,A1478,'On Hand'!D:D)&amp;" "&amp;_xlfn.xlookup(A1478,'All Item Code'!A:A,'All Item Code'!D:D,),0)))</f>
        <v/>
      </c>
      <c r="D1478" s="3" t="str">
        <f>IFERROR(__xludf.DUMMYFUNCTION("if(isblank(B1478),,ifna(textjoin(""; "",,filter('On Hand'!E:E,'On Hand'!A:A=A1478)),ifna(xlookup(A1478,'On Hand'!A:A,'On Hand'!E:E,),)))"),"")</f>
        <v/>
      </c>
    </row>
    <row r="1479">
      <c r="A1479" s="3" t="str">
        <f t="array" ref="A1479">ifna(_xlfn.xlookup(B1479,'All Item Code'!B:B,'All Item Code'!A:A,),)</f>
        <v/>
      </c>
      <c r="B1479" s="3"/>
      <c r="C1479" s="3" t="str">
        <f t="array" ref="C1479">if(B1479="Tidak Ada",,if(isblank(B1479),,ifna(sumif('On Hand'!A:A,A1479,'On Hand'!D:D)&amp;" "&amp;_xlfn.xlookup(A1479,'All Item Code'!A:A,'All Item Code'!D:D,),0)))</f>
        <v/>
      </c>
      <c r="D1479" s="3" t="str">
        <f>IFERROR(__xludf.DUMMYFUNCTION("if(isblank(B1479),,ifna(textjoin(""; "",,filter('On Hand'!E:E,'On Hand'!A:A=A1479)),ifna(xlookup(A1479,'On Hand'!A:A,'On Hand'!E:E,),)))"),"")</f>
        <v/>
      </c>
    </row>
    <row r="1480">
      <c r="A1480" s="3" t="str">
        <f t="array" ref="A1480">ifna(_xlfn.xlookup(B1480,'All Item Code'!B:B,'All Item Code'!A:A,),)</f>
        <v/>
      </c>
      <c r="B1480" s="3"/>
      <c r="C1480" s="3" t="str">
        <f t="array" ref="C1480">if(B1480="Tidak Ada",,if(isblank(B1480),,ifna(sumif('On Hand'!A:A,A1480,'On Hand'!D:D)&amp;" "&amp;_xlfn.xlookup(A1480,'All Item Code'!A:A,'All Item Code'!D:D,),0)))</f>
        <v/>
      </c>
      <c r="D1480" s="3" t="str">
        <f>IFERROR(__xludf.DUMMYFUNCTION("if(isblank(B1480),,ifna(textjoin(""; "",,filter('On Hand'!E:E,'On Hand'!A:A=A1480)),ifna(xlookup(A1480,'On Hand'!A:A,'On Hand'!E:E,),)))"),"")</f>
        <v/>
      </c>
    </row>
    <row r="1481">
      <c r="A1481" s="3" t="str">
        <f t="array" ref="A1481">ifna(_xlfn.xlookup(B1481,'All Item Code'!B:B,'All Item Code'!A:A,),)</f>
        <v/>
      </c>
      <c r="B1481" s="3"/>
      <c r="C1481" s="3" t="str">
        <f t="array" ref="C1481">if(B1481="Tidak Ada",,if(isblank(B1481),,ifna(sumif('On Hand'!A:A,A1481,'On Hand'!D:D)&amp;" "&amp;_xlfn.xlookup(A1481,'All Item Code'!A:A,'All Item Code'!D:D,),0)))</f>
        <v/>
      </c>
      <c r="D1481" s="3" t="str">
        <f>IFERROR(__xludf.DUMMYFUNCTION("if(isblank(B1481),,ifna(textjoin(""; "",,filter('On Hand'!E:E,'On Hand'!A:A=A1481)),ifna(xlookup(A1481,'On Hand'!A:A,'On Hand'!E:E,),)))"),"")</f>
        <v/>
      </c>
    </row>
    <row r="1482">
      <c r="A1482" s="3" t="str">
        <f t="array" ref="A1482">ifna(_xlfn.xlookup(B1482,'All Item Code'!B:B,'All Item Code'!A:A,),)</f>
        <v/>
      </c>
      <c r="B1482" s="3"/>
      <c r="C1482" s="3" t="str">
        <f t="array" ref="C1482">if(B1482="Tidak Ada",,if(isblank(B1482),,ifna(sumif('On Hand'!A:A,A1482,'On Hand'!D:D)&amp;" "&amp;_xlfn.xlookup(A1482,'All Item Code'!A:A,'All Item Code'!D:D,),0)))</f>
        <v/>
      </c>
      <c r="D1482" s="3" t="str">
        <f>IFERROR(__xludf.DUMMYFUNCTION("if(isblank(B1482),,ifna(textjoin(""; "",,filter('On Hand'!E:E,'On Hand'!A:A=A1482)),ifna(xlookup(A1482,'On Hand'!A:A,'On Hand'!E:E,),)))"),"")</f>
        <v/>
      </c>
    </row>
    <row r="1483">
      <c r="A1483" s="3" t="str">
        <f t="array" ref="A1483">ifna(_xlfn.xlookup(B1483,'All Item Code'!B:B,'All Item Code'!A:A,),)</f>
        <v/>
      </c>
      <c r="B1483" s="3"/>
      <c r="C1483" s="3" t="str">
        <f t="array" ref="C1483">if(B1483="Tidak Ada",,if(isblank(B1483),,ifna(sumif('On Hand'!A:A,A1483,'On Hand'!D:D)&amp;" "&amp;_xlfn.xlookup(A1483,'All Item Code'!A:A,'All Item Code'!D:D,),0)))</f>
        <v/>
      </c>
      <c r="D1483" s="3" t="str">
        <f>IFERROR(__xludf.DUMMYFUNCTION("if(isblank(B1483),,ifna(textjoin(""; "",,filter('On Hand'!E:E,'On Hand'!A:A=A1483)),ifna(xlookup(A1483,'On Hand'!A:A,'On Hand'!E:E,),)))"),"")</f>
        <v/>
      </c>
    </row>
    <row r="1484">
      <c r="A1484" s="3" t="str">
        <f t="array" ref="A1484">ifna(_xlfn.xlookup(B1484,'All Item Code'!B:B,'All Item Code'!A:A,),)</f>
        <v/>
      </c>
      <c r="B1484" s="3"/>
      <c r="C1484" s="3" t="str">
        <f t="array" ref="C1484">if(B1484="Tidak Ada",,if(isblank(B1484),,ifna(sumif('On Hand'!A:A,A1484,'On Hand'!D:D)&amp;" "&amp;_xlfn.xlookup(A1484,'All Item Code'!A:A,'All Item Code'!D:D,),0)))</f>
        <v/>
      </c>
      <c r="D1484" s="3" t="str">
        <f>IFERROR(__xludf.DUMMYFUNCTION("if(isblank(B1484),,ifna(textjoin(""; "",,filter('On Hand'!E:E,'On Hand'!A:A=A1484)),ifna(xlookup(A1484,'On Hand'!A:A,'On Hand'!E:E,),)))"),"")</f>
        <v/>
      </c>
    </row>
    <row r="1485">
      <c r="A1485" s="3" t="str">
        <f t="array" ref="A1485">ifna(_xlfn.xlookup(B1485,'All Item Code'!B:B,'All Item Code'!A:A,),)</f>
        <v/>
      </c>
      <c r="B1485" s="3"/>
      <c r="C1485" s="3" t="str">
        <f t="array" ref="C1485">if(B1485="Tidak Ada",,if(isblank(B1485),,ifna(sumif('On Hand'!A:A,A1485,'On Hand'!D:D)&amp;" "&amp;_xlfn.xlookup(A1485,'All Item Code'!A:A,'All Item Code'!D:D,),0)))</f>
        <v/>
      </c>
      <c r="D1485" s="3" t="str">
        <f>IFERROR(__xludf.DUMMYFUNCTION("if(isblank(B1485),,ifna(textjoin(""; "",,filter('On Hand'!E:E,'On Hand'!A:A=A1485)),ifna(xlookup(A1485,'On Hand'!A:A,'On Hand'!E:E,),)))"),"")</f>
        <v/>
      </c>
    </row>
    <row r="1486">
      <c r="A1486" s="3" t="str">
        <f t="array" ref="A1486">ifna(_xlfn.xlookup(B1486,'All Item Code'!B:B,'All Item Code'!A:A,),)</f>
        <v/>
      </c>
      <c r="B1486" s="3"/>
      <c r="C1486" s="3" t="str">
        <f t="array" ref="C1486">if(B1486="Tidak Ada",,if(isblank(B1486),,ifna(sumif('On Hand'!A:A,A1486,'On Hand'!D:D)&amp;" "&amp;_xlfn.xlookup(A1486,'All Item Code'!A:A,'All Item Code'!D:D,),0)))</f>
        <v/>
      </c>
      <c r="D1486" s="3" t="str">
        <f>IFERROR(__xludf.DUMMYFUNCTION("if(isblank(B1486),,ifna(textjoin(""; "",,filter('On Hand'!E:E,'On Hand'!A:A=A1486)),ifna(xlookup(A1486,'On Hand'!A:A,'On Hand'!E:E,),)))"),"")</f>
        <v/>
      </c>
    </row>
    <row r="1487">
      <c r="A1487" s="3" t="str">
        <f t="array" ref="A1487">ifna(_xlfn.xlookup(B1487,'All Item Code'!B:B,'All Item Code'!A:A,),)</f>
        <v/>
      </c>
      <c r="B1487" s="3"/>
      <c r="C1487" s="3" t="str">
        <f t="array" ref="C1487">if(B1487="Tidak Ada",,if(isblank(B1487),,ifna(sumif('On Hand'!A:A,A1487,'On Hand'!D:D)&amp;" "&amp;_xlfn.xlookup(A1487,'All Item Code'!A:A,'All Item Code'!D:D,),0)))</f>
        <v/>
      </c>
      <c r="D1487" s="3" t="str">
        <f>IFERROR(__xludf.DUMMYFUNCTION("if(isblank(B1487),,ifna(textjoin(""; "",,filter('On Hand'!E:E,'On Hand'!A:A=A1487)),ifna(xlookup(A1487,'On Hand'!A:A,'On Hand'!E:E,),)))"),"")</f>
        <v/>
      </c>
    </row>
    <row r="1488">
      <c r="A1488" s="3" t="str">
        <f t="array" ref="A1488">ifna(_xlfn.xlookup(B1488,'All Item Code'!B:B,'All Item Code'!A:A,),)</f>
        <v/>
      </c>
      <c r="B1488" s="3"/>
      <c r="C1488" s="3" t="str">
        <f t="array" ref="C1488">if(B1488="Tidak Ada",,if(isblank(B1488),,ifna(sumif('On Hand'!A:A,A1488,'On Hand'!D:D)&amp;" "&amp;_xlfn.xlookup(A1488,'All Item Code'!A:A,'All Item Code'!D:D,),0)))</f>
        <v/>
      </c>
      <c r="D1488" s="3" t="str">
        <f>IFERROR(__xludf.DUMMYFUNCTION("if(isblank(B1488),,ifna(textjoin(""; "",,filter('On Hand'!E:E,'On Hand'!A:A=A1488)),ifna(xlookup(A1488,'On Hand'!A:A,'On Hand'!E:E,),)))"),"")</f>
        <v/>
      </c>
    </row>
    <row r="1489">
      <c r="A1489" s="3" t="str">
        <f t="array" ref="A1489">ifna(_xlfn.xlookup(B1489,'All Item Code'!B:B,'All Item Code'!A:A,),)</f>
        <v/>
      </c>
      <c r="B1489" s="3"/>
      <c r="C1489" s="3" t="str">
        <f t="array" ref="C1489">if(B1489="Tidak Ada",,if(isblank(B1489),,ifna(sumif('On Hand'!A:A,A1489,'On Hand'!D:D)&amp;" "&amp;_xlfn.xlookup(A1489,'All Item Code'!A:A,'All Item Code'!D:D,),0)))</f>
        <v/>
      </c>
      <c r="D1489" s="3" t="str">
        <f>IFERROR(__xludf.DUMMYFUNCTION("if(isblank(B1489),,ifna(textjoin(""; "",,filter('On Hand'!E:E,'On Hand'!A:A=A1489)),ifna(xlookup(A1489,'On Hand'!A:A,'On Hand'!E:E,),)))"),"")</f>
        <v/>
      </c>
    </row>
    <row r="1490">
      <c r="A1490" s="3" t="str">
        <f t="array" ref="A1490">ifna(_xlfn.xlookup(B1490,'All Item Code'!B:B,'All Item Code'!A:A,),)</f>
        <v/>
      </c>
      <c r="B1490" s="3"/>
      <c r="C1490" s="3" t="str">
        <f t="array" ref="C1490">if(B1490="Tidak Ada",,if(isblank(B1490),,ifna(sumif('On Hand'!A:A,A1490,'On Hand'!D:D)&amp;" "&amp;_xlfn.xlookup(A1490,'All Item Code'!A:A,'All Item Code'!D:D,),0)))</f>
        <v/>
      </c>
      <c r="D1490" s="3" t="str">
        <f>IFERROR(__xludf.DUMMYFUNCTION("if(isblank(B1490),,ifna(textjoin(""; "",,filter('On Hand'!E:E,'On Hand'!A:A=A1490)),ifna(xlookup(A1490,'On Hand'!A:A,'On Hand'!E:E,),)))"),"")</f>
        <v/>
      </c>
    </row>
    <row r="1491">
      <c r="A1491" s="3" t="str">
        <f t="array" ref="A1491">ifna(_xlfn.xlookup(B1491,'All Item Code'!B:B,'All Item Code'!A:A,),)</f>
        <v/>
      </c>
      <c r="B1491" s="3"/>
      <c r="C1491" s="3" t="str">
        <f t="array" ref="C1491">if(B1491="Tidak Ada",,if(isblank(B1491),,ifna(sumif('On Hand'!A:A,A1491,'On Hand'!D:D)&amp;" "&amp;_xlfn.xlookup(A1491,'All Item Code'!A:A,'All Item Code'!D:D,),0)))</f>
        <v/>
      </c>
      <c r="D1491" s="3" t="str">
        <f>IFERROR(__xludf.DUMMYFUNCTION("if(isblank(B1491),,ifna(textjoin(""; "",,filter('On Hand'!E:E,'On Hand'!A:A=A1491)),ifna(xlookup(A1491,'On Hand'!A:A,'On Hand'!E:E,),)))"),"")</f>
        <v/>
      </c>
    </row>
    <row r="1492">
      <c r="A1492" s="3" t="str">
        <f t="array" ref="A1492">ifna(_xlfn.xlookup(B1492,'All Item Code'!B:B,'All Item Code'!A:A,),)</f>
        <v/>
      </c>
      <c r="B1492" s="3"/>
      <c r="C1492" s="3" t="str">
        <f t="array" ref="C1492">if(B1492="Tidak Ada",,if(isblank(B1492),,ifna(sumif('On Hand'!A:A,A1492,'On Hand'!D:D)&amp;" "&amp;_xlfn.xlookup(A1492,'All Item Code'!A:A,'All Item Code'!D:D,),0)))</f>
        <v/>
      </c>
      <c r="D1492" s="3" t="str">
        <f>IFERROR(__xludf.DUMMYFUNCTION("if(isblank(B1492),,ifna(textjoin(""; "",,filter('On Hand'!E:E,'On Hand'!A:A=A1492)),ifna(xlookup(A1492,'On Hand'!A:A,'On Hand'!E:E,),)))"),"")</f>
        <v/>
      </c>
    </row>
    <row r="1493">
      <c r="A1493" s="3" t="str">
        <f t="array" ref="A1493">ifna(_xlfn.xlookup(B1493,'All Item Code'!B:B,'All Item Code'!A:A,),)</f>
        <v/>
      </c>
      <c r="B1493" s="3"/>
      <c r="C1493" s="3" t="str">
        <f t="array" ref="C1493">if(B1493="Tidak Ada",,if(isblank(B1493),,ifna(sumif('On Hand'!A:A,A1493,'On Hand'!D:D)&amp;" "&amp;_xlfn.xlookup(A1493,'All Item Code'!A:A,'All Item Code'!D:D,),0)))</f>
        <v/>
      </c>
      <c r="D1493" s="3" t="str">
        <f>IFERROR(__xludf.DUMMYFUNCTION("if(isblank(B1493),,ifna(textjoin(""; "",,filter('On Hand'!E:E,'On Hand'!A:A=A1493)),ifna(xlookup(A1493,'On Hand'!A:A,'On Hand'!E:E,),)))"),"")</f>
        <v/>
      </c>
    </row>
    <row r="1494">
      <c r="A1494" s="3" t="str">
        <f t="array" ref="A1494">ifna(_xlfn.xlookup(B1494,'All Item Code'!B:B,'All Item Code'!A:A,),)</f>
        <v/>
      </c>
      <c r="B1494" s="3"/>
      <c r="C1494" s="3" t="str">
        <f t="array" ref="C1494">if(B1494="Tidak Ada",,if(isblank(B1494),,ifna(sumif('On Hand'!A:A,A1494,'On Hand'!D:D)&amp;" "&amp;_xlfn.xlookup(A1494,'All Item Code'!A:A,'All Item Code'!D:D,),0)))</f>
        <v/>
      </c>
      <c r="D1494" s="3" t="str">
        <f>IFERROR(__xludf.DUMMYFUNCTION("if(isblank(B1494),,ifna(textjoin(""; "",,filter('On Hand'!E:E,'On Hand'!A:A=A1494)),ifna(xlookup(A1494,'On Hand'!A:A,'On Hand'!E:E,),)))"),"")</f>
        <v/>
      </c>
    </row>
    <row r="1495">
      <c r="A1495" s="3" t="str">
        <f t="array" ref="A1495">ifna(_xlfn.xlookup(B1495,'All Item Code'!B:B,'All Item Code'!A:A,),)</f>
        <v/>
      </c>
      <c r="B1495" s="3"/>
      <c r="C1495" s="3" t="str">
        <f t="array" ref="C1495">if(B1495="Tidak Ada",,if(isblank(B1495),,ifna(sumif('On Hand'!A:A,A1495,'On Hand'!D:D)&amp;" "&amp;_xlfn.xlookup(A1495,'All Item Code'!A:A,'All Item Code'!D:D,),0)))</f>
        <v/>
      </c>
      <c r="D1495" s="3" t="str">
        <f>IFERROR(__xludf.DUMMYFUNCTION("if(isblank(B1495),,ifna(textjoin(""; "",,filter('On Hand'!E:E,'On Hand'!A:A=A1495)),ifna(xlookup(A1495,'On Hand'!A:A,'On Hand'!E:E,),)))"),"")</f>
        <v/>
      </c>
    </row>
    <row r="1496">
      <c r="A1496" s="3" t="str">
        <f t="array" ref="A1496">ifna(_xlfn.xlookup(B1496,'All Item Code'!B:B,'All Item Code'!A:A,),)</f>
        <v/>
      </c>
      <c r="B1496" s="3"/>
      <c r="C1496" s="3" t="str">
        <f t="array" ref="C1496">if(B1496="Tidak Ada",,if(isblank(B1496),,ifna(sumif('On Hand'!A:A,A1496,'On Hand'!D:D)&amp;" "&amp;_xlfn.xlookup(A1496,'All Item Code'!A:A,'All Item Code'!D:D,),0)))</f>
        <v/>
      </c>
      <c r="D1496" s="3" t="str">
        <f>IFERROR(__xludf.DUMMYFUNCTION("if(isblank(B1496),,ifna(textjoin(""; "",,filter('On Hand'!E:E,'On Hand'!A:A=A1496)),ifna(xlookup(A1496,'On Hand'!A:A,'On Hand'!E:E,),)))"),"")</f>
        <v/>
      </c>
    </row>
    <row r="1497">
      <c r="A1497" s="3" t="str">
        <f t="array" ref="A1497">ifna(_xlfn.xlookup(B1497,'All Item Code'!B:B,'All Item Code'!A:A,),)</f>
        <v/>
      </c>
      <c r="B1497" s="3"/>
      <c r="C1497" s="3" t="str">
        <f t="array" ref="C1497">if(B1497="Tidak Ada",,if(isblank(B1497),,ifna(sumif('On Hand'!A:A,A1497,'On Hand'!D:D)&amp;" "&amp;_xlfn.xlookup(A1497,'All Item Code'!A:A,'All Item Code'!D:D,),0)))</f>
        <v/>
      </c>
      <c r="D1497" s="3" t="str">
        <f>IFERROR(__xludf.DUMMYFUNCTION("if(isblank(B1497),,ifna(textjoin(""; "",,filter('On Hand'!E:E,'On Hand'!A:A=A1497)),ifna(xlookup(A1497,'On Hand'!A:A,'On Hand'!E:E,),)))"),"")</f>
        <v/>
      </c>
    </row>
    <row r="1498">
      <c r="A1498" s="3" t="str">
        <f t="array" ref="A1498">ifna(_xlfn.xlookup(B1498,'All Item Code'!B:B,'All Item Code'!A:A,),)</f>
        <v/>
      </c>
      <c r="B1498" s="3"/>
      <c r="C1498" s="3" t="str">
        <f t="array" ref="C1498">if(B1498="Tidak Ada",,if(isblank(B1498),,ifna(sumif('On Hand'!A:A,A1498,'On Hand'!D:D)&amp;" "&amp;_xlfn.xlookup(A1498,'All Item Code'!A:A,'All Item Code'!D:D,),0)))</f>
        <v/>
      </c>
      <c r="D1498" s="3" t="str">
        <f>IFERROR(__xludf.DUMMYFUNCTION("if(isblank(B1498),,ifna(textjoin(""; "",,filter('On Hand'!E:E,'On Hand'!A:A=A1498)),ifna(xlookup(A1498,'On Hand'!A:A,'On Hand'!E:E,),)))"),"")</f>
        <v/>
      </c>
    </row>
    <row r="1499">
      <c r="A1499" s="3" t="str">
        <f t="array" ref="A1499">ifna(_xlfn.xlookup(B1499,'All Item Code'!B:B,'All Item Code'!A:A,),)</f>
        <v/>
      </c>
      <c r="B1499" s="3"/>
      <c r="C1499" s="3" t="str">
        <f t="array" ref="C1499">if(B1499="Tidak Ada",,if(isblank(B1499),,ifna(sumif('On Hand'!A:A,A1499,'On Hand'!D:D)&amp;" "&amp;_xlfn.xlookup(A1499,'All Item Code'!A:A,'All Item Code'!D:D,),0)))</f>
        <v/>
      </c>
      <c r="D1499" s="3" t="str">
        <f>IFERROR(__xludf.DUMMYFUNCTION("if(isblank(B1499),,ifna(textjoin(""; "",,filter('On Hand'!E:E,'On Hand'!A:A=A1499)),ifna(xlookup(A1499,'On Hand'!A:A,'On Hand'!E:E,),)))"),"")</f>
        <v/>
      </c>
    </row>
    <row r="1500">
      <c r="A1500" s="3" t="str">
        <f t="array" ref="A1500">ifna(_xlfn.xlookup(B1500,'All Item Code'!B:B,'All Item Code'!A:A,),)</f>
        <v/>
      </c>
      <c r="B1500" s="3"/>
      <c r="C1500" s="3" t="str">
        <f t="array" ref="C1500">if(B1500="Tidak Ada",,if(isblank(B1500),,ifna(sumif('On Hand'!A:A,A1500,'On Hand'!D:D)&amp;" "&amp;_xlfn.xlookup(A1500,'All Item Code'!A:A,'All Item Code'!D:D,),0)))</f>
        <v/>
      </c>
      <c r="D1500" s="3" t="str">
        <f>IFERROR(__xludf.DUMMYFUNCTION("if(isblank(B1500),,ifna(textjoin(""; "",,filter('On Hand'!E:E,'On Hand'!A:A=A1500)),ifna(xlookup(A1500,'On Hand'!A:A,'On Hand'!E:E,),)))"),"")</f>
        <v/>
      </c>
    </row>
    <row r="1501">
      <c r="A1501" s="3" t="str">
        <f t="array" ref="A1501">ifna(_xlfn.xlookup(B1501,'All Item Code'!B:B,'All Item Code'!A:A,),)</f>
        <v/>
      </c>
      <c r="B1501" s="3"/>
      <c r="C1501" s="3" t="str">
        <f t="array" ref="C1501">if(B1501="Tidak Ada",,if(isblank(B1501),,ifna(sumif('On Hand'!A:A,A1501,'On Hand'!D:D)&amp;" "&amp;_xlfn.xlookup(A1501,'All Item Code'!A:A,'All Item Code'!D:D,),0)))</f>
        <v/>
      </c>
      <c r="D1501" s="3" t="str">
        <f>IFERROR(__xludf.DUMMYFUNCTION("if(isblank(B1501),,ifna(textjoin(""; "",,filter('On Hand'!E:E,'On Hand'!A:A=A1501)),ifna(xlookup(A1501,'On Hand'!A:A,'On Hand'!E:E,),)))"),"")</f>
        <v/>
      </c>
    </row>
    <row r="1502">
      <c r="A1502" s="3" t="str">
        <f t="array" ref="A1502">ifna(_xlfn.xlookup(B1502,'All Item Code'!B:B,'All Item Code'!A:A,),)</f>
        <v/>
      </c>
      <c r="B1502" s="3"/>
      <c r="C1502" s="3" t="str">
        <f t="array" ref="C1502">if(B1502="Tidak Ada",,if(isblank(B1502),,ifna(sumif('On Hand'!A:A,A1502,'On Hand'!D:D)&amp;" "&amp;_xlfn.xlookup(A1502,'All Item Code'!A:A,'All Item Code'!D:D,),0)))</f>
        <v/>
      </c>
      <c r="D1502" s="3" t="str">
        <f>IFERROR(__xludf.DUMMYFUNCTION("if(isblank(B1502),,ifna(textjoin(""; "",,filter('On Hand'!E:E,'On Hand'!A:A=A1502)),ifna(xlookup(A1502,'On Hand'!A:A,'On Hand'!E:E,),)))"),"")</f>
        <v/>
      </c>
    </row>
    <row r="1503">
      <c r="A1503" s="3" t="str">
        <f t="array" ref="A1503">ifna(_xlfn.xlookup(B1503,'All Item Code'!B:B,'All Item Code'!A:A,),)</f>
        <v/>
      </c>
      <c r="B1503" s="3"/>
      <c r="C1503" s="3" t="str">
        <f t="array" ref="C1503">if(B1503="Tidak Ada",,if(isblank(B1503),,ifna(sumif('On Hand'!A:A,A1503,'On Hand'!D:D)&amp;" "&amp;_xlfn.xlookup(A1503,'All Item Code'!A:A,'All Item Code'!D:D,),0)))</f>
        <v/>
      </c>
      <c r="D1503" s="3" t="str">
        <f>IFERROR(__xludf.DUMMYFUNCTION("if(isblank(B1503),,ifna(textjoin(""; "",,filter('On Hand'!E:E,'On Hand'!A:A=A1503)),ifna(xlookup(A1503,'On Hand'!A:A,'On Hand'!E:E,),)))"),"")</f>
        <v/>
      </c>
    </row>
    <row r="1504">
      <c r="A1504" s="3" t="str">
        <f t="array" ref="A1504">ifna(_xlfn.xlookup(B1504,'All Item Code'!B:B,'All Item Code'!A:A,),)</f>
        <v/>
      </c>
      <c r="B1504" s="3"/>
      <c r="C1504" s="3" t="str">
        <f t="array" ref="C1504">if(B1504="Tidak Ada",,if(isblank(B1504),,ifna(sumif('On Hand'!A:A,A1504,'On Hand'!D:D)&amp;" "&amp;_xlfn.xlookup(A1504,'All Item Code'!A:A,'All Item Code'!D:D,),0)))</f>
        <v/>
      </c>
      <c r="D1504" s="3" t="str">
        <f>IFERROR(__xludf.DUMMYFUNCTION("if(isblank(B1504),,ifna(textjoin(""; "",,filter('On Hand'!E:E,'On Hand'!A:A=A1504)),ifna(xlookup(A1504,'On Hand'!A:A,'On Hand'!E:E,),)))"),"")</f>
        <v/>
      </c>
    </row>
    <row r="1505">
      <c r="A1505" s="3" t="str">
        <f t="array" ref="A1505">ifna(_xlfn.xlookup(B1505,'All Item Code'!B:B,'All Item Code'!A:A,),)</f>
        <v/>
      </c>
      <c r="B1505" s="3"/>
      <c r="C1505" s="3" t="str">
        <f t="array" ref="C1505">if(B1505="Tidak Ada",,if(isblank(B1505),,ifna(sumif('On Hand'!A:A,A1505,'On Hand'!D:D)&amp;" "&amp;_xlfn.xlookup(A1505,'All Item Code'!A:A,'All Item Code'!D:D,),0)))</f>
        <v/>
      </c>
      <c r="D1505" s="3" t="str">
        <f>IFERROR(__xludf.DUMMYFUNCTION("if(isblank(B1505),,ifna(textjoin(""; "",,filter('On Hand'!E:E,'On Hand'!A:A=A1505)),ifna(xlookup(A1505,'On Hand'!A:A,'On Hand'!E:E,),)))"),"")</f>
        <v/>
      </c>
    </row>
    <row r="1506">
      <c r="A1506" s="3" t="str">
        <f t="array" ref="A1506">ifna(_xlfn.xlookup(B1506,'All Item Code'!B:B,'All Item Code'!A:A,),)</f>
        <v/>
      </c>
      <c r="B1506" s="3"/>
      <c r="C1506" s="3" t="str">
        <f t="array" ref="C1506">if(B1506="Tidak Ada",,if(isblank(B1506),,ifna(sumif('On Hand'!A:A,A1506,'On Hand'!D:D)&amp;" "&amp;_xlfn.xlookup(A1506,'All Item Code'!A:A,'All Item Code'!D:D,),0)))</f>
        <v/>
      </c>
      <c r="D1506" s="3" t="str">
        <f>IFERROR(__xludf.DUMMYFUNCTION("if(isblank(B1506),,ifna(textjoin(""; "",,filter('On Hand'!E:E,'On Hand'!A:A=A1506)),ifna(xlookup(A1506,'On Hand'!A:A,'On Hand'!E:E,),)))"),"")</f>
        <v/>
      </c>
    </row>
    <row r="1507">
      <c r="A1507" s="3" t="str">
        <f t="array" ref="A1507">ifna(_xlfn.xlookup(B1507,'All Item Code'!B:B,'All Item Code'!A:A,),)</f>
        <v/>
      </c>
      <c r="B1507" s="3"/>
      <c r="C1507" s="3" t="str">
        <f t="array" ref="C1507">if(B1507="Tidak Ada",,if(isblank(B1507),,ifna(sumif('On Hand'!A:A,A1507,'On Hand'!D:D)&amp;" "&amp;_xlfn.xlookup(A1507,'All Item Code'!A:A,'All Item Code'!D:D,),0)))</f>
        <v/>
      </c>
      <c r="D1507" s="3" t="str">
        <f>IFERROR(__xludf.DUMMYFUNCTION("if(isblank(B1507),,ifna(textjoin(""; "",,filter('On Hand'!E:E,'On Hand'!A:A=A1507)),ifna(xlookup(A1507,'On Hand'!A:A,'On Hand'!E:E,),)))"),"")</f>
        <v/>
      </c>
    </row>
    <row r="1508">
      <c r="A1508" s="3" t="str">
        <f t="array" ref="A1508">ifna(_xlfn.xlookup(B1508,'All Item Code'!B:B,'All Item Code'!A:A,),)</f>
        <v/>
      </c>
      <c r="B1508" s="3"/>
      <c r="C1508" s="3" t="str">
        <f t="array" ref="C1508">if(B1508="Tidak Ada",,if(isblank(B1508),,ifna(sumif('On Hand'!A:A,A1508,'On Hand'!D:D)&amp;" "&amp;_xlfn.xlookup(A1508,'All Item Code'!A:A,'All Item Code'!D:D,),0)))</f>
        <v/>
      </c>
      <c r="D1508" s="3" t="str">
        <f>IFERROR(__xludf.DUMMYFUNCTION("if(isblank(B1508),,ifna(textjoin(""; "",,filter('On Hand'!E:E,'On Hand'!A:A=A1508)),ifna(xlookup(A1508,'On Hand'!A:A,'On Hand'!E:E,),)))"),"")</f>
        <v/>
      </c>
    </row>
    <row r="1509">
      <c r="A1509" s="3" t="str">
        <f t="array" ref="A1509">ifna(_xlfn.xlookup(B1509,'All Item Code'!B:B,'All Item Code'!A:A,),)</f>
        <v/>
      </c>
      <c r="B1509" s="3"/>
      <c r="C1509" s="3" t="str">
        <f t="array" ref="C1509">if(B1509="Tidak Ada",,if(isblank(B1509),,ifna(sumif('On Hand'!A:A,A1509,'On Hand'!D:D)&amp;" "&amp;_xlfn.xlookup(A1509,'All Item Code'!A:A,'All Item Code'!D:D,),0)))</f>
        <v/>
      </c>
      <c r="D1509" s="3" t="str">
        <f>IFERROR(__xludf.DUMMYFUNCTION("if(isblank(B1509),,ifna(textjoin(""; "",,filter('On Hand'!E:E,'On Hand'!A:A=A1509)),ifna(xlookup(A1509,'On Hand'!A:A,'On Hand'!E:E,),)))"),"")</f>
        <v/>
      </c>
    </row>
    <row r="1510">
      <c r="A1510" s="3" t="str">
        <f t="array" ref="A1510">ifna(_xlfn.xlookup(B1510,'All Item Code'!B:B,'All Item Code'!A:A,),)</f>
        <v/>
      </c>
      <c r="B1510" s="3"/>
      <c r="C1510" s="3" t="str">
        <f t="array" ref="C1510">if(B1510="Tidak Ada",,if(isblank(B1510),,ifna(sumif('On Hand'!A:A,A1510,'On Hand'!D:D)&amp;" "&amp;_xlfn.xlookup(A1510,'All Item Code'!A:A,'All Item Code'!D:D,),0)))</f>
        <v/>
      </c>
      <c r="D1510" s="3" t="str">
        <f>IFERROR(__xludf.DUMMYFUNCTION("if(isblank(B1510),,ifna(textjoin(""; "",,filter('On Hand'!E:E,'On Hand'!A:A=A1510)),ifna(xlookup(A1510,'On Hand'!A:A,'On Hand'!E:E,),)))"),"")</f>
        <v/>
      </c>
    </row>
    <row r="1511">
      <c r="A1511" s="3" t="str">
        <f t="array" ref="A1511">ifna(_xlfn.xlookup(B1511,'All Item Code'!B:B,'All Item Code'!A:A,),)</f>
        <v/>
      </c>
      <c r="B1511" s="3"/>
      <c r="C1511" s="3" t="str">
        <f t="array" ref="C1511">if(B1511="Tidak Ada",,if(isblank(B1511),,ifna(sumif('On Hand'!A:A,A1511,'On Hand'!D:D)&amp;" "&amp;_xlfn.xlookup(A1511,'All Item Code'!A:A,'All Item Code'!D:D,),0)))</f>
        <v/>
      </c>
      <c r="D1511" s="3" t="str">
        <f>IFERROR(__xludf.DUMMYFUNCTION("if(isblank(B1511),,ifna(textjoin(""; "",,filter('On Hand'!E:E,'On Hand'!A:A=A1511)),ifna(xlookup(A1511,'On Hand'!A:A,'On Hand'!E:E,),)))"),"")</f>
        <v/>
      </c>
    </row>
    <row r="1512">
      <c r="A1512" s="3" t="str">
        <f t="array" ref="A1512">ifna(_xlfn.xlookup(B1512,'All Item Code'!B:B,'All Item Code'!A:A,),)</f>
        <v/>
      </c>
      <c r="B1512" s="3"/>
      <c r="C1512" s="3" t="str">
        <f t="array" ref="C1512">if(B1512="Tidak Ada",,if(isblank(B1512),,ifna(sumif('On Hand'!A:A,A1512,'On Hand'!D:D)&amp;" "&amp;_xlfn.xlookup(A1512,'All Item Code'!A:A,'All Item Code'!D:D,),0)))</f>
        <v/>
      </c>
      <c r="D1512" s="3" t="str">
        <f>IFERROR(__xludf.DUMMYFUNCTION("if(isblank(B1512),,ifna(textjoin(""; "",,filter('On Hand'!E:E,'On Hand'!A:A=A1512)),ifna(xlookup(A1512,'On Hand'!A:A,'On Hand'!E:E,),)))"),"")</f>
        <v/>
      </c>
    </row>
    <row r="1513">
      <c r="A1513" s="3" t="str">
        <f t="array" ref="A1513">ifna(_xlfn.xlookup(B1513,'All Item Code'!B:B,'All Item Code'!A:A,),)</f>
        <v/>
      </c>
      <c r="B1513" s="3"/>
      <c r="C1513" s="3" t="str">
        <f t="array" ref="C1513">if(B1513="Tidak Ada",,if(isblank(B1513),,ifna(sumif('On Hand'!A:A,A1513,'On Hand'!D:D)&amp;" "&amp;_xlfn.xlookup(A1513,'All Item Code'!A:A,'All Item Code'!D:D,),0)))</f>
        <v/>
      </c>
      <c r="D1513" s="3" t="str">
        <f>IFERROR(__xludf.DUMMYFUNCTION("if(isblank(B1513),,ifna(textjoin(""; "",,filter('On Hand'!E:E,'On Hand'!A:A=A1513)),ifna(xlookup(A1513,'On Hand'!A:A,'On Hand'!E:E,),)))"),"")</f>
        <v/>
      </c>
    </row>
    <row r="1514">
      <c r="A1514" s="3" t="str">
        <f t="array" ref="A1514">ifna(_xlfn.xlookup(B1514,'All Item Code'!B:B,'All Item Code'!A:A,),)</f>
        <v/>
      </c>
      <c r="B1514" s="3"/>
      <c r="C1514" s="3" t="str">
        <f t="array" ref="C1514">if(B1514="Tidak Ada",,if(isblank(B1514),,ifna(sumif('On Hand'!A:A,A1514,'On Hand'!D:D)&amp;" "&amp;_xlfn.xlookup(A1514,'All Item Code'!A:A,'All Item Code'!D:D,),0)))</f>
        <v/>
      </c>
      <c r="D1514" s="3" t="str">
        <f>IFERROR(__xludf.DUMMYFUNCTION("if(isblank(B1514),,ifna(textjoin(""; "",,filter('On Hand'!E:E,'On Hand'!A:A=A1514)),ifna(xlookup(A1514,'On Hand'!A:A,'On Hand'!E:E,),)))"),"")</f>
        <v/>
      </c>
    </row>
    <row r="1515">
      <c r="A1515" s="3" t="str">
        <f t="array" ref="A1515">ifna(_xlfn.xlookup(B1515,'All Item Code'!B:B,'All Item Code'!A:A,),)</f>
        <v/>
      </c>
      <c r="B1515" s="3"/>
      <c r="C1515" s="3" t="str">
        <f t="array" ref="C1515">if(B1515="Tidak Ada",,if(isblank(B1515),,ifna(sumif('On Hand'!A:A,A1515,'On Hand'!D:D)&amp;" "&amp;_xlfn.xlookup(A1515,'All Item Code'!A:A,'All Item Code'!D:D,),0)))</f>
        <v/>
      </c>
      <c r="D1515" s="3" t="str">
        <f>IFERROR(__xludf.DUMMYFUNCTION("if(isblank(B1515),,ifna(textjoin(""; "",,filter('On Hand'!E:E,'On Hand'!A:A=A1515)),ifna(xlookup(A1515,'On Hand'!A:A,'On Hand'!E:E,),)))"),"")</f>
        <v/>
      </c>
    </row>
    <row r="1516">
      <c r="A1516" s="3" t="str">
        <f t="array" ref="A1516">ifna(_xlfn.xlookup(B1516,'All Item Code'!B:B,'All Item Code'!A:A,),)</f>
        <v/>
      </c>
      <c r="B1516" s="3"/>
      <c r="C1516" s="3" t="str">
        <f t="array" ref="C1516">if(B1516="Tidak Ada",,if(isblank(B1516),,ifna(sumif('On Hand'!A:A,A1516,'On Hand'!D:D)&amp;" "&amp;_xlfn.xlookup(A1516,'All Item Code'!A:A,'All Item Code'!D:D,),0)))</f>
        <v/>
      </c>
      <c r="D1516" s="3" t="str">
        <f>IFERROR(__xludf.DUMMYFUNCTION("if(isblank(B1516),,ifna(textjoin(""; "",,filter('On Hand'!E:E,'On Hand'!A:A=A1516)),ifna(xlookup(A1516,'On Hand'!A:A,'On Hand'!E:E,),)))"),"")</f>
        <v/>
      </c>
    </row>
    <row r="1517">
      <c r="A1517" s="3" t="str">
        <f t="array" ref="A1517">ifna(_xlfn.xlookup(B1517,'All Item Code'!B:B,'All Item Code'!A:A,),)</f>
        <v/>
      </c>
      <c r="B1517" s="3"/>
      <c r="C1517" s="3" t="str">
        <f t="array" ref="C1517">if(B1517="Tidak Ada",,if(isblank(B1517),,ifna(sumif('On Hand'!A:A,A1517,'On Hand'!D:D)&amp;" "&amp;_xlfn.xlookup(A1517,'All Item Code'!A:A,'All Item Code'!D:D,),0)))</f>
        <v/>
      </c>
      <c r="D1517" s="3" t="str">
        <f>IFERROR(__xludf.DUMMYFUNCTION("if(isblank(B1517),,ifna(textjoin(""; "",,filter('On Hand'!E:E,'On Hand'!A:A=A1517)),ifna(xlookup(A1517,'On Hand'!A:A,'On Hand'!E:E,),)))"),"")</f>
        <v/>
      </c>
    </row>
    <row r="1518">
      <c r="A1518" s="3" t="str">
        <f t="array" ref="A1518">ifna(_xlfn.xlookup(B1518,'All Item Code'!B:B,'All Item Code'!A:A,),)</f>
        <v/>
      </c>
      <c r="B1518" s="3"/>
      <c r="C1518" s="3" t="str">
        <f t="array" ref="C1518">if(B1518="Tidak Ada",,if(isblank(B1518),,ifna(sumif('On Hand'!A:A,A1518,'On Hand'!D:D)&amp;" "&amp;_xlfn.xlookup(A1518,'All Item Code'!A:A,'All Item Code'!D:D,),0)))</f>
        <v/>
      </c>
      <c r="D1518" s="3" t="str">
        <f>IFERROR(__xludf.DUMMYFUNCTION("if(isblank(B1518),,ifna(textjoin(""; "",,filter('On Hand'!E:E,'On Hand'!A:A=A1518)),ifna(xlookup(A1518,'On Hand'!A:A,'On Hand'!E:E,),)))"),"")</f>
        <v/>
      </c>
    </row>
    <row r="1519">
      <c r="A1519" s="3" t="str">
        <f t="array" ref="A1519">ifna(_xlfn.xlookup(B1519,'All Item Code'!B:B,'All Item Code'!A:A,),)</f>
        <v/>
      </c>
      <c r="B1519" s="3"/>
      <c r="C1519" s="3" t="str">
        <f t="array" ref="C1519">if(B1519="Tidak Ada",,if(isblank(B1519),,ifna(sumif('On Hand'!A:A,A1519,'On Hand'!D:D)&amp;" "&amp;_xlfn.xlookup(A1519,'All Item Code'!A:A,'All Item Code'!D:D,),0)))</f>
        <v/>
      </c>
      <c r="D1519" s="3" t="str">
        <f>IFERROR(__xludf.DUMMYFUNCTION("if(isblank(B1519),,ifna(textjoin(""; "",,filter('On Hand'!E:E,'On Hand'!A:A=A1519)),ifna(xlookup(A1519,'On Hand'!A:A,'On Hand'!E:E,),)))"),"")</f>
        <v/>
      </c>
    </row>
    <row r="1520">
      <c r="A1520" s="3" t="str">
        <f t="array" ref="A1520">ifna(_xlfn.xlookup(B1520,'All Item Code'!B:B,'All Item Code'!A:A,),)</f>
        <v/>
      </c>
      <c r="B1520" s="3"/>
      <c r="C1520" s="3" t="str">
        <f t="array" ref="C1520">if(B1520="Tidak Ada",,if(isblank(B1520),,ifna(sumif('On Hand'!A:A,A1520,'On Hand'!D:D)&amp;" "&amp;_xlfn.xlookup(A1520,'All Item Code'!A:A,'All Item Code'!D:D,),0)))</f>
        <v/>
      </c>
      <c r="D1520" s="3" t="str">
        <f>IFERROR(__xludf.DUMMYFUNCTION("if(isblank(B1520),,ifna(textjoin(""; "",,filter('On Hand'!E:E,'On Hand'!A:A=A1520)),ifna(xlookup(A1520,'On Hand'!A:A,'On Hand'!E:E,),)))"),"")</f>
        <v/>
      </c>
    </row>
    <row r="1521">
      <c r="A1521" s="3" t="str">
        <f t="array" ref="A1521">ifna(_xlfn.xlookup(B1521,'All Item Code'!B:B,'All Item Code'!A:A,),)</f>
        <v/>
      </c>
      <c r="B1521" s="3"/>
      <c r="C1521" s="3" t="str">
        <f t="array" ref="C1521">if(B1521="Tidak Ada",,if(isblank(B1521),,ifna(sumif('On Hand'!A:A,A1521,'On Hand'!D:D)&amp;" "&amp;_xlfn.xlookup(A1521,'All Item Code'!A:A,'All Item Code'!D:D,),0)))</f>
        <v/>
      </c>
      <c r="D1521" s="3" t="str">
        <f>IFERROR(__xludf.DUMMYFUNCTION("if(isblank(B1521),,ifna(textjoin(""; "",,filter('On Hand'!E:E,'On Hand'!A:A=A1521)),ifna(xlookup(A1521,'On Hand'!A:A,'On Hand'!E:E,),)))"),"")</f>
        <v/>
      </c>
    </row>
    <row r="1522">
      <c r="A1522" s="3" t="str">
        <f t="array" ref="A1522">ifna(_xlfn.xlookup(B1522,'All Item Code'!B:B,'All Item Code'!A:A,),)</f>
        <v/>
      </c>
      <c r="B1522" s="3"/>
      <c r="C1522" s="3" t="str">
        <f t="array" ref="C1522">if(B1522="Tidak Ada",,if(isblank(B1522),,ifna(sumif('On Hand'!A:A,A1522,'On Hand'!D:D)&amp;" "&amp;_xlfn.xlookup(A1522,'All Item Code'!A:A,'All Item Code'!D:D,),0)))</f>
        <v/>
      </c>
      <c r="D1522" s="3" t="str">
        <f>IFERROR(__xludf.DUMMYFUNCTION("if(isblank(B1522),,ifna(textjoin(""; "",,filter('On Hand'!E:E,'On Hand'!A:A=A1522)),ifna(xlookup(A1522,'On Hand'!A:A,'On Hand'!E:E,),)))"),"")</f>
        <v/>
      </c>
    </row>
    <row r="1523">
      <c r="A1523" s="3" t="str">
        <f t="array" ref="A1523">ifna(_xlfn.xlookup(B1523,'All Item Code'!B:B,'All Item Code'!A:A,),)</f>
        <v/>
      </c>
      <c r="B1523" s="3"/>
      <c r="C1523" s="3" t="str">
        <f t="array" ref="C1523">if(B1523="Tidak Ada",,if(isblank(B1523),,ifna(sumif('On Hand'!A:A,A1523,'On Hand'!D:D)&amp;" "&amp;_xlfn.xlookup(A1523,'All Item Code'!A:A,'All Item Code'!D:D,),0)))</f>
        <v/>
      </c>
      <c r="D1523" s="3" t="str">
        <f>IFERROR(__xludf.DUMMYFUNCTION("if(isblank(B1523),,ifna(textjoin(""; "",,filter('On Hand'!E:E,'On Hand'!A:A=A1523)),ifna(xlookup(A1523,'On Hand'!A:A,'On Hand'!E:E,),)))"),"")</f>
        <v/>
      </c>
    </row>
    <row r="1524">
      <c r="A1524" s="3" t="str">
        <f t="array" ref="A1524">ifna(_xlfn.xlookup(B1524,'All Item Code'!B:B,'All Item Code'!A:A,),)</f>
        <v/>
      </c>
      <c r="B1524" s="3"/>
      <c r="C1524" s="3" t="str">
        <f t="array" ref="C1524">if(B1524="Tidak Ada",,if(isblank(B1524),,ifna(sumif('On Hand'!A:A,A1524,'On Hand'!D:D)&amp;" "&amp;_xlfn.xlookup(A1524,'All Item Code'!A:A,'All Item Code'!D:D,),0)))</f>
        <v/>
      </c>
      <c r="D1524" s="3" t="str">
        <f>IFERROR(__xludf.DUMMYFUNCTION("if(isblank(B1524),,ifna(textjoin(""; "",,filter('On Hand'!E:E,'On Hand'!A:A=A1524)),ifna(xlookup(A1524,'On Hand'!A:A,'On Hand'!E:E,),)))"),"")</f>
        <v/>
      </c>
    </row>
    <row r="1525">
      <c r="A1525" s="3" t="str">
        <f t="array" ref="A1525">ifna(_xlfn.xlookup(B1525,'All Item Code'!B:B,'All Item Code'!A:A,),)</f>
        <v/>
      </c>
      <c r="B1525" s="3"/>
      <c r="C1525" s="3" t="str">
        <f t="array" ref="C1525">if(B1525="Tidak Ada",,if(isblank(B1525),,ifna(sumif('On Hand'!A:A,A1525,'On Hand'!D:D)&amp;" "&amp;_xlfn.xlookup(A1525,'All Item Code'!A:A,'All Item Code'!D:D,),0)))</f>
        <v/>
      </c>
      <c r="D1525" s="3" t="str">
        <f>IFERROR(__xludf.DUMMYFUNCTION("if(isblank(B1525),,ifna(textjoin(""; "",,filter('On Hand'!E:E,'On Hand'!A:A=A1525)),ifna(xlookup(A1525,'On Hand'!A:A,'On Hand'!E:E,),)))"),"")</f>
        <v/>
      </c>
    </row>
    <row r="1526">
      <c r="A1526" s="3" t="str">
        <f t="array" ref="A1526">ifna(_xlfn.xlookup(B1526,'All Item Code'!B:B,'All Item Code'!A:A,),)</f>
        <v/>
      </c>
      <c r="B1526" s="3"/>
      <c r="C1526" s="3" t="str">
        <f t="array" ref="C1526">if(B1526="Tidak Ada",,if(isblank(B1526),,ifna(sumif('On Hand'!A:A,A1526,'On Hand'!D:D)&amp;" "&amp;_xlfn.xlookup(A1526,'All Item Code'!A:A,'All Item Code'!D:D,),0)))</f>
        <v/>
      </c>
      <c r="D1526" s="3" t="str">
        <f>IFERROR(__xludf.DUMMYFUNCTION("if(isblank(B1526),,ifna(textjoin(""; "",,filter('On Hand'!E:E,'On Hand'!A:A=A1526)),ifna(xlookup(A1526,'On Hand'!A:A,'On Hand'!E:E,),)))"),"")</f>
        <v/>
      </c>
    </row>
    <row r="1527">
      <c r="A1527" s="3" t="str">
        <f t="array" ref="A1527">ifna(_xlfn.xlookup(B1527,'All Item Code'!B:B,'All Item Code'!A:A,),)</f>
        <v/>
      </c>
      <c r="B1527" s="3"/>
      <c r="C1527" s="3" t="str">
        <f t="array" ref="C1527">if(B1527="Tidak Ada",,if(isblank(B1527),,ifna(sumif('On Hand'!A:A,A1527,'On Hand'!D:D)&amp;" "&amp;_xlfn.xlookup(A1527,'All Item Code'!A:A,'All Item Code'!D:D,),0)))</f>
        <v/>
      </c>
      <c r="D1527" s="3" t="str">
        <f>IFERROR(__xludf.DUMMYFUNCTION("if(isblank(B1527),,ifna(textjoin(""; "",,filter('On Hand'!E:E,'On Hand'!A:A=A1527)),ifna(xlookup(A1527,'On Hand'!A:A,'On Hand'!E:E,),)))"),"")</f>
        <v/>
      </c>
    </row>
    <row r="1528">
      <c r="A1528" s="3" t="str">
        <f t="array" ref="A1528">ifna(_xlfn.xlookup(B1528,'All Item Code'!B:B,'All Item Code'!A:A,),)</f>
        <v/>
      </c>
      <c r="B1528" s="3"/>
      <c r="C1528" s="3" t="str">
        <f t="array" ref="C1528">if(B1528="Tidak Ada",,if(isblank(B1528),,ifna(sumif('On Hand'!A:A,A1528,'On Hand'!D:D)&amp;" "&amp;_xlfn.xlookup(A1528,'All Item Code'!A:A,'All Item Code'!D:D,),0)))</f>
        <v/>
      </c>
      <c r="D1528" s="3" t="str">
        <f>IFERROR(__xludf.DUMMYFUNCTION("if(isblank(B1528),,ifna(textjoin(""; "",,filter('On Hand'!E:E,'On Hand'!A:A=A1528)),ifna(xlookup(A1528,'On Hand'!A:A,'On Hand'!E:E,),)))"),"")</f>
        <v/>
      </c>
    </row>
    <row r="1529">
      <c r="A1529" s="3" t="str">
        <f t="array" ref="A1529">ifna(_xlfn.xlookup(B1529,'All Item Code'!B:B,'All Item Code'!A:A,),)</f>
        <v/>
      </c>
      <c r="B1529" s="3"/>
      <c r="C1529" s="3" t="str">
        <f t="array" ref="C1529">if(B1529="Tidak Ada",,if(isblank(B1529),,ifna(sumif('On Hand'!A:A,A1529,'On Hand'!D:D)&amp;" "&amp;_xlfn.xlookup(A1529,'All Item Code'!A:A,'All Item Code'!D:D,),0)))</f>
        <v/>
      </c>
      <c r="D1529" s="3" t="str">
        <f>IFERROR(__xludf.DUMMYFUNCTION("if(isblank(B1529),,ifna(textjoin(""; "",,filter('On Hand'!E:E,'On Hand'!A:A=A1529)),ifna(xlookup(A1529,'On Hand'!A:A,'On Hand'!E:E,),)))"),"")</f>
        <v/>
      </c>
    </row>
    <row r="1530">
      <c r="A1530" s="3" t="str">
        <f t="array" ref="A1530">ifna(_xlfn.xlookup(B1530,'All Item Code'!B:B,'All Item Code'!A:A,),)</f>
        <v/>
      </c>
      <c r="B1530" s="3"/>
      <c r="C1530" s="3" t="str">
        <f t="array" ref="C1530">if(B1530="Tidak Ada",,if(isblank(B1530),,ifna(sumif('On Hand'!A:A,A1530,'On Hand'!D:D)&amp;" "&amp;_xlfn.xlookup(A1530,'All Item Code'!A:A,'All Item Code'!D:D,),0)))</f>
        <v/>
      </c>
      <c r="D1530" s="3" t="str">
        <f>IFERROR(__xludf.DUMMYFUNCTION("if(isblank(B1530),,ifna(textjoin(""; "",,filter('On Hand'!E:E,'On Hand'!A:A=A1530)),ifna(xlookup(A1530,'On Hand'!A:A,'On Hand'!E:E,),)))"),"")</f>
        <v/>
      </c>
    </row>
    <row r="1531">
      <c r="A1531" s="3" t="str">
        <f t="array" ref="A1531">ifna(_xlfn.xlookup(B1531,'All Item Code'!B:B,'All Item Code'!A:A,),)</f>
        <v/>
      </c>
      <c r="B1531" s="3"/>
      <c r="C1531" s="3" t="str">
        <f t="array" ref="C1531">if(B1531="Tidak Ada",,if(isblank(B1531),,ifna(sumif('On Hand'!A:A,A1531,'On Hand'!D:D)&amp;" "&amp;_xlfn.xlookup(A1531,'All Item Code'!A:A,'All Item Code'!D:D,),0)))</f>
        <v/>
      </c>
      <c r="D1531" s="3" t="str">
        <f>IFERROR(__xludf.DUMMYFUNCTION("if(isblank(B1531),,ifna(textjoin(""; "",,filter('On Hand'!E:E,'On Hand'!A:A=A1531)),ifna(xlookup(A1531,'On Hand'!A:A,'On Hand'!E:E,),)))"),"")</f>
        <v/>
      </c>
    </row>
    <row r="1532">
      <c r="A1532" s="3" t="str">
        <f t="array" ref="A1532">ifna(_xlfn.xlookup(B1532,'All Item Code'!B:B,'All Item Code'!A:A,),)</f>
        <v/>
      </c>
      <c r="B1532" s="3"/>
      <c r="C1532" s="3" t="str">
        <f t="array" ref="C1532">if(B1532="Tidak Ada",,if(isblank(B1532),,ifna(sumif('On Hand'!A:A,A1532,'On Hand'!D:D)&amp;" "&amp;_xlfn.xlookup(A1532,'All Item Code'!A:A,'All Item Code'!D:D,),0)))</f>
        <v/>
      </c>
      <c r="D1532" s="3" t="str">
        <f>IFERROR(__xludf.DUMMYFUNCTION("if(isblank(B1532),,ifna(textjoin(""; "",,filter('On Hand'!E:E,'On Hand'!A:A=A1532)),ifna(xlookup(A1532,'On Hand'!A:A,'On Hand'!E:E,),)))"),"")</f>
        <v/>
      </c>
    </row>
    <row r="1533">
      <c r="A1533" s="3" t="str">
        <f t="array" ref="A1533">ifna(_xlfn.xlookup(B1533,'All Item Code'!B:B,'All Item Code'!A:A,),)</f>
        <v/>
      </c>
      <c r="B1533" s="3"/>
      <c r="C1533" s="3" t="str">
        <f t="array" ref="C1533">if(B1533="Tidak Ada",,if(isblank(B1533),,ifna(sumif('On Hand'!A:A,A1533,'On Hand'!D:D)&amp;" "&amp;_xlfn.xlookup(A1533,'All Item Code'!A:A,'All Item Code'!D:D,),0)))</f>
        <v/>
      </c>
      <c r="D1533" s="3" t="str">
        <f>IFERROR(__xludf.DUMMYFUNCTION("if(isblank(B1533),,ifna(textjoin(""; "",,filter('On Hand'!E:E,'On Hand'!A:A=A1533)),ifna(xlookup(A1533,'On Hand'!A:A,'On Hand'!E:E,),)))"),"")</f>
        <v/>
      </c>
    </row>
    <row r="1534">
      <c r="A1534" s="3" t="str">
        <f t="array" ref="A1534">ifna(_xlfn.xlookup(B1534,'All Item Code'!B:B,'All Item Code'!A:A,),)</f>
        <v/>
      </c>
      <c r="B1534" s="3"/>
      <c r="C1534" s="3" t="str">
        <f t="array" ref="C1534">if(B1534="Tidak Ada",,if(isblank(B1534),,ifna(sumif('On Hand'!A:A,A1534,'On Hand'!D:D)&amp;" "&amp;_xlfn.xlookup(A1534,'All Item Code'!A:A,'All Item Code'!D:D,),0)))</f>
        <v/>
      </c>
      <c r="D1534" s="3" t="str">
        <f>IFERROR(__xludf.DUMMYFUNCTION("if(isblank(B1534),,ifna(textjoin(""; "",,filter('On Hand'!E:E,'On Hand'!A:A=A1534)),ifna(xlookup(A1534,'On Hand'!A:A,'On Hand'!E:E,),)))"),"")</f>
        <v/>
      </c>
    </row>
    <row r="1535">
      <c r="A1535" s="3" t="str">
        <f t="array" ref="A1535">ifna(_xlfn.xlookup(B1535,'All Item Code'!B:B,'All Item Code'!A:A,),)</f>
        <v/>
      </c>
      <c r="B1535" s="3"/>
      <c r="C1535" s="3" t="str">
        <f t="array" ref="C1535">if(B1535="Tidak Ada",,if(isblank(B1535),,ifna(sumif('On Hand'!A:A,A1535,'On Hand'!D:D)&amp;" "&amp;_xlfn.xlookup(A1535,'All Item Code'!A:A,'All Item Code'!D:D,),0)))</f>
        <v/>
      </c>
      <c r="D1535" s="3" t="str">
        <f>IFERROR(__xludf.DUMMYFUNCTION("if(isblank(B1535),,ifna(textjoin(""; "",,filter('On Hand'!E:E,'On Hand'!A:A=A1535)),ifna(xlookup(A1535,'On Hand'!A:A,'On Hand'!E:E,),)))"),"")</f>
        <v/>
      </c>
    </row>
    <row r="1536">
      <c r="A1536" s="3" t="str">
        <f t="array" ref="A1536">ifna(_xlfn.xlookup(B1536,'All Item Code'!B:B,'All Item Code'!A:A,),)</f>
        <v/>
      </c>
      <c r="B1536" s="3"/>
      <c r="C1536" s="3" t="str">
        <f t="array" ref="C1536">if(B1536="Tidak Ada",,if(isblank(B1536),,ifna(sumif('On Hand'!A:A,A1536,'On Hand'!D:D)&amp;" "&amp;_xlfn.xlookup(A1536,'All Item Code'!A:A,'All Item Code'!D:D,),0)))</f>
        <v/>
      </c>
      <c r="D1536" s="3" t="str">
        <f>IFERROR(__xludf.DUMMYFUNCTION("if(isblank(B1536),,ifna(textjoin(""; "",,filter('On Hand'!E:E,'On Hand'!A:A=A1536)),ifna(xlookup(A1536,'On Hand'!A:A,'On Hand'!E:E,),)))"),"")</f>
        <v/>
      </c>
    </row>
    <row r="1537">
      <c r="A1537" s="3" t="str">
        <f t="array" ref="A1537">ifna(_xlfn.xlookup(B1537,'All Item Code'!B:B,'All Item Code'!A:A,),)</f>
        <v/>
      </c>
      <c r="B1537" s="3"/>
      <c r="C1537" s="3" t="str">
        <f t="array" ref="C1537">if(B1537="Tidak Ada",,if(isblank(B1537),,ifna(sumif('On Hand'!A:A,A1537,'On Hand'!D:D)&amp;" "&amp;_xlfn.xlookup(A1537,'All Item Code'!A:A,'All Item Code'!D:D,),0)))</f>
        <v/>
      </c>
      <c r="D1537" s="3" t="str">
        <f>IFERROR(__xludf.DUMMYFUNCTION("if(isblank(B1537),,ifna(textjoin(""; "",,filter('On Hand'!E:E,'On Hand'!A:A=A1537)),ifna(xlookup(A1537,'On Hand'!A:A,'On Hand'!E:E,),)))"),"")</f>
        <v/>
      </c>
    </row>
    <row r="1538">
      <c r="A1538" s="3" t="str">
        <f t="array" ref="A1538">ifna(_xlfn.xlookup(B1538,'All Item Code'!B:B,'All Item Code'!A:A,),)</f>
        <v/>
      </c>
      <c r="B1538" s="3"/>
      <c r="C1538" s="3" t="str">
        <f t="array" ref="C1538">if(B1538="Tidak Ada",,if(isblank(B1538),,ifna(sumif('On Hand'!A:A,A1538,'On Hand'!D:D)&amp;" "&amp;_xlfn.xlookup(A1538,'All Item Code'!A:A,'All Item Code'!D:D,),0)))</f>
        <v/>
      </c>
      <c r="D1538" s="3" t="str">
        <f>IFERROR(__xludf.DUMMYFUNCTION("if(isblank(B1538),,ifna(textjoin(""; "",,filter('On Hand'!E:E,'On Hand'!A:A=A1538)),ifna(xlookup(A1538,'On Hand'!A:A,'On Hand'!E:E,),)))"),"")</f>
        <v/>
      </c>
    </row>
    <row r="1539">
      <c r="A1539" s="3" t="str">
        <f t="array" ref="A1539">ifna(_xlfn.xlookup(B1539,'All Item Code'!B:B,'All Item Code'!A:A,),)</f>
        <v/>
      </c>
      <c r="B1539" s="3"/>
      <c r="C1539" s="3" t="str">
        <f t="array" ref="C1539">if(B1539="Tidak Ada",,if(isblank(B1539),,ifna(sumif('On Hand'!A:A,A1539,'On Hand'!D:D)&amp;" "&amp;_xlfn.xlookup(A1539,'All Item Code'!A:A,'All Item Code'!D:D,),0)))</f>
        <v/>
      </c>
      <c r="D1539" s="3" t="str">
        <f>IFERROR(__xludf.DUMMYFUNCTION("if(isblank(B1539),,ifna(textjoin(""; "",,filter('On Hand'!E:E,'On Hand'!A:A=A1539)),ifna(xlookup(A1539,'On Hand'!A:A,'On Hand'!E:E,),)))"),"")</f>
        <v/>
      </c>
    </row>
    <row r="1540">
      <c r="A1540" s="3" t="str">
        <f t="array" ref="A1540">ifna(_xlfn.xlookup(B1540,'All Item Code'!B:B,'All Item Code'!A:A,),)</f>
        <v/>
      </c>
      <c r="B1540" s="3"/>
      <c r="C1540" s="3" t="str">
        <f t="array" ref="C1540">if(B1540="Tidak Ada",,if(isblank(B1540),,ifna(sumif('On Hand'!A:A,A1540,'On Hand'!D:D)&amp;" "&amp;_xlfn.xlookup(A1540,'All Item Code'!A:A,'All Item Code'!D:D,),0)))</f>
        <v/>
      </c>
      <c r="D1540" s="3" t="str">
        <f>IFERROR(__xludf.DUMMYFUNCTION("if(isblank(B1540),,ifna(textjoin(""; "",,filter('On Hand'!E:E,'On Hand'!A:A=A1540)),ifna(xlookup(A1540,'On Hand'!A:A,'On Hand'!E:E,),)))"),"")</f>
        <v/>
      </c>
    </row>
    <row r="1541">
      <c r="A1541" s="3" t="str">
        <f t="array" ref="A1541">ifna(_xlfn.xlookup(B1541,'All Item Code'!B:B,'All Item Code'!A:A,),)</f>
        <v/>
      </c>
      <c r="B1541" s="3"/>
      <c r="C1541" s="3" t="str">
        <f t="array" ref="C1541">if(B1541="Tidak Ada",,if(isblank(B1541),,ifna(sumif('On Hand'!A:A,A1541,'On Hand'!D:D)&amp;" "&amp;_xlfn.xlookup(A1541,'All Item Code'!A:A,'All Item Code'!D:D,),0)))</f>
        <v/>
      </c>
      <c r="D1541" s="3" t="str">
        <f>IFERROR(__xludf.DUMMYFUNCTION("if(isblank(B1541),,ifna(textjoin(""; "",,filter('On Hand'!E:E,'On Hand'!A:A=A1541)),ifna(xlookup(A1541,'On Hand'!A:A,'On Hand'!E:E,),)))"),"")</f>
        <v/>
      </c>
    </row>
    <row r="1542">
      <c r="A1542" s="3" t="str">
        <f t="array" ref="A1542">ifna(_xlfn.xlookup(B1542,'All Item Code'!B:B,'All Item Code'!A:A,),)</f>
        <v/>
      </c>
      <c r="B1542" s="3"/>
      <c r="C1542" s="3" t="str">
        <f t="array" ref="C1542">if(B1542="Tidak Ada",,if(isblank(B1542),,ifna(sumif('On Hand'!A:A,A1542,'On Hand'!D:D)&amp;" "&amp;_xlfn.xlookup(A1542,'All Item Code'!A:A,'All Item Code'!D:D,),0)))</f>
        <v/>
      </c>
      <c r="D1542" s="3" t="str">
        <f>IFERROR(__xludf.DUMMYFUNCTION("if(isblank(B1542),,ifna(textjoin(""; "",,filter('On Hand'!E:E,'On Hand'!A:A=A1542)),ifna(xlookup(A1542,'On Hand'!A:A,'On Hand'!E:E,),)))"),"")</f>
        <v/>
      </c>
    </row>
    <row r="1543">
      <c r="A1543" s="3" t="str">
        <f t="array" ref="A1543">ifna(_xlfn.xlookup(B1543,'All Item Code'!B:B,'All Item Code'!A:A,),)</f>
        <v/>
      </c>
      <c r="B1543" s="3"/>
      <c r="C1543" s="3" t="str">
        <f t="array" ref="C1543">if(B1543="Tidak Ada",,if(isblank(B1543),,ifna(sumif('On Hand'!A:A,A1543,'On Hand'!D:D)&amp;" "&amp;_xlfn.xlookup(A1543,'All Item Code'!A:A,'All Item Code'!D:D,),0)))</f>
        <v/>
      </c>
      <c r="D1543" s="3" t="str">
        <f>IFERROR(__xludf.DUMMYFUNCTION("if(isblank(B1543),,ifna(textjoin(""; "",,filter('On Hand'!E:E,'On Hand'!A:A=A1543)),ifna(xlookup(A1543,'On Hand'!A:A,'On Hand'!E:E,),)))"),"")</f>
        <v/>
      </c>
    </row>
    <row r="1544">
      <c r="A1544" s="3" t="str">
        <f t="array" ref="A1544">ifna(_xlfn.xlookup(B1544,'All Item Code'!B:B,'All Item Code'!A:A,),)</f>
        <v/>
      </c>
      <c r="B1544" s="3"/>
      <c r="C1544" s="3" t="str">
        <f t="array" ref="C1544">if(B1544="Tidak Ada",,if(isblank(B1544),,ifna(sumif('On Hand'!A:A,A1544,'On Hand'!D:D)&amp;" "&amp;_xlfn.xlookup(A1544,'All Item Code'!A:A,'All Item Code'!D:D,),0)))</f>
        <v/>
      </c>
      <c r="D1544" s="3" t="str">
        <f>IFERROR(__xludf.DUMMYFUNCTION("if(isblank(B1544),,ifna(textjoin(""; "",,filter('On Hand'!E:E,'On Hand'!A:A=A1544)),ifna(xlookup(A1544,'On Hand'!A:A,'On Hand'!E:E,),)))"),"")</f>
        <v/>
      </c>
    </row>
    <row r="1545">
      <c r="A1545" s="3" t="str">
        <f t="array" ref="A1545">ifna(_xlfn.xlookup(B1545,'All Item Code'!B:B,'All Item Code'!A:A,),)</f>
        <v/>
      </c>
      <c r="B1545" s="3"/>
      <c r="C1545" s="3" t="str">
        <f t="array" ref="C1545">if(B1545="Tidak Ada",,if(isblank(B1545),,ifna(sumif('On Hand'!A:A,A1545,'On Hand'!D:D)&amp;" "&amp;_xlfn.xlookup(A1545,'All Item Code'!A:A,'All Item Code'!D:D,),0)))</f>
        <v/>
      </c>
      <c r="D1545" s="3" t="str">
        <f>IFERROR(__xludf.DUMMYFUNCTION("if(isblank(B1545),,ifna(textjoin(""; "",,filter('On Hand'!E:E,'On Hand'!A:A=A1545)),ifna(xlookup(A1545,'On Hand'!A:A,'On Hand'!E:E,),)))"),"")</f>
        <v/>
      </c>
    </row>
    <row r="1546">
      <c r="A1546" s="3" t="str">
        <f t="array" ref="A1546">ifna(_xlfn.xlookup(B1546,'All Item Code'!B:B,'All Item Code'!A:A,),)</f>
        <v/>
      </c>
      <c r="B1546" s="3"/>
      <c r="C1546" s="3" t="str">
        <f t="array" ref="C1546">if(B1546="Tidak Ada",,if(isblank(B1546),,ifna(sumif('On Hand'!A:A,A1546,'On Hand'!D:D)&amp;" "&amp;_xlfn.xlookup(A1546,'All Item Code'!A:A,'All Item Code'!D:D,),0)))</f>
        <v/>
      </c>
      <c r="D1546" s="3" t="str">
        <f>IFERROR(__xludf.DUMMYFUNCTION("if(isblank(B1546),,ifna(textjoin(""; "",,filter('On Hand'!E:E,'On Hand'!A:A=A1546)),ifna(xlookup(A1546,'On Hand'!A:A,'On Hand'!E:E,),)))"),"")</f>
        <v/>
      </c>
    </row>
    <row r="1547">
      <c r="A1547" s="3" t="str">
        <f t="array" ref="A1547">ifna(_xlfn.xlookup(B1547,'All Item Code'!B:B,'All Item Code'!A:A,),)</f>
        <v/>
      </c>
      <c r="B1547" s="3"/>
      <c r="C1547" s="3" t="str">
        <f t="array" ref="C1547">if(B1547="Tidak Ada",,if(isblank(B1547),,ifna(sumif('On Hand'!A:A,A1547,'On Hand'!D:D)&amp;" "&amp;_xlfn.xlookup(A1547,'All Item Code'!A:A,'All Item Code'!D:D,),0)))</f>
        <v/>
      </c>
      <c r="D1547" s="3" t="str">
        <f>IFERROR(__xludf.DUMMYFUNCTION("if(isblank(B1547),,ifna(textjoin(""; "",,filter('On Hand'!E:E,'On Hand'!A:A=A1547)),ifna(xlookup(A1547,'On Hand'!A:A,'On Hand'!E:E,),)))"),"")</f>
        <v/>
      </c>
    </row>
    <row r="1548">
      <c r="A1548" s="3" t="str">
        <f t="array" ref="A1548">ifna(_xlfn.xlookup(B1548,'All Item Code'!B:B,'All Item Code'!A:A,),)</f>
        <v/>
      </c>
      <c r="B1548" s="3"/>
      <c r="C1548" s="3" t="str">
        <f t="array" ref="C1548">if(B1548="Tidak Ada",,if(isblank(B1548),,ifna(sumif('On Hand'!A:A,A1548,'On Hand'!D:D)&amp;" "&amp;_xlfn.xlookup(A1548,'All Item Code'!A:A,'All Item Code'!D:D,),0)))</f>
        <v/>
      </c>
      <c r="D1548" s="3" t="str">
        <f>IFERROR(__xludf.DUMMYFUNCTION("if(isblank(B1548),,ifna(textjoin(""; "",,filter('On Hand'!E:E,'On Hand'!A:A=A1548)),ifna(xlookup(A1548,'On Hand'!A:A,'On Hand'!E:E,),)))"),"")</f>
        <v/>
      </c>
    </row>
    <row r="1549">
      <c r="A1549" s="3" t="str">
        <f t="array" ref="A1549">ifna(_xlfn.xlookup(B1549,'All Item Code'!B:B,'All Item Code'!A:A,),)</f>
        <v/>
      </c>
      <c r="B1549" s="3"/>
      <c r="C1549" s="3" t="str">
        <f t="array" ref="C1549">if(B1549="Tidak Ada",,if(isblank(B1549),,ifna(sumif('On Hand'!A:A,A1549,'On Hand'!D:D)&amp;" "&amp;_xlfn.xlookup(A1549,'All Item Code'!A:A,'All Item Code'!D:D,),0)))</f>
        <v/>
      </c>
      <c r="D1549" s="3" t="str">
        <f>IFERROR(__xludf.DUMMYFUNCTION("if(isblank(B1549),,ifna(textjoin(""; "",,filter('On Hand'!E:E,'On Hand'!A:A=A1549)),ifna(xlookup(A1549,'On Hand'!A:A,'On Hand'!E:E,),)))"),"")</f>
        <v/>
      </c>
    </row>
    <row r="1550">
      <c r="A1550" s="3" t="str">
        <f t="array" ref="A1550">ifna(_xlfn.xlookup(B1550,'All Item Code'!B:B,'All Item Code'!A:A,),)</f>
        <v/>
      </c>
      <c r="B1550" s="3"/>
      <c r="C1550" s="3" t="str">
        <f t="array" ref="C1550">if(B1550="Tidak Ada",,if(isblank(B1550),,ifna(sumif('On Hand'!A:A,A1550,'On Hand'!D:D)&amp;" "&amp;_xlfn.xlookup(A1550,'All Item Code'!A:A,'All Item Code'!D:D,),0)))</f>
        <v/>
      </c>
      <c r="D1550" s="3" t="str">
        <f>IFERROR(__xludf.DUMMYFUNCTION("if(isblank(B1550),,ifna(textjoin(""; "",,filter('On Hand'!E:E,'On Hand'!A:A=A1550)),ifna(xlookup(A1550,'On Hand'!A:A,'On Hand'!E:E,),)))"),"")</f>
        <v/>
      </c>
    </row>
    <row r="1551">
      <c r="A1551" s="3" t="str">
        <f t="array" ref="A1551">ifna(_xlfn.xlookup(B1551,'All Item Code'!B:B,'All Item Code'!A:A,),)</f>
        <v/>
      </c>
      <c r="B1551" s="3"/>
      <c r="C1551" s="3" t="str">
        <f t="array" ref="C1551">if(B1551="Tidak Ada",,if(isblank(B1551),,ifna(sumif('On Hand'!A:A,A1551,'On Hand'!D:D)&amp;" "&amp;_xlfn.xlookup(A1551,'All Item Code'!A:A,'All Item Code'!D:D,),0)))</f>
        <v/>
      </c>
      <c r="D1551" s="3" t="str">
        <f>IFERROR(__xludf.DUMMYFUNCTION("if(isblank(B1551),,ifna(textjoin(""; "",,filter('On Hand'!E:E,'On Hand'!A:A=A1551)),ifna(xlookup(A1551,'On Hand'!A:A,'On Hand'!E:E,),)))"),"")</f>
        <v/>
      </c>
    </row>
    <row r="1552">
      <c r="A1552" s="3" t="str">
        <f t="array" ref="A1552">ifna(_xlfn.xlookup(B1552,'All Item Code'!B:B,'All Item Code'!A:A,),)</f>
        <v/>
      </c>
      <c r="B1552" s="3"/>
      <c r="C1552" s="3" t="str">
        <f t="array" ref="C1552">if(B1552="Tidak Ada",,if(isblank(B1552),,ifna(sumif('On Hand'!A:A,A1552,'On Hand'!D:D)&amp;" "&amp;_xlfn.xlookup(A1552,'All Item Code'!A:A,'All Item Code'!D:D,),0)))</f>
        <v/>
      </c>
      <c r="D1552" s="3" t="str">
        <f>IFERROR(__xludf.DUMMYFUNCTION("if(isblank(B1552),,ifna(textjoin(""; "",,filter('On Hand'!E:E,'On Hand'!A:A=A1552)),ifna(xlookup(A1552,'On Hand'!A:A,'On Hand'!E:E,),)))"),"")</f>
        <v/>
      </c>
    </row>
    <row r="1553">
      <c r="A1553" s="3" t="str">
        <f t="array" ref="A1553">ifna(_xlfn.xlookup(B1553,'All Item Code'!B:B,'All Item Code'!A:A,),)</f>
        <v/>
      </c>
      <c r="B1553" s="3"/>
      <c r="C1553" s="3" t="str">
        <f t="array" ref="C1553">if(B1553="Tidak Ada",,if(isblank(B1553),,ifna(sumif('On Hand'!A:A,A1553,'On Hand'!D:D)&amp;" "&amp;_xlfn.xlookup(A1553,'All Item Code'!A:A,'All Item Code'!D:D,),0)))</f>
        <v/>
      </c>
      <c r="D1553" s="3" t="str">
        <f>IFERROR(__xludf.DUMMYFUNCTION("if(isblank(B1553),,ifna(textjoin(""; "",,filter('On Hand'!E:E,'On Hand'!A:A=A1553)),ifna(xlookup(A1553,'On Hand'!A:A,'On Hand'!E:E,),)))"),"")</f>
        <v/>
      </c>
    </row>
    <row r="1554">
      <c r="A1554" s="3" t="str">
        <f t="array" ref="A1554">ifna(_xlfn.xlookup(B1554,'All Item Code'!B:B,'All Item Code'!A:A,),)</f>
        <v/>
      </c>
      <c r="B1554" s="3"/>
      <c r="C1554" s="3" t="str">
        <f t="array" ref="C1554">if(B1554="Tidak Ada",,if(isblank(B1554),,ifna(sumif('On Hand'!A:A,A1554,'On Hand'!D:D)&amp;" "&amp;_xlfn.xlookup(A1554,'All Item Code'!A:A,'All Item Code'!D:D,),0)))</f>
        <v/>
      </c>
      <c r="D1554" s="3" t="str">
        <f>IFERROR(__xludf.DUMMYFUNCTION("if(isblank(B1554),,ifna(textjoin(""; "",,filter('On Hand'!E:E,'On Hand'!A:A=A1554)),ifna(xlookup(A1554,'On Hand'!A:A,'On Hand'!E:E,),)))"),"")</f>
        <v/>
      </c>
    </row>
    <row r="1555">
      <c r="A1555" s="3" t="str">
        <f t="array" ref="A1555">ifna(_xlfn.xlookup(B1555,'All Item Code'!B:B,'All Item Code'!A:A,),)</f>
        <v/>
      </c>
      <c r="B1555" s="3"/>
      <c r="C1555" s="3" t="str">
        <f t="array" ref="C1555">if(B1555="Tidak Ada",,if(isblank(B1555),,ifna(sumif('On Hand'!A:A,A1555,'On Hand'!D:D)&amp;" "&amp;_xlfn.xlookup(A1555,'All Item Code'!A:A,'All Item Code'!D:D,),0)))</f>
        <v/>
      </c>
      <c r="D1555" s="3" t="str">
        <f>IFERROR(__xludf.DUMMYFUNCTION("if(isblank(B1555),,ifna(textjoin(""; "",,filter('On Hand'!E:E,'On Hand'!A:A=A1555)),ifna(xlookup(A1555,'On Hand'!A:A,'On Hand'!E:E,),)))"),"")</f>
        <v/>
      </c>
    </row>
    <row r="1556">
      <c r="A1556" s="3" t="str">
        <f t="array" ref="A1556">ifna(_xlfn.xlookup(B1556,'All Item Code'!B:B,'All Item Code'!A:A,),)</f>
        <v/>
      </c>
      <c r="B1556" s="3"/>
      <c r="C1556" s="3" t="str">
        <f t="array" ref="C1556">if(B1556="Tidak Ada",,if(isblank(B1556),,ifna(sumif('On Hand'!A:A,A1556,'On Hand'!D:D)&amp;" "&amp;_xlfn.xlookup(A1556,'All Item Code'!A:A,'All Item Code'!D:D,),0)))</f>
        <v/>
      </c>
      <c r="D1556" s="3" t="str">
        <f>IFERROR(__xludf.DUMMYFUNCTION("if(isblank(B1556),,ifna(textjoin(""; "",,filter('On Hand'!E:E,'On Hand'!A:A=A1556)),ifna(xlookup(A1556,'On Hand'!A:A,'On Hand'!E:E,),)))"),"")</f>
        <v/>
      </c>
    </row>
    <row r="1557">
      <c r="A1557" s="3" t="str">
        <f t="array" ref="A1557">ifna(_xlfn.xlookup(B1557,'All Item Code'!B:B,'All Item Code'!A:A,),)</f>
        <v/>
      </c>
      <c r="B1557" s="3"/>
      <c r="C1557" s="3" t="str">
        <f t="array" ref="C1557">if(B1557="Tidak Ada",,if(isblank(B1557),,ifna(sumif('On Hand'!A:A,A1557,'On Hand'!D:D)&amp;" "&amp;_xlfn.xlookup(A1557,'All Item Code'!A:A,'All Item Code'!D:D,),0)))</f>
        <v/>
      </c>
      <c r="D1557" s="3" t="str">
        <f>IFERROR(__xludf.DUMMYFUNCTION("if(isblank(B1557),,ifna(textjoin(""; "",,filter('On Hand'!E:E,'On Hand'!A:A=A1557)),ifna(xlookup(A1557,'On Hand'!A:A,'On Hand'!E:E,),)))"),"")</f>
        <v/>
      </c>
    </row>
    <row r="1558">
      <c r="A1558" s="3" t="str">
        <f t="array" ref="A1558">ifna(_xlfn.xlookup(B1558,'All Item Code'!B:B,'All Item Code'!A:A,),)</f>
        <v/>
      </c>
      <c r="B1558" s="3"/>
      <c r="C1558" s="3" t="str">
        <f t="array" ref="C1558">if(B1558="Tidak Ada",,if(isblank(B1558),,ifna(sumif('On Hand'!A:A,A1558,'On Hand'!D:D)&amp;" "&amp;_xlfn.xlookup(A1558,'All Item Code'!A:A,'All Item Code'!D:D,),0)))</f>
        <v/>
      </c>
      <c r="D1558" s="3" t="str">
        <f>IFERROR(__xludf.DUMMYFUNCTION("if(isblank(B1558),,ifna(textjoin(""; "",,filter('On Hand'!E:E,'On Hand'!A:A=A1558)),ifna(xlookup(A1558,'On Hand'!A:A,'On Hand'!E:E,),)))"),"")</f>
        <v/>
      </c>
    </row>
    <row r="1559">
      <c r="A1559" s="3" t="str">
        <f t="array" ref="A1559">ifna(_xlfn.xlookup(B1559,'All Item Code'!B:B,'All Item Code'!A:A,),)</f>
        <v/>
      </c>
      <c r="B1559" s="3"/>
      <c r="C1559" s="3" t="str">
        <f t="array" ref="C1559">if(B1559="Tidak Ada",,if(isblank(B1559),,ifna(sumif('On Hand'!A:A,A1559,'On Hand'!D:D)&amp;" "&amp;_xlfn.xlookup(A1559,'All Item Code'!A:A,'All Item Code'!D:D,),0)))</f>
        <v/>
      </c>
      <c r="D1559" s="3" t="str">
        <f>IFERROR(__xludf.DUMMYFUNCTION("if(isblank(B1559),,ifna(textjoin(""; "",,filter('On Hand'!E:E,'On Hand'!A:A=A1559)),ifna(xlookup(A1559,'On Hand'!A:A,'On Hand'!E:E,),)))"),"")</f>
        <v/>
      </c>
    </row>
    <row r="1560">
      <c r="A1560" s="3" t="str">
        <f t="array" ref="A1560">ifna(_xlfn.xlookup(B1560,'All Item Code'!B:B,'All Item Code'!A:A,),)</f>
        <v/>
      </c>
      <c r="B1560" s="3"/>
      <c r="C1560" s="3" t="str">
        <f t="array" ref="C1560">if(B1560="Tidak Ada",,if(isblank(B1560),,ifna(sumif('On Hand'!A:A,A1560,'On Hand'!D:D)&amp;" "&amp;_xlfn.xlookup(A1560,'All Item Code'!A:A,'All Item Code'!D:D,),0)))</f>
        <v/>
      </c>
      <c r="D1560" s="3" t="str">
        <f>IFERROR(__xludf.DUMMYFUNCTION("if(isblank(B1560),,ifna(textjoin(""; "",,filter('On Hand'!E:E,'On Hand'!A:A=A1560)),ifna(xlookup(A1560,'On Hand'!A:A,'On Hand'!E:E,),)))"),"")</f>
        <v/>
      </c>
    </row>
    <row r="1561">
      <c r="A1561" s="3" t="str">
        <f t="array" ref="A1561">ifna(_xlfn.xlookup(B1561,'All Item Code'!B:B,'All Item Code'!A:A,),)</f>
        <v/>
      </c>
      <c r="B1561" s="3"/>
      <c r="C1561" s="3" t="str">
        <f t="array" ref="C1561">if(B1561="Tidak Ada",,if(isblank(B1561),,ifna(sumif('On Hand'!A:A,A1561,'On Hand'!D:D)&amp;" "&amp;_xlfn.xlookup(A1561,'All Item Code'!A:A,'All Item Code'!D:D,),0)))</f>
        <v/>
      </c>
      <c r="D1561" s="3" t="str">
        <f>IFERROR(__xludf.DUMMYFUNCTION("if(isblank(B1561),,ifna(textjoin(""; "",,filter('On Hand'!E:E,'On Hand'!A:A=A1561)),ifna(xlookup(A1561,'On Hand'!A:A,'On Hand'!E:E,),)))"),"")</f>
        <v/>
      </c>
    </row>
    <row r="1562">
      <c r="A1562" s="3" t="str">
        <f t="array" ref="A1562">ifna(_xlfn.xlookup(B1562,'All Item Code'!B:B,'All Item Code'!A:A,),)</f>
        <v/>
      </c>
      <c r="B1562" s="3"/>
      <c r="C1562" s="3" t="str">
        <f t="array" ref="C1562">if(B1562="Tidak Ada",,if(isblank(B1562),,ifna(sumif('On Hand'!A:A,A1562,'On Hand'!D:D)&amp;" "&amp;_xlfn.xlookup(A1562,'All Item Code'!A:A,'All Item Code'!D:D,),0)))</f>
        <v/>
      </c>
      <c r="D1562" s="3" t="str">
        <f>IFERROR(__xludf.DUMMYFUNCTION("if(isblank(B1562),,ifna(textjoin(""; "",,filter('On Hand'!E:E,'On Hand'!A:A=A1562)),ifna(xlookup(A1562,'On Hand'!A:A,'On Hand'!E:E,),)))"),"")</f>
        <v/>
      </c>
    </row>
    <row r="1563">
      <c r="A1563" s="3" t="str">
        <f t="array" ref="A1563">ifna(_xlfn.xlookup(B1563,'All Item Code'!B:B,'All Item Code'!A:A,),)</f>
        <v/>
      </c>
      <c r="B1563" s="3"/>
      <c r="C1563" s="3" t="str">
        <f t="array" ref="C1563">if(B1563="Tidak Ada",,if(isblank(B1563),,ifna(sumif('On Hand'!A:A,A1563,'On Hand'!D:D)&amp;" "&amp;_xlfn.xlookup(A1563,'All Item Code'!A:A,'All Item Code'!D:D,),0)))</f>
        <v/>
      </c>
      <c r="D1563" s="3" t="str">
        <f>IFERROR(__xludf.DUMMYFUNCTION("if(isblank(B1563),,ifna(textjoin(""; "",,filter('On Hand'!E:E,'On Hand'!A:A=A1563)),ifna(xlookup(A1563,'On Hand'!A:A,'On Hand'!E:E,),)))"),"")</f>
        <v/>
      </c>
    </row>
    <row r="1564">
      <c r="A1564" s="3" t="str">
        <f t="array" ref="A1564">ifna(_xlfn.xlookup(B1564,'All Item Code'!B:B,'All Item Code'!A:A,),)</f>
        <v/>
      </c>
      <c r="B1564" s="3"/>
      <c r="C1564" s="3" t="str">
        <f t="array" ref="C1564">if(B1564="Tidak Ada",,if(isblank(B1564),,ifna(sumif('On Hand'!A:A,A1564,'On Hand'!D:D)&amp;" "&amp;_xlfn.xlookup(A1564,'All Item Code'!A:A,'All Item Code'!D:D,),0)))</f>
        <v/>
      </c>
      <c r="D1564" s="3" t="str">
        <f>IFERROR(__xludf.DUMMYFUNCTION("if(isblank(B1564),,ifna(textjoin(""; "",,filter('On Hand'!E:E,'On Hand'!A:A=A1564)),ifna(xlookup(A1564,'On Hand'!A:A,'On Hand'!E:E,),)))"),"")</f>
        <v/>
      </c>
    </row>
    <row r="1565">
      <c r="A1565" s="3" t="str">
        <f t="array" ref="A1565">ifna(_xlfn.xlookup(B1565,'All Item Code'!B:B,'All Item Code'!A:A,),)</f>
        <v/>
      </c>
      <c r="B1565" s="3"/>
      <c r="C1565" s="3" t="str">
        <f t="array" ref="C1565">if(B1565="Tidak Ada",,if(isblank(B1565),,ifna(sumif('On Hand'!A:A,A1565,'On Hand'!D:D)&amp;" "&amp;_xlfn.xlookup(A1565,'All Item Code'!A:A,'All Item Code'!D:D,),0)))</f>
        <v/>
      </c>
      <c r="D1565" s="3" t="str">
        <f>IFERROR(__xludf.DUMMYFUNCTION("if(isblank(B1565),,ifna(textjoin(""; "",,filter('On Hand'!E:E,'On Hand'!A:A=A1565)),ifna(xlookup(A1565,'On Hand'!A:A,'On Hand'!E:E,),)))"),"")</f>
        <v/>
      </c>
    </row>
    <row r="1566">
      <c r="A1566" s="3" t="str">
        <f t="array" ref="A1566">ifna(_xlfn.xlookup(B1566,'All Item Code'!B:B,'All Item Code'!A:A,),)</f>
        <v/>
      </c>
      <c r="B1566" s="3"/>
      <c r="C1566" s="3" t="str">
        <f t="array" ref="C1566">if(B1566="Tidak Ada",,if(isblank(B1566),,ifna(sumif('On Hand'!A:A,A1566,'On Hand'!D:D)&amp;" "&amp;_xlfn.xlookup(A1566,'All Item Code'!A:A,'All Item Code'!D:D,),0)))</f>
        <v/>
      </c>
      <c r="D1566" s="3" t="str">
        <f>IFERROR(__xludf.DUMMYFUNCTION("if(isblank(B1566),,ifna(textjoin(""; "",,filter('On Hand'!E:E,'On Hand'!A:A=A1566)),ifna(xlookup(A1566,'On Hand'!A:A,'On Hand'!E:E,),)))"),"")</f>
        <v/>
      </c>
    </row>
    <row r="1567">
      <c r="A1567" s="3" t="str">
        <f t="array" ref="A1567">ifna(_xlfn.xlookup(B1567,'All Item Code'!B:B,'All Item Code'!A:A,),)</f>
        <v/>
      </c>
      <c r="B1567" s="3"/>
      <c r="C1567" s="3" t="str">
        <f t="array" ref="C1567">if(B1567="Tidak Ada",,if(isblank(B1567),,ifna(sumif('On Hand'!A:A,A1567,'On Hand'!D:D)&amp;" "&amp;_xlfn.xlookup(A1567,'All Item Code'!A:A,'All Item Code'!D:D,),0)))</f>
        <v/>
      </c>
      <c r="D1567" s="3" t="str">
        <f>IFERROR(__xludf.DUMMYFUNCTION("if(isblank(B1567),,ifna(textjoin(""; "",,filter('On Hand'!E:E,'On Hand'!A:A=A1567)),ifna(xlookup(A1567,'On Hand'!A:A,'On Hand'!E:E,),)))"),"")</f>
        <v/>
      </c>
    </row>
    <row r="1568">
      <c r="A1568" s="3" t="str">
        <f t="array" ref="A1568">ifna(_xlfn.xlookup(B1568,'All Item Code'!B:B,'All Item Code'!A:A,),)</f>
        <v/>
      </c>
      <c r="B1568" s="3"/>
      <c r="C1568" s="3" t="str">
        <f t="array" ref="C1568">if(B1568="Tidak Ada",,if(isblank(B1568),,ifna(sumif('On Hand'!A:A,A1568,'On Hand'!D:D)&amp;" "&amp;_xlfn.xlookup(A1568,'All Item Code'!A:A,'All Item Code'!D:D,),0)))</f>
        <v/>
      </c>
      <c r="D1568" s="3" t="str">
        <f>IFERROR(__xludf.DUMMYFUNCTION("if(isblank(B1568),,ifna(textjoin(""; "",,filter('On Hand'!E:E,'On Hand'!A:A=A1568)),ifna(xlookup(A1568,'On Hand'!A:A,'On Hand'!E:E,),)))"),"")</f>
        <v/>
      </c>
    </row>
    <row r="1569">
      <c r="A1569" s="3" t="str">
        <f t="array" ref="A1569">ifna(_xlfn.xlookup(B1569,'All Item Code'!B:B,'All Item Code'!A:A,),)</f>
        <v/>
      </c>
      <c r="B1569" s="3"/>
      <c r="C1569" s="3" t="str">
        <f t="array" ref="C1569">if(B1569="Tidak Ada",,if(isblank(B1569),,ifna(sumif('On Hand'!A:A,A1569,'On Hand'!D:D)&amp;" "&amp;_xlfn.xlookup(A1569,'All Item Code'!A:A,'All Item Code'!D:D,),0)))</f>
        <v/>
      </c>
      <c r="D1569" s="3" t="str">
        <f>IFERROR(__xludf.DUMMYFUNCTION("if(isblank(B1569),,ifna(textjoin(""; "",,filter('On Hand'!E:E,'On Hand'!A:A=A1569)),ifna(xlookup(A1569,'On Hand'!A:A,'On Hand'!E:E,),)))"),"")</f>
        <v/>
      </c>
    </row>
    <row r="1570">
      <c r="A1570" s="3" t="str">
        <f t="array" ref="A1570">ifna(_xlfn.xlookup(B1570,'All Item Code'!B:B,'All Item Code'!A:A,),)</f>
        <v/>
      </c>
      <c r="B1570" s="3"/>
      <c r="C1570" s="3" t="str">
        <f t="array" ref="C1570">if(B1570="Tidak Ada",,if(isblank(B1570),,ifna(sumif('On Hand'!A:A,A1570,'On Hand'!D:D)&amp;" "&amp;_xlfn.xlookup(A1570,'All Item Code'!A:A,'All Item Code'!D:D,),0)))</f>
        <v/>
      </c>
      <c r="D1570" s="3" t="str">
        <f>IFERROR(__xludf.DUMMYFUNCTION("if(isblank(B1570),,ifna(textjoin(""; "",,filter('On Hand'!E:E,'On Hand'!A:A=A1570)),ifna(xlookup(A1570,'On Hand'!A:A,'On Hand'!E:E,),)))"),"")</f>
        <v/>
      </c>
    </row>
    <row r="1571">
      <c r="A1571" s="3" t="str">
        <f t="array" ref="A1571">ifna(_xlfn.xlookup(B1571,'All Item Code'!B:B,'All Item Code'!A:A,),)</f>
        <v/>
      </c>
      <c r="B1571" s="3"/>
      <c r="C1571" s="3" t="str">
        <f t="array" ref="C1571">if(B1571="Tidak Ada",,if(isblank(B1571),,ifna(sumif('On Hand'!A:A,A1571,'On Hand'!D:D)&amp;" "&amp;_xlfn.xlookup(A1571,'All Item Code'!A:A,'All Item Code'!D:D,),0)))</f>
        <v/>
      </c>
      <c r="D1571" s="3" t="str">
        <f>IFERROR(__xludf.DUMMYFUNCTION("if(isblank(B1571),,ifna(textjoin(""; "",,filter('On Hand'!E:E,'On Hand'!A:A=A1571)),ifna(xlookup(A1571,'On Hand'!A:A,'On Hand'!E:E,),)))"),"")</f>
        <v/>
      </c>
    </row>
    <row r="1572">
      <c r="A1572" s="3" t="str">
        <f t="array" ref="A1572">ifna(_xlfn.xlookup(B1572,'All Item Code'!B:B,'All Item Code'!A:A,),)</f>
        <v/>
      </c>
      <c r="B1572" s="3"/>
      <c r="C1572" s="3" t="str">
        <f t="array" ref="C1572">if(B1572="Tidak Ada",,if(isblank(B1572),,ifna(sumif('On Hand'!A:A,A1572,'On Hand'!D:D)&amp;" "&amp;_xlfn.xlookup(A1572,'All Item Code'!A:A,'All Item Code'!D:D,),0)))</f>
        <v/>
      </c>
      <c r="D1572" s="3" t="str">
        <f>IFERROR(__xludf.DUMMYFUNCTION("if(isblank(B1572),,ifna(textjoin(""; "",,filter('On Hand'!E:E,'On Hand'!A:A=A1572)),ifna(xlookup(A1572,'On Hand'!A:A,'On Hand'!E:E,),)))"),"")</f>
        <v/>
      </c>
    </row>
    <row r="1573">
      <c r="A1573" s="3" t="str">
        <f t="array" ref="A1573">ifna(_xlfn.xlookup(B1573,'All Item Code'!B:B,'All Item Code'!A:A,),)</f>
        <v/>
      </c>
      <c r="B1573" s="3"/>
      <c r="C1573" s="3" t="str">
        <f t="array" ref="C1573">if(B1573="Tidak Ada",,if(isblank(B1573),,ifna(sumif('On Hand'!A:A,A1573,'On Hand'!D:D)&amp;" "&amp;_xlfn.xlookup(A1573,'All Item Code'!A:A,'All Item Code'!D:D,),0)))</f>
        <v/>
      </c>
      <c r="D1573" s="3" t="str">
        <f>IFERROR(__xludf.DUMMYFUNCTION("if(isblank(B1573),,ifna(textjoin(""; "",,filter('On Hand'!E:E,'On Hand'!A:A=A1573)),ifna(xlookup(A1573,'On Hand'!A:A,'On Hand'!E:E,),)))"),"")</f>
        <v/>
      </c>
    </row>
    <row r="1574">
      <c r="A1574" s="3" t="str">
        <f t="array" ref="A1574">ifna(_xlfn.xlookup(B1574,'All Item Code'!B:B,'All Item Code'!A:A,),)</f>
        <v/>
      </c>
      <c r="B1574" s="3"/>
      <c r="C1574" s="3" t="str">
        <f t="array" ref="C1574">if(B1574="Tidak Ada",,if(isblank(B1574),,ifna(sumif('On Hand'!A:A,A1574,'On Hand'!D:D)&amp;" "&amp;_xlfn.xlookup(A1574,'All Item Code'!A:A,'All Item Code'!D:D,),0)))</f>
        <v/>
      </c>
      <c r="D1574" s="3" t="str">
        <f>IFERROR(__xludf.DUMMYFUNCTION("if(isblank(B1574),,ifna(textjoin(""; "",,filter('On Hand'!E:E,'On Hand'!A:A=A1574)),ifna(xlookup(A1574,'On Hand'!A:A,'On Hand'!E:E,),)))"),"")</f>
        <v/>
      </c>
    </row>
    <row r="1575">
      <c r="A1575" s="3" t="str">
        <f t="array" ref="A1575">ifna(_xlfn.xlookup(B1575,'All Item Code'!B:B,'All Item Code'!A:A,),)</f>
        <v/>
      </c>
      <c r="B1575" s="3"/>
      <c r="C1575" s="3" t="str">
        <f t="array" ref="C1575">if(B1575="Tidak Ada",,if(isblank(B1575),,ifna(sumif('On Hand'!A:A,A1575,'On Hand'!D:D)&amp;" "&amp;_xlfn.xlookup(A1575,'All Item Code'!A:A,'All Item Code'!D:D,),0)))</f>
        <v/>
      </c>
      <c r="D1575" s="3" t="str">
        <f>IFERROR(__xludf.DUMMYFUNCTION("if(isblank(B1575),,ifna(textjoin(""; "",,filter('On Hand'!E:E,'On Hand'!A:A=A1575)),ifna(xlookup(A1575,'On Hand'!A:A,'On Hand'!E:E,),)))"),"")</f>
        <v/>
      </c>
    </row>
    <row r="1576">
      <c r="A1576" s="3" t="str">
        <f t="array" ref="A1576">ifna(_xlfn.xlookup(B1576,'All Item Code'!B:B,'All Item Code'!A:A,),)</f>
        <v/>
      </c>
      <c r="B1576" s="3"/>
      <c r="C1576" s="3" t="str">
        <f t="array" ref="C1576">if(B1576="Tidak Ada",,if(isblank(B1576),,ifna(sumif('On Hand'!A:A,A1576,'On Hand'!D:D)&amp;" "&amp;_xlfn.xlookup(A1576,'All Item Code'!A:A,'All Item Code'!D:D,),0)))</f>
        <v/>
      </c>
      <c r="D1576" s="3" t="str">
        <f>IFERROR(__xludf.DUMMYFUNCTION("if(isblank(B1576),,ifna(textjoin(""; "",,filter('On Hand'!E:E,'On Hand'!A:A=A1576)),ifna(xlookup(A1576,'On Hand'!A:A,'On Hand'!E:E,),)))"),"")</f>
        <v/>
      </c>
    </row>
    <row r="1577">
      <c r="A1577" s="3" t="str">
        <f t="array" ref="A1577">ifna(_xlfn.xlookup(B1577,'All Item Code'!B:B,'All Item Code'!A:A,),)</f>
        <v/>
      </c>
      <c r="B1577" s="3"/>
      <c r="C1577" s="3" t="str">
        <f t="array" ref="C1577">if(B1577="Tidak Ada",,if(isblank(B1577),,ifna(sumif('On Hand'!A:A,A1577,'On Hand'!D:D)&amp;" "&amp;_xlfn.xlookup(A1577,'All Item Code'!A:A,'All Item Code'!D:D,),0)))</f>
        <v/>
      </c>
      <c r="D1577" s="3" t="str">
        <f>IFERROR(__xludf.DUMMYFUNCTION("if(isblank(B1577),,ifna(textjoin(""; "",,filter('On Hand'!E:E,'On Hand'!A:A=A1577)),ifna(xlookup(A1577,'On Hand'!A:A,'On Hand'!E:E,),)))"),"")</f>
        <v/>
      </c>
    </row>
    <row r="1578">
      <c r="A1578" s="3" t="str">
        <f t="array" ref="A1578">ifna(_xlfn.xlookup(B1578,'All Item Code'!B:B,'All Item Code'!A:A,),)</f>
        <v/>
      </c>
      <c r="B1578" s="3"/>
      <c r="C1578" s="3" t="str">
        <f t="array" ref="C1578">if(B1578="Tidak Ada",,if(isblank(B1578),,ifna(sumif('On Hand'!A:A,A1578,'On Hand'!D:D)&amp;" "&amp;_xlfn.xlookup(A1578,'All Item Code'!A:A,'All Item Code'!D:D,),0)))</f>
        <v/>
      </c>
      <c r="D1578" s="3" t="str">
        <f>IFERROR(__xludf.DUMMYFUNCTION("if(isblank(B1578),,ifna(textjoin(""; "",,filter('On Hand'!E:E,'On Hand'!A:A=A1578)),ifna(xlookup(A1578,'On Hand'!A:A,'On Hand'!E:E,),)))"),"")</f>
        <v/>
      </c>
    </row>
    <row r="1579">
      <c r="A1579" s="3" t="str">
        <f t="array" ref="A1579">ifna(_xlfn.xlookup(B1579,'All Item Code'!B:B,'All Item Code'!A:A,),)</f>
        <v/>
      </c>
      <c r="B1579" s="3"/>
      <c r="C1579" s="3" t="str">
        <f t="array" ref="C1579">if(B1579="Tidak Ada",,if(isblank(B1579),,ifna(sumif('On Hand'!A:A,A1579,'On Hand'!D:D)&amp;" "&amp;_xlfn.xlookup(A1579,'All Item Code'!A:A,'All Item Code'!D:D,),0)))</f>
        <v/>
      </c>
      <c r="D1579" s="3" t="str">
        <f>IFERROR(__xludf.DUMMYFUNCTION("if(isblank(B1579),,ifna(textjoin(""; "",,filter('On Hand'!E:E,'On Hand'!A:A=A1579)),ifna(xlookup(A1579,'On Hand'!A:A,'On Hand'!E:E,),)))"),"")</f>
        <v/>
      </c>
    </row>
    <row r="1580">
      <c r="A1580" s="3" t="str">
        <f t="array" ref="A1580">ifna(_xlfn.xlookup(B1580,'All Item Code'!B:B,'All Item Code'!A:A,),)</f>
        <v/>
      </c>
      <c r="B1580" s="3"/>
      <c r="C1580" s="3" t="str">
        <f t="array" ref="C1580">if(B1580="Tidak Ada",,if(isblank(B1580),,ifna(sumif('On Hand'!A:A,A1580,'On Hand'!D:D)&amp;" "&amp;_xlfn.xlookup(A1580,'All Item Code'!A:A,'All Item Code'!D:D,),0)))</f>
        <v/>
      </c>
      <c r="D1580" s="3" t="str">
        <f>IFERROR(__xludf.DUMMYFUNCTION("if(isblank(B1580),,ifna(textjoin(""; "",,filter('On Hand'!E:E,'On Hand'!A:A=A1580)),ifna(xlookup(A1580,'On Hand'!A:A,'On Hand'!E:E,),)))"),"")</f>
        <v/>
      </c>
    </row>
    <row r="1581">
      <c r="A1581" s="3" t="str">
        <f t="array" ref="A1581">ifna(_xlfn.xlookup(B1581,'All Item Code'!B:B,'All Item Code'!A:A,),)</f>
        <v/>
      </c>
      <c r="B1581" s="3"/>
      <c r="C1581" s="3" t="str">
        <f t="array" ref="C1581">if(B1581="Tidak Ada",,if(isblank(B1581),,ifna(sumif('On Hand'!A:A,A1581,'On Hand'!D:D)&amp;" "&amp;_xlfn.xlookup(A1581,'All Item Code'!A:A,'All Item Code'!D:D,),0)))</f>
        <v/>
      </c>
      <c r="D1581" s="3" t="str">
        <f>IFERROR(__xludf.DUMMYFUNCTION("if(isblank(B1581),,ifna(textjoin(""; "",,filter('On Hand'!E:E,'On Hand'!A:A=A1581)),ifna(xlookup(A1581,'On Hand'!A:A,'On Hand'!E:E,),)))"),"")</f>
        <v/>
      </c>
    </row>
    <row r="1582">
      <c r="A1582" s="3" t="str">
        <f t="array" ref="A1582">ifna(_xlfn.xlookup(B1582,'All Item Code'!B:B,'All Item Code'!A:A,),)</f>
        <v/>
      </c>
      <c r="B1582" s="3"/>
      <c r="C1582" s="3" t="str">
        <f t="array" ref="C1582">if(B1582="Tidak Ada",,if(isblank(B1582),,ifna(sumif('On Hand'!A:A,A1582,'On Hand'!D:D)&amp;" "&amp;_xlfn.xlookup(A1582,'All Item Code'!A:A,'All Item Code'!D:D,),0)))</f>
        <v/>
      </c>
      <c r="D1582" s="3" t="str">
        <f>IFERROR(__xludf.DUMMYFUNCTION("if(isblank(B1582),,ifna(textjoin(""; "",,filter('On Hand'!E:E,'On Hand'!A:A=A1582)),ifna(xlookup(A1582,'On Hand'!A:A,'On Hand'!E:E,),)))"),"")</f>
        <v/>
      </c>
    </row>
    <row r="1583">
      <c r="A1583" s="3" t="str">
        <f t="array" ref="A1583">ifna(_xlfn.xlookup(B1583,'All Item Code'!B:B,'All Item Code'!A:A,),)</f>
        <v/>
      </c>
      <c r="B1583" s="3"/>
      <c r="C1583" s="3" t="str">
        <f t="array" ref="C1583">if(B1583="Tidak Ada",,if(isblank(B1583),,ifna(sumif('On Hand'!A:A,A1583,'On Hand'!D:D)&amp;" "&amp;_xlfn.xlookup(A1583,'All Item Code'!A:A,'All Item Code'!D:D,),0)))</f>
        <v/>
      </c>
      <c r="D1583" s="3" t="str">
        <f>IFERROR(__xludf.DUMMYFUNCTION("if(isblank(B1583),,ifna(textjoin(""; "",,filter('On Hand'!E:E,'On Hand'!A:A=A1583)),ifna(xlookup(A1583,'On Hand'!A:A,'On Hand'!E:E,),)))"),"")</f>
        <v/>
      </c>
    </row>
    <row r="1584">
      <c r="A1584" s="3" t="str">
        <f t="array" ref="A1584">ifna(_xlfn.xlookup(B1584,'All Item Code'!B:B,'All Item Code'!A:A,),)</f>
        <v/>
      </c>
      <c r="B1584" s="3"/>
      <c r="C1584" s="3" t="str">
        <f t="array" ref="C1584">if(B1584="Tidak Ada",,if(isblank(B1584),,ifna(sumif('On Hand'!A:A,A1584,'On Hand'!D:D)&amp;" "&amp;_xlfn.xlookup(A1584,'All Item Code'!A:A,'All Item Code'!D:D,),0)))</f>
        <v/>
      </c>
      <c r="D1584" s="3" t="str">
        <f>IFERROR(__xludf.DUMMYFUNCTION("if(isblank(B1584),,ifna(textjoin(""; "",,filter('On Hand'!E:E,'On Hand'!A:A=A1584)),ifna(xlookup(A1584,'On Hand'!A:A,'On Hand'!E:E,),)))"),"")</f>
        <v/>
      </c>
    </row>
    <row r="1585">
      <c r="A1585" s="3" t="str">
        <f t="array" ref="A1585">ifna(_xlfn.xlookup(B1585,'All Item Code'!B:B,'All Item Code'!A:A,),)</f>
        <v/>
      </c>
      <c r="B1585" s="3"/>
      <c r="C1585" s="3" t="str">
        <f t="array" ref="C1585">if(B1585="Tidak Ada",,if(isblank(B1585),,ifna(sumif('On Hand'!A:A,A1585,'On Hand'!D:D)&amp;" "&amp;_xlfn.xlookup(A1585,'All Item Code'!A:A,'All Item Code'!D:D,),0)))</f>
        <v/>
      </c>
      <c r="D1585" s="3" t="str">
        <f>IFERROR(__xludf.DUMMYFUNCTION("if(isblank(B1585),,ifna(textjoin(""; "",,filter('On Hand'!E:E,'On Hand'!A:A=A1585)),ifna(xlookup(A1585,'On Hand'!A:A,'On Hand'!E:E,),)))"),"")</f>
        <v/>
      </c>
    </row>
    <row r="1586">
      <c r="A1586" s="3" t="str">
        <f t="array" ref="A1586">ifna(_xlfn.xlookup(B1586,'All Item Code'!B:B,'All Item Code'!A:A,),)</f>
        <v/>
      </c>
      <c r="B1586" s="3"/>
      <c r="C1586" s="3" t="str">
        <f t="array" ref="C1586">if(B1586="Tidak Ada",,if(isblank(B1586),,ifna(sumif('On Hand'!A:A,A1586,'On Hand'!D:D)&amp;" "&amp;_xlfn.xlookup(A1586,'All Item Code'!A:A,'All Item Code'!D:D,),0)))</f>
        <v/>
      </c>
      <c r="D1586" s="3" t="str">
        <f>IFERROR(__xludf.DUMMYFUNCTION("if(isblank(B1586),,ifna(textjoin(""; "",,filter('On Hand'!E:E,'On Hand'!A:A=A1586)),ifna(xlookup(A1586,'On Hand'!A:A,'On Hand'!E:E,),)))"),"")</f>
        <v/>
      </c>
    </row>
    <row r="1587">
      <c r="A1587" s="3" t="str">
        <f t="array" ref="A1587">ifna(_xlfn.xlookup(B1587,'All Item Code'!B:B,'All Item Code'!A:A,),)</f>
        <v/>
      </c>
      <c r="B1587" s="3"/>
      <c r="C1587" s="3" t="str">
        <f t="array" ref="C1587">if(B1587="Tidak Ada",,if(isblank(B1587),,ifna(sumif('On Hand'!A:A,A1587,'On Hand'!D:D)&amp;" "&amp;_xlfn.xlookup(A1587,'All Item Code'!A:A,'All Item Code'!D:D,),0)))</f>
        <v/>
      </c>
      <c r="D1587" s="3" t="str">
        <f>IFERROR(__xludf.DUMMYFUNCTION("if(isblank(B1587),,ifna(textjoin(""; "",,filter('On Hand'!E:E,'On Hand'!A:A=A1587)),ifna(xlookup(A1587,'On Hand'!A:A,'On Hand'!E:E,),)))"),"")</f>
        <v/>
      </c>
    </row>
    <row r="1588">
      <c r="A1588" s="3" t="str">
        <f t="array" ref="A1588">ifna(_xlfn.xlookup(B1588,'All Item Code'!B:B,'All Item Code'!A:A,),)</f>
        <v/>
      </c>
      <c r="B1588" s="3"/>
      <c r="C1588" s="3" t="str">
        <f t="array" ref="C1588">if(B1588="Tidak Ada",,if(isblank(B1588),,ifna(sumif('On Hand'!A:A,A1588,'On Hand'!D:D)&amp;" "&amp;_xlfn.xlookup(A1588,'All Item Code'!A:A,'All Item Code'!D:D,),0)))</f>
        <v/>
      </c>
      <c r="D1588" s="3" t="str">
        <f>IFERROR(__xludf.DUMMYFUNCTION("if(isblank(B1588),,ifna(textjoin(""; "",,filter('On Hand'!E:E,'On Hand'!A:A=A1588)),ifna(xlookup(A1588,'On Hand'!A:A,'On Hand'!E:E,),)))"),"")</f>
        <v/>
      </c>
    </row>
    <row r="1589">
      <c r="A1589" s="3" t="str">
        <f t="array" ref="A1589">ifna(_xlfn.xlookup(B1589,'All Item Code'!B:B,'All Item Code'!A:A,),)</f>
        <v/>
      </c>
      <c r="B1589" s="3"/>
      <c r="C1589" s="3" t="str">
        <f t="array" ref="C1589">if(B1589="Tidak Ada",,if(isblank(B1589),,ifna(sumif('On Hand'!A:A,A1589,'On Hand'!D:D)&amp;" "&amp;_xlfn.xlookup(A1589,'All Item Code'!A:A,'All Item Code'!D:D,),0)))</f>
        <v/>
      </c>
      <c r="D1589" s="3" t="str">
        <f>IFERROR(__xludf.DUMMYFUNCTION("if(isblank(B1589),,ifna(textjoin(""; "",,filter('On Hand'!E:E,'On Hand'!A:A=A1589)),ifna(xlookup(A1589,'On Hand'!A:A,'On Hand'!E:E,),)))"),"")</f>
        <v/>
      </c>
    </row>
    <row r="1590">
      <c r="A1590" s="3" t="str">
        <f t="array" ref="A1590">ifna(_xlfn.xlookup(B1590,'All Item Code'!B:B,'All Item Code'!A:A,),)</f>
        <v/>
      </c>
      <c r="B1590" s="3"/>
      <c r="C1590" s="3" t="str">
        <f t="array" ref="C1590">if(B1590="Tidak Ada",,if(isblank(B1590),,ifna(sumif('On Hand'!A:A,A1590,'On Hand'!D:D)&amp;" "&amp;_xlfn.xlookup(A1590,'All Item Code'!A:A,'All Item Code'!D:D,),0)))</f>
        <v/>
      </c>
      <c r="D1590" s="3" t="str">
        <f>IFERROR(__xludf.DUMMYFUNCTION("if(isblank(B1590),,ifna(textjoin(""; "",,filter('On Hand'!E:E,'On Hand'!A:A=A1590)),ifna(xlookup(A1590,'On Hand'!A:A,'On Hand'!E:E,),)))"),"")</f>
        <v/>
      </c>
    </row>
    <row r="1591">
      <c r="A1591" s="3" t="str">
        <f t="array" ref="A1591">ifna(_xlfn.xlookup(B1591,'All Item Code'!B:B,'All Item Code'!A:A,),)</f>
        <v/>
      </c>
      <c r="B1591" s="3"/>
      <c r="C1591" s="3" t="str">
        <f t="array" ref="C1591">if(B1591="Tidak Ada",,if(isblank(B1591),,ifna(sumif('On Hand'!A:A,A1591,'On Hand'!D:D)&amp;" "&amp;_xlfn.xlookup(A1591,'All Item Code'!A:A,'All Item Code'!D:D,),0)))</f>
        <v/>
      </c>
      <c r="D1591" s="3" t="str">
        <f>IFERROR(__xludf.DUMMYFUNCTION("if(isblank(B1591),,ifna(textjoin(""; "",,filter('On Hand'!E:E,'On Hand'!A:A=A1591)),ifna(xlookup(A1591,'On Hand'!A:A,'On Hand'!E:E,),)))"),"")</f>
        <v/>
      </c>
    </row>
    <row r="1592">
      <c r="A1592" s="3" t="str">
        <f t="array" ref="A1592">ifna(_xlfn.xlookup(B1592,'All Item Code'!B:B,'All Item Code'!A:A,),)</f>
        <v/>
      </c>
      <c r="B1592" s="3"/>
      <c r="C1592" s="3" t="str">
        <f t="array" ref="C1592">if(B1592="Tidak Ada",,if(isblank(B1592),,ifna(sumif('On Hand'!A:A,A1592,'On Hand'!D:D)&amp;" "&amp;_xlfn.xlookup(A1592,'All Item Code'!A:A,'All Item Code'!D:D,),0)))</f>
        <v/>
      </c>
      <c r="D1592" s="3" t="str">
        <f>IFERROR(__xludf.DUMMYFUNCTION("if(isblank(B1592),,ifna(textjoin(""; "",,filter('On Hand'!E:E,'On Hand'!A:A=A1592)),ifna(xlookup(A1592,'On Hand'!A:A,'On Hand'!E:E,),)))"),"")</f>
        <v/>
      </c>
    </row>
    <row r="1593">
      <c r="A1593" s="3" t="str">
        <f t="array" ref="A1593">ifna(_xlfn.xlookup(B1593,'All Item Code'!B:B,'All Item Code'!A:A,),)</f>
        <v/>
      </c>
      <c r="B1593" s="3"/>
      <c r="C1593" s="3" t="str">
        <f t="array" ref="C1593">if(B1593="Tidak Ada",,if(isblank(B1593),,ifna(sumif('On Hand'!A:A,A1593,'On Hand'!D:D)&amp;" "&amp;_xlfn.xlookup(A1593,'All Item Code'!A:A,'All Item Code'!D:D,),0)))</f>
        <v/>
      </c>
      <c r="D1593" s="3" t="str">
        <f>IFERROR(__xludf.DUMMYFUNCTION("if(isblank(B1593),,ifna(textjoin(""; "",,filter('On Hand'!E:E,'On Hand'!A:A=A1593)),ifna(xlookup(A1593,'On Hand'!A:A,'On Hand'!E:E,),)))"),"")</f>
        <v/>
      </c>
    </row>
    <row r="1594">
      <c r="A1594" s="3" t="str">
        <f t="array" ref="A1594">ifna(_xlfn.xlookup(B1594,'All Item Code'!B:B,'All Item Code'!A:A,),)</f>
        <v/>
      </c>
      <c r="B1594" s="3"/>
      <c r="C1594" s="3" t="str">
        <f t="array" ref="C1594">if(B1594="Tidak Ada",,if(isblank(B1594),,ifna(sumif('On Hand'!A:A,A1594,'On Hand'!D:D)&amp;" "&amp;_xlfn.xlookup(A1594,'All Item Code'!A:A,'All Item Code'!D:D,),0)))</f>
        <v/>
      </c>
      <c r="D1594" s="3" t="str">
        <f>IFERROR(__xludf.DUMMYFUNCTION("if(isblank(B1594),,ifna(textjoin(""; "",,filter('On Hand'!E:E,'On Hand'!A:A=A1594)),ifna(xlookup(A1594,'On Hand'!A:A,'On Hand'!E:E,),)))"),"")</f>
        <v/>
      </c>
    </row>
    <row r="1595">
      <c r="A1595" s="3" t="str">
        <f t="array" ref="A1595">ifna(_xlfn.xlookup(B1595,'All Item Code'!B:B,'All Item Code'!A:A,),)</f>
        <v/>
      </c>
      <c r="B1595" s="3"/>
      <c r="C1595" s="3" t="str">
        <f t="array" ref="C1595">if(B1595="Tidak Ada",,if(isblank(B1595),,ifna(sumif('On Hand'!A:A,A1595,'On Hand'!D:D)&amp;" "&amp;_xlfn.xlookup(A1595,'All Item Code'!A:A,'All Item Code'!D:D,),0)))</f>
        <v/>
      </c>
      <c r="D1595" s="3" t="str">
        <f>IFERROR(__xludf.DUMMYFUNCTION("if(isblank(B1595),,ifna(textjoin(""; "",,filter('On Hand'!E:E,'On Hand'!A:A=A1595)),ifna(xlookup(A1595,'On Hand'!A:A,'On Hand'!E:E,),)))"),"")</f>
        <v/>
      </c>
    </row>
    <row r="1596">
      <c r="A1596" s="3" t="str">
        <f t="array" ref="A1596">ifna(_xlfn.xlookup(B1596,'All Item Code'!B:B,'All Item Code'!A:A,),)</f>
        <v/>
      </c>
      <c r="B1596" s="3"/>
      <c r="C1596" s="3" t="str">
        <f t="array" ref="C1596">if(B1596="Tidak Ada",,if(isblank(B1596),,ifna(sumif('On Hand'!A:A,A1596,'On Hand'!D:D)&amp;" "&amp;_xlfn.xlookup(A1596,'All Item Code'!A:A,'All Item Code'!D:D,),0)))</f>
        <v/>
      </c>
      <c r="D1596" s="3" t="str">
        <f>IFERROR(__xludf.DUMMYFUNCTION("if(isblank(B1596),,ifna(textjoin(""; "",,filter('On Hand'!E:E,'On Hand'!A:A=A1596)),ifna(xlookup(A1596,'On Hand'!A:A,'On Hand'!E:E,),)))"),"")</f>
        <v/>
      </c>
    </row>
    <row r="1597">
      <c r="A1597" s="3" t="str">
        <f t="array" ref="A1597">ifna(_xlfn.xlookup(B1597,'All Item Code'!B:B,'All Item Code'!A:A,),)</f>
        <v/>
      </c>
      <c r="B1597" s="3"/>
      <c r="C1597" s="3" t="str">
        <f t="array" ref="C1597">if(B1597="Tidak Ada",,if(isblank(B1597),,ifna(sumif('On Hand'!A:A,A1597,'On Hand'!D:D)&amp;" "&amp;_xlfn.xlookup(A1597,'All Item Code'!A:A,'All Item Code'!D:D,),0)))</f>
        <v/>
      </c>
      <c r="D1597" s="3" t="str">
        <f>IFERROR(__xludf.DUMMYFUNCTION("if(isblank(B1597),,ifna(textjoin(""; "",,filter('On Hand'!E:E,'On Hand'!A:A=A1597)),ifna(xlookup(A1597,'On Hand'!A:A,'On Hand'!E:E,),)))"),"")</f>
        <v/>
      </c>
    </row>
    <row r="1598">
      <c r="A1598" s="3" t="str">
        <f t="array" ref="A1598">ifna(_xlfn.xlookup(B1598,'All Item Code'!B:B,'All Item Code'!A:A,),)</f>
        <v/>
      </c>
      <c r="B1598" s="3"/>
      <c r="C1598" s="3" t="str">
        <f t="array" ref="C1598">if(B1598="Tidak Ada",,if(isblank(B1598),,ifna(sumif('On Hand'!A:A,A1598,'On Hand'!D:D)&amp;" "&amp;_xlfn.xlookup(A1598,'All Item Code'!A:A,'All Item Code'!D:D,),0)))</f>
        <v/>
      </c>
      <c r="D1598" s="3" t="str">
        <f>IFERROR(__xludf.DUMMYFUNCTION("if(isblank(B1598),,ifna(textjoin(""; "",,filter('On Hand'!E:E,'On Hand'!A:A=A1598)),ifna(xlookup(A1598,'On Hand'!A:A,'On Hand'!E:E,),)))"),"")</f>
        <v/>
      </c>
    </row>
    <row r="1599">
      <c r="A1599" s="3" t="str">
        <f t="array" ref="A1599">ifna(_xlfn.xlookup(B1599,'All Item Code'!B:B,'All Item Code'!A:A,),)</f>
        <v/>
      </c>
      <c r="B1599" s="3"/>
      <c r="C1599" s="3" t="str">
        <f t="array" ref="C1599">if(B1599="Tidak Ada",,if(isblank(B1599),,ifna(sumif('On Hand'!A:A,A1599,'On Hand'!D:D)&amp;" "&amp;_xlfn.xlookup(A1599,'All Item Code'!A:A,'All Item Code'!D:D,),0)))</f>
        <v/>
      </c>
      <c r="D1599" s="3" t="str">
        <f>IFERROR(__xludf.DUMMYFUNCTION("if(isblank(B1599),,ifna(textjoin(""; "",,filter('On Hand'!E:E,'On Hand'!A:A=A1599)),ifna(xlookup(A1599,'On Hand'!A:A,'On Hand'!E:E,),)))"),"")</f>
        <v/>
      </c>
    </row>
    <row r="1600">
      <c r="A1600" s="3" t="str">
        <f t="array" ref="A1600">ifna(_xlfn.xlookup(B1600,'All Item Code'!B:B,'All Item Code'!A:A,),)</f>
        <v/>
      </c>
      <c r="B1600" s="3"/>
      <c r="C1600" s="3" t="str">
        <f t="array" ref="C1600">if(B1600="Tidak Ada",,if(isblank(B1600),,ifna(sumif('On Hand'!A:A,A1600,'On Hand'!D:D)&amp;" "&amp;_xlfn.xlookup(A1600,'All Item Code'!A:A,'All Item Code'!D:D,),0)))</f>
        <v/>
      </c>
      <c r="D1600" s="3" t="str">
        <f>IFERROR(__xludf.DUMMYFUNCTION("if(isblank(B1600),,ifna(textjoin(""; "",,filter('On Hand'!E:E,'On Hand'!A:A=A1600)),ifna(xlookup(A1600,'On Hand'!A:A,'On Hand'!E:E,),)))"),"")</f>
        <v/>
      </c>
    </row>
    <row r="1601">
      <c r="A1601" s="3" t="str">
        <f t="array" ref="A1601">ifna(_xlfn.xlookup(B1601,'All Item Code'!B:B,'All Item Code'!A:A,),)</f>
        <v/>
      </c>
      <c r="B1601" s="3"/>
      <c r="C1601" s="3" t="str">
        <f t="array" ref="C1601">if(B1601="Tidak Ada",,if(isblank(B1601),,ifna(sumif('On Hand'!A:A,A1601,'On Hand'!D:D)&amp;" "&amp;_xlfn.xlookup(A1601,'All Item Code'!A:A,'All Item Code'!D:D,),0)))</f>
        <v/>
      </c>
      <c r="D1601" s="3" t="str">
        <f>IFERROR(__xludf.DUMMYFUNCTION("if(isblank(B1601),,ifna(textjoin(""; "",,filter('On Hand'!E:E,'On Hand'!A:A=A1601)),ifna(xlookup(A1601,'On Hand'!A:A,'On Hand'!E:E,),)))"),"")</f>
        <v/>
      </c>
    </row>
    <row r="1602">
      <c r="A1602" s="3" t="str">
        <f t="array" ref="A1602">ifna(_xlfn.xlookup(B1602,'All Item Code'!B:B,'All Item Code'!A:A,),)</f>
        <v/>
      </c>
      <c r="B1602" s="3"/>
      <c r="C1602" s="3" t="str">
        <f t="array" ref="C1602">if(B1602="Tidak Ada",,if(isblank(B1602),,ifna(sumif('On Hand'!A:A,A1602,'On Hand'!D:D)&amp;" "&amp;_xlfn.xlookup(A1602,'All Item Code'!A:A,'All Item Code'!D:D,),0)))</f>
        <v/>
      </c>
      <c r="D1602" s="3" t="str">
        <f>IFERROR(__xludf.DUMMYFUNCTION("if(isblank(B1602),,ifna(textjoin(""; "",,filter('On Hand'!E:E,'On Hand'!A:A=A1602)),ifna(xlookup(A1602,'On Hand'!A:A,'On Hand'!E:E,),)))"),"")</f>
        <v/>
      </c>
    </row>
    <row r="1603">
      <c r="A1603" s="3" t="str">
        <f t="array" ref="A1603">ifna(_xlfn.xlookup(B1603,'All Item Code'!B:B,'All Item Code'!A:A,),)</f>
        <v/>
      </c>
      <c r="B1603" s="3"/>
      <c r="C1603" s="3" t="str">
        <f t="array" ref="C1603">if(B1603="Tidak Ada",,if(isblank(B1603),,ifna(sumif('On Hand'!A:A,A1603,'On Hand'!D:D)&amp;" "&amp;_xlfn.xlookup(A1603,'All Item Code'!A:A,'All Item Code'!D:D,),0)))</f>
        <v/>
      </c>
      <c r="D1603" s="3" t="str">
        <f>IFERROR(__xludf.DUMMYFUNCTION("if(isblank(B1603),,ifna(textjoin(""; "",,filter('On Hand'!E:E,'On Hand'!A:A=A1603)),ifna(xlookup(A1603,'On Hand'!A:A,'On Hand'!E:E,),)))"),"")</f>
        <v/>
      </c>
    </row>
    <row r="1604">
      <c r="A1604" s="3" t="str">
        <f t="array" ref="A1604">ifna(_xlfn.xlookup(B1604,'All Item Code'!B:B,'All Item Code'!A:A,),)</f>
        <v/>
      </c>
      <c r="B1604" s="3"/>
      <c r="C1604" s="3" t="str">
        <f t="array" ref="C1604">if(B1604="Tidak Ada",,if(isblank(B1604),,ifna(sumif('On Hand'!A:A,A1604,'On Hand'!D:D)&amp;" "&amp;_xlfn.xlookup(A1604,'All Item Code'!A:A,'All Item Code'!D:D,),0)))</f>
        <v/>
      </c>
      <c r="D1604" s="3" t="str">
        <f>IFERROR(__xludf.DUMMYFUNCTION("if(isblank(B1604),,ifna(textjoin(""; "",,filter('On Hand'!E:E,'On Hand'!A:A=A1604)),ifna(xlookup(A1604,'On Hand'!A:A,'On Hand'!E:E,),)))"),"")</f>
        <v/>
      </c>
    </row>
    <row r="1605">
      <c r="A1605" s="3" t="str">
        <f t="array" ref="A1605">ifna(_xlfn.xlookup(B1605,'All Item Code'!B:B,'All Item Code'!A:A,),)</f>
        <v/>
      </c>
      <c r="B1605" s="3"/>
      <c r="C1605" s="3" t="str">
        <f t="array" ref="C1605">if(B1605="Tidak Ada",,if(isblank(B1605),,ifna(sumif('On Hand'!A:A,A1605,'On Hand'!D:D)&amp;" "&amp;_xlfn.xlookup(A1605,'All Item Code'!A:A,'All Item Code'!D:D,),0)))</f>
        <v/>
      </c>
      <c r="D1605" s="3" t="str">
        <f>IFERROR(__xludf.DUMMYFUNCTION("if(isblank(B1605),,ifna(textjoin(""; "",,filter('On Hand'!E:E,'On Hand'!A:A=A1605)),ifna(xlookup(A1605,'On Hand'!A:A,'On Hand'!E:E,),)))"),"")</f>
        <v/>
      </c>
    </row>
    <row r="1606">
      <c r="A1606" s="3" t="str">
        <f t="array" ref="A1606">ifna(_xlfn.xlookup(B1606,'All Item Code'!B:B,'All Item Code'!A:A,),)</f>
        <v/>
      </c>
      <c r="B1606" s="3"/>
      <c r="C1606" s="3" t="str">
        <f t="array" ref="C1606">if(B1606="Tidak Ada",,if(isblank(B1606),,ifna(sumif('On Hand'!A:A,A1606,'On Hand'!D:D)&amp;" "&amp;_xlfn.xlookup(A1606,'All Item Code'!A:A,'All Item Code'!D:D,),0)))</f>
        <v/>
      </c>
      <c r="D1606" s="3" t="str">
        <f>IFERROR(__xludf.DUMMYFUNCTION("if(isblank(B1606),,ifna(textjoin(""; "",,filter('On Hand'!E:E,'On Hand'!A:A=A1606)),ifna(xlookup(A1606,'On Hand'!A:A,'On Hand'!E:E,),)))"),"")</f>
        <v/>
      </c>
    </row>
    <row r="1607">
      <c r="A1607" s="3" t="str">
        <f t="array" ref="A1607">ifna(_xlfn.xlookup(B1607,'All Item Code'!B:B,'All Item Code'!A:A,),)</f>
        <v/>
      </c>
      <c r="B1607" s="3"/>
      <c r="C1607" s="3" t="str">
        <f t="array" ref="C1607">if(B1607="Tidak Ada",,if(isblank(B1607),,ifna(sumif('On Hand'!A:A,A1607,'On Hand'!D:D)&amp;" "&amp;_xlfn.xlookup(A1607,'All Item Code'!A:A,'All Item Code'!D:D,),0)))</f>
        <v/>
      </c>
      <c r="D1607" s="3" t="str">
        <f>IFERROR(__xludf.DUMMYFUNCTION("if(isblank(B1607),,ifna(textjoin(""; "",,filter('On Hand'!E:E,'On Hand'!A:A=A1607)),ifna(xlookup(A1607,'On Hand'!A:A,'On Hand'!E:E,),)))"),"")</f>
        <v/>
      </c>
    </row>
    <row r="1608">
      <c r="A1608" s="3" t="str">
        <f t="array" ref="A1608">ifna(_xlfn.xlookup(B1608,'All Item Code'!B:B,'All Item Code'!A:A,),)</f>
        <v/>
      </c>
      <c r="B1608" s="3"/>
      <c r="C1608" s="3" t="str">
        <f t="array" ref="C1608">if(B1608="Tidak Ada",,if(isblank(B1608),,ifna(sumif('On Hand'!A:A,A1608,'On Hand'!D:D)&amp;" "&amp;_xlfn.xlookup(A1608,'All Item Code'!A:A,'All Item Code'!D:D,),0)))</f>
        <v/>
      </c>
      <c r="D1608" s="3" t="str">
        <f>IFERROR(__xludf.DUMMYFUNCTION("if(isblank(B1608),,ifna(textjoin(""; "",,filter('On Hand'!E:E,'On Hand'!A:A=A1608)),ifna(xlookup(A1608,'On Hand'!A:A,'On Hand'!E:E,),)))"),"")</f>
        <v/>
      </c>
    </row>
    <row r="1609">
      <c r="A1609" s="3" t="str">
        <f t="array" ref="A1609">ifna(_xlfn.xlookup(B1609,'All Item Code'!B:B,'All Item Code'!A:A,),)</f>
        <v/>
      </c>
      <c r="B1609" s="3"/>
      <c r="C1609" s="3" t="str">
        <f t="array" ref="C1609">if(B1609="Tidak Ada",,if(isblank(B1609),,ifna(sumif('On Hand'!A:A,A1609,'On Hand'!D:D)&amp;" "&amp;_xlfn.xlookup(A1609,'All Item Code'!A:A,'All Item Code'!D:D,),0)))</f>
        <v/>
      </c>
      <c r="D1609" s="3" t="str">
        <f>IFERROR(__xludf.DUMMYFUNCTION("if(isblank(B1609),,ifna(textjoin(""; "",,filter('On Hand'!E:E,'On Hand'!A:A=A1609)),ifna(xlookup(A1609,'On Hand'!A:A,'On Hand'!E:E,),)))"),"")</f>
        <v/>
      </c>
    </row>
    <row r="1610">
      <c r="A1610" s="3" t="str">
        <f t="array" ref="A1610">ifna(_xlfn.xlookup(B1610,'All Item Code'!B:B,'All Item Code'!A:A,),)</f>
        <v/>
      </c>
      <c r="B1610" s="3"/>
      <c r="C1610" s="3" t="str">
        <f t="array" ref="C1610">if(B1610="Tidak Ada",,if(isblank(B1610),,ifna(sumif('On Hand'!A:A,A1610,'On Hand'!D:D)&amp;" "&amp;_xlfn.xlookup(A1610,'All Item Code'!A:A,'All Item Code'!D:D,),0)))</f>
        <v/>
      </c>
      <c r="D1610" s="3" t="str">
        <f>IFERROR(__xludf.DUMMYFUNCTION("if(isblank(B1610),,ifna(textjoin(""; "",,filter('On Hand'!E:E,'On Hand'!A:A=A1610)),ifna(xlookup(A1610,'On Hand'!A:A,'On Hand'!E:E,),)))"),"")</f>
        <v/>
      </c>
    </row>
    <row r="1611">
      <c r="A1611" s="3" t="str">
        <f t="array" ref="A1611">ifna(_xlfn.xlookup(B1611,'All Item Code'!B:B,'All Item Code'!A:A,),)</f>
        <v/>
      </c>
      <c r="B1611" s="3"/>
      <c r="C1611" s="3" t="str">
        <f t="array" ref="C1611">if(B1611="Tidak Ada",,if(isblank(B1611),,ifna(sumif('On Hand'!A:A,A1611,'On Hand'!D:D)&amp;" "&amp;_xlfn.xlookup(A1611,'All Item Code'!A:A,'All Item Code'!D:D,),0)))</f>
        <v/>
      </c>
      <c r="D1611" s="3" t="str">
        <f>IFERROR(__xludf.DUMMYFUNCTION("if(isblank(B1611),,ifna(textjoin(""; "",,filter('On Hand'!E:E,'On Hand'!A:A=A1611)),ifna(xlookup(A1611,'On Hand'!A:A,'On Hand'!E:E,),)))"),"")</f>
        <v/>
      </c>
    </row>
    <row r="1612">
      <c r="A1612" s="3" t="str">
        <f t="array" ref="A1612">ifna(_xlfn.xlookup(B1612,'All Item Code'!B:B,'All Item Code'!A:A,),)</f>
        <v/>
      </c>
      <c r="B1612" s="3"/>
      <c r="C1612" s="3" t="str">
        <f t="array" ref="C1612">if(B1612="Tidak Ada",,if(isblank(B1612),,ifna(sumif('On Hand'!A:A,A1612,'On Hand'!D:D)&amp;" "&amp;_xlfn.xlookup(A1612,'All Item Code'!A:A,'All Item Code'!D:D,),0)))</f>
        <v/>
      </c>
      <c r="D1612" s="3" t="str">
        <f>IFERROR(__xludf.DUMMYFUNCTION("if(isblank(B1612),,ifna(textjoin(""; "",,filter('On Hand'!E:E,'On Hand'!A:A=A1612)),ifna(xlookup(A1612,'On Hand'!A:A,'On Hand'!E:E,),)))"),"")</f>
        <v/>
      </c>
    </row>
    <row r="1613">
      <c r="A1613" s="3" t="str">
        <f t="array" ref="A1613">ifna(_xlfn.xlookup(B1613,'All Item Code'!B:B,'All Item Code'!A:A,),)</f>
        <v/>
      </c>
      <c r="B1613" s="3"/>
      <c r="C1613" s="3" t="str">
        <f t="array" ref="C1613">if(B1613="Tidak Ada",,if(isblank(B1613),,ifna(sumif('On Hand'!A:A,A1613,'On Hand'!D:D)&amp;" "&amp;_xlfn.xlookup(A1613,'All Item Code'!A:A,'All Item Code'!D:D,),0)))</f>
        <v/>
      </c>
      <c r="D1613" s="3" t="str">
        <f>IFERROR(__xludf.DUMMYFUNCTION("if(isblank(B1613),,ifna(textjoin(""; "",,filter('On Hand'!E:E,'On Hand'!A:A=A1613)),ifna(xlookup(A1613,'On Hand'!A:A,'On Hand'!E:E,),)))"),"")</f>
        <v/>
      </c>
    </row>
    <row r="1614">
      <c r="A1614" s="3" t="str">
        <f t="array" ref="A1614">ifna(_xlfn.xlookup(B1614,'All Item Code'!B:B,'All Item Code'!A:A,),)</f>
        <v/>
      </c>
      <c r="B1614" s="3"/>
      <c r="C1614" s="3" t="str">
        <f t="array" ref="C1614">if(B1614="Tidak Ada",,if(isblank(B1614),,ifna(sumif('On Hand'!A:A,A1614,'On Hand'!D:D)&amp;" "&amp;_xlfn.xlookup(A1614,'All Item Code'!A:A,'All Item Code'!D:D,),0)))</f>
        <v/>
      </c>
      <c r="D1614" s="3" t="str">
        <f>IFERROR(__xludf.DUMMYFUNCTION("if(isblank(B1614),,ifna(textjoin(""; "",,filter('On Hand'!E:E,'On Hand'!A:A=A1614)),ifna(xlookup(A1614,'On Hand'!A:A,'On Hand'!E:E,),)))"),"")</f>
        <v/>
      </c>
    </row>
    <row r="1615">
      <c r="A1615" s="3" t="str">
        <f t="array" ref="A1615">ifna(_xlfn.xlookup(B1615,'All Item Code'!B:B,'All Item Code'!A:A,),)</f>
        <v/>
      </c>
      <c r="B1615" s="3"/>
      <c r="C1615" s="3" t="str">
        <f t="array" ref="C1615">if(B1615="Tidak Ada",,if(isblank(B1615),,ifna(sumif('On Hand'!A:A,A1615,'On Hand'!D:D)&amp;" "&amp;_xlfn.xlookup(A1615,'All Item Code'!A:A,'All Item Code'!D:D,),0)))</f>
        <v/>
      </c>
      <c r="D1615" s="3" t="str">
        <f>IFERROR(__xludf.DUMMYFUNCTION("if(isblank(B1615),,ifna(textjoin(""; "",,filter('On Hand'!E:E,'On Hand'!A:A=A1615)),ifna(xlookup(A1615,'On Hand'!A:A,'On Hand'!E:E,),)))"),"")</f>
        <v/>
      </c>
    </row>
    <row r="1616">
      <c r="A1616" s="3" t="str">
        <f t="array" ref="A1616">ifna(_xlfn.xlookup(B1616,'All Item Code'!B:B,'All Item Code'!A:A,),)</f>
        <v/>
      </c>
      <c r="B1616" s="3"/>
      <c r="C1616" s="3" t="str">
        <f t="array" ref="C1616">if(B1616="Tidak Ada",,if(isblank(B1616),,ifna(sumif('On Hand'!A:A,A1616,'On Hand'!D:D)&amp;" "&amp;_xlfn.xlookup(A1616,'All Item Code'!A:A,'All Item Code'!D:D,),0)))</f>
        <v/>
      </c>
      <c r="D1616" s="3" t="str">
        <f>IFERROR(__xludf.DUMMYFUNCTION("if(isblank(B1616),,ifna(textjoin(""; "",,filter('On Hand'!E:E,'On Hand'!A:A=A1616)),ifna(xlookup(A1616,'On Hand'!A:A,'On Hand'!E:E,),)))"),"")</f>
        <v/>
      </c>
    </row>
    <row r="1617">
      <c r="A1617" s="3" t="str">
        <f t="array" ref="A1617">ifna(_xlfn.xlookup(B1617,'All Item Code'!B:B,'All Item Code'!A:A,),)</f>
        <v/>
      </c>
      <c r="B1617" s="3"/>
      <c r="C1617" s="3" t="str">
        <f t="array" ref="C1617">if(B1617="Tidak Ada",,if(isblank(B1617),,ifna(sumif('On Hand'!A:A,A1617,'On Hand'!D:D)&amp;" "&amp;_xlfn.xlookup(A1617,'All Item Code'!A:A,'All Item Code'!D:D,),0)))</f>
        <v/>
      </c>
      <c r="D1617" s="3" t="str">
        <f>IFERROR(__xludf.DUMMYFUNCTION("if(isblank(B1617),,ifna(textjoin(""; "",,filter('On Hand'!E:E,'On Hand'!A:A=A1617)),ifna(xlookup(A1617,'On Hand'!A:A,'On Hand'!E:E,),)))"),"")</f>
        <v/>
      </c>
    </row>
    <row r="1618">
      <c r="A1618" s="3" t="str">
        <f t="array" ref="A1618">ifna(_xlfn.xlookup(B1618,'All Item Code'!B:B,'All Item Code'!A:A,),)</f>
        <v/>
      </c>
      <c r="B1618" s="3"/>
      <c r="C1618" s="3" t="str">
        <f t="array" ref="C1618">if(B1618="Tidak Ada",,if(isblank(B1618),,ifna(sumif('On Hand'!A:A,A1618,'On Hand'!D:D)&amp;" "&amp;_xlfn.xlookup(A1618,'All Item Code'!A:A,'All Item Code'!D:D,),0)))</f>
        <v/>
      </c>
      <c r="D1618" s="3" t="str">
        <f>IFERROR(__xludf.DUMMYFUNCTION("if(isblank(B1618),,ifna(textjoin(""; "",,filter('On Hand'!E:E,'On Hand'!A:A=A1618)),ifna(xlookup(A1618,'On Hand'!A:A,'On Hand'!E:E,),)))"),"")</f>
        <v/>
      </c>
    </row>
    <row r="1619">
      <c r="A1619" s="3" t="str">
        <f t="array" ref="A1619">ifna(_xlfn.xlookup(B1619,'All Item Code'!B:B,'All Item Code'!A:A,),)</f>
        <v/>
      </c>
      <c r="B1619" s="3"/>
      <c r="C1619" s="3" t="str">
        <f t="array" ref="C1619">if(B1619="Tidak Ada",,if(isblank(B1619),,ifna(sumif('On Hand'!A:A,A1619,'On Hand'!D:D)&amp;" "&amp;_xlfn.xlookup(A1619,'All Item Code'!A:A,'All Item Code'!D:D,),0)))</f>
        <v/>
      </c>
      <c r="D1619" s="3" t="str">
        <f>IFERROR(__xludf.DUMMYFUNCTION("if(isblank(B1619),,ifna(textjoin(""; "",,filter('On Hand'!E:E,'On Hand'!A:A=A1619)),ifna(xlookup(A1619,'On Hand'!A:A,'On Hand'!E:E,),)))"),"")</f>
        <v/>
      </c>
    </row>
    <row r="1620">
      <c r="A1620" s="3" t="str">
        <f t="array" ref="A1620">ifna(_xlfn.xlookup(B1620,'All Item Code'!B:B,'All Item Code'!A:A,),)</f>
        <v/>
      </c>
      <c r="B1620" s="3"/>
      <c r="C1620" s="3" t="str">
        <f t="array" ref="C1620">if(B1620="Tidak Ada",,if(isblank(B1620),,ifna(sumif('On Hand'!A:A,A1620,'On Hand'!D:D)&amp;" "&amp;_xlfn.xlookup(A1620,'All Item Code'!A:A,'All Item Code'!D:D,),0)))</f>
        <v/>
      </c>
      <c r="D1620" s="3" t="str">
        <f>IFERROR(__xludf.DUMMYFUNCTION("if(isblank(B1620),,ifna(textjoin(""; "",,filter('On Hand'!E:E,'On Hand'!A:A=A1620)),ifna(xlookup(A1620,'On Hand'!A:A,'On Hand'!E:E,),)))"),"")</f>
        <v/>
      </c>
    </row>
    <row r="1621">
      <c r="A1621" s="3" t="str">
        <f t="array" ref="A1621">ifna(_xlfn.xlookup(B1621,'All Item Code'!B:B,'All Item Code'!A:A,),)</f>
        <v/>
      </c>
      <c r="B1621" s="3"/>
      <c r="C1621" s="3" t="str">
        <f t="array" ref="C1621">if(B1621="Tidak Ada",,if(isblank(B1621),,ifna(sumif('On Hand'!A:A,A1621,'On Hand'!D:D)&amp;" "&amp;_xlfn.xlookup(A1621,'All Item Code'!A:A,'All Item Code'!D:D,),0)))</f>
        <v/>
      </c>
      <c r="D1621" s="3" t="str">
        <f>IFERROR(__xludf.DUMMYFUNCTION("if(isblank(B1621),,ifna(textjoin(""; "",,filter('On Hand'!E:E,'On Hand'!A:A=A1621)),ifna(xlookup(A1621,'On Hand'!A:A,'On Hand'!E:E,),)))"),"")</f>
        <v/>
      </c>
    </row>
    <row r="1622">
      <c r="A1622" s="3" t="str">
        <f t="array" ref="A1622">ifna(_xlfn.xlookup(B1622,'All Item Code'!B:B,'All Item Code'!A:A,),)</f>
        <v/>
      </c>
      <c r="B1622" s="3"/>
      <c r="C1622" s="3" t="str">
        <f t="array" ref="C1622">if(B1622="Tidak Ada",,if(isblank(B1622),,ifna(sumif('On Hand'!A:A,A1622,'On Hand'!D:D)&amp;" "&amp;_xlfn.xlookup(A1622,'All Item Code'!A:A,'All Item Code'!D:D,),0)))</f>
        <v/>
      </c>
      <c r="D1622" s="3" t="str">
        <f>IFERROR(__xludf.DUMMYFUNCTION("if(isblank(B1622),,ifna(textjoin(""; "",,filter('On Hand'!E:E,'On Hand'!A:A=A1622)),ifna(xlookup(A1622,'On Hand'!A:A,'On Hand'!E:E,),)))"),"")</f>
        <v/>
      </c>
    </row>
    <row r="1623">
      <c r="A1623" s="3" t="str">
        <f t="array" ref="A1623">ifna(_xlfn.xlookup(B1623,'All Item Code'!B:B,'All Item Code'!A:A,),)</f>
        <v/>
      </c>
      <c r="B1623" s="3"/>
      <c r="C1623" s="3" t="str">
        <f t="array" ref="C1623">if(B1623="Tidak Ada",,if(isblank(B1623),,ifna(sumif('On Hand'!A:A,A1623,'On Hand'!D:D)&amp;" "&amp;_xlfn.xlookup(A1623,'All Item Code'!A:A,'All Item Code'!D:D,),0)))</f>
        <v/>
      </c>
      <c r="D1623" s="3" t="str">
        <f>IFERROR(__xludf.DUMMYFUNCTION("if(isblank(B1623),,ifna(textjoin(""; "",,filter('On Hand'!E:E,'On Hand'!A:A=A1623)),ifna(xlookup(A1623,'On Hand'!A:A,'On Hand'!E:E,),)))"),"")</f>
        <v/>
      </c>
    </row>
    <row r="1624">
      <c r="A1624" s="3" t="str">
        <f t="array" ref="A1624">ifna(_xlfn.xlookup(B1624,'All Item Code'!B:B,'All Item Code'!A:A,),)</f>
        <v/>
      </c>
      <c r="B1624" s="3"/>
      <c r="C1624" s="3" t="str">
        <f t="array" ref="C1624">if(B1624="Tidak Ada",,if(isblank(B1624),,ifna(sumif('On Hand'!A:A,A1624,'On Hand'!D:D)&amp;" "&amp;_xlfn.xlookup(A1624,'All Item Code'!A:A,'All Item Code'!D:D,),0)))</f>
        <v/>
      </c>
      <c r="D1624" s="3" t="str">
        <f>IFERROR(__xludf.DUMMYFUNCTION("if(isblank(B1624),,ifna(textjoin(""; "",,filter('On Hand'!E:E,'On Hand'!A:A=A1624)),ifna(xlookup(A1624,'On Hand'!A:A,'On Hand'!E:E,),)))"),"")</f>
        <v/>
      </c>
    </row>
    <row r="1625">
      <c r="A1625" s="3" t="str">
        <f t="array" ref="A1625">ifna(_xlfn.xlookup(B1625,'All Item Code'!B:B,'All Item Code'!A:A,),)</f>
        <v/>
      </c>
      <c r="B1625" s="3"/>
      <c r="C1625" s="3" t="str">
        <f t="array" ref="C1625">if(B1625="Tidak Ada",,if(isblank(B1625),,ifna(sumif('On Hand'!A:A,A1625,'On Hand'!D:D)&amp;" "&amp;_xlfn.xlookup(A1625,'All Item Code'!A:A,'All Item Code'!D:D,),0)))</f>
        <v/>
      </c>
      <c r="D1625" s="3" t="str">
        <f>IFERROR(__xludf.DUMMYFUNCTION("if(isblank(B1625),,ifna(textjoin(""; "",,filter('On Hand'!E:E,'On Hand'!A:A=A1625)),ifna(xlookup(A1625,'On Hand'!A:A,'On Hand'!E:E,),)))"),"")</f>
        <v/>
      </c>
    </row>
    <row r="1626">
      <c r="A1626" s="3" t="str">
        <f t="array" ref="A1626">ifna(_xlfn.xlookup(B1626,'All Item Code'!B:B,'All Item Code'!A:A,),)</f>
        <v/>
      </c>
      <c r="B1626" s="3"/>
      <c r="C1626" s="3" t="str">
        <f t="array" ref="C1626">if(B1626="Tidak Ada",,if(isblank(B1626),,ifna(sumif('On Hand'!A:A,A1626,'On Hand'!D:D)&amp;" "&amp;_xlfn.xlookup(A1626,'All Item Code'!A:A,'All Item Code'!D:D,),0)))</f>
        <v/>
      </c>
      <c r="D1626" s="3" t="str">
        <f>IFERROR(__xludf.DUMMYFUNCTION("if(isblank(B1626),,ifna(textjoin(""; "",,filter('On Hand'!E:E,'On Hand'!A:A=A1626)),ifna(xlookup(A1626,'On Hand'!A:A,'On Hand'!E:E,),)))"),"")</f>
        <v/>
      </c>
    </row>
    <row r="1627">
      <c r="A1627" s="3" t="str">
        <f t="array" ref="A1627">ifna(_xlfn.xlookup(B1627,'All Item Code'!B:B,'All Item Code'!A:A,),)</f>
        <v/>
      </c>
      <c r="B1627" s="3"/>
      <c r="C1627" s="3" t="str">
        <f t="array" ref="C1627">if(B1627="Tidak Ada",,if(isblank(B1627),,ifna(sumif('On Hand'!A:A,A1627,'On Hand'!D:D)&amp;" "&amp;_xlfn.xlookup(A1627,'All Item Code'!A:A,'All Item Code'!D:D,),0)))</f>
        <v/>
      </c>
      <c r="D1627" s="3" t="str">
        <f>IFERROR(__xludf.DUMMYFUNCTION("if(isblank(B1627),,ifna(textjoin(""; "",,filter('On Hand'!E:E,'On Hand'!A:A=A1627)),ifna(xlookup(A1627,'On Hand'!A:A,'On Hand'!E:E,),)))"),"")</f>
        <v/>
      </c>
    </row>
    <row r="1628">
      <c r="A1628" s="3" t="str">
        <f t="array" ref="A1628">ifna(_xlfn.xlookup(B1628,'All Item Code'!B:B,'All Item Code'!A:A,),)</f>
        <v/>
      </c>
      <c r="B1628" s="3"/>
      <c r="C1628" s="3" t="str">
        <f t="array" ref="C1628">if(B1628="Tidak Ada",,if(isblank(B1628),,ifna(sumif('On Hand'!A:A,A1628,'On Hand'!D:D)&amp;" "&amp;_xlfn.xlookup(A1628,'All Item Code'!A:A,'All Item Code'!D:D,),0)))</f>
        <v/>
      </c>
      <c r="D1628" s="3" t="str">
        <f>IFERROR(__xludf.DUMMYFUNCTION("if(isblank(B1628),,ifna(textjoin(""; "",,filter('On Hand'!E:E,'On Hand'!A:A=A1628)),ifna(xlookup(A1628,'On Hand'!A:A,'On Hand'!E:E,),)))"),"")</f>
        <v/>
      </c>
    </row>
    <row r="1629">
      <c r="A1629" s="3" t="str">
        <f t="array" ref="A1629">ifna(_xlfn.xlookup(B1629,'All Item Code'!B:B,'All Item Code'!A:A,),)</f>
        <v/>
      </c>
      <c r="B1629" s="3"/>
      <c r="C1629" s="3" t="str">
        <f t="array" ref="C1629">if(B1629="Tidak Ada",,if(isblank(B1629),,ifna(sumif('On Hand'!A:A,A1629,'On Hand'!D:D)&amp;" "&amp;_xlfn.xlookup(A1629,'All Item Code'!A:A,'All Item Code'!D:D,),0)))</f>
        <v/>
      </c>
      <c r="D1629" s="3" t="str">
        <f>IFERROR(__xludf.DUMMYFUNCTION("if(isblank(B1629),,ifna(textjoin(""; "",,filter('On Hand'!E:E,'On Hand'!A:A=A1629)),ifna(xlookup(A1629,'On Hand'!A:A,'On Hand'!E:E,),)))"),"")</f>
        <v/>
      </c>
    </row>
    <row r="1630">
      <c r="A1630" s="3" t="str">
        <f t="array" ref="A1630">ifna(_xlfn.xlookup(B1630,'All Item Code'!B:B,'All Item Code'!A:A,),)</f>
        <v/>
      </c>
      <c r="B1630" s="3"/>
      <c r="C1630" s="3" t="str">
        <f t="array" ref="C1630">if(B1630="Tidak Ada",,if(isblank(B1630),,ifna(sumif('On Hand'!A:A,A1630,'On Hand'!D:D)&amp;" "&amp;_xlfn.xlookup(A1630,'All Item Code'!A:A,'All Item Code'!D:D,),0)))</f>
        <v/>
      </c>
      <c r="D1630" s="3" t="str">
        <f>IFERROR(__xludf.DUMMYFUNCTION("if(isblank(B1630),,ifna(textjoin(""; "",,filter('On Hand'!E:E,'On Hand'!A:A=A1630)),ifna(xlookup(A1630,'On Hand'!A:A,'On Hand'!E:E,),)))"),"")</f>
        <v/>
      </c>
    </row>
    <row r="1631">
      <c r="A1631" s="3" t="str">
        <f t="array" ref="A1631">ifna(_xlfn.xlookup(B1631,'All Item Code'!B:B,'All Item Code'!A:A,),)</f>
        <v/>
      </c>
      <c r="B1631" s="3"/>
      <c r="C1631" s="3" t="str">
        <f t="array" ref="C1631">if(B1631="Tidak Ada",,if(isblank(B1631),,ifna(sumif('On Hand'!A:A,A1631,'On Hand'!D:D)&amp;" "&amp;_xlfn.xlookup(A1631,'All Item Code'!A:A,'All Item Code'!D:D,),0)))</f>
        <v/>
      </c>
      <c r="D1631" s="3" t="str">
        <f>IFERROR(__xludf.DUMMYFUNCTION("if(isblank(B1631),,ifna(textjoin(""; "",,filter('On Hand'!E:E,'On Hand'!A:A=A1631)),ifna(xlookup(A1631,'On Hand'!A:A,'On Hand'!E:E,),)))"),"")</f>
        <v/>
      </c>
    </row>
    <row r="1632">
      <c r="A1632" s="3" t="str">
        <f t="array" ref="A1632">ifna(_xlfn.xlookup(B1632,'All Item Code'!B:B,'All Item Code'!A:A,),)</f>
        <v/>
      </c>
      <c r="B1632" s="3"/>
      <c r="C1632" s="3" t="str">
        <f t="array" ref="C1632">if(B1632="Tidak Ada",,if(isblank(B1632),,ifna(sumif('On Hand'!A:A,A1632,'On Hand'!D:D)&amp;" "&amp;_xlfn.xlookup(A1632,'All Item Code'!A:A,'All Item Code'!D:D,),0)))</f>
        <v/>
      </c>
      <c r="D1632" s="3" t="str">
        <f>IFERROR(__xludf.DUMMYFUNCTION("if(isblank(B1632),,ifna(textjoin(""; "",,filter('On Hand'!E:E,'On Hand'!A:A=A1632)),ifna(xlookup(A1632,'On Hand'!A:A,'On Hand'!E:E,),)))"),"")</f>
        <v/>
      </c>
    </row>
    <row r="1633">
      <c r="A1633" s="3" t="str">
        <f t="array" ref="A1633">ifna(_xlfn.xlookup(B1633,'All Item Code'!B:B,'All Item Code'!A:A,),)</f>
        <v/>
      </c>
      <c r="B1633" s="3"/>
      <c r="C1633" s="3" t="str">
        <f t="array" ref="C1633">if(B1633="Tidak Ada",,if(isblank(B1633),,ifna(sumif('On Hand'!A:A,A1633,'On Hand'!D:D)&amp;" "&amp;_xlfn.xlookup(A1633,'All Item Code'!A:A,'All Item Code'!D:D,),0)))</f>
        <v/>
      </c>
      <c r="D1633" s="3" t="str">
        <f>IFERROR(__xludf.DUMMYFUNCTION("if(isblank(B1633),,ifna(textjoin(""; "",,filter('On Hand'!E:E,'On Hand'!A:A=A1633)),ifna(xlookup(A1633,'On Hand'!A:A,'On Hand'!E:E,),)))"),"")</f>
        <v/>
      </c>
    </row>
    <row r="1634">
      <c r="A1634" s="3" t="str">
        <f t="array" ref="A1634">ifna(_xlfn.xlookup(B1634,'All Item Code'!B:B,'All Item Code'!A:A,),)</f>
        <v/>
      </c>
      <c r="B1634" s="3"/>
      <c r="C1634" s="3" t="str">
        <f t="array" ref="C1634">if(B1634="Tidak Ada",,if(isblank(B1634),,ifna(sumif('On Hand'!A:A,A1634,'On Hand'!D:D)&amp;" "&amp;_xlfn.xlookup(A1634,'All Item Code'!A:A,'All Item Code'!D:D,),0)))</f>
        <v/>
      </c>
      <c r="D1634" s="3" t="str">
        <f>IFERROR(__xludf.DUMMYFUNCTION("if(isblank(B1634),,ifna(textjoin(""; "",,filter('On Hand'!E:E,'On Hand'!A:A=A1634)),ifna(xlookup(A1634,'On Hand'!A:A,'On Hand'!E:E,),)))"),"")</f>
        <v/>
      </c>
    </row>
    <row r="1635">
      <c r="A1635" s="3" t="str">
        <f t="array" ref="A1635">ifna(_xlfn.xlookup(B1635,'All Item Code'!B:B,'All Item Code'!A:A,),)</f>
        <v/>
      </c>
      <c r="B1635" s="3"/>
      <c r="C1635" s="3" t="str">
        <f t="array" ref="C1635">if(B1635="Tidak Ada",,if(isblank(B1635),,ifna(sumif('On Hand'!A:A,A1635,'On Hand'!D:D)&amp;" "&amp;_xlfn.xlookup(A1635,'All Item Code'!A:A,'All Item Code'!D:D,),0)))</f>
        <v/>
      </c>
      <c r="D1635" s="3" t="str">
        <f>IFERROR(__xludf.DUMMYFUNCTION("if(isblank(B1635),,ifna(textjoin(""; "",,filter('On Hand'!E:E,'On Hand'!A:A=A1635)),ifna(xlookup(A1635,'On Hand'!A:A,'On Hand'!E:E,),)))"),"")</f>
        <v/>
      </c>
    </row>
    <row r="1636">
      <c r="A1636" s="3" t="str">
        <f t="array" ref="A1636">ifna(_xlfn.xlookup(B1636,'All Item Code'!B:B,'All Item Code'!A:A,),)</f>
        <v/>
      </c>
      <c r="B1636" s="3"/>
      <c r="C1636" s="3" t="str">
        <f t="array" ref="C1636">if(B1636="Tidak Ada",,if(isblank(B1636),,ifna(sumif('On Hand'!A:A,A1636,'On Hand'!D:D)&amp;" "&amp;_xlfn.xlookup(A1636,'All Item Code'!A:A,'All Item Code'!D:D,),0)))</f>
        <v/>
      </c>
      <c r="D1636" s="3" t="str">
        <f>IFERROR(__xludf.DUMMYFUNCTION("if(isblank(B1636),,ifna(textjoin(""; "",,filter('On Hand'!E:E,'On Hand'!A:A=A1636)),ifna(xlookup(A1636,'On Hand'!A:A,'On Hand'!E:E,),)))"),"")</f>
        <v/>
      </c>
    </row>
    <row r="1637">
      <c r="A1637" s="3" t="str">
        <f t="array" ref="A1637">ifna(_xlfn.xlookup(B1637,'All Item Code'!B:B,'All Item Code'!A:A,),)</f>
        <v/>
      </c>
      <c r="B1637" s="3"/>
      <c r="C1637" s="3" t="str">
        <f t="array" ref="C1637">if(B1637="Tidak Ada",,if(isblank(B1637),,ifna(sumif('On Hand'!A:A,A1637,'On Hand'!D:D)&amp;" "&amp;_xlfn.xlookup(A1637,'All Item Code'!A:A,'All Item Code'!D:D,),0)))</f>
        <v/>
      </c>
      <c r="D1637" s="3" t="str">
        <f>IFERROR(__xludf.DUMMYFUNCTION("if(isblank(B1637),,ifna(textjoin(""; "",,filter('On Hand'!E:E,'On Hand'!A:A=A1637)),ifna(xlookup(A1637,'On Hand'!A:A,'On Hand'!E:E,),)))"),"")</f>
        <v/>
      </c>
    </row>
    <row r="1638">
      <c r="A1638" s="3" t="str">
        <f t="array" ref="A1638">ifna(_xlfn.xlookup(B1638,'All Item Code'!B:B,'All Item Code'!A:A,),)</f>
        <v/>
      </c>
      <c r="B1638" s="3"/>
      <c r="C1638" s="3" t="str">
        <f t="array" ref="C1638">if(B1638="Tidak Ada",,if(isblank(B1638),,ifna(sumif('On Hand'!A:A,A1638,'On Hand'!D:D)&amp;" "&amp;_xlfn.xlookup(A1638,'All Item Code'!A:A,'All Item Code'!D:D,),0)))</f>
        <v/>
      </c>
      <c r="D1638" s="3" t="str">
        <f>IFERROR(__xludf.DUMMYFUNCTION("if(isblank(B1638),,ifna(textjoin(""; "",,filter('On Hand'!E:E,'On Hand'!A:A=A1638)),ifna(xlookup(A1638,'On Hand'!A:A,'On Hand'!E:E,),)))"),"")</f>
        <v/>
      </c>
    </row>
    <row r="1639">
      <c r="A1639" s="3" t="str">
        <f t="array" ref="A1639">ifna(_xlfn.xlookup(B1639,'All Item Code'!B:B,'All Item Code'!A:A,),)</f>
        <v/>
      </c>
      <c r="B1639" s="3"/>
      <c r="C1639" s="3" t="str">
        <f t="array" ref="C1639">if(B1639="Tidak Ada",,if(isblank(B1639),,ifna(sumif('On Hand'!A:A,A1639,'On Hand'!D:D)&amp;" "&amp;_xlfn.xlookup(A1639,'All Item Code'!A:A,'All Item Code'!D:D,),0)))</f>
        <v/>
      </c>
      <c r="D1639" s="3" t="str">
        <f>IFERROR(__xludf.DUMMYFUNCTION("if(isblank(B1639),,ifna(textjoin(""; "",,filter('On Hand'!E:E,'On Hand'!A:A=A1639)),ifna(xlookup(A1639,'On Hand'!A:A,'On Hand'!E:E,),)))"),"")</f>
        <v/>
      </c>
    </row>
    <row r="1640">
      <c r="A1640" s="3" t="str">
        <f t="array" ref="A1640">ifna(_xlfn.xlookup(B1640,'All Item Code'!B:B,'All Item Code'!A:A,),)</f>
        <v/>
      </c>
      <c r="B1640" s="3"/>
      <c r="C1640" s="3" t="str">
        <f t="array" ref="C1640">if(B1640="Tidak Ada",,if(isblank(B1640),,ifna(sumif('On Hand'!A:A,A1640,'On Hand'!D:D)&amp;" "&amp;_xlfn.xlookup(A1640,'All Item Code'!A:A,'All Item Code'!D:D,),0)))</f>
        <v/>
      </c>
      <c r="D1640" s="3" t="str">
        <f>IFERROR(__xludf.DUMMYFUNCTION("if(isblank(B1640),,ifna(textjoin(""; "",,filter('On Hand'!E:E,'On Hand'!A:A=A1640)),ifna(xlookup(A1640,'On Hand'!A:A,'On Hand'!E:E,),)))"),"")</f>
        <v/>
      </c>
    </row>
    <row r="1641">
      <c r="A1641" s="3" t="str">
        <f t="array" ref="A1641">ifna(_xlfn.xlookup(B1641,'All Item Code'!B:B,'All Item Code'!A:A,),)</f>
        <v/>
      </c>
      <c r="B1641" s="3"/>
      <c r="C1641" s="3" t="str">
        <f t="array" ref="C1641">if(B1641="Tidak Ada",,if(isblank(B1641),,ifna(sumif('On Hand'!A:A,A1641,'On Hand'!D:D)&amp;" "&amp;_xlfn.xlookup(A1641,'All Item Code'!A:A,'All Item Code'!D:D,),0)))</f>
        <v/>
      </c>
      <c r="D1641" s="3" t="str">
        <f>IFERROR(__xludf.DUMMYFUNCTION("if(isblank(B1641),,ifna(textjoin(""; "",,filter('On Hand'!E:E,'On Hand'!A:A=A1641)),ifna(xlookup(A1641,'On Hand'!A:A,'On Hand'!E:E,),)))"),"")</f>
        <v/>
      </c>
    </row>
    <row r="1642">
      <c r="A1642" s="3" t="str">
        <f t="array" ref="A1642">ifna(_xlfn.xlookup(B1642,'All Item Code'!B:B,'All Item Code'!A:A,),)</f>
        <v/>
      </c>
      <c r="B1642" s="3"/>
      <c r="C1642" s="3" t="str">
        <f t="array" ref="C1642">if(B1642="Tidak Ada",,if(isblank(B1642),,ifna(sumif('On Hand'!A:A,A1642,'On Hand'!D:D)&amp;" "&amp;_xlfn.xlookup(A1642,'All Item Code'!A:A,'All Item Code'!D:D,),0)))</f>
        <v/>
      </c>
      <c r="D1642" s="3" t="str">
        <f>IFERROR(__xludf.DUMMYFUNCTION("if(isblank(B1642),,ifna(textjoin(""; "",,filter('On Hand'!E:E,'On Hand'!A:A=A1642)),ifna(xlookup(A1642,'On Hand'!A:A,'On Hand'!E:E,),)))"),"")</f>
        <v/>
      </c>
    </row>
    <row r="1643">
      <c r="A1643" s="3" t="str">
        <f t="array" ref="A1643">ifna(_xlfn.xlookup(B1643,'All Item Code'!B:B,'All Item Code'!A:A,),)</f>
        <v/>
      </c>
      <c r="B1643" s="3"/>
      <c r="C1643" s="3" t="str">
        <f t="array" ref="C1643">if(B1643="Tidak Ada",,if(isblank(B1643),,ifna(sumif('On Hand'!A:A,A1643,'On Hand'!D:D)&amp;" "&amp;_xlfn.xlookup(A1643,'All Item Code'!A:A,'All Item Code'!D:D,),0)))</f>
        <v/>
      </c>
      <c r="D1643" s="3" t="str">
        <f>IFERROR(__xludf.DUMMYFUNCTION("if(isblank(B1643),,ifna(textjoin(""; "",,filter('On Hand'!E:E,'On Hand'!A:A=A1643)),ifna(xlookup(A1643,'On Hand'!A:A,'On Hand'!E:E,),)))"),"")</f>
        <v/>
      </c>
    </row>
    <row r="1644">
      <c r="A1644" s="3" t="str">
        <f t="array" ref="A1644">ifna(_xlfn.xlookup(B1644,'All Item Code'!B:B,'All Item Code'!A:A,),)</f>
        <v/>
      </c>
      <c r="B1644" s="3"/>
      <c r="C1644" s="3" t="str">
        <f t="array" ref="C1644">if(B1644="Tidak Ada",,if(isblank(B1644),,ifna(sumif('On Hand'!A:A,A1644,'On Hand'!D:D)&amp;" "&amp;_xlfn.xlookup(A1644,'All Item Code'!A:A,'All Item Code'!D:D,),0)))</f>
        <v/>
      </c>
      <c r="D1644" s="3" t="str">
        <f>IFERROR(__xludf.DUMMYFUNCTION("if(isblank(B1644),,ifna(textjoin(""; "",,filter('On Hand'!E:E,'On Hand'!A:A=A1644)),ifna(xlookup(A1644,'On Hand'!A:A,'On Hand'!E:E,),)))"),"")</f>
        <v/>
      </c>
    </row>
    <row r="1645">
      <c r="A1645" s="3" t="str">
        <f t="array" ref="A1645">ifna(_xlfn.xlookup(B1645,'All Item Code'!B:B,'All Item Code'!A:A,),)</f>
        <v/>
      </c>
      <c r="B1645" s="3"/>
      <c r="C1645" s="3" t="str">
        <f t="array" ref="C1645">if(B1645="Tidak Ada",,if(isblank(B1645),,ifna(sumif('On Hand'!A:A,A1645,'On Hand'!D:D)&amp;" "&amp;_xlfn.xlookup(A1645,'All Item Code'!A:A,'All Item Code'!D:D,),0)))</f>
        <v/>
      </c>
      <c r="D1645" s="3" t="str">
        <f>IFERROR(__xludf.DUMMYFUNCTION("if(isblank(B1645),,ifna(textjoin(""; "",,filter('On Hand'!E:E,'On Hand'!A:A=A1645)),ifna(xlookup(A1645,'On Hand'!A:A,'On Hand'!E:E,),)))"),"")</f>
        <v/>
      </c>
    </row>
    <row r="1646">
      <c r="A1646" s="3" t="str">
        <f t="array" ref="A1646">ifna(_xlfn.xlookup(B1646,'All Item Code'!B:B,'All Item Code'!A:A,),)</f>
        <v/>
      </c>
      <c r="B1646" s="3"/>
      <c r="C1646" s="3" t="str">
        <f t="array" ref="C1646">if(B1646="Tidak Ada",,if(isblank(B1646),,ifna(sumif('On Hand'!A:A,A1646,'On Hand'!D:D)&amp;" "&amp;_xlfn.xlookup(A1646,'All Item Code'!A:A,'All Item Code'!D:D,),0)))</f>
        <v/>
      </c>
      <c r="D1646" s="3" t="str">
        <f>IFERROR(__xludf.DUMMYFUNCTION("if(isblank(B1646),,ifna(textjoin(""; "",,filter('On Hand'!E:E,'On Hand'!A:A=A1646)),ifna(xlookup(A1646,'On Hand'!A:A,'On Hand'!E:E,),)))"),"")</f>
        <v/>
      </c>
    </row>
    <row r="1647">
      <c r="A1647" s="3" t="str">
        <f t="array" ref="A1647">ifna(_xlfn.xlookup(B1647,'All Item Code'!B:B,'All Item Code'!A:A,),)</f>
        <v/>
      </c>
      <c r="B1647" s="3"/>
      <c r="C1647" s="3" t="str">
        <f t="array" ref="C1647">if(B1647="Tidak Ada",,if(isblank(B1647),,ifna(sumif('On Hand'!A:A,A1647,'On Hand'!D:D)&amp;" "&amp;_xlfn.xlookup(A1647,'All Item Code'!A:A,'All Item Code'!D:D,),0)))</f>
        <v/>
      </c>
      <c r="D1647" s="3" t="str">
        <f>IFERROR(__xludf.DUMMYFUNCTION("if(isblank(B1647),,ifna(textjoin(""; "",,filter('On Hand'!E:E,'On Hand'!A:A=A1647)),ifna(xlookup(A1647,'On Hand'!A:A,'On Hand'!E:E,),)))"),"")</f>
        <v/>
      </c>
    </row>
    <row r="1648">
      <c r="A1648" s="3" t="str">
        <f t="array" ref="A1648">ifna(_xlfn.xlookup(B1648,'All Item Code'!B:B,'All Item Code'!A:A,),)</f>
        <v/>
      </c>
      <c r="B1648" s="3"/>
      <c r="C1648" s="3" t="str">
        <f t="array" ref="C1648">if(B1648="Tidak Ada",,if(isblank(B1648),,ifna(sumif('On Hand'!A:A,A1648,'On Hand'!D:D)&amp;" "&amp;_xlfn.xlookup(A1648,'All Item Code'!A:A,'All Item Code'!D:D,),0)))</f>
        <v/>
      </c>
      <c r="D1648" s="3" t="str">
        <f>IFERROR(__xludf.DUMMYFUNCTION("if(isblank(B1648),,ifna(textjoin(""; "",,filter('On Hand'!E:E,'On Hand'!A:A=A1648)),ifna(xlookup(A1648,'On Hand'!A:A,'On Hand'!E:E,),)))"),"")</f>
        <v/>
      </c>
    </row>
    <row r="1649">
      <c r="A1649" s="3" t="str">
        <f t="array" ref="A1649">ifna(_xlfn.xlookup(B1649,'All Item Code'!B:B,'All Item Code'!A:A,),)</f>
        <v/>
      </c>
      <c r="B1649" s="3"/>
      <c r="C1649" s="3" t="str">
        <f t="array" ref="C1649">if(B1649="Tidak Ada",,if(isblank(B1649),,ifna(sumif('On Hand'!A:A,A1649,'On Hand'!D:D)&amp;" "&amp;_xlfn.xlookup(A1649,'All Item Code'!A:A,'All Item Code'!D:D,),0)))</f>
        <v/>
      </c>
      <c r="D1649" s="3" t="str">
        <f>IFERROR(__xludf.DUMMYFUNCTION("if(isblank(B1649),,ifna(textjoin(""; "",,filter('On Hand'!E:E,'On Hand'!A:A=A1649)),ifna(xlookup(A1649,'On Hand'!A:A,'On Hand'!E:E,),)))"),"")</f>
        <v/>
      </c>
    </row>
    <row r="1650">
      <c r="A1650" s="3" t="str">
        <f t="array" ref="A1650">ifna(_xlfn.xlookup(B1650,'All Item Code'!B:B,'All Item Code'!A:A,),)</f>
        <v/>
      </c>
      <c r="B1650" s="3"/>
      <c r="C1650" s="3" t="str">
        <f t="array" ref="C1650">if(B1650="Tidak Ada",,if(isblank(B1650),,ifna(sumif('On Hand'!A:A,A1650,'On Hand'!D:D)&amp;" "&amp;_xlfn.xlookup(A1650,'All Item Code'!A:A,'All Item Code'!D:D,),0)))</f>
        <v/>
      </c>
      <c r="D1650" s="3" t="str">
        <f>IFERROR(__xludf.DUMMYFUNCTION("if(isblank(B1650),,ifna(textjoin(""; "",,filter('On Hand'!E:E,'On Hand'!A:A=A1650)),ifna(xlookup(A1650,'On Hand'!A:A,'On Hand'!E:E,),)))"),"")</f>
        <v/>
      </c>
    </row>
    <row r="1651">
      <c r="A1651" s="3" t="str">
        <f t="array" ref="A1651">ifna(_xlfn.xlookup(B1651,'All Item Code'!B:B,'All Item Code'!A:A,),)</f>
        <v/>
      </c>
      <c r="B1651" s="3"/>
      <c r="C1651" s="3" t="str">
        <f t="array" ref="C1651">if(B1651="Tidak Ada",,if(isblank(B1651),,ifna(sumif('On Hand'!A:A,A1651,'On Hand'!D:D)&amp;" "&amp;_xlfn.xlookup(A1651,'All Item Code'!A:A,'All Item Code'!D:D,),0)))</f>
        <v/>
      </c>
      <c r="D1651" s="3" t="str">
        <f>IFERROR(__xludf.DUMMYFUNCTION("if(isblank(B1651),,ifna(textjoin(""; "",,filter('On Hand'!E:E,'On Hand'!A:A=A1651)),ifna(xlookup(A1651,'On Hand'!A:A,'On Hand'!E:E,),)))"),"")</f>
        <v/>
      </c>
    </row>
    <row r="1652">
      <c r="A1652" s="3" t="str">
        <f t="array" ref="A1652">ifna(_xlfn.xlookup(B1652,'All Item Code'!B:B,'All Item Code'!A:A,),)</f>
        <v/>
      </c>
      <c r="B1652" s="3"/>
      <c r="C1652" s="3" t="str">
        <f t="array" ref="C1652">if(B1652="Tidak Ada",,if(isblank(B1652),,ifna(sumif('On Hand'!A:A,A1652,'On Hand'!D:D)&amp;" "&amp;_xlfn.xlookup(A1652,'All Item Code'!A:A,'All Item Code'!D:D,),0)))</f>
        <v/>
      </c>
      <c r="D1652" s="3" t="str">
        <f>IFERROR(__xludf.DUMMYFUNCTION("if(isblank(B1652),,ifna(textjoin(""; "",,filter('On Hand'!E:E,'On Hand'!A:A=A1652)),ifna(xlookup(A1652,'On Hand'!A:A,'On Hand'!E:E,),)))"),"")</f>
        <v/>
      </c>
    </row>
    <row r="1653">
      <c r="A1653" s="3" t="str">
        <f t="array" ref="A1653">ifna(_xlfn.xlookup(B1653,'All Item Code'!B:B,'All Item Code'!A:A,),)</f>
        <v/>
      </c>
      <c r="B1653" s="3"/>
      <c r="C1653" s="3" t="str">
        <f t="array" ref="C1653">if(B1653="Tidak Ada",,if(isblank(B1653),,ifna(sumif('On Hand'!A:A,A1653,'On Hand'!D:D)&amp;" "&amp;_xlfn.xlookup(A1653,'All Item Code'!A:A,'All Item Code'!D:D,),0)))</f>
        <v/>
      </c>
      <c r="D1653" s="3" t="str">
        <f>IFERROR(__xludf.DUMMYFUNCTION("if(isblank(B1653),,ifna(textjoin(""; "",,filter('On Hand'!E:E,'On Hand'!A:A=A1653)),ifna(xlookup(A1653,'On Hand'!A:A,'On Hand'!E:E,),)))"),"")</f>
        <v/>
      </c>
    </row>
    <row r="1654">
      <c r="A1654" s="3" t="str">
        <f t="array" ref="A1654">ifna(_xlfn.xlookup(B1654,'All Item Code'!B:B,'All Item Code'!A:A,),)</f>
        <v/>
      </c>
      <c r="B1654" s="3"/>
      <c r="C1654" s="3" t="str">
        <f t="array" ref="C1654">if(B1654="Tidak Ada",,if(isblank(B1654),,ifna(sumif('On Hand'!A:A,A1654,'On Hand'!D:D)&amp;" "&amp;_xlfn.xlookup(A1654,'All Item Code'!A:A,'All Item Code'!D:D,),0)))</f>
        <v/>
      </c>
      <c r="D1654" s="3" t="str">
        <f>IFERROR(__xludf.DUMMYFUNCTION("if(isblank(B1654),,ifna(textjoin(""; "",,filter('On Hand'!E:E,'On Hand'!A:A=A1654)),ifna(xlookup(A1654,'On Hand'!A:A,'On Hand'!E:E,),)))"),"")</f>
        <v/>
      </c>
    </row>
    <row r="1655">
      <c r="A1655" s="3" t="str">
        <f t="array" ref="A1655">ifna(_xlfn.xlookup(B1655,'All Item Code'!B:B,'All Item Code'!A:A,),)</f>
        <v/>
      </c>
      <c r="B1655" s="3"/>
      <c r="C1655" s="3" t="str">
        <f t="array" ref="C1655">if(B1655="Tidak Ada",,if(isblank(B1655),,ifna(sumif('On Hand'!A:A,A1655,'On Hand'!D:D)&amp;" "&amp;_xlfn.xlookup(A1655,'All Item Code'!A:A,'All Item Code'!D:D,),0)))</f>
        <v/>
      </c>
      <c r="D1655" s="3" t="str">
        <f>IFERROR(__xludf.DUMMYFUNCTION("if(isblank(B1655),,ifna(textjoin(""; "",,filter('On Hand'!E:E,'On Hand'!A:A=A1655)),ifna(xlookup(A1655,'On Hand'!A:A,'On Hand'!E:E,),)))"),"")</f>
        <v/>
      </c>
    </row>
    <row r="1656">
      <c r="A1656" s="3" t="str">
        <f t="array" ref="A1656">ifna(_xlfn.xlookup(B1656,'All Item Code'!B:B,'All Item Code'!A:A,),)</f>
        <v/>
      </c>
      <c r="B1656" s="3"/>
      <c r="C1656" s="3" t="str">
        <f t="array" ref="C1656">if(B1656="Tidak Ada",,if(isblank(B1656),,ifna(sumif('On Hand'!A:A,A1656,'On Hand'!D:D)&amp;" "&amp;_xlfn.xlookup(A1656,'All Item Code'!A:A,'All Item Code'!D:D,),0)))</f>
        <v/>
      </c>
      <c r="D1656" s="3" t="str">
        <f>IFERROR(__xludf.DUMMYFUNCTION("if(isblank(B1656),,ifna(textjoin(""; "",,filter('On Hand'!E:E,'On Hand'!A:A=A1656)),ifna(xlookup(A1656,'On Hand'!A:A,'On Hand'!E:E,),)))"),"")</f>
        <v/>
      </c>
    </row>
    <row r="1657">
      <c r="A1657" s="3" t="str">
        <f t="array" ref="A1657">ifna(_xlfn.xlookup(B1657,'All Item Code'!B:B,'All Item Code'!A:A,),)</f>
        <v/>
      </c>
      <c r="B1657" s="3"/>
      <c r="C1657" s="3" t="str">
        <f t="array" ref="C1657">if(B1657="Tidak Ada",,if(isblank(B1657),,ifna(sumif('On Hand'!A:A,A1657,'On Hand'!D:D)&amp;" "&amp;_xlfn.xlookup(A1657,'All Item Code'!A:A,'All Item Code'!D:D,),0)))</f>
        <v/>
      </c>
      <c r="D1657" s="3" t="str">
        <f>IFERROR(__xludf.DUMMYFUNCTION("if(isblank(B1657),,ifna(textjoin(""; "",,filter('On Hand'!E:E,'On Hand'!A:A=A1657)),ifna(xlookup(A1657,'On Hand'!A:A,'On Hand'!E:E,),)))"),"")</f>
        <v/>
      </c>
    </row>
    <row r="1658">
      <c r="A1658" s="3" t="str">
        <f t="array" ref="A1658">ifna(_xlfn.xlookup(B1658,'All Item Code'!B:B,'All Item Code'!A:A,),)</f>
        <v/>
      </c>
      <c r="B1658" s="3"/>
      <c r="C1658" s="3" t="str">
        <f t="array" ref="C1658">if(B1658="Tidak Ada",,if(isblank(B1658),,ifna(sumif('On Hand'!A:A,A1658,'On Hand'!D:D)&amp;" "&amp;_xlfn.xlookup(A1658,'All Item Code'!A:A,'All Item Code'!D:D,),0)))</f>
        <v/>
      </c>
      <c r="D1658" s="3" t="str">
        <f>IFERROR(__xludf.DUMMYFUNCTION("if(isblank(B1658),,ifna(textjoin(""; "",,filter('On Hand'!E:E,'On Hand'!A:A=A1658)),ifna(xlookup(A1658,'On Hand'!A:A,'On Hand'!E:E,),)))"),"")</f>
        <v/>
      </c>
    </row>
    <row r="1659">
      <c r="A1659" s="3" t="str">
        <f t="array" ref="A1659">ifna(_xlfn.xlookup(B1659,'All Item Code'!B:B,'All Item Code'!A:A,),)</f>
        <v/>
      </c>
      <c r="B1659" s="3"/>
      <c r="C1659" s="3" t="str">
        <f t="array" ref="C1659">if(B1659="Tidak Ada",,if(isblank(B1659),,ifna(sumif('On Hand'!A:A,A1659,'On Hand'!D:D)&amp;" "&amp;_xlfn.xlookup(A1659,'All Item Code'!A:A,'All Item Code'!D:D,),0)))</f>
        <v/>
      </c>
      <c r="D1659" s="3" t="str">
        <f>IFERROR(__xludf.DUMMYFUNCTION("if(isblank(B1659),,ifna(textjoin(""; "",,filter('On Hand'!E:E,'On Hand'!A:A=A1659)),ifna(xlookup(A1659,'On Hand'!A:A,'On Hand'!E:E,),)))"),"")</f>
        <v/>
      </c>
    </row>
    <row r="1660">
      <c r="A1660" s="3" t="str">
        <f t="array" ref="A1660">ifna(_xlfn.xlookup(B1660,'All Item Code'!B:B,'All Item Code'!A:A,),)</f>
        <v/>
      </c>
      <c r="B1660" s="3"/>
      <c r="C1660" s="3" t="str">
        <f t="array" ref="C1660">if(B1660="Tidak Ada",,if(isblank(B1660),,ifna(sumif('On Hand'!A:A,A1660,'On Hand'!D:D)&amp;" "&amp;_xlfn.xlookup(A1660,'All Item Code'!A:A,'All Item Code'!D:D,),0)))</f>
        <v/>
      </c>
      <c r="D1660" s="3" t="str">
        <f>IFERROR(__xludf.DUMMYFUNCTION("if(isblank(B1660),,ifna(textjoin(""; "",,filter('On Hand'!E:E,'On Hand'!A:A=A1660)),ifna(xlookup(A1660,'On Hand'!A:A,'On Hand'!E:E,),)))"),"")</f>
        <v/>
      </c>
    </row>
    <row r="1661">
      <c r="A1661" s="3" t="str">
        <f t="array" ref="A1661">ifna(_xlfn.xlookup(B1661,'All Item Code'!B:B,'All Item Code'!A:A,),)</f>
        <v/>
      </c>
      <c r="B1661" s="3"/>
      <c r="C1661" s="3" t="str">
        <f t="array" ref="C1661">if(B1661="Tidak Ada",,if(isblank(B1661),,ifna(sumif('On Hand'!A:A,A1661,'On Hand'!D:D)&amp;" "&amp;_xlfn.xlookup(A1661,'All Item Code'!A:A,'All Item Code'!D:D,),0)))</f>
        <v/>
      </c>
      <c r="D1661" s="3" t="str">
        <f>IFERROR(__xludf.DUMMYFUNCTION("if(isblank(B1661),,ifna(textjoin(""; "",,filter('On Hand'!E:E,'On Hand'!A:A=A1661)),ifna(xlookup(A1661,'On Hand'!A:A,'On Hand'!E:E,),)))"),"")</f>
        <v/>
      </c>
    </row>
    <row r="1662">
      <c r="A1662" s="3" t="str">
        <f t="array" ref="A1662">ifna(_xlfn.xlookup(B1662,'All Item Code'!B:B,'All Item Code'!A:A,),)</f>
        <v/>
      </c>
      <c r="B1662" s="3"/>
      <c r="C1662" s="3" t="str">
        <f t="array" ref="C1662">if(B1662="Tidak Ada",,if(isblank(B1662),,ifna(sumif('On Hand'!A:A,A1662,'On Hand'!D:D)&amp;" "&amp;_xlfn.xlookup(A1662,'All Item Code'!A:A,'All Item Code'!D:D,),0)))</f>
        <v/>
      </c>
      <c r="D1662" s="3" t="str">
        <f>IFERROR(__xludf.DUMMYFUNCTION("if(isblank(B1662),,ifna(textjoin(""; "",,filter('On Hand'!E:E,'On Hand'!A:A=A1662)),ifna(xlookup(A1662,'On Hand'!A:A,'On Hand'!E:E,),)))"),"")</f>
        <v/>
      </c>
    </row>
    <row r="1663">
      <c r="A1663" s="3" t="str">
        <f t="array" ref="A1663">ifna(_xlfn.xlookup(B1663,'All Item Code'!B:B,'All Item Code'!A:A,),)</f>
        <v/>
      </c>
      <c r="B1663" s="3"/>
      <c r="C1663" s="3" t="str">
        <f t="array" ref="C1663">if(B1663="Tidak Ada",,if(isblank(B1663),,ifna(sumif('On Hand'!A:A,A1663,'On Hand'!D:D)&amp;" "&amp;_xlfn.xlookup(A1663,'All Item Code'!A:A,'All Item Code'!D:D,),0)))</f>
        <v/>
      </c>
      <c r="D1663" s="3" t="str">
        <f>IFERROR(__xludf.DUMMYFUNCTION("if(isblank(B1663),,ifna(textjoin(""; "",,filter('On Hand'!E:E,'On Hand'!A:A=A1663)),ifna(xlookup(A1663,'On Hand'!A:A,'On Hand'!E:E,),)))"),"")</f>
        <v/>
      </c>
    </row>
    <row r="1664">
      <c r="A1664" s="3" t="str">
        <f t="array" ref="A1664">ifna(_xlfn.xlookup(B1664,'All Item Code'!B:B,'All Item Code'!A:A,),)</f>
        <v/>
      </c>
      <c r="B1664" s="3"/>
      <c r="C1664" s="3" t="str">
        <f t="array" ref="C1664">if(B1664="Tidak Ada",,if(isblank(B1664),,ifna(sumif('On Hand'!A:A,A1664,'On Hand'!D:D)&amp;" "&amp;_xlfn.xlookup(A1664,'All Item Code'!A:A,'All Item Code'!D:D,),0)))</f>
        <v/>
      </c>
      <c r="D1664" s="3" t="str">
        <f>IFERROR(__xludf.DUMMYFUNCTION("if(isblank(B1664),,ifna(textjoin(""; "",,filter('On Hand'!E:E,'On Hand'!A:A=A1664)),ifna(xlookup(A1664,'On Hand'!A:A,'On Hand'!E:E,),)))"),"")</f>
        <v/>
      </c>
    </row>
    <row r="1665">
      <c r="A1665" s="3" t="str">
        <f t="array" ref="A1665">ifna(_xlfn.xlookup(B1665,'All Item Code'!B:B,'All Item Code'!A:A,),)</f>
        <v/>
      </c>
      <c r="B1665" s="3"/>
      <c r="C1665" s="3" t="str">
        <f t="array" ref="C1665">if(B1665="Tidak Ada",,if(isblank(B1665),,ifna(sumif('On Hand'!A:A,A1665,'On Hand'!D:D)&amp;" "&amp;_xlfn.xlookup(A1665,'All Item Code'!A:A,'All Item Code'!D:D,),0)))</f>
        <v/>
      </c>
      <c r="D1665" s="3" t="str">
        <f>IFERROR(__xludf.DUMMYFUNCTION("if(isblank(B1665),,ifna(textjoin(""; "",,filter('On Hand'!E:E,'On Hand'!A:A=A1665)),ifna(xlookup(A1665,'On Hand'!A:A,'On Hand'!E:E,),)))"),"")</f>
        <v/>
      </c>
    </row>
    <row r="1666">
      <c r="A1666" s="3" t="str">
        <f t="array" ref="A1666">ifna(_xlfn.xlookup(B1666,'All Item Code'!B:B,'All Item Code'!A:A,),)</f>
        <v/>
      </c>
      <c r="B1666" s="3"/>
      <c r="C1666" s="3" t="str">
        <f t="array" ref="C1666">if(B1666="Tidak Ada",,if(isblank(B1666),,ifna(sumif('On Hand'!A:A,A1666,'On Hand'!D:D)&amp;" "&amp;_xlfn.xlookup(A1666,'All Item Code'!A:A,'All Item Code'!D:D,),0)))</f>
        <v/>
      </c>
      <c r="D1666" s="3" t="str">
        <f>IFERROR(__xludf.DUMMYFUNCTION("if(isblank(B1666),,ifna(textjoin(""; "",,filter('On Hand'!E:E,'On Hand'!A:A=A1666)),ifna(xlookup(A1666,'On Hand'!A:A,'On Hand'!E:E,),)))"),"")</f>
        <v/>
      </c>
    </row>
    <row r="1667">
      <c r="A1667" s="3" t="str">
        <f t="array" ref="A1667">ifna(_xlfn.xlookup(B1667,'All Item Code'!B:B,'All Item Code'!A:A,),)</f>
        <v/>
      </c>
      <c r="B1667" s="3"/>
      <c r="C1667" s="3" t="str">
        <f t="array" ref="C1667">if(B1667="Tidak Ada",,if(isblank(B1667),,ifna(sumif('On Hand'!A:A,A1667,'On Hand'!D:D)&amp;" "&amp;_xlfn.xlookup(A1667,'All Item Code'!A:A,'All Item Code'!D:D,),0)))</f>
        <v/>
      </c>
      <c r="D1667" s="3" t="str">
        <f>IFERROR(__xludf.DUMMYFUNCTION("if(isblank(B1667),,ifna(textjoin(""; "",,filter('On Hand'!E:E,'On Hand'!A:A=A1667)),ifna(xlookup(A1667,'On Hand'!A:A,'On Hand'!E:E,),)))"),"")</f>
        <v/>
      </c>
    </row>
    <row r="1668">
      <c r="A1668" s="3" t="str">
        <f t="array" ref="A1668">ifna(_xlfn.xlookup(B1668,'All Item Code'!B:B,'All Item Code'!A:A,),)</f>
        <v/>
      </c>
      <c r="B1668" s="3"/>
      <c r="C1668" s="3" t="str">
        <f t="array" ref="C1668">if(B1668="Tidak Ada",,if(isblank(B1668),,ifna(sumif('On Hand'!A:A,A1668,'On Hand'!D:D)&amp;" "&amp;_xlfn.xlookup(A1668,'All Item Code'!A:A,'All Item Code'!D:D,),0)))</f>
        <v/>
      </c>
      <c r="D1668" s="3" t="str">
        <f>IFERROR(__xludf.DUMMYFUNCTION("if(isblank(B1668),,ifna(textjoin(""; "",,filter('On Hand'!E:E,'On Hand'!A:A=A1668)),ifna(xlookup(A1668,'On Hand'!A:A,'On Hand'!E:E,),)))"),"")</f>
        <v/>
      </c>
    </row>
    <row r="1669">
      <c r="A1669" s="3" t="str">
        <f t="array" ref="A1669">ifna(_xlfn.xlookup(B1669,'All Item Code'!B:B,'All Item Code'!A:A,),)</f>
        <v/>
      </c>
      <c r="B1669" s="3"/>
      <c r="C1669" s="3" t="str">
        <f t="array" ref="C1669">if(B1669="Tidak Ada",,if(isblank(B1669),,ifna(sumif('On Hand'!A:A,A1669,'On Hand'!D:D)&amp;" "&amp;_xlfn.xlookup(A1669,'All Item Code'!A:A,'All Item Code'!D:D,),0)))</f>
        <v/>
      </c>
      <c r="D1669" s="3" t="str">
        <f>IFERROR(__xludf.DUMMYFUNCTION("if(isblank(B1669),,ifna(textjoin(""; "",,filter('On Hand'!E:E,'On Hand'!A:A=A1669)),ifna(xlookup(A1669,'On Hand'!A:A,'On Hand'!E:E,),)))"),"")</f>
        <v/>
      </c>
    </row>
    <row r="1670">
      <c r="A1670" s="3" t="str">
        <f t="array" ref="A1670">ifna(_xlfn.xlookup(B1670,'All Item Code'!B:B,'All Item Code'!A:A,),)</f>
        <v/>
      </c>
      <c r="B1670" s="3"/>
      <c r="C1670" s="3" t="str">
        <f t="array" ref="C1670">if(B1670="Tidak Ada",,if(isblank(B1670),,ifna(sumif('On Hand'!A:A,A1670,'On Hand'!D:D)&amp;" "&amp;_xlfn.xlookup(A1670,'All Item Code'!A:A,'All Item Code'!D:D,),0)))</f>
        <v/>
      </c>
      <c r="D1670" s="3" t="str">
        <f>IFERROR(__xludf.DUMMYFUNCTION("if(isblank(B1670),,ifna(textjoin(""; "",,filter('On Hand'!E:E,'On Hand'!A:A=A1670)),ifna(xlookup(A1670,'On Hand'!A:A,'On Hand'!E:E,),)))"),"")</f>
        <v/>
      </c>
    </row>
    <row r="1671">
      <c r="A1671" s="3" t="str">
        <f t="array" ref="A1671">ifna(_xlfn.xlookup(B1671,'All Item Code'!B:B,'All Item Code'!A:A,),)</f>
        <v/>
      </c>
      <c r="B1671" s="3"/>
      <c r="C1671" s="3" t="str">
        <f t="array" ref="C1671">if(B1671="Tidak Ada",,if(isblank(B1671),,ifna(sumif('On Hand'!A:A,A1671,'On Hand'!D:D)&amp;" "&amp;_xlfn.xlookup(A1671,'All Item Code'!A:A,'All Item Code'!D:D,),0)))</f>
        <v/>
      </c>
      <c r="D1671" s="3" t="str">
        <f>IFERROR(__xludf.DUMMYFUNCTION("if(isblank(B1671),,ifna(textjoin(""; "",,filter('On Hand'!E:E,'On Hand'!A:A=A1671)),ifna(xlookup(A1671,'On Hand'!A:A,'On Hand'!E:E,),)))"),"")</f>
        <v/>
      </c>
    </row>
    <row r="1672">
      <c r="A1672" s="3" t="str">
        <f t="array" ref="A1672">ifna(_xlfn.xlookup(B1672,'All Item Code'!B:B,'All Item Code'!A:A,),)</f>
        <v/>
      </c>
      <c r="B1672" s="3"/>
      <c r="C1672" s="3" t="str">
        <f t="array" ref="C1672">if(B1672="Tidak Ada",,if(isblank(B1672),,ifna(sumif('On Hand'!A:A,A1672,'On Hand'!D:D)&amp;" "&amp;_xlfn.xlookup(A1672,'All Item Code'!A:A,'All Item Code'!D:D,),0)))</f>
        <v/>
      </c>
      <c r="D1672" s="3" t="str">
        <f>IFERROR(__xludf.DUMMYFUNCTION("if(isblank(B1672),,ifna(textjoin(""; "",,filter('On Hand'!E:E,'On Hand'!A:A=A1672)),ifna(xlookup(A1672,'On Hand'!A:A,'On Hand'!E:E,),)))"),"")</f>
        <v/>
      </c>
    </row>
    <row r="1673">
      <c r="A1673" s="3" t="str">
        <f t="array" ref="A1673">ifna(_xlfn.xlookup(B1673,'All Item Code'!B:B,'All Item Code'!A:A,),)</f>
        <v/>
      </c>
      <c r="B1673" s="3"/>
      <c r="C1673" s="3" t="str">
        <f t="array" ref="C1673">if(B1673="Tidak Ada",,if(isblank(B1673),,ifna(sumif('On Hand'!A:A,A1673,'On Hand'!D:D)&amp;" "&amp;_xlfn.xlookup(A1673,'All Item Code'!A:A,'All Item Code'!D:D,),0)))</f>
        <v/>
      </c>
      <c r="D1673" s="3" t="str">
        <f>IFERROR(__xludf.DUMMYFUNCTION("if(isblank(B1673),,ifna(textjoin(""; "",,filter('On Hand'!E:E,'On Hand'!A:A=A1673)),ifna(xlookup(A1673,'On Hand'!A:A,'On Hand'!E:E,),)))"),"")</f>
        <v/>
      </c>
    </row>
    <row r="1674">
      <c r="A1674" s="3" t="str">
        <f t="array" ref="A1674">ifna(_xlfn.xlookup(B1674,'All Item Code'!B:B,'All Item Code'!A:A,),)</f>
        <v/>
      </c>
      <c r="B1674" s="3"/>
      <c r="C1674" s="3" t="str">
        <f t="array" ref="C1674">if(B1674="Tidak Ada",,if(isblank(B1674),,ifna(sumif('On Hand'!A:A,A1674,'On Hand'!D:D)&amp;" "&amp;_xlfn.xlookup(A1674,'All Item Code'!A:A,'All Item Code'!D:D,),0)))</f>
        <v/>
      </c>
      <c r="D1674" s="3" t="str">
        <f>IFERROR(__xludf.DUMMYFUNCTION("if(isblank(B1674),,ifna(textjoin(""; "",,filter('On Hand'!E:E,'On Hand'!A:A=A1674)),ifna(xlookup(A1674,'On Hand'!A:A,'On Hand'!E:E,),)))"),"")</f>
        <v/>
      </c>
    </row>
    <row r="1675">
      <c r="A1675" s="3" t="str">
        <f t="array" ref="A1675">ifna(_xlfn.xlookup(B1675,'All Item Code'!B:B,'All Item Code'!A:A,),)</f>
        <v/>
      </c>
      <c r="B1675" s="3"/>
      <c r="C1675" s="3" t="str">
        <f t="array" ref="C1675">if(B1675="Tidak Ada",,if(isblank(B1675),,ifna(sumif('On Hand'!A:A,A1675,'On Hand'!D:D)&amp;" "&amp;_xlfn.xlookup(A1675,'All Item Code'!A:A,'All Item Code'!D:D,),0)))</f>
        <v/>
      </c>
      <c r="D1675" s="3" t="str">
        <f>IFERROR(__xludf.DUMMYFUNCTION("if(isblank(B1675),,ifna(textjoin(""; "",,filter('On Hand'!E:E,'On Hand'!A:A=A1675)),ifna(xlookup(A1675,'On Hand'!A:A,'On Hand'!E:E,),)))"),"")</f>
        <v/>
      </c>
    </row>
    <row r="1676">
      <c r="A1676" s="3" t="str">
        <f t="array" ref="A1676">ifna(_xlfn.xlookup(B1676,'All Item Code'!B:B,'All Item Code'!A:A,),)</f>
        <v/>
      </c>
      <c r="B1676" s="3"/>
      <c r="C1676" s="3" t="str">
        <f t="array" ref="C1676">if(B1676="Tidak Ada",,if(isblank(B1676),,ifna(sumif('On Hand'!A:A,A1676,'On Hand'!D:D)&amp;" "&amp;_xlfn.xlookup(A1676,'All Item Code'!A:A,'All Item Code'!D:D,),0)))</f>
        <v/>
      </c>
      <c r="D1676" s="3" t="str">
        <f>IFERROR(__xludf.DUMMYFUNCTION("if(isblank(B1676),,ifna(textjoin(""; "",,filter('On Hand'!E:E,'On Hand'!A:A=A1676)),ifna(xlookup(A1676,'On Hand'!A:A,'On Hand'!E:E,),)))"),"")</f>
        <v/>
      </c>
    </row>
    <row r="1677">
      <c r="A1677" s="3" t="str">
        <f t="array" ref="A1677">ifna(_xlfn.xlookup(B1677,'All Item Code'!B:B,'All Item Code'!A:A,),)</f>
        <v/>
      </c>
      <c r="B1677" s="3"/>
      <c r="C1677" s="3" t="str">
        <f t="array" ref="C1677">if(B1677="Tidak Ada",,if(isblank(B1677),,ifna(sumif('On Hand'!A:A,A1677,'On Hand'!D:D)&amp;" "&amp;_xlfn.xlookup(A1677,'All Item Code'!A:A,'All Item Code'!D:D,),0)))</f>
        <v/>
      </c>
      <c r="D1677" s="3" t="str">
        <f>IFERROR(__xludf.DUMMYFUNCTION("if(isblank(B1677),,ifna(textjoin(""; "",,filter('On Hand'!E:E,'On Hand'!A:A=A1677)),ifna(xlookup(A1677,'On Hand'!A:A,'On Hand'!E:E,),)))"),"")</f>
        <v/>
      </c>
    </row>
    <row r="1678">
      <c r="A1678" s="3" t="str">
        <f t="array" ref="A1678">ifna(_xlfn.xlookup(B1678,'All Item Code'!B:B,'All Item Code'!A:A,),)</f>
        <v/>
      </c>
      <c r="B1678" s="3"/>
      <c r="C1678" s="3" t="str">
        <f t="array" ref="C1678">if(B1678="Tidak Ada",,if(isblank(B1678),,ifna(sumif('On Hand'!A:A,A1678,'On Hand'!D:D)&amp;" "&amp;_xlfn.xlookup(A1678,'All Item Code'!A:A,'All Item Code'!D:D,),0)))</f>
        <v/>
      </c>
      <c r="D1678" s="3" t="str">
        <f>IFERROR(__xludf.DUMMYFUNCTION("if(isblank(B1678),,ifna(textjoin(""; "",,filter('On Hand'!E:E,'On Hand'!A:A=A1678)),ifna(xlookup(A1678,'On Hand'!A:A,'On Hand'!E:E,),)))"),"")</f>
        <v/>
      </c>
    </row>
    <row r="1679">
      <c r="A1679" s="3" t="str">
        <f t="array" ref="A1679">ifna(_xlfn.xlookup(B1679,'All Item Code'!B:B,'All Item Code'!A:A,),)</f>
        <v/>
      </c>
      <c r="B1679" s="3"/>
      <c r="C1679" s="3" t="str">
        <f t="array" ref="C1679">if(B1679="Tidak Ada",,if(isblank(B1679),,ifna(sumif('On Hand'!A:A,A1679,'On Hand'!D:D)&amp;" "&amp;_xlfn.xlookup(A1679,'All Item Code'!A:A,'All Item Code'!D:D,),0)))</f>
        <v/>
      </c>
      <c r="D1679" s="3" t="str">
        <f>IFERROR(__xludf.DUMMYFUNCTION("if(isblank(B1679),,ifna(textjoin(""; "",,filter('On Hand'!E:E,'On Hand'!A:A=A1679)),ifna(xlookup(A1679,'On Hand'!A:A,'On Hand'!E:E,),)))"),"")</f>
        <v/>
      </c>
    </row>
    <row r="1680">
      <c r="A1680" s="3" t="str">
        <f t="array" ref="A1680">ifna(_xlfn.xlookup(B1680,'All Item Code'!B:B,'All Item Code'!A:A,),)</f>
        <v/>
      </c>
      <c r="B1680" s="3"/>
      <c r="C1680" s="3" t="str">
        <f t="array" ref="C1680">if(B1680="Tidak Ada",,if(isblank(B1680),,ifna(sumif('On Hand'!A:A,A1680,'On Hand'!D:D)&amp;" "&amp;_xlfn.xlookup(A1680,'All Item Code'!A:A,'All Item Code'!D:D,),0)))</f>
        <v/>
      </c>
      <c r="D1680" s="3" t="str">
        <f>IFERROR(__xludf.DUMMYFUNCTION("if(isblank(B1680),,ifna(textjoin(""; "",,filter('On Hand'!E:E,'On Hand'!A:A=A1680)),ifna(xlookup(A1680,'On Hand'!A:A,'On Hand'!E:E,),)))"),"")</f>
        <v/>
      </c>
    </row>
    <row r="1681">
      <c r="A1681" s="3" t="str">
        <f t="array" ref="A1681">ifna(_xlfn.xlookup(B1681,'All Item Code'!B:B,'All Item Code'!A:A,),)</f>
        <v/>
      </c>
      <c r="B1681" s="3"/>
      <c r="C1681" s="3" t="str">
        <f t="array" ref="C1681">if(B1681="Tidak Ada",,if(isblank(B1681),,ifna(sumif('On Hand'!A:A,A1681,'On Hand'!D:D)&amp;" "&amp;_xlfn.xlookup(A1681,'All Item Code'!A:A,'All Item Code'!D:D,),0)))</f>
        <v/>
      </c>
      <c r="D1681" s="3" t="str">
        <f>IFERROR(__xludf.DUMMYFUNCTION("if(isblank(B1681),,ifna(textjoin(""; "",,filter('On Hand'!E:E,'On Hand'!A:A=A1681)),ifna(xlookup(A1681,'On Hand'!A:A,'On Hand'!E:E,),)))"),"")</f>
        <v/>
      </c>
    </row>
    <row r="1682">
      <c r="A1682" s="3" t="str">
        <f t="array" ref="A1682">ifna(_xlfn.xlookup(B1682,'All Item Code'!B:B,'All Item Code'!A:A,),)</f>
        <v/>
      </c>
      <c r="B1682" s="3"/>
      <c r="C1682" s="3" t="str">
        <f t="array" ref="C1682">if(B1682="Tidak Ada",,if(isblank(B1682),,ifna(sumif('On Hand'!A:A,A1682,'On Hand'!D:D)&amp;" "&amp;_xlfn.xlookup(A1682,'All Item Code'!A:A,'All Item Code'!D:D,),0)))</f>
        <v/>
      </c>
      <c r="D1682" s="3" t="str">
        <f>IFERROR(__xludf.DUMMYFUNCTION("if(isblank(B1682),,ifna(textjoin(""; "",,filter('On Hand'!E:E,'On Hand'!A:A=A1682)),ifna(xlookup(A1682,'On Hand'!A:A,'On Hand'!E:E,),)))"),"")</f>
        <v/>
      </c>
    </row>
    <row r="1683">
      <c r="A1683" s="3" t="str">
        <f t="array" ref="A1683">ifna(_xlfn.xlookup(B1683,'All Item Code'!B:B,'All Item Code'!A:A,),)</f>
        <v/>
      </c>
      <c r="B1683" s="3"/>
      <c r="C1683" s="3" t="str">
        <f t="array" ref="C1683">if(B1683="Tidak Ada",,if(isblank(B1683),,ifna(sumif('On Hand'!A:A,A1683,'On Hand'!D:D)&amp;" "&amp;_xlfn.xlookup(A1683,'All Item Code'!A:A,'All Item Code'!D:D,),0)))</f>
        <v/>
      </c>
      <c r="D1683" s="3" t="str">
        <f>IFERROR(__xludf.DUMMYFUNCTION("if(isblank(B1683),,ifna(textjoin(""; "",,filter('On Hand'!E:E,'On Hand'!A:A=A1683)),ifna(xlookup(A1683,'On Hand'!A:A,'On Hand'!E:E,),)))"),"")</f>
        <v/>
      </c>
    </row>
    <row r="1684">
      <c r="A1684" s="3" t="str">
        <f t="array" ref="A1684">ifna(_xlfn.xlookup(B1684,'All Item Code'!B:B,'All Item Code'!A:A,),)</f>
        <v/>
      </c>
      <c r="B1684" s="3"/>
      <c r="C1684" s="3" t="str">
        <f t="array" ref="C1684">if(B1684="Tidak Ada",,if(isblank(B1684),,ifna(sumif('On Hand'!A:A,A1684,'On Hand'!D:D)&amp;" "&amp;_xlfn.xlookup(A1684,'All Item Code'!A:A,'All Item Code'!D:D,),0)))</f>
        <v/>
      </c>
      <c r="D1684" s="3" t="str">
        <f>IFERROR(__xludf.DUMMYFUNCTION("if(isblank(B1684),,ifna(textjoin(""; "",,filter('On Hand'!E:E,'On Hand'!A:A=A1684)),ifna(xlookup(A1684,'On Hand'!A:A,'On Hand'!E:E,),)))"),"")</f>
        <v/>
      </c>
    </row>
    <row r="1685">
      <c r="A1685" s="3" t="str">
        <f t="array" ref="A1685">ifna(_xlfn.xlookup(B1685,'All Item Code'!B:B,'All Item Code'!A:A,),)</f>
        <v/>
      </c>
      <c r="B1685" s="3"/>
      <c r="C1685" s="3" t="str">
        <f t="array" ref="C1685">if(B1685="Tidak Ada",,if(isblank(B1685),,ifna(sumif('On Hand'!A:A,A1685,'On Hand'!D:D)&amp;" "&amp;_xlfn.xlookup(A1685,'All Item Code'!A:A,'All Item Code'!D:D,),0)))</f>
        <v/>
      </c>
      <c r="D1685" s="3" t="str">
        <f>IFERROR(__xludf.DUMMYFUNCTION("if(isblank(B1685),,ifna(textjoin(""; "",,filter('On Hand'!E:E,'On Hand'!A:A=A1685)),ifna(xlookup(A1685,'On Hand'!A:A,'On Hand'!E:E,),)))"),"")</f>
        <v/>
      </c>
    </row>
    <row r="1686">
      <c r="A1686" s="3" t="str">
        <f t="array" ref="A1686">ifna(_xlfn.xlookup(B1686,'All Item Code'!B:B,'All Item Code'!A:A,),)</f>
        <v/>
      </c>
      <c r="B1686" s="3"/>
      <c r="C1686" s="3" t="str">
        <f t="array" ref="C1686">if(B1686="Tidak Ada",,if(isblank(B1686),,ifna(sumif('On Hand'!A:A,A1686,'On Hand'!D:D)&amp;" "&amp;_xlfn.xlookup(A1686,'All Item Code'!A:A,'All Item Code'!D:D,),0)))</f>
        <v/>
      </c>
      <c r="D1686" s="3" t="str">
        <f>IFERROR(__xludf.DUMMYFUNCTION("if(isblank(B1686),,ifna(textjoin(""; "",,filter('On Hand'!E:E,'On Hand'!A:A=A1686)),ifna(xlookup(A1686,'On Hand'!A:A,'On Hand'!E:E,),)))"),"")</f>
        <v/>
      </c>
    </row>
    <row r="1687">
      <c r="A1687" s="3" t="str">
        <f t="array" ref="A1687">ifna(_xlfn.xlookup(B1687,'All Item Code'!B:B,'All Item Code'!A:A,),)</f>
        <v/>
      </c>
      <c r="B1687" s="3"/>
      <c r="C1687" s="3" t="str">
        <f t="array" ref="C1687">if(B1687="Tidak Ada",,if(isblank(B1687),,ifna(sumif('On Hand'!A:A,A1687,'On Hand'!D:D)&amp;" "&amp;_xlfn.xlookup(A1687,'All Item Code'!A:A,'All Item Code'!D:D,),0)))</f>
        <v/>
      </c>
      <c r="D1687" s="3" t="str">
        <f>IFERROR(__xludf.DUMMYFUNCTION("if(isblank(B1687),,ifna(textjoin(""; "",,filter('On Hand'!E:E,'On Hand'!A:A=A1687)),ifna(xlookup(A1687,'On Hand'!A:A,'On Hand'!E:E,),)))"),"")</f>
        <v/>
      </c>
    </row>
    <row r="1688">
      <c r="A1688" s="3" t="str">
        <f t="array" ref="A1688">ifna(_xlfn.xlookup(B1688,'All Item Code'!B:B,'All Item Code'!A:A,),)</f>
        <v/>
      </c>
      <c r="B1688" s="3"/>
      <c r="C1688" s="3" t="str">
        <f t="array" ref="C1688">if(B1688="Tidak Ada",,if(isblank(B1688),,ifna(sumif('On Hand'!A:A,A1688,'On Hand'!D:D)&amp;" "&amp;_xlfn.xlookup(A1688,'All Item Code'!A:A,'All Item Code'!D:D,),0)))</f>
        <v/>
      </c>
      <c r="D1688" s="3" t="str">
        <f>IFERROR(__xludf.DUMMYFUNCTION("if(isblank(B1688),,ifna(textjoin(""; "",,filter('On Hand'!E:E,'On Hand'!A:A=A1688)),ifna(xlookup(A1688,'On Hand'!A:A,'On Hand'!E:E,),)))"),"")</f>
        <v/>
      </c>
    </row>
    <row r="1689">
      <c r="A1689" s="3" t="str">
        <f t="array" ref="A1689">ifna(_xlfn.xlookup(B1689,'All Item Code'!B:B,'All Item Code'!A:A,),)</f>
        <v/>
      </c>
      <c r="B1689" s="3"/>
      <c r="C1689" s="3" t="str">
        <f t="array" ref="C1689">if(B1689="Tidak Ada",,if(isblank(B1689),,ifna(sumif('On Hand'!A:A,A1689,'On Hand'!D:D)&amp;" "&amp;_xlfn.xlookup(A1689,'All Item Code'!A:A,'All Item Code'!D:D,),0)))</f>
        <v/>
      </c>
      <c r="D1689" s="3" t="str">
        <f>IFERROR(__xludf.DUMMYFUNCTION("if(isblank(B1689),,ifna(textjoin(""; "",,filter('On Hand'!E:E,'On Hand'!A:A=A1689)),ifna(xlookup(A1689,'On Hand'!A:A,'On Hand'!E:E,),)))"),"")</f>
        <v/>
      </c>
    </row>
    <row r="1690">
      <c r="A1690" s="3" t="str">
        <f t="array" ref="A1690">ifna(_xlfn.xlookup(B1690,'All Item Code'!B:B,'All Item Code'!A:A,),)</f>
        <v/>
      </c>
      <c r="B1690" s="3"/>
      <c r="C1690" s="3" t="str">
        <f t="array" ref="C1690">if(B1690="Tidak Ada",,if(isblank(B1690),,ifna(sumif('On Hand'!A:A,A1690,'On Hand'!D:D)&amp;" "&amp;_xlfn.xlookup(A1690,'All Item Code'!A:A,'All Item Code'!D:D,),0)))</f>
        <v/>
      </c>
      <c r="D1690" s="3" t="str">
        <f>IFERROR(__xludf.DUMMYFUNCTION("if(isblank(B1690),,ifna(textjoin(""; "",,filter('On Hand'!E:E,'On Hand'!A:A=A1690)),ifna(xlookup(A1690,'On Hand'!A:A,'On Hand'!E:E,),)))"),"")</f>
        <v/>
      </c>
    </row>
    <row r="1691">
      <c r="A1691" s="3" t="str">
        <f t="array" ref="A1691">ifna(_xlfn.xlookup(B1691,'All Item Code'!B:B,'All Item Code'!A:A,),)</f>
        <v/>
      </c>
      <c r="B1691" s="3"/>
      <c r="C1691" s="3" t="str">
        <f t="array" ref="C1691">if(B1691="Tidak Ada",,if(isblank(B1691),,ifna(sumif('On Hand'!A:A,A1691,'On Hand'!D:D)&amp;" "&amp;_xlfn.xlookup(A1691,'All Item Code'!A:A,'All Item Code'!D:D,),0)))</f>
        <v/>
      </c>
      <c r="D1691" s="3" t="str">
        <f>IFERROR(__xludf.DUMMYFUNCTION("if(isblank(B1691),,ifna(textjoin(""; "",,filter('On Hand'!E:E,'On Hand'!A:A=A1691)),ifna(xlookup(A1691,'On Hand'!A:A,'On Hand'!E:E,),)))"),"")</f>
        <v/>
      </c>
    </row>
    <row r="1692">
      <c r="A1692" s="3" t="str">
        <f t="array" ref="A1692">ifna(_xlfn.xlookup(B1692,'All Item Code'!B:B,'All Item Code'!A:A,),)</f>
        <v/>
      </c>
      <c r="B1692" s="3"/>
      <c r="C1692" s="3" t="str">
        <f t="array" ref="C1692">if(B1692="Tidak Ada",,if(isblank(B1692),,ifna(sumif('On Hand'!A:A,A1692,'On Hand'!D:D)&amp;" "&amp;_xlfn.xlookup(A1692,'All Item Code'!A:A,'All Item Code'!D:D,),0)))</f>
        <v/>
      </c>
      <c r="D1692" s="3" t="str">
        <f>IFERROR(__xludf.DUMMYFUNCTION("if(isblank(B1692),,ifna(textjoin(""; "",,filter('On Hand'!E:E,'On Hand'!A:A=A1692)),ifna(xlookup(A1692,'On Hand'!A:A,'On Hand'!E:E,),)))"),"")</f>
        <v/>
      </c>
    </row>
    <row r="1693">
      <c r="A1693" s="3" t="str">
        <f t="array" ref="A1693">ifna(_xlfn.xlookup(B1693,'All Item Code'!B:B,'All Item Code'!A:A,),)</f>
        <v/>
      </c>
      <c r="B1693" s="3"/>
      <c r="C1693" s="3" t="str">
        <f t="array" ref="C1693">if(B1693="Tidak Ada",,if(isblank(B1693),,ifna(sumif('On Hand'!A:A,A1693,'On Hand'!D:D)&amp;" "&amp;_xlfn.xlookup(A1693,'All Item Code'!A:A,'All Item Code'!D:D,),0)))</f>
        <v/>
      </c>
      <c r="D1693" s="3" t="str">
        <f>IFERROR(__xludf.DUMMYFUNCTION("if(isblank(B1693),,ifna(textjoin(""; "",,filter('On Hand'!E:E,'On Hand'!A:A=A1693)),ifna(xlookup(A1693,'On Hand'!A:A,'On Hand'!E:E,),)))"),"")</f>
        <v/>
      </c>
    </row>
    <row r="1694">
      <c r="A1694" s="3" t="str">
        <f t="array" ref="A1694">ifna(_xlfn.xlookup(B1694,'All Item Code'!B:B,'All Item Code'!A:A,),)</f>
        <v/>
      </c>
      <c r="B1694" s="3"/>
      <c r="C1694" s="3" t="str">
        <f t="array" ref="C1694">if(B1694="Tidak Ada",,if(isblank(B1694),,ifna(sumif('On Hand'!A:A,A1694,'On Hand'!D:D)&amp;" "&amp;_xlfn.xlookup(A1694,'All Item Code'!A:A,'All Item Code'!D:D,),0)))</f>
        <v/>
      </c>
      <c r="D1694" s="3" t="str">
        <f>IFERROR(__xludf.DUMMYFUNCTION("if(isblank(B1694),,ifna(textjoin(""; "",,filter('On Hand'!E:E,'On Hand'!A:A=A1694)),ifna(xlookup(A1694,'On Hand'!A:A,'On Hand'!E:E,),)))"),"")</f>
        <v/>
      </c>
    </row>
    <row r="1695">
      <c r="A1695" s="3" t="str">
        <f t="array" ref="A1695">ifna(_xlfn.xlookup(B1695,'All Item Code'!B:B,'All Item Code'!A:A,),)</f>
        <v/>
      </c>
      <c r="B1695" s="3"/>
      <c r="C1695" s="3" t="str">
        <f t="array" ref="C1695">if(B1695="Tidak Ada",,if(isblank(B1695),,ifna(sumif('On Hand'!A:A,A1695,'On Hand'!D:D)&amp;" "&amp;_xlfn.xlookup(A1695,'All Item Code'!A:A,'All Item Code'!D:D,),0)))</f>
        <v/>
      </c>
      <c r="D1695" s="3" t="str">
        <f>IFERROR(__xludf.DUMMYFUNCTION("if(isblank(B1695),,ifna(textjoin(""; "",,filter('On Hand'!E:E,'On Hand'!A:A=A1695)),ifna(xlookup(A1695,'On Hand'!A:A,'On Hand'!E:E,),)))"),"")</f>
        <v/>
      </c>
    </row>
    <row r="1696">
      <c r="A1696" s="3" t="str">
        <f t="array" ref="A1696">ifna(_xlfn.xlookup(B1696,'All Item Code'!B:B,'All Item Code'!A:A,),)</f>
        <v/>
      </c>
      <c r="B1696" s="3"/>
      <c r="C1696" s="3" t="str">
        <f t="array" ref="C1696">if(B1696="Tidak Ada",,if(isblank(B1696),,ifna(sumif('On Hand'!A:A,A1696,'On Hand'!D:D)&amp;" "&amp;_xlfn.xlookup(A1696,'All Item Code'!A:A,'All Item Code'!D:D,),0)))</f>
        <v/>
      </c>
      <c r="D1696" s="3" t="str">
        <f>IFERROR(__xludf.DUMMYFUNCTION("if(isblank(B1696),,ifna(textjoin(""; "",,filter('On Hand'!E:E,'On Hand'!A:A=A1696)),ifna(xlookup(A1696,'On Hand'!A:A,'On Hand'!E:E,),)))"),"")</f>
        <v/>
      </c>
    </row>
    <row r="1697">
      <c r="A1697" s="3" t="str">
        <f t="array" ref="A1697">ifna(_xlfn.xlookup(B1697,'All Item Code'!B:B,'All Item Code'!A:A,),)</f>
        <v/>
      </c>
      <c r="B1697" s="3"/>
      <c r="C1697" s="3" t="str">
        <f t="array" ref="C1697">if(B1697="Tidak Ada",,if(isblank(B1697),,ifna(sumif('On Hand'!A:A,A1697,'On Hand'!D:D)&amp;" "&amp;_xlfn.xlookup(A1697,'All Item Code'!A:A,'All Item Code'!D:D,),0)))</f>
        <v/>
      </c>
      <c r="D1697" s="3" t="str">
        <f>IFERROR(__xludf.DUMMYFUNCTION("if(isblank(B1697),,ifna(textjoin(""; "",,filter('On Hand'!E:E,'On Hand'!A:A=A1697)),ifna(xlookup(A1697,'On Hand'!A:A,'On Hand'!E:E,),)))"),"")</f>
        <v/>
      </c>
    </row>
    <row r="1698">
      <c r="A1698" s="3" t="str">
        <f t="array" ref="A1698">ifna(_xlfn.xlookup(B1698,'All Item Code'!B:B,'All Item Code'!A:A,),)</f>
        <v/>
      </c>
      <c r="B1698" s="3"/>
      <c r="C1698" s="3" t="str">
        <f t="array" ref="C1698">if(B1698="Tidak Ada",,if(isblank(B1698),,ifna(sumif('On Hand'!A:A,A1698,'On Hand'!D:D)&amp;" "&amp;_xlfn.xlookup(A1698,'All Item Code'!A:A,'All Item Code'!D:D,),0)))</f>
        <v/>
      </c>
      <c r="D1698" s="3" t="str">
        <f>IFERROR(__xludf.DUMMYFUNCTION("if(isblank(B1698),,ifna(textjoin(""; "",,filter('On Hand'!E:E,'On Hand'!A:A=A1698)),ifna(xlookup(A1698,'On Hand'!A:A,'On Hand'!E:E,),)))"),"")</f>
        <v/>
      </c>
    </row>
    <row r="1699">
      <c r="A1699" s="3" t="str">
        <f t="array" ref="A1699">ifna(_xlfn.xlookup(B1699,'All Item Code'!B:B,'All Item Code'!A:A,),)</f>
        <v/>
      </c>
      <c r="B1699" s="3"/>
      <c r="C1699" s="3" t="str">
        <f t="array" ref="C1699">if(B1699="Tidak Ada",,if(isblank(B1699),,ifna(sumif('On Hand'!A:A,A1699,'On Hand'!D:D)&amp;" "&amp;_xlfn.xlookup(A1699,'All Item Code'!A:A,'All Item Code'!D:D,),0)))</f>
        <v/>
      </c>
      <c r="D1699" s="3" t="str">
        <f>IFERROR(__xludf.DUMMYFUNCTION("if(isblank(B1699),,ifna(textjoin(""; "",,filter('On Hand'!E:E,'On Hand'!A:A=A1699)),ifna(xlookup(A1699,'On Hand'!A:A,'On Hand'!E:E,),)))"),"")</f>
        <v/>
      </c>
    </row>
    <row r="1700">
      <c r="A1700" s="3" t="str">
        <f t="array" ref="A1700">ifna(_xlfn.xlookup(B1700,'All Item Code'!B:B,'All Item Code'!A:A,),)</f>
        <v/>
      </c>
      <c r="B1700" s="3"/>
      <c r="C1700" s="3" t="str">
        <f t="array" ref="C1700">if(B1700="Tidak Ada",,if(isblank(B1700),,ifna(sumif('On Hand'!A:A,A1700,'On Hand'!D:D)&amp;" "&amp;_xlfn.xlookup(A1700,'All Item Code'!A:A,'All Item Code'!D:D,),0)))</f>
        <v/>
      </c>
      <c r="D1700" s="3" t="str">
        <f>IFERROR(__xludf.DUMMYFUNCTION("if(isblank(B1700),,ifna(textjoin(""; "",,filter('On Hand'!E:E,'On Hand'!A:A=A1700)),ifna(xlookup(A1700,'On Hand'!A:A,'On Hand'!E:E,),)))"),"")</f>
        <v/>
      </c>
    </row>
    <row r="1701">
      <c r="A1701" s="3" t="str">
        <f t="array" ref="A1701">ifna(_xlfn.xlookup(B1701,'All Item Code'!B:B,'All Item Code'!A:A,),)</f>
        <v/>
      </c>
      <c r="B1701" s="3"/>
      <c r="C1701" s="3" t="str">
        <f t="array" ref="C1701">if(B1701="Tidak Ada",,if(isblank(B1701),,ifna(sumif('On Hand'!A:A,A1701,'On Hand'!D:D)&amp;" "&amp;_xlfn.xlookup(A1701,'All Item Code'!A:A,'All Item Code'!D:D,),0)))</f>
        <v/>
      </c>
      <c r="D1701" s="3" t="str">
        <f>IFERROR(__xludf.DUMMYFUNCTION("if(isblank(B1701),,ifna(textjoin(""; "",,filter('On Hand'!E:E,'On Hand'!A:A=A1701)),ifna(xlookup(A1701,'On Hand'!A:A,'On Hand'!E:E,),)))"),"")</f>
        <v/>
      </c>
    </row>
    <row r="1702">
      <c r="A1702" s="3" t="str">
        <f t="array" ref="A1702">ifna(_xlfn.xlookup(B1702,'All Item Code'!B:B,'All Item Code'!A:A,),)</f>
        <v/>
      </c>
      <c r="B1702" s="3"/>
      <c r="C1702" s="3" t="str">
        <f t="array" ref="C1702">if(B1702="Tidak Ada",,if(isblank(B1702),,ifna(sumif('On Hand'!A:A,A1702,'On Hand'!D:D)&amp;" "&amp;_xlfn.xlookup(A1702,'All Item Code'!A:A,'All Item Code'!D:D,),0)))</f>
        <v/>
      </c>
      <c r="D1702" s="3" t="str">
        <f>IFERROR(__xludf.DUMMYFUNCTION("if(isblank(B1702),,ifna(textjoin(""; "",,filter('On Hand'!E:E,'On Hand'!A:A=A1702)),ifna(xlookup(A1702,'On Hand'!A:A,'On Hand'!E:E,),)))"),"")</f>
        <v/>
      </c>
    </row>
    <row r="1703">
      <c r="A1703" s="3" t="str">
        <f t="array" ref="A1703">ifna(_xlfn.xlookup(B1703,'All Item Code'!B:B,'All Item Code'!A:A,),)</f>
        <v/>
      </c>
      <c r="B1703" s="3"/>
      <c r="C1703" s="3" t="str">
        <f t="array" ref="C1703">if(B1703="Tidak Ada",,if(isblank(B1703),,ifna(sumif('On Hand'!A:A,A1703,'On Hand'!D:D)&amp;" "&amp;_xlfn.xlookup(A1703,'All Item Code'!A:A,'All Item Code'!D:D,),0)))</f>
        <v/>
      </c>
      <c r="D1703" s="3" t="str">
        <f>IFERROR(__xludf.DUMMYFUNCTION("if(isblank(B1703),,ifna(textjoin(""; "",,filter('On Hand'!E:E,'On Hand'!A:A=A1703)),ifna(xlookup(A1703,'On Hand'!A:A,'On Hand'!E:E,),)))"),"")</f>
        <v/>
      </c>
    </row>
    <row r="1704">
      <c r="A1704" s="3" t="str">
        <f t="array" ref="A1704">ifna(_xlfn.xlookup(B1704,'All Item Code'!B:B,'All Item Code'!A:A,),)</f>
        <v/>
      </c>
      <c r="B1704" s="3"/>
      <c r="C1704" s="3" t="str">
        <f t="array" ref="C1704">if(B1704="Tidak Ada",,if(isblank(B1704),,ifna(sumif('On Hand'!A:A,A1704,'On Hand'!D:D)&amp;" "&amp;_xlfn.xlookup(A1704,'All Item Code'!A:A,'All Item Code'!D:D,),0)))</f>
        <v/>
      </c>
      <c r="D1704" s="3" t="str">
        <f>IFERROR(__xludf.DUMMYFUNCTION("if(isblank(B1704),,ifna(textjoin(""; "",,filter('On Hand'!E:E,'On Hand'!A:A=A1704)),ifna(xlookup(A1704,'On Hand'!A:A,'On Hand'!E:E,),)))"),"")</f>
        <v/>
      </c>
    </row>
    <row r="1705">
      <c r="A1705" s="3" t="str">
        <f t="array" ref="A1705">ifna(_xlfn.xlookup(B1705,'All Item Code'!B:B,'All Item Code'!A:A,),)</f>
        <v/>
      </c>
      <c r="B1705" s="3"/>
      <c r="C1705" s="3" t="str">
        <f t="array" ref="C1705">if(B1705="Tidak Ada",,if(isblank(B1705),,ifna(sumif('On Hand'!A:A,A1705,'On Hand'!D:D)&amp;" "&amp;_xlfn.xlookup(A1705,'All Item Code'!A:A,'All Item Code'!D:D,),0)))</f>
        <v/>
      </c>
      <c r="D1705" s="3" t="str">
        <f>IFERROR(__xludf.DUMMYFUNCTION("if(isblank(B1705),,ifna(textjoin(""; "",,filter('On Hand'!E:E,'On Hand'!A:A=A1705)),ifna(xlookup(A1705,'On Hand'!A:A,'On Hand'!E:E,),)))"),"")</f>
        <v/>
      </c>
    </row>
    <row r="1706">
      <c r="A1706" s="3" t="str">
        <f t="array" ref="A1706">ifna(_xlfn.xlookup(B1706,'All Item Code'!B:B,'All Item Code'!A:A,),)</f>
        <v/>
      </c>
      <c r="B1706" s="3"/>
      <c r="C1706" s="3" t="str">
        <f t="array" ref="C1706">if(B1706="Tidak Ada",,if(isblank(B1706),,ifna(sumif('On Hand'!A:A,A1706,'On Hand'!D:D)&amp;" "&amp;_xlfn.xlookup(A1706,'All Item Code'!A:A,'All Item Code'!D:D,),0)))</f>
        <v/>
      </c>
      <c r="D1706" s="3" t="str">
        <f>IFERROR(__xludf.DUMMYFUNCTION("if(isblank(B1706),,ifna(textjoin(""; "",,filter('On Hand'!E:E,'On Hand'!A:A=A1706)),ifna(xlookup(A1706,'On Hand'!A:A,'On Hand'!E:E,),)))"),"")</f>
        <v/>
      </c>
    </row>
    <row r="1707">
      <c r="A1707" s="3" t="str">
        <f t="array" ref="A1707">ifna(_xlfn.xlookup(B1707,'All Item Code'!B:B,'All Item Code'!A:A,),)</f>
        <v/>
      </c>
      <c r="B1707" s="3"/>
      <c r="C1707" s="3" t="str">
        <f t="array" ref="C1707">if(B1707="Tidak Ada",,if(isblank(B1707),,ifna(sumif('On Hand'!A:A,A1707,'On Hand'!D:D)&amp;" "&amp;_xlfn.xlookup(A1707,'All Item Code'!A:A,'All Item Code'!D:D,),0)))</f>
        <v/>
      </c>
      <c r="D1707" s="3" t="str">
        <f>IFERROR(__xludf.DUMMYFUNCTION("if(isblank(B1707),,ifna(textjoin(""; "",,filter('On Hand'!E:E,'On Hand'!A:A=A1707)),ifna(xlookup(A1707,'On Hand'!A:A,'On Hand'!E:E,),)))"),"")</f>
        <v/>
      </c>
    </row>
    <row r="1708">
      <c r="A1708" s="3" t="str">
        <f t="array" ref="A1708">ifna(_xlfn.xlookup(B1708,'All Item Code'!B:B,'All Item Code'!A:A,),)</f>
        <v/>
      </c>
      <c r="B1708" s="3"/>
      <c r="C1708" s="3" t="str">
        <f t="array" ref="C1708">if(B1708="Tidak Ada",,if(isblank(B1708),,ifna(sumif('On Hand'!A:A,A1708,'On Hand'!D:D)&amp;" "&amp;_xlfn.xlookup(A1708,'All Item Code'!A:A,'All Item Code'!D:D,),0)))</f>
        <v/>
      </c>
      <c r="D1708" s="3" t="str">
        <f>IFERROR(__xludf.DUMMYFUNCTION("if(isblank(B1708),,ifna(textjoin(""; "",,filter('On Hand'!E:E,'On Hand'!A:A=A1708)),ifna(xlookup(A1708,'On Hand'!A:A,'On Hand'!E:E,),)))"),"")</f>
        <v/>
      </c>
    </row>
    <row r="1709">
      <c r="A1709" s="3" t="str">
        <f t="array" ref="A1709">ifna(_xlfn.xlookup(B1709,'All Item Code'!B:B,'All Item Code'!A:A,),)</f>
        <v/>
      </c>
      <c r="B1709" s="3"/>
      <c r="C1709" s="3" t="str">
        <f t="array" ref="C1709">if(B1709="Tidak Ada",,if(isblank(B1709),,ifna(sumif('On Hand'!A:A,A1709,'On Hand'!D:D)&amp;" "&amp;_xlfn.xlookup(A1709,'All Item Code'!A:A,'All Item Code'!D:D,),0)))</f>
        <v/>
      </c>
      <c r="D1709" s="3" t="str">
        <f>IFERROR(__xludf.DUMMYFUNCTION("if(isblank(B1709),,ifna(textjoin(""; "",,filter('On Hand'!E:E,'On Hand'!A:A=A1709)),ifna(xlookup(A1709,'On Hand'!A:A,'On Hand'!E:E,),)))"),"")</f>
        <v/>
      </c>
    </row>
    <row r="1710">
      <c r="A1710" s="3" t="str">
        <f t="array" ref="A1710">ifna(_xlfn.xlookup(B1710,'All Item Code'!B:B,'All Item Code'!A:A,),)</f>
        <v/>
      </c>
      <c r="B1710" s="3"/>
      <c r="C1710" s="3" t="str">
        <f t="array" ref="C1710">if(B1710="Tidak Ada",,if(isblank(B1710),,ifna(sumif('On Hand'!A:A,A1710,'On Hand'!D:D)&amp;" "&amp;_xlfn.xlookup(A1710,'All Item Code'!A:A,'All Item Code'!D:D,),0)))</f>
        <v/>
      </c>
      <c r="D1710" s="3" t="str">
        <f>IFERROR(__xludf.DUMMYFUNCTION("if(isblank(B1710),,ifna(textjoin(""; "",,filter('On Hand'!E:E,'On Hand'!A:A=A1710)),ifna(xlookup(A1710,'On Hand'!A:A,'On Hand'!E:E,),)))"),"")</f>
        <v/>
      </c>
    </row>
    <row r="1711">
      <c r="A1711" s="3" t="str">
        <f t="array" ref="A1711">ifna(_xlfn.xlookup(B1711,'All Item Code'!B:B,'All Item Code'!A:A,),)</f>
        <v/>
      </c>
      <c r="B1711" s="3"/>
      <c r="C1711" s="3" t="str">
        <f t="array" ref="C1711">if(B1711="Tidak Ada",,if(isblank(B1711),,ifna(sumif('On Hand'!A:A,A1711,'On Hand'!D:D)&amp;" "&amp;_xlfn.xlookup(A1711,'All Item Code'!A:A,'All Item Code'!D:D,),0)))</f>
        <v/>
      </c>
      <c r="D1711" s="3" t="str">
        <f>IFERROR(__xludf.DUMMYFUNCTION("if(isblank(B1711),,ifna(textjoin(""; "",,filter('On Hand'!E:E,'On Hand'!A:A=A1711)),ifna(xlookup(A1711,'On Hand'!A:A,'On Hand'!E:E,),)))"),"")</f>
        <v/>
      </c>
    </row>
    <row r="1712">
      <c r="A1712" s="3" t="str">
        <f t="array" ref="A1712">ifna(_xlfn.xlookup(B1712,'All Item Code'!B:B,'All Item Code'!A:A,),)</f>
        <v/>
      </c>
      <c r="B1712" s="3"/>
      <c r="C1712" s="3" t="str">
        <f t="array" ref="C1712">if(B1712="Tidak Ada",,if(isblank(B1712),,ifna(sumif('On Hand'!A:A,A1712,'On Hand'!D:D)&amp;" "&amp;_xlfn.xlookup(A1712,'All Item Code'!A:A,'All Item Code'!D:D,),0)))</f>
        <v/>
      </c>
      <c r="D1712" s="3" t="str">
        <f>IFERROR(__xludf.DUMMYFUNCTION("if(isblank(B1712),,ifna(textjoin(""; "",,filter('On Hand'!E:E,'On Hand'!A:A=A1712)),ifna(xlookup(A1712,'On Hand'!A:A,'On Hand'!E:E,),)))"),"")</f>
        <v/>
      </c>
    </row>
    <row r="1713">
      <c r="A1713" s="3" t="str">
        <f t="array" ref="A1713">ifna(_xlfn.xlookup(B1713,'All Item Code'!B:B,'All Item Code'!A:A,),)</f>
        <v/>
      </c>
      <c r="B1713" s="3"/>
      <c r="C1713" s="3" t="str">
        <f t="array" ref="C1713">if(B1713="Tidak Ada",,if(isblank(B1713),,ifna(sumif('On Hand'!A:A,A1713,'On Hand'!D:D)&amp;" "&amp;_xlfn.xlookup(A1713,'All Item Code'!A:A,'All Item Code'!D:D,),0)))</f>
        <v/>
      </c>
      <c r="D1713" s="3" t="str">
        <f>IFERROR(__xludf.DUMMYFUNCTION("if(isblank(B1713),,ifna(textjoin(""; "",,filter('On Hand'!E:E,'On Hand'!A:A=A1713)),ifna(xlookup(A1713,'On Hand'!A:A,'On Hand'!E:E,),)))"),"")</f>
        <v/>
      </c>
    </row>
    <row r="1714">
      <c r="A1714" s="3" t="str">
        <f t="array" ref="A1714">ifna(_xlfn.xlookup(B1714,'All Item Code'!B:B,'All Item Code'!A:A,),)</f>
        <v/>
      </c>
      <c r="B1714" s="3"/>
      <c r="C1714" s="3" t="str">
        <f t="array" ref="C1714">if(B1714="Tidak Ada",,if(isblank(B1714),,ifna(sumif('On Hand'!A:A,A1714,'On Hand'!D:D)&amp;" "&amp;_xlfn.xlookup(A1714,'All Item Code'!A:A,'All Item Code'!D:D,),0)))</f>
        <v/>
      </c>
      <c r="D1714" s="3" t="str">
        <f>IFERROR(__xludf.DUMMYFUNCTION("if(isblank(B1714),,ifna(textjoin(""; "",,filter('On Hand'!E:E,'On Hand'!A:A=A1714)),ifna(xlookup(A1714,'On Hand'!A:A,'On Hand'!E:E,),)))"),"")</f>
        <v/>
      </c>
    </row>
    <row r="1715">
      <c r="A1715" s="3" t="str">
        <f t="array" ref="A1715">ifna(_xlfn.xlookup(B1715,'All Item Code'!B:B,'All Item Code'!A:A,),)</f>
        <v/>
      </c>
      <c r="B1715" s="3"/>
      <c r="C1715" s="3" t="str">
        <f t="array" ref="C1715">if(B1715="Tidak Ada",,if(isblank(B1715),,ifna(sumif('On Hand'!A:A,A1715,'On Hand'!D:D)&amp;" "&amp;_xlfn.xlookup(A1715,'All Item Code'!A:A,'All Item Code'!D:D,),0)))</f>
        <v/>
      </c>
      <c r="D1715" s="3" t="str">
        <f>IFERROR(__xludf.DUMMYFUNCTION("if(isblank(B1715),,ifna(textjoin(""; "",,filter('On Hand'!E:E,'On Hand'!A:A=A1715)),ifna(xlookup(A1715,'On Hand'!A:A,'On Hand'!E:E,),)))"),"")</f>
        <v/>
      </c>
    </row>
    <row r="1716">
      <c r="A1716" s="3" t="str">
        <f t="array" ref="A1716">ifna(_xlfn.xlookup(B1716,'All Item Code'!B:B,'All Item Code'!A:A,),)</f>
        <v/>
      </c>
      <c r="B1716" s="3"/>
      <c r="C1716" s="3" t="str">
        <f t="array" ref="C1716">if(B1716="Tidak Ada",,if(isblank(B1716),,ifna(sumif('On Hand'!A:A,A1716,'On Hand'!D:D)&amp;" "&amp;_xlfn.xlookup(A1716,'All Item Code'!A:A,'All Item Code'!D:D,),0)))</f>
        <v/>
      </c>
      <c r="D1716" s="3" t="str">
        <f>IFERROR(__xludf.DUMMYFUNCTION("if(isblank(B1716),,ifna(textjoin(""; "",,filter('On Hand'!E:E,'On Hand'!A:A=A1716)),ifna(xlookup(A1716,'On Hand'!A:A,'On Hand'!E:E,),)))"),"")</f>
        <v/>
      </c>
    </row>
    <row r="1717">
      <c r="A1717" s="3" t="str">
        <f t="array" ref="A1717">ifna(_xlfn.xlookup(B1717,'All Item Code'!B:B,'All Item Code'!A:A,),)</f>
        <v/>
      </c>
      <c r="B1717" s="3"/>
      <c r="C1717" s="3" t="str">
        <f t="array" ref="C1717">if(B1717="Tidak Ada",,if(isblank(B1717),,ifna(sumif('On Hand'!A:A,A1717,'On Hand'!D:D)&amp;" "&amp;_xlfn.xlookup(A1717,'All Item Code'!A:A,'All Item Code'!D:D,),0)))</f>
        <v/>
      </c>
      <c r="D1717" s="3" t="str">
        <f>IFERROR(__xludf.DUMMYFUNCTION("if(isblank(B1717),,ifna(textjoin(""; "",,filter('On Hand'!E:E,'On Hand'!A:A=A1717)),ifna(xlookup(A1717,'On Hand'!A:A,'On Hand'!E:E,),)))"),"")</f>
        <v/>
      </c>
    </row>
    <row r="1718">
      <c r="A1718" s="3" t="str">
        <f t="array" ref="A1718">ifna(_xlfn.xlookup(B1718,'All Item Code'!B:B,'All Item Code'!A:A,),)</f>
        <v/>
      </c>
      <c r="B1718" s="3"/>
      <c r="C1718" s="3" t="str">
        <f t="array" ref="C1718">if(B1718="Tidak Ada",,if(isblank(B1718),,ifna(sumif('On Hand'!A:A,A1718,'On Hand'!D:D)&amp;" "&amp;_xlfn.xlookup(A1718,'All Item Code'!A:A,'All Item Code'!D:D,),0)))</f>
        <v/>
      </c>
      <c r="D1718" s="3" t="str">
        <f>IFERROR(__xludf.DUMMYFUNCTION("if(isblank(B1718),,ifna(textjoin(""; "",,filter('On Hand'!E:E,'On Hand'!A:A=A1718)),ifna(xlookup(A1718,'On Hand'!A:A,'On Hand'!E:E,),)))"),"")</f>
        <v/>
      </c>
    </row>
    <row r="1719">
      <c r="A1719" s="3" t="str">
        <f t="array" ref="A1719">ifna(_xlfn.xlookup(B1719,'All Item Code'!B:B,'All Item Code'!A:A,),)</f>
        <v/>
      </c>
      <c r="B1719" s="3"/>
      <c r="C1719" s="3" t="str">
        <f t="array" ref="C1719">if(B1719="Tidak Ada",,if(isblank(B1719),,ifna(sumif('On Hand'!A:A,A1719,'On Hand'!D:D)&amp;" "&amp;_xlfn.xlookup(A1719,'All Item Code'!A:A,'All Item Code'!D:D,),0)))</f>
        <v/>
      </c>
      <c r="D1719" s="3" t="str">
        <f>IFERROR(__xludf.DUMMYFUNCTION("if(isblank(B1719),,ifna(textjoin(""; "",,filter('On Hand'!E:E,'On Hand'!A:A=A1719)),ifna(xlookup(A1719,'On Hand'!A:A,'On Hand'!E:E,),)))"),"")</f>
        <v/>
      </c>
    </row>
    <row r="1720">
      <c r="A1720" s="3" t="str">
        <f t="array" ref="A1720">ifna(_xlfn.xlookup(B1720,'All Item Code'!B:B,'All Item Code'!A:A,),)</f>
        <v/>
      </c>
      <c r="B1720" s="3"/>
      <c r="C1720" s="3" t="str">
        <f t="array" ref="C1720">if(B1720="Tidak Ada",,if(isblank(B1720),,ifna(sumif('On Hand'!A:A,A1720,'On Hand'!D:D)&amp;" "&amp;_xlfn.xlookup(A1720,'All Item Code'!A:A,'All Item Code'!D:D,),0)))</f>
        <v/>
      </c>
      <c r="D1720" s="3" t="str">
        <f>IFERROR(__xludf.DUMMYFUNCTION("if(isblank(B1720),,ifna(textjoin(""; "",,filter('On Hand'!E:E,'On Hand'!A:A=A1720)),ifna(xlookup(A1720,'On Hand'!A:A,'On Hand'!E:E,),)))"),"")</f>
        <v/>
      </c>
    </row>
    <row r="1721">
      <c r="A1721" s="3" t="str">
        <f t="array" ref="A1721">ifna(_xlfn.xlookup(B1721,'All Item Code'!B:B,'All Item Code'!A:A,),)</f>
        <v/>
      </c>
      <c r="B1721" s="3"/>
      <c r="C1721" s="3" t="str">
        <f t="array" ref="C1721">if(B1721="Tidak Ada",,if(isblank(B1721),,ifna(sumif('On Hand'!A:A,A1721,'On Hand'!D:D)&amp;" "&amp;_xlfn.xlookup(A1721,'All Item Code'!A:A,'All Item Code'!D:D,),0)))</f>
        <v/>
      </c>
      <c r="D1721" s="3" t="str">
        <f>IFERROR(__xludf.DUMMYFUNCTION("if(isblank(B1721),,ifna(textjoin(""; "",,filter('On Hand'!E:E,'On Hand'!A:A=A1721)),ifna(xlookup(A1721,'On Hand'!A:A,'On Hand'!E:E,),)))"),"")</f>
        <v/>
      </c>
    </row>
    <row r="1722">
      <c r="A1722" s="3" t="str">
        <f t="array" ref="A1722">ifna(_xlfn.xlookup(B1722,'All Item Code'!B:B,'All Item Code'!A:A,),)</f>
        <v/>
      </c>
      <c r="B1722" s="3"/>
      <c r="C1722" s="3" t="str">
        <f t="array" ref="C1722">if(B1722="Tidak Ada",,if(isblank(B1722),,ifna(sumif('On Hand'!A:A,A1722,'On Hand'!D:D)&amp;" "&amp;_xlfn.xlookup(A1722,'All Item Code'!A:A,'All Item Code'!D:D,),0)))</f>
        <v/>
      </c>
      <c r="D1722" s="3" t="str">
        <f>IFERROR(__xludf.DUMMYFUNCTION("if(isblank(B1722),,ifna(textjoin(""; "",,filter('On Hand'!E:E,'On Hand'!A:A=A1722)),ifna(xlookup(A1722,'On Hand'!A:A,'On Hand'!E:E,),)))"),"")</f>
        <v/>
      </c>
    </row>
    <row r="1723">
      <c r="A1723" s="3" t="str">
        <f t="array" ref="A1723">ifna(_xlfn.xlookup(B1723,'All Item Code'!B:B,'All Item Code'!A:A,),)</f>
        <v/>
      </c>
      <c r="B1723" s="3"/>
      <c r="C1723" s="3" t="str">
        <f t="array" ref="C1723">if(B1723="Tidak Ada",,if(isblank(B1723),,ifna(sumif('On Hand'!A:A,A1723,'On Hand'!D:D)&amp;" "&amp;_xlfn.xlookup(A1723,'All Item Code'!A:A,'All Item Code'!D:D,),0)))</f>
        <v/>
      </c>
      <c r="D1723" s="3" t="str">
        <f>IFERROR(__xludf.DUMMYFUNCTION("if(isblank(B1723),,ifna(textjoin(""; "",,filter('On Hand'!E:E,'On Hand'!A:A=A1723)),ifna(xlookup(A1723,'On Hand'!A:A,'On Hand'!E:E,),)))"),"")</f>
        <v/>
      </c>
    </row>
    <row r="1724">
      <c r="A1724" s="3" t="str">
        <f t="array" ref="A1724">ifna(_xlfn.xlookup(B1724,'All Item Code'!B:B,'All Item Code'!A:A,),)</f>
        <v/>
      </c>
      <c r="B1724" s="3"/>
      <c r="C1724" s="3" t="str">
        <f t="array" ref="C1724">if(B1724="Tidak Ada",,if(isblank(B1724),,ifna(sumif('On Hand'!A:A,A1724,'On Hand'!D:D)&amp;" "&amp;_xlfn.xlookup(A1724,'All Item Code'!A:A,'All Item Code'!D:D,),0)))</f>
        <v/>
      </c>
      <c r="D1724" s="3" t="str">
        <f>IFERROR(__xludf.DUMMYFUNCTION("if(isblank(B1724),,ifna(textjoin(""; "",,filter('On Hand'!E:E,'On Hand'!A:A=A1724)),ifna(xlookup(A1724,'On Hand'!A:A,'On Hand'!E:E,),)))"),"")</f>
        <v/>
      </c>
    </row>
    <row r="1725">
      <c r="A1725" s="3" t="str">
        <f t="array" ref="A1725">ifna(_xlfn.xlookup(B1725,'All Item Code'!B:B,'All Item Code'!A:A,),)</f>
        <v/>
      </c>
      <c r="B1725" s="3"/>
      <c r="C1725" s="3" t="str">
        <f t="array" ref="C1725">if(B1725="Tidak Ada",,if(isblank(B1725),,ifna(sumif('On Hand'!A:A,A1725,'On Hand'!D:D)&amp;" "&amp;_xlfn.xlookup(A1725,'All Item Code'!A:A,'All Item Code'!D:D,),0)))</f>
        <v/>
      </c>
      <c r="D1725" s="3" t="str">
        <f>IFERROR(__xludf.DUMMYFUNCTION("if(isblank(B1725),,ifna(textjoin(""; "",,filter('On Hand'!E:E,'On Hand'!A:A=A1725)),ifna(xlookup(A1725,'On Hand'!A:A,'On Hand'!E:E,),)))"),"")</f>
        <v/>
      </c>
    </row>
    <row r="1726">
      <c r="A1726" s="3" t="str">
        <f t="array" ref="A1726">ifna(_xlfn.xlookup(B1726,'All Item Code'!B:B,'All Item Code'!A:A,),)</f>
        <v/>
      </c>
      <c r="B1726" s="3"/>
      <c r="C1726" s="3" t="str">
        <f t="array" ref="C1726">if(B1726="Tidak Ada",,if(isblank(B1726),,ifna(sumif('On Hand'!A:A,A1726,'On Hand'!D:D)&amp;" "&amp;_xlfn.xlookup(A1726,'All Item Code'!A:A,'All Item Code'!D:D,),0)))</f>
        <v/>
      </c>
      <c r="D1726" s="3" t="str">
        <f>IFERROR(__xludf.DUMMYFUNCTION("if(isblank(B1726),,ifna(textjoin(""; "",,filter('On Hand'!E:E,'On Hand'!A:A=A1726)),ifna(xlookup(A1726,'On Hand'!A:A,'On Hand'!E:E,),)))"),"")</f>
        <v/>
      </c>
    </row>
    <row r="1727">
      <c r="A1727" s="3" t="str">
        <f t="array" ref="A1727">ifna(_xlfn.xlookup(B1727,'All Item Code'!B:B,'All Item Code'!A:A,),)</f>
        <v/>
      </c>
      <c r="B1727" s="3"/>
      <c r="C1727" s="3" t="str">
        <f t="array" ref="C1727">if(B1727="Tidak Ada",,if(isblank(B1727),,ifna(sumif('On Hand'!A:A,A1727,'On Hand'!D:D)&amp;" "&amp;_xlfn.xlookup(A1727,'All Item Code'!A:A,'All Item Code'!D:D,),0)))</f>
        <v/>
      </c>
      <c r="D1727" s="3" t="str">
        <f>IFERROR(__xludf.DUMMYFUNCTION("if(isblank(B1727),,ifna(textjoin(""; "",,filter('On Hand'!E:E,'On Hand'!A:A=A1727)),ifna(xlookup(A1727,'On Hand'!A:A,'On Hand'!E:E,),)))"),"")</f>
        <v/>
      </c>
    </row>
    <row r="1728">
      <c r="A1728" s="3" t="str">
        <f t="array" ref="A1728">ifna(_xlfn.xlookup(B1728,'All Item Code'!B:B,'All Item Code'!A:A,),)</f>
        <v/>
      </c>
      <c r="B1728" s="3"/>
      <c r="C1728" s="3" t="str">
        <f t="array" ref="C1728">if(B1728="Tidak Ada",,if(isblank(B1728),,ifna(sumif('On Hand'!A:A,A1728,'On Hand'!D:D)&amp;" "&amp;_xlfn.xlookup(A1728,'All Item Code'!A:A,'All Item Code'!D:D,),0)))</f>
        <v/>
      </c>
      <c r="D1728" s="3" t="str">
        <f>IFERROR(__xludf.DUMMYFUNCTION("if(isblank(B1728),,ifna(textjoin(""; "",,filter('On Hand'!E:E,'On Hand'!A:A=A1728)),ifna(xlookup(A1728,'On Hand'!A:A,'On Hand'!E:E,),)))"),"")</f>
        <v/>
      </c>
    </row>
    <row r="1729">
      <c r="A1729" s="3" t="str">
        <f t="array" ref="A1729">ifna(_xlfn.xlookup(B1729,'All Item Code'!B:B,'All Item Code'!A:A,),)</f>
        <v/>
      </c>
      <c r="B1729" s="3"/>
      <c r="C1729" s="3" t="str">
        <f t="array" ref="C1729">if(B1729="Tidak Ada",,if(isblank(B1729),,ifna(sumif('On Hand'!A:A,A1729,'On Hand'!D:D)&amp;" "&amp;_xlfn.xlookup(A1729,'All Item Code'!A:A,'All Item Code'!D:D,),0)))</f>
        <v/>
      </c>
      <c r="D1729" s="3" t="str">
        <f>IFERROR(__xludf.DUMMYFUNCTION("if(isblank(B1729),,ifna(textjoin(""; "",,filter('On Hand'!E:E,'On Hand'!A:A=A1729)),ifna(xlookup(A1729,'On Hand'!A:A,'On Hand'!E:E,),)))"),"")</f>
        <v/>
      </c>
    </row>
    <row r="1730">
      <c r="A1730" s="3" t="str">
        <f t="array" ref="A1730">ifna(_xlfn.xlookup(B1730,'All Item Code'!B:B,'All Item Code'!A:A,),)</f>
        <v/>
      </c>
      <c r="B1730" s="3"/>
      <c r="C1730" s="3" t="str">
        <f t="array" ref="C1730">if(B1730="Tidak Ada",,if(isblank(B1730),,ifna(sumif('On Hand'!A:A,A1730,'On Hand'!D:D)&amp;" "&amp;_xlfn.xlookup(A1730,'All Item Code'!A:A,'All Item Code'!D:D,),0)))</f>
        <v/>
      </c>
      <c r="D1730" s="3" t="str">
        <f>IFERROR(__xludf.DUMMYFUNCTION("if(isblank(B1730),,ifna(textjoin(""; "",,filter('On Hand'!E:E,'On Hand'!A:A=A1730)),ifna(xlookup(A1730,'On Hand'!A:A,'On Hand'!E:E,),)))"),"")</f>
        <v/>
      </c>
    </row>
    <row r="1731">
      <c r="A1731" s="3" t="str">
        <f t="array" ref="A1731">ifna(_xlfn.xlookup(B1731,'All Item Code'!B:B,'All Item Code'!A:A,),)</f>
        <v/>
      </c>
      <c r="B1731" s="3"/>
      <c r="C1731" s="3" t="str">
        <f t="array" ref="C1731">if(B1731="Tidak Ada",,if(isblank(B1731),,ifna(sumif('On Hand'!A:A,A1731,'On Hand'!D:D)&amp;" "&amp;_xlfn.xlookup(A1731,'All Item Code'!A:A,'All Item Code'!D:D,),0)))</f>
        <v/>
      </c>
      <c r="D1731" s="3" t="str">
        <f>IFERROR(__xludf.DUMMYFUNCTION("if(isblank(B1731),,ifna(textjoin(""; "",,filter('On Hand'!E:E,'On Hand'!A:A=A1731)),ifna(xlookup(A1731,'On Hand'!A:A,'On Hand'!E:E,),)))"),"")</f>
        <v/>
      </c>
    </row>
    <row r="1732">
      <c r="A1732" s="3" t="str">
        <f t="array" ref="A1732">ifna(_xlfn.xlookup(B1732,'All Item Code'!B:B,'All Item Code'!A:A,),)</f>
        <v/>
      </c>
      <c r="B1732" s="3"/>
      <c r="C1732" s="3" t="str">
        <f t="array" ref="C1732">if(B1732="Tidak Ada",,if(isblank(B1732),,ifna(sumif('On Hand'!A:A,A1732,'On Hand'!D:D)&amp;" "&amp;_xlfn.xlookup(A1732,'All Item Code'!A:A,'All Item Code'!D:D,),0)))</f>
        <v/>
      </c>
      <c r="D1732" s="3" t="str">
        <f>IFERROR(__xludf.DUMMYFUNCTION("if(isblank(B1732),,ifna(textjoin(""; "",,filter('On Hand'!E:E,'On Hand'!A:A=A1732)),ifna(xlookup(A1732,'On Hand'!A:A,'On Hand'!E:E,),)))"),"")</f>
        <v/>
      </c>
    </row>
    <row r="1733">
      <c r="A1733" s="3" t="str">
        <f t="array" ref="A1733">ifna(_xlfn.xlookup(B1733,'All Item Code'!B:B,'All Item Code'!A:A,),)</f>
        <v/>
      </c>
      <c r="B1733" s="3"/>
      <c r="C1733" s="3" t="str">
        <f t="array" ref="C1733">if(B1733="Tidak Ada",,if(isblank(B1733),,ifna(sumif('On Hand'!A:A,A1733,'On Hand'!D:D)&amp;" "&amp;_xlfn.xlookup(A1733,'All Item Code'!A:A,'All Item Code'!D:D,),0)))</f>
        <v/>
      </c>
      <c r="D1733" s="3" t="str">
        <f>IFERROR(__xludf.DUMMYFUNCTION("if(isblank(B1733),,ifna(textjoin(""; "",,filter('On Hand'!E:E,'On Hand'!A:A=A1733)),ifna(xlookup(A1733,'On Hand'!A:A,'On Hand'!E:E,),)))"),"")</f>
        <v/>
      </c>
    </row>
    <row r="1734">
      <c r="A1734" s="3" t="str">
        <f t="array" ref="A1734">ifna(_xlfn.xlookup(B1734,'All Item Code'!B:B,'All Item Code'!A:A,),)</f>
        <v/>
      </c>
      <c r="B1734" s="3"/>
      <c r="C1734" s="3" t="str">
        <f t="array" ref="C1734">if(B1734="Tidak Ada",,if(isblank(B1734),,ifna(sumif('On Hand'!A:A,A1734,'On Hand'!D:D)&amp;" "&amp;_xlfn.xlookup(A1734,'All Item Code'!A:A,'All Item Code'!D:D,),0)))</f>
        <v/>
      </c>
      <c r="D1734" s="3" t="str">
        <f>IFERROR(__xludf.DUMMYFUNCTION("if(isblank(B1734),,ifna(textjoin(""; "",,filter('On Hand'!E:E,'On Hand'!A:A=A1734)),ifna(xlookup(A1734,'On Hand'!A:A,'On Hand'!E:E,),)))"),"")</f>
        <v/>
      </c>
    </row>
    <row r="1735">
      <c r="A1735" s="3" t="str">
        <f t="array" ref="A1735">ifna(_xlfn.xlookup(B1735,'All Item Code'!B:B,'All Item Code'!A:A,),)</f>
        <v/>
      </c>
      <c r="B1735" s="3"/>
      <c r="C1735" s="3" t="str">
        <f t="array" ref="C1735">if(B1735="Tidak Ada",,if(isblank(B1735),,ifna(sumif('On Hand'!A:A,A1735,'On Hand'!D:D)&amp;" "&amp;_xlfn.xlookup(A1735,'All Item Code'!A:A,'All Item Code'!D:D,),0)))</f>
        <v/>
      </c>
      <c r="D1735" s="3" t="str">
        <f>IFERROR(__xludf.DUMMYFUNCTION("if(isblank(B1735),,ifna(textjoin(""; "",,filter('On Hand'!E:E,'On Hand'!A:A=A1735)),ifna(xlookup(A1735,'On Hand'!A:A,'On Hand'!E:E,),)))"),"")</f>
        <v/>
      </c>
    </row>
    <row r="1736">
      <c r="A1736" s="3" t="str">
        <f t="array" ref="A1736">ifna(_xlfn.xlookup(B1736,'All Item Code'!B:B,'All Item Code'!A:A,),)</f>
        <v/>
      </c>
      <c r="B1736" s="3"/>
      <c r="C1736" s="3" t="str">
        <f t="array" ref="C1736">if(B1736="Tidak Ada",,if(isblank(B1736),,ifna(sumif('On Hand'!A:A,A1736,'On Hand'!D:D)&amp;" "&amp;_xlfn.xlookup(A1736,'All Item Code'!A:A,'All Item Code'!D:D,),0)))</f>
        <v/>
      </c>
      <c r="D1736" s="3" t="str">
        <f>IFERROR(__xludf.DUMMYFUNCTION("if(isblank(B1736),,ifna(textjoin(""; "",,filter('On Hand'!E:E,'On Hand'!A:A=A1736)),ifna(xlookup(A1736,'On Hand'!A:A,'On Hand'!E:E,),)))"),"")</f>
        <v/>
      </c>
    </row>
    <row r="1737">
      <c r="A1737" s="3" t="str">
        <f t="array" ref="A1737">ifna(_xlfn.xlookup(B1737,'All Item Code'!B:B,'All Item Code'!A:A,),)</f>
        <v/>
      </c>
      <c r="B1737" s="3"/>
      <c r="C1737" s="3" t="str">
        <f t="array" ref="C1737">if(B1737="Tidak Ada",,if(isblank(B1737),,ifna(sumif('On Hand'!A:A,A1737,'On Hand'!D:D)&amp;" "&amp;_xlfn.xlookup(A1737,'All Item Code'!A:A,'All Item Code'!D:D,),0)))</f>
        <v/>
      </c>
      <c r="D1737" s="3" t="str">
        <f>IFERROR(__xludf.DUMMYFUNCTION("if(isblank(B1737),,ifna(textjoin(""; "",,filter('On Hand'!E:E,'On Hand'!A:A=A1737)),ifna(xlookup(A1737,'On Hand'!A:A,'On Hand'!E:E,),)))"),"")</f>
        <v/>
      </c>
    </row>
    <row r="1738">
      <c r="A1738" s="3" t="str">
        <f t="array" ref="A1738">ifna(_xlfn.xlookup(B1738,'All Item Code'!B:B,'All Item Code'!A:A,),)</f>
        <v/>
      </c>
      <c r="B1738" s="3"/>
      <c r="C1738" s="3" t="str">
        <f t="array" ref="C1738">if(B1738="Tidak Ada",,if(isblank(B1738),,ifna(sumif('On Hand'!A:A,A1738,'On Hand'!D:D)&amp;" "&amp;_xlfn.xlookup(A1738,'All Item Code'!A:A,'All Item Code'!D:D,),0)))</f>
        <v/>
      </c>
      <c r="D1738" s="3" t="str">
        <f>IFERROR(__xludf.DUMMYFUNCTION("if(isblank(B1738),,ifna(textjoin(""; "",,filter('On Hand'!E:E,'On Hand'!A:A=A1738)),ifna(xlookup(A1738,'On Hand'!A:A,'On Hand'!E:E,),)))"),"")</f>
        <v/>
      </c>
    </row>
    <row r="1739">
      <c r="A1739" s="3" t="str">
        <f t="array" ref="A1739">ifna(_xlfn.xlookup(B1739,'All Item Code'!B:B,'All Item Code'!A:A,),)</f>
        <v/>
      </c>
      <c r="B1739" s="3"/>
      <c r="C1739" s="3" t="str">
        <f t="array" ref="C1739">if(B1739="Tidak Ada",,if(isblank(B1739),,ifna(sumif('On Hand'!A:A,A1739,'On Hand'!D:D)&amp;" "&amp;_xlfn.xlookup(A1739,'All Item Code'!A:A,'All Item Code'!D:D,),0)))</f>
        <v/>
      </c>
      <c r="D1739" s="3" t="str">
        <f>IFERROR(__xludf.DUMMYFUNCTION("if(isblank(B1739),,ifna(textjoin(""; "",,filter('On Hand'!E:E,'On Hand'!A:A=A1739)),ifna(xlookup(A1739,'On Hand'!A:A,'On Hand'!E:E,),)))"),"")</f>
        <v/>
      </c>
    </row>
    <row r="1740">
      <c r="A1740" s="3" t="str">
        <f t="array" ref="A1740">ifna(_xlfn.xlookup(B1740,'All Item Code'!B:B,'All Item Code'!A:A,),)</f>
        <v/>
      </c>
      <c r="B1740" s="3"/>
      <c r="C1740" s="3" t="str">
        <f t="array" ref="C1740">if(B1740="Tidak Ada",,if(isblank(B1740),,ifna(sumif('On Hand'!A:A,A1740,'On Hand'!D:D)&amp;" "&amp;_xlfn.xlookup(A1740,'All Item Code'!A:A,'All Item Code'!D:D,),0)))</f>
        <v/>
      </c>
      <c r="D1740" s="3" t="str">
        <f>IFERROR(__xludf.DUMMYFUNCTION("if(isblank(B1740),,ifna(textjoin(""; "",,filter('On Hand'!E:E,'On Hand'!A:A=A1740)),ifna(xlookup(A1740,'On Hand'!A:A,'On Hand'!E:E,),)))"),"")</f>
        <v/>
      </c>
    </row>
    <row r="1741">
      <c r="A1741" s="3" t="str">
        <f t="array" ref="A1741">ifna(_xlfn.xlookup(B1741,'All Item Code'!B:B,'All Item Code'!A:A,),)</f>
        <v/>
      </c>
      <c r="B1741" s="3"/>
      <c r="C1741" s="3" t="str">
        <f t="array" ref="C1741">if(B1741="Tidak Ada",,if(isblank(B1741),,ifna(sumif('On Hand'!A:A,A1741,'On Hand'!D:D)&amp;" "&amp;_xlfn.xlookup(A1741,'All Item Code'!A:A,'All Item Code'!D:D,),0)))</f>
        <v/>
      </c>
      <c r="D1741" s="3" t="str">
        <f>IFERROR(__xludf.DUMMYFUNCTION("if(isblank(B1741),,ifna(textjoin(""; "",,filter('On Hand'!E:E,'On Hand'!A:A=A1741)),ifna(xlookup(A1741,'On Hand'!A:A,'On Hand'!E:E,),)))"),"")</f>
        <v/>
      </c>
    </row>
    <row r="1742">
      <c r="A1742" s="3" t="str">
        <f t="array" ref="A1742">ifna(_xlfn.xlookup(B1742,'All Item Code'!B:B,'All Item Code'!A:A,),)</f>
        <v/>
      </c>
      <c r="B1742" s="3"/>
      <c r="C1742" s="3" t="str">
        <f t="array" ref="C1742">if(B1742="Tidak Ada",,if(isblank(B1742),,ifna(sumif('On Hand'!A:A,A1742,'On Hand'!D:D)&amp;" "&amp;_xlfn.xlookup(A1742,'All Item Code'!A:A,'All Item Code'!D:D,),0)))</f>
        <v/>
      </c>
      <c r="D1742" s="3" t="str">
        <f>IFERROR(__xludf.DUMMYFUNCTION("if(isblank(B1742),,ifna(textjoin(""; "",,filter('On Hand'!E:E,'On Hand'!A:A=A1742)),ifna(xlookup(A1742,'On Hand'!A:A,'On Hand'!E:E,),)))"),"")</f>
        <v/>
      </c>
    </row>
    <row r="1743">
      <c r="A1743" s="3" t="str">
        <f t="array" ref="A1743">ifna(_xlfn.xlookup(B1743,'All Item Code'!B:B,'All Item Code'!A:A,),)</f>
        <v/>
      </c>
      <c r="B1743" s="3"/>
      <c r="C1743" s="3" t="str">
        <f t="array" ref="C1743">if(B1743="Tidak Ada",,if(isblank(B1743),,ifna(sumif('On Hand'!A:A,A1743,'On Hand'!D:D)&amp;" "&amp;_xlfn.xlookup(A1743,'All Item Code'!A:A,'All Item Code'!D:D,),0)))</f>
        <v/>
      </c>
      <c r="D1743" s="3" t="str">
        <f>IFERROR(__xludf.DUMMYFUNCTION("if(isblank(B1743),,ifna(textjoin(""; "",,filter('On Hand'!E:E,'On Hand'!A:A=A1743)),ifna(xlookup(A1743,'On Hand'!A:A,'On Hand'!E:E,),)))"),"")</f>
        <v/>
      </c>
    </row>
    <row r="1744">
      <c r="A1744" s="3" t="str">
        <f t="array" ref="A1744">ifna(_xlfn.xlookup(B1744,'All Item Code'!B:B,'All Item Code'!A:A,),)</f>
        <v/>
      </c>
      <c r="B1744" s="3"/>
      <c r="C1744" s="3" t="str">
        <f t="array" ref="C1744">if(B1744="Tidak Ada",,if(isblank(B1744),,ifna(sumif('On Hand'!A:A,A1744,'On Hand'!D:D)&amp;" "&amp;_xlfn.xlookup(A1744,'All Item Code'!A:A,'All Item Code'!D:D,),0)))</f>
        <v/>
      </c>
      <c r="D1744" s="3" t="str">
        <f>IFERROR(__xludf.DUMMYFUNCTION("if(isblank(B1744),,ifna(textjoin(""; "",,filter('On Hand'!E:E,'On Hand'!A:A=A1744)),ifna(xlookup(A1744,'On Hand'!A:A,'On Hand'!E:E,),)))"),"")</f>
        <v/>
      </c>
    </row>
    <row r="1745">
      <c r="A1745" s="3" t="str">
        <f t="array" ref="A1745">ifna(_xlfn.xlookup(B1745,'All Item Code'!B:B,'All Item Code'!A:A,),)</f>
        <v/>
      </c>
      <c r="B1745" s="3"/>
      <c r="C1745" s="3" t="str">
        <f t="array" ref="C1745">if(B1745="Tidak Ada",,if(isblank(B1745),,ifna(sumif('On Hand'!A:A,A1745,'On Hand'!D:D)&amp;" "&amp;_xlfn.xlookup(A1745,'All Item Code'!A:A,'All Item Code'!D:D,),0)))</f>
        <v/>
      </c>
      <c r="D1745" s="3" t="str">
        <f>IFERROR(__xludf.DUMMYFUNCTION("if(isblank(B1745),,ifna(textjoin(""; "",,filter('On Hand'!E:E,'On Hand'!A:A=A1745)),ifna(xlookup(A1745,'On Hand'!A:A,'On Hand'!E:E,),)))"),"")</f>
        <v/>
      </c>
    </row>
    <row r="1746">
      <c r="A1746" s="3" t="str">
        <f t="array" ref="A1746">ifna(_xlfn.xlookup(B1746,'All Item Code'!B:B,'All Item Code'!A:A,),)</f>
        <v/>
      </c>
      <c r="B1746" s="3"/>
      <c r="C1746" s="3" t="str">
        <f t="array" ref="C1746">if(B1746="Tidak Ada",,if(isblank(B1746),,ifna(sumif('On Hand'!A:A,A1746,'On Hand'!D:D)&amp;" "&amp;_xlfn.xlookup(A1746,'All Item Code'!A:A,'All Item Code'!D:D,),0)))</f>
        <v/>
      </c>
      <c r="D1746" s="3" t="str">
        <f>IFERROR(__xludf.DUMMYFUNCTION("if(isblank(B1746),,ifna(textjoin(""; "",,filter('On Hand'!E:E,'On Hand'!A:A=A1746)),ifna(xlookup(A1746,'On Hand'!A:A,'On Hand'!E:E,),)))"),"")</f>
        <v/>
      </c>
    </row>
    <row r="1747">
      <c r="A1747" s="3" t="str">
        <f t="array" ref="A1747">ifna(_xlfn.xlookup(B1747,'All Item Code'!B:B,'All Item Code'!A:A,),)</f>
        <v/>
      </c>
      <c r="B1747" s="3"/>
      <c r="C1747" s="3" t="str">
        <f t="array" ref="C1747">if(B1747="Tidak Ada",,if(isblank(B1747),,ifna(sumif('On Hand'!A:A,A1747,'On Hand'!D:D)&amp;" "&amp;_xlfn.xlookup(A1747,'All Item Code'!A:A,'All Item Code'!D:D,),0)))</f>
        <v/>
      </c>
      <c r="D1747" s="3" t="str">
        <f>IFERROR(__xludf.DUMMYFUNCTION("if(isblank(B1747),,ifna(textjoin(""; "",,filter('On Hand'!E:E,'On Hand'!A:A=A1747)),ifna(xlookup(A1747,'On Hand'!A:A,'On Hand'!E:E,),)))"),"")</f>
        <v/>
      </c>
    </row>
    <row r="1748">
      <c r="A1748" s="3" t="str">
        <f t="array" ref="A1748">ifna(_xlfn.xlookup(B1748,'All Item Code'!B:B,'All Item Code'!A:A,),)</f>
        <v/>
      </c>
      <c r="B1748" s="3"/>
      <c r="C1748" s="3" t="str">
        <f t="array" ref="C1748">if(B1748="Tidak Ada",,if(isblank(B1748),,ifna(sumif('On Hand'!A:A,A1748,'On Hand'!D:D)&amp;" "&amp;_xlfn.xlookup(A1748,'All Item Code'!A:A,'All Item Code'!D:D,),0)))</f>
        <v/>
      </c>
      <c r="D1748" s="3" t="str">
        <f>IFERROR(__xludf.DUMMYFUNCTION("if(isblank(B1748),,ifna(textjoin(""; "",,filter('On Hand'!E:E,'On Hand'!A:A=A1748)),ifna(xlookup(A1748,'On Hand'!A:A,'On Hand'!E:E,),)))"),"")</f>
        <v/>
      </c>
    </row>
    <row r="1749">
      <c r="A1749" s="3" t="str">
        <f t="array" ref="A1749">ifna(_xlfn.xlookup(B1749,'All Item Code'!B:B,'All Item Code'!A:A,),)</f>
        <v/>
      </c>
      <c r="B1749" s="3"/>
      <c r="C1749" s="3" t="str">
        <f t="array" ref="C1749">if(B1749="Tidak Ada",,if(isblank(B1749),,ifna(sumif('On Hand'!A:A,A1749,'On Hand'!D:D)&amp;" "&amp;_xlfn.xlookup(A1749,'All Item Code'!A:A,'All Item Code'!D:D,),0)))</f>
        <v/>
      </c>
      <c r="D1749" s="3" t="str">
        <f>IFERROR(__xludf.DUMMYFUNCTION("if(isblank(B1749),,ifna(textjoin(""; "",,filter('On Hand'!E:E,'On Hand'!A:A=A1749)),ifna(xlookup(A1749,'On Hand'!A:A,'On Hand'!E:E,),)))"),"")</f>
        <v/>
      </c>
    </row>
    <row r="1750">
      <c r="A1750" s="3" t="str">
        <f t="array" ref="A1750">ifna(_xlfn.xlookup(B1750,'All Item Code'!B:B,'All Item Code'!A:A,),)</f>
        <v/>
      </c>
      <c r="B1750" s="3"/>
      <c r="C1750" s="3" t="str">
        <f t="array" ref="C1750">if(B1750="Tidak Ada",,if(isblank(B1750),,ifna(sumif('On Hand'!A:A,A1750,'On Hand'!D:D)&amp;" "&amp;_xlfn.xlookup(A1750,'All Item Code'!A:A,'All Item Code'!D:D,),0)))</f>
        <v/>
      </c>
      <c r="D1750" s="3" t="str">
        <f>IFERROR(__xludf.DUMMYFUNCTION("if(isblank(B1750),,ifna(textjoin(""; "",,filter('On Hand'!E:E,'On Hand'!A:A=A1750)),ifna(xlookup(A1750,'On Hand'!A:A,'On Hand'!E:E,),)))"),"")</f>
        <v/>
      </c>
    </row>
    <row r="1751">
      <c r="A1751" s="3" t="str">
        <f t="array" ref="A1751">ifna(_xlfn.xlookup(B1751,'All Item Code'!B:B,'All Item Code'!A:A,),)</f>
        <v/>
      </c>
      <c r="B1751" s="3"/>
      <c r="C1751" s="3" t="str">
        <f t="array" ref="C1751">if(B1751="Tidak Ada",,if(isblank(B1751),,ifna(sumif('On Hand'!A:A,A1751,'On Hand'!D:D)&amp;" "&amp;_xlfn.xlookup(A1751,'All Item Code'!A:A,'All Item Code'!D:D,),0)))</f>
        <v/>
      </c>
      <c r="D1751" s="3" t="str">
        <f>IFERROR(__xludf.DUMMYFUNCTION("if(isblank(B1751),,ifna(textjoin(""; "",,filter('On Hand'!E:E,'On Hand'!A:A=A1751)),ifna(xlookup(A1751,'On Hand'!A:A,'On Hand'!E:E,),)))"),"")</f>
        <v/>
      </c>
    </row>
    <row r="1752">
      <c r="A1752" s="3" t="str">
        <f t="array" ref="A1752">ifna(_xlfn.xlookup(B1752,'All Item Code'!B:B,'All Item Code'!A:A,),)</f>
        <v/>
      </c>
      <c r="B1752" s="3"/>
      <c r="C1752" s="3" t="str">
        <f t="array" ref="C1752">if(B1752="Tidak Ada",,if(isblank(B1752),,ifna(sumif('On Hand'!A:A,A1752,'On Hand'!D:D)&amp;" "&amp;_xlfn.xlookup(A1752,'All Item Code'!A:A,'All Item Code'!D:D,),0)))</f>
        <v/>
      </c>
      <c r="D1752" s="3" t="str">
        <f>IFERROR(__xludf.DUMMYFUNCTION("if(isblank(B1752),,ifna(textjoin(""; "",,filter('On Hand'!E:E,'On Hand'!A:A=A1752)),ifna(xlookup(A1752,'On Hand'!A:A,'On Hand'!E:E,),)))"),"")</f>
        <v/>
      </c>
    </row>
    <row r="1753">
      <c r="A1753" s="3" t="str">
        <f t="array" ref="A1753">ifna(_xlfn.xlookup(B1753,'All Item Code'!B:B,'All Item Code'!A:A,),)</f>
        <v/>
      </c>
      <c r="B1753" s="3"/>
      <c r="C1753" s="3" t="str">
        <f t="array" ref="C1753">if(B1753="Tidak Ada",,if(isblank(B1753),,ifna(sumif('On Hand'!A:A,A1753,'On Hand'!D:D)&amp;" "&amp;_xlfn.xlookup(A1753,'All Item Code'!A:A,'All Item Code'!D:D,),0)))</f>
        <v/>
      </c>
      <c r="D1753" s="3" t="str">
        <f>IFERROR(__xludf.DUMMYFUNCTION("if(isblank(B1753),,ifna(textjoin(""; "",,filter('On Hand'!E:E,'On Hand'!A:A=A1753)),ifna(xlookup(A1753,'On Hand'!A:A,'On Hand'!E:E,),)))"),"")</f>
        <v/>
      </c>
    </row>
    <row r="1754">
      <c r="A1754" s="3" t="str">
        <f t="array" ref="A1754">ifna(_xlfn.xlookup(B1754,'All Item Code'!B:B,'All Item Code'!A:A,),)</f>
        <v/>
      </c>
      <c r="B1754" s="3"/>
      <c r="C1754" s="3" t="str">
        <f t="array" ref="C1754">if(B1754="Tidak Ada",,if(isblank(B1754),,ifna(sumif('On Hand'!A:A,A1754,'On Hand'!D:D)&amp;" "&amp;_xlfn.xlookup(A1754,'All Item Code'!A:A,'All Item Code'!D:D,),0)))</f>
        <v/>
      </c>
      <c r="D1754" s="3" t="str">
        <f>IFERROR(__xludf.DUMMYFUNCTION("if(isblank(B1754),,ifna(textjoin(""; "",,filter('On Hand'!E:E,'On Hand'!A:A=A1754)),ifna(xlookup(A1754,'On Hand'!A:A,'On Hand'!E:E,),)))"),"")</f>
        <v/>
      </c>
    </row>
    <row r="1755">
      <c r="A1755" s="3" t="str">
        <f t="array" ref="A1755">ifna(_xlfn.xlookup(B1755,'All Item Code'!B:B,'All Item Code'!A:A,),)</f>
        <v/>
      </c>
      <c r="B1755" s="3"/>
      <c r="C1755" s="3" t="str">
        <f t="array" ref="C1755">if(B1755="Tidak Ada",,if(isblank(B1755),,ifna(sumif('On Hand'!A:A,A1755,'On Hand'!D:D)&amp;" "&amp;_xlfn.xlookup(A1755,'All Item Code'!A:A,'All Item Code'!D:D,),0)))</f>
        <v/>
      </c>
      <c r="D1755" s="3" t="str">
        <f>IFERROR(__xludf.DUMMYFUNCTION("if(isblank(B1755),,ifna(textjoin(""; "",,filter('On Hand'!E:E,'On Hand'!A:A=A1755)),ifna(xlookup(A1755,'On Hand'!A:A,'On Hand'!E:E,),)))"),"")</f>
        <v/>
      </c>
    </row>
    <row r="1756">
      <c r="A1756" s="3" t="str">
        <f t="array" ref="A1756">ifna(_xlfn.xlookup(B1756,'All Item Code'!B:B,'All Item Code'!A:A,),)</f>
        <v/>
      </c>
      <c r="B1756" s="3"/>
      <c r="C1756" s="3" t="str">
        <f t="array" ref="C1756">if(B1756="Tidak Ada",,if(isblank(B1756),,ifna(sumif('On Hand'!A:A,A1756,'On Hand'!D:D)&amp;" "&amp;_xlfn.xlookup(A1756,'All Item Code'!A:A,'All Item Code'!D:D,),0)))</f>
        <v/>
      </c>
      <c r="D1756" s="3" t="str">
        <f>IFERROR(__xludf.DUMMYFUNCTION("if(isblank(B1756),,ifna(textjoin(""; "",,filter('On Hand'!E:E,'On Hand'!A:A=A1756)),ifna(xlookup(A1756,'On Hand'!A:A,'On Hand'!E:E,),)))"),"")</f>
        <v/>
      </c>
    </row>
    <row r="1757">
      <c r="A1757" s="3" t="str">
        <f t="array" ref="A1757">ifna(_xlfn.xlookup(B1757,'All Item Code'!B:B,'All Item Code'!A:A,),)</f>
        <v/>
      </c>
      <c r="B1757" s="3"/>
      <c r="C1757" s="3" t="str">
        <f t="array" ref="C1757">if(B1757="Tidak Ada",,if(isblank(B1757),,ifna(sumif('On Hand'!A:A,A1757,'On Hand'!D:D)&amp;" "&amp;_xlfn.xlookup(A1757,'All Item Code'!A:A,'All Item Code'!D:D,),0)))</f>
        <v/>
      </c>
      <c r="D1757" s="3" t="str">
        <f>IFERROR(__xludf.DUMMYFUNCTION("if(isblank(B1757),,ifna(textjoin(""; "",,filter('On Hand'!E:E,'On Hand'!A:A=A1757)),ifna(xlookup(A1757,'On Hand'!A:A,'On Hand'!E:E,),)))"),"")</f>
        <v/>
      </c>
    </row>
    <row r="1758">
      <c r="A1758" s="3" t="str">
        <f t="array" ref="A1758">ifna(_xlfn.xlookup(B1758,'All Item Code'!B:B,'All Item Code'!A:A,),)</f>
        <v/>
      </c>
      <c r="B1758" s="3"/>
      <c r="C1758" s="3" t="str">
        <f t="array" ref="C1758">if(B1758="Tidak Ada",,if(isblank(B1758),,ifna(sumif('On Hand'!A:A,A1758,'On Hand'!D:D)&amp;" "&amp;_xlfn.xlookup(A1758,'All Item Code'!A:A,'All Item Code'!D:D,),0)))</f>
        <v/>
      </c>
      <c r="D1758" s="3" t="str">
        <f>IFERROR(__xludf.DUMMYFUNCTION("if(isblank(B1758),,ifna(textjoin(""; "",,filter('On Hand'!E:E,'On Hand'!A:A=A1758)),ifna(xlookup(A1758,'On Hand'!A:A,'On Hand'!E:E,),)))"),"")</f>
        <v/>
      </c>
    </row>
    <row r="1759">
      <c r="A1759" s="3" t="str">
        <f t="array" ref="A1759">ifna(_xlfn.xlookup(B1759,'All Item Code'!B:B,'All Item Code'!A:A,),)</f>
        <v/>
      </c>
      <c r="B1759" s="3"/>
      <c r="C1759" s="3" t="str">
        <f t="array" ref="C1759">if(B1759="Tidak Ada",,if(isblank(B1759),,ifna(sumif('On Hand'!A:A,A1759,'On Hand'!D:D)&amp;" "&amp;_xlfn.xlookup(A1759,'All Item Code'!A:A,'All Item Code'!D:D,),0)))</f>
        <v/>
      </c>
      <c r="D1759" s="3" t="str">
        <f>IFERROR(__xludf.DUMMYFUNCTION("if(isblank(B1759),,ifna(textjoin(""; "",,filter('On Hand'!E:E,'On Hand'!A:A=A1759)),ifna(xlookup(A1759,'On Hand'!A:A,'On Hand'!E:E,),)))"),"")</f>
        <v/>
      </c>
    </row>
    <row r="1760">
      <c r="A1760" s="3" t="str">
        <f t="array" ref="A1760">ifna(_xlfn.xlookup(B1760,'All Item Code'!B:B,'All Item Code'!A:A,),)</f>
        <v/>
      </c>
      <c r="B1760" s="3"/>
      <c r="C1760" s="3" t="str">
        <f t="array" ref="C1760">if(B1760="Tidak Ada",,if(isblank(B1760),,ifna(sumif('On Hand'!A:A,A1760,'On Hand'!D:D)&amp;" "&amp;_xlfn.xlookup(A1760,'All Item Code'!A:A,'All Item Code'!D:D,),0)))</f>
        <v/>
      </c>
      <c r="D1760" s="3" t="str">
        <f>IFERROR(__xludf.DUMMYFUNCTION("if(isblank(B1760),,ifna(textjoin(""; "",,filter('On Hand'!E:E,'On Hand'!A:A=A1760)),ifna(xlookup(A1760,'On Hand'!A:A,'On Hand'!E:E,),)))"),"")</f>
        <v/>
      </c>
    </row>
    <row r="1761">
      <c r="A1761" s="3" t="str">
        <f t="array" ref="A1761">ifna(_xlfn.xlookup(B1761,'All Item Code'!B:B,'All Item Code'!A:A,),)</f>
        <v/>
      </c>
      <c r="B1761" s="3"/>
      <c r="C1761" s="3" t="str">
        <f t="array" ref="C1761">if(B1761="Tidak Ada",,if(isblank(B1761),,ifna(sumif('On Hand'!A:A,A1761,'On Hand'!D:D)&amp;" "&amp;_xlfn.xlookup(A1761,'All Item Code'!A:A,'All Item Code'!D:D,),0)))</f>
        <v/>
      </c>
      <c r="D1761" s="3" t="str">
        <f>IFERROR(__xludf.DUMMYFUNCTION("if(isblank(B1761),,ifna(textjoin(""; "",,filter('On Hand'!E:E,'On Hand'!A:A=A1761)),ifna(xlookup(A1761,'On Hand'!A:A,'On Hand'!E:E,),)))"),"")</f>
        <v/>
      </c>
    </row>
    <row r="1762">
      <c r="A1762" s="3" t="str">
        <f t="array" ref="A1762">ifna(_xlfn.xlookup(B1762,'All Item Code'!B:B,'All Item Code'!A:A,),)</f>
        <v/>
      </c>
      <c r="B1762" s="3"/>
      <c r="C1762" s="3" t="str">
        <f t="array" ref="C1762">if(B1762="Tidak Ada",,if(isblank(B1762),,ifna(sumif('On Hand'!A:A,A1762,'On Hand'!D:D)&amp;" "&amp;_xlfn.xlookup(A1762,'All Item Code'!A:A,'All Item Code'!D:D,),0)))</f>
        <v/>
      </c>
      <c r="D1762" s="3" t="str">
        <f>IFERROR(__xludf.DUMMYFUNCTION("if(isblank(B1762),,ifna(textjoin(""; "",,filter('On Hand'!E:E,'On Hand'!A:A=A1762)),ifna(xlookup(A1762,'On Hand'!A:A,'On Hand'!E:E,),)))"),"")</f>
        <v/>
      </c>
    </row>
    <row r="1763">
      <c r="A1763" s="3" t="str">
        <f t="array" ref="A1763">ifna(_xlfn.xlookup(B1763,'All Item Code'!B:B,'All Item Code'!A:A,),)</f>
        <v/>
      </c>
      <c r="B1763" s="3"/>
      <c r="C1763" s="3" t="str">
        <f t="array" ref="C1763">if(B1763="Tidak Ada",,if(isblank(B1763),,ifna(sumif('On Hand'!A:A,A1763,'On Hand'!D:D)&amp;" "&amp;_xlfn.xlookup(A1763,'All Item Code'!A:A,'All Item Code'!D:D,),0)))</f>
        <v/>
      </c>
      <c r="D1763" s="3" t="str">
        <f>IFERROR(__xludf.DUMMYFUNCTION("if(isblank(B1763),,ifna(textjoin(""; "",,filter('On Hand'!E:E,'On Hand'!A:A=A1763)),ifna(xlookup(A1763,'On Hand'!A:A,'On Hand'!E:E,),)))"),"")</f>
        <v/>
      </c>
    </row>
    <row r="1764">
      <c r="A1764" s="3" t="str">
        <f t="array" ref="A1764">ifna(_xlfn.xlookup(B1764,'All Item Code'!B:B,'All Item Code'!A:A,),)</f>
        <v/>
      </c>
      <c r="B1764" s="3"/>
      <c r="C1764" s="3" t="str">
        <f t="array" ref="C1764">if(B1764="Tidak Ada",,if(isblank(B1764),,ifna(sumif('On Hand'!A:A,A1764,'On Hand'!D:D)&amp;" "&amp;_xlfn.xlookup(A1764,'All Item Code'!A:A,'All Item Code'!D:D,),0)))</f>
        <v/>
      </c>
      <c r="D1764" s="3" t="str">
        <f>IFERROR(__xludf.DUMMYFUNCTION("if(isblank(B1764),,ifna(textjoin(""; "",,filter('On Hand'!E:E,'On Hand'!A:A=A1764)),ifna(xlookup(A1764,'On Hand'!A:A,'On Hand'!E:E,),)))"),"")</f>
        <v/>
      </c>
    </row>
    <row r="1765">
      <c r="A1765" s="3" t="str">
        <f t="array" ref="A1765">ifna(_xlfn.xlookup(B1765,'All Item Code'!B:B,'All Item Code'!A:A,),)</f>
        <v/>
      </c>
      <c r="B1765" s="3"/>
      <c r="C1765" s="3" t="str">
        <f t="array" ref="C1765">if(B1765="Tidak Ada",,if(isblank(B1765),,ifna(sumif('On Hand'!A:A,A1765,'On Hand'!D:D)&amp;" "&amp;_xlfn.xlookup(A1765,'All Item Code'!A:A,'All Item Code'!D:D,),0)))</f>
        <v/>
      </c>
      <c r="D1765" s="3" t="str">
        <f>IFERROR(__xludf.DUMMYFUNCTION("if(isblank(B1765),,ifna(textjoin(""; "",,filter('On Hand'!E:E,'On Hand'!A:A=A1765)),ifna(xlookup(A1765,'On Hand'!A:A,'On Hand'!E:E,),)))"),"")</f>
        <v/>
      </c>
    </row>
    <row r="1766">
      <c r="A1766" s="3" t="str">
        <f t="array" ref="A1766">ifna(_xlfn.xlookup(B1766,'All Item Code'!B:B,'All Item Code'!A:A,),)</f>
        <v/>
      </c>
      <c r="B1766" s="3"/>
      <c r="C1766" s="3" t="str">
        <f t="array" ref="C1766">if(B1766="Tidak Ada",,if(isblank(B1766),,ifna(sumif('On Hand'!A:A,A1766,'On Hand'!D:D)&amp;" "&amp;_xlfn.xlookup(A1766,'All Item Code'!A:A,'All Item Code'!D:D,),0)))</f>
        <v/>
      </c>
      <c r="D1766" s="3" t="str">
        <f>IFERROR(__xludf.DUMMYFUNCTION("if(isblank(B1766),,ifna(textjoin(""; "",,filter('On Hand'!E:E,'On Hand'!A:A=A1766)),ifna(xlookup(A1766,'On Hand'!A:A,'On Hand'!E:E,),)))"),"")</f>
        <v/>
      </c>
    </row>
    <row r="1767">
      <c r="A1767" s="3" t="str">
        <f t="array" ref="A1767">ifna(_xlfn.xlookup(B1767,'All Item Code'!B:B,'All Item Code'!A:A,),)</f>
        <v/>
      </c>
      <c r="B1767" s="3"/>
      <c r="C1767" s="3" t="str">
        <f t="array" ref="C1767">if(B1767="Tidak Ada",,if(isblank(B1767),,ifna(sumif('On Hand'!A:A,A1767,'On Hand'!D:D)&amp;" "&amp;_xlfn.xlookup(A1767,'All Item Code'!A:A,'All Item Code'!D:D,),0)))</f>
        <v/>
      </c>
      <c r="D1767" s="3" t="str">
        <f>IFERROR(__xludf.DUMMYFUNCTION("if(isblank(B1767),,ifna(textjoin(""; "",,filter('On Hand'!E:E,'On Hand'!A:A=A1767)),ifna(xlookup(A1767,'On Hand'!A:A,'On Hand'!E:E,),)))"),"")</f>
        <v/>
      </c>
    </row>
    <row r="1768">
      <c r="A1768" s="3" t="str">
        <f t="array" ref="A1768">ifna(_xlfn.xlookup(B1768,'All Item Code'!B:B,'All Item Code'!A:A,),)</f>
        <v/>
      </c>
      <c r="B1768" s="3"/>
      <c r="C1768" s="3" t="str">
        <f t="array" ref="C1768">if(B1768="Tidak Ada",,if(isblank(B1768),,ifna(sumif('On Hand'!A:A,A1768,'On Hand'!D:D)&amp;" "&amp;_xlfn.xlookup(A1768,'All Item Code'!A:A,'All Item Code'!D:D,),0)))</f>
        <v/>
      </c>
      <c r="D1768" s="3" t="str">
        <f>IFERROR(__xludf.DUMMYFUNCTION("if(isblank(B1768),,ifna(textjoin(""; "",,filter('On Hand'!E:E,'On Hand'!A:A=A1768)),ifna(xlookup(A1768,'On Hand'!A:A,'On Hand'!E:E,),)))"),"")</f>
        <v/>
      </c>
    </row>
    <row r="1769">
      <c r="A1769" s="3" t="str">
        <f t="array" ref="A1769">ifna(_xlfn.xlookup(B1769,'All Item Code'!B:B,'All Item Code'!A:A,),)</f>
        <v/>
      </c>
      <c r="B1769" s="3"/>
      <c r="C1769" s="3" t="str">
        <f t="array" ref="C1769">if(B1769="Tidak Ada",,if(isblank(B1769),,ifna(sumif('On Hand'!A:A,A1769,'On Hand'!D:D)&amp;" "&amp;_xlfn.xlookup(A1769,'All Item Code'!A:A,'All Item Code'!D:D,),0)))</f>
        <v/>
      </c>
      <c r="D1769" s="3" t="str">
        <f>IFERROR(__xludf.DUMMYFUNCTION("if(isblank(B1769),,ifna(textjoin(""; "",,filter('On Hand'!E:E,'On Hand'!A:A=A1769)),ifna(xlookup(A1769,'On Hand'!A:A,'On Hand'!E:E,),)))"),"")</f>
        <v/>
      </c>
    </row>
    <row r="1770">
      <c r="A1770" s="3" t="str">
        <f t="array" ref="A1770">ifna(_xlfn.xlookup(B1770,'All Item Code'!B:B,'All Item Code'!A:A,),)</f>
        <v/>
      </c>
      <c r="B1770" s="3"/>
      <c r="C1770" s="3" t="str">
        <f t="array" ref="C1770">if(B1770="Tidak Ada",,if(isblank(B1770),,ifna(sumif('On Hand'!A:A,A1770,'On Hand'!D:D)&amp;" "&amp;_xlfn.xlookup(A1770,'All Item Code'!A:A,'All Item Code'!D:D,),0)))</f>
        <v/>
      </c>
      <c r="D1770" s="3" t="str">
        <f>IFERROR(__xludf.DUMMYFUNCTION("if(isblank(B1770),,ifna(textjoin(""; "",,filter('On Hand'!E:E,'On Hand'!A:A=A1770)),ifna(xlookup(A1770,'On Hand'!A:A,'On Hand'!E:E,),)))"),"")</f>
        <v/>
      </c>
    </row>
    <row r="1771">
      <c r="A1771" s="3" t="str">
        <f t="array" ref="A1771">ifna(_xlfn.xlookup(B1771,'All Item Code'!B:B,'All Item Code'!A:A,),)</f>
        <v/>
      </c>
      <c r="B1771" s="3"/>
      <c r="C1771" s="3" t="str">
        <f t="array" ref="C1771">if(B1771="Tidak Ada",,if(isblank(B1771),,ifna(sumif('On Hand'!A:A,A1771,'On Hand'!D:D)&amp;" "&amp;_xlfn.xlookup(A1771,'All Item Code'!A:A,'All Item Code'!D:D,),0)))</f>
        <v/>
      </c>
      <c r="D1771" s="3" t="str">
        <f>IFERROR(__xludf.DUMMYFUNCTION("if(isblank(B1771),,ifna(textjoin(""; "",,filter('On Hand'!E:E,'On Hand'!A:A=A1771)),ifna(xlookup(A1771,'On Hand'!A:A,'On Hand'!E:E,),)))"),"")</f>
        <v/>
      </c>
    </row>
    <row r="1772">
      <c r="A1772" s="3" t="str">
        <f t="array" ref="A1772">ifna(_xlfn.xlookup(B1772,'All Item Code'!B:B,'All Item Code'!A:A,),)</f>
        <v/>
      </c>
      <c r="B1772" s="3"/>
      <c r="C1772" s="3" t="str">
        <f t="array" ref="C1772">if(B1772="Tidak Ada",,if(isblank(B1772),,ifna(sumif('On Hand'!A:A,A1772,'On Hand'!D:D)&amp;" "&amp;_xlfn.xlookup(A1772,'All Item Code'!A:A,'All Item Code'!D:D,),0)))</f>
        <v/>
      </c>
      <c r="D1772" s="3" t="str">
        <f>IFERROR(__xludf.DUMMYFUNCTION("if(isblank(B1772),,ifna(textjoin(""; "",,filter('On Hand'!E:E,'On Hand'!A:A=A1772)),ifna(xlookup(A1772,'On Hand'!A:A,'On Hand'!E:E,),)))"),"")</f>
        <v/>
      </c>
    </row>
    <row r="1773">
      <c r="A1773" s="3" t="str">
        <f t="array" ref="A1773">ifna(_xlfn.xlookup(B1773,'All Item Code'!B:B,'All Item Code'!A:A,),)</f>
        <v/>
      </c>
      <c r="B1773" s="3"/>
      <c r="C1773" s="3" t="str">
        <f t="array" ref="C1773">if(B1773="Tidak Ada",,if(isblank(B1773),,ifna(sumif('On Hand'!A:A,A1773,'On Hand'!D:D)&amp;" "&amp;_xlfn.xlookup(A1773,'All Item Code'!A:A,'All Item Code'!D:D,),0)))</f>
        <v/>
      </c>
      <c r="D1773" s="3" t="str">
        <f>IFERROR(__xludf.DUMMYFUNCTION("if(isblank(B1773),,ifna(textjoin(""; "",,filter('On Hand'!E:E,'On Hand'!A:A=A1773)),ifna(xlookup(A1773,'On Hand'!A:A,'On Hand'!E:E,),)))"),"")</f>
        <v/>
      </c>
    </row>
    <row r="1774">
      <c r="A1774" s="3" t="str">
        <f t="array" ref="A1774">ifna(_xlfn.xlookup(B1774,'All Item Code'!B:B,'All Item Code'!A:A,),)</f>
        <v/>
      </c>
      <c r="B1774" s="3"/>
      <c r="C1774" s="3" t="str">
        <f t="array" ref="C1774">if(B1774="Tidak Ada",,if(isblank(B1774),,ifna(sumif('On Hand'!A:A,A1774,'On Hand'!D:D)&amp;" "&amp;_xlfn.xlookup(A1774,'All Item Code'!A:A,'All Item Code'!D:D,),0)))</f>
        <v/>
      </c>
      <c r="D1774" s="3" t="str">
        <f>IFERROR(__xludf.DUMMYFUNCTION("if(isblank(B1774),,ifna(textjoin(""; "",,filter('On Hand'!E:E,'On Hand'!A:A=A1774)),ifna(xlookup(A1774,'On Hand'!A:A,'On Hand'!E:E,),)))"),"")</f>
        <v/>
      </c>
    </row>
    <row r="1775">
      <c r="A1775" s="3" t="str">
        <f t="array" ref="A1775">ifna(_xlfn.xlookup(B1775,'All Item Code'!B:B,'All Item Code'!A:A,),)</f>
        <v/>
      </c>
      <c r="B1775" s="3"/>
      <c r="C1775" s="3" t="str">
        <f t="array" ref="C1775">if(B1775="Tidak Ada",,if(isblank(B1775),,ifna(sumif('On Hand'!A:A,A1775,'On Hand'!D:D)&amp;" "&amp;_xlfn.xlookup(A1775,'All Item Code'!A:A,'All Item Code'!D:D,),0)))</f>
        <v/>
      </c>
      <c r="D1775" s="3" t="str">
        <f>IFERROR(__xludf.DUMMYFUNCTION("if(isblank(B1775),,ifna(textjoin(""; "",,filter('On Hand'!E:E,'On Hand'!A:A=A1775)),ifna(xlookup(A1775,'On Hand'!A:A,'On Hand'!E:E,),)))"),"")</f>
        <v/>
      </c>
    </row>
    <row r="1776">
      <c r="A1776" s="3" t="str">
        <f t="array" ref="A1776">ifna(_xlfn.xlookup(B1776,'All Item Code'!B:B,'All Item Code'!A:A,),)</f>
        <v/>
      </c>
      <c r="B1776" s="3"/>
      <c r="C1776" s="3" t="str">
        <f t="array" ref="C1776">if(B1776="Tidak Ada",,if(isblank(B1776),,ifna(sumif('On Hand'!A:A,A1776,'On Hand'!D:D)&amp;" "&amp;_xlfn.xlookup(A1776,'All Item Code'!A:A,'All Item Code'!D:D,),0)))</f>
        <v/>
      </c>
      <c r="D1776" s="3" t="str">
        <f>IFERROR(__xludf.DUMMYFUNCTION("if(isblank(B1776),,ifna(textjoin(""; "",,filter('On Hand'!E:E,'On Hand'!A:A=A1776)),ifna(xlookup(A1776,'On Hand'!A:A,'On Hand'!E:E,),)))"),"")</f>
        <v/>
      </c>
    </row>
    <row r="1777">
      <c r="A1777" s="3" t="str">
        <f t="array" ref="A1777">ifna(_xlfn.xlookup(B1777,'All Item Code'!B:B,'All Item Code'!A:A,),)</f>
        <v/>
      </c>
      <c r="B1777" s="3"/>
      <c r="C1777" s="3" t="str">
        <f t="array" ref="C1777">if(B1777="Tidak Ada",,if(isblank(B1777),,ifna(sumif('On Hand'!A:A,A1777,'On Hand'!D:D)&amp;" "&amp;_xlfn.xlookup(A1777,'All Item Code'!A:A,'All Item Code'!D:D,),0)))</f>
        <v/>
      </c>
      <c r="D1777" s="3" t="str">
        <f>IFERROR(__xludf.DUMMYFUNCTION("if(isblank(B1777),,ifna(textjoin(""; "",,filter('On Hand'!E:E,'On Hand'!A:A=A1777)),ifna(xlookup(A1777,'On Hand'!A:A,'On Hand'!E:E,),)))"),"")</f>
        <v/>
      </c>
    </row>
    <row r="1778">
      <c r="A1778" s="3" t="str">
        <f t="array" ref="A1778">ifna(_xlfn.xlookup(B1778,'All Item Code'!B:B,'All Item Code'!A:A,),)</f>
        <v/>
      </c>
      <c r="B1778" s="3"/>
      <c r="C1778" s="3" t="str">
        <f t="array" ref="C1778">if(B1778="Tidak Ada",,if(isblank(B1778),,ifna(sumif('On Hand'!A:A,A1778,'On Hand'!D:D)&amp;" "&amp;_xlfn.xlookup(A1778,'All Item Code'!A:A,'All Item Code'!D:D,),0)))</f>
        <v/>
      </c>
      <c r="D1778" s="3" t="str">
        <f>IFERROR(__xludf.DUMMYFUNCTION("if(isblank(B1778),,ifna(textjoin(""; "",,filter('On Hand'!E:E,'On Hand'!A:A=A1778)),ifna(xlookup(A1778,'On Hand'!A:A,'On Hand'!E:E,),)))"),"")</f>
        <v/>
      </c>
    </row>
    <row r="1779">
      <c r="A1779" s="3" t="str">
        <f t="array" ref="A1779">ifna(_xlfn.xlookup(B1779,'All Item Code'!B:B,'All Item Code'!A:A,),)</f>
        <v/>
      </c>
      <c r="B1779" s="3"/>
      <c r="C1779" s="3" t="str">
        <f t="array" ref="C1779">if(B1779="Tidak Ada",,if(isblank(B1779),,ifna(sumif('On Hand'!A:A,A1779,'On Hand'!D:D)&amp;" "&amp;_xlfn.xlookup(A1779,'All Item Code'!A:A,'All Item Code'!D:D,),0)))</f>
        <v/>
      </c>
      <c r="D1779" s="3" t="str">
        <f>IFERROR(__xludf.DUMMYFUNCTION("if(isblank(B1779),,ifna(textjoin(""; "",,filter('On Hand'!E:E,'On Hand'!A:A=A1779)),ifna(xlookup(A1779,'On Hand'!A:A,'On Hand'!E:E,),)))"),"")</f>
        <v/>
      </c>
    </row>
    <row r="1780">
      <c r="A1780" s="3" t="str">
        <f t="array" ref="A1780">ifna(_xlfn.xlookup(B1780,'All Item Code'!B:B,'All Item Code'!A:A,),)</f>
        <v/>
      </c>
      <c r="B1780" s="3"/>
      <c r="C1780" s="3" t="str">
        <f t="array" ref="C1780">if(B1780="Tidak Ada",,if(isblank(B1780),,ifna(sumif('On Hand'!A:A,A1780,'On Hand'!D:D)&amp;" "&amp;_xlfn.xlookup(A1780,'All Item Code'!A:A,'All Item Code'!D:D,),0)))</f>
        <v/>
      </c>
      <c r="D1780" s="3" t="str">
        <f>IFERROR(__xludf.DUMMYFUNCTION("if(isblank(B1780),,ifna(textjoin(""; "",,filter('On Hand'!E:E,'On Hand'!A:A=A1780)),ifna(xlookup(A1780,'On Hand'!A:A,'On Hand'!E:E,),)))"),"")</f>
        <v/>
      </c>
    </row>
    <row r="1781">
      <c r="A1781" s="3" t="str">
        <f t="array" ref="A1781">ifna(_xlfn.xlookup(B1781,'All Item Code'!B:B,'All Item Code'!A:A,),)</f>
        <v/>
      </c>
      <c r="B1781" s="3"/>
      <c r="C1781" s="3" t="str">
        <f t="array" ref="C1781">if(B1781="Tidak Ada",,if(isblank(B1781),,ifna(sumif('On Hand'!A:A,A1781,'On Hand'!D:D)&amp;" "&amp;_xlfn.xlookup(A1781,'All Item Code'!A:A,'All Item Code'!D:D,),0)))</f>
        <v/>
      </c>
      <c r="D1781" s="3" t="str">
        <f>IFERROR(__xludf.DUMMYFUNCTION("if(isblank(B1781),,ifna(textjoin(""; "",,filter('On Hand'!E:E,'On Hand'!A:A=A1781)),ifna(xlookup(A1781,'On Hand'!A:A,'On Hand'!E:E,),)))"),"")</f>
        <v/>
      </c>
    </row>
    <row r="1782">
      <c r="A1782" s="3" t="str">
        <f t="array" ref="A1782">ifna(_xlfn.xlookup(B1782,'All Item Code'!B:B,'All Item Code'!A:A,),)</f>
        <v/>
      </c>
      <c r="B1782" s="3"/>
      <c r="C1782" s="3" t="str">
        <f t="array" ref="C1782">if(B1782="Tidak Ada",,if(isblank(B1782),,ifna(sumif('On Hand'!A:A,A1782,'On Hand'!D:D)&amp;" "&amp;_xlfn.xlookup(A1782,'All Item Code'!A:A,'All Item Code'!D:D,),0)))</f>
        <v/>
      </c>
      <c r="D1782" s="3" t="str">
        <f>IFERROR(__xludf.DUMMYFUNCTION("if(isblank(B1782),,ifna(textjoin(""; "",,filter('On Hand'!E:E,'On Hand'!A:A=A1782)),ifna(xlookup(A1782,'On Hand'!A:A,'On Hand'!E:E,),)))"),"")</f>
        <v/>
      </c>
    </row>
    <row r="1783">
      <c r="A1783" s="3" t="str">
        <f t="array" ref="A1783">ifna(_xlfn.xlookup(B1783,'All Item Code'!B:B,'All Item Code'!A:A,),)</f>
        <v/>
      </c>
      <c r="B1783" s="3"/>
      <c r="C1783" s="3" t="str">
        <f t="array" ref="C1783">if(B1783="Tidak Ada",,if(isblank(B1783),,ifna(sumif('On Hand'!A:A,A1783,'On Hand'!D:D)&amp;" "&amp;_xlfn.xlookup(A1783,'All Item Code'!A:A,'All Item Code'!D:D,),0)))</f>
        <v/>
      </c>
      <c r="D1783" s="3" t="str">
        <f>IFERROR(__xludf.DUMMYFUNCTION("if(isblank(B1783),,ifna(textjoin(""; "",,filter('On Hand'!E:E,'On Hand'!A:A=A1783)),ifna(xlookup(A1783,'On Hand'!A:A,'On Hand'!E:E,),)))"),"")</f>
        <v/>
      </c>
    </row>
    <row r="1784">
      <c r="A1784" s="3" t="str">
        <f t="array" ref="A1784">ifna(_xlfn.xlookup(B1784,'All Item Code'!B:B,'All Item Code'!A:A,),)</f>
        <v/>
      </c>
      <c r="B1784" s="3"/>
      <c r="C1784" s="3" t="str">
        <f t="array" ref="C1784">if(B1784="Tidak Ada",,if(isblank(B1784),,ifna(sumif('On Hand'!A:A,A1784,'On Hand'!D:D)&amp;" "&amp;_xlfn.xlookup(A1784,'All Item Code'!A:A,'All Item Code'!D:D,),0)))</f>
        <v/>
      </c>
      <c r="D1784" s="3" t="str">
        <f>IFERROR(__xludf.DUMMYFUNCTION("if(isblank(B1784),,ifna(textjoin(""; "",,filter('On Hand'!E:E,'On Hand'!A:A=A1784)),ifna(xlookup(A1784,'On Hand'!A:A,'On Hand'!E:E,),)))"),"")</f>
        <v/>
      </c>
    </row>
    <row r="1785">
      <c r="A1785" s="3" t="str">
        <f t="array" ref="A1785">ifna(_xlfn.xlookup(B1785,'All Item Code'!B:B,'All Item Code'!A:A,),)</f>
        <v/>
      </c>
      <c r="B1785" s="3"/>
      <c r="C1785" s="3" t="str">
        <f t="array" ref="C1785">if(B1785="Tidak Ada",,if(isblank(B1785),,ifna(sumif('On Hand'!A:A,A1785,'On Hand'!D:D)&amp;" "&amp;_xlfn.xlookup(A1785,'All Item Code'!A:A,'All Item Code'!D:D,),0)))</f>
        <v/>
      </c>
      <c r="D1785" s="3" t="str">
        <f>IFERROR(__xludf.DUMMYFUNCTION("if(isblank(B1785),,ifna(textjoin(""; "",,filter('On Hand'!E:E,'On Hand'!A:A=A1785)),ifna(xlookup(A1785,'On Hand'!A:A,'On Hand'!E:E,),)))"),"")</f>
        <v/>
      </c>
    </row>
    <row r="1786">
      <c r="A1786" s="3" t="str">
        <f t="array" ref="A1786">ifna(_xlfn.xlookup(B1786,'All Item Code'!B:B,'All Item Code'!A:A,),)</f>
        <v/>
      </c>
      <c r="B1786" s="3"/>
      <c r="C1786" s="3" t="str">
        <f t="array" ref="C1786">if(B1786="Tidak Ada",,if(isblank(B1786),,ifna(sumif('On Hand'!A:A,A1786,'On Hand'!D:D)&amp;" "&amp;_xlfn.xlookup(A1786,'All Item Code'!A:A,'All Item Code'!D:D,),0)))</f>
        <v/>
      </c>
      <c r="D1786" s="3" t="str">
        <f>IFERROR(__xludf.DUMMYFUNCTION("if(isblank(B1786),,ifna(textjoin(""; "",,filter('On Hand'!E:E,'On Hand'!A:A=A1786)),ifna(xlookup(A1786,'On Hand'!A:A,'On Hand'!E:E,),)))"),"")</f>
        <v/>
      </c>
    </row>
    <row r="1787">
      <c r="A1787" s="3" t="str">
        <f t="array" ref="A1787">ifna(_xlfn.xlookup(B1787,'All Item Code'!B:B,'All Item Code'!A:A,),)</f>
        <v/>
      </c>
      <c r="B1787" s="3"/>
      <c r="C1787" s="3" t="str">
        <f t="array" ref="C1787">if(B1787="Tidak Ada",,if(isblank(B1787),,ifna(sumif('On Hand'!A:A,A1787,'On Hand'!D:D)&amp;" "&amp;_xlfn.xlookup(A1787,'All Item Code'!A:A,'All Item Code'!D:D,),0)))</f>
        <v/>
      </c>
      <c r="D1787" s="3" t="str">
        <f>IFERROR(__xludf.DUMMYFUNCTION("if(isblank(B1787),,ifna(textjoin(""; "",,filter('On Hand'!E:E,'On Hand'!A:A=A1787)),ifna(xlookup(A1787,'On Hand'!A:A,'On Hand'!E:E,),)))"),"")</f>
        <v/>
      </c>
    </row>
    <row r="1788">
      <c r="A1788" s="3" t="str">
        <f t="array" ref="A1788">ifna(_xlfn.xlookup(B1788,'All Item Code'!B:B,'All Item Code'!A:A,),)</f>
        <v/>
      </c>
      <c r="B1788" s="3"/>
      <c r="C1788" s="3" t="str">
        <f t="array" ref="C1788">if(B1788="Tidak Ada",,if(isblank(B1788),,ifna(sumif('On Hand'!A:A,A1788,'On Hand'!D:D)&amp;" "&amp;_xlfn.xlookup(A1788,'All Item Code'!A:A,'All Item Code'!D:D,),0)))</f>
        <v/>
      </c>
      <c r="D1788" s="3" t="str">
        <f>IFERROR(__xludf.DUMMYFUNCTION("if(isblank(B1788),,ifna(textjoin(""; "",,filter('On Hand'!E:E,'On Hand'!A:A=A1788)),ifna(xlookup(A1788,'On Hand'!A:A,'On Hand'!E:E,),)))"),"")</f>
        <v/>
      </c>
    </row>
    <row r="1789">
      <c r="A1789" s="3" t="str">
        <f t="array" ref="A1789">ifna(_xlfn.xlookup(B1789,'All Item Code'!B:B,'All Item Code'!A:A,),)</f>
        <v/>
      </c>
      <c r="B1789" s="3"/>
      <c r="C1789" s="3" t="str">
        <f t="array" ref="C1789">if(B1789="Tidak Ada",,if(isblank(B1789),,ifna(sumif('On Hand'!A:A,A1789,'On Hand'!D:D)&amp;" "&amp;_xlfn.xlookup(A1789,'All Item Code'!A:A,'All Item Code'!D:D,),0)))</f>
        <v/>
      </c>
      <c r="D1789" s="3" t="str">
        <f>IFERROR(__xludf.DUMMYFUNCTION("if(isblank(B1789),,ifna(textjoin(""; "",,filter('On Hand'!E:E,'On Hand'!A:A=A1789)),ifna(xlookup(A1789,'On Hand'!A:A,'On Hand'!E:E,),)))"),"")</f>
        <v/>
      </c>
    </row>
    <row r="1790">
      <c r="A1790" s="3" t="str">
        <f t="array" ref="A1790">ifna(_xlfn.xlookup(B1790,'All Item Code'!B:B,'All Item Code'!A:A,),)</f>
        <v/>
      </c>
      <c r="B1790" s="3"/>
      <c r="C1790" s="3" t="str">
        <f t="array" ref="C1790">if(B1790="Tidak Ada",,if(isblank(B1790),,ifna(sumif('On Hand'!A:A,A1790,'On Hand'!D:D)&amp;" "&amp;_xlfn.xlookup(A1790,'All Item Code'!A:A,'All Item Code'!D:D,),0)))</f>
        <v/>
      </c>
      <c r="D1790" s="3" t="str">
        <f>IFERROR(__xludf.DUMMYFUNCTION("if(isblank(B1790),,ifna(textjoin(""; "",,filter('On Hand'!E:E,'On Hand'!A:A=A1790)),ifna(xlookup(A1790,'On Hand'!A:A,'On Hand'!E:E,),)))"),"")</f>
        <v/>
      </c>
    </row>
    <row r="1791">
      <c r="A1791" s="3" t="str">
        <f t="array" ref="A1791">ifna(_xlfn.xlookup(B1791,'All Item Code'!B:B,'All Item Code'!A:A,),)</f>
        <v/>
      </c>
      <c r="B1791" s="3"/>
      <c r="C1791" s="3" t="str">
        <f t="array" ref="C1791">if(B1791="Tidak Ada",,if(isblank(B1791),,ifna(sumif('On Hand'!A:A,A1791,'On Hand'!D:D)&amp;" "&amp;_xlfn.xlookup(A1791,'All Item Code'!A:A,'All Item Code'!D:D,),0)))</f>
        <v/>
      </c>
      <c r="D1791" s="3" t="str">
        <f>IFERROR(__xludf.DUMMYFUNCTION("if(isblank(B1791),,ifna(textjoin(""; "",,filter('On Hand'!E:E,'On Hand'!A:A=A1791)),ifna(xlookup(A1791,'On Hand'!A:A,'On Hand'!E:E,),)))"),"")</f>
        <v/>
      </c>
    </row>
    <row r="1792">
      <c r="A1792" s="3" t="str">
        <f t="array" ref="A1792">ifna(_xlfn.xlookup(B1792,'All Item Code'!B:B,'All Item Code'!A:A,),)</f>
        <v/>
      </c>
      <c r="B1792" s="3"/>
      <c r="C1792" s="3" t="str">
        <f t="array" ref="C1792">if(B1792="Tidak Ada",,if(isblank(B1792),,ifna(sumif('On Hand'!A:A,A1792,'On Hand'!D:D)&amp;" "&amp;_xlfn.xlookup(A1792,'All Item Code'!A:A,'All Item Code'!D:D,),0)))</f>
        <v/>
      </c>
      <c r="D1792" s="3" t="str">
        <f>IFERROR(__xludf.DUMMYFUNCTION("if(isblank(B1792),,ifna(textjoin(""; "",,filter('On Hand'!E:E,'On Hand'!A:A=A1792)),ifna(xlookup(A1792,'On Hand'!A:A,'On Hand'!E:E,),)))"),"")</f>
        <v/>
      </c>
    </row>
    <row r="1793">
      <c r="A1793" s="3" t="str">
        <f t="array" ref="A1793">ifna(_xlfn.xlookup(B1793,'All Item Code'!B:B,'All Item Code'!A:A,),)</f>
        <v/>
      </c>
      <c r="B1793" s="3"/>
      <c r="C1793" s="3" t="str">
        <f t="array" ref="C1793">if(B1793="Tidak Ada",,if(isblank(B1793),,ifna(sumif('On Hand'!A:A,A1793,'On Hand'!D:D)&amp;" "&amp;_xlfn.xlookup(A1793,'All Item Code'!A:A,'All Item Code'!D:D,),0)))</f>
        <v/>
      </c>
      <c r="D1793" s="3" t="str">
        <f>IFERROR(__xludf.DUMMYFUNCTION("if(isblank(B1793),,ifna(textjoin(""; "",,filter('On Hand'!E:E,'On Hand'!A:A=A1793)),ifna(xlookup(A1793,'On Hand'!A:A,'On Hand'!E:E,),)))"),"")</f>
        <v/>
      </c>
    </row>
    <row r="1794">
      <c r="A1794" s="3" t="str">
        <f t="array" ref="A1794">ifna(_xlfn.xlookup(B1794,'All Item Code'!B:B,'All Item Code'!A:A,),)</f>
        <v/>
      </c>
      <c r="B1794" s="3"/>
      <c r="C1794" s="3" t="str">
        <f t="array" ref="C1794">if(B1794="Tidak Ada",,if(isblank(B1794),,ifna(sumif('On Hand'!A:A,A1794,'On Hand'!D:D)&amp;" "&amp;_xlfn.xlookup(A1794,'All Item Code'!A:A,'All Item Code'!D:D,),0)))</f>
        <v/>
      </c>
      <c r="D1794" s="3" t="str">
        <f>IFERROR(__xludf.DUMMYFUNCTION("if(isblank(B1794),,ifna(textjoin(""; "",,filter('On Hand'!E:E,'On Hand'!A:A=A1794)),ifna(xlookup(A1794,'On Hand'!A:A,'On Hand'!E:E,),)))"),"")</f>
        <v/>
      </c>
    </row>
    <row r="1795">
      <c r="A1795" s="3" t="str">
        <f t="array" ref="A1795">ifna(_xlfn.xlookup(B1795,'All Item Code'!B:B,'All Item Code'!A:A,),)</f>
        <v/>
      </c>
      <c r="B1795" s="3"/>
      <c r="C1795" s="3" t="str">
        <f t="array" ref="C1795">if(B1795="Tidak Ada",,if(isblank(B1795),,ifna(sumif('On Hand'!A:A,A1795,'On Hand'!D:D)&amp;" "&amp;_xlfn.xlookup(A1795,'All Item Code'!A:A,'All Item Code'!D:D,),0)))</f>
        <v/>
      </c>
      <c r="D1795" s="3" t="str">
        <f>IFERROR(__xludf.DUMMYFUNCTION("if(isblank(B1795),,ifna(textjoin(""; "",,filter('On Hand'!E:E,'On Hand'!A:A=A1795)),ifna(xlookup(A1795,'On Hand'!A:A,'On Hand'!E:E,),)))"),"")</f>
        <v/>
      </c>
    </row>
    <row r="1796">
      <c r="A1796" s="3" t="str">
        <f t="array" ref="A1796">ifna(_xlfn.xlookup(B1796,'All Item Code'!B:B,'All Item Code'!A:A,),)</f>
        <v/>
      </c>
      <c r="B1796" s="3"/>
      <c r="C1796" s="3" t="str">
        <f t="array" ref="C1796">if(B1796="Tidak Ada",,if(isblank(B1796),,ifna(sumif('On Hand'!A:A,A1796,'On Hand'!D:D)&amp;" "&amp;_xlfn.xlookup(A1796,'All Item Code'!A:A,'All Item Code'!D:D,),0)))</f>
        <v/>
      </c>
      <c r="D1796" s="3" t="str">
        <f>IFERROR(__xludf.DUMMYFUNCTION("if(isblank(B1796),,ifna(textjoin(""; "",,filter('On Hand'!E:E,'On Hand'!A:A=A1796)),ifna(xlookup(A1796,'On Hand'!A:A,'On Hand'!E:E,),)))"),"")</f>
        <v/>
      </c>
    </row>
    <row r="1797">
      <c r="A1797" s="3" t="str">
        <f t="array" ref="A1797">ifna(_xlfn.xlookup(B1797,'All Item Code'!B:B,'All Item Code'!A:A,),)</f>
        <v/>
      </c>
      <c r="B1797" s="3"/>
      <c r="C1797" s="3" t="str">
        <f t="array" ref="C1797">if(B1797="Tidak Ada",,if(isblank(B1797),,ifna(sumif('On Hand'!A:A,A1797,'On Hand'!D:D)&amp;" "&amp;_xlfn.xlookup(A1797,'All Item Code'!A:A,'All Item Code'!D:D,),0)))</f>
        <v/>
      </c>
      <c r="D1797" s="3" t="str">
        <f>IFERROR(__xludf.DUMMYFUNCTION("if(isblank(B1797),,ifna(textjoin(""; "",,filter('On Hand'!E:E,'On Hand'!A:A=A1797)),ifna(xlookup(A1797,'On Hand'!A:A,'On Hand'!E:E,),)))"),"")</f>
        <v/>
      </c>
    </row>
    <row r="1798">
      <c r="A1798" s="3" t="str">
        <f t="array" ref="A1798">ifna(_xlfn.xlookup(B1798,'All Item Code'!B:B,'All Item Code'!A:A,),)</f>
        <v/>
      </c>
      <c r="B1798" s="3"/>
      <c r="C1798" s="3" t="str">
        <f t="array" ref="C1798">if(B1798="Tidak Ada",,if(isblank(B1798),,ifna(sumif('On Hand'!A:A,A1798,'On Hand'!D:D)&amp;" "&amp;_xlfn.xlookup(A1798,'All Item Code'!A:A,'All Item Code'!D:D,),0)))</f>
        <v/>
      </c>
      <c r="D1798" s="3" t="str">
        <f>IFERROR(__xludf.DUMMYFUNCTION("if(isblank(B1798),,ifna(textjoin(""; "",,filter('On Hand'!E:E,'On Hand'!A:A=A1798)),ifna(xlookup(A1798,'On Hand'!A:A,'On Hand'!E:E,),)))"),"")</f>
        <v/>
      </c>
    </row>
    <row r="1799">
      <c r="A1799" s="3" t="str">
        <f t="array" ref="A1799">ifna(_xlfn.xlookup(B1799,'All Item Code'!B:B,'All Item Code'!A:A,),)</f>
        <v/>
      </c>
      <c r="B1799" s="3"/>
      <c r="C1799" s="3" t="str">
        <f t="array" ref="C1799">if(B1799="Tidak Ada",,if(isblank(B1799),,ifna(sumif('On Hand'!A:A,A1799,'On Hand'!D:D)&amp;" "&amp;_xlfn.xlookup(A1799,'All Item Code'!A:A,'All Item Code'!D:D,),0)))</f>
        <v/>
      </c>
      <c r="D1799" s="3" t="str">
        <f>IFERROR(__xludf.DUMMYFUNCTION("if(isblank(B1799),,ifna(textjoin(""; "",,filter('On Hand'!E:E,'On Hand'!A:A=A1799)),ifna(xlookup(A1799,'On Hand'!A:A,'On Hand'!E:E,),)))"),"")</f>
        <v/>
      </c>
    </row>
    <row r="1800">
      <c r="A1800" s="3" t="str">
        <f t="array" ref="A1800">ifna(_xlfn.xlookup(B1800,'All Item Code'!B:B,'All Item Code'!A:A,),)</f>
        <v/>
      </c>
      <c r="B1800" s="3"/>
      <c r="C1800" s="3" t="str">
        <f t="array" ref="C1800">if(B1800="Tidak Ada",,if(isblank(B1800),,ifna(sumif('On Hand'!A:A,A1800,'On Hand'!D:D)&amp;" "&amp;_xlfn.xlookup(A1800,'All Item Code'!A:A,'All Item Code'!D:D,),0)))</f>
        <v/>
      </c>
      <c r="D1800" s="3" t="str">
        <f>IFERROR(__xludf.DUMMYFUNCTION("if(isblank(B1800),,ifna(textjoin(""; "",,filter('On Hand'!E:E,'On Hand'!A:A=A1800)),ifna(xlookup(A1800,'On Hand'!A:A,'On Hand'!E:E,),)))"),"")</f>
        <v/>
      </c>
    </row>
    <row r="1801">
      <c r="A1801" s="3" t="str">
        <f t="array" ref="A1801">ifna(_xlfn.xlookup(B1801,'All Item Code'!B:B,'All Item Code'!A:A,),)</f>
        <v/>
      </c>
      <c r="B1801" s="3"/>
      <c r="C1801" s="3" t="str">
        <f t="array" ref="C1801">if(B1801="Tidak Ada",,if(isblank(B1801),,ifna(sumif('On Hand'!A:A,A1801,'On Hand'!D:D)&amp;" "&amp;_xlfn.xlookup(A1801,'All Item Code'!A:A,'All Item Code'!D:D,),0)))</f>
        <v/>
      </c>
      <c r="D1801" s="3" t="str">
        <f>IFERROR(__xludf.DUMMYFUNCTION("if(isblank(B1801),,ifna(textjoin(""; "",,filter('On Hand'!E:E,'On Hand'!A:A=A1801)),ifna(xlookup(A1801,'On Hand'!A:A,'On Hand'!E:E,),)))"),"")</f>
        <v/>
      </c>
    </row>
    <row r="1802">
      <c r="A1802" s="3" t="str">
        <f t="array" ref="A1802">ifna(_xlfn.xlookup(B1802,'All Item Code'!B:B,'All Item Code'!A:A,),)</f>
        <v/>
      </c>
      <c r="B1802" s="3"/>
      <c r="C1802" s="3" t="str">
        <f t="array" ref="C1802">if(B1802="Tidak Ada",,if(isblank(B1802),,ifna(sumif('On Hand'!A:A,A1802,'On Hand'!D:D)&amp;" "&amp;_xlfn.xlookup(A1802,'All Item Code'!A:A,'All Item Code'!D:D,),0)))</f>
        <v/>
      </c>
      <c r="D1802" s="3" t="str">
        <f>IFERROR(__xludf.DUMMYFUNCTION("if(isblank(B1802),,ifna(textjoin(""; "",,filter('On Hand'!E:E,'On Hand'!A:A=A1802)),ifna(xlookup(A1802,'On Hand'!A:A,'On Hand'!E:E,),)))"),"")</f>
        <v/>
      </c>
    </row>
    <row r="1803">
      <c r="A1803" s="3" t="str">
        <f t="array" ref="A1803">ifna(_xlfn.xlookup(B1803,'All Item Code'!B:B,'All Item Code'!A:A,),)</f>
        <v/>
      </c>
      <c r="B1803" s="3"/>
      <c r="C1803" s="3" t="str">
        <f t="array" ref="C1803">if(B1803="Tidak Ada",,if(isblank(B1803),,ifna(sumif('On Hand'!A:A,A1803,'On Hand'!D:D)&amp;" "&amp;_xlfn.xlookup(A1803,'All Item Code'!A:A,'All Item Code'!D:D,),0)))</f>
        <v/>
      </c>
      <c r="D1803" s="3" t="str">
        <f>IFERROR(__xludf.DUMMYFUNCTION("if(isblank(B1803),,ifna(textjoin(""; "",,filter('On Hand'!E:E,'On Hand'!A:A=A1803)),ifna(xlookup(A1803,'On Hand'!A:A,'On Hand'!E:E,),)))"),"")</f>
        <v/>
      </c>
    </row>
    <row r="1804">
      <c r="A1804" s="3" t="str">
        <f t="array" ref="A1804">ifna(_xlfn.xlookup(B1804,'All Item Code'!B:B,'All Item Code'!A:A,),)</f>
        <v/>
      </c>
      <c r="B1804" s="3"/>
      <c r="C1804" s="3" t="str">
        <f t="array" ref="C1804">if(B1804="Tidak Ada",,if(isblank(B1804),,ifna(sumif('On Hand'!A:A,A1804,'On Hand'!D:D)&amp;" "&amp;_xlfn.xlookup(A1804,'All Item Code'!A:A,'All Item Code'!D:D,),0)))</f>
        <v/>
      </c>
      <c r="D1804" s="3" t="str">
        <f>IFERROR(__xludf.DUMMYFUNCTION("if(isblank(B1804),,ifna(textjoin(""; "",,filter('On Hand'!E:E,'On Hand'!A:A=A1804)),ifna(xlookup(A1804,'On Hand'!A:A,'On Hand'!E:E,),)))"),"")</f>
        <v/>
      </c>
    </row>
    <row r="1805">
      <c r="A1805" s="3" t="str">
        <f t="array" ref="A1805">ifna(_xlfn.xlookup(B1805,'All Item Code'!B:B,'All Item Code'!A:A,),)</f>
        <v/>
      </c>
      <c r="B1805" s="3"/>
      <c r="C1805" s="3" t="str">
        <f t="array" ref="C1805">if(B1805="Tidak Ada",,if(isblank(B1805),,ifna(sumif('On Hand'!A:A,A1805,'On Hand'!D:D)&amp;" "&amp;_xlfn.xlookup(A1805,'All Item Code'!A:A,'All Item Code'!D:D,),0)))</f>
        <v/>
      </c>
      <c r="D1805" s="3" t="str">
        <f>IFERROR(__xludf.DUMMYFUNCTION("if(isblank(B1805),,ifna(textjoin(""; "",,filter('On Hand'!E:E,'On Hand'!A:A=A1805)),ifna(xlookup(A1805,'On Hand'!A:A,'On Hand'!E:E,),)))"),"")</f>
        <v/>
      </c>
    </row>
    <row r="1806">
      <c r="A1806" s="3" t="str">
        <f t="array" ref="A1806">ifna(_xlfn.xlookup(B1806,'All Item Code'!B:B,'All Item Code'!A:A,),)</f>
        <v/>
      </c>
      <c r="B1806" s="3"/>
      <c r="C1806" s="3" t="str">
        <f t="array" ref="C1806">if(B1806="Tidak Ada",,if(isblank(B1806),,ifna(sumif('On Hand'!A:A,A1806,'On Hand'!D:D)&amp;" "&amp;_xlfn.xlookup(A1806,'All Item Code'!A:A,'All Item Code'!D:D,),0)))</f>
        <v/>
      </c>
      <c r="D1806" s="3" t="str">
        <f>IFERROR(__xludf.DUMMYFUNCTION("if(isblank(B1806),,ifna(textjoin(""; "",,filter('On Hand'!E:E,'On Hand'!A:A=A1806)),ifna(xlookup(A1806,'On Hand'!A:A,'On Hand'!E:E,),)))"),"")</f>
        <v/>
      </c>
    </row>
    <row r="1807">
      <c r="A1807" s="3" t="str">
        <f t="array" ref="A1807">ifna(_xlfn.xlookup(B1807,'All Item Code'!B:B,'All Item Code'!A:A,),)</f>
        <v/>
      </c>
      <c r="B1807" s="3"/>
      <c r="C1807" s="3" t="str">
        <f t="array" ref="C1807">if(B1807="Tidak Ada",,if(isblank(B1807),,ifna(sumif('On Hand'!A:A,A1807,'On Hand'!D:D)&amp;" "&amp;_xlfn.xlookup(A1807,'All Item Code'!A:A,'All Item Code'!D:D,),0)))</f>
        <v/>
      </c>
      <c r="D1807" s="3" t="str">
        <f>IFERROR(__xludf.DUMMYFUNCTION("if(isblank(B1807),,ifna(textjoin(""; "",,filter('On Hand'!E:E,'On Hand'!A:A=A1807)),ifna(xlookup(A1807,'On Hand'!A:A,'On Hand'!E:E,),)))"),"")</f>
        <v/>
      </c>
    </row>
    <row r="1808">
      <c r="A1808" s="3" t="str">
        <f t="array" ref="A1808">ifna(_xlfn.xlookup(B1808,'All Item Code'!B:B,'All Item Code'!A:A,),)</f>
        <v/>
      </c>
      <c r="B1808" s="3"/>
      <c r="C1808" s="3" t="str">
        <f t="array" ref="C1808">if(B1808="Tidak Ada",,if(isblank(B1808),,ifna(sumif('On Hand'!A:A,A1808,'On Hand'!D:D)&amp;" "&amp;_xlfn.xlookup(A1808,'All Item Code'!A:A,'All Item Code'!D:D,),0)))</f>
        <v/>
      </c>
      <c r="D1808" s="3" t="str">
        <f>IFERROR(__xludf.DUMMYFUNCTION("if(isblank(B1808),,ifna(textjoin(""; "",,filter('On Hand'!E:E,'On Hand'!A:A=A1808)),ifna(xlookup(A1808,'On Hand'!A:A,'On Hand'!E:E,),)))"),"")</f>
        <v/>
      </c>
    </row>
    <row r="1809">
      <c r="A1809" s="3" t="str">
        <f t="array" ref="A1809">ifna(_xlfn.xlookup(B1809,'All Item Code'!B:B,'All Item Code'!A:A,),)</f>
        <v/>
      </c>
      <c r="B1809" s="3"/>
      <c r="C1809" s="3" t="str">
        <f t="array" ref="C1809">if(B1809="Tidak Ada",,if(isblank(B1809),,ifna(sumif('On Hand'!A:A,A1809,'On Hand'!D:D)&amp;" "&amp;_xlfn.xlookup(A1809,'All Item Code'!A:A,'All Item Code'!D:D,),0)))</f>
        <v/>
      </c>
      <c r="D1809" s="3" t="str">
        <f>IFERROR(__xludf.DUMMYFUNCTION("if(isblank(B1809),,ifna(textjoin(""; "",,filter('On Hand'!E:E,'On Hand'!A:A=A1809)),ifna(xlookup(A1809,'On Hand'!A:A,'On Hand'!E:E,),)))"),"")</f>
        <v/>
      </c>
    </row>
    <row r="1810">
      <c r="A1810" s="3" t="str">
        <f t="array" ref="A1810">ifna(_xlfn.xlookup(B1810,'All Item Code'!B:B,'All Item Code'!A:A,),)</f>
        <v/>
      </c>
      <c r="B1810" s="3"/>
      <c r="C1810" s="3" t="str">
        <f t="array" ref="C1810">if(B1810="Tidak Ada",,if(isblank(B1810),,ifna(sumif('On Hand'!A:A,A1810,'On Hand'!D:D)&amp;" "&amp;_xlfn.xlookup(A1810,'All Item Code'!A:A,'All Item Code'!D:D,),0)))</f>
        <v/>
      </c>
      <c r="D1810" s="3" t="str">
        <f>IFERROR(__xludf.DUMMYFUNCTION("if(isblank(B1810),,ifna(textjoin(""; "",,filter('On Hand'!E:E,'On Hand'!A:A=A1810)),ifna(xlookup(A1810,'On Hand'!A:A,'On Hand'!E:E,),)))"),"")</f>
        <v/>
      </c>
    </row>
    <row r="1811">
      <c r="A1811" s="3" t="str">
        <f t="array" ref="A1811">ifna(_xlfn.xlookup(B1811,'All Item Code'!B:B,'All Item Code'!A:A,),)</f>
        <v/>
      </c>
      <c r="B1811" s="3"/>
      <c r="C1811" s="3" t="str">
        <f t="array" ref="C1811">if(B1811="Tidak Ada",,if(isblank(B1811),,ifna(sumif('On Hand'!A:A,A1811,'On Hand'!D:D)&amp;" "&amp;_xlfn.xlookup(A1811,'All Item Code'!A:A,'All Item Code'!D:D,),0)))</f>
        <v/>
      </c>
      <c r="D1811" s="3" t="str">
        <f>IFERROR(__xludf.DUMMYFUNCTION("if(isblank(B1811),,ifna(textjoin(""; "",,filter('On Hand'!E:E,'On Hand'!A:A=A1811)),ifna(xlookup(A1811,'On Hand'!A:A,'On Hand'!E:E,),)))"),"")</f>
        <v/>
      </c>
    </row>
    <row r="1812">
      <c r="A1812" s="3" t="str">
        <f t="array" ref="A1812">ifna(_xlfn.xlookup(B1812,'All Item Code'!B:B,'All Item Code'!A:A,),)</f>
        <v/>
      </c>
      <c r="B1812" s="3"/>
      <c r="C1812" s="3" t="str">
        <f t="array" ref="C1812">if(B1812="Tidak Ada",,if(isblank(B1812),,ifna(sumif('On Hand'!A:A,A1812,'On Hand'!D:D)&amp;" "&amp;_xlfn.xlookup(A1812,'All Item Code'!A:A,'All Item Code'!D:D,),0)))</f>
        <v/>
      </c>
      <c r="D1812" s="3" t="str">
        <f>IFERROR(__xludf.DUMMYFUNCTION("if(isblank(B1812),,ifna(textjoin(""; "",,filter('On Hand'!E:E,'On Hand'!A:A=A1812)),ifna(xlookup(A1812,'On Hand'!A:A,'On Hand'!E:E,),)))"),"")</f>
        <v/>
      </c>
    </row>
    <row r="1813">
      <c r="A1813" s="3" t="str">
        <f t="array" ref="A1813">ifna(_xlfn.xlookup(B1813,'All Item Code'!B:B,'All Item Code'!A:A,),)</f>
        <v/>
      </c>
      <c r="B1813" s="3"/>
      <c r="C1813" s="3" t="str">
        <f t="array" ref="C1813">if(B1813="Tidak Ada",,if(isblank(B1813),,ifna(sumif('On Hand'!A:A,A1813,'On Hand'!D:D)&amp;" "&amp;_xlfn.xlookup(A1813,'All Item Code'!A:A,'All Item Code'!D:D,),0)))</f>
        <v/>
      </c>
      <c r="D1813" s="3" t="str">
        <f>IFERROR(__xludf.DUMMYFUNCTION("if(isblank(B1813),,ifna(textjoin(""; "",,filter('On Hand'!E:E,'On Hand'!A:A=A1813)),ifna(xlookup(A1813,'On Hand'!A:A,'On Hand'!E:E,),)))"),"")</f>
        <v/>
      </c>
    </row>
    <row r="1814">
      <c r="A1814" s="3" t="str">
        <f t="array" ref="A1814">ifna(_xlfn.xlookup(B1814,'All Item Code'!B:B,'All Item Code'!A:A,),)</f>
        <v/>
      </c>
      <c r="B1814" s="3"/>
      <c r="C1814" s="3" t="str">
        <f t="array" ref="C1814">if(B1814="Tidak Ada",,if(isblank(B1814),,ifna(sumif('On Hand'!A:A,A1814,'On Hand'!D:D)&amp;" "&amp;_xlfn.xlookup(A1814,'All Item Code'!A:A,'All Item Code'!D:D,),0)))</f>
        <v/>
      </c>
      <c r="D1814" s="3" t="str">
        <f>IFERROR(__xludf.DUMMYFUNCTION("if(isblank(B1814),,ifna(textjoin(""; "",,filter('On Hand'!E:E,'On Hand'!A:A=A1814)),ifna(xlookup(A1814,'On Hand'!A:A,'On Hand'!E:E,),)))"),"")</f>
        <v/>
      </c>
    </row>
    <row r="1815">
      <c r="A1815" s="3" t="str">
        <f t="array" ref="A1815">ifna(_xlfn.xlookup(B1815,'All Item Code'!B:B,'All Item Code'!A:A,),)</f>
        <v/>
      </c>
      <c r="B1815" s="3"/>
      <c r="C1815" s="3" t="str">
        <f t="array" ref="C1815">if(B1815="Tidak Ada",,if(isblank(B1815),,ifna(sumif('On Hand'!A:A,A1815,'On Hand'!D:D)&amp;" "&amp;_xlfn.xlookup(A1815,'All Item Code'!A:A,'All Item Code'!D:D,),0)))</f>
        <v/>
      </c>
      <c r="D1815" s="3" t="str">
        <f>IFERROR(__xludf.DUMMYFUNCTION("if(isblank(B1815),,ifna(textjoin(""; "",,filter('On Hand'!E:E,'On Hand'!A:A=A1815)),ifna(xlookup(A1815,'On Hand'!A:A,'On Hand'!E:E,),)))"),"")</f>
        <v/>
      </c>
    </row>
    <row r="1816">
      <c r="A1816" s="3" t="str">
        <f t="array" ref="A1816">ifna(_xlfn.xlookup(B1816,'All Item Code'!B:B,'All Item Code'!A:A,),)</f>
        <v/>
      </c>
      <c r="B1816" s="3"/>
      <c r="C1816" s="3" t="str">
        <f t="array" ref="C1816">if(B1816="Tidak Ada",,if(isblank(B1816),,ifna(sumif('On Hand'!A:A,A1816,'On Hand'!D:D)&amp;" "&amp;_xlfn.xlookup(A1816,'All Item Code'!A:A,'All Item Code'!D:D,),0)))</f>
        <v/>
      </c>
      <c r="D1816" s="3" t="str">
        <f>IFERROR(__xludf.DUMMYFUNCTION("if(isblank(B1816),,ifna(textjoin(""; "",,filter('On Hand'!E:E,'On Hand'!A:A=A1816)),ifna(xlookup(A1816,'On Hand'!A:A,'On Hand'!E:E,),)))"),"")</f>
        <v/>
      </c>
    </row>
    <row r="1817">
      <c r="A1817" s="3" t="str">
        <f t="array" ref="A1817">ifna(_xlfn.xlookup(B1817,'All Item Code'!B:B,'All Item Code'!A:A,),)</f>
        <v/>
      </c>
      <c r="B1817" s="3"/>
      <c r="C1817" s="3" t="str">
        <f t="array" ref="C1817">if(B1817="Tidak Ada",,if(isblank(B1817),,ifna(sumif('On Hand'!A:A,A1817,'On Hand'!D:D)&amp;" "&amp;_xlfn.xlookup(A1817,'All Item Code'!A:A,'All Item Code'!D:D,),0)))</f>
        <v/>
      </c>
      <c r="D1817" s="3" t="str">
        <f>IFERROR(__xludf.DUMMYFUNCTION("if(isblank(B1817),,ifna(textjoin(""; "",,filter('On Hand'!E:E,'On Hand'!A:A=A1817)),ifna(xlookup(A1817,'On Hand'!A:A,'On Hand'!E:E,),)))"),"")</f>
        <v/>
      </c>
    </row>
    <row r="1818">
      <c r="A1818" s="3" t="str">
        <f t="array" ref="A1818">ifna(_xlfn.xlookup(B1818,'All Item Code'!B:B,'All Item Code'!A:A,),)</f>
        <v/>
      </c>
      <c r="B1818" s="3"/>
      <c r="C1818" s="3" t="str">
        <f t="array" ref="C1818">if(B1818="Tidak Ada",,if(isblank(B1818),,ifna(sumif('On Hand'!A:A,A1818,'On Hand'!D:D)&amp;" "&amp;_xlfn.xlookup(A1818,'All Item Code'!A:A,'All Item Code'!D:D,),0)))</f>
        <v/>
      </c>
      <c r="D1818" s="3" t="str">
        <f>IFERROR(__xludf.DUMMYFUNCTION("if(isblank(B1818),,ifna(textjoin(""; "",,filter('On Hand'!E:E,'On Hand'!A:A=A1818)),ifna(xlookup(A1818,'On Hand'!A:A,'On Hand'!E:E,),)))"),"")</f>
        <v/>
      </c>
    </row>
    <row r="1819">
      <c r="A1819" s="3" t="str">
        <f t="array" ref="A1819">ifna(_xlfn.xlookup(B1819,'All Item Code'!B:B,'All Item Code'!A:A,),)</f>
        <v/>
      </c>
      <c r="B1819" s="3"/>
      <c r="C1819" s="3" t="str">
        <f t="array" ref="C1819">if(B1819="Tidak Ada",,if(isblank(B1819),,ifna(sumif('On Hand'!A:A,A1819,'On Hand'!D:D)&amp;" "&amp;_xlfn.xlookup(A1819,'All Item Code'!A:A,'All Item Code'!D:D,),0)))</f>
        <v/>
      </c>
      <c r="D1819" s="3" t="str">
        <f>IFERROR(__xludf.DUMMYFUNCTION("if(isblank(B1819),,ifna(textjoin(""; "",,filter('On Hand'!E:E,'On Hand'!A:A=A1819)),ifna(xlookup(A1819,'On Hand'!A:A,'On Hand'!E:E,),)))"),"")</f>
        <v/>
      </c>
    </row>
    <row r="1820">
      <c r="A1820" s="3" t="str">
        <f t="array" ref="A1820">ifna(_xlfn.xlookup(B1820,'All Item Code'!B:B,'All Item Code'!A:A,),)</f>
        <v/>
      </c>
      <c r="B1820" s="3"/>
      <c r="C1820" s="3" t="str">
        <f t="array" ref="C1820">if(B1820="Tidak Ada",,if(isblank(B1820),,ifna(sumif('On Hand'!A:A,A1820,'On Hand'!D:D)&amp;" "&amp;_xlfn.xlookup(A1820,'All Item Code'!A:A,'All Item Code'!D:D,),0)))</f>
        <v/>
      </c>
      <c r="D1820" s="3" t="str">
        <f>IFERROR(__xludf.DUMMYFUNCTION("if(isblank(B1820),,ifna(textjoin(""; "",,filter('On Hand'!E:E,'On Hand'!A:A=A1820)),ifna(xlookup(A1820,'On Hand'!A:A,'On Hand'!E:E,),)))"),"")</f>
        <v/>
      </c>
    </row>
    <row r="1821">
      <c r="A1821" s="3" t="str">
        <f t="array" ref="A1821">ifna(_xlfn.xlookup(B1821,'All Item Code'!B:B,'All Item Code'!A:A,),)</f>
        <v/>
      </c>
      <c r="B1821" s="3"/>
      <c r="C1821" s="3" t="str">
        <f t="array" ref="C1821">if(B1821="Tidak Ada",,if(isblank(B1821),,ifna(sumif('On Hand'!A:A,A1821,'On Hand'!D:D)&amp;" "&amp;_xlfn.xlookup(A1821,'All Item Code'!A:A,'All Item Code'!D:D,),0)))</f>
        <v/>
      </c>
      <c r="D1821" s="3" t="str">
        <f>IFERROR(__xludf.DUMMYFUNCTION("if(isblank(B1821),,ifna(textjoin(""; "",,filter('On Hand'!E:E,'On Hand'!A:A=A1821)),ifna(xlookup(A1821,'On Hand'!A:A,'On Hand'!E:E,),)))"),"")</f>
        <v/>
      </c>
    </row>
    <row r="1822">
      <c r="A1822" s="3" t="str">
        <f t="array" ref="A1822">ifna(_xlfn.xlookup(B1822,'All Item Code'!B:B,'All Item Code'!A:A,),)</f>
        <v/>
      </c>
      <c r="B1822" s="3"/>
      <c r="C1822" s="3" t="str">
        <f t="array" ref="C1822">if(B1822="Tidak Ada",,if(isblank(B1822),,ifna(sumif('On Hand'!A:A,A1822,'On Hand'!D:D)&amp;" "&amp;_xlfn.xlookup(A1822,'All Item Code'!A:A,'All Item Code'!D:D,),0)))</f>
        <v/>
      </c>
      <c r="D1822" s="3" t="str">
        <f>IFERROR(__xludf.DUMMYFUNCTION("if(isblank(B1822),,ifna(textjoin(""; "",,filter('On Hand'!E:E,'On Hand'!A:A=A1822)),ifna(xlookup(A1822,'On Hand'!A:A,'On Hand'!E:E,),)))"),"")</f>
        <v/>
      </c>
    </row>
    <row r="1823">
      <c r="A1823" s="3" t="str">
        <f t="array" ref="A1823">ifna(_xlfn.xlookup(B1823,'All Item Code'!B:B,'All Item Code'!A:A,),)</f>
        <v/>
      </c>
      <c r="B1823" s="3"/>
      <c r="C1823" s="3" t="str">
        <f t="array" ref="C1823">if(B1823="Tidak Ada",,if(isblank(B1823),,ifna(sumif('On Hand'!A:A,A1823,'On Hand'!D:D)&amp;" "&amp;_xlfn.xlookup(A1823,'All Item Code'!A:A,'All Item Code'!D:D,),0)))</f>
        <v/>
      </c>
      <c r="D1823" s="3" t="str">
        <f>IFERROR(__xludf.DUMMYFUNCTION("if(isblank(B1823),,ifna(textjoin(""; "",,filter('On Hand'!E:E,'On Hand'!A:A=A1823)),ifna(xlookup(A1823,'On Hand'!A:A,'On Hand'!E:E,),)))"),"")</f>
        <v/>
      </c>
    </row>
    <row r="1824">
      <c r="A1824" s="3" t="str">
        <f t="array" ref="A1824">ifna(_xlfn.xlookup(B1824,'All Item Code'!B:B,'All Item Code'!A:A,),)</f>
        <v/>
      </c>
      <c r="B1824" s="3"/>
      <c r="C1824" s="3" t="str">
        <f t="array" ref="C1824">if(B1824="Tidak Ada",,if(isblank(B1824),,ifna(sumif('On Hand'!A:A,A1824,'On Hand'!D:D)&amp;" "&amp;_xlfn.xlookup(A1824,'All Item Code'!A:A,'All Item Code'!D:D,),0)))</f>
        <v/>
      </c>
      <c r="D1824" s="3" t="str">
        <f>IFERROR(__xludf.DUMMYFUNCTION("if(isblank(B1824),,ifna(textjoin(""; "",,filter('On Hand'!E:E,'On Hand'!A:A=A1824)),ifna(xlookup(A1824,'On Hand'!A:A,'On Hand'!E:E,),)))"),"")</f>
        <v/>
      </c>
    </row>
    <row r="1825">
      <c r="A1825" s="3" t="str">
        <f t="array" ref="A1825">ifna(_xlfn.xlookup(B1825,'All Item Code'!B:B,'All Item Code'!A:A,),)</f>
        <v/>
      </c>
      <c r="B1825" s="3"/>
      <c r="C1825" s="3" t="str">
        <f t="array" ref="C1825">if(B1825="Tidak Ada",,if(isblank(B1825),,ifna(sumif('On Hand'!A:A,A1825,'On Hand'!D:D)&amp;" "&amp;_xlfn.xlookup(A1825,'All Item Code'!A:A,'All Item Code'!D:D,),0)))</f>
        <v/>
      </c>
      <c r="D1825" s="3" t="str">
        <f>IFERROR(__xludf.DUMMYFUNCTION("if(isblank(B1825),,ifna(textjoin(""; "",,filter('On Hand'!E:E,'On Hand'!A:A=A1825)),ifna(xlookup(A1825,'On Hand'!A:A,'On Hand'!E:E,),)))"),"")</f>
        <v/>
      </c>
    </row>
    <row r="1826">
      <c r="A1826" s="3" t="str">
        <f t="array" ref="A1826">ifna(_xlfn.xlookup(B1826,'All Item Code'!B:B,'All Item Code'!A:A,),)</f>
        <v/>
      </c>
      <c r="B1826" s="3"/>
      <c r="C1826" s="3" t="str">
        <f t="array" ref="C1826">if(B1826="Tidak Ada",,if(isblank(B1826),,ifna(sumif('On Hand'!A:A,A1826,'On Hand'!D:D)&amp;" "&amp;_xlfn.xlookup(A1826,'All Item Code'!A:A,'All Item Code'!D:D,),0)))</f>
        <v/>
      </c>
      <c r="D1826" s="3" t="str">
        <f>IFERROR(__xludf.DUMMYFUNCTION("if(isblank(B1826),,ifna(textjoin(""; "",,filter('On Hand'!E:E,'On Hand'!A:A=A1826)),ifna(xlookup(A1826,'On Hand'!A:A,'On Hand'!E:E,),)))"),"")</f>
        <v/>
      </c>
    </row>
    <row r="1827">
      <c r="A1827" s="3" t="str">
        <f t="array" ref="A1827">ifna(_xlfn.xlookup(B1827,'All Item Code'!B:B,'All Item Code'!A:A,),)</f>
        <v/>
      </c>
      <c r="B1827" s="3"/>
      <c r="C1827" s="3" t="str">
        <f t="array" ref="C1827">if(B1827="Tidak Ada",,if(isblank(B1827),,ifna(sumif('On Hand'!A:A,A1827,'On Hand'!D:D)&amp;" "&amp;_xlfn.xlookup(A1827,'All Item Code'!A:A,'All Item Code'!D:D,),0)))</f>
        <v/>
      </c>
      <c r="D1827" s="3" t="str">
        <f>IFERROR(__xludf.DUMMYFUNCTION("if(isblank(B1827),,ifna(textjoin(""; "",,filter('On Hand'!E:E,'On Hand'!A:A=A1827)),ifna(xlookup(A1827,'On Hand'!A:A,'On Hand'!E:E,),)))"),"")</f>
        <v/>
      </c>
    </row>
    <row r="1828">
      <c r="A1828" s="3" t="str">
        <f t="array" ref="A1828">ifna(_xlfn.xlookup(B1828,'All Item Code'!B:B,'All Item Code'!A:A,),)</f>
        <v/>
      </c>
      <c r="B1828" s="3"/>
      <c r="C1828" s="3" t="str">
        <f t="array" ref="C1828">if(B1828="Tidak Ada",,if(isblank(B1828),,ifna(sumif('On Hand'!A:A,A1828,'On Hand'!D:D)&amp;" "&amp;_xlfn.xlookup(A1828,'All Item Code'!A:A,'All Item Code'!D:D,),0)))</f>
        <v/>
      </c>
      <c r="D1828" s="3" t="str">
        <f>IFERROR(__xludf.DUMMYFUNCTION("if(isblank(B1828),,ifna(textjoin(""; "",,filter('On Hand'!E:E,'On Hand'!A:A=A1828)),ifna(xlookup(A1828,'On Hand'!A:A,'On Hand'!E:E,),)))"),"")</f>
        <v/>
      </c>
    </row>
    <row r="1829">
      <c r="A1829" s="3" t="str">
        <f t="array" ref="A1829">ifna(_xlfn.xlookup(B1829,'All Item Code'!B:B,'All Item Code'!A:A,),)</f>
        <v/>
      </c>
      <c r="B1829" s="3"/>
      <c r="C1829" s="3" t="str">
        <f t="array" ref="C1829">if(B1829="Tidak Ada",,if(isblank(B1829),,ifna(sumif('On Hand'!A:A,A1829,'On Hand'!D:D)&amp;" "&amp;_xlfn.xlookup(A1829,'All Item Code'!A:A,'All Item Code'!D:D,),0)))</f>
        <v/>
      </c>
      <c r="D1829" s="3" t="str">
        <f>IFERROR(__xludf.DUMMYFUNCTION("if(isblank(B1829),,ifna(textjoin(""; "",,filter('On Hand'!E:E,'On Hand'!A:A=A1829)),ifna(xlookup(A1829,'On Hand'!A:A,'On Hand'!E:E,),)))"),"")</f>
        <v/>
      </c>
    </row>
    <row r="1830">
      <c r="A1830" s="3" t="str">
        <f t="array" ref="A1830">ifna(_xlfn.xlookup(B1830,'All Item Code'!B:B,'All Item Code'!A:A,),)</f>
        <v/>
      </c>
      <c r="B1830" s="3"/>
      <c r="C1830" s="3" t="str">
        <f t="array" ref="C1830">if(B1830="Tidak Ada",,if(isblank(B1830),,ifna(sumif('On Hand'!A:A,A1830,'On Hand'!D:D)&amp;" "&amp;_xlfn.xlookup(A1830,'All Item Code'!A:A,'All Item Code'!D:D,),0)))</f>
        <v/>
      </c>
      <c r="D1830" s="3" t="str">
        <f>IFERROR(__xludf.DUMMYFUNCTION("if(isblank(B1830),,ifna(textjoin(""; "",,filter('On Hand'!E:E,'On Hand'!A:A=A1830)),ifna(xlookup(A1830,'On Hand'!A:A,'On Hand'!E:E,),)))"),"")</f>
        <v/>
      </c>
    </row>
    <row r="1831">
      <c r="A1831" s="3" t="str">
        <f t="array" ref="A1831">ifna(_xlfn.xlookup(B1831,'All Item Code'!B:B,'All Item Code'!A:A,),)</f>
        <v/>
      </c>
      <c r="B1831" s="3"/>
      <c r="C1831" s="3" t="str">
        <f t="array" ref="C1831">if(B1831="Tidak Ada",,if(isblank(B1831),,ifna(sumif('On Hand'!A:A,A1831,'On Hand'!D:D)&amp;" "&amp;_xlfn.xlookup(A1831,'All Item Code'!A:A,'All Item Code'!D:D,),0)))</f>
        <v/>
      </c>
      <c r="D1831" s="3" t="str">
        <f>IFERROR(__xludf.DUMMYFUNCTION("if(isblank(B1831),,ifna(textjoin(""; "",,filter('On Hand'!E:E,'On Hand'!A:A=A1831)),ifna(xlookup(A1831,'On Hand'!A:A,'On Hand'!E:E,),)))"),"")</f>
        <v/>
      </c>
    </row>
    <row r="1832">
      <c r="A1832" s="3" t="str">
        <f t="array" ref="A1832">ifna(_xlfn.xlookup(B1832,'All Item Code'!B:B,'All Item Code'!A:A,),)</f>
        <v/>
      </c>
      <c r="B1832" s="3"/>
      <c r="C1832" s="3" t="str">
        <f t="array" ref="C1832">if(B1832="Tidak Ada",,if(isblank(B1832),,ifna(sumif('On Hand'!A:A,A1832,'On Hand'!D:D)&amp;" "&amp;_xlfn.xlookup(A1832,'All Item Code'!A:A,'All Item Code'!D:D,),0)))</f>
        <v/>
      </c>
      <c r="D1832" s="3" t="str">
        <f>IFERROR(__xludf.DUMMYFUNCTION("if(isblank(B1832),,ifna(textjoin(""; "",,filter('On Hand'!E:E,'On Hand'!A:A=A1832)),ifna(xlookup(A1832,'On Hand'!A:A,'On Hand'!E:E,),)))"),"")</f>
        <v/>
      </c>
    </row>
    <row r="1833">
      <c r="A1833" s="3" t="str">
        <f t="array" ref="A1833">ifna(_xlfn.xlookup(B1833,'All Item Code'!B:B,'All Item Code'!A:A,),)</f>
        <v/>
      </c>
      <c r="B1833" s="3"/>
      <c r="C1833" s="3" t="str">
        <f t="array" ref="C1833">if(B1833="Tidak Ada",,if(isblank(B1833),,ifna(sumif('On Hand'!A:A,A1833,'On Hand'!D:D)&amp;" "&amp;_xlfn.xlookup(A1833,'All Item Code'!A:A,'All Item Code'!D:D,),0)))</f>
        <v/>
      </c>
      <c r="D1833" s="3" t="str">
        <f>IFERROR(__xludf.DUMMYFUNCTION("if(isblank(B1833),,ifna(textjoin(""; "",,filter('On Hand'!E:E,'On Hand'!A:A=A1833)),ifna(xlookup(A1833,'On Hand'!A:A,'On Hand'!E:E,),)))"),"")</f>
        <v/>
      </c>
    </row>
    <row r="1834">
      <c r="A1834" s="3" t="str">
        <f t="array" ref="A1834">ifna(_xlfn.xlookup(B1834,'All Item Code'!B:B,'All Item Code'!A:A,),)</f>
        <v/>
      </c>
      <c r="B1834" s="3"/>
      <c r="C1834" s="3" t="str">
        <f t="array" ref="C1834">if(B1834="Tidak Ada",,if(isblank(B1834),,ifna(sumif('On Hand'!A:A,A1834,'On Hand'!D:D)&amp;" "&amp;_xlfn.xlookup(A1834,'All Item Code'!A:A,'All Item Code'!D:D,),0)))</f>
        <v/>
      </c>
      <c r="D1834" s="3" t="str">
        <f>IFERROR(__xludf.DUMMYFUNCTION("if(isblank(B1834),,ifna(textjoin(""; "",,filter('On Hand'!E:E,'On Hand'!A:A=A1834)),ifna(xlookup(A1834,'On Hand'!A:A,'On Hand'!E:E,),)))"),"")</f>
        <v/>
      </c>
    </row>
    <row r="1835">
      <c r="A1835" s="3" t="str">
        <f t="array" ref="A1835">ifna(_xlfn.xlookup(B1835,'All Item Code'!B:B,'All Item Code'!A:A,),)</f>
        <v/>
      </c>
      <c r="B1835" s="3"/>
      <c r="C1835" s="3" t="str">
        <f t="array" ref="C1835">if(B1835="Tidak Ada",,if(isblank(B1835),,ifna(sumif('On Hand'!A:A,A1835,'On Hand'!D:D)&amp;" "&amp;_xlfn.xlookup(A1835,'All Item Code'!A:A,'All Item Code'!D:D,),0)))</f>
        <v/>
      </c>
      <c r="D1835" s="3" t="str">
        <f>IFERROR(__xludf.DUMMYFUNCTION("if(isblank(B1835),,ifna(textjoin(""; "",,filter('On Hand'!E:E,'On Hand'!A:A=A1835)),ifna(xlookup(A1835,'On Hand'!A:A,'On Hand'!E:E,),)))"),"")</f>
        <v/>
      </c>
    </row>
    <row r="1836">
      <c r="A1836" s="3" t="str">
        <f t="array" ref="A1836">ifna(_xlfn.xlookup(B1836,'All Item Code'!B:B,'All Item Code'!A:A,),)</f>
        <v/>
      </c>
      <c r="B1836" s="3"/>
      <c r="C1836" s="3" t="str">
        <f t="array" ref="C1836">if(B1836="Tidak Ada",,if(isblank(B1836),,ifna(sumif('On Hand'!A:A,A1836,'On Hand'!D:D)&amp;" "&amp;_xlfn.xlookup(A1836,'All Item Code'!A:A,'All Item Code'!D:D,),0)))</f>
        <v/>
      </c>
      <c r="D1836" s="3" t="str">
        <f>IFERROR(__xludf.DUMMYFUNCTION("if(isblank(B1836),,ifna(textjoin(""; "",,filter('On Hand'!E:E,'On Hand'!A:A=A1836)),ifna(xlookup(A1836,'On Hand'!A:A,'On Hand'!E:E,),)))"),"")</f>
        <v/>
      </c>
    </row>
    <row r="1837">
      <c r="A1837" s="3" t="str">
        <f t="array" ref="A1837">ifna(_xlfn.xlookup(B1837,'All Item Code'!B:B,'All Item Code'!A:A,),)</f>
        <v/>
      </c>
      <c r="B1837" s="3"/>
      <c r="C1837" s="3" t="str">
        <f t="array" ref="C1837">if(B1837="Tidak Ada",,if(isblank(B1837),,ifna(sumif('On Hand'!A:A,A1837,'On Hand'!D:D)&amp;" "&amp;_xlfn.xlookup(A1837,'All Item Code'!A:A,'All Item Code'!D:D,),0)))</f>
        <v/>
      </c>
      <c r="D1837" s="3" t="str">
        <f>IFERROR(__xludf.DUMMYFUNCTION("if(isblank(B1837),,ifna(textjoin(""; "",,filter('On Hand'!E:E,'On Hand'!A:A=A1837)),ifna(xlookup(A1837,'On Hand'!A:A,'On Hand'!E:E,),)))"),"")</f>
        <v/>
      </c>
    </row>
    <row r="1838">
      <c r="A1838" s="3" t="str">
        <f t="array" ref="A1838">ifna(_xlfn.xlookup(B1838,'All Item Code'!B:B,'All Item Code'!A:A,),)</f>
        <v/>
      </c>
      <c r="B1838" s="3"/>
      <c r="C1838" s="3" t="str">
        <f t="array" ref="C1838">if(B1838="Tidak Ada",,if(isblank(B1838),,ifna(sumif('On Hand'!A:A,A1838,'On Hand'!D:D)&amp;" "&amp;_xlfn.xlookup(A1838,'All Item Code'!A:A,'All Item Code'!D:D,),0)))</f>
        <v/>
      </c>
      <c r="D1838" s="3" t="str">
        <f>IFERROR(__xludf.DUMMYFUNCTION("if(isblank(B1838),,ifna(textjoin(""; "",,filter('On Hand'!E:E,'On Hand'!A:A=A1838)),ifna(xlookup(A1838,'On Hand'!A:A,'On Hand'!E:E,),)))"),"")</f>
        <v/>
      </c>
    </row>
    <row r="1839">
      <c r="A1839" s="3" t="str">
        <f t="array" ref="A1839">ifna(_xlfn.xlookup(B1839,'All Item Code'!B:B,'All Item Code'!A:A,),)</f>
        <v/>
      </c>
      <c r="B1839" s="3"/>
      <c r="C1839" s="3" t="str">
        <f t="array" ref="C1839">if(B1839="Tidak Ada",,if(isblank(B1839),,ifna(sumif('On Hand'!A:A,A1839,'On Hand'!D:D)&amp;" "&amp;_xlfn.xlookup(A1839,'All Item Code'!A:A,'All Item Code'!D:D,),0)))</f>
        <v/>
      </c>
      <c r="D1839" s="3" t="str">
        <f>IFERROR(__xludf.DUMMYFUNCTION("if(isblank(B1839),,ifna(textjoin(""; "",,filter('On Hand'!E:E,'On Hand'!A:A=A1839)),ifna(xlookup(A1839,'On Hand'!A:A,'On Hand'!E:E,),)))"),"")</f>
        <v/>
      </c>
    </row>
    <row r="1840">
      <c r="A1840" s="3" t="str">
        <f t="array" ref="A1840">ifna(_xlfn.xlookup(B1840,'All Item Code'!B:B,'All Item Code'!A:A,),)</f>
        <v/>
      </c>
      <c r="B1840" s="3"/>
      <c r="C1840" s="3" t="str">
        <f t="array" ref="C1840">if(B1840="Tidak Ada",,if(isblank(B1840),,ifna(sumif('On Hand'!A:A,A1840,'On Hand'!D:D)&amp;" "&amp;_xlfn.xlookup(A1840,'All Item Code'!A:A,'All Item Code'!D:D,),0)))</f>
        <v/>
      </c>
      <c r="D1840" s="3" t="str">
        <f>IFERROR(__xludf.DUMMYFUNCTION("if(isblank(B1840),,ifna(textjoin(""; "",,filter('On Hand'!E:E,'On Hand'!A:A=A1840)),ifna(xlookup(A1840,'On Hand'!A:A,'On Hand'!E:E,),)))"),"")</f>
        <v/>
      </c>
    </row>
    <row r="1841">
      <c r="A1841" s="3" t="str">
        <f t="array" ref="A1841">ifna(_xlfn.xlookup(B1841,'All Item Code'!B:B,'All Item Code'!A:A,),)</f>
        <v/>
      </c>
      <c r="B1841" s="3"/>
      <c r="C1841" s="3" t="str">
        <f t="array" ref="C1841">if(B1841="Tidak Ada",,if(isblank(B1841),,ifna(sumif('On Hand'!A:A,A1841,'On Hand'!D:D)&amp;" "&amp;_xlfn.xlookup(A1841,'All Item Code'!A:A,'All Item Code'!D:D,),0)))</f>
        <v/>
      </c>
      <c r="D1841" s="3" t="str">
        <f>IFERROR(__xludf.DUMMYFUNCTION("if(isblank(B1841),,ifna(textjoin(""; "",,filter('On Hand'!E:E,'On Hand'!A:A=A1841)),ifna(xlookup(A1841,'On Hand'!A:A,'On Hand'!E:E,),)))"),"")</f>
        <v/>
      </c>
    </row>
    <row r="1842">
      <c r="A1842" s="3" t="str">
        <f t="array" ref="A1842">ifna(_xlfn.xlookup(B1842,'All Item Code'!B:B,'All Item Code'!A:A,),)</f>
        <v/>
      </c>
      <c r="B1842" s="3"/>
      <c r="C1842" s="3" t="str">
        <f t="array" ref="C1842">if(B1842="Tidak Ada",,if(isblank(B1842),,ifna(sumif('On Hand'!A:A,A1842,'On Hand'!D:D)&amp;" "&amp;_xlfn.xlookup(A1842,'All Item Code'!A:A,'All Item Code'!D:D,),0)))</f>
        <v/>
      </c>
      <c r="D1842" s="3" t="str">
        <f>IFERROR(__xludf.DUMMYFUNCTION("if(isblank(B1842),,ifna(textjoin(""; "",,filter('On Hand'!E:E,'On Hand'!A:A=A1842)),ifna(xlookup(A1842,'On Hand'!A:A,'On Hand'!E:E,),)))"),"")</f>
        <v/>
      </c>
    </row>
    <row r="1843">
      <c r="A1843" s="3" t="str">
        <f t="array" ref="A1843">ifna(_xlfn.xlookup(B1843,'All Item Code'!B:B,'All Item Code'!A:A,),)</f>
        <v/>
      </c>
      <c r="B1843" s="3"/>
      <c r="C1843" s="3" t="str">
        <f t="array" ref="C1843">if(B1843="Tidak Ada",,if(isblank(B1843),,ifna(sumif('On Hand'!A:A,A1843,'On Hand'!D:D)&amp;" "&amp;_xlfn.xlookup(A1843,'All Item Code'!A:A,'All Item Code'!D:D,),0)))</f>
        <v/>
      </c>
      <c r="D1843" s="3" t="str">
        <f>IFERROR(__xludf.DUMMYFUNCTION("if(isblank(B1843),,ifna(textjoin(""; "",,filter('On Hand'!E:E,'On Hand'!A:A=A1843)),ifna(xlookup(A1843,'On Hand'!A:A,'On Hand'!E:E,),)))"),"")</f>
        <v/>
      </c>
    </row>
    <row r="1844">
      <c r="A1844" s="3" t="str">
        <f t="array" ref="A1844">ifna(_xlfn.xlookup(B1844,'All Item Code'!B:B,'All Item Code'!A:A,),)</f>
        <v/>
      </c>
      <c r="B1844" s="3"/>
      <c r="C1844" s="3" t="str">
        <f t="array" ref="C1844">if(B1844="Tidak Ada",,if(isblank(B1844),,ifna(sumif('On Hand'!A:A,A1844,'On Hand'!D:D)&amp;" "&amp;_xlfn.xlookup(A1844,'All Item Code'!A:A,'All Item Code'!D:D,),0)))</f>
        <v/>
      </c>
      <c r="D1844" s="3" t="str">
        <f>IFERROR(__xludf.DUMMYFUNCTION("if(isblank(B1844),,ifna(textjoin(""; "",,filter('On Hand'!E:E,'On Hand'!A:A=A1844)),ifna(xlookup(A1844,'On Hand'!A:A,'On Hand'!E:E,),)))"),"")</f>
        <v/>
      </c>
    </row>
    <row r="1845">
      <c r="A1845" s="3" t="str">
        <f t="array" ref="A1845">ifna(_xlfn.xlookup(B1845,'All Item Code'!B:B,'All Item Code'!A:A,),)</f>
        <v/>
      </c>
      <c r="B1845" s="3"/>
      <c r="C1845" s="3" t="str">
        <f t="array" ref="C1845">if(B1845="Tidak Ada",,if(isblank(B1845),,ifna(sumif('On Hand'!A:A,A1845,'On Hand'!D:D)&amp;" "&amp;_xlfn.xlookup(A1845,'All Item Code'!A:A,'All Item Code'!D:D,),0)))</f>
        <v/>
      </c>
      <c r="D1845" s="3" t="str">
        <f>IFERROR(__xludf.DUMMYFUNCTION("if(isblank(B1845),,ifna(textjoin(""; "",,filter('On Hand'!E:E,'On Hand'!A:A=A1845)),ifna(xlookup(A1845,'On Hand'!A:A,'On Hand'!E:E,),)))"),"")</f>
        <v/>
      </c>
    </row>
    <row r="1846">
      <c r="A1846" s="3" t="str">
        <f t="array" ref="A1846">ifna(_xlfn.xlookup(B1846,'All Item Code'!B:B,'All Item Code'!A:A,),)</f>
        <v/>
      </c>
      <c r="B1846" s="3"/>
      <c r="C1846" s="3" t="str">
        <f t="array" ref="C1846">if(B1846="Tidak Ada",,if(isblank(B1846),,ifna(sumif('On Hand'!A:A,A1846,'On Hand'!D:D)&amp;" "&amp;_xlfn.xlookup(A1846,'All Item Code'!A:A,'All Item Code'!D:D,),0)))</f>
        <v/>
      </c>
      <c r="D1846" s="3" t="str">
        <f>IFERROR(__xludf.DUMMYFUNCTION("if(isblank(B1846),,ifna(textjoin(""; "",,filter('On Hand'!E:E,'On Hand'!A:A=A1846)),ifna(xlookup(A1846,'On Hand'!A:A,'On Hand'!E:E,),)))"),"")</f>
        <v/>
      </c>
    </row>
    <row r="1847">
      <c r="A1847" s="3" t="str">
        <f t="array" ref="A1847">ifna(_xlfn.xlookup(B1847,'All Item Code'!B:B,'All Item Code'!A:A,),)</f>
        <v/>
      </c>
      <c r="B1847" s="3"/>
      <c r="C1847" s="3" t="str">
        <f t="array" ref="C1847">if(B1847="Tidak Ada",,if(isblank(B1847),,ifna(sumif('On Hand'!A:A,A1847,'On Hand'!D:D)&amp;" "&amp;_xlfn.xlookup(A1847,'All Item Code'!A:A,'All Item Code'!D:D,),0)))</f>
        <v/>
      </c>
      <c r="D1847" s="3" t="str">
        <f>IFERROR(__xludf.DUMMYFUNCTION("if(isblank(B1847),,ifna(textjoin(""; "",,filter('On Hand'!E:E,'On Hand'!A:A=A1847)),ifna(xlookup(A1847,'On Hand'!A:A,'On Hand'!E:E,),)))"),"")</f>
        <v/>
      </c>
    </row>
    <row r="1848">
      <c r="A1848" s="3" t="str">
        <f t="array" ref="A1848">ifna(_xlfn.xlookup(B1848,'All Item Code'!B:B,'All Item Code'!A:A,),)</f>
        <v/>
      </c>
      <c r="B1848" s="3"/>
      <c r="C1848" s="3" t="str">
        <f t="array" ref="C1848">if(B1848="Tidak Ada",,if(isblank(B1848),,ifna(sumif('On Hand'!A:A,A1848,'On Hand'!D:D)&amp;" "&amp;_xlfn.xlookup(A1848,'All Item Code'!A:A,'All Item Code'!D:D,),0)))</f>
        <v/>
      </c>
      <c r="D1848" s="3" t="str">
        <f>IFERROR(__xludf.DUMMYFUNCTION("if(isblank(B1848),,ifna(textjoin(""; "",,filter('On Hand'!E:E,'On Hand'!A:A=A1848)),ifna(xlookup(A1848,'On Hand'!A:A,'On Hand'!E:E,),)))"),"")</f>
        <v/>
      </c>
    </row>
    <row r="1849">
      <c r="A1849" s="3" t="str">
        <f t="array" ref="A1849">ifna(_xlfn.xlookup(B1849,'All Item Code'!B:B,'All Item Code'!A:A,),)</f>
        <v/>
      </c>
      <c r="B1849" s="3"/>
      <c r="C1849" s="3" t="str">
        <f t="array" ref="C1849">if(B1849="Tidak Ada",,if(isblank(B1849),,ifna(sumif('On Hand'!A:A,A1849,'On Hand'!D:D)&amp;" "&amp;_xlfn.xlookup(A1849,'All Item Code'!A:A,'All Item Code'!D:D,),0)))</f>
        <v/>
      </c>
      <c r="D1849" s="3" t="str">
        <f>IFERROR(__xludf.DUMMYFUNCTION("if(isblank(B1849),,ifna(textjoin(""; "",,filter('On Hand'!E:E,'On Hand'!A:A=A1849)),ifna(xlookup(A1849,'On Hand'!A:A,'On Hand'!E:E,),)))"),"")</f>
        <v/>
      </c>
    </row>
    <row r="1850">
      <c r="A1850" s="3" t="str">
        <f t="array" ref="A1850">ifna(_xlfn.xlookup(B1850,'All Item Code'!B:B,'All Item Code'!A:A,),)</f>
        <v/>
      </c>
      <c r="B1850" s="3"/>
      <c r="C1850" s="3" t="str">
        <f t="array" ref="C1850">if(B1850="Tidak Ada",,if(isblank(B1850),,ifna(sumif('On Hand'!A:A,A1850,'On Hand'!D:D)&amp;" "&amp;_xlfn.xlookup(A1850,'All Item Code'!A:A,'All Item Code'!D:D,),0)))</f>
        <v/>
      </c>
      <c r="D1850" s="3" t="str">
        <f>IFERROR(__xludf.DUMMYFUNCTION("if(isblank(B1850),,ifna(textjoin(""; "",,filter('On Hand'!E:E,'On Hand'!A:A=A1850)),ifna(xlookup(A1850,'On Hand'!A:A,'On Hand'!E:E,),)))"),"")</f>
        <v/>
      </c>
    </row>
    <row r="1851">
      <c r="A1851" s="3" t="str">
        <f t="array" ref="A1851">ifna(_xlfn.xlookup(B1851,'All Item Code'!B:B,'All Item Code'!A:A,),)</f>
        <v/>
      </c>
      <c r="B1851" s="3"/>
      <c r="C1851" s="3" t="str">
        <f t="array" ref="C1851">if(B1851="Tidak Ada",,if(isblank(B1851),,ifna(sumif('On Hand'!A:A,A1851,'On Hand'!D:D)&amp;" "&amp;_xlfn.xlookup(A1851,'All Item Code'!A:A,'All Item Code'!D:D,),0)))</f>
        <v/>
      </c>
      <c r="D1851" s="3" t="str">
        <f>IFERROR(__xludf.DUMMYFUNCTION("if(isblank(B1851),,ifna(textjoin(""; "",,filter('On Hand'!E:E,'On Hand'!A:A=A1851)),ifna(xlookup(A1851,'On Hand'!A:A,'On Hand'!E:E,),)))"),"")</f>
        <v/>
      </c>
    </row>
    <row r="1852">
      <c r="A1852" s="3" t="str">
        <f t="array" ref="A1852">ifna(_xlfn.xlookup(B1852,'All Item Code'!B:B,'All Item Code'!A:A,),)</f>
        <v/>
      </c>
      <c r="B1852" s="3"/>
      <c r="C1852" s="3" t="str">
        <f t="array" ref="C1852">if(B1852="Tidak Ada",,if(isblank(B1852),,ifna(sumif('On Hand'!A:A,A1852,'On Hand'!D:D)&amp;" "&amp;_xlfn.xlookup(A1852,'All Item Code'!A:A,'All Item Code'!D:D,),0)))</f>
        <v/>
      </c>
      <c r="D1852" s="3" t="str">
        <f>IFERROR(__xludf.DUMMYFUNCTION("if(isblank(B1852),,ifna(textjoin(""; "",,filter('On Hand'!E:E,'On Hand'!A:A=A1852)),ifna(xlookup(A1852,'On Hand'!A:A,'On Hand'!E:E,),)))"),"")</f>
        <v/>
      </c>
    </row>
    <row r="1853">
      <c r="A1853" s="3" t="str">
        <f t="array" ref="A1853">ifna(_xlfn.xlookup(B1853,'All Item Code'!B:B,'All Item Code'!A:A,),)</f>
        <v/>
      </c>
      <c r="B1853" s="3"/>
      <c r="C1853" s="3" t="str">
        <f t="array" ref="C1853">if(B1853="Tidak Ada",,if(isblank(B1853),,ifna(sumif('On Hand'!A:A,A1853,'On Hand'!D:D)&amp;" "&amp;_xlfn.xlookup(A1853,'All Item Code'!A:A,'All Item Code'!D:D,),0)))</f>
        <v/>
      </c>
      <c r="D1853" s="3" t="str">
        <f>IFERROR(__xludf.DUMMYFUNCTION("if(isblank(B1853),,ifna(textjoin(""; "",,filter('On Hand'!E:E,'On Hand'!A:A=A1853)),ifna(xlookup(A1853,'On Hand'!A:A,'On Hand'!E:E,),)))"),"")</f>
        <v/>
      </c>
    </row>
    <row r="1854">
      <c r="A1854" s="3" t="str">
        <f t="array" ref="A1854">ifna(_xlfn.xlookup(B1854,'All Item Code'!B:B,'All Item Code'!A:A,),)</f>
        <v/>
      </c>
      <c r="B1854" s="3"/>
      <c r="C1854" s="3" t="str">
        <f t="array" ref="C1854">if(B1854="Tidak Ada",,if(isblank(B1854),,ifna(sumif('On Hand'!A:A,A1854,'On Hand'!D:D)&amp;" "&amp;_xlfn.xlookup(A1854,'All Item Code'!A:A,'All Item Code'!D:D,),0)))</f>
        <v/>
      </c>
      <c r="D1854" s="3" t="str">
        <f>IFERROR(__xludf.DUMMYFUNCTION("if(isblank(B1854),,ifna(textjoin(""; "",,filter('On Hand'!E:E,'On Hand'!A:A=A1854)),ifna(xlookup(A1854,'On Hand'!A:A,'On Hand'!E:E,),)))"),"")</f>
        <v/>
      </c>
    </row>
    <row r="1855">
      <c r="A1855" s="3" t="str">
        <f t="array" ref="A1855">ifna(_xlfn.xlookup(B1855,'All Item Code'!B:B,'All Item Code'!A:A,),)</f>
        <v/>
      </c>
      <c r="B1855" s="3"/>
      <c r="C1855" s="3" t="str">
        <f t="array" ref="C1855">if(B1855="Tidak Ada",,if(isblank(B1855),,ifna(sumif('On Hand'!A:A,A1855,'On Hand'!D:D)&amp;" "&amp;_xlfn.xlookup(A1855,'All Item Code'!A:A,'All Item Code'!D:D,),0)))</f>
        <v/>
      </c>
      <c r="D1855" s="3" t="str">
        <f>IFERROR(__xludf.DUMMYFUNCTION("if(isblank(B1855),,ifna(textjoin(""; "",,filter('On Hand'!E:E,'On Hand'!A:A=A1855)),ifna(xlookup(A1855,'On Hand'!A:A,'On Hand'!E:E,),)))"),"")</f>
        <v/>
      </c>
    </row>
    <row r="1856">
      <c r="A1856" s="3" t="str">
        <f t="array" ref="A1856">ifna(_xlfn.xlookup(B1856,'All Item Code'!B:B,'All Item Code'!A:A,),)</f>
        <v/>
      </c>
      <c r="B1856" s="3"/>
      <c r="C1856" s="3" t="str">
        <f t="array" ref="C1856">if(B1856="Tidak Ada",,if(isblank(B1856),,ifna(sumif('On Hand'!A:A,A1856,'On Hand'!D:D)&amp;" "&amp;_xlfn.xlookup(A1856,'All Item Code'!A:A,'All Item Code'!D:D,),0)))</f>
        <v/>
      </c>
      <c r="D1856" s="3" t="str">
        <f>IFERROR(__xludf.DUMMYFUNCTION("if(isblank(B1856),,ifna(textjoin(""; "",,filter('On Hand'!E:E,'On Hand'!A:A=A1856)),ifna(xlookup(A1856,'On Hand'!A:A,'On Hand'!E:E,),)))"),"")</f>
        <v/>
      </c>
    </row>
    <row r="1857">
      <c r="A1857" s="3" t="str">
        <f t="array" ref="A1857">ifna(_xlfn.xlookup(B1857,'All Item Code'!B:B,'All Item Code'!A:A,),)</f>
        <v/>
      </c>
      <c r="B1857" s="3"/>
      <c r="C1857" s="3" t="str">
        <f t="array" ref="C1857">if(B1857="Tidak Ada",,if(isblank(B1857),,ifna(sumif('On Hand'!A:A,A1857,'On Hand'!D:D)&amp;" "&amp;_xlfn.xlookup(A1857,'All Item Code'!A:A,'All Item Code'!D:D,),0)))</f>
        <v/>
      </c>
      <c r="D1857" s="3" t="str">
        <f>IFERROR(__xludf.DUMMYFUNCTION("if(isblank(B1857),,ifna(textjoin(""; "",,filter('On Hand'!E:E,'On Hand'!A:A=A1857)),ifna(xlookup(A1857,'On Hand'!A:A,'On Hand'!E:E,),)))"),"")</f>
        <v/>
      </c>
    </row>
    <row r="1858">
      <c r="A1858" s="3" t="str">
        <f t="array" ref="A1858">ifna(_xlfn.xlookup(B1858,'All Item Code'!B:B,'All Item Code'!A:A,),)</f>
        <v/>
      </c>
      <c r="B1858" s="3"/>
      <c r="C1858" s="3" t="str">
        <f t="array" ref="C1858">if(B1858="Tidak Ada",,if(isblank(B1858),,ifna(sumif('On Hand'!A:A,A1858,'On Hand'!D:D)&amp;" "&amp;_xlfn.xlookup(A1858,'All Item Code'!A:A,'All Item Code'!D:D,),0)))</f>
        <v/>
      </c>
      <c r="D1858" s="3" t="str">
        <f>IFERROR(__xludf.DUMMYFUNCTION("if(isblank(B1858),,ifna(textjoin(""; "",,filter('On Hand'!E:E,'On Hand'!A:A=A1858)),ifna(xlookup(A1858,'On Hand'!A:A,'On Hand'!E:E,),)))"),"")</f>
        <v/>
      </c>
    </row>
    <row r="1859">
      <c r="A1859" s="3" t="str">
        <f t="array" ref="A1859">ifna(_xlfn.xlookup(B1859,'All Item Code'!B:B,'All Item Code'!A:A,),)</f>
        <v/>
      </c>
      <c r="B1859" s="3"/>
      <c r="C1859" s="3" t="str">
        <f t="array" ref="C1859">if(B1859="Tidak Ada",,if(isblank(B1859),,ifna(sumif('On Hand'!A:A,A1859,'On Hand'!D:D)&amp;" "&amp;_xlfn.xlookup(A1859,'All Item Code'!A:A,'All Item Code'!D:D,),0)))</f>
        <v/>
      </c>
      <c r="D1859" s="3" t="str">
        <f>IFERROR(__xludf.DUMMYFUNCTION("if(isblank(B1859),,ifna(textjoin(""; "",,filter('On Hand'!E:E,'On Hand'!A:A=A1859)),ifna(xlookup(A1859,'On Hand'!A:A,'On Hand'!E:E,),)))"),"")</f>
        <v/>
      </c>
    </row>
    <row r="1860">
      <c r="A1860" s="3" t="str">
        <f t="array" ref="A1860">ifna(_xlfn.xlookup(B1860,'All Item Code'!B:B,'All Item Code'!A:A,),)</f>
        <v/>
      </c>
      <c r="B1860" s="3"/>
      <c r="C1860" s="3" t="str">
        <f t="array" ref="C1860">if(B1860="Tidak Ada",,if(isblank(B1860),,ifna(sumif('On Hand'!A:A,A1860,'On Hand'!D:D)&amp;" "&amp;_xlfn.xlookup(A1860,'All Item Code'!A:A,'All Item Code'!D:D,),0)))</f>
        <v/>
      </c>
      <c r="D1860" s="3" t="str">
        <f>IFERROR(__xludf.DUMMYFUNCTION("if(isblank(B1860),,ifna(textjoin(""; "",,filter('On Hand'!E:E,'On Hand'!A:A=A1860)),ifna(xlookup(A1860,'On Hand'!A:A,'On Hand'!E:E,),)))"),"")</f>
        <v/>
      </c>
    </row>
    <row r="1861">
      <c r="A1861" s="3" t="str">
        <f t="array" ref="A1861">ifna(_xlfn.xlookup(B1861,'All Item Code'!B:B,'All Item Code'!A:A,),)</f>
        <v/>
      </c>
      <c r="B1861" s="3"/>
      <c r="C1861" s="3" t="str">
        <f t="array" ref="C1861">if(B1861="Tidak Ada",,if(isblank(B1861),,ifna(sumif('On Hand'!A:A,A1861,'On Hand'!D:D)&amp;" "&amp;_xlfn.xlookup(A1861,'All Item Code'!A:A,'All Item Code'!D:D,),0)))</f>
        <v/>
      </c>
      <c r="D1861" s="3" t="str">
        <f>IFERROR(__xludf.DUMMYFUNCTION("if(isblank(B1861),,ifna(textjoin(""; "",,filter('On Hand'!E:E,'On Hand'!A:A=A1861)),ifna(xlookup(A1861,'On Hand'!A:A,'On Hand'!E:E,),)))"),"")</f>
        <v/>
      </c>
    </row>
    <row r="1862">
      <c r="A1862" s="3" t="str">
        <f t="array" ref="A1862">ifna(_xlfn.xlookup(B1862,'All Item Code'!B:B,'All Item Code'!A:A,),)</f>
        <v/>
      </c>
      <c r="B1862" s="3"/>
      <c r="C1862" s="3" t="str">
        <f t="array" ref="C1862">if(B1862="Tidak Ada",,if(isblank(B1862),,ifna(sumif('On Hand'!A:A,A1862,'On Hand'!D:D)&amp;" "&amp;_xlfn.xlookup(A1862,'All Item Code'!A:A,'All Item Code'!D:D,),0)))</f>
        <v/>
      </c>
      <c r="D1862" s="3" t="str">
        <f>IFERROR(__xludf.DUMMYFUNCTION("if(isblank(B1862),,ifna(textjoin(""; "",,filter('On Hand'!E:E,'On Hand'!A:A=A1862)),ifna(xlookup(A1862,'On Hand'!A:A,'On Hand'!E:E,),)))"),"")</f>
        <v/>
      </c>
    </row>
    <row r="1863">
      <c r="A1863" s="3" t="str">
        <f t="array" ref="A1863">ifna(_xlfn.xlookup(B1863,'All Item Code'!B:B,'All Item Code'!A:A,),)</f>
        <v/>
      </c>
      <c r="B1863" s="3"/>
      <c r="C1863" s="3" t="str">
        <f t="array" ref="C1863">if(B1863="Tidak Ada",,if(isblank(B1863),,ifna(sumif('On Hand'!A:A,A1863,'On Hand'!D:D)&amp;" "&amp;_xlfn.xlookup(A1863,'All Item Code'!A:A,'All Item Code'!D:D,),0)))</f>
        <v/>
      </c>
      <c r="D1863" s="3" t="str">
        <f>IFERROR(__xludf.DUMMYFUNCTION("if(isblank(B1863),,ifna(textjoin(""; "",,filter('On Hand'!E:E,'On Hand'!A:A=A1863)),ifna(xlookup(A1863,'On Hand'!A:A,'On Hand'!E:E,),)))"),"")</f>
        <v/>
      </c>
    </row>
    <row r="1864">
      <c r="A1864" s="3" t="str">
        <f t="array" ref="A1864">ifna(_xlfn.xlookup(B1864,'All Item Code'!B:B,'All Item Code'!A:A,),)</f>
        <v/>
      </c>
      <c r="B1864" s="3"/>
      <c r="C1864" s="3" t="str">
        <f t="array" ref="C1864">if(B1864="Tidak Ada",,if(isblank(B1864),,ifna(sumif('On Hand'!A:A,A1864,'On Hand'!D:D)&amp;" "&amp;_xlfn.xlookup(A1864,'All Item Code'!A:A,'All Item Code'!D:D,),0)))</f>
        <v/>
      </c>
      <c r="D1864" s="3" t="str">
        <f>IFERROR(__xludf.DUMMYFUNCTION("if(isblank(B1864),,ifna(textjoin(""; "",,filter('On Hand'!E:E,'On Hand'!A:A=A1864)),ifna(xlookup(A1864,'On Hand'!A:A,'On Hand'!E:E,),)))"),"")</f>
        <v/>
      </c>
    </row>
    <row r="1865">
      <c r="A1865" s="3" t="str">
        <f t="array" ref="A1865">ifna(_xlfn.xlookup(B1865,'All Item Code'!B:B,'All Item Code'!A:A,),)</f>
        <v/>
      </c>
      <c r="B1865" s="3"/>
      <c r="C1865" s="3" t="str">
        <f t="array" ref="C1865">if(B1865="Tidak Ada",,if(isblank(B1865),,ifna(sumif('On Hand'!A:A,A1865,'On Hand'!D:D)&amp;" "&amp;_xlfn.xlookup(A1865,'All Item Code'!A:A,'All Item Code'!D:D,),0)))</f>
        <v/>
      </c>
      <c r="D1865" s="3" t="str">
        <f>IFERROR(__xludf.DUMMYFUNCTION("if(isblank(B1865),,ifna(textjoin(""; "",,filter('On Hand'!E:E,'On Hand'!A:A=A1865)),ifna(xlookup(A1865,'On Hand'!A:A,'On Hand'!E:E,),)))"),"")</f>
        <v/>
      </c>
    </row>
    <row r="1866">
      <c r="A1866" s="3" t="str">
        <f t="array" ref="A1866">ifna(_xlfn.xlookup(B1866,'All Item Code'!B:B,'All Item Code'!A:A,),)</f>
        <v/>
      </c>
      <c r="B1866" s="3"/>
      <c r="C1866" s="3" t="str">
        <f t="array" ref="C1866">if(B1866="Tidak Ada",,if(isblank(B1866),,ifna(sumif('On Hand'!A:A,A1866,'On Hand'!D:D)&amp;" "&amp;_xlfn.xlookup(A1866,'All Item Code'!A:A,'All Item Code'!D:D,),0)))</f>
        <v/>
      </c>
      <c r="D1866" s="3" t="str">
        <f>IFERROR(__xludf.DUMMYFUNCTION("if(isblank(B1866),,ifna(textjoin(""; "",,filter('On Hand'!E:E,'On Hand'!A:A=A1866)),ifna(xlookup(A1866,'On Hand'!A:A,'On Hand'!E:E,),)))"),"")</f>
        <v/>
      </c>
    </row>
    <row r="1867">
      <c r="A1867" s="3" t="str">
        <f t="array" ref="A1867">ifna(_xlfn.xlookup(B1867,'All Item Code'!B:B,'All Item Code'!A:A,),)</f>
        <v/>
      </c>
      <c r="B1867" s="3"/>
      <c r="C1867" s="3" t="str">
        <f t="array" ref="C1867">if(B1867="Tidak Ada",,if(isblank(B1867),,ifna(sumif('On Hand'!A:A,A1867,'On Hand'!D:D)&amp;" "&amp;_xlfn.xlookup(A1867,'All Item Code'!A:A,'All Item Code'!D:D,),0)))</f>
        <v/>
      </c>
      <c r="D1867" s="3" t="str">
        <f>IFERROR(__xludf.DUMMYFUNCTION("if(isblank(B1867),,ifna(textjoin(""; "",,filter('On Hand'!E:E,'On Hand'!A:A=A1867)),ifna(xlookup(A1867,'On Hand'!A:A,'On Hand'!E:E,),)))"),"")</f>
        <v/>
      </c>
    </row>
    <row r="1868">
      <c r="A1868" s="3" t="str">
        <f t="array" ref="A1868">ifna(_xlfn.xlookup(B1868,'All Item Code'!B:B,'All Item Code'!A:A,),)</f>
        <v/>
      </c>
      <c r="B1868" s="3"/>
      <c r="C1868" s="3" t="str">
        <f t="array" ref="C1868">if(B1868="Tidak Ada",,if(isblank(B1868),,ifna(sumif('On Hand'!A:A,A1868,'On Hand'!D:D)&amp;" "&amp;_xlfn.xlookup(A1868,'All Item Code'!A:A,'All Item Code'!D:D,),0)))</f>
        <v/>
      </c>
      <c r="D1868" s="3" t="str">
        <f>IFERROR(__xludf.DUMMYFUNCTION("if(isblank(B1868),,ifna(textjoin(""; "",,filter('On Hand'!E:E,'On Hand'!A:A=A1868)),ifna(xlookup(A1868,'On Hand'!A:A,'On Hand'!E:E,),)))"),"")</f>
        <v/>
      </c>
    </row>
    <row r="1869">
      <c r="A1869" s="3" t="str">
        <f t="array" ref="A1869">ifna(_xlfn.xlookup(B1869,'All Item Code'!B:B,'All Item Code'!A:A,),)</f>
        <v/>
      </c>
      <c r="B1869" s="3"/>
      <c r="C1869" s="3" t="str">
        <f t="array" ref="C1869">if(B1869="Tidak Ada",,if(isblank(B1869),,ifna(sumif('On Hand'!A:A,A1869,'On Hand'!D:D)&amp;" "&amp;_xlfn.xlookup(A1869,'All Item Code'!A:A,'All Item Code'!D:D,),0)))</f>
        <v/>
      </c>
      <c r="D1869" s="3" t="str">
        <f>IFERROR(__xludf.DUMMYFUNCTION("if(isblank(B1869),,ifna(textjoin(""; "",,filter('On Hand'!E:E,'On Hand'!A:A=A1869)),ifna(xlookup(A1869,'On Hand'!A:A,'On Hand'!E:E,),)))"),"")</f>
        <v/>
      </c>
    </row>
    <row r="1870">
      <c r="A1870" s="3" t="str">
        <f t="array" ref="A1870">ifna(_xlfn.xlookup(B1870,'All Item Code'!B:B,'All Item Code'!A:A,),)</f>
        <v/>
      </c>
      <c r="B1870" s="3"/>
      <c r="C1870" s="3" t="str">
        <f t="array" ref="C1870">if(B1870="Tidak Ada",,if(isblank(B1870),,ifna(sumif('On Hand'!A:A,A1870,'On Hand'!D:D)&amp;" "&amp;_xlfn.xlookup(A1870,'All Item Code'!A:A,'All Item Code'!D:D,),0)))</f>
        <v/>
      </c>
      <c r="D1870" s="3" t="str">
        <f>IFERROR(__xludf.DUMMYFUNCTION("if(isblank(B1870),,ifna(textjoin(""; "",,filter('On Hand'!E:E,'On Hand'!A:A=A1870)),ifna(xlookup(A1870,'On Hand'!A:A,'On Hand'!E:E,),)))"),"")</f>
        <v/>
      </c>
    </row>
    <row r="1871">
      <c r="A1871" s="3" t="str">
        <f t="array" ref="A1871">ifna(_xlfn.xlookup(B1871,'All Item Code'!B:B,'All Item Code'!A:A,),)</f>
        <v/>
      </c>
      <c r="B1871" s="3"/>
      <c r="C1871" s="3" t="str">
        <f t="array" ref="C1871">if(B1871="Tidak Ada",,if(isblank(B1871),,ifna(sumif('On Hand'!A:A,A1871,'On Hand'!D:D)&amp;" "&amp;_xlfn.xlookup(A1871,'All Item Code'!A:A,'All Item Code'!D:D,),0)))</f>
        <v/>
      </c>
      <c r="D1871" s="3" t="str">
        <f>IFERROR(__xludf.DUMMYFUNCTION("if(isblank(B1871),,ifna(textjoin(""; "",,filter('On Hand'!E:E,'On Hand'!A:A=A1871)),ifna(xlookup(A1871,'On Hand'!A:A,'On Hand'!E:E,),)))"),"")</f>
        <v/>
      </c>
    </row>
    <row r="1872">
      <c r="A1872" s="3" t="str">
        <f t="array" ref="A1872">ifna(_xlfn.xlookup(B1872,'All Item Code'!B:B,'All Item Code'!A:A,),)</f>
        <v/>
      </c>
      <c r="B1872" s="3"/>
      <c r="C1872" s="3" t="str">
        <f t="array" ref="C1872">if(B1872="Tidak Ada",,if(isblank(B1872),,ifna(sumif('On Hand'!A:A,A1872,'On Hand'!D:D)&amp;" "&amp;_xlfn.xlookup(A1872,'All Item Code'!A:A,'All Item Code'!D:D,),0)))</f>
        <v/>
      </c>
      <c r="D1872" s="3" t="str">
        <f>IFERROR(__xludf.DUMMYFUNCTION("if(isblank(B1872),,ifna(textjoin(""; "",,filter('On Hand'!E:E,'On Hand'!A:A=A1872)),ifna(xlookup(A1872,'On Hand'!A:A,'On Hand'!E:E,),)))"),"")</f>
        <v/>
      </c>
    </row>
    <row r="1873">
      <c r="A1873" s="3" t="str">
        <f t="array" ref="A1873">ifna(_xlfn.xlookup(B1873,'All Item Code'!B:B,'All Item Code'!A:A,),)</f>
        <v/>
      </c>
      <c r="B1873" s="3"/>
      <c r="C1873" s="3" t="str">
        <f t="array" ref="C1873">if(B1873="Tidak Ada",,if(isblank(B1873),,ifna(sumif('On Hand'!A:A,A1873,'On Hand'!D:D)&amp;" "&amp;_xlfn.xlookup(A1873,'All Item Code'!A:A,'All Item Code'!D:D,),0)))</f>
        <v/>
      </c>
      <c r="D1873" s="3" t="str">
        <f>IFERROR(__xludf.DUMMYFUNCTION("if(isblank(B1873),,ifna(textjoin(""; "",,filter('On Hand'!E:E,'On Hand'!A:A=A1873)),ifna(xlookup(A1873,'On Hand'!A:A,'On Hand'!E:E,),)))"),"")</f>
        <v/>
      </c>
    </row>
    <row r="1874">
      <c r="A1874" s="3" t="str">
        <f t="array" ref="A1874">ifna(_xlfn.xlookup(B1874,'All Item Code'!B:B,'All Item Code'!A:A,),)</f>
        <v/>
      </c>
      <c r="B1874" s="3"/>
      <c r="C1874" s="3" t="str">
        <f t="array" ref="C1874">if(B1874="Tidak Ada",,if(isblank(B1874),,ifna(sumif('On Hand'!A:A,A1874,'On Hand'!D:D)&amp;" "&amp;_xlfn.xlookup(A1874,'All Item Code'!A:A,'All Item Code'!D:D,),0)))</f>
        <v/>
      </c>
      <c r="D1874" s="3" t="str">
        <f>IFERROR(__xludf.DUMMYFUNCTION("if(isblank(B1874),,ifna(textjoin(""; "",,filter('On Hand'!E:E,'On Hand'!A:A=A1874)),ifna(xlookup(A1874,'On Hand'!A:A,'On Hand'!E:E,),)))"),"")</f>
        <v/>
      </c>
    </row>
    <row r="1875">
      <c r="A1875" s="3" t="str">
        <f t="array" ref="A1875">ifna(_xlfn.xlookup(B1875,'All Item Code'!B:B,'All Item Code'!A:A,),)</f>
        <v/>
      </c>
      <c r="B1875" s="3"/>
      <c r="C1875" s="3" t="str">
        <f t="array" ref="C1875">if(B1875="Tidak Ada",,if(isblank(B1875),,ifna(sumif('On Hand'!A:A,A1875,'On Hand'!D:D)&amp;" "&amp;_xlfn.xlookup(A1875,'All Item Code'!A:A,'All Item Code'!D:D,),0)))</f>
        <v/>
      </c>
      <c r="D1875" s="3" t="str">
        <f>IFERROR(__xludf.DUMMYFUNCTION("if(isblank(B1875),,ifna(textjoin(""; "",,filter('On Hand'!E:E,'On Hand'!A:A=A1875)),ifna(xlookup(A1875,'On Hand'!A:A,'On Hand'!E:E,),)))"),"")</f>
        <v/>
      </c>
    </row>
    <row r="1876">
      <c r="A1876" s="3" t="str">
        <f t="array" ref="A1876">ifna(_xlfn.xlookup(B1876,'All Item Code'!B:B,'All Item Code'!A:A,),)</f>
        <v/>
      </c>
      <c r="B1876" s="3"/>
      <c r="C1876" s="3" t="str">
        <f t="array" ref="C1876">if(B1876="Tidak Ada",,if(isblank(B1876),,ifna(sumif('On Hand'!A:A,A1876,'On Hand'!D:D)&amp;" "&amp;_xlfn.xlookup(A1876,'All Item Code'!A:A,'All Item Code'!D:D,),0)))</f>
        <v/>
      </c>
      <c r="D1876" s="3" t="str">
        <f>IFERROR(__xludf.DUMMYFUNCTION("if(isblank(B1876),,ifna(textjoin(""; "",,filter('On Hand'!E:E,'On Hand'!A:A=A1876)),ifna(xlookup(A1876,'On Hand'!A:A,'On Hand'!E:E,),)))"),"")</f>
        <v/>
      </c>
    </row>
    <row r="1877">
      <c r="A1877" s="3" t="str">
        <f t="array" ref="A1877">ifna(_xlfn.xlookup(B1877,'All Item Code'!B:B,'All Item Code'!A:A,),)</f>
        <v/>
      </c>
      <c r="B1877" s="3"/>
      <c r="C1877" s="3" t="str">
        <f t="array" ref="C1877">if(B1877="Tidak Ada",,if(isblank(B1877),,ifna(sumif('On Hand'!A:A,A1877,'On Hand'!D:D)&amp;" "&amp;_xlfn.xlookup(A1877,'All Item Code'!A:A,'All Item Code'!D:D,),0)))</f>
        <v/>
      </c>
      <c r="D1877" s="3" t="str">
        <f>IFERROR(__xludf.DUMMYFUNCTION("if(isblank(B1877),,ifna(textjoin(""; "",,filter('On Hand'!E:E,'On Hand'!A:A=A1877)),ifna(xlookup(A1877,'On Hand'!A:A,'On Hand'!E:E,),)))"),"")</f>
        <v/>
      </c>
    </row>
    <row r="1878">
      <c r="A1878" s="3" t="str">
        <f t="array" ref="A1878">ifna(_xlfn.xlookup(B1878,'All Item Code'!B:B,'All Item Code'!A:A,),)</f>
        <v/>
      </c>
      <c r="B1878" s="3"/>
      <c r="C1878" s="3" t="str">
        <f t="array" ref="C1878">if(B1878="Tidak Ada",,if(isblank(B1878),,ifna(sumif('On Hand'!A:A,A1878,'On Hand'!D:D)&amp;" "&amp;_xlfn.xlookup(A1878,'All Item Code'!A:A,'All Item Code'!D:D,),0)))</f>
        <v/>
      </c>
      <c r="D1878" s="3" t="str">
        <f>IFERROR(__xludf.DUMMYFUNCTION("if(isblank(B1878),,ifna(textjoin(""; "",,filter('On Hand'!E:E,'On Hand'!A:A=A1878)),ifna(xlookup(A1878,'On Hand'!A:A,'On Hand'!E:E,),)))"),"")</f>
        <v/>
      </c>
    </row>
    <row r="1879">
      <c r="A1879" s="3" t="str">
        <f t="array" ref="A1879">ifna(_xlfn.xlookup(B1879,'All Item Code'!B:B,'All Item Code'!A:A,),)</f>
        <v/>
      </c>
      <c r="B1879" s="3"/>
      <c r="C1879" s="3" t="str">
        <f t="array" ref="C1879">if(B1879="Tidak Ada",,if(isblank(B1879),,ifna(sumif('On Hand'!A:A,A1879,'On Hand'!D:D)&amp;" "&amp;_xlfn.xlookup(A1879,'All Item Code'!A:A,'All Item Code'!D:D,),0)))</f>
        <v/>
      </c>
      <c r="D1879" s="3" t="str">
        <f>IFERROR(__xludf.DUMMYFUNCTION("if(isblank(B1879),,ifna(textjoin(""; "",,filter('On Hand'!E:E,'On Hand'!A:A=A1879)),ifna(xlookup(A1879,'On Hand'!A:A,'On Hand'!E:E,),)))"),"")</f>
        <v/>
      </c>
    </row>
    <row r="1880">
      <c r="A1880" s="3" t="str">
        <f t="array" ref="A1880">ifna(_xlfn.xlookup(B1880,'All Item Code'!B:B,'All Item Code'!A:A,),)</f>
        <v/>
      </c>
      <c r="B1880" s="3"/>
      <c r="C1880" s="3" t="str">
        <f t="array" ref="C1880">if(B1880="Tidak Ada",,if(isblank(B1880),,ifna(sumif('On Hand'!A:A,A1880,'On Hand'!D:D)&amp;" "&amp;_xlfn.xlookup(A1880,'All Item Code'!A:A,'All Item Code'!D:D,),0)))</f>
        <v/>
      </c>
      <c r="D1880" s="3" t="str">
        <f>IFERROR(__xludf.DUMMYFUNCTION("if(isblank(B1880),,ifna(textjoin(""; "",,filter('On Hand'!E:E,'On Hand'!A:A=A1880)),ifna(xlookup(A1880,'On Hand'!A:A,'On Hand'!E:E,),)))"),"")</f>
        <v/>
      </c>
    </row>
    <row r="1881">
      <c r="A1881" s="3" t="str">
        <f t="array" ref="A1881">ifna(_xlfn.xlookup(B1881,'All Item Code'!B:B,'All Item Code'!A:A,),)</f>
        <v/>
      </c>
      <c r="B1881" s="3"/>
      <c r="C1881" s="3" t="str">
        <f t="array" ref="C1881">if(B1881="Tidak Ada",,if(isblank(B1881),,ifna(sumif('On Hand'!A:A,A1881,'On Hand'!D:D)&amp;" "&amp;_xlfn.xlookup(A1881,'All Item Code'!A:A,'All Item Code'!D:D,),0)))</f>
        <v/>
      </c>
      <c r="D1881" s="3" t="str">
        <f>IFERROR(__xludf.DUMMYFUNCTION("if(isblank(B1881),,ifna(textjoin(""; "",,filter('On Hand'!E:E,'On Hand'!A:A=A1881)),ifna(xlookup(A1881,'On Hand'!A:A,'On Hand'!E:E,),)))"),"")</f>
        <v/>
      </c>
    </row>
    <row r="1882">
      <c r="A1882" s="3" t="str">
        <f t="array" ref="A1882">ifna(_xlfn.xlookup(B1882,'All Item Code'!B:B,'All Item Code'!A:A,),)</f>
        <v/>
      </c>
      <c r="B1882" s="3"/>
      <c r="C1882" s="3" t="str">
        <f t="array" ref="C1882">if(B1882="Tidak Ada",,if(isblank(B1882),,ifna(sumif('On Hand'!A:A,A1882,'On Hand'!D:D)&amp;" "&amp;_xlfn.xlookup(A1882,'All Item Code'!A:A,'All Item Code'!D:D,),0)))</f>
        <v/>
      </c>
      <c r="D1882" s="3" t="str">
        <f>IFERROR(__xludf.DUMMYFUNCTION("if(isblank(B1882),,ifna(textjoin(""; "",,filter('On Hand'!E:E,'On Hand'!A:A=A1882)),ifna(xlookup(A1882,'On Hand'!A:A,'On Hand'!E:E,),)))"),"")</f>
        <v/>
      </c>
    </row>
    <row r="1883">
      <c r="A1883" s="3" t="str">
        <f t="array" ref="A1883">ifna(_xlfn.xlookup(B1883,'All Item Code'!B:B,'All Item Code'!A:A,),)</f>
        <v/>
      </c>
      <c r="B1883" s="3"/>
      <c r="C1883" s="3" t="str">
        <f t="array" ref="C1883">if(B1883="Tidak Ada",,if(isblank(B1883),,ifna(sumif('On Hand'!A:A,A1883,'On Hand'!D:D)&amp;" "&amp;_xlfn.xlookup(A1883,'All Item Code'!A:A,'All Item Code'!D:D,),0)))</f>
        <v/>
      </c>
      <c r="D1883" s="3" t="str">
        <f>IFERROR(__xludf.DUMMYFUNCTION("if(isblank(B1883),,ifna(textjoin(""; "",,filter('On Hand'!E:E,'On Hand'!A:A=A1883)),ifna(xlookup(A1883,'On Hand'!A:A,'On Hand'!E:E,),)))"),"")</f>
        <v/>
      </c>
    </row>
    <row r="1884">
      <c r="A1884" s="3" t="str">
        <f t="array" ref="A1884">ifna(_xlfn.xlookup(B1884,'All Item Code'!B:B,'All Item Code'!A:A,),)</f>
        <v/>
      </c>
      <c r="B1884" s="3"/>
      <c r="C1884" s="3" t="str">
        <f t="array" ref="C1884">if(B1884="Tidak Ada",,if(isblank(B1884),,ifna(sumif('On Hand'!A:A,A1884,'On Hand'!D:D)&amp;" "&amp;_xlfn.xlookup(A1884,'All Item Code'!A:A,'All Item Code'!D:D,),0)))</f>
        <v/>
      </c>
      <c r="D1884" s="3" t="str">
        <f>IFERROR(__xludf.DUMMYFUNCTION("if(isblank(B1884),,ifna(textjoin(""; "",,filter('On Hand'!E:E,'On Hand'!A:A=A1884)),ifna(xlookup(A1884,'On Hand'!A:A,'On Hand'!E:E,),)))"),"")</f>
        <v/>
      </c>
    </row>
    <row r="1885">
      <c r="A1885" s="3" t="str">
        <f t="array" ref="A1885">ifna(_xlfn.xlookup(B1885,'All Item Code'!B:B,'All Item Code'!A:A,),)</f>
        <v/>
      </c>
      <c r="B1885" s="3"/>
      <c r="C1885" s="3" t="str">
        <f t="array" ref="C1885">if(B1885="Tidak Ada",,if(isblank(B1885),,ifna(sumif('On Hand'!A:A,A1885,'On Hand'!D:D)&amp;" "&amp;_xlfn.xlookup(A1885,'All Item Code'!A:A,'All Item Code'!D:D,),0)))</f>
        <v/>
      </c>
      <c r="D1885" s="3" t="str">
        <f>IFERROR(__xludf.DUMMYFUNCTION("if(isblank(B1885),,ifna(textjoin(""; "",,filter('On Hand'!E:E,'On Hand'!A:A=A1885)),ifna(xlookup(A1885,'On Hand'!A:A,'On Hand'!E:E,),)))"),"")</f>
        <v/>
      </c>
    </row>
    <row r="1886">
      <c r="A1886" s="3" t="str">
        <f t="array" ref="A1886">ifna(_xlfn.xlookup(B1886,'All Item Code'!B:B,'All Item Code'!A:A,),)</f>
        <v/>
      </c>
      <c r="B1886" s="3"/>
      <c r="C1886" s="3" t="str">
        <f t="array" ref="C1886">if(B1886="Tidak Ada",,if(isblank(B1886),,ifna(sumif('On Hand'!A:A,A1886,'On Hand'!D:D)&amp;" "&amp;_xlfn.xlookup(A1886,'All Item Code'!A:A,'All Item Code'!D:D,),0)))</f>
        <v/>
      </c>
      <c r="D1886" s="3" t="str">
        <f>IFERROR(__xludf.DUMMYFUNCTION("if(isblank(B1886),,ifna(textjoin(""; "",,filter('On Hand'!E:E,'On Hand'!A:A=A1886)),ifna(xlookup(A1886,'On Hand'!A:A,'On Hand'!E:E,),)))"),"")</f>
        <v/>
      </c>
    </row>
    <row r="1887">
      <c r="A1887" s="3" t="str">
        <f t="array" ref="A1887">ifna(_xlfn.xlookup(B1887,'All Item Code'!B:B,'All Item Code'!A:A,),)</f>
        <v/>
      </c>
      <c r="B1887" s="3"/>
      <c r="C1887" s="3" t="str">
        <f t="array" ref="C1887">if(B1887="Tidak Ada",,if(isblank(B1887),,ifna(sumif('On Hand'!A:A,A1887,'On Hand'!D:D)&amp;" "&amp;_xlfn.xlookup(A1887,'All Item Code'!A:A,'All Item Code'!D:D,),0)))</f>
        <v/>
      </c>
      <c r="D1887" s="3" t="str">
        <f>IFERROR(__xludf.DUMMYFUNCTION("if(isblank(B1887),,ifna(textjoin(""; "",,filter('On Hand'!E:E,'On Hand'!A:A=A1887)),ifna(xlookup(A1887,'On Hand'!A:A,'On Hand'!E:E,),)))"),"")</f>
        <v/>
      </c>
    </row>
    <row r="1888">
      <c r="A1888" s="3" t="str">
        <f t="array" ref="A1888">ifna(_xlfn.xlookup(B1888,'All Item Code'!B:B,'All Item Code'!A:A,),)</f>
        <v/>
      </c>
      <c r="B1888" s="3"/>
      <c r="C1888" s="3" t="str">
        <f t="array" ref="C1888">if(B1888="Tidak Ada",,if(isblank(B1888),,ifna(sumif('On Hand'!A:A,A1888,'On Hand'!D:D)&amp;" "&amp;_xlfn.xlookup(A1888,'All Item Code'!A:A,'All Item Code'!D:D,),0)))</f>
        <v/>
      </c>
      <c r="D1888" s="3" t="str">
        <f>IFERROR(__xludf.DUMMYFUNCTION("if(isblank(B1888),,ifna(textjoin(""; "",,filter('On Hand'!E:E,'On Hand'!A:A=A1888)),ifna(xlookup(A1888,'On Hand'!A:A,'On Hand'!E:E,),)))"),"")</f>
        <v/>
      </c>
    </row>
    <row r="1889">
      <c r="A1889" s="3" t="str">
        <f t="array" ref="A1889">ifna(_xlfn.xlookup(B1889,'All Item Code'!B:B,'All Item Code'!A:A,),)</f>
        <v/>
      </c>
      <c r="B1889" s="3"/>
      <c r="C1889" s="3" t="str">
        <f t="array" ref="C1889">if(B1889="Tidak Ada",,if(isblank(B1889),,ifna(sumif('On Hand'!A:A,A1889,'On Hand'!D:D)&amp;" "&amp;_xlfn.xlookup(A1889,'All Item Code'!A:A,'All Item Code'!D:D,),0)))</f>
        <v/>
      </c>
      <c r="D1889" s="3" t="str">
        <f>IFERROR(__xludf.DUMMYFUNCTION("if(isblank(B1889),,ifna(textjoin(""; "",,filter('On Hand'!E:E,'On Hand'!A:A=A1889)),ifna(xlookup(A1889,'On Hand'!A:A,'On Hand'!E:E,),)))"),"")</f>
        <v/>
      </c>
    </row>
    <row r="1890">
      <c r="A1890" s="3" t="str">
        <f t="array" ref="A1890">ifna(_xlfn.xlookup(B1890,'All Item Code'!B:B,'All Item Code'!A:A,),)</f>
        <v/>
      </c>
      <c r="B1890" s="3"/>
      <c r="C1890" s="3" t="str">
        <f t="array" ref="C1890">if(B1890="Tidak Ada",,if(isblank(B1890),,ifna(sumif('On Hand'!A:A,A1890,'On Hand'!D:D)&amp;" "&amp;_xlfn.xlookup(A1890,'All Item Code'!A:A,'All Item Code'!D:D,),0)))</f>
        <v/>
      </c>
      <c r="D1890" s="3" t="str">
        <f>IFERROR(__xludf.DUMMYFUNCTION("if(isblank(B1890),,ifna(textjoin(""; "",,filter('On Hand'!E:E,'On Hand'!A:A=A1890)),ifna(xlookup(A1890,'On Hand'!A:A,'On Hand'!E:E,),)))"),"")</f>
        <v/>
      </c>
    </row>
    <row r="1891">
      <c r="A1891" s="3" t="str">
        <f t="array" ref="A1891">ifna(_xlfn.xlookup(B1891,'All Item Code'!B:B,'All Item Code'!A:A,),)</f>
        <v/>
      </c>
      <c r="B1891" s="3"/>
      <c r="C1891" s="3" t="str">
        <f t="array" ref="C1891">if(B1891="Tidak Ada",,if(isblank(B1891),,ifna(sumif('On Hand'!A:A,A1891,'On Hand'!D:D)&amp;" "&amp;_xlfn.xlookup(A1891,'All Item Code'!A:A,'All Item Code'!D:D,),0)))</f>
        <v/>
      </c>
      <c r="D1891" s="3" t="str">
        <f>IFERROR(__xludf.DUMMYFUNCTION("if(isblank(B1891),,ifna(textjoin(""; "",,filter('On Hand'!E:E,'On Hand'!A:A=A1891)),ifna(xlookup(A1891,'On Hand'!A:A,'On Hand'!E:E,),)))"),"")</f>
        <v/>
      </c>
    </row>
    <row r="1892">
      <c r="A1892" s="3" t="str">
        <f t="array" ref="A1892">ifna(_xlfn.xlookup(B1892,'All Item Code'!B:B,'All Item Code'!A:A,),)</f>
        <v/>
      </c>
      <c r="B1892" s="3"/>
      <c r="C1892" s="3" t="str">
        <f t="array" ref="C1892">if(B1892="Tidak Ada",,if(isblank(B1892),,ifna(sumif('On Hand'!A:A,A1892,'On Hand'!D:D)&amp;" "&amp;_xlfn.xlookup(A1892,'All Item Code'!A:A,'All Item Code'!D:D,),0)))</f>
        <v/>
      </c>
      <c r="D1892" s="3" t="str">
        <f>IFERROR(__xludf.DUMMYFUNCTION("if(isblank(B1892),,ifna(textjoin(""; "",,filter('On Hand'!E:E,'On Hand'!A:A=A1892)),ifna(xlookup(A1892,'On Hand'!A:A,'On Hand'!E:E,),)))"),"")</f>
        <v/>
      </c>
    </row>
    <row r="1893">
      <c r="A1893" s="3" t="str">
        <f t="array" ref="A1893">ifna(_xlfn.xlookup(B1893,'All Item Code'!B:B,'All Item Code'!A:A,),)</f>
        <v/>
      </c>
      <c r="B1893" s="3"/>
      <c r="C1893" s="3" t="str">
        <f t="array" ref="C1893">if(B1893="Tidak Ada",,if(isblank(B1893),,ifna(sumif('On Hand'!A:A,A1893,'On Hand'!D:D)&amp;" "&amp;_xlfn.xlookup(A1893,'All Item Code'!A:A,'All Item Code'!D:D,),0)))</f>
        <v/>
      </c>
      <c r="D1893" s="3" t="str">
        <f>IFERROR(__xludf.DUMMYFUNCTION("if(isblank(B1893),,ifna(textjoin(""; "",,filter('On Hand'!E:E,'On Hand'!A:A=A1893)),ifna(xlookup(A1893,'On Hand'!A:A,'On Hand'!E:E,),)))"),"")</f>
        <v/>
      </c>
    </row>
    <row r="1894">
      <c r="A1894" s="3" t="str">
        <f t="array" ref="A1894">ifna(_xlfn.xlookup(B1894,'All Item Code'!B:B,'All Item Code'!A:A,),)</f>
        <v/>
      </c>
      <c r="B1894" s="3"/>
      <c r="C1894" s="3" t="str">
        <f t="array" ref="C1894">if(B1894="Tidak Ada",,if(isblank(B1894),,ifna(sumif('On Hand'!A:A,A1894,'On Hand'!D:D)&amp;" "&amp;_xlfn.xlookup(A1894,'All Item Code'!A:A,'All Item Code'!D:D,),0)))</f>
        <v/>
      </c>
      <c r="D1894" s="3" t="str">
        <f>IFERROR(__xludf.DUMMYFUNCTION("if(isblank(B1894),,ifna(textjoin(""; "",,filter('On Hand'!E:E,'On Hand'!A:A=A1894)),ifna(xlookup(A1894,'On Hand'!A:A,'On Hand'!E:E,),)))"),"")</f>
        <v/>
      </c>
    </row>
    <row r="1895">
      <c r="A1895" s="3" t="str">
        <f t="array" ref="A1895">ifna(_xlfn.xlookup(B1895,'All Item Code'!B:B,'All Item Code'!A:A,),)</f>
        <v/>
      </c>
      <c r="B1895" s="3"/>
      <c r="C1895" s="3" t="str">
        <f t="array" ref="C1895">if(B1895="Tidak Ada",,if(isblank(B1895),,ifna(sumif('On Hand'!A:A,A1895,'On Hand'!D:D)&amp;" "&amp;_xlfn.xlookup(A1895,'All Item Code'!A:A,'All Item Code'!D:D,),0)))</f>
        <v/>
      </c>
      <c r="D1895" s="3" t="str">
        <f>IFERROR(__xludf.DUMMYFUNCTION("if(isblank(B1895),,ifna(textjoin(""; "",,filter('On Hand'!E:E,'On Hand'!A:A=A1895)),ifna(xlookup(A1895,'On Hand'!A:A,'On Hand'!E:E,),)))"),"")</f>
        <v/>
      </c>
    </row>
    <row r="1896">
      <c r="A1896" s="3" t="str">
        <f t="array" ref="A1896">ifna(_xlfn.xlookup(B1896,'All Item Code'!B:B,'All Item Code'!A:A,),)</f>
        <v/>
      </c>
      <c r="B1896" s="3"/>
      <c r="C1896" s="3" t="str">
        <f t="array" ref="C1896">if(B1896="Tidak Ada",,if(isblank(B1896),,ifna(sumif('On Hand'!A:A,A1896,'On Hand'!D:D)&amp;" "&amp;_xlfn.xlookup(A1896,'All Item Code'!A:A,'All Item Code'!D:D,),0)))</f>
        <v/>
      </c>
      <c r="D1896" s="3" t="str">
        <f>IFERROR(__xludf.DUMMYFUNCTION("if(isblank(B1896),,ifna(textjoin(""; "",,filter('On Hand'!E:E,'On Hand'!A:A=A1896)),ifna(xlookup(A1896,'On Hand'!A:A,'On Hand'!E:E,),)))"),"")</f>
        <v/>
      </c>
    </row>
    <row r="1897">
      <c r="A1897" s="3" t="str">
        <f t="array" ref="A1897">ifna(_xlfn.xlookup(B1897,'All Item Code'!B:B,'All Item Code'!A:A,),)</f>
        <v/>
      </c>
      <c r="B1897" s="3"/>
      <c r="C1897" s="3" t="str">
        <f t="array" ref="C1897">if(B1897="Tidak Ada",,if(isblank(B1897),,ifna(sumif('On Hand'!A:A,A1897,'On Hand'!D:D)&amp;" "&amp;_xlfn.xlookup(A1897,'All Item Code'!A:A,'All Item Code'!D:D,),0)))</f>
        <v/>
      </c>
      <c r="D1897" s="3" t="str">
        <f>IFERROR(__xludf.DUMMYFUNCTION("if(isblank(B1897),,ifna(textjoin(""; "",,filter('On Hand'!E:E,'On Hand'!A:A=A1897)),ifna(xlookup(A1897,'On Hand'!A:A,'On Hand'!E:E,),)))"),"")</f>
        <v/>
      </c>
    </row>
    <row r="1898">
      <c r="A1898" s="3" t="str">
        <f t="array" ref="A1898">ifna(_xlfn.xlookup(B1898,'All Item Code'!B:B,'All Item Code'!A:A,),)</f>
        <v/>
      </c>
      <c r="B1898" s="3"/>
      <c r="C1898" s="3" t="str">
        <f t="array" ref="C1898">if(B1898="Tidak Ada",,if(isblank(B1898),,ifna(sumif('On Hand'!A:A,A1898,'On Hand'!D:D)&amp;" "&amp;_xlfn.xlookup(A1898,'All Item Code'!A:A,'All Item Code'!D:D,),0)))</f>
        <v/>
      </c>
      <c r="D1898" s="3" t="str">
        <f>IFERROR(__xludf.DUMMYFUNCTION("if(isblank(B1898),,ifna(textjoin(""; "",,filter('On Hand'!E:E,'On Hand'!A:A=A1898)),ifna(xlookup(A1898,'On Hand'!A:A,'On Hand'!E:E,),)))"),"")</f>
        <v/>
      </c>
    </row>
    <row r="1899">
      <c r="A1899" s="3" t="str">
        <f t="array" ref="A1899">ifna(_xlfn.xlookup(B1899,'All Item Code'!B:B,'All Item Code'!A:A,),)</f>
        <v/>
      </c>
      <c r="B1899" s="3"/>
      <c r="C1899" s="3" t="str">
        <f t="array" ref="C1899">if(B1899="Tidak Ada",,if(isblank(B1899),,ifna(sumif('On Hand'!A:A,A1899,'On Hand'!D:D)&amp;" "&amp;_xlfn.xlookup(A1899,'All Item Code'!A:A,'All Item Code'!D:D,),0)))</f>
        <v/>
      </c>
      <c r="D1899" s="3" t="str">
        <f>IFERROR(__xludf.DUMMYFUNCTION("if(isblank(B1899),,ifna(textjoin(""; "",,filter('On Hand'!E:E,'On Hand'!A:A=A1899)),ifna(xlookup(A1899,'On Hand'!A:A,'On Hand'!E:E,),)))"),"")</f>
        <v/>
      </c>
    </row>
    <row r="1900">
      <c r="A1900" s="3" t="str">
        <f t="array" ref="A1900">ifna(_xlfn.xlookup(B1900,'All Item Code'!B:B,'All Item Code'!A:A,),)</f>
        <v/>
      </c>
      <c r="B1900" s="3"/>
      <c r="C1900" s="3" t="str">
        <f t="array" ref="C1900">if(B1900="Tidak Ada",,if(isblank(B1900),,ifna(sumif('On Hand'!A:A,A1900,'On Hand'!D:D)&amp;" "&amp;_xlfn.xlookup(A1900,'All Item Code'!A:A,'All Item Code'!D:D,),0)))</f>
        <v/>
      </c>
      <c r="D1900" s="3" t="str">
        <f>IFERROR(__xludf.DUMMYFUNCTION("if(isblank(B1900),,ifna(textjoin(""; "",,filter('On Hand'!E:E,'On Hand'!A:A=A1900)),ifna(xlookup(A1900,'On Hand'!A:A,'On Hand'!E:E,),)))"),"")</f>
        <v/>
      </c>
    </row>
    <row r="1901">
      <c r="A1901" s="3" t="str">
        <f t="array" ref="A1901">ifna(_xlfn.xlookup(B1901,'All Item Code'!B:B,'All Item Code'!A:A,),)</f>
        <v/>
      </c>
      <c r="B1901" s="3"/>
      <c r="C1901" s="3" t="str">
        <f t="array" ref="C1901">if(B1901="Tidak Ada",,if(isblank(B1901),,ifna(sumif('On Hand'!A:A,A1901,'On Hand'!D:D)&amp;" "&amp;_xlfn.xlookup(A1901,'All Item Code'!A:A,'All Item Code'!D:D,),0)))</f>
        <v/>
      </c>
      <c r="D1901" s="3" t="str">
        <f>IFERROR(__xludf.DUMMYFUNCTION("if(isblank(B1901),,ifna(textjoin(""; "",,filter('On Hand'!E:E,'On Hand'!A:A=A1901)),ifna(xlookup(A1901,'On Hand'!A:A,'On Hand'!E:E,),)))"),"")</f>
        <v/>
      </c>
    </row>
    <row r="1902">
      <c r="A1902" s="3" t="str">
        <f t="array" ref="A1902">ifna(_xlfn.xlookup(B1902,'All Item Code'!B:B,'All Item Code'!A:A,),)</f>
        <v/>
      </c>
      <c r="B1902" s="3"/>
      <c r="C1902" s="3" t="str">
        <f t="array" ref="C1902">if(B1902="Tidak Ada",,if(isblank(B1902),,ifna(sumif('On Hand'!A:A,A1902,'On Hand'!D:D)&amp;" "&amp;_xlfn.xlookup(A1902,'All Item Code'!A:A,'All Item Code'!D:D,),0)))</f>
        <v/>
      </c>
      <c r="D1902" s="3" t="str">
        <f>IFERROR(__xludf.DUMMYFUNCTION("if(isblank(B1902),,ifna(textjoin(""; "",,filter('On Hand'!E:E,'On Hand'!A:A=A1902)),ifna(xlookup(A1902,'On Hand'!A:A,'On Hand'!E:E,),)))"),"")</f>
        <v/>
      </c>
    </row>
    <row r="1903">
      <c r="A1903" s="3" t="str">
        <f t="array" ref="A1903">ifna(_xlfn.xlookup(B1903,'All Item Code'!B:B,'All Item Code'!A:A,),)</f>
        <v/>
      </c>
      <c r="B1903" s="3"/>
      <c r="C1903" s="3" t="str">
        <f t="array" ref="C1903">if(B1903="Tidak Ada",,if(isblank(B1903),,ifna(sumif('On Hand'!A:A,A1903,'On Hand'!D:D)&amp;" "&amp;_xlfn.xlookup(A1903,'All Item Code'!A:A,'All Item Code'!D:D,),0)))</f>
        <v/>
      </c>
      <c r="D1903" s="3" t="str">
        <f>IFERROR(__xludf.DUMMYFUNCTION("if(isblank(B1903),,ifna(textjoin(""; "",,filter('On Hand'!E:E,'On Hand'!A:A=A1903)),ifna(xlookup(A1903,'On Hand'!A:A,'On Hand'!E:E,),)))"),"")</f>
        <v/>
      </c>
    </row>
    <row r="1904">
      <c r="A1904" s="3" t="str">
        <f t="array" ref="A1904">ifna(_xlfn.xlookup(B1904,'All Item Code'!B:B,'All Item Code'!A:A,),)</f>
        <v/>
      </c>
      <c r="B1904" s="3"/>
      <c r="C1904" s="3" t="str">
        <f t="array" ref="C1904">if(B1904="Tidak Ada",,if(isblank(B1904),,ifna(sumif('On Hand'!A:A,A1904,'On Hand'!D:D)&amp;" "&amp;_xlfn.xlookup(A1904,'All Item Code'!A:A,'All Item Code'!D:D,),0)))</f>
        <v/>
      </c>
      <c r="D1904" s="3" t="str">
        <f>IFERROR(__xludf.DUMMYFUNCTION("if(isblank(B1904),,ifna(textjoin(""; "",,filter('On Hand'!E:E,'On Hand'!A:A=A1904)),ifna(xlookup(A1904,'On Hand'!A:A,'On Hand'!E:E,),)))"),"")</f>
        <v/>
      </c>
    </row>
    <row r="1905">
      <c r="A1905" s="3" t="str">
        <f t="array" ref="A1905">ifna(_xlfn.xlookup(B1905,'All Item Code'!B:B,'All Item Code'!A:A,),)</f>
        <v/>
      </c>
      <c r="B1905" s="3"/>
      <c r="C1905" s="3" t="str">
        <f t="array" ref="C1905">if(B1905="Tidak Ada",,if(isblank(B1905),,ifna(sumif('On Hand'!A:A,A1905,'On Hand'!D:D)&amp;" "&amp;_xlfn.xlookup(A1905,'All Item Code'!A:A,'All Item Code'!D:D,),0)))</f>
        <v/>
      </c>
      <c r="D1905" s="3" t="str">
        <f>IFERROR(__xludf.DUMMYFUNCTION("if(isblank(B1905),,ifna(textjoin(""; "",,filter('On Hand'!E:E,'On Hand'!A:A=A1905)),ifna(xlookup(A1905,'On Hand'!A:A,'On Hand'!E:E,),)))"),"")</f>
        <v/>
      </c>
    </row>
    <row r="1906">
      <c r="A1906" s="3" t="str">
        <f t="array" ref="A1906">ifna(_xlfn.xlookup(B1906,'All Item Code'!B:B,'All Item Code'!A:A,),)</f>
        <v/>
      </c>
      <c r="B1906" s="3"/>
      <c r="C1906" s="3" t="str">
        <f t="array" ref="C1906">if(B1906="Tidak Ada",,if(isblank(B1906),,ifna(sumif('On Hand'!A:A,A1906,'On Hand'!D:D)&amp;" "&amp;_xlfn.xlookup(A1906,'All Item Code'!A:A,'All Item Code'!D:D,),0)))</f>
        <v/>
      </c>
      <c r="D1906" s="3" t="str">
        <f>IFERROR(__xludf.DUMMYFUNCTION("if(isblank(B1906),,ifna(textjoin(""; "",,filter('On Hand'!E:E,'On Hand'!A:A=A1906)),ifna(xlookup(A1906,'On Hand'!A:A,'On Hand'!E:E,),)))"),"")</f>
        <v/>
      </c>
    </row>
    <row r="1907">
      <c r="A1907" s="3" t="str">
        <f t="array" ref="A1907">ifna(_xlfn.xlookup(B1907,'All Item Code'!B:B,'All Item Code'!A:A,),)</f>
        <v/>
      </c>
      <c r="B1907" s="3"/>
      <c r="C1907" s="3" t="str">
        <f t="array" ref="C1907">if(B1907="Tidak Ada",,if(isblank(B1907),,ifna(sumif('On Hand'!A:A,A1907,'On Hand'!D:D)&amp;" "&amp;_xlfn.xlookup(A1907,'All Item Code'!A:A,'All Item Code'!D:D,),0)))</f>
        <v/>
      </c>
      <c r="D1907" s="3" t="str">
        <f>IFERROR(__xludf.DUMMYFUNCTION("if(isblank(B1907),,ifna(textjoin(""; "",,filter('On Hand'!E:E,'On Hand'!A:A=A1907)),ifna(xlookup(A1907,'On Hand'!A:A,'On Hand'!E:E,),)))"),"")</f>
        <v/>
      </c>
    </row>
    <row r="1908">
      <c r="A1908" s="3" t="str">
        <f t="array" ref="A1908">ifna(_xlfn.xlookup(B1908,'All Item Code'!B:B,'All Item Code'!A:A,),)</f>
        <v/>
      </c>
      <c r="B1908" s="3"/>
      <c r="C1908" s="3" t="str">
        <f t="array" ref="C1908">if(B1908="Tidak Ada",,if(isblank(B1908),,ifna(sumif('On Hand'!A:A,A1908,'On Hand'!D:D)&amp;" "&amp;_xlfn.xlookup(A1908,'All Item Code'!A:A,'All Item Code'!D:D,),0)))</f>
        <v/>
      </c>
      <c r="D1908" s="3" t="str">
        <f>IFERROR(__xludf.DUMMYFUNCTION("if(isblank(B1908),,ifna(textjoin(""; "",,filter('On Hand'!E:E,'On Hand'!A:A=A1908)),ifna(xlookup(A1908,'On Hand'!A:A,'On Hand'!E:E,),)))"),"")</f>
        <v/>
      </c>
    </row>
    <row r="1909">
      <c r="A1909" s="3" t="str">
        <f t="array" ref="A1909">ifna(_xlfn.xlookup(B1909,'All Item Code'!B:B,'All Item Code'!A:A,),)</f>
        <v/>
      </c>
      <c r="B1909" s="3"/>
      <c r="C1909" s="3" t="str">
        <f t="array" ref="C1909">if(B1909="Tidak Ada",,if(isblank(B1909),,ifna(sumif('On Hand'!A:A,A1909,'On Hand'!D:D)&amp;" "&amp;_xlfn.xlookup(A1909,'All Item Code'!A:A,'All Item Code'!D:D,),0)))</f>
        <v/>
      </c>
      <c r="D1909" s="3" t="str">
        <f>IFERROR(__xludf.DUMMYFUNCTION("if(isblank(B1909),,ifna(textjoin(""; "",,filter('On Hand'!E:E,'On Hand'!A:A=A1909)),ifna(xlookup(A1909,'On Hand'!A:A,'On Hand'!E:E,),)))"),"")</f>
        <v/>
      </c>
    </row>
    <row r="1910">
      <c r="A1910" s="3" t="str">
        <f t="array" ref="A1910">ifna(_xlfn.xlookup(B1910,'All Item Code'!B:B,'All Item Code'!A:A,),)</f>
        <v/>
      </c>
      <c r="B1910" s="3"/>
      <c r="C1910" s="3" t="str">
        <f t="array" ref="C1910">if(B1910="Tidak Ada",,if(isblank(B1910),,ifna(sumif('On Hand'!A:A,A1910,'On Hand'!D:D)&amp;" "&amp;_xlfn.xlookup(A1910,'All Item Code'!A:A,'All Item Code'!D:D,),0)))</f>
        <v/>
      </c>
      <c r="D1910" s="3" t="str">
        <f>IFERROR(__xludf.DUMMYFUNCTION("if(isblank(B1910),,ifna(textjoin(""; "",,filter('On Hand'!E:E,'On Hand'!A:A=A1910)),ifna(xlookup(A1910,'On Hand'!A:A,'On Hand'!E:E,),)))"),"")</f>
        <v/>
      </c>
    </row>
    <row r="1911">
      <c r="A1911" s="3" t="str">
        <f t="array" ref="A1911">ifna(_xlfn.xlookup(B1911,'All Item Code'!B:B,'All Item Code'!A:A,),)</f>
        <v/>
      </c>
      <c r="B1911" s="3"/>
      <c r="C1911" s="3" t="str">
        <f t="array" ref="C1911">if(B1911="Tidak Ada",,if(isblank(B1911),,ifna(sumif('On Hand'!A:A,A1911,'On Hand'!D:D)&amp;" "&amp;_xlfn.xlookup(A1911,'All Item Code'!A:A,'All Item Code'!D:D,),0)))</f>
        <v/>
      </c>
      <c r="D1911" s="3" t="str">
        <f>IFERROR(__xludf.DUMMYFUNCTION("if(isblank(B1911),,ifna(textjoin(""; "",,filter('On Hand'!E:E,'On Hand'!A:A=A1911)),ifna(xlookup(A1911,'On Hand'!A:A,'On Hand'!E:E,),)))"),"")</f>
        <v/>
      </c>
    </row>
    <row r="1912">
      <c r="A1912" s="3" t="str">
        <f t="array" ref="A1912">ifna(_xlfn.xlookup(B1912,'All Item Code'!B:B,'All Item Code'!A:A,),)</f>
        <v/>
      </c>
      <c r="B1912" s="3"/>
      <c r="C1912" s="3" t="str">
        <f t="array" ref="C1912">if(B1912="Tidak Ada",,if(isblank(B1912),,ifna(sumif('On Hand'!A:A,A1912,'On Hand'!D:D)&amp;" "&amp;_xlfn.xlookup(A1912,'All Item Code'!A:A,'All Item Code'!D:D,),0)))</f>
        <v/>
      </c>
      <c r="D1912" s="3" t="str">
        <f>IFERROR(__xludf.DUMMYFUNCTION("if(isblank(B1912),,ifna(textjoin(""; "",,filter('On Hand'!E:E,'On Hand'!A:A=A1912)),ifna(xlookup(A1912,'On Hand'!A:A,'On Hand'!E:E,),)))"),"")</f>
        <v/>
      </c>
    </row>
    <row r="1913">
      <c r="A1913" s="3" t="str">
        <f t="array" ref="A1913">ifna(_xlfn.xlookup(B1913,'All Item Code'!B:B,'All Item Code'!A:A,),)</f>
        <v/>
      </c>
      <c r="B1913" s="3"/>
      <c r="C1913" s="3" t="str">
        <f t="array" ref="C1913">if(B1913="Tidak Ada",,if(isblank(B1913),,ifna(sumif('On Hand'!A:A,A1913,'On Hand'!D:D)&amp;" "&amp;_xlfn.xlookup(A1913,'All Item Code'!A:A,'All Item Code'!D:D,),0)))</f>
        <v/>
      </c>
      <c r="D1913" s="3" t="str">
        <f>IFERROR(__xludf.DUMMYFUNCTION("if(isblank(B1913),,ifna(textjoin(""; "",,filter('On Hand'!E:E,'On Hand'!A:A=A1913)),ifna(xlookup(A1913,'On Hand'!A:A,'On Hand'!E:E,),)))"),"")</f>
        <v/>
      </c>
    </row>
    <row r="1914">
      <c r="A1914" s="3" t="str">
        <f t="array" ref="A1914">ifna(_xlfn.xlookup(B1914,'All Item Code'!B:B,'All Item Code'!A:A,),)</f>
        <v/>
      </c>
      <c r="B1914" s="3"/>
      <c r="C1914" s="3" t="str">
        <f t="array" ref="C1914">if(B1914="Tidak Ada",,if(isblank(B1914),,ifna(sumif('On Hand'!A:A,A1914,'On Hand'!D:D)&amp;" "&amp;_xlfn.xlookup(A1914,'All Item Code'!A:A,'All Item Code'!D:D,),0)))</f>
        <v/>
      </c>
      <c r="D1914" s="3" t="str">
        <f>IFERROR(__xludf.DUMMYFUNCTION("if(isblank(B1914),,ifna(textjoin(""; "",,filter('On Hand'!E:E,'On Hand'!A:A=A1914)),ifna(xlookup(A1914,'On Hand'!A:A,'On Hand'!E:E,),)))"),"")</f>
        <v/>
      </c>
    </row>
    <row r="1915">
      <c r="A1915" s="3" t="str">
        <f t="array" ref="A1915">ifna(_xlfn.xlookup(B1915,'All Item Code'!B:B,'All Item Code'!A:A,),)</f>
        <v/>
      </c>
      <c r="B1915" s="3"/>
      <c r="C1915" s="3" t="str">
        <f t="array" ref="C1915">if(B1915="Tidak Ada",,if(isblank(B1915),,ifna(sumif('On Hand'!A:A,A1915,'On Hand'!D:D)&amp;" "&amp;_xlfn.xlookup(A1915,'All Item Code'!A:A,'All Item Code'!D:D,),0)))</f>
        <v/>
      </c>
      <c r="D1915" s="3" t="str">
        <f>IFERROR(__xludf.DUMMYFUNCTION("if(isblank(B1915),,ifna(textjoin(""; "",,filter('On Hand'!E:E,'On Hand'!A:A=A1915)),ifna(xlookup(A1915,'On Hand'!A:A,'On Hand'!E:E,),)))"),"")</f>
        <v/>
      </c>
    </row>
    <row r="1916">
      <c r="A1916" s="3" t="str">
        <f t="array" ref="A1916">ifna(_xlfn.xlookup(B1916,'All Item Code'!B:B,'All Item Code'!A:A,),)</f>
        <v/>
      </c>
      <c r="B1916" s="3"/>
      <c r="C1916" s="3" t="str">
        <f t="array" ref="C1916">if(B1916="Tidak Ada",,if(isblank(B1916),,ifna(sumif('On Hand'!A:A,A1916,'On Hand'!D:D)&amp;" "&amp;_xlfn.xlookup(A1916,'All Item Code'!A:A,'All Item Code'!D:D,),0)))</f>
        <v/>
      </c>
      <c r="D1916" s="3" t="str">
        <f>IFERROR(__xludf.DUMMYFUNCTION("if(isblank(B1916),,ifna(textjoin(""; "",,filter('On Hand'!E:E,'On Hand'!A:A=A1916)),ifna(xlookup(A1916,'On Hand'!A:A,'On Hand'!E:E,),)))"),"")</f>
        <v/>
      </c>
    </row>
    <row r="1917">
      <c r="A1917" s="3" t="str">
        <f t="array" ref="A1917">ifna(_xlfn.xlookup(B1917,'All Item Code'!B:B,'All Item Code'!A:A,),)</f>
        <v/>
      </c>
      <c r="B1917" s="3"/>
      <c r="C1917" s="3" t="str">
        <f t="array" ref="C1917">if(B1917="Tidak Ada",,if(isblank(B1917),,ifna(sumif('On Hand'!A:A,A1917,'On Hand'!D:D)&amp;" "&amp;_xlfn.xlookup(A1917,'All Item Code'!A:A,'All Item Code'!D:D,),0)))</f>
        <v/>
      </c>
      <c r="D1917" s="3" t="str">
        <f>IFERROR(__xludf.DUMMYFUNCTION("if(isblank(B1917),,ifna(textjoin(""; "",,filter('On Hand'!E:E,'On Hand'!A:A=A1917)),ifna(xlookup(A1917,'On Hand'!A:A,'On Hand'!E:E,),)))"),"")</f>
        <v/>
      </c>
    </row>
    <row r="1918">
      <c r="A1918" s="3" t="str">
        <f t="array" ref="A1918">ifna(_xlfn.xlookup(B1918,'All Item Code'!B:B,'All Item Code'!A:A,),)</f>
        <v/>
      </c>
      <c r="B1918" s="3"/>
      <c r="C1918" s="3" t="str">
        <f t="array" ref="C1918">if(B1918="Tidak Ada",,if(isblank(B1918),,ifna(sumif('On Hand'!A:A,A1918,'On Hand'!D:D)&amp;" "&amp;_xlfn.xlookup(A1918,'All Item Code'!A:A,'All Item Code'!D:D,),0)))</f>
        <v/>
      </c>
      <c r="D1918" s="3" t="str">
        <f>IFERROR(__xludf.DUMMYFUNCTION("if(isblank(B1918),,ifna(textjoin(""; "",,filter('On Hand'!E:E,'On Hand'!A:A=A1918)),ifna(xlookup(A1918,'On Hand'!A:A,'On Hand'!E:E,),)))"),"")</f>
        <v/>
      </c>
    </row>
    <row r="1919">
      <c r="A1919" s="3" t="str">
        <f t="array" ref="A1919">ifna(_xlfn.xlookup(B1919,'All Item Code'!B:B,'All Item Code'!A:A,),)</f>
        <v/>
      </c>
      <c r="B1919" s="3"/>
      <c r="C1919" s="3" t="str">
        <f t="array" ref="C1919">if(B1919="Tidak Ada",,if(isblank(B1919),,ifna(sumif('On Hand'!A:A,A1919,'On Hand'!D:D)&amp;" "&amp;_xlfn.xlookup(A1919,'All Item Code'!A:A,'All Item Code'!D:D,),0)))</f>
        <v/>
      </c>
      <c r="D1919" s="3" t="str">
        <f>IFERROR(__xludf.DUMMYFUNCTION("if(isblank(B1919),,ifna(textjoin(""; "",,filter('On Hand'!E:E,'On Hand'!A:A=A1919)),ifna(xlookup(A1919,'On Hand'!A:A,'On Hand'!E:E,),)))"),"")</f>
        <v/>
      </c>
    </row>
    <row r="1920">
      <c r="A1920" s="3" t="str">
        <f t="array" ref="A1920">ifna(_xlfn.xlookup(B1920,'All Item Code'!B:B,'All Item Code'!A:A,),)</f>
        <v/>
      </c>
      <c r="B1920" s="3"/>
      <c r="C1920" s="3" t="str">
        <f t="array" ref="C1920">if(B1920="Tidak Ada",,if(isblank(B1920),,ifna(sumif('On Hand'!A:A,A1920,'On Hand'!D:D)&amp;" "&amp;_xlfn.xlookup(A1920,'All Item Code'!A:A,'All Item Code'!D:D,),0)))</f>
        <v/>
      </c>
      <c r="D1920" s="3" t="str">
        <f>IFERROR(__xludf.DUMMYFUNCTION("if(isblank(B1920),,ifna(textjoin(""; "",,filter('On Hand'!E:E,'On Hand'!A:A=A1920)),ifna(xlookup(A1920,'On Hand'!A:A,'On Hand'!E:E,),)))"),"")</f>
        <v/>
      </c>
    </row>
    <row r="1921">
      <c r="A1921" s="3" t="str">
        <f t="array" ref="A1921">ifna(_xlfn.xlookup(B1921,'All Item Code'!B:B,'All Item Code'!A:A,),)</f>
        <v/>
      </c>
      <c r="B1921" s="3"/>
      <c r="C1921" s="3" t="str">
        <f t="array" ref="C1921">if(B1921="Tidak Ada",,if(isblank(B1921),,ifna(sumif('On Hand'!A:A,A1921,'On Hand'!D:D)&amp;" "&amp;_xlfn.xlookup(A1921,'All Item Code'!A:A,'All Item Code'!D:D,),0)))</f>
        <v/>
      </c>
      <c r="D1921" s="3" t="str">
        <f>IFERROR(__xludf.DUMMYFUNCTION("if(isblank(B1921),,ifna(textjoin(""; "",,filter('On Hand'!E:E,'On Hand'!A:A=A1921)),ifna(xlookup(A1921,'On Hand'!A:A,'On Hand'!E:E,),)))"),"")</f>
        <v/>
      </c>
    </row>
    <row r="1922">
      <c r="A1922" s="3" t="str">
        <f t="array" ref="A1922">ifna(_xlfn.xlookup(B1922,'All Item Code'!B:B,'All Item Code'!A:A,),)</f>
        <v/>
      </c>
      <c r="B1922" s="3"/>
      <c r="C1922" s="3" t="str">
        <f t="array" ref="C1922">if(B1922="Tidak Ada",,if(isblank(B1922),,ifna(sumif('On Hand'!A:A,A1922,'On Hand'!D:D)&amp;" "&amp;_xlfn.xlookup(A1922,'All Item Code'!A:A,'All Item Code'!D:D,),0)))</f>
        <v/>
      </c>
      <c r="D1922" s="3" t="str">
        <f>IFERROR(__xludf.DUMMYFUNCTION("if(isblank(B1922),,ifna(textjoin(""; "",,filter('On Hand'!E:E,'On Hand'!A:A=A1922)),ifna(xlookup(A1922,'On Hand'!A:A,'On Hand'!E:E,),)))"),"")</f>
        <v/>
      </c>
    </row>
    <row r="1923">
      <c r="A1923" s="3" t="str">
        <f t="array" ref="A1923">ifna(_xlfn.xlookup(B1923,'All Item Code'!B:B,'All Item Code'!A:A,),)</f>
        <v/>
      </c>
      <c r="B1923" s="3"/>
      <c r="C1923" s="3" t="str">
        <f t="array" ref="C1923">if(B1923="Tidak Ada",,if(isblank(B1923),,ifna(sumif('On Hand'!A:A,A1923,'On Hand'!D:D)&amp;" "&amp;_xlfn.xlookup(A1923,'All Item Code'!A:A,'All Item Code'!D:D,),0)))</f>
        <v/>
      </c>
      <c r="D1923" s="3" t="str">
        <f>IFERROR(__xludf.DUMMYFUNCTION("if(isblank(B1923),,ifna(textjoin(""; "",,filter('On Hand'!E:E,'On Hand'!A:A=A1923)),ifna(xlookup(A1923,'On Hand'!A:A,'On Hand'!E:E,),)))"),"")</f>
        <v/>
      </c>
    </row>
    <row r="1924">
      <c r="A1924" s="3" t="str">
        <f t="array" ref="A1924">ifna(_xlfn.xlookup(B1924,'All Item Code'!B:B,'All Item Code'!A:A,),)</f>
        <v/>
      </c>
      <c r="B1924" s="3"/>
      <c r="C1924" s="3" t="str">
        <f t="array" ref="C1924">if(B1924="Tidak Ada",,if(isblank(B1924),,ifna(sumif('On Hand'!A:A,A1924,'On Hand'!D:D)&amp;" "&amp;_xlfn.xlookup(A1924,'All Item Code'!A:A,'All Item Code'!D:D,),0)))</f>
        <v/>
      </c>
      <c r="D1924" s="3" t="str">
        <f>IFERROR(__xludf.DUMMYFUNCTION("if(isblank(B1924),,ifna(textjoin(""; "",,filter('On Hand'!E:E,'On Hand'!A:A=A1924)),ifna(xlookup(A1924,'On Hand'!A:A,'On Hand'!E:E,),)))"),"")</f>
        <v/>
      </c>
    </row>
    <row r="1925">
      <c r="A1925" s="3" t="str">
        <f t="array" ref="A1925">ifna(_xlfn.xlookup(B1925,'All Item Code'!B:B,'All Item Code'!A:A,),)</f>
        <v/>
      </c>
      <c r="B1925" s="3"/>
      <c r="C1925" s="3" t="str">
        <f t="array" ref="C1925">if(B1925="Tidak Ada",,if(isblank(B1925),,ifna(sumif('On Hand'!A:A,A1925,'On Hand'!D:D)&amp;" "&amp;_xlfn.xlookup(A1925,'All Item Code'!A:A,'All Item Code'!D:D,),0)))</f>
        <v/>
      </c>
      <c r="D1925" s="3" t="str">
        <f>IFERROR(__xludf.DUMMYFUNCTION("if(isblank(B1925),,ifna(textjoin(""; "",,filter('On Hand'!E:E,'On Hand'!A:A=A1925)),ifna(xlookup(A1925,'On Hand'!A:A,'On Hand'!E:E,),)))"),"")</f>
        <v/>
      </c>
    </row>
    <row r="1926">
      <c r="A1926" s="3" t="str">
        <f t="array" ref="A1926">ifna(_xlfn.xlookup(B1926,'All Item Code'!B:B,'All Item Code'!A:A,),)</f>
        <v/>
      </c>
      <c r="B1926" s="3"/>
      <c r="C1926" s="3" t="str">
        <f t="array" ref="C1926">if(B1926="Tidak Ada",,if(isblank(B1926),,ifna(sumif('On Hand'!A:A,A1926,'On Hand'!D:D)&amp;" "&amp;_xlfn.xlookup(A1926,'All Item Code'!A:A,'All Item Code'!D:D,),0)))</f>
        <v/>
      </c>
      <c r="D1926" s="3" t="str">
        <f>IFERROR(__xludf.DUMMYFUNCTION("if(isblank(B1926),,ifna(textjoin(""; "",,filter('On Hand'!E:E,'On Hand'!A:A=A1926)),ifna(xlookup(A1926,'On Hand'!A:A,'On Hand'!E:E,),)))"),"")</f>
        <v/>
      </c>
    </row>
    <row r="1927">
      <c r="A1927" s="3" t="str">
        <f t="array" ref="A1927">ifna(_xlfn.xlookup(B1927,'All Item Code'!B:B,'All Item Code'!A:A,),)</f>
        <v/>
      </c>
      <c r="B1927" s="3"/>
      <c r="C1927" s="3" t="str">
        <f t="array" ref="C1927">if(B1927="Tidak Ada",,if(isblank(B1927),,ifna(sumif('On Hand'!A:A,A1927,'On Hand'!D:D)&amp;" "&amp;_xlfn.xlookup(A1927,'All Item Code'!A:A,'All Item Code'!D:D,),0)))</f>
        <v/>
      </c>
      <c r="D1927" s="3" t="str">
        <f>IFERROR(__xludf.DUMMYFUNCTION("if(isblank(B1927),,ifna(textjoin(""; "",,filter('On Hand'!E:E,'On Hand'!A:A=A1927)),ifna(xlookup(A1927,'On Hand'!A:A,'On Hand'!E:E,),)))"),"")</f>
        <v/>
      </c>
    </row>
    <row r="1928">
      <c r="A1928" s="3" t="str">
        <f t="array" ref="A1928">ifna(_xlfn.xlookup(B1928,'All Item Code'!B:B,'All Item Code'!A:A,),)</f>
        <v/>
      </c>
      <c r="B1928" s="3"/>
      <c r="C1928" s="3" t="str">
        <f t="array" ref="C1928">if(B1928="Tidak Ada",,if(isblank(B1928),,ifna(sumif('On Hand'!A:A,A1928,'On Hand'!D:D)&amp;" "&amp;_xlfn.xlookup(A1928,'All Item Code'!A:A,'All Item Code'!D:D,),0)))</f>
        <v/>
      </c>
      <c r="D1928" s="3" t="str">
        <f>IFERROR(__xludf.DUMMYFUNCTION("if(isblank(B1928),,ifna(textjoin(""; "",,filter('On Hand'!E:E,'On Hand'!A:A=A1928)),ifna(xlookup(A1928,'On Hand'!A:A,'On Hand'!E:E,),)))"),"")</f>
        <v/>
      </c>
    </row>
    <row r="1929">
      <c r="A1929" s="3" t="str">
        <f t="array" ref="A1929">ifna(_xlfn.xlookup(B1929,'All Item Code'!B:B,'All Item Code'!A:A,),)</f>
        <v/>
      </c>
      <c r="B1929" s="3"/>
      <c r="C1929" s="3" t="str">
        <f t="array" ref="C1929">if(B1929="Tidak Ada",,if(isblank(B1929),,ifna(sumif('On Hand'!A:A,A1929,'On Hand'!D:D)&amp;" "&amp;_xlfn.xlookup(A1929,'All Item Code'!A:A,'All Item Code'!D:D,),0)))</f>
        <v/>
      </c>
      <c r="D1929" s="3" t="str">
        <f>IFERROR(__xludf.DUMMYFUNCTION("if(isblank(B1929),,ifna(textjoin(""; "",,filter('On Hand'!E:E,'On Hand'!A:A=A1929)),ifna(xlookup(A1929,'On Hand'!A:A,'On Hand'!E:E,),)))"),"")</f>
        <v/>
      </c>
    </row>
    <row r="1930">
      <c r="A1930" s="3" t="str">
        <f t="array" ref="A1930">ifna(_xlfn.xlookup(B1930,'All Item Code'!B:B,'All Item Code'!A:A,),)</f>
        <v/>
      </c>
      <c r="B1930" s="3"/>
      <c r="C1930" s="3" t="str">
        <f t="array" ref="C1930">if(B1930="Tidak Ada",,if(isblank(B1930),,ifna(sumif('On Hand'!A:A,A1930,'On Hand'!D:D)&amp;" "&amp;_xlfn.xlookup(A1930,'All Item Code'!A:A,'All Item Code'!D:D,),0)))</f>
        <v/>
      </c>
      <c r="D1930" s="3" t="str">
        <f>IFERROR(__xludf.DUMMYFUNCTION("if(isblank(B1930),,ifna(textjoin(""; "",,filter('On Hand'!E:E,'On Hand'!A:A=A1930)),ifna(xlookup(A1930,'On Hand'!A:A,'On Hand'!E:E,),)))"),"")</f>
        <v/>
      </c>
    </row>
    <row r="1931">
      <c r="A1931" s="3" t="str">
        <f t="array" ref="A1931">ifna(_xlfn.xlookup(B1931,'All Item Code'!B:B,'All Item Code'!A:A,),)</f>
        <v/>
      </c>
      <c r="B1931" s="3"/>
      <c r="C1931" s="3" t="str">
        <f t="array" ref="C1931">if(B1931="Tidak Ada",,if(isblank(B1931),,ifna(sumif('On Hand'!A:A,A1931,'On Hand'!D:D)&amp;" "&amp;_xlfn.xlookup(A1931,'All Item Code'!A:A,'All Item Code'!D:D,),0)))</f>
        <v/>
      </c>
      <c r="D1931" s="3" t="str">
        <f>IFERROR(__xludf.DUMMYFUNCTION("if(isblank(B1931),,ifna(textjoin(""; "",,filter('On Hand'!E:E,'On Hand'!A:A=A1931)),ifna(xlookup(A1931,'On Hand'!A:A,'On Hand'!E:E,),)))"),"")</f>
        <v/>
      </c>
    </row>
    <row r="1932">
      <c r="A1932" s="3" t="str">
        <f t="array" ref="A1932">ifna(_xlfn.xlookup(B1932,'All Item Code'!B:B,'All Item Code'!A:A,),)</f>
        <v/>
      </c>
      <c r="B1932" s="3"/>
      <c r="C1932" s="3" t="str">
        <f t="array" ref="C1932">if(B1932="Tidak Ada",,if(isblank(B1932),,ifna(sumif('On Hand'!A:A,A1932,'On Hand'!D:D)&amp;" "&amp;_xlfn.xlookup(A1932,'All Item Code'!A:A,'All Item Code'!D:D,),0)))</f>
        <v/>
      </c>
      <c r="D1932" s="3" t="str">
        <f>IFERROR(__xludf.DUMMYFUNCTION("if(isblank(B1932),,ifna(textjoin(""; "",,filter('On Hand'!E:E,'On Hand'!A:A=A1932)),ifna(xlookup(A1932,'On Hand'!A:A,'On Hand'!E:E,),)))"),"")</f>
        <v/>
      </c>
    </row>
    <row r="1933">
      <c r="A1933" s="3" t="str">
        <f t="array" ref="A1933">ifna(_xlfn.xlookup(B1933,'All Item Code'!B:B,'All Item Code'!A:A,),)</f>
        <v/>
      </c>
      <c r="B1933" s="3"/>
      <c r="C1933" s="3" t="str">
        <f t="array" ref="C1933">if(B1933="Tidak Ada",,if(isblank(B1933),,ifna(sumif('On Hand'!A:A,A1933,'On Hand'!D:D)&amp;" "&amp;_xlfn.xlookup(A1933,'All Item Code'!A:A,'All Item Code'!D:D,),0)))</f>
        <v/>
      </c>
      <c r="D1933" s="3" t="str">
        <f>IFERROR(__xludf.DUMMYFUNCTION("if(isblank(B1933),,ifna(textjoin(""; "",,filter('On Hand'!E:E,'On Hand'!A:A=A1933)),ifna(xlookup(A1933,'On Hand'!A:A,'On Hand'!E:E,),)))"),"")</f>
        <v/>
      </c>
    </row>
    <row r="1934">
      <c r="A1934" s="3" t="str">
        <f t="array" ref="A1934">ifna(_xlfn.xlookup(B1934,'All Item Code'!B:B,'All Item Code'!A:A,),)</f>
        <v/>
      </c>
      <c r="B1934" s="3"/>
      <c r="C1934" s="3" t="str">
        <f t="array" ref="C1934">if(B1934="Tidak Ada",,if(isblank(B1934),,ifna(sumif('On Hand'!A:A,A1934,'On Hand'!D:D)&amp;" "&amp;_xlfn.xlookup(A1934,'All Item Code'!A:A,'All Item Code'!D:D,),0)))</f>
        <v/>
      </c>
      <c r="D1934" s="3" t="str">
        <f>IFERROR(__xludf.DUMMYFUNCTION("if(isblank(B1934),,ifna(textjoin(""; "",,filter('On Hand'!E:E,'On Hand'!A:A=A1934)),ifna(xlookup(A1934,'On Hand'!A:A,'On Hand'!E:E,),)))"),"")</f>
        <v/>
      </c>
    </row>
    <row r="1935">
      <c r="A1935" s="3" t="str">
        <f t="array" ref="A1935">ifna(_xlfn.xlookup(B1935,'All Item Code'!B:B,'All Item Code'!A:A,),)</f>
        <v/>
      </c>
      <c r="B1935" s="3"/>
      <c r="C1935" s="3" t="str">
        <f t="array" ref="C1935">if(B1935="Tidak Ada",,if(isblank(B1935),,ifna(sumif('On Hand'!A:A,A1935,'On Hand'!D:D)&amp;" "&amp;_xlfn.xlookup(A1935,'All Item Code'!A:A,'All Item Code'!D:D,),0)))</f>
        <v/>
      </c>
      <c r="D1935" s="3" t="str">
        <f>IFERROR(__xludf.DUMMYFUNCTION("if(isblank(B1935),,ifna(textjoin(""; "",,filter('On Hand'!E:E,'On Hand'!A:A=A1935)),ifna(xlookup(A1935,'On Hand'!A:A,'On Hand'!E:E,),)))"),"")</f>
        <v/>
      </c>
    </row>
    <row r="1936">
      <c r="A1936" s="3" t="str">
        <f t="array" ref="A1936">ifna(_xlfn.xlookup(B1936,'All Item Code'!B:B,'All Item Code'!A:A,),)</f>
        <v/>
      </c>
      <c r="B1936" s="3"/>
      <c r="C1936" s="3" t="str">
        <f t="array" ref="C1936">if(B1936="Tidak Ada",,if(isblank(B1936),,ifna(sumif('On Hand'!A:A,A1936,'On Hand'!D:D)&amp;" "&amp;_xlfn.xlookup(A1936,'All Item Code'!A:A,'All Item Code'!D:D,),0)))</f>
        <v/>
      </c>
      <c r="D1936" s="3" t="str">
        <f>IFERROR(__xludf.DUMMYFUNCTION("if(isblank(B1936),,ifna(textjoin(""; "",,filter('On Hand'!E:E,'On Hand'!A:A=A1936)),ifna(xlookup(A1936,'On Hand'!A:A,'On Hand'!E:E,),)))"),"")</f>
        <v/>
      </c>
    </row>
    <row r="1937">
      <c r="A1937" s="3" t="str">
        <f t="array" ref="A1937">ifna(_xlfn.xlookup(B1937,'All Item Code'!B:B,'All Item Code'!A:A,),)</f>
        <v/>
      </c>
      <c r="B1937" s="3"/>
      <c r="C1937" s="3" t="str">
        <f t="array" ref="C1937">if(B1937="Tidak Ada",,if(isblank(B1937),,ifna(sumif('On Hand'!A:A,A1937,'On Hand'!D:D)&amp;" "&amp;_xlfn.xlookup(A1937,'All Item Code'!A:A,'All Item Code'!D:D,),0)))</f>
        <v/>
      </c>
      <c r="D1937" s="3" t="str">
        <f>IFERROR(__xludf.DUMMYFUNCTION("if(isblank(B1937),,ifna(textjoin(""; "",,filter('On Hand'!E:E,'On Hand'!A:A=A1937)),ifna(xlookup(A1937,'On Hand'!A:A,'On Hand'!E:E,),)))"),"")</f>
        <v/>
      </c>
    </row>
    <row r="1938">
      <c r="A1938" s="3" t="str">
        <f t="array" ref="A1938">ifna(_xlfn.xlookup(B1938,'All Item Code'!B:B,'All Item Code'!A:A,),)</f>
        <v/>
      </c>
      <c r="B1938" s="3"/>
      <c r="C1938" s="3" t="str">
        <f t="array" ref="C1938">if(B1938="Tidak Ada",,if(isblank(B1938),,ifna(sumif('On Hand'!A:A,A1938,'On Hand'!D:D)&amp;" "&amp;_xlfn.xlookup(A1938,'All Item Code'!A:A,'All Item Code'!D:D,),0)))</f>
        <v/>
      </c>
      <c r="D1938" s="3" t="str">
        <f>IFERROR(__xludf.DUMMYFUNCTION("if(isblank(B1938),,ifna(textjoin(""; "",,filter('On Hand'!E:E,'On Hand'!A:A=A1938)),ifna(xlookup(A1938,'On Hand'!A:A,'On Hand'!E:E,),)))"),"")</f>
        <v/>
      </c>
    </row>
    <row r="1939">
      <c r="A1939" s="3" t="str">
        <f t="array" ref="A1939">ifna(_xlfn.xlookup(B1939,'All Item Code'!B:B,'All Item Code'!A:A,),)</f>
        <v/>
      </c>
      <c r="B1939" s="3"/>
      <c r="C1939" s="3" t="str">
        <f t="array" ref="C1939">if(B1939="Tidak Ada",,if(isblank(B1939),,ifna(sumif('On Hand'!A:A,A1939,'On Hand'!D:D)&amp;" "&amp;_xlfn.xlookup(A1939,'All Item Code'!A:A,'All Item Code'!D:D,),0)))</f>
        <v/>
      </c>
      <c r="D1939" s="3" t="str">
        <f>IFERROR(__xludf.DUMMYFUNCTION("if(isblank(B1939),,ifna(textjoin(""; "",,filter('On Hand'!E:E,'On Hand'!A:A=A1939)),ifna(xlookup(A1939,'On Hand'!A:A,'On Hand'!E:E,),)))"),"")</f>
        <v/>
      </c>
    </row>
    <row r="1940">
      <c r="A1940" s="3" t="str">
        <f t="array" ref="A1940">ifna(_xlfn.xlookup(B1940,'All Item Code'!B:B,'All Item Code'!A:A,),)</f>
        <v/>
      </c>
      <c r="B1940" s="3"/>
      <c r="C1940" s="3" t="str">
        <f t="array" ref="C1940">if(B1940="Tidak Ada",,if(isblank(B1940),,ifna(sumif('On Hand'!A:A,A1940,'On Hand'!D:D)&amp;" "&amp;_xlfn.xlookup(A1940,'All Item Code'!A:A,'All Item Code'!D:D,),0)))</f>
        <v/>
      </c>
      <c r="D1940" s="3" t="str">
        <f>IFERROR(__xludf.DUMMYFUNCTION("if(isblank(B1940),,ifna(textjoin(""; "",,filter('On Hand'!E:E,'On Hand'!A:A=A1940)),ifna(xlookup(A1940,'On Hand'!A:A,'On Hand'!E:E,),)))"),"")</f>
        <v/>
      </c>
    </row>
    <row r="1941">
      <c r="A1941" s="3" t="str">
        <f t="array" ref="A1941">ifna(_xlfn.xlookup(B1941,'All Item Code'!B:B,'All Item Code'!A:A,),)</f>
        <v/>
      </c>
      <c r="B1941" s="3"/>
      <c r="C1941" s="3" t="str">
        <f t="array" ref="C1941">if(B1941="Tidak Ada",,if(isblank(B1941),,ifna(sumif('On Hand'!A:A,A1941,'On Hand'!D:D)&amp;" "&amp;_xlfn.xlookup(A1941,'All Item Code'!A:A,'All Item Code'!D:D,),0)))</f>
        <v/>
      </c>
      <c r="D1941" s="3" t="str">
        <f>IFERROR(__xludf.DUMMYFUNCTION("if(isblank(B1941),,ifna(textjoin(""; "",,filter('On Hand'!E:E,'On Hand'!A:A=A1941)),ifna(xlookup(A1941,'On Hand'!A:A,'On Hand'!E:E,),)))"),"")</f>
        <v/>
      </c>
    </row>
    <row r="1942">
      <c r="A1942" s="3" t="str">
        <f t="array" ref="A1942">ifna(_xlfn.xlookup(B1942,'All Item Code'!B:B,'All Item Code'!A:A,),)</f>
        <v/>
      </c>
      <c r="B1942" s="3"/>
      <c r="C1942" s="3" t="str">
        <f t="array" ref="C1942">if(B1942="Tidak Ada",,if(isblank(B1942),,ifna(sumif('On Hand'!A:A,A1942,'On Hand'!D:D)&amp;" "&amp;_xlfn.xlookup(A1942,'All Item Code'!A:A,'All Item Code'!D:D,),0)))</f>
        <v/>
      </c>
      <c r="D1942" s="3" t="str">
        <f>IFERROR(__xludf.DUMMYFUNCTION("if(isblank(B1942),,ifna(textjoin(""; "",,filter('On Hand'!E:E,'On Hand'!A:A=A1942)),ifna(xlookup(A1942,'On Hand'!A:A,'On Hand'!E:E,),)))"),"")</f>
        <v/>
      </c>
    </row>
    <row r="1943">
      <c r="A1943" s="3" t="str">
        <f t="array" ref="A1943">ifna(_xlfn.xlookup(B1943,'All Item Code'!B:B,'All Item Code'!A:A,),)</f>
        <v/>
      </c>
      <c r="B1943" s="3"/>
      <c r="C1943" s="3" t="str">
        <f t="array" ref="C1943">if(B1943="Tidak Ada",,if(isblank(B1943),,ifna(sumif('On Hand'!A:A,A1943,'On Hand'!D:D)&amp;" "&amp;_xlfn.xlookup(A1943,'All Item Code'!A:A,'All Item Code'!D:D,),0)))</f>
        <v/>
      </c>
      <c r="D1943" s="3" t="str">
        <f>IFERROR(__xludf.DUMMYFUNCTION("if(isblank(B1943),,ifna(textjoin(""; "",,filter('On Hand'!E:E,'On Hand'!A:A=A1943)),ifna(xlookup(A1943,'On Hand'!A:A,'On Hand'!E:E,),)))"),"")</f>
        <v/>
      </c>
    </row>
    <row r="1944">
      <c r="A1944" s="3" t="str">
        <f t="array" ref="A1944">ifna(_xlfn.xlookup(B1944,'All Item Code'!B:B,'All Item Code'!A:A,),)</f>
        <v/>
      </c>
      <c r="B1944" s="3"/>
      <c r="C1944" s="3" t="str">
        <f t="array" ref="C1944">if(B1944="Tidak Ada",,if(isblank(B1944),,ifna(sumif('On Hand'!A:A,A1944,'On Hand'!D:D)&amp;" "&amp;_xlfn.xlookup(A1944,'All Item Code'!A:A,'All Item Code'!D:D,),0)))</f>
        <v/>
      </c>
      <c r="D1944" s="3" t="str">
        <f>IFERROR(__xludf.DUMMYFUNCTION("if(isblank(B1944),,ifna(textjoin(""; "",,filter('On Hand'!E:E,'On Hand'!A:A=A1944)),ifna(xlookup(A1944,'On Hand'!A:A,'On Hand'!E:E,),)))"),"")</f>
        <v/>
      </c>
    </row>
    <row r="1945">
      <c r="A1945" s="3" t="str">
        <f t="array" ref="A1945">ifna(_xlfn.xlookup(B1945,'All Item Code'!B:B,'All Item Code'!A:A,),)</f>
        <v/>
      </c>
      <c r="B1945" s="3"/>
      <c r="C1945" s="3" t="str">
        <f t="array" ref="C1945">if(B1945="Tidak Ada",,if(isblank(B1945),,ifna(sumif('On Hand'!A:A,A1945,'On Hand'!D:D)&amp;" "&amp;_xlfn.xlookup(A1945,'All Item Code'!A:A,'All Item Code'!D:D,),0)))</f>
        <v/>
      </c>
      <c r="D1945" s="3" t="str">
        <f>IFERROR(__xludf.DUMMYFUNCTION("if(isblank(B1945),,ifna(textjoin(""; "",,filter('On Hand'!E:E,'On Hand'!A:A=A1945)),ifna(xlookup(A1945,'On Hand'!A:A,'On Hand'!E:E,),)))"),"")</f>
        <v/>
      </c>
    </row>
    <row r="1946">
      <c r="A1946" s="3" t="str">
        <f t="array" ref="A1946">ifna(_xlfn.xlookup(B1946,'All Item Code'!B:B,'All Item Code'!A:A,),)</f>
        <v/>
      </c>
      <c r="B1946" s="3"/>
      <c r="C1946" s="3" t="str">
        <f t="array" ref="C1946">if(B1946="Tidak Ada",,if(isblank(B1946),,ifna(sumif('On Hand'!A:A,A1946,'On Hand'!D:D)&amp;" "&amp;_xlfn.xlookup(A1946,'All Item Code'!A:A,'All Item Code'!D:D,),0)))</f>
        <v/>
      </c>
      <c r="D1946" s="3" t="str">
        <f>IFERROR(__xludf.DUMMYFUNCTION("if(isblank(B1946),,ifna(textjoin(""; "",,filter('On Hand'!E:E,'On Hand'!A:A=A1946)),ifna(xlookup(A1946,'On Hand'!A:A,'On Hand'!E:E,),)))"),"")</f>
        <v/>
      </c>
    </row>
    <row r="1947">
      <c r="A1947" s="3" t="str">
        <f t="array" ref="A1947">ifna(_xlfn.xlookup(B1947,'All Item Code'!B:B,'All Item Code'!A:A,),)</f>
        <v/>
      </c>
      <c r="B1947" s="3"/>
      <c r="C1947" s="3" t="str">
        <f t="array" ref="C1947">if(B1947="Tidak Ada",,if(isblank(B1947),,ifna(sumif('On Hand'!A:A,A1947,'On Hand'!D:D)&amp;" "&amp;_xlfn.xlookup(A1947,'All Item Code'!A:A,'All Item Code'!D:D,),0)))</f>
        <v/>
      </c>
      <c r="D1947" s="3" t="str">
        <f>IFERROR(__xludf.DUMMYFUNCTION("if(isblank(B1947),,ifna(textjoin(""; "",,filter('On Hand'!E:E,'On Hand'!A:A=A1947)),ifna(xlookup(A1947,'On Hand'!A:A,'On Hand'!E:E,),)))"),"")</f>
        <v/>
      </c>
    </row>
    <row r="1948">
      <c r="A1948" s="3" t="str">
        <f t="array" ref="A1948">ifna(_xlfn.xlookup(B1948,'All Item Code'!B:B,'All Item Code'!A:A,),)</f>
        <v/>
      </c>
      <c r="B1948" s="3"/>
      <c r="C1948" s="3" t="str">
        <f t="array" ref="C1948">if(B1948="Tidak Ada",,if(isblank(B1948),,ifna(sumif('On Hand'!A:A,A1948,'On Hand'!D:D)&amp;" "&amp;_xlfn.xlookup(A1948,'All Item Code'!A:A,'All Item Code'!D:D,),0)))</f>
        <v/>
      </c>
      <c r="D1948" s="3" t="str">
        <f>IFERROR(__xludf.DUMMYFUNCTION("if(isblank(B1948),,ifna(textjoin(""; "",,filter('On Hand'!E:E,'On Hand'!A:A=A1948)),ifna(xlookup(A1948,'On Hand'!A:A,'On Hand'!E:E,),)))"),"")</f>
        <v/>
      </c>
    </row>
    <row r="1949">
      <c r="A1949" s="3" t="str">
        <f t="array" ref="A1949">ifna(_xlfn.xlookup(B1949,'All Item Code'!B:B,'All Item Code'!A:A,),)</f>
        <v/>
      </c>
      <c r="B1949" s="3"/>
      <c r="C1949" s="3" t="str">
        <f t="array" ref="C1949">if(B1949="Tidak Ada",,if(isblank(B1949),,ifna(sumif('On Hand'!A:A,A1949,'On Hand'!D:D)&amp;" "&amp;_xlfn.xlookup(A1949,'All Item Code'!A:A,'All Item Code'!D:D,),0)))</f>
        <v/>
      </c>
      <c r="D1949" s="3" t="str">
        <f>IFERROR(__xludf.DUMMYFUNCTION("if(isblank(B1949),,ifna(textjoin(""; "",,filter('On Hand'!E:E,'On Hand'!A:A=A1949)),ifna(xlookup(A1949,'On Hand'!A:A,'On Hand'!E:E,),)))"),"")</f>
        <v/>
      </c>
    </row>
    <row r="1950">
      <c r="A1950" s="3" t="str">
        <f t="array" ref="A1950">ifna(_xlfn.xlookup(B1950,'All Item Code'!B:B,'All Item Code'!A:A,),)</f>
        <v/>
      </c>
      <c r="B1950" s="3"/>
      <c r="C1950" s="3" t="str">
        <f t="array" ref="C1950">if(B1950="Tidak Ada",,if(isblank(B1950),,ifna(sumif('On Hand'!A:A,A1950,'On Hand'!D:D)&amp;" "&amp;_xlfn.xlookup(A1950,'All Item Code'!A:A,'All Item Code'!D:D,),0)))</f>
        <v/>
      </c>
      <c r="D1950" s="3" t="str">
        <f>IFERROR(__xludf.DUMMYFUNCTION("if(isblank(B1950),,ifna(textjoin(""; "",,filter('On Hand'!E:E,'On Hand'!A:A=A1950)),ifna(xlookup(A1950,'On Hand'!A:A,'On Hand'!E:E,),)))"),"")</f>
        <v/>
      </c>
    </row>
    <row r="1951">
      <c r="A1951" s="3" t="str">
        <f t="array" ref="A1951">ifna(_xlfn.xlookup(B1951,'All Item Code'!B:B,'All Item Code'!A:A,),)</f>
        <v/>
      </c>
      <c r="B1951" s="3"/>
      <c r="C1951" s="3" t="str">
        <f t="array" ref="C1951">if(B1951="Tidak Ada",,if(isblank(B1951),,ifna(sumif('On Hand'!A:A,A1951,'On Hand'!D:D)&amp;" "&amp;_xlfn.xlookup(A1951,'All Item Code'!A:A,'All Item Code'!D:D,),0)))</f>
        <v/>
      </c>
      <c r="D1951" s="3" t="str">
        <f>IFERROR(__xludf.DUMMYFUNCTION("if(isblank(B1951),,ifna(textjoin(""; "",,filter('On Hand'!E:E,'On Hand'!A:A=A1951)),ifna(xlookup(A1951,'On Hand'!A:A,'On Hand'!E:E,),)))"),"")</f>
        <v/>
      </c>
    </row>
    <row r="1952">
      <c r="A1952" s="3" t="str">
        <f t="array" ref="A1952">ifna(_xlfn.xlookup(B1952,'All Item Code'!B:B,'All Item Code'!A:A,),)</f>
        <v/>
      </c>
      <c r="B1952" s="3"/>
      <c r="C1952" s="3" t="str">
        <f t="array" ref="C1952">if(B1952="Tidak Ada",,if(isblank(B1952),,ifna(sumif('On Hand'!A:A,A1952,'On Hand'!D:D)&amp;" "&amp;_xlfn.xlookup(A1952,'All Item Code'!A:A,'All Item Code'!D:D,),0)))</f>
        <v/>
      </c>
      <c r="D1952" s="3" t="str">
        <f>IFERROR(__xludf.DUMMYFUNCTION("if(isblank(B1952),,ifna(textjoin(""; "",,filter('On Hand'!E:E,'On Hand'!A:A=A1952)),ifna(xlookup(A1952,'On Hand'!A:A,'On Hand'!E:E,),)))"),"")</f>
        <v/>
      </c>
    </row>
    <row r="1953">
      <c r="A1953" s="3" t="str">
        <f t="array" ref="A1953">ifna(_xlfn.xlookup(B1953,'All Item Code'!B:B,'All Item Code'!A:A,),)</f>
        <v/>
      </c>
      <c r="B1953" s="3"/>
      <c r="C1953" s="3" t="str">
        <f t="array" ref="C1953">if(B1953="Tidak Ada",,if(isblank(B1953),,ifna(sumif('On Hand'!A:A,A1953,'On Hand'!D:D)&amp;" "&amp;_xlfn.xlookup(A1953,'All Item Code'!A:A,'All Item Code'!D:D,),0)))</f>
        <v/>
      </c>
      <c r="D1953" s="3" t="str">
        <f>IFERROR(__xludf.DUMMYFUNCTION("if(isblank(B1953),,ifna(textjoin(""; "",,filter('On Hand'!E:E,'On Hand'!A:A=A1953)),ifna(xlookup(A1953,'On Hand'!A:A,'On Hand'!E:E,),)))"),"")</f>
        <v/>
      </c>
    </row>
    <row r="1954">
      <c r="A1954" s="3" t="str">
        <f t="array" ref="A1954">ifna(_xlfn.xlookup(B1954,'All Item Code'!B:B,'All Item Code'!A:A,),)</f>
        <v/>
      </c>
      <c r="B1954" s="3"/>
      <c r="C1954" s="3" t="str">
        <f t="array" ref="C1954">if(B1954="Tidak Ada",,if(isblank(B1954),,ifna(sumif('On Hand'!A:A,A1954,'On Hand'!D:D)&amp;" "&amp;_xlfn.xlookup(A1954,'All Item Code'!A:A,'All Item Code'!D:D,),0)))</f>
        <v/>
      </c>
      <c r="D1954" s="3" t="str">
        <f>IFERROR(__xludf.DUMMYFUNCTION("if(isblank(B1954),,ifna(textjoin(""; "",,filter('On Hand'!E:E,'On Hand'!A:A=A1954)),ifna(xlookup(A1954,'On Hand'!A:A,'On Hand'!E:E,),)))"),"")</f>
        <v/>
      </c>
    </row>
    <row r="1955">
      <c r="A1955" s="3" t="str">
        <f t="array" ref="A1955">ifna(_xlfn.xlookup(B1955,'All Item Code'!B:B,'All Item Code'!A:A,),)</f>
        <v/>
      </c>
      <c r="B1955" s="3"/>
      <c r="C1955" s="3" t="str">
        <f t="array" ref="C1955">if(B1955="Tidak Ada",,if(isblank(B1955),,ifna(sumif('On Hand'!A:A,A1955,'On Hand'!D:D)&amp;" "&amp;_xlfn.xlookup(A1955,'All Item Code'!A:A,'All Item Code'!D:D,),0)))</f>
        <v/>
      </c>
      <c r="D1955" s="3" t="str">
        <f>IFERROR(__xludf.DUMMYFUNCTION("if(isblank(B1955),,ifna(textjoin(""; "",,filter('On Hand'!E:E,'On Hand'!A:A=A1955)),ifna(xlookup(A1955,'On Hand'!A:A,'On Hand'!E:E,),)))"),"")</f>
        <v/>
      </c>
    </row>
    <row r="1956">
      <c r="A1956" s="3" t="str">
        <f t="array" ref="A1956">ifna(_xlfn.xlookup(B1956,'All Item Code'!B:B,'All Item Code'!A:A,),)</f>
        <v/>
      </c>
      <c r="B1956" s="3"/>
      <c r="C1956" s="3" t="str">
        <f t="array" ref="C1956">if(B1956="Tidak Ada",,if(isblank(B1956),,ifna(sumif('On Hand'!A:A,A1956,'On Hand'!D:D)&amp;" "&amp;_xlfn.xlookup(A1956,'All Item Code'!A:A,'All Item Code'!D:D,),0)))</f>
        <v/>
      </c>
      <c r="D1956" s="3" t="str">
        <f>IFERROR(__xludf.DUMMYFUNCTION("if(isblank(B1956),,ifna(textjoin(""; "",,filter('On Hand'!E:E,'On Hand'!A:A=A1956)),ifna(xlookup(A1956,'On Hand'!A:A,'On Hand'!E:E,),)))"),"")</f>
        <v/>
      </c>
    </row>
    <row r="1957">
      <c r="A1957" s="3" t="str">
        <f t="array" ref="A1957">ifna(_xlfn.xlookup(B1957,'All Item Code'!B:B,'All Item Code'!A:A,),)</f>
        <v/>
      </c>
      <c r="B1957" s="3"/>
      <c r="C1957" s="3" t="str">
        <f t="array" ref="C1957">if(B1957="Tidak Ada",,if(isblank(B1957),,ifna(sumif('On Hand'!A:A,A1957,'On Hand'!D:D)&amp;" "&amp;_xlfn.xlookup(A1957,'All Item Code'!A:A,'All Item Code'!D:D,),0)))</f>
        <v/>
      </c>
      <c r="D1957" s="3" t="str">
        <f>IFERROR(__xludf.DUMMYFUNCTION("if(isblank(B1957),,ifna(textjoin(""; "",,filter('On Hand'!E:E,'On Hand'!A:A=A1957)),ifna(xlookup(A1957,'On Hand'!A:A,'On Hand'!E:E,),)))"),"")</f>
        <v/>
      </c>
    </row>
    <row r="1958">
      <c r="A1958" s="3" t="str">
        <f t="array" ref="A1958">ifna(_xlfn.xlookup(B1958,'All Item Code'!B:B,'All Item Code'!A:A,),)</f>
        <v/>
      </c>
      <c r="B1958" s="3"/>
      <c r="C1958" s="3" t="str">
        <f t="array" ref="C1958">if(B1958="Tidak Ada",,if(isblank(B1958),,ifna(sumif('On Hand'!A:A,A1958,'On Hand'!D:D)&amp;" "&amp;_xlfn.xlookup(A1958,'All Item Code'!A:A,'All Item Code'!D:D,),0)))</f>
        <v/>
      </c>
      <c r="D1958" s="3" t="str">
        <f>IFERROR(__xludf.DUMMYFUNCTION("if(isblank(B1958),,ifna(textjoin(""; "",,filter('On Hand'!E:E,'On Hand'!A:A=A1958)),ifna(xlookup(A1958,'On Hand'!A:A,'On Hand'!E:E,),)))"),"")</f>
        <v/>
      </c>
    </row>
    <row r="1959">
      <c r="A1959" s="3" t="str">
        <f t="array" ref="A1959">ifna(_xlfn.xlookup(B1959,'All Item Code'!B:B,'All Item Code'!A:A,),)</f>
        <v/>
      </c>
      <c r="B1959" s="3"/>
      <c r="C1959" s="3" t="str">
        <f t="array" ref="C1959">if(B1959="Tidak Ada",,if(isblank(B1959),,ifna(sumif('On Hand'!A:A,A1959,'On Hand'!D:D)&amp;" "&amp;_xlfn.xlookup(A1959,'All Item Code'!A:A,'All Item Code'!D:D,),0)))</f>
        <v/>
      </c>
      <c r="D1959" s="3" t="str">
        <f>IFERROR(__xludf.DUMMYFUNCTION("if(isblank(B1959),,ifna(textjoin(""; "",,filter('On Hand'!E:E,'On Hand'!A:A=A1959)),ifna(xlookup(A1959,'On Hand'!A:A,'On Hand'!E:E,),)))"),"")</f>
        <v/>
      </c>
    </row>
    <row r="1960">
      <c r="A1960" s="3" t="str">
        <f t="array" ref="A1960">ifna(_xlfn.xlookup(B1960,'All Item Code'!B:B,'All Item Code'!A:A,),)</f>
        <v/>
      </c>
      <c r="B1960" s="3"/>
      <c r="C1960" s="3" t="str">
        <f t="array" ref="C1960">if(B1960="Tidak Ada",,if(isblank(B1960),,ifna(sumif('On Hand'!A:A,A1960,'On Hand'!D:D)&amp;" "&amp;_xlfn.xlookup(A1960,'All Item Code'!A:A,'All Item Code'!D:D,),0)))</f>
        <v/>
      </c>
      <c r="D1960" s="3" t="str">
        <f>IFERROR(__xludf.DUMMYFUNCTION("if(isblank(B1960),,ifna(textjoin(""; "",,filter('On Hand'!E:E,'On Hand'!A:A=A1960)),ifna(xlookup(A1960,'On Hand'!A:A,'On Hand'!E:E,),)))"),"")</f>
        <v/>
      </c>
    </row>
    <row r="1961">
      <c r="A1961" s="3" t="str">
        <f t="array" ref="A1961">ifna(_xlfn.xlookup(B1961,'All Item Code'!B:B,'All Item Code'!A:A,),)</f>
        <v/>
      </c>
      <c r="B1961" s="3"/>
      <c r="C1961" s="3" t="str">
        <f t="array" ref="C1961">if(B1961="Tidak Ada",,if(isblank(B1961),,ifna(sumif('On Hand'!A:A,A1961,'On Hand'!D:D)&amp;" "&amp;_xlfn.xlookup(A1961,'All Item Code'!A:A,'All Item Code'!D:D,),0)))</f>
        <v/>
      </c>
      <c r="D1961" s="3" t="str">
        <f>IFERROR(__xludf.DUMMYFUNCTION("if(isblank(B1961),,ifna(textjoin(""; "",,filter('On Hand'!E:E,'On Hand'!A:A=A1961)),ifna(xlookup(A1961,'On Hand'!A:A,'On Hand'!E:E,),)))"),"")</f>
        <v/>
      </c>
    </row>
    <row r="1962">
      <c r="A1962" s="3" t="str">
        <f t="array" ref="A1962">ifna(_xlfn.xlookup(B1962,'All Item Code'!B:B,'All Item Code'!A:A,),)</f>
        <v/>
      </c>
      <c r="B1962" s="3"/>
      <c r="C1962" s="3" t="str">
        <f t="array" ref="C1962">if(B1962="Tidak Ada",,if(isblank(B1962),,ifna(sumif('On Hand'!A:A,A1962,'On Hand'!D:D)&amp;" "&amp;_xlfn.xlookup(A1962,'All Item Code'!A:A,'All Item Code'!D:D,),0)))</f>
        <v/>
      </c>
      <c r="D1962" s="3" t="str">
        <f>IFERROR(__xludf.DUMMYFUNCTION("if(isblank(B1962),,ifna(textjoin(""; "",,filter('On Hand'!E:E,'On Hand'!A:A=A1962)),ifna(xlookup(A1962,'On Hand'!A:A,'On Hand'!E:E,),)))"),"")</f>
        <v/>
      </c>
    </row>
    <row r="1963">
      <c r="A1963" s="3" t="str">
        <f t="array" ref="A1963">ifna(_xlfn.xlookup(B1963,'All Item Code'!B:B,'All Item Code'!A:A,),)</f>
        <v/>
      </c>
      <c r="B1963" s="3"/>
      <c r="C1963" s="3" t="str">
        <f t="array" ref="C1963">if(B1963="Tidak Ada",,if(isblank(B1963),,ifna(sumif('On Hand'!A:A,A1963,'On Hand'!D:D)&amp;" "&amp;_xlfn.xlookup(A1963,'All Item Code'!A:A,'All Item Code'!D:D,),0)))</f>
        <v/>
      </c>
      <c r="D1963" s="3" t="str">
        <f>IFERROR(__xludf.DUMMYFUNCTION("if(isblank(B1963),,ifna(textjoin(""; "",,filter('On Hand'!E:E,'On Hand'!A:A=A1963)),ifna(xlookup(A1963,'On Hand'!A:A,'On Hand'!E:E,),)))"),"")</f>
        <v/>
      </c>
    </row>
    <row r="1964">
      <c r="A1964" s="3" t="str">
        <f t="array" ref="A1964">ifna(_xlfn.xlookup(B1964,'All Item Code'!B:B,'All Item Code'!A:A,),)</f>
        <v/>
      </c>
      <c r="B1964" s="3"/>
      <c r="C1964" s="3" t="str">
        <f t="array" ref="C1964">if(B1964="Tidak Ada",,if(isblank(B1964),,ifna(sumif('On Hand'!A:A,A1964,'On Hand'!D:D)&amp;" "&amp;_xlfn.xlookup(A1964,'All Item Code'!A:A,'All Item Code'!D:D,),0)))</f>
        <v/>
      </c>
      <c r="D1964" s="3" t="str">
        <f>IFERROR(__xludf.DUMMYFUNCTION("if(isblank(B1964),,ifna(textjoin(""; "",,filter('On Hand'!E:E,'On Hand'!A:A=A1964)),ifna(xlookup(A1964,'On Hand'!A:A,'On Hand'!E:E,),)))"),"")</f>
        <v/>
      </c>
    </row>
    <row r="1965">
      <c r="A1965" s="3" t="str">
        <f t="array" ref="A1965">ifna(_xlfn.xlookup(B1965,'All Item Code'!B:B,'All Item Code'!A:A,),)</f>
        <v/>
      </c>
      <c r="B1965" s="3"/>
      <c r="C1965" s="3" t="str">
        <f t="array" ref="C1965">if(B1965="Tidak Ada",,if(isblank(B1965),,ifna(sumif('On Hand'!A:A,A1965,'On Hand'!D:D)&amp;" "&amp;_xlfn.xlookup(A1965,'All Item Code'!A:A,'All Item Code'!D:D,),0)))</f>
        <v/>
      </c>
      <c r="D1965" s="3" t="str">
        <f>IFERROR(__xludf.DUMMYFUNCTION("if(isblank(B1965),,ifna(textjoin(""; "",,filter('On Hand'!E:E,'On Hand'!A:A=A1965)),ifna(xlookup(A1965,'On Hand'!A:A,'On Hand'!E:E,),)))"),"")</f>
        <v/>
      </c>
    </row>
    <row r="1966">
      <c r="A1966" s="3" t="str">
        <f t="array" ref="A1966">ifna(_xlfn.xlookup(B1966,'All Item Code'!B:B,'All Item Code'!A:A,),)</f>
        <v/>
      </c>
      <c r="B1966" s="3"/>
      <c r="C1966" s="3" t="str">
        <f t="array" ref="C1966">if(B1966="Tidak Ada",,if(isblank(B1966),,ifna(sumif('On Hand'!A:A,A1966,'On Hand'!D:D)&amp;" "&amp;_xlfn.xlookup(A1966,'All Item Code'!A:A,'All Item Code'!D:D,),0)))</f>
        <v/>
      </c>
      <c r="D1966" s="3" t="str">
        <f>IFERROR(__xludf.DUMMYFUNCTION("if(isblank(B1966),,ifna(textjoin(""; "",,filter('On Hand'!E:E,'On Hand'!A:A=A1966)),ifna(xlookup(A1966,'On Hand'!A:A,'On Hand'!E:E,),)))"),"")</f>
        <v/>
      </c>
    </row>
    <row r="1967">
      <c r="A1967" s="3" t="str">
        <f t="array" ref="A1967">ifna(_xlfn.xlookup(B1967,'All Item Code'!B:B,'All Item Code'!A:A,),)</f>
        <v/>
      </c>
      <c r="B1967" s="3"/>
      <c r="C1967" s="3" t="str">
        <f t="array" ref="C1967">if(B1967="Tidak Ada",,if(isblank(B1967),,ifna(sumif('On Hand'!A:A,A1967,'On Hand'!D:D)&amp;" "&amp;_xlfn.xlookup(A1967,'All Item Code'!A:A,'All Item Code'!D:D,),0)))</f>
        <v/>
      </c>
      <c r="D1967" s="3" t="str">
        <f>IFERROR(__xludf.DUMMYFUNCTION("if(isblank(B1967),,ifna(textjoin(""; "",,filter('On Hand'!E:E,'On Hand'!A:A=A1967)),ifna(xlookup(A1967,'On Hand'!A:A,'On Hand'!E:E,),)))"),"")</f>
        <v/>
      </c>
    </row>
    <row r="1968">
      <c r="A1968" s="3" t="str">
        <f t="array" ref="A1968">ifna(_xlfn.xlookup(B1968,'All Item Code'!B:B,'All Item Code'!A:A,),)</f>
        <v/>
      </c>
      <c r="B1968" s="3"/>
      <c r="C1968" s="3" t="str">
        <f t="array" ref="C1968">if(B1968="Tidak Ada",,if(isblank(B1968),,ifna(sumif('On Hand'!A:A,A1968,'On Hand'!D:D)&amp;" "&amp;_xlfn.xlookup(A1968,'All Item Code'!A:A,'All Item Code'!D:D,),0)))</f>
        <v/>
      </c>
      <c r="D1968" s="3" t="str">
        <f>IFERROR(__xludf.DUMMYFUNCTION("if(isblank(B1968),,ifna(textjoin(""; "",,filter('On Hand'!E:E,'On Hand'!A:A=A1968)),ifna(xlookup(A1968,'On Hand'!A:A,'On Hand'!E:E,),)))"),"")</f>
        <v/>
      </c>
    </row>
    <row r="1969">
      <c r="A1969" s="3" t="str">
        <f t="array" ref="A1969">ifna(_xlfn.xlookup(B1969,'All Item Code'!B:B,'All Item Code'!A:A,),)</f>
        <v/>
      </c>
      <c r="B1969" s="3"/>
      <c r="C1969" s="3" t="str">
        <f t="array" ref="C1969">if(B1969="Tidak Ada",,if(isblank(B1969),,ifna(sumif('On Hand'!A:A,A1969,'On Hand'!D:D)&amp;" "&amp;_xlfn.xlookup(A1969,'All Item Code'!A:A,'All Item Code'!D:D,),0)))</f>
        <v/>
      </c>
      <c r="D1969" s="3" t="str">
        <f>IFERROR(__xludf.DUMMYFUNCTION("if(isblank(B1969),,ifna(textjoin(""; "",,filter('On Hand'!E:E,'On Hand'!A:A=A1969)),ifna(xlookup(A1969,'On Hand'!A:A,'On Hand'!E:E,),)))"),"")</f>
        <v/>
      </c>
    </row>
    <row r="1970">
      <c r="A1970" s="3" t="str">
        <f t="array" ref="A1970">ifna(_xlfn.xlookup(B1970,'All Item Code'!B:B,'All Item Code'!A:A,),)</f>
        <v/>
      </c>
      <c r="B1970" s="3"/>
      <c r="C1970" s="3" t="str">
        <f t="array" ref="C1970">if(B1970="Tidak Ada",,if(isblank(B1970),,ifna(sumif('On Hand'!A:A,A1970,'On Hand'!D:D)&amp;" "&amp;_xlfn.xlookup(A1970,'All Item Code'!A:A,'All Item Code'!D:D,),0)))</f>
        <v/>
      </c>
      <c r="D1970" s="3" t="str">
        <f>IFERROR(__xludf.DUMMYFUNCTION("if(isblank(B1970),,ifna(textjoin(""; "",,filter('On Hand'!E:E,'On Hand'!A:A=A1970)),ifna(xlookup(A1970,'On Hand'!A:A,'On Hand'!E:E,),)))"),"")</f>
        <v/>
      </c>
    </row>
    <row r="1971">
      <c r="A1971" s="3" t="str">
        <f t="array" ref="A1971">ifna(_xlfn.xlookup(B1971,'All Item Code'!B:B,'All Item Code'!A:A,),)</f>
        <v/>
      </c>
      <c r="B1971" s="3"/>
      <c r="C1971" s="3" t="str">
        <f t="array" ref="C1971">if(B1971="Tidak Ada",,if(isblank(B1971),,ifna(sumif('On Hand'!A:A,A1971,'On Hand'!D:D)&amp;" "&amp;_xlfn.xlookup(A1971,'All Item Code'!A:A,'All Item Code'!D:D,),0)))</f>
        <v/>
      </c>
      <c r="D1971" s="3" t="str">
        <f>IFERROR(__xludf.DUMMYFUNCTION("if(isblank(B1971),,ifna(textjoin(""; "",,filter('On Hand'!E:E,'On Hand'!A:A=A1971)),ifna(xlookup(A1971,'On Hand'!A:A,'On Hand'!E:E,),)))"),"")</f>
        <v/>
      </c>
    </row>
    <row r="1972">
      <c r="A1972" s="3" t="str">
        <f t="array" ref="A1972">ifna(_xlfn.xlookup(B1972,'All Item Code'!B:B,'All Item Code'!A:A,),)</f>
        <v/>
      </c>
      <c r="B1972" s="3"/>
      <c r="C1972" s="3" t="str">
        <f t="array" ref="C1972">if(B1972="Tidak Ada",,if(isblank(B1972),,ifna(sumif('On Hand'!A:A,A1972,'On Hand'!D:D)&amp;" "&amp;_xlfn.xlookup(A1972,'All Item Code'!A:A,'All Item Code'!D:D,),0)))</f>
        <v/>
      </c>
      <c r="D1972" s="3" t="str">
        <f>IFERROR(__xludf.DUMMYFUNCTION("if(isblank(B1972),,ifna(textjoin(""; "",,filter('On Hand'!E:E,'On Hand'!A:A=A1972)),ifna(xlookup(A1972,'On Hand'!A:A,'On Hand'!E:E,),)))"),"")</f>
        <v/>
      </c>
    </row>
    <row r="1973">
      <c r="A1973" s="3" t="str">
        <f t="array" ref="A1973">ifna(_xlfn.xlookup(B1973,'All Item Code'!B:B,'All Item Code'!A:A,),)</f>
        <v/>
      </c>
      <c r="B1973" s="3"/>
      <c r="C1973" s="3" t="str">
        <f t="array" ref="C1973">if(B1973="Tidak Ada",,if(isblank(B1973),,ifna(sumif('On Hand'!A:A,A1973,'On Hand'!D:D)&amp;" "&amp;_xlfn.xlookup(A1973,'All Item Code'!A:A,'All Item Code'!D:D,),0)))</f>
        <v/>
      </c>
      <c r="D1973" s="3" t="str">
        <f>IFERROR(__xludf.DUMMYFUNCTION("if(isblank(B1973),,ifna(textjoin(""; "",,filter('On Hand'!E:E,'On Hand'!A:A=A1973)),ifna(xlookup(A1973,'On Hand'!A:A,'On Hand'!E:E,),)))"),"")</f>
        <v/>
      </c>
    </row>
    <row r="1974">
      <c r="A1974" s="3" t="str">
        <f t="array" ref="A1974">ifna(_xlfn.xlookup(B1974,'All Item Code'!B:B,'All Item Code'!A:A,),)</f>
        <v/>
      </c>
      <c r="B1974" s="3"/>
      <c r="C1974" s="3" t="str">
        <f t="array" ref="C1974">if(B1974="Tidak Ada",,if(isblank(B1974),,ifna(sumif('On Hand'!A:A,A1974,'On Hand'!D:D)&amp;" "&amp;_xlfn.xlookup(A1974,'All Item Code'!A:A,'All Item Code'!D:D,),0)))</f>
        <v/>
      </c>
      <c r="D1974" s="3" t="str">
        <f>IFERROR(__xludf.DUMMYFUNCTION("if(isblank(B1974),,ifna(textjoin(""; "",,filter('On Hand'!E:E,'On Hand'!A:A=A1974)),ifna(xlookup(A1974,'On Hand'!A:A,'On Hand'!E:E,),)))"),"")</f>
        <v/>
      </c>
    </row>
    <row r="1975">
      <c r="A1975" s="3" t="str">
        <f t="array" ref="A1975">ifna(_xlfn.xlookup(B1975,'All Item Code'!B:B,'All Item Code'!A:A,),)</f>
        <v/>
      </c>
      <c r="B1975" s="3"/>
      <c r="C1975" s="3" t="str">
        <f t="array" ref="C1975">if(B1975="Tidak Ada",,if(isblank(B1975),,ifna(sumif('On Hand'!A:A,A1975,'On Hand'!D:D)&amp;" "&amp;_xlfn.xlookup(A1975,'All Item Code'!A:A,'All Item Code'!D:D,),0)))</f>
        <v/>
      </c>
      <c r="D1975" s="3" t="str">
        <f>IFERROR(__xludf.DUMMYFUNCTION("if(isblank(B1975),,ifna(textjoin(""; "",,filter('On Hand'!E:E,'On Hand'!A:A=A1975)),ifna(xlookup(A1975,'On Hand'!A:A,'On Hand'!E:E,),)))"),"")</f>
        <v/>
      </c>
    </row>
    <row r="1976">
      <c r="A1976" s="3" t="str">
        <f t="array" ref="A1976">ifna(_xlfn.xlookup(B1976,'All Item Code'!B:B,'All Item Code'!A:A,),)</f>
        <v/>
      </c>
      <c r="B1976" s="3"/>
      <c r="C1976" s="3" t="str">
        <f t="array" ref="C1976">if(B1976="Tidak Ada",,if(isblank(B1976),,ifna(sumif('On Hand'!A:A,A1976,'On Hand'!D:D)&amp;" "&amp;_xlfn.xlookup(A1976,'All Item Code'!A:A,'All Item Code'!D:D,),0)))</f>
        <v/>
      </c>
      <c r="D1976" s="3" t="str">
        <f>IFERROR(__xludf.DUMMYFUNCTION("if(isblank(B1976),,ifna(textjoin(""; "",,filter('On Hand'!E:E,'On Hand'!A:A=A1976)),ifna(xlookup(A1976,'On Hand'!A:A,'On Hand'!E:E,),)))"),"")</f>
        <v/>
      </c>
    </row>
    <row r="1977">
      <c r="A1977" s="3" t="str">
        <f t="array" ref="A1977">ifna(_xlfn.xlookup(B1977,'All Item Code'!B:B,'All Item Code'!A:A,),)</f>
        <v/>
      </c>
      <c r="B1977" s="3"/>
      <c r="C1977" s="3" t="str">
        <f t="array" ref="C1977">if(B1977="Tidak Ada",,if(isblank(B1977),,ifna(sumif('On Hand'!A:A,A1977,'On Hand'!D:D)&amp;" "&amp;_xlfn.xlookup(A1977,'All Item Code'!A:A,'All Item Code'!D:D,),0)))</f>
        <v/>
      </c>
      <c r="D1977" s="3" t="str">
        <f>IFERROR(__xludf.DUMMYFUNCTION("if(isblank(B1977),,ifna(textjoin(""; "",,filter('On Hand'!E:E,'On Hand'!A:A=A1977)),ifna(xlookup(A1977,'On Hand'!A:A,'On Hand'!E:E,),)))"),"")</f>
        <v/>
      </c>
    </row>
    <row r="1978">
      <c r="A1978" s="3" t="str">
        <f t="array" ref="A1978">ifna(_xlfn.xlookup(B1978,'All Item Code'!B:B,'All Item Code'!A:A,),)</f>
        <v/>
      </c>
      <c r="B1978" s="3"/>
      <c r="C1978" s="3" t="str">
        <f t="array" ref="C1978">if(B1978="Tidak Ada",,if(isblank(B1978),,ifna(sumif('On Hand'!A:A,A1978,'On Hand'!D:D)&amp;" "&amp;_xlfn.xlookup(A1978,'All Item Code'!A:A,'All Item Code'!D:D,),0)))</f>
        <v/>
      </c>
      <c r="D1978" s="3" t="str">
        <f>IFERROR(__xludf.DUMMYFUNCTION("if(isblank(B1978),,ifna(textjoin(""; "",,filter('On Hand'!E:E,'On Hand'!A:A=A1978)),ifna(xlookup(A1978,'On Hand'!A:A,'On Hand'!E:E,),)))"),"")</f>
        <v/>
      </c>
    </row>
    <row r="1979">
      <c r="A1979" s="3" t="str">
        <f t="array" ref="A1979">ifna(_xlfn.xlookup(B1979,'All Item Code'!B:B,'All Item Code'!A:A,),)</f>
        <v/>
      </c>
      <c r="B1979" s="3"/>
      <c r="C1979" s="3" t="str">
        <f t="array" ref="C1979">if(B1979="Tidak Ada",,if(isblank(B1979),,ifna(sumif('On Hand'!A:A,A1979,'On Hand'!D:D)&amp;" "&amp;_xlfn.xlookup(A1979,'All Item Code'!A:A,'All Item Code'!D:D,),0)))</f>
        <v/>
      </c>
      <c r="D1979" s="3" t="str">
        <f>IFERROR(__xludf.DUMMYFUNCTION("if(isblank(B1979),,ifna(textjoin(""; "",,filter('On Hand'!E:E,'On Hand'!A:A=A1979)),ifna(xlookup(A1979,'On Hand'!A:A,'On Hand'!E:E,),)))"),"")</f>
        <v/>
      </c>
    </row>
    <row r="1980">
      <c r="A1980" s="3" t="str">
        <f t="array" ref="A1980">ifna(_xlfn.xlookup(B1980,'All Item Code'!B:B,'All Item Code'!A:A,),)</f>
        <v/>
      </c>
      <c r="B1980" s="3"/>
      <c r="C1980" s="3" t="str">
        <f t="array" ref="C1980">if(B1980="Tidak Ada",,if(isblank(B1980),,ifna(sumif('On Hand'!A:A,A1980,'On Hand'!D:D)&amp;" "&amp;_xlfn.xlookup(A1980,'All Item Code'!A:A,'All Item Code'!D:D,),0)))</f>
        <v/>
      </c>
      <c r="D1980" s="3" t="str">
        <f>IFERROR(__xludf.DUMMYFUNCTION("if(isblank(B1980),,ifna(textjoin(""; "",,filter('On Hand'!E:E,'On Hand'!A:A=A1980)),ifna(xlookup(A1980,'On Hand'!A:A,'On Hand'!E:E,),)))"),"")</f>
        <v/>
      </c>
    </row>
    <row r="1981">
      <c r="A1981" s="3" t="str">
        <f t="array" ref="A1981">ifna(_xlfn.xlookup(B1981,'All Item Code'!B:B,'All Item Code'!A:A,),)</f>
        <v/>
      </c>
      <c r="B1981" s="3"/>
      <c r="C1981" s="3" t="str">
        <f t="array" ref="C1981">if(B1981="Tidak Ada",,if(isblank(B1981),,ifna(sumif('On Hand'!A:A,A1981,'On Hand'!D:D)&amp;" "&amp;_xlfn.xlookup(A1981,'All Item Code'!A:A,'All Item Code'!D:D,),0)))</f>
        <v/>
      </c>
      <c r="D1981" s="3" t="str">
        <f>IFERROR(__xludf.DUMMYFUNCTION("if(isblank(B1981),,ifna(textjoin(""; "",,filter('On Hand'!E:E,'On Hand'!A:A=A1981)),ifna(xlookup(A1981,'On Hand'!A:A,'On Hand'!E:E,),)))"),"")</f>
        <v/>
      </c>
    </row>
    <row r="1982">
      <c r="A1982" s="3" t="str">
        <f t="array" ref="A1982">ifna(_xlfn.xlookup(B1982,'All Item Code'!B:B,'All Item Code'!A:A,),)</f>
        <v/>
      </c>
      <c r="B1982" s="3"/>
      <c r="C1982" s="3" t="str">
        <f t="array" ref="C1982">if(B1982="Tidak Ada",,if(isblank(B1982),,ifna(sumif('On Hand'!A:A,A1982,'On Hand'!D:D)&amp;" "&amp;_xlfn.xlookup(A1982,'All Item Code'!A:A,'All Item Code'!D:D,),0)))</f>
        <v/>
      </c>
      <c r="D1982" s="3" t="str">
        <f>IFERROR(__xludf.DUMMYFUNCTION("if(isblank(B1982),,ifna(textjoin(""; "",,filter('On Hand'!E:E,'On Hand'!A:A=A1982)),ifna(xlookup(A1982,'On Hand'!A:A,'On Hand'!E:E,),)))"),"")</f>
        <v/>
      </c>
    </row>
    <row r="1983">
      <c r="A1983" s="3" t="str">
        <f t="array" ref="A1983">ifna(_xlfn.xlookup(B1983,'All Item Code'!B:B,'All Item Code'!A:A,),)</f>
        <v/>
      </c>
      <c r="B1983" s="3"/>
      <c r="C1983" s="3" t="str">
        <f t="array" ref="C1983">if(B1983="Tidak Ada",,if(isblank(B1983),,ifna(sumif('On Hand'!A:A,A1983,'On Hand'!D:D)&amp;" "&amp;_xlfn.xlookup(A1983,'All Item Code'!A:A,'All Item Code'!D:D,),0)))</f>
        <v/>
      </c>
      <c r="D1983" s="3" t="str">
        <f>IFERROR(__xludf.DUMMYFUNCTION("if(isblank(B1983),,ifna(textjoin(""; "",,filter('On Hand'!E:E,'On Hand'!A:A=A1983)),ifna(xlookup(A1983,'On Hand'!A:A,'On Hand'!E:E,),)))"),"")</f>
        <v/>
      </c>
    </row>
    <row r="1984">
      <c r="A1984" s="3" t="str">
        <f t="array" ref="A1984">ifna(_xlfn.xlookup(B1984,'All Item Code'!B:B,'All Item Code'!A:A,),)</f>
        <v/>
      </c>
      <c r="B1984" s="3"/>
      <c r="C1984" s="3" t="str">
        <f t="array" ref="C1984">if(B1984="Tidak Ada",,if(isblank(B1984),,ifna(sumif('On Hand'!A:A,A1984,'On Hand'!D:D)&amp;" "&amp;_xlfn.xlookup(A1984,'All Item Code'!A:A,'All Item Code'!D:D,),0)))</f>
        <v/>
      </c>
      <c r="D1984" s="3" t="str">
        <f>IFERROR(__xludf.DUMMYFUNCTION("if(isblank(B1984),,ifna(textjoin(""; "",,filter('On Hand'!E:E,'On Hand'!A:A=A1984)),ifna(xlookup(A1984,'On Hand'!A:A,'On Hand'!E:E,),)))"),"")</f>
        <v/>
      </c>
    </row>
    <row r="1985">
      <c r="A1985" s="3" t="str">
        <f t="array" ref="A1985">ifna(_xlfn.xlookup(B1985,'All Item Code'!B:B,'All Item Code'!A:A,),)</f>
        <v/>
      </c>
      <c r="B1985" s="3"/>
      <c r="C1985" s="3" t="str">
        <f t="array" ref="C1985">if(B1985="Tidak Ada",,if(isblank(B1985),,ifna(sumif('On Hand'!A:A,A1985,'On Hand'!D:D)&amp;" "&amp;_xlfn.xlookup(A1985,'All Item Code'!A:A,'All Item Code'!D:D,),0)))</f>
        <v/>
      </c>
      <c r="D1985" s="3" t="str">
        <f>IFERROR(__xludf.DUMMYFUNCTION("if(isblank(B1985),,ifna(textjoin(""; "",,filter('On Hand'!E:E,'On Hand'!A:A=A1985)),ifna(xlookup(A1985,'On Hand'!A:A,'On Hand'!E:E,),)))"),"")</f>
        <v/>
      </c>
    </row>
    <row r="1986">
      <c r="A1986" s="3" t="str">
        <f t="array" ref="A1986">ifna(_xlfn.xlookup(B1986,'All Item Code'!B:B,'All Item Code'!A:A,),)</f>
        <v/>
      </c>
      <c r="B1986" s="3"/>
      <c r="C1986" s="3" t="str">
        <f t="array" ref="C1986">if(B1986="Tidak Ada",,if(isblank(B1986),,ifna(sumif('On Hand'!A:A,A1986,'On Hand'!D:D)&amp;" "&amp;_xlfn.xlookup(A1986,'All Item Code'!A:A,'All Item Code'!D:D,),0)))</f>
        <v/>
      </c>
      <c r="D1986" s="3" t="str">
        <f>IFERROR(__xludf.DUMMYFUNCTION("if(isblank(B1986),,ifna(textjoin(""; "",,filter('On Hand'!E:E,'On Hand'!A:A=A1986)),ifna(xlookup(A1986,'On Hand'!A:A,'On Hand'!E:E,),)))"),"")</f>
        <v/>
      </c>
    </row>
    <row r="1987">
      <c r="A1987" s="3" t="str">
        <f t="array" ref="A1987">ifna(_xlfn.xlookup(B1987,'All Item Code'!B:B,'All Item Code'!A:A,),)</f>
        <v/>
      </c>
      <c r="B1987" s="3"/>
      <c r="C1987" s="3" t="str">
        <f t="array" ref="C1987">if(B1987="Tidak Ada",,if(isblank(B1987),,ifna(sumif('On Hand'!A:A,A1987,'On Hand'!D:D)&amp;" "&amp;_xlfn.xlookup(A1987,'All Item Code'!A:A,'All Item Code'!D:D,),0)))</f>
        <v/>
      </c>
      <c r="D1987" s="3" t="str">
        <f>IFERROR(__xludf.DUMMYFUNCTION("if(isblank(B1987),,ifna(textjoin(""; "",,filter('On Hand'!E:E,'On Hand'!A:A=A1987)),ifna(xlookup(A1987,'On Hand'!A:A,'On Hand'!E:E,),)))"),"")</f>
        <v/>
      </c>
    </row>
    <row r="1988">
      <c r="A1988" s="3" t="str">
        <f t="array" ref="A1988">ifna(_xlfn.xlookup(B1988,'All Item Code'!B:B,'All Item Code'!A:A,),)</f>
        <v/>
      </c>
      <c r="B1988" s="3"/>
      <c r="C1988" s="3" t="str">
        <f t="array" ref="C1988">if(B1988="Tidak Ada",,if(isblank(B1988),,ifna(sumif('On Hand'!A:A,A1988,'On Hand'!D:D)&amp;" "&amp;_xlfn.xlookup(A1988,'All Item Code'!A:A,'All Item Code'!D:D,),0)))</f>
        <v/>
      </c>
      <c r="D1988" s="3" t="str">
        <f>IFERROR(__xludf.DUMMYFUNCTION("if(isblank(B1988),,ifna(textjoin(""; "",,filter('On Hand'!E:E,'On Hand'!A:A=A1988)),ifna(xlookup(A1988,'On Hand'!A:A,'On Hand'!E:E,),)))"),"")</f>
        <v/>
      </c>
    </row>
    <row r="1989">
      <c r="A1989" s="3" t="str">
        <f t="array" ref="A1989">ifna(_xlfn.xlookup(B1989,'All Item Code'!B:B,'All Item Code'!A:A,),)</f>
        <v/>
      </c>
      <c r="B1989" s="3"/>
      <c r="C1989" s="3" t="str">
        <f t="array" ref="C1989">if(B1989="Tidak Ada",,if(isblank(B1989),,ifna(sumif('On Hand'!A:A,A1989,'On Hand'!D:D)&amp;" "&amp;_xlfn.xlookup(A1989,'All Item Code'!A:A,'All Item Code'!D:D,),0)))</f>
        <v/>
      </c>
      <c r="D1989" s="3" t="str">
        <f>IFERROR(__xludf.DUMMYFUNCTION("if(isblank(B1989),,ifna(textjoin(""; "",,filter('On Hand'!E:E,'On Hand'!A:A=A1989)),ifna(xlookup(A1989,'On Hand'!A:A,'On Hand'!E:E,),)))"),"")</f>
        <v/>
      </c>
    </row>
    <row r="1990">
      <c r="A1990" s="3" t="str">
        <f t="array" ref="A1990">ifna(_xlfn.xlookup(B1990,'All Item Code'!B:B,'All Item Code'!A:A,),)</f>
        <v/>
      </c>
      <c r="B1990" s="3"/>
      <c r="C1990" s="3" t="str">
        <f t="array" ref="C1990">if(B1990="Tidak Ada",,if(isblank(B1990),,ifna(sumif('On Hand'!A:A,A1990,'On Hand'!D:D)&amp;" "&amp;_xlfn.xlookup(A1990,'All Item Code'!A:A,'All Item Code'!D:D,),0)))</f>
        <v/>
      </c>
      <c r="D1990" s="3" t="str">
        <f>IFERROR(__xludf.DUMMYFUNCTION("if(isblank(B1990),,ifna(textjoin(""; "",,filter('On Hand'!E:E,'On Hand'!A:A=A1990)),ifna(xlookup(A1990,'On Hand'!A:A,'On Hand'!E:E,),)))"),"")</f>
        <v/>
      </c>
    </row>
    <row r="1991">
      <c r="A1991" s="3" t="str">
        <f t="array" ref="A1991">ifna(_xlfn.xlookup(B1991,'All Item Code'!B:B,'All Item Code'!A:A,),)</f>
        <v/>
      </c>
      <c r="B1991" s="3"/>
      <c r="C1991" s="3" t="str">
        <f t="array" ref="C1991">if(B1991="Tidak Ada",,if(isblank(B1991),,ifna(sumif('On Hand'!A:A,A1991,'On Hand'!D:D)&amp;" "&amp;_xlfn.xlookup(A1991,'All Item Code'!A:A,'All Item Code'!D:D,),0)))</f>
        <v/>
      </c>
      <c r="D1991" s="3" t="str">
        <f>IFERROR(__xludf.DUMMYFUNCTION("if(isblank(B1991),,ifna(textjoin(""; "",,filter('On Hand'!E:E,'On Hand'!A:A=A1991)),ifna(xlookup(A1991,'On Hand'!A:A,'On Hand'!E:E,),)))"),"")</f>
        <v/>
      </c>
    </row>
    <row r="1992">
      <c r="A1992" s="3" t="str">
        <f t="array" ref="A1992">ifna(_xlfn.xlookup(B1992,'All Item Code'!B:B,'All Item Code'!A:A,),)</f>
        <v/>
      </c>
      <c r="B1992" s="3"/>
      <c r="C1992" s="3" t="str">
        <f t="array" ref="C1992">if(B1992="Tidak Ada",,if(isblank(B1992),,ifna(sumif('On Hand'!A:A,A1992,'On Hand'!D:D)&amp;" "&amp;_xlfn.xlookup(A1992,'All Item Code'!A:A,'All Item Code'!D:D,),0)))</f>
        <v/>
      </c>
      <c r="D1992" s="3" t="str">
        <f>IFERROR(__xludf.DUMMYFUNCTION("if(isblank(B1992),,ifna(textjoin(""; "",,filter('On Hand'!E:E,'On Hand'!A:A=A1992)),ifna(xlookup(A1992,'On Hand'!A:A,'On Hand'!E:E,),)))"),"")</f>
        <v/>
      </c>
    </row>
    <row r="1993">
      <c r="A1993" s="3" t="str">
        <f t="array" ref="A1993">ifna(_xlfn.xlookup(B1993,'All Item Code'!B:B,'All Item Code'!A:A,),)</f>
        <v/>
      </c>
      <c r="B1993" s="3"/>
      <c r="C1993" s="3" t="str">
        <f t="array" ref="C1993">if(B1993="Tidak Ada",,if(isblank(B1993),,ifna(sumif('On Hand'!A:A,A1993,'On Hand'!D:D)&amp;" "&amp;_xlfn.xlookup(A1993,'All Item Code'!A:A,'All Item Code'!D:D,),0)))</f>
        <v/>
      </c>
      <c r="D1993" s="3" t="str">
        <f>IFERROR(__xludf.DUMMYFUNCTION("if(isblank(B1993),,ifna(textjoin(""; "",,filter('On Hand'!E:E,'On Hand'!A:A=A1993)),ifna(xlookup(A1993,'On Hand'!A:A,'On Hand'!E:E,),)))"),"")</f>
        <v/>
      </c>
    </row>
    <row r="1994">
      <c r="A1994" s="3" t="str">
        <f t="array" ref="A1994">ifna(_xlfn.xlookup(B1994,'All Item Code'!B:B,'All Item Code'!A:A,),)</f>
        <v/>
      </c>
      <c r="B1994" s="3"/>
      <c r="C1994" s="3" t="str">
        <f t="array" ref="C1994">if(B1994="Tidak Ada",,if(isblank(B1994),,ifna(sumif('On Hand'!A:A,A1994,'On Hand'!D:D)&amp;" "&amp;_xlfn.xlookup(A1994,'All Item Code'!A:A,'All Item Code'!D:D,),0)))</f>
        <v/>
      </c>
      <c r="D1994" s="3" t="str">
        <f>IFERROR(__xludf.DUMMYFUNCTION("if(isblank(B1994),,ifna(textjoin(""; "",,filter('On Hand'!E:E,'On Hand'!A:A=A1994)),ifna(xlookup(A1994,'On Hand'!A:A,'On Hand'!E:E,),)))"),"")</f>
        <v/>
      </c>
    </row>
    <row r="1995">
      <c r="A1995" s="3" t="str">
        <f t="array" ref="A1995">ifna(_xlfn.xlookup(B1995,'All Item Code'!B:B,'All Item Code'!A:A,),)</f>
        <v/>
      </c>
      <c r="B1995" s="3"/>
      <c r="C1995" s="3" t="str">
        <f t="array" ref="C1995">if(B1995="Tidak Ada",,if(isblank(B1995),,ifna(sumif('On Hand'!A:A,A1995,'On Hand'!D:D)&amp;" "&amp;_xlfn.xlookup(A1995,'All Item Code'!A:A,'All Item Code'!D:D,),0)))</f>
        <v/>
      </c>
      <c r="D1995" s="3" t="str">
        <f>IFERROR(__xludf.DUMMYFUNCTION("if(isblank(B1995),,ifna(textjoin(""; "",,filter('On Hand'!E:E,'On Hand'!A:A=A1995)),ifna(xlookup(A1995,'On Hand'!A:A,'On Hand'!E:E,),)))"),"")</f>
        <v/>
      </c>
    </row>
    <row r="1996">
      <c r="A1996" s="3" t="str">
        <f t="array" ref="A1996">ifna(_xlfn.xlookup(B1996,'All Item Code'!B:B,'All Item Code'!A:A,),)</f>
        <v/>
      </c>
      <c r="B1996" s="3"/>
      <c r="C1996" s="3" t="str">
        <f t="array" ref="C1996">if(B1996="Tidak Ada",,if(isblank(B1996),,ifna(sumif('On Hand'!A:A,A1996,'On Hand'!D:D)&amp;" "&amp;_xlfn.xlookup(A1996,'All Item Code'!A:A,'All Item Code'!D:D,),0)))</f>
        <v/>
      </c>
      <c r="D1996" s="3" t="str">
        <f>IFERROR(__xludf.DUMMYFUNCTION("if(isblank(B1996),,ifna(textjoin(""; "",,filter('On Hand'!E:E,'On Hand'!A:A=A1996)),ifna(xlookup(A1996,'On Hand'!A:A,'On Hand'!E:E,),)))"),"")</f>
        <v/>
      </c>
    </row>
    <row r="1997">
      <c r="A1997" s="3" t="str">
        <f t="array" ref="A1997">ifna(_xlfn.xlookup(B1997,'All Item Code'!B:B,'All Item Code'!A:A,),)</f>
        <v/>
      </c>
      <c r="B1997" s="3"/>
      <c r="C1997" s="3" t="str">
        <f t="array" ref="C1997">if(B1997="Tidak Ada",,if(isblank(B1997),,ifna(sumif('On Hand'!A:A,A1997,'On Hand'!D:D)&amp;" "&amp;_xlfn.xlookup(A1997,'All Item Code'!A:A,'All Item Code'!D:D,),0)))</f>
        <v/>
      </c>
      <c r="D1997" s="3" t="str">
        <f>IFERROR(__xludf.DUMMYFUNCTION("if(isblank(B1997),,ifna(textjoin(""; "",,filter('On Hand'!E:E,'On Hand'!A:A=A1997)),ifna(xlookup(A1997,'On Hand'!A:A,'On Hand'!E:E,),)))"),"")</f>
        <v/>
      </c>
    </row>
    <row r="1998">
      <c r="A1998" s="3" t="str">
        <f t="array" ref="A1998">ifna(_xlfn.xlookup(B1998,'All Item Code'!B:B,'All Item Code'!A:A,),)</f>
        <v/>
      </c>
      <c r="B1998" s="3"/>
      <c r="C1998" s="3" t="str">
        <f t="array" ref="C1998">if(B1998="Tidak Ada",,if(isblank(B1998),,ifna(sumif('On Hand'!A:A,A1998,'On Hand'!D:D)&amp;" "&amp;_xlfn.xlookup(A1998,'All Item Code'!A:A,'All Item Code'!D:D,),0)))</f>
        <v/>
      </c>
      <c r="D1998" s="3" t="str">
        <f>IFERROR(__xludf.DUMMYFUNCTION("if(isblank(B1998),,ifna(textjoin(""; "",,filter('On Hand'!E:E,'On Hand'!A:A=A1998)),ifna(xlookup(A1998,'On Hand'!A:A,'On Hand'!E:E,),)))"),"")</f>
        <v/>
      </c>
    </row>
    <row r="1999">
      <c r="A1999" s="3" t="str">
        <f t="array" ref="A1999">ifna(_xlfn.xlookup(B1999,'All Item Code'!B:B,'All Item Code'!A:A,),)</f>
        <v/>
      </c>
      <c r="B1999" s="3"/>
      <c r="C1999" s="3" t="str">
        <f t="array" ref="C1999">if(B1999="Tidak Ada",,if(isblank(B1999),,ifna(sumif('On Hand'!A:A,A1999,'On Hand'!D:D)&amp;" "&amp;_xlfn.xlookup(A1999,'All Item Code'!A:A,'All Item Code'!D:D,),0)))</f>
        <v/>
      </c>
      <c r="D1999" s="3" t="str">
        <f>IFERROR(__xludf.DUMMYFUNCTION("if(isblank(B1999),,ifna(textjoin(""; "",,filter('On Hand'!E:E,'On Hand'!A:A=A1999)),ifna(xlookup(A1999,'On Hand'!A:A,'On Hand'!E:E,),)))"),"")</f>
        <v/>
      </c>
    </row>
    <row r="2000">
      <c r="A2000" s="3" t="str">
        <f t="array" ref="A2000">ifna(_xlfn.xlookup(B2000,'All Item Code'!B:B,'All Item Code'!A:A,),)</f>
        <v/>
      </c>
      <c r="B2000" s="3"/>
      <c r="C2000" s="3" t="str">
        <f t="array" ref="C2000">if(B2000="Tidak Ada",,if(isblank(B2000),,ifna(sumif('On Hand'!A:A,A2000,'On Hand'!D:D)&amp;" "&amp;_xlfn.xlookup(A2000,'All Item Code'!A:A,'All Item Code'!D:D,),0)))</f>
        <v/>
      </c>
      <c r="D2000" s="3" t="str">
        <f>IFERROR(__xludf.DUMMYFUNCTION("if(isblank(B2000),,ifna(textjoin(""; "",,filter('On Hand'!E:E,'On Hand'!A:A=A2000)),ifna(xlookup(A2000,'On Hand'!A:A,'On Hand'!E:E,),)))"),"")</f>
        <v/>
      </c>
    </row>
    <row r="2001">
      <c r="A2001" s="3" t="str">
        <f t="array" ref="A2001">ifna(_xlfn.xlookup(B2001,'All Item Code'!B:B,'All Item Code'!A:A,),)</f>
        <v/>
      </c>
      <c r="B2001" s="3"/>
      <c r="C2001" s="3" t="str">
        <f t="array" ref="C2001">if(B2001="Tidak Ada",,if(isblank(B2001),,ifna(sumif('On Hand'!A:A,A2001,'On Hand'!D:D)&amp;" "&amp;_xlfn.xlookup(A2001,'All Item Code'!A:A,'All Item Code'!D:D,),0)))</f>
        <v/>
      </c>
      <c r="D2001" s="3" t="str">
        <f>IFERROR(__xludf.DUMMYFUNCTION("if(isblank(B2001),,ifna(textjoin(""; "",,filter('On Hand'!E:E,'On Hand'!A:A=A2001)),ifna(xlookup(A2001,'On Hand'!A:A,'On Hand'!E:E,),)))"),"")</f>
        <v/>
      </c>
    </row>
    <row r="2002">
      <c r="A2002" s="3" t="str">
        <f t="array" ref="A2002">ifna(_xlfn.xlookup(B2002,'All Item Code'!B:B,'All Item Code'!A:A,),)</f>
        <v/>
      </c>
      <c r="B2002" s="3"/>
      <c r="C2002" s="3" t="str">
        <f t="array" ref="C2002">if(B2002="Tidak Ada",,if(isblank(B2002),,ifna(sumif('On Hand'!A:A,A2002,'On Hand'!D:D)&amp;" "&amp;_xlfn.xlookup(A2002,'All Item Code'!A:A,'All Item Code'!D:D,),0)))</f>
        <v/>
      </c>
      <c r="D2002" s="3" t="str">
        <f>IFERROR(__xludf.DUMMYFUNCTION("if(isblank(B2002),,ifna(textjoin(""; "",,filter('On Hand'!E:E,'On Hand'!A:A=A2002)),ifna(xlookup(A2002,'On Hand'!A:A,'On Hand'!E:E,),)))"),"")</f>
        <v/>
      </c>
    </row>
    <row r="2003">
      <c r="A2003" s="3" t="str">
        <f t="array" ref="A2003">ifna(_xlfn.xlookup(B2003,'All Item Code'!B:B,'All Item Code'!A:A,),)</f>
        <v/>
      </c>
      <c r="B2003" s="3"/>
      <c r="C2003" s="3" t="str">
        <f t="array" ref="C2003">if(B2003="Tidak Ada",,if(isblank(B2003),,ifna(sumif('On Hand'!A:A,A2003,'On Hand'!D:D)&amp;" "&amp;_xlfn.xlookup(A2003,'All Item Code'!A:A,'All Item Code'!D:D,),0)))</f>
        <v/>
      </c>
      <c r="D2003" s="3" t="str">
        <f>IFERROR(__xludf.DUMMYFUNCTION("if(isblank(B2003),,ifna(textjoin(""; "",,filter('On Hand'!E:E,'On Hand'!A:A=A2003)),ifna(xlookup(A2003,'On Hand'!A:A,'On Hand'!E:E,),)))"),"")</f>
        <v/>
      </c>
    </row>
    <row r="2004">
      <c r="A2004" s="3" t="str">
        <f t="array" ref="A2004">ifna(_xlfn.xlookup(B2004,'All Item Code'!B:B,'All Item Code'!A:A,),)</f>
        <v/>
      </c>
      <c r="B2004" s="3"/>
      <c r="C2004" s="3" t="str">
        <f t="array" ref="C2004">if(B2004="Tidak Ada",,if(isblank(B2004),,ifna(sumif('On Hand'!A:A,A2004,'On Hand'!D:D)&amp;" "&amp;_xlfn.xlookup(A2004,'All Item Code'!A:A,'All Item Code'!D:D,),0)))</f>
        <v/>
      </c>
      <c r="D2004" s="3" t="str">
        <f>IFERROR(__xludf.DUMMYFUNCTION("if(isblank(B2004),,ifna(textjoin(""; "",,filter('On Hand'!E:E,'On Hand'!A:A=A2004)),ifna(xlookup(A2004,'On Hand'!A:A,'On Hand'!E:E,),)))"),"")</f>
        <v/>
      </c>
    </row>
    <row r="2005">
      <c r="A2005" s="3" t="str">
        <f t="array" ref="A2005">ifna(_xlfn.xlookup(B2005,'All Item Code'!B:B,'All Item Code'!A:A,),)</f>
        <v/>
      </c>
      <c r="B2005" s="3"/>
      <c r="C2005" s="3" t="str">
        <f t="array" ref="C2005">if(B2005="Tidak Ada",,if(isblank(B2005),,ifna(sumif('On Hand'!A:A,A2005,'On Hand'!D:D)&amp;" "&amp;_xlfn.xlookup(A2005,'All Item Code'!A:A,'All Item Code'!D:D,),0)))</f>
        <v/>
      </c>
      <c r="D2005" s="3" t="str">
        <f>IFERROR(__xludf.DUMMYFUNCTION("if(isblank(B2005),,ifna(textjoin(""; "",,filter('On Hand'!E:E,'On Hand'!A:A=A2005)),ifna(xlookup(A2005,'On Hand'!A:A,'On Hand'!E:E,),)))"),"")</f>
        <v/>
      </c>
    </row>
    <row r="2006">
      <c r="A2006" s="3" t="str">
        <f t="array" ref="A2006">ifna(_xlfn.xlookup(B2006,'All Item Code'!B:B,'All Item Code'!A:A,),)</f>
        <v/>
      </c>
      <c r="B2006" s="3"/>
      <c r="C2006" s="3" t="str">
        <f t="array" ref="C2006">if(B2006="Tidak Ada",,if(isblank(B2006),,ifna(sumif('On Hand'!A:A,A2006,'On Hand'!D:D)&amp;" "&amp;_xlfn.xlookup(A2006,'All Item Code'!A:A,'All Item Code'!D:D,),0)))</f>
        <v/>
      </c>
      <c r="D2006" s="3" t="str">
        <f>IFERROR(__xludf.DUMMYFUNCTION("if(isblank(B2006),,ifna(textjoin(""; "",,filter('On Hand'!E:E,'On Hand'!A:A=A2006)),ifna(xlookup(A2006,'On Hand'!A:A,'On Hand'!E:E,),)))"),"")</f>
        <v/>
      </c>
    </row>
    <row r="2007">
      <c r="A2007" s="3" t="str">
        <f t="array" ref="A2007">ifna(_xlfn.xlookup(B2007,'All Item Code'!B:B,'All Item Code'!A:A,),)</f>
        <v/>
      </c>
      <c r="B2007" s="3"/>
      <c r="C2007" s="3" t="str">
        <f t="array" ref="C2007">if(B2007="Tidak Ada",,if(isblank(B2007),,ifna(sumif('On Hand'!A:A,A2007,'On Hand'!D:D)&amp;" "&amp;_xlfn.xlookup(A2007,'All Item Code'!A:A,'All Item Code'!D:D,),0)))</f>
        <v/>
      </c>
      <c r="D2007" s="3" t="str">
        <f>IFERROR(__xludf.DUMMYFUNCTION("if(isblank(B2007),,ifna(textjoin(""; "",,filter('On Hand'!E:E,'On Hand'!A:A=A2007)),ifna(xlookup(A2007,'On Hand'!A:A,'On Hand'!E:E,),)))"),"")</f>
        <v/>
      </c>
    </row>
    <row r="2008">
      <c r="A2008" s="3" t="str">
        <f t="array" ref="A2008">ifna(_xlfn.xlookup(B2008,'All Item Code'!B:B,'All Item Code'!A:A,),)</f>
        <v/>
      </c>
      <c r="B2008" s="3"/>
      <c r="C2008" s="3" t="str">
        <f t="array" ref="C2008">if(B2008="Tidak Ada",,if(isblank(B2008),,ifna(sumif('On Hand'!A:A,A2008,'On Hand'!D:D)&amp;" "&amp;_xlfn.xlookup(A2008,'All Item Code'!A:A,'All Item Code'!D:D,),0)))</f>
        <v/>
      </c>
      <c r="D2008" s="3" t="str">
        <f>IFERROR(__xludf.DUMMYFUNCTION("if(isblank(B2008),,ifna(textjoin(""; "",,filter('On Hand'!E:E,'On Hand'!A:A=A2008)),ifna(xlookup(A2008,'On Hand'!A:A,'On Hand'!E:E,),)))"),"")</f>
        <v/>
      </c>
    </row>
    <row r="2009">
      <c r="A2009" s="3" t="str">
        <f t="array" ref="A2009">ifna(_xlfn.xlookup(B2009,'All Item Code'!B:B,'All Item Code'!A:A,),)</f>
        <v/>
      </c>
      <c r="B2009" s="3"/>
      <c r="C2009" s="3" t="str">
        <f t="array" ref="C2009">if(B2009="Tidak Ada",,if(isblank(B2009),,ifna(sumif('On Hand'!A:A,A2009,'On Hand'!D:D)&amp;" "&amp;_xlfn.xlookup(A2009,'All Item Code'!A:A,'All Item Code'!D:D,),0)))</f>
        <v/>
      </c>
      <c r="D2009" s="3" t="str">
        <f>IFERROR(__xludf.DUMMYFUNCTION("if(isblank(B2009),,ifna(textjoin(""; "",,filter('On Hand'!E:E,'On Hand'!A:A=A2009)),ifna(xlookup(A2009,'On Hand'!A:A,'On Hand'!E:E,),)))"),"")</f>
        <v/>
      </c>
    </row>
    <row r="2010">
      <c r="A2010" s="3" t="str">
        <f t="array" ref="A2010">ifna(_xlfn.xlookup(B2010,'All Item Code'!B:B,'All Item Code'!A:A,),)</f>
        <v/>
      </c>
      <c r="B2010" s="3"/>
      <c r="C2010" s="3" t="str">
        <f t="array" ref="C2010">if(B2010="Tidak Ada",,if(isblank(B2010),,ifna(sumif('On Hand'!A:A,A2010,'On Hand'!D:D)&amp;" "&amp;_xlfn.xlookup(A2010,'All Item Code'!A:A,'All Item Code'!D:D,),0)))</f>
        <v/>
      </c>
      <c r="D2010" s="3" t="str">
        <f>IFERROR(__xludf.DUMMYFUNCTION("if(isblank(B2010),,ifna(textjoin(""; "",,filter('On Hand'!E:E,'On Hand'!A:A=A2010)),ifna(xlookup(A2010,'On Hand'!A:A,'On Hand'!E:E,),)))"),"")</f>
        <v/>
      </c>
    </row>
    <row r="2011">
      <c r="A2011" s="3" t="str">
        <f t="array" ref="A2011">ifna(_xlfn.xlookup(B2011,'All Item Code'!B:B,'All Item Code'!A:A,),)</f>
        <v/>
      </c>
      <c r="B2011" s="3"/>
      <c r="C2011" s="3" t="str">
        <f t="array" ref="C2011">if(B2011="Tidak Ada",,if(isblank(B2011),,ifna(sumif('On Hand'!A:A,A2011,'On Hand'!D:D)&amp;" "&amp;_xlfn.xlookup(A2011,'All Item Code'!A:A,'All Item Code'!D:D,),0)))</f>
        <v/>
      </c>
      <c r="D2011" s="3" t="str">
        <f>IFERROR(__xludf.DUMMYFUNCTION("if(isblank(B2011),,ifna(textjoin(""; "",,filter('On Hand'!E:E,'On Hand'!A:A=A2011)),ifna(xlookup(A2011,'On Hand'!A:A,'On Hand'!E:E,),)))"),"")</f>
        <v/>
      </c>
    </row>
    <row r="2012">
      <c r="A2012" s="3" t="str">
        <f t="array" ref="A2012">ifna(_xlfn.xlookup(B2012,'All Item Code'!B:B,'All Item Code'!A:A,),)</f>
        <v/>
      </c>
      <c r="B2012" s="3"/>
      <c r="C2012" s="3" t="str">
        <f t="array" ref="C2012">if(B2012="Tidak Ada",,if(isblank(B2012),,ifna(sumif('On Hand'!A:A,A2012,'On Hand'!D:D)&amp;" "&amp;_xlfn.xlookup(A2012,'All Item Code'!A:A,'All Item Code'!D:D,),0)))</f>
        <v/>
      </c>
      <c r="D2012" s="3" t="str">
        <f>IFERROR(__xludf.DUMMYFUNCTION("if(isblank(B2012),,ifna(textjoin(""; "",,filter('On Hand'!E:E,'On Hand'!A:A=A2012)),ifna(xlookup(A2012,'On Hand'!A:A,'On Hand'!E:E,),)))"),"")</f>
        <v/>
      </c>
    </row>
    <row r="2013">
      <c r="A2013" s="3" t="str">
        <f t="array" ref="A2013">ifna(_xlfn.xlookup(B2013,'All Item Code'!B:B,'All Item Code'!A:A,),)</f>
        <v/>
      </c>
      <c r="B2013" s="3"/>
      <c r="C2013" s="3" t="str">
        <f t="array" ref="C2013">if(B2013="Tidak Ada",,if(isblank(B2013),,ifna(sumif('On Hand'!A:A,A2013,'On Hand'!D:D)&amp;" "&amp;_xlfn.xlookup(A2013,'All Item Code'!A:A,'All Item Code'!D:D,),0)))</f>
        <v/>
      </c>
      <c r="D2013" s="3" t="str">
        <f>IFERROR(__xludf.DUMMYFUNCTION("if(isblank(B2013),,ifna(textjoin(""; "",,filter('On Hand'!E:E,'On Hand'!A:A=A2013)),ifna(xlookup(A2013,'On Hand'!A:A,'On Hand'!E:E,),)))"),"")</f>
        <v/>
      </c>
    </row>
    <row r="2014">
      <c r="A2014" s="3" t="str">
        <f t="array" ref="A2014">ifna(_xlfn.xlookup(B2014,'All Item Code'!B:B,'All Item Code'!A:A,),)</f>
        <v/>
      </c>
      <c r="B2014" s="3"/>
      <c r="C2014" s="3" t="str">
        <f t="array" ref="C2014">if(B2014="Tidak Ada",,if(isblank(B2014),,ifna(sumif('On Hand'!A:A,A2014,'On Hand'!D:D)&amp;" "&amp;_xlfn.xlookup(A2014,'All Item Code'!A:A,'All Item Code'!D:D,),0)))</f>
        <v/>
      </c>
      <c r="D2014" s="3" t="str">
        <f>IFERROR(__xludf.DUMMYFUNCTION("if(isblank(B2014),,ifna(textjoin(""; "",,filter('On Hand'!E:E,'On Hand'!A:A=A2014)),ifna(xlookup(A2014,'On Hand'!A:A,'On Hand'!E:E,),)))"),"")</f>
        <v/>
      </c>
    </row>
    <row r="2015">
      <c r="A2015" s="3" t="str">
        <f t="array" ref="A2015">ifna(_xlfn.xlookup(B2015,'All Item Code'!B:B,'All Item Code'!A:A,),)</f>
        <v/>
      </c>
      <c r="B2015" s="3"/>
      <c r="C2015" s="3" t="str">
        <f t="array" ref="C2015">if(B2015="Tidak Ada",,if(isblank(B2015),,ifna(sumif('On Hand'!A:A,A2015,'On Hand'!D:D)&amp;" "&amp;_xlfn.xlookup(A2015,'All Item Code'!A:A,'All Item Code'!D:D,),0)))</f>
        <v/>
      </c>
      <c r="D2015" s="3" t="str">
        <f>IFERROR(__xludf.DUMMYFUNCTION("if(isblank(B2015),,ifna(textjoin(""; "",,filter('On Hand'!E:E,'On Hand'!A:A=A2015)),ifna(xlookup(A2015,'On Hand'!A:A,'On Hand'!E:E,),)))"),"")</f>
        <v/>
      </c>
    </row>
    <row r="2016">
      <c r="A2016" s="3" t="str">
        <f t="array" ref="A2016">ifna(_xlfn.xlookup(B2016,'All Item Code'!B:B,'All Item Code'!A:A,),)</f>
        <v/>
      </c>
      <c r="B2016" s="3"/>
      <c r="C2016" s="3" t="str">
        <f t="array" ref="C2016">if(B2016="Tidak Ada",,if(isblank(B2016),,ifna(sumif('On Hand'!A:A,A2016,'On Hand'!D:D)&amp;" "&amp;_xlfn.xlookup(A2016,'All Item Code'!A:A,'All Item Code'!D:D,),0)))</f>
        <v/>
      </c>
      <c r="D2016" s="3" t="str">
        <f>IFERROR(__xludf.DUMMYFUNCTION("if(isblank(B2016),,ifna(textjoin(""; "",,filter('On Hand'!E:E,'On Hand'!A:A=A2016)),ifna(xlookup(A2016,'On Hand'!A:A,'On Hand'!E:E,),)))"),"")</f>
        <v/>
      </c>
    </row>
    <row r="2017">
      <c r="A2017" s="3" t="str">
        <f t="array" ref="A2017">ifna(_xlfn.xlookup(B2017,'All Item Code'!B:B,'All Item Code'!A:A,),)</f>
        <v/>
      </c>
      <c r="B2017" s="3"/>
      <c r="C2017" s="3" t="str">
        <f t="array" ref="C2017">if(B2017="Tidak Ada",,if(isblank(B2017),,ifna(sumif('On Hand'!A:A,A2017,'On Hand'!D:D)&amp;" "&amp;_xlfn.xlookup(A2017,'All Item Code'!A:A,'All Item Code'!D:D,),0)))</f>
        <v/>
      </c>
      <c r="D2017" s="3" t="str">
        <f>IFERROR(__xludf.DUMMYFUNCTION("if(isblank(B2017),,ifna(textjoin(""; "",,filter('On Hand'!E:E,'On Hand'!A:A=A2017)),ifna(xlookup(A2017,'On Hand'!A:A,'On Hand'!E:E,),)))"),"")</f>
        <v/>
      </c>
    </row>
    <row r="2018">
      <c r="A2018" s="3" t="str">
        <f t="array" ref="A2018">ifna(_xlfn.xlookup(B2018,'All Item Code'!B:B,'All Item Code'!A:A,),)</f>
        <v/>
      </c>
      <c r="B2018" s="3"/>
      <c r="C2018" s="3" t="str">
        <f t="array" ref="C2018">if(B2018="Tidak Ada",,if(isblank(B2018),,ifna(sumif('On Hand'!A:A,A2018,'On Hand'!D:D)&amp;" "&amp;_xlfn.xlookup(A2018,'All Item Code'!A:A,'All Item Code'!D:D,),0)))</f>
        <v/>
      </c>
      <c r="D2018" s="3" t="str">
        <f>IFERROR(__xludf.DUMMYFUNCTION("if(isblank(B2018),,ifna(textjoin(""; "",,filter('On Hand'!E:E,'On Hand'!A:A=A2018)),ifna(xlookup(A2018,'On Hand'!A:A,'On Hand'!E:E,),)))"),"")</f>
        <v/>
      </c>
    </row>
    <row r="2019">
      <c r="A2019" s="3" t="str">
        <f t="array" ref="A2019">ifna(_xlfn.xlookup(B2019,'All Item Code'!B:B,'All Item Code'!A:A,),)</f>
        <v/>
      </c>
      <c r="B2019" s="3"/>
      <c r="C2019" s="3" t="str">
        <f t="array" ref="C2019">if(B2019="Tidak Ada",,if(isblank(B2019),,ifna(sumif('On Hand'!A:A,A2019,'On Hand'!D:D)&amp;" "&amp;_xlfn.xlookup(A2019,'All Item Code'!A:A,'All Item Code'!D:D,),0)))</f>
        <v/>
      </c>
      <c r="D2019" s="3" t="str">
        <f>IFERROR(__xludf.DUMMYFUNCTION("if(isblank(B2019),,ifna(textjoin(""; "",,filter('On Hand'!E:E,'On Hand'!A:A=A2019)),ifna(xlookup(A2019,'On Hand'!A:A,'On Hand'!E:E,),)))"),"")</f>
        <v/>
      </c>
    </row>
    <row r="2020">
      <c r="A2020" s="3" t="str">
        <f t="array" ref="A2020">ifna(_xlfn.xlookup(B2020,'All Item Code'!B:B,'All Item Code'!A:A,),)</f>
        <v/>
      </c>
      <c r="B2020" s="3"/>
      <c r="C2020" s="3" t="str">
        <f t="array" ref="C2020">if(B2020="Tidak Ada",,if(isblank(B2020),,ifna(sumif('On Hand'!A:A,A2020,'On Hand'!D:D)&amp;" "&amp;_xlfn.xlookup(A2020,'All Item Code'!A:A,'All Item Code'!D:D,),0)))</f>
        <v/>
      </c>
      <c r="D2020" s="3" t="str">
        <f>IFERROR(__xludf.DUMMYFUNCTION("if(isblank(B2020),,ifna(textjoin(""; "",,filter('On Hand'!E:E,'On Hand'!A:A=A2020)),ifna(xlookup(A2020,'On Hand'!A:A,'On Hand'!E:E,),)))"),"")</f>
        <v/>
      </c>
    </row>
    <row r="2021">
      <c r="A2021" s="3" t="str">
        <f t="array" ref="A2021">ifna(_xlfn.xlookup(B2021,'All Item Code'!B:B,'All Item Code'!A:A,),)</f>
        <v/>
      </c>
      <c r="B2021" s="3"/>
      <c r="C2021" s="3" t="str">
        <f t="array" ref="C2021">if(B2021="Tidak Ada",,if(isblank(B2021),,ifna(sumif('On Hand'!A:A,A2021,'On Hand'!D:D)&amp;" "&amp;_xlfn.xlookup(A2021,'All Item Code'!A:A,'All Item Code'!D:D,),0)))</f>
        <v/>
      </c>
      <c r="D2021" s="3" t="str">
        <f>IFERROR(__xludf.DUMMYFUNCTION("if(isblank(B2021),,ifna(textjoin(""; "",,filter('On Hand'!E:E,'On Hand'!A:A=A2021)),ifna(xlookup(A2021,'On Hand'!A:A,'On Hand'!E:E,),)))"),"")</f>
        <v/>
      </c>
    </row>
    <row r="2022">
      <c r="A2022" s="3" t="str">
        <f t="array" ref="A2022">ifna(_xlfn.xlookup(B2022,'All Item Code'!B:B,'All Item Code'!A:A,),)</f>
        <v/>
      </c>
      <c r="B2022" s="3"/>
      <c r="C2022" s="3" t="str">
        <f t="array" ref="C2022">if(B2022="Tidak Ada",,if(isblank(B2022),,ifna(sumif('On Hand'!A:A,A2022,'On Hand'!D:D)&amp;" "&amp;_xlfn.xlookup(A2022,'All Item Code'!A:A,'All Item Code'!D:D,),0)))</f>
        <v/>
      </c>
      <c r="D2022" s="3" t="str">
        <f>IFERROR(__xludf.DUMMYFUNCTION("if(isblank(B2022),,ifna(textjoin(""; "",,filter('On Hand'!E:E,'On Hand'!A:A=A2022)),ifna(xlookup(A2022,'On Hand'!A:A,'On Hand'!E:E,),)))"),"")</f>
        <v/>
      </c>
    </row>
    <row r="2023">
      <c r="A2023" s="3" t="str">
        <f t="array" ref="A2023">ifna(_xlfn.xlookup(B2023,'All Item Code'!B:B,'All Item Code'!A:A,),)</f>
        <v/>
      </c>
      <c r="B2023" s="3"/>
      <c r="C2023" s="3" t="str">
        <f t="array" ref="C2023">if(B2023="Tidak Ada",,if(isblank(B2023),,ifna(sumif('On Hand'!A:A,A2023,'On Hand'!D:D)&amp;" "&amp;_xlfn.xlookup(A2023,'All Item Code'!A:A,'All Item Code'!D:D,),0)))</f>
        <v/>
      </c>
      <c r="D2023" s="3" t="str">
        <f>IFERROR(__xludf.DUMMYFUNCTION("if(isblank(B2023),,ifna(textjoin(""; "",,filter('On Hand'!E:E,'On Hand'!A:A=A2023)),ifna(xlookup(A2023,'On Hand'!A:A,'On Hand'!E:E,),)))"),"")</f>
        <v/>
      </c>
    </row>
    <row r="2024">
      <c r="A2024" s="3" t="str">
        <f t="array" ref="A2024">ifna(_xlfn.xlookup(B2024,'All Item Code'!B:B,'All Item Code'!A:A,),)</f>
        <v/>
      </c>
      <c r="B2024" s="3"/>
      <c r="C2024" s="3" t="str">
        <f t="array" ref="C2024">if(B2024="Tidak Ada",,if(isblank(B2024),,ifna(sumif('On Hand'!A:A,A2024,'On Hand'!D:D)&amp;" "&amp;_xlfn.xlookup(A2024,'All Item Code'!A:A,'All Item Code'!D:D,),0)))</f>
        <v/>
      </c>
      <c r="D2024" s="3" t="str">
        <f>IFERROR(__xludf.DUMMYFUNCTION("if(isblank(B2024),,ifna(textjoin(""; "",,filter('On Hand'!E:E,'On Hand'!A:A=A2024)),ifna(xlookup(A2024,'On Hand'!A:A,'On Hand'!E:E,),)))"),"")</f>
        <v/>
      </c>
    </row>
    <row r="2025">
      <c r="A2025" s="3" t="str">
        <f t="array" ref="A2025">ifna(_xlfn.xlookup(B2025,'All Item Code'!B:B,'All Item Code'!A:A,),)</f>
        <v/>
      </c>
      <c r="B2025" s="3"/>
      <c r="C2025" s="3" t="str">
        <f t="array" ref="C2025">if(B2025="Tidak Ada",,if(isblank(B2025),,ifna(sumif('On Hand'!A:A,A2025,'On Hand'!D:D)&amp;" "&amp;_xlfn.xlookup(A2025,'All Item Code'!A:A,'All Item Code'!D:D,),0)))</f>
        <v/>
      </c>
      <c r="D2025" s="3" t="str">
        <f>IFERROR(__xludf.DUMMYFUNCTION("if(isblank(B2025),,ifna(textjoin(""; "",,filter('On Hand'!E:E,'On Hand'!A:A=A2025)),ifna(xlookup(A2025,'On Hand'!A:A,'On Hand'!E:E,),)))"),"")</f>
        <v/>
      </c>
    </row>
    <row r="2026">
      <c r="A2026" s="3" t="str">
        <f t="array" ref="A2026">ifna(_xlfn.xlookup(B2026,'All Item Code'!B:B,'All Item Code'!A:A,),)</f>
        <v/>
      </c>
      <c r="B2026" s="3"/>
      <c r="C2026" s="3" t="str">
        <f t="array" ref="C2026">if(B2026="Tidak Ada",,if(isblank(B2026),,ifna(sumif('On Hand'!A:A,A2026,'On Hand'!D:D)&amp;" "&amp;_xlfn.xlookup(A2026,'All Item Code'!A:A,'All Item Code'!D:D,),0)))</f>
        <v/>
      </c>
      <c r="D2026" s="3" t="str">
        <f>IFERROR(__xludf.DUMMYFUNCTION("if(isblank(B2026),,ifna(textjoin(""; "",,filter('On Hand'!E:E,'On Hand'!A:A=A2026)),ifna(xlookup(A2026,'On Hand'!A:A,'On Hand'!E:E,),)))"),"")</f>
        <v/>
      </c>
    </row>
    <row r="2027">
      <c r="A2027" s="3" t="str">
        <f t="array" ref="A2027">ifna(_xlfn.xlookup(B2027,'All Item Code'!B:B,'All Item Code'!A:A,),)</f>
        <v/>
      </c>
      <c r="B2027" s="3"/>
      <c r="C2027" s="3" t="str">
        <f t="array" ref="C2027">if(B2027="Tidak Ada",,if(isblank(B2027),,ifna(sumif('On Hand'!A:A,A2027,'On Hand'!D:D)&amp;" "&amp;_xlfn.xlookup(A2027,'All Item Code'!A:A,'All Item Code'!D:D,),0)))</f>
        <v/>
      </c>
      <c r="D2027" s="3" t="str">
        <f>IFERROR(__xludf.DUMMYFUNCTION("if(isblank(B2027),,ifna(textjoin(""; "",,filter('On Hand'!E:E,'On Hand'!A:A=A2027)),ifna(xlookup(A2027,'On Hand'!A:A,'On Hand'!E:E,),)))"),"")</f>
        <v/>
      </c>
    </row>
    <row r="2028">
      <c r="A2028" s="3" t="str">
        <f t="array" ref="A2028">ifna(_xlfn.xlookup(B2028,'All Item Code'!B:B,'All Item Code'!A:A,),)</f>
        <v/>
      </c>
      <c r="B2028" s="3"/>
      <c r="C2028" s="3" t="str">
        <f t="array" ref="C2028">if(B2028="Tidak Ada",,if(isblank(B2028),,ifna(sumif('On Hand'!A:A,A2028,'On Hand'!D:D)&amp;" "&amp;_xlfn.xlookup(A2028,'All Item Code'!A:A,'All Item Code'!D:D,),0)))</f>
        <v/>
      </c>
      <c r="D2028" s="3" t="str">
        <f>IFERROR(__xludf.DUMMYFUNCTION("if(isblank(B2028),,ifna(textjoin(""; "",,filter('On Hand'!E:E,'On Hand'!A:A=A2028)),ifna(xlookup(A2028,'On Hand'!A:A,'On Hand'!E:E,),)))"),"")</f>
        <v/>
      </c>
    </row>
    <row r="2029">
      <c r="A2029" s="3" t="str">
        <f t="array" ref="A2029">ifna(_xlfn.xlookup(B2029,'All Item Code'!B:B,'All Item Code'!A:A,),)</f>
        <v/>
      </c>
      <c r="B2029" s="3"/>
      <c r="C2029" s="3" t="str">
        <f t="array" ref="C2029">if(B2029="Tidak Ada",,if(isblank(B2029),,ifna(sumif('On Hand'!A:A,A2029,'On Hand'!D:D)&amp;" "&amp;_xlfn.xlookup(A2029,'All Item Code'!A:A,'All Item Code'!D:D,),0)))</f>
        <v/>
      </c>
      <c r="D2029" s="3" t="str">
        <f>IFERROR(__xludf.DUMMYFUNCTION("if(isblank(B2029),,ifna(textjoin(""; "",,filter('On Hand'!E:E,'On Hand'!A:A=A2029)),ifna(xlookup(A2029,'On Hand'!A:A,'On Hand'!E:E,),)))"),"")</f>
        <v/>
      </c>
    </row>
    <row r="2030">
      <c r="A2030" s="3" t="str">
        <f t="array" ref="A2030">ifna(_xlfn.xlookup(B2030,'All Item Code'!B:B,'All Item Code'!A:A,),)</f>
        <v/>
      </c>
      <c r="B2030" s="3"/>
      <c r="C2030" s="3" t="str">
        <f t="array" ref="C2030">if(B2030="Tidak Ada",,if(isblank(B2030),,ifna(sumif('On Hand'!A:A,A2030,'On Hand'!D:D)&amp;" "&amp;_xlfn.xlookup(A2030,'All Item Code'!A:A,'All Item Code'!D:D,),0)))</f>
        <v/>
      </c>
      <c r="D2030" s="3" t="str">
        <f>IFERROR(__xludf.DUMMYFUNCTION("if(isblank(B2030),,ifna(textjoin(""; "",,filter('On Hand'!E:E,'On Hand'!A:A=A2030)),ifna(xlookup(A2030,'On Hand'!A:A,'On Hand'!E:E,),)))"),"")</f>
        <v/>
      </c>
    </row>
    <row r="2031">
      <c r="A2031" s="3" t="str">
        <f t="array" ref="A2031">ifna(_xlfn.xlookup(B2031,'All Item Code'!B:B,'All Item Code'!A:A,),)</f>
        <v/>
      </c>
      <c r="B2031" s="3"/>
      <c r="C2031" s="3" t="str">
        <f t="array" ref="C2031">if(B2031="Tidak Ada",,if(isblank(B2031),,ifna(sumif('On Hand'!A:A,A2031,'On Hand'!D:D)&amp;" "&amp;_xlfn.xlookup(A2031,'All Item Code'!A:A,'All Item Code'!D:D,),0)))</f>
        <v/>
      </c>
      <c r="D2031" s="3" t="str">
        <f>IFERROR(__xludf.DUMMYFUNCTION("if(isblank(B2031),,ifna(textjoin(""; "",,filter('On Hand'!E:E,'On Hand'!A:A=A2031)),ifna(xlookup(A2031,'On Hand'!A:A,'On Hand'!E:E,),)))"),"")</f>
        <v/>
      </c>
    </row>
    <row r="2032">
      <c r="A2032" s="3" t="str">
        <f t="array" ref="A2032">ifna(_xlfn.xlookup(B2032,'All Item Code'!B:B,'All Item Code'!A:A,),)</f>
        <v/>
      </c>
      <c r="B2032" s="3"/>
      <c r="C2032" s="3" t="str">
        <f t="array" ref="C2032">if(B2032="Tidak Ada",,if(isblank(B2032),,ifna(sumif('On Hand'!A:A,A2032,'On Hand'!D:D)&amp;" "&amp;_xlfn.xlookup(A2032,'All Item Code'!A:A,'All Item Code'!D:D,),0)))</f>
        <v/>
      </c>
      <c r="D2032" s="3" t="str">
        <f>IFERROR(__xludf.DUMMYFUNCTION("if(isblank(B2032),,ifna(textjoin(""; "",,filter('On Hand'!E:E,'On Hand'!A:A=A2032)),ifna(xlookup(A2032,'On Hand'!A:A,'On Hand'!E:E,),)))"),"")</f>
        <v/>
      </c>
    </row>
    <row r="2033">
      <c r="A2033" s="3" t="str">
        <f t="array" ref="A2033">ifna(_xlfn.xlookup(B2033,'All Item Code'!B:B,'All Item Code'!A:A,),)</f>
        <v/>
      </c>
      <c r="B2033" s="3"/>
      <c r="C2033" s="3" t="str">
        <f t="array" ref="C2033">if(B2033="Tidak Ada",,if(isblank(B2033),,ifna(sumif('On Hand'!A:A,A2033,'On Hand'!D:D)&amp;" "&amp;_xlfn.xlookup(A2033,'All Item Code'!A:A,'All Item Code'!D:D,),0)))</f>
        <v/>
      </c>
      <c r="D2033" s="3" t="str">
        <f>IFERROR(__xludf.DUMMYFUNCTION("if(isblank(B2033),,ifna(textjoin(""; "",,filter('On Hand'!E:E,'On Hand'!A:A=A2033)),ifna(xlookup(A2033,'On Hand'!A:A,'On Hand'!E:E,),)))"),"")</f>
        <v/>
      </c>
    </row>
    <row r="2034">
      <c r="A2034" s="3" t="str">
        <f t="array" ref="A2034">ifna(_xlfn.xlookup(B2034,'All Item Code'!B:B,'All Item Code'!A:A,),)</f>
        <v/>
      </c>
      <c r="B2034" s="3"/>
      <c r="C2034" s="3" t="str">
        <f t="array" ref="C2034">if(B2034="Tidak Ada",,if(isblank(B2034),,ifna(sumif('On Hand'!A:A,A2034,'On Hand'!D:D)&amp;" "&amp;_xlfn.xlookup(A2034,'All Item Code'!A:A,'All Item Code'!D:D,),0)))</f>
        <v/>
      </c>
      <c r="D2034" s="3" t="str">
        <f>IFERROR(__xludf.DUMMYFUNCTION("if(isblank(B2034),,ifna(textjoin(""; "",,filter('On Hand'!E:E,'On Hand'!A:A=A2034)),ifna(xlookup(A2034,'On Hand'!A:A,'On Hand'!E:E,),)))"),"")</f>
        <v/>
      </c>
    </row>
    <row r="2035">
      <c r="A2035" s="3" t="str">
        <f t="array" ref="A2035">ifna(_xlfn.xlookup(B2035,'All Item Code'!B:B,'All Item Code'!A:A,),)</f>
        <v/>
      </c>
      <c r="B2035" s="3"/>
      <c r="C2035" s="3" t="str">
        <f t="array" ref="C2035">if(B2035="Tidak Ada",,if(isblank(B2035),,ifna(sumif('On Hand'!A:A,A2035,'On Hand'!D:D)&amp;" "&amp;_xlfn.xlookup(A2035,'All Item Code'!A:A,'All Item Code'!D:D,),0)))</f>
        <v/>
      </c>
      <c r="D2035" s="3" t="str">
        <f>IFERROR(__xludf.DUMMYFUNCTION("if(isblank(B2035),,ifna(textjoin(""; "",,filter('On Hand'!E:E,'On Hand'!A:A=A2035)),ifna(xlookup(A2035,'On Hand'!A:A,'On Hand'!E:E,),)))"),"")</f>
        <v/>
      </c>
    </row>
    <row r="2036">
      <c r="A2036" s="3" t="str">
        <f t="array" ref="A2036">ifna(_xlfn.xlookup(B2036,'All Item Code'!B:B,'All Item Code'!A:A,),)</f>
        <v/>
      </c>
      <c r="B2036" s="3"/>
      <c r="C2036" s="3" t="str">
        <f t="array" ref="C2036">if(B2036="Tidak Ada",,if(isblank(B2036),,ifna(sumif('On Hand'!A:A,A2036,'On Hand'!D:D)&amp;" "&amp;_xlfn.xlookup(A2036,'All Item Code'!A:A,'All Item Code'!D:D,),0)))</f>
        <v/>
      </c>
      <c r="D2036" s="3" t="str">
        <f>IFERROR(__xludf.DUMMYFUNCTION("if(isblank(B2036),,ifna(textjoin(""; "",,filter('On Hand'!E:E,'On Hand'!A:A=A2036)),ifna(xlookup(A2036,'On Hand'!A:A,'On Hand'!E:E,),)))"),"")</f>
        <v/>
      </c>
    </row>
    <row r="2037">
      <c r="A2037" s="3" t="str">
        <f t="array" ref="A2037">ifna(_xlfn.xlookup(B2037,'All Item Code'!B:B,'All Item Code'!A:A,),)</f>
        <v/>
      </c>
      <c r="B2037" s="3"/>
      <c r="C2037" s="3" t="str">
        <f t="array" ref="C2037">if(B2037="Tidak Ada",,if(isblank(B2037),,ifna(sumif('On Hand'!A:A,A2037,'On Hand'!D:D)&amp;" "&amp;_xlfn.xlookup(A2037,'All Item Code'!A:A,'All Item Code'!D:D,),0)))</f>
        <v/>
      </c>
      <c r="D2037" s="3" t="str">
        <f>IFERROR(__xludf.DUMMYFUNCTION("if(isblank(B2037),,ifna(textjoin(""; "",,filter('On Hand'!E:E,'On Hand'!A:A=A2037)),ifna(xlookup(A2037,'On Hand'!A:A,'On Hand'!E:E,),)))"),"")</f>
        <v/>
      </c>
    </row>
    <row r="2038">
      <c r="A2038" s="3" t="str">
        <f t="array" ref="A2038">ifna(_xlfn.xlookup(B2038,'All Item Code'!B:B,'All Item Code'!A:A,),)</f>
        <v/>
      </c>
      <c r="B2038" s="3"/>
      <c r="C2038" s="3" t="str">
        <f t="array" ref="C2038">if(B2038="Tidak Ada",,if(isblank(B2038),,ifna(sumif('On Hand'!A:A,A2038,'On Hand'!D:D)&amp;" "&amp;_xlfn.xlookup(A2038,'All Item Code'!A:A,'All Item Code'!D:D,),0)))</f>
        <v/>
      </c>
      <c r="D2038" s="3" t="str">
        <f>IFERROR(__xludf.DUMMYFUNCTION("if(isblank(B2038),,ifna(textjoin(""; "",,filter('On Hand'!E:E,'On Hand'!A:A=A2038)),ifna(xlookup(A2038,'On Hand'!A:A,'On Hand'!E:E,),)))"),"")</f>
        <v/>
      </c>
    </row>
    <row r="2039">
      <c r="A2039" s="3" t="str">
        <f t="array" ref="A2039">ifna(_xlfn.xlookup(B2039,'All Item Code'!B:B,'All Item Code'!A:A,),)</f>
        <v/>
      </c>
      <c r="B2039" s="3"/>
      <c r="C2039" s="3" t="str">
        <f t="array" ref="C2039">if(B2039="Tidak Ada",,if(isblank(B2039),,ifna(sumif('On Hand'!A:A,A2039,'On Hand'!D:D)&amp;" "&amp;_xlfn.xlookup(A2039,'All Item Code'!A:A,'All Item Code'!D:D,),0)))</f>
        <v/>
      </c>
      <c r="D2039" s="3" t="str">
        <f>IFERROR(__xludf.DUMMYFUNCTION("if(isblank(B2039),,ifna(textjoin(""; "",,filter('On Hand'!E:E,'On Hand'!A:A=A2039)),ifna(xlookup(A2039,'On Hand'!A:A,'On Hand'!E:E,),)))"),"")</f>
        <v/>
      </c>
    </row>
    <row r="2040">
      <c r="A2040" s="3" t="str">
        <f t="array" ref="A2040">ifna(_xlfn.xlookup(B2040,'All Item Code'!B:B,'All Item Code'!A:A,),)</f>
        <v/>
      </c>
      <c r="B2040" s="3"/>
      <c r="C2040" s="3" t="str">
        <f t="array" ref="C2040">if(B2040="Tidak Ada",,if(isblank(B2040),,ifna(sumif('On Hand'!A:A,A2040,'On Hand'!D:D)&amp;" "&amp;_xlfn.xlookup(A2040,'All Item Code'!A:A,'All Item Code'!D:D,),0)))</f>
        <v/>
      </c>
      <c r="D2040" s="3" t="str">
        <f>IFERROR(__xludf.DUMMYFUNCTION("if(isblank(B2040),,ifna(textjoin(""; "",,filter('On Hand'!E:E,'On Hand'!A:A=A2040)),ifna(xlookup(A2040,'On Hand'!A:A,'On Hand'!E:E,),)))"),"")</f>
        <v/>
      </c>
    </row>
    <row r="2041">
      <c r="A2041" s="3" t="str">
        <f t="array" ref="A2041">ifna(_xlfn.xlookup(B2041,'All Item Code'!B:B,'All Item Code'!A:A,),)</f>
        <v/>
      </c>
      <c r="B2041" s="3"/>
      <c r="C2041" s="3" t="str">
        <f t="array" ref="C2041">if(B2041="Tidak Ada",,if(isblank(B2041),,ifna(sumif('On Hand'!A:A,A2041,'On Hand'!D:D)&amp;" "&amp;_xlfn.xlookup(A2041,'All Item Code'!A:A,'All Item Code'!D:D,),0)))</f>
        <v/>
      </c>
      <c r="D2041" s="3" t="str">
        <f>IFERROR(__xludf.DUMMYFUNCTION("if(isblank(B2041),,ifna(textjoin(""; "",,filter('On Hand'!E:E,'On Hand'!A:A=A2041)),ifna(xlookup(A2041,'On Hand'!A:A,'On Hand'!E:E,),)))"),"")</f>
        <v/>
      </c>
    </row>
    <row r="2042">
      <c r="A2042" s="3" t="str">
        <f t="array" ref="A2042">ifna(_xlfn.xlookup(B2042,'All Item Code'!B:B,'All Item Code'!A:A,),)</f>
        <v/>
      </c>
      <c r="B2042" s="3"/>
      <c r="C2042" s="3" t="str">
        <f t="array" ref="C2042">if(B2042="Tidak Ada",,if(isblank(B2042),,ifna(sumif('On Hand'!A:A,A2042,'On Hand'!D:D)&amp;" "&amp;_xlfn.xlookup(A2042,'All Item Code'!A:A,'All Item Code'!D:D,),0)))</f>
        <v/>
      </c>
      <c r="D2042" s="3" t="str">
        <f>IFERROR(__xludf.DUMMYFUNCTION("if(isblank(B2042),,ifna(textjoin(""; "",,filter('On Hand'!E:E,'On Hand'!A:A=A2042)),ifna(xlookup(A2042,'On Hand'!A:A,'On Hand'!E:E,),)))"),"")</f>
        <v/>
      </c>
    </row>
    <row r="2043">
      <c r="A2043" s="3" t="str">
        <f t="array" ref="A2043">ifna(_xlfn.xlookup(B2043,'All Item Code'!B:B,'All Item Code'!A:A,),)</f>
        <v/>
      </c>
      <c r="B2043" s="3"/>
      <c r="C2043" s="3" t="str">
        <f t="array" ref="C2043">if(B2043="Tidak Ada",,if(isblank(B2043),,ifna(sumif('On Hand'!A:A,A2043,'On Hand'!D:D)&amp;" "&amp;_xlfn.xlookup(A2043,'All Item Code'!A:A,'All Item Code'!D:D,),0)))</f>
        <v/>
      </c>
      <c r="D2043" s="3" t="str">
        <f>IFERROR(__xludf.DUMMYFUNCTION("if(isblank(B2043),,ifna(textjoin(""; "",,filter('On Hand'!E:E,'On Hand'!A:A=A2043)),ifna(xlookup(A2043,'On Hand'!A:A,'On Hand'!E:E,),)))"),"")</f>
        <v/>
      </c>
    </row>
    <row r="2044">
      <c r="A2044" s="3" t="str">
        <f t="array" ref="A2044">ifna(_xlfn.xlookup(B2044,'All Item Code'!B:B,'All Item Code'!A:A,),)</f>
        <v/>
      </c>
      <c r="B2044" s="3"/>
      <c r="C2044" s="3" t="str">
        <f t="array" ref="C2044">if(B2044="Tidak Ada",,if(isblank(B2044),,ifna(sumif('On Hand'!A:A,A2044,'On Hand'!D:D)&amp;" "&amp;_xlfn.xlookup(A2044,'All Item Code'!A:A,'All Item Code'!D:D,),0)))</f>
        <v/>
      </c>
      <c r="D2044" s="3" t="str">
        <f>IFERROR(__xludf.DUMMYFUNCTION("if(isblank(B2044),,ifna(textjoin(""; "",,filter('On Hand'!E:E,'On Hand'!A:A=A2044)),ifna(xlookup(A2044,'On Hand'!A:A,'On Hand'!E:E,),)))"),"")</f>
        <v/>
      </c>
    </row>
    <row r="2045">
      <c r="A2045" s="3" t="str">
        <f t="array" ref="A2045">ifna(_xlfn.xlookup(B2045,'All Item Code'!B:B,'All Item Code'!A:A,),)</f>
        <v/>
      </c>
      <c r="B2045" s="3"/>
      <c r="C2045" s="3" t="str">
        <f t="array" ref="C2045">if(B2045="Tidak Ada",,if(isblank(B2045),,ifna(sumif('On Hand'!A:A,A2045,'On Hand'!D:D)&amp;" "&amp;_xlfn.xlookup(A2045,'All Item Code'!A:A,'All Item Code'!D:D,),0)))</f>
        <v/>
      </c>
      <c r="D2045" s="3" t="str">
        <f>IFERROR(__xludf.DUMMYFUNCTION("if(isblank(B2045),,ifna(textjoin(""; "",,filter('On Hand'!E:E,'On Hand'!A:A=A2045)),ifna(xlookup(A2045,'On Hand'!A:A,'On Hand'!E:E,),)))"),"")</f>
        <v/>
      </c>
    </row>
    <row r="2046">
      <c r="A2046" s="3" t="str">
        <f t="array" ref="A2046">ifna(_xlfn.xlookup(B2046,'All Item Code'!B:B,'All Item Code'!A:A,),)</f>
        <v/>
      </c>
      <c r="B2046" s="3"/>
      <c r="C2046" s="3" t="str">
        <f t="array" ref="C2046">if(B2046="Tidak Ada",,if(isblank(B2046),,ifna(sumif('On Hand'!A:A,A2046,'On Hand'!D:D)&amp;" "&amp;_xlfn.xlookup(A2046,'All Item Code'!A:A,'All Item Code'!D:D,),0)))</f>
        <v/>
      </c>
      <c r="D2046" s="3" t="str">
        <f>IFERROR(__xludf.DUMMYFUNCTION("if(isblank(B2046),,ifna(textjoin(""; "",,filter('On Hand'!E:E,'On Hand'!A:A=A2046)),ifna(xlookup(A2046,'On Hand'!A:A,'On Hand'!E:E,),)))"),"")</f>
        <v/>
      </c>
    </row>
    <row r="2047">
      <c r="A2047" s="3" t="str">
        <f t="array" ref="A2047">ifna(_xlfn.xlookup(B2047,'All Item Code'!B:B,'All Item Code'!A:A,),)</f>
        <v/>
      </c>
      <c r="B2047" s="3"/>
      <c r="C2047" s="3" t="str">
        <f t="array" ref="C2047">if(B2047="Tidak Ada",,if(isblank(B2047),,ifna(sumif('On Hand'!A:A,A2047,'On Hand'!D:D)&amp;" "&amp;_xlfn.xlookup(A2047,'All Item Code'!A:A,'All Item Code'!D:D,),0)))</f>
        <v/>
      </c>
      <c r="D2047" s="3" t="str">
        <f>IFERROR(__xludf.DUMMYFUNCTION("if(isblank(B2047),,ifna(textjoin(""; "",,filter('On Hand'!E:E,'On Hand'!A:A=A2047)),ifna(xlookup(A2047,'On Hand'!A:A,'On Hand'!E:E,),)))"),"")</f>
        <v/>
      </c>
    </row>
    <row r="2048">
      <c r="A2048" s="3" t="str">
        <f t="array" ref="A2048">ifna(_xlfn.xlookup(B2048,'All Item Code'!B:B,'All Item Code'!A:A,),)</f>
        <v/>
      </c>
      <c r="B2048" s="3"/>
      <c r="C2048" s="3" t="str">
        <f t="array" ref="C2048">if(B2048="Tidak Ada",,if(isblank(B2048),,ifna(sumif('On Hand'!A:A,A2048,'On Hand'!D:D)&amp;" "&amp;_xlfn.xlookup(A2048,'All Item Code'!A:A,'All Item Code'!D:D,),0)))</f>
        <v/>
      </c>
      <c r="D2048" s="3" t="str">
        <f>IFERROR(__xludf.DUMMYFUNCTION("if(isblank(B2048),,ifna(textjoin(""; "",,filter('On Hand'!E:E,'On Hand'!A:A=A2048)),ifna(xlookup(A2048,'On Hand'!A:A,'On Hand'!E:E,),)))"),"")</f>
        <v/>
      </c>
    </row>
    <row r="2049">
      <c r="A2049" s="3" t="str">
        <f t="array" ref="A2049">ifna(_xlfn.xlookup(B2049,'All Item Code'!B:B,'All Item Code'!A:A,),)</f>
        <v/>
      </c>
      <c r="B2049" s="3"/>
      <c r="C2049" s="3" t="str">
        <f t="array" ref="C2049">if(B2049="Tidak Ada",,if(isblank(B2049),,ifna(sumif('On Hand'!A:A,A2049,'On Hand'!D:D)&amp;" "&amp;_xlfn.xlookup(A2049,'All Item Code'!A:A,'All Item Code'!D:D,),0)))</f>
        <v/>
      </c>
      <c r="D2049" s="3" t="str">
        <f>IFERROR(__xludf.DUMMYFUNCTION("if(isblank(B2049),,ifna(textjoin(""; "",,filter('On Hand'!E:E,'On Hand'!A:A=A2049)),ifna(xlookup(A2049,'On Hand'!A:A,'On Hand'!E:E,),)))"),"")</f>
        <v/>
      </c>
    </row>
    <row r="2050">
      <c r="A2050" s="3" t="str">
        <f t="array" ref="A2050">ifna(_xlfn.xlookup(B2050,'All Item Code'!B:B,'All Item Code'!A:A,),)</f>
        <v/>
      </c>
      <c r="B2050" s="3"/>
      <c r="C2050" s="3" t="str">
        <f t="array" ref="C2050">if(B2050="Tidak Ada",,if(isblank(B2050),,ifna(sumif('On Hand'!A:A,A2050,'On Hand'!D:D)&amp;" "&amp;_xlfn.xlookup(A2050,'All Item Code'!A:A,'All Item Code'!D:D,),0)))</f>
        <v/>
      </c>
      <c r="D2050" s="3" t="str">
        <f>IFERROR(__xludf.DUMMYFUNCTION("if(isblank(B2050),,ifna(textjoin(""; "",,filter('On Hand'!E:E,'On Hand'!A:A=A2050)),ifna(xlookup(A2050,'On Hand'!A:A,'On Hand'!E:E,),)))"),"")</f>
        <v/>
      </c>
    </row>
    <row r="2051">
      <c r="A2051" s="3" t="str">
        <f t="array" ref="A2051">ifna(_xlfn.xlookup(B2051,'All Item Code'!B:B,'All Item Code'!A:A,),)</f>
        <v/>
      </c>
      <c r="B2051" s="3"/>
      <c r="C2051" s="3" t="str">
        <f t="array" ref="C2051">if(B2051="Tidak Ada",,if(isblank(B2051),,ifna(sumif('On Hand'!A:A,A2051,'On Hand'!D:D)&amp;" "&amp;_xlfn.xlookup(A2051,'All Item Code'!A:A,'All Item Code'!D:D,),0)))</f>
        <v/>
      </c>
      <c r="D2051" s="3" t="str">
        <f>IFERROR(__xludf.DUMMYFUNCTION("if(isblank(B2051),,ifna(textjoin(""; "",,filter('On Hand'!E:E,'On Hand'!A:A=A2051)),ifna(xlookup(A2051,'On Hand'!A:A,'On Hand'!E:E,),)))"),"")</f>
        <v/>
      </c>
    </row>
    <row r="2052">
      <c r="A2052" s="3" t="str">
        <f t="array" ref="A2052">ifna(_xlfn.xlookup(B2052,'All Item Code'!B:B,'All Item Code'!A:A,),)</f>
        <v/>
      </c>
      <c r="B2052" s="3"/>
      <c r="C2052" s="3" t="str">
        <f t="array" ref="C2052">if(B2052="Tidak Ada",,if(isblank(B2052),,ifna(sumif('On Hand'!A:A,A2052,'On Hand'!D:D)&amp;" "&amp;_xlfn.xlookup(A2052,'All Item Code'!A:A,'All Item Code'!D:D,),0)))</f>
        <v/>
      </c>
      <c r="D2052" s="3" t="str">
        <f>IFERROR(__xludf.DUMMYFUNCTION("if(isblank(B2052),,ifna(textjoin(""; "",,filter('On Hand'!E:E,'On Hand'!A:A=A2052)),ifna(xlookup(A2052,'On Hand'!A:A,'On Hand'!E:E,),)))"),"")</f>
        <v/>
      </c>
    </row>
    <row r="2053">
      <c r="A2053" s="3" t="str">
        <f t="array" ref="A2053">ifna(_xlfn.xlookup(B2053,'All Item Code'!B:B,'All Item Code'!A:A,),)</f>
        <v/>
      </c>
      <c r="B2053" s="3"/>
      <c r="C2053" s="3" t="str">
        <f t="array" ref="C2053">if(B2053="Tidak Ada",,if(isblank(B2053),,ifna(sumif('On Hand'!A:A,A2053,'On Hand'!D:D)&amp;" "&amp;_xlfn.xlookup(A2053,'All Item Code'!A:A,'All Item Code'!D:D,),0)))</f>
        <v/>
      </c>
      <c r="D2053" s="3" t="str">
        <f>IFERROR(__xludf.DUMMYFUNCTION("if(isblank(B2053),,ifna(textjoin(""; "",,filter('On Hand'!E:E,'On Hand'!A:A=A2053)),ifna(xlookup(A2053,'On Hand'!A:A,'On Hand'!E:E,),)))"),"")</f>
        <v/>
      </c>
    </row>
    <row r="2054">
      <c r="A2054" s="3" t="str">
        <f t="array" ref="A2054">ifna(_xlfn.xlookup(B2054,'All Item Code'!B:B,'All Item Code'!A:A,),)</f>
        <v/>
      </c>
      <c r="B2054" s="3"/>
      <c r="C2054" s="3" t="str">
        <f t="array" ref="C2054">if(B2054="Tidak Ada",,if(isblank(B2054),,ifna(sumif('On Hand'!A:A,A2054,'On Hand'!D:D)&amp;" "&amp;_xlfn.xlookup(A2054,'All Item Code'!A:A,'All Item Code'!D:D,),0)))</f>
        <v/>
      </c>
      <c r="D2054" s="3" t="str">
        <f>IFERROR(__xludf.DUMMYFUNCTION("if(isblank(B2054),,ifna(textjoin(""; "",,filter('On Hand'!E:E,'On Hand'!A:A=A2054)),ifna(xlookup(A2054,'On Hand'!A:A,'On Hand'!E:E,),)))"),"")</f>
        <v/>
      </c>
    </row>
    <row r="2055">
      <c r="A2055" s="3" t="str">
        <f t="array" ref="A2055">ifna(_xlfn.xlookup(B2055,'All Item Code'!B:B,'All Item Code'!A:A,),)</f>
        <v/>
      </c>
      <c r="B2055" s="3"/>
      <c r="C2055" s="3" t="str">
        <f t="array" ref="C2055">if(B2055="Tidak Ada",,if(isblank(B2055),,ifna(sumif('On Hand'!A:A,A2055,'On Hand'!D:D)&amp;" "&amp;_xlfn.xlookup(A2055,'All Item Code'!A:A,'All Item Code'!D:D,),0)))</f>
        <v/>
      </c>
      <c r="D2055" s="3" t="str">
        <f>IFERROR(__xludf.DUMMYFUNCTION("if(isblank(B2055),,ifna(textjoin(""; "",,filter('On Hand'!E:E,'On Hand'!A:A=A2055)),ifna(xlookup(A2055,'On Hand'!A:A,'On Hand'!E:E,),)))"),"")</f>
        <v/>
      </c>
    </row>
    <row r="2056">
      <c r="A2056" s="3" t="str">
        <f t="array" ref="A2056">ifna(_xlfn.xlookup(B2056,'All Item Code'!B:B,'All Item Code'!A:A,),)</f>
        <v/>
      </c>
      <c r="B2056" s="3"/>
      <c r="C2056" s="3" t="str">
        <f t="array" ref="C2056">if(B2056="Tidak Ada",,if(isblank(B2056),,ifna(sumif('On Hand'!A:A,A2056,'On Hand'!D:D)&amp;" "&amp;_xlfn.xlookup(A2056,'All Item Code'!A:A,'All Item Code'!D:D,),0)))</f>
        <v/>
      </c>
      <c r="D2056" s="3" t="str">
        <f>IFERROR(__xludf.DUMMYFUNCTION("if(isblank(B2056),,ifna(textjoin(""; "",,filter('On Hand'!E:E,'On Hand'!A:A=A2056)),ifna(xlookup(A2056,'On Hand'!A:A,'On Hand'!E:E,),)))"),"")</f>
        <v/>
      </c>
    </row>
    <row r="2057">
      <c r="A2057" s="3" t="str">
        <f t="array" ref="A2057">ifna(_xlfn.xlookup(B2057,'All Item Code'!B:B,'All Item Code'!A:A,),)</f>
        <v/>
      </c>
      <c r="B2057" s="3"/>
      <c r="C2057" s="3" t="str">
        <f t="array" ref="C2057">if(B2057="Tidak Ada",,if(isblank(B2057),,ifna(sumif('On Hand'!A:A,A2057,'On Hand'!D:D)&amp;" "&amp;_xlfn.xlookup(A2057,'All Item Code'!A:A,'All Item Code'!D:D,),0)))</f>
        <v/>
      </c>
      <c r="D2057" s="3" t="str">
        <f>IFERROR(__xludf.DUMMYFUNCTION("if(isblank(B2057),,ifna(textjoin(""; "",,filter('On Hand'!E:E,'On Hand'!A:A=A2057)),ifna(xlookup(A2057,'On Hand'!A:A,'On Hand'!E:E,),)))"),"")</f>
        <v/>
      </c>
    </row>
    <row r="2058">
      <c r="A2058" s="3" t="str">
        <f t="array" ref="A2058">ifna(_xlfn.xlookup(B2058,'All Item Code'!B:B,'All Item Code'!A:A,),)</f>
        <v/>
      </c>
      <c r="B2058" s="3"/>
      <c r="C2058" s="3" t="str">
        <f t="array" ref="C2058">if(B2058="Tidak Ada",,if(isblank(B2058),,ifna(sumif('On Hand'!A:A,A2058,'On Hand'!D:D)&amp;" "&amp;_xlfn.xlookup(A2058,'All Item Code'!A:A,'All Item Code'!D:D,),0)))</f>
        <v/>
      </c>
      <c r="D2058" s="3" t="str">
        <f>IFERROR(__xludf.DUMMYFUNCTION("if(isblank(B2058),,ifna(textjoin(""; "",,filter('On Hand'!E:E,'On Hand'!A:A=A2058)),ifna(xlookup(A2058,'On Hand'!A:A,'On Hand'!E:E,),)))"),"")</f>
        <v/>
      </c>
    </row>
    <row r="2059">
      <c r="A2059" s="3" t="str">
        <f t="array" ref="A2059">ifna(_xlfn.xlookup(B2059,'All Item Code'!B:B,'All Item Code'!A:A,),)</f>
        <v/>
      </c>
      <c r="B2059" s="3"/>
      <c r="C2059" s="3" t="str">
        <f t="array" ref="C2059">if(B2059="Tidak Ada",,if(isblank(B2059),,ifna(sumif('On Hand'!A:A,A2059,'On Hand'!D:D)&amp;" "&amp;_xlfn.xlookup(A2059,'All Item Code'!A:A,'All Item Code'!D:D,),0)))</f>
        <v/>
      </c>
      <c r="D2059" s="3" t="str">
        <f>IFERROR(__xludf.DUMMYFUNCTION("if(isblank(B2059),,ifna(textjoin(""; "",,filter('On Hand'!E:E,'On Hand'!A:A=A2059)),ifna(xlookup(A2059,'On Hand'!A:A,'On Hand'!E:E,),)))"),"")</f>
        <v/>
      </c>
    </row>
    <row r="2060">
      <c r="A2060" s="3" t="str">
        <f t="array" ref="A2060">ifna(_xlfn.xlookup(B2060,'All Item Code'!B:B,'All Item Code'!A:A,),)</f>
        <v/>
      </c>
      <c r="B2060" s="3"/>
      <c r="C2060" s="3" t="str">
        <f t="array" ref="C2060">if(B2060="Tidak Ada",,if(isblank(B2060),,ifna(sumif('On Hand'!A:A,A2060,'On Hand'!D:D)&amp;" "&amp;_xlfn.xlookup(A2060,'All Item Code'!A:A,'All Item Code'!D:D,),0)))</f>
        <v/>
      </c>
      <c r="D2060" s="3" t="str">
        <f>IFERROR(__xludf.DUMMYFUNCTION("if(isblank(B2060),,ifna(textjoin(""; "",,filter('On Hand'!E:E,'On Hand'!A:A=A2060)),ifna(xlookup(A2060,'On Hand'!A:A,'On Hand'!E:E,),)))"),"")</f>
        <v/>
      </c>
    </row>
    <row r="2061">
      <c r="A2061" s="3" t="str">
        <f t="array" ref="A2061">ifna(_xlfn.xlookup(B2061,'All Item Code'!B:B,'All Item Code'!A:A,),)</f>
        <v/>
      </c>
      <c r="B2061" s="3"/>
      <c r="C2061" s="3" t="str">
        <f t="array" ref="C2061">if(B2061="Tidak Ada",,if(isblank(B2061),,ifna(sumif('On Hand'!A:A,A2061,'On Hand'!D:D)&amp;" "&amp;_xlfn.xlookup(A2061,'All Item Code'!A:A,'All Item Code'!D:D,),0)))</f>
        <v/>
      </c>
      <c r="D2061" s="3" t="str">
        <f>IFERROR(__xludf.DUMMYFUNCTION("if(isblank(B2061),,ifna(textjoin(""; "",,filter('On Hand'!E:E,'On Hand'!A:A=A2061)),ifna(xlookup(A2061,'On Hand'!A:A,'On Hand'!E:E,),)))"),"")</f>
        <v/>
      </c>
    </row>
    <row r="2062">
      <c r="A2062" s="3" t="str">
        <f t="array" ref="A2062">ifna(_xlfn.xlookup(B2062,'All Item Code'!B:B,'All Item Code'!A:A,),)</f>
        <v/>
      </c>
      <c r="B2062" s="3"/>
      <c r="C2062" s="3" t="str">
        <f t="array" ref="C2062">if(B2062="Tidak Ada",,if(isblank(B2062),,ifna(sumif('On Hand'!A:A,A2062,'On Hand'!D:D)&amp;" "&amp;_xlfn.xlookup(A2062,'All Item Code'!A:A,'All Item Code'!D:D,),0)))</f>
        <v/>
      </c>
      <c r="D2062" s="3" t="str">
        <f>IFERROR(__xludf.DUMMYFUNCTION("if(isblank(B2062),,ifna(textjoin(""; "",,filter('On Hand'!E:E,'On Hand'!A:A=A2062)),ifna(xlookup(A2062,'On Hand'!A:A,'On Hand'!E:E,),)))"),"")</f>
        <v/>
      </c>
    </row>
    <row r="2063">
      <c r="A2063" s="3" t="str">
        <f t="array" ref="A2063">ifna(_xlfn.xlookup(B2063,'All Item Code'!B:B,'All Item Code'!A:A,),)</f>
        <v/>
      </c>
      <c r="B2063" s="3"/>
      <c r="C2063" s="3" t="str">
        <f t="array" ref="C2063">if(B2063="Tidak Ada",,if(isblank(B2063),,ifna(sumif('On Hand'!A:A,A2063,'On Hand'!D:D)&amp;" "&amp;_xlfn.xlookup(A2063,'All Item Code'!A:A,'All Item Code'!D:D,),0)))</f>
        <v/>
      </c>
      <c r="D2063" s="3" t="str">
        <f>IFERROR(__xludf.DUMMYFUNCTION("if(isblank(B2063),,ifna(textjoin(""; "",,filter('On Hand'!E:E,'On Hand'!A:A=A2063)),ifna(xlookup(A2063,'On Hand'!A:A,'On Hand'!E:E,),)))"),"")</f>
        <v/>
      </c>
    </row>
    <row r="2064">
      <c r="A2064" s="3" t="str">
        <f t="array" ref="A2064">ifna(_xlfn.xlookup(B2064,'All Item Code'!B:B,'All Item Code'!A:A,),)</f>
        <v/>
      </c>
      <c r="B2064" s="3"/>
      <c r="C2064" s="3" t="str">
        <f t="array" ref="C2064">if(B2064="Tidak Ada",,if(isblank(B2064),,ifna(sumif('On Hand'!A:A,A2064,'On Hand'!D:D)&amp;" "&amp;_xlfn.xlookup(A2064,'All Item Code'!A:A,'All Item Code'!D:D,),0)))</f>
        <v/>
      </c>
      <c r="D2064" s="3" t="str">
        <f>IFERROR(__xludf.DUMMYFUNCTION("if(isblank(B2064),,ifna(textjoin(""; "",,filter('On Hand'!E:E,'On Hand'!A:A=A2064)),ifna(xlookup(A2064,'On Hand'!A:A,'On Hand'!E:E,),)))"),"")</f>
        <v/>
      </c>
    </row>
    <row r="2065">
      <c r="A2065" s="3" t="str">
        <f t="array" ref="A2065">ifna(_xlfn.xlookup(B2065,'All Item Code'!B:B,'All Item Code'!A:A,),)</f>
        <v/>
      </c>
      <c r="B2065" s="3"/>
      <c r="C2065" s="3" t="str">
        <f t="array" ref="C2065">if(B2065="Tidak Ada",,if(isblank(B2065),,ifna(sumif('On Hand'!A:A,A2065,'On Hand'!D:D)&amp;" "&amp;_xlfn.xlookup(A2065,'All Item Code'!A:A,'All Item Code'!D:D,),0)))</f>
        <v/>
      </c>
      <c r="D2065" s="3" t="str">
        <f>IFERROR(__xludf.DUMMYFUNCTION("if(isblank(B2065),,ifna(textjoin(""; "",,filter('On Hand'!E:E,'On Hand'!A:A=A2065)),ifna(xlookup(A2065,'On Hand'!A:A,'On Hand'!E:E,),)))"),"")</f>
        <v/>
      </c>
    </row>
    <row r="2066">
      <c r="A2066" s="3" t="str">
        <f t="array" ref="A2066">ifna(_xlfn.xlookup(B2066,'All Item Code'!B:B,'All Item Code'!A:A,),)</f>
        <v/>
      </c>
      <c r="B2066" s="3"/>
      <c r="C2066" s="3" t="str">
        <f t="array" ref="C2066">if(B2066="Tidak Ada",,if(isblank(B2066),,ifna(sumif('On Hand'!A:A,A2066,'On Hand'!D:D)&amp;" "&amp;_xlfn.xlookup(A2066,'All Item Code'!A:A,'All Item Code'!D:D,),0)))</f>
        <v/>
      </c>
      <c r="D2066" s="3" t="str">
        <f>IFERROR(__xludf.DUMMYFUNCTION("if(isblank(B2066),,ifna(textjoin(""; "",,filter('On Hand'!E:E,'On Hand'!A:A=A2066)),ifna(xlookup(A2066,'On Hand'!A:A,'On Hand'!E:E,),)))"),"")</f>
        <v/>
      </c>
    </row>
    <row r="2067">
      <c r="A2067" s="3" t="str">
        <f t="array" ref="A2067">ifna(_xlfn.xlookup(B2067,'All Item Code'!B:B,'All Item Code'!A:A,),)</f>
        <v/>
      </c>
      <c r="B2067" s="3"/>
      <c r="C2067" s="3" t="str">
        <f t="array" ref="C2067">if(B2067="Tidak Ada",,if(isblank(B2067),,ifna(sumif('On Hand'!A:A,A2067,'On Hand'!D:D)&amp;" "&amp;_xlfn.xlookup(A2067,'All Item Code'!A:A,'All Item Code'!D:D,),0)))</f>
        <v/>
      </c>
      <c r="D2067" s="3" t="str">
        <f>IFERROR(__xludf.DUMMYFUNCTION("if(isblank(B2067),,ifna(textjoin(""; "",,filter('On Hand'!E:E,'On Hand'!A:A=A2067)),ifna(xlookup(A2067,'On Hand'!A:A,'On Hand'!E:E,),)))"),"")</f>
        <v/>
      </c>
    </row>
    <row r="2068">
      <c r="A2068" s="3" t="str">
        <f t="array" ref="A2068">ifna(_xlfn.xlookup(B2068,'All Item Code'!B:B,'All Item Code'!A:A,),)</f>
        <v/>
      </c>
      <c r="B2068" s="3"/>
      <c r="C2068" s="3" t="str">
        <f t="array" ref="C2068">if(B2068="Tidak Ada",,if(isblank(B2068),,ifna(sumif('On Hand'!A:A,A2068,'On Hand'!D:D)&amp;" "&amp;_xlfn.xlookup(A2068,'All Item Code'!A:A,'All Item Code'!D:D,),0)))</f>
        <v/>
      </c>
      <c r="D2068" s="3" t="str">
        <f>IFERROR(__xludf.DUMMYFUNCTION("if(isblank(B2068),,ifna(textjoin(""; "",,filter('On Hand'!E:E,'On Hand'!A:A=A2068)),ifna(xlookup(A2068,'On Hand'!A:A,'On Hand'!E:E,),)))"),"")</f>
        <v/>
      </c>
    </row>
    <row r="2069">
      <c r="A2069" s="3" t="str">
        <f t="array" ref="A2069">ifna(_xlfn.xlookup(B2069,'All Item Code'!B:B,'All Item Code'!A:A,),)</f>
        <v/>
      </c>
      <c r="B2069" s="3"/>
      <c r="C2069" s="3" t="str">
        <f t="array" ref="C2069">if(B2069="Tidak Ada",,if(isblank(B2069),,ifna(sumif('On Hand'!A:A,A2069,'On Hand'!D:D)&amp;" "&amp;_xlfn.xlookup(A2069,'All Item Code'!A:A,'All Item Code'!D:D,),0)))</f>
        <v/>
      </c>
      <c r="D2069" s="3" t="str">
        <f>IFERROR(__xludf.DUMMYFUNCTION("if(isblank(B2069),,ifna(textjoin(""; "",,filter('On Hand'!E:E,'On Hand'!A:A=A2069)),ifna(xlookup(A2069,'On Hand'!A:A,'On Hand'!E:E,),)))"),"")</f>
        <v/>
      </c>
    </row>
    <row r="2070">
      <c r="A2070" s="3" t="str">
        <f t="array" ref="A2070">ifna(_xlfn.xlookup(B2070,'All Item Code'!B:B,'All Item Code'!A:A,),)</f>
        <v/>
      </c>
      <c r="B2070" s="3"/>
      <c r="C2070" s="3" t="str">
        <f t="array" ref="C2070">if(B2070="Tidak Ada",,if(isblank(B2070),,ifna(sumif('On Hand'!A:A,A2070,'On Hand'!D:D)&amp;" "&amp;_xlfn.xlookup(A2070,'All Item Code'!A:A,'All Item Code'!D:D,),0)))</f>
        <v/>
      </c>
      <c r="D2070" s="3" t="str">
        <f>IFERROR(__xludf.DUMMYFUNCTION("if(isblank(B2070),,ifna(textjoin(""; "",,filter('On Hand'!E:E,'On Hand'!A:A=A2070)),ifna(xlookup(A2070,'On Hand'!A:A,'On Hand'!E:E,),)))"),"")</f>
        <v/>
      </c>
    </row>
    <row r="2071">
      <c r="A2071" s="3" t="str">
        <f t="array" ref="A2071">ifna(_xlfn.xlookup(B2071,'All Item Code'!B:B,'All Item Code'!A:A,),)</f>
        <v/>
      </c>
      <c r="B2071" s="3"/>
      <c r="C2071" s="3" t="str">
        <f t="array" ref="C2071">if(B2071="Tidak Ada",,if(isblank(B2071),,ifna(sumif('On Hand'!A:A,A2071,'On Hand'!D:D)&amp;" "&amp;_xlfn.xlookup(A2071,'All Item Code'!A:A,'All Item Code'!D:D,),0)))</f>
        <v/>
      </c>
      <c r="D2071" s="3" t="str">
        <f>IFERROR(__xludf.DUMMYFUNCTION("if(isblank(B2071),,ifna(textjoin(""; "",,filter('On Hand'!E:E,'On Hand'!A:A=A2071)),ifna(xlookup(A2071,'On Hand'!A:A,'On Hand'!E:E,),)))"),"")</f>
        <v/>
      </c>
    </row>
    <row r="2072">
      <c r="A2072" s="3" t="str">
        <f t="array" ref="A2072">ifna(_xlfn.xlookup(B2072,'All Item Code'!B:B,'All Item Code'!A:A,),)</f>
        <v/>
      </c>
      <c r="B2072" s="3"/>
      <c r="C2072" s="3" t="str">
        <f t="array" ref="C2072">if(B2072="Tidak Ada",,if(isblank(B2072),,ifna(sumif('On Hand'!A:A,A2072,'On Hand'!D:D)&amp;" "&amp;_xlfn.xlookup(A2072,'All Item Code'!A:A,'All Item Code'!D:D,),0)))</f>
        <v/>
      </c>
      <c r="D2072" s="3" t="str">
        <f>IFERROR(__xludf.DUMMYFUNCTION("if(isblank(B2072),,ifna(textjoin(""; "",,filter('On Hand'!E:E,'On Hand'!A:A=A2072)),ifna(xlookup(A2072,'On Hand'!A:A,'On Hand'!E:E,),)))"),"")</f>
        <v/>
      </c>
    </row>
    <row r="2073">
      <c r="A2073" s="3" t="str">
        <f t="array" ref="A2073">ifna(_xlfn.xlookup(B2073,'All Item Code'!B:B,'All Item Code'!A:A,),)</f>
        <v/>
      </c>
      <c r="B2073" s="3"/>
      <c r="C2073" s="3" t="str">
        <f t="array" ref="C2073">if(B2073="Tidak Ada",,if(isblank(B2073),,ifna(sumif('On Hand'!A:A,A2073,'On Hand'!D:D)&amp;" "&amp;_xlfn.xlookup(A2073,'All Item Code'!A:A,'All Item Code'!D:D,),0)))</f>
        <v/>
      </c>
      <c r="D2073" s="3" t="str">
        <f>IFERROR(__xludf.DUMMYFUNCTION("if(isblank(B2073),,ifna(textjoin(""; "",,filter('On Hand'!E:E,'On Hand'!A:A=A2073)),ifna(xlookup(A2073,'On Hand'!A:A,'On Hand'!E:E,),)))"),"")</f>
        <v/>
      </c>
    </row>
    <row r="2074">
      <c r="A2074" s="3" t="str">
        <f t="array" ref="A2074">ifna(_xlfn.xlookup(B2074,'All Item Code'!B:B,'All Item Code'!A:A,),)</f>
        <v/>
      </c>
      <c r="B2074" s="3"/>
      <c r="C2074" s="3" t="str">
        <f t="array" ref="C2074">if(B2074="Tidak Ada",,if(isblank(B2074),,ifna(sumif('On Hand'!A:A,A2074,'On Hand'!D:D)&amp;" "&amp;_xlfn.xlookup(A2074,'All Item Code'!A:A,'All Item Code'!D:D,),0)))</f>
        <v/>
      </c>
      <c r="D2074" s="3" t="str">
        <f>IFERROR(__xludf.DUMMYFUNCTION("if(isblank(B2074),,ifna(textjoin(""; "",,filter('On Hand'!E:E,'On Hand'!A:A=A2074)),ifna(xlookup(A2074,'On Hand'!A:A,'On Hand'!E:E,),)))"),"")</f>
        <v/>
      </c>
    </row>
    <row r="2075">
      <c r="A2075" s="3" t="str">
        <f t="array" ref="A2075">ifna(_xlfn.xlookup(B2075,'All Item Code'!B:B,'All Item Code'!A:A,),)</f>
        <v/>
      </c>
      <c r="B2075" s="3"/>
      <c r="C2075" s="3" t="str">
        <f t="array" ref="C2075">if(B2075="Tidak Ada",,if(isblank(B2075),,ifna(sumif('On Hand'!A:A,A2075,'On Hand'!D:D)&amp;" "&amp;_xlfn.xlookup(A2075,'All Item Code'!A:A,'All Item Code'!D:D,),0)))</f>
        <v/>
      </c>
      <c r="D2075" s="3" t="str">
        <f>IFERROR(__xludf.DUMMYFUNCTION("if(isblank(B2075),,ifna(textjoin(""; "",,filter('On Hand'!E:E,'On Hand'!A:A=A2075)),ifna(xlookup(A2075,'On Hand'!A:A,'On Hand'!E:E,),)))"),"")</f>
        <v/>
      </c>
    </row>
    <row r="2076">
      <c r="A2076" s="3" t="str">
        <f t="array" ref="A2076">ifna(_xlfn.xlookup(B2076,'All Item Code'!B:B,'All Item Code'!A:A,),)</f>
        <v/>
      </c>
      <c r="B2076" s="3"/>
      <c r="C2076" s="3" t="str">
        <f t="array" ref="C2076">if(B2076="Tidak Ada",,if(isblank(B2076),,ifna(sumif('On Hand'!A:A,A2076,'On Hand'!D:D)&amp;" "&amp;_xlfn.xlookup(A2076,'All Item Code'!A:A,'All Item Code'!D:D,),0)))</f>
        <v/>
      </c>
      <c r="D2076" s="3" t="str">
        <f>IFERROR(__xludf.DUMMYFUNCTION("if(isblank(B2076),,ifna(textjoin(""; "",,filter('On Hand'!E:E,'On Hand'!A:A=A2076)),ifna(xlookup(A2076,'On Hand'!A:A,'On Hand'!E:E,),)))"),"")</f>
        <v/>
      </c>
    </row>
    <row r="2077">
      <c r="A2077" s="3" t="str">
        <f t="array" ref="A2077">ifna(_xlfn.xlookup(B2077,'All Item Code'!B:B,'All Item Code'!A:A,),)</f>
        <v/>
      </c>
      <c r="B2077" s="3"/>
      <c r="C2077" s="3" t="str">
        <f t="array" ref="C2077">if(B2077="Tidak Ada",,if(isblank(B2077),,ifna(sumif('On Hand'!A:A,A2077,'On Hand'!D:D)&amp;" "&amp;_xlfn.xlookup(A2077,'All Item Code'!A:A,'All Item Code'!D:D,),0)))</f>
        <v/>
      </c>
      <c r="D2077" s="3" t="str">
        <f>IFERROR(__xludf.DUMMYFUNCTION("if(isblank(B2077),,ifna(textjoin(""; "",,filter('On Hand'!E:E,'On Hand'!A:A=A2077)),ifna(xlookup(A2077,'On Hand'!A:A,'On Hand'!E:E,),)))"),"")</f>
        <v/>
      </c>
    </row>
    <row r="2078">
      <c r="A2078" s="3" t="str">
        <f t="array" ref="A2078">ifna(_xlfn.xlookup(B2078,'All Item Code'!B:B,'All Item Code'!A:A,),)</f>
        <v/>
      </c>
      <c r="B2078" s="3"/>
      <c r="C2078" s="3" t="str">
        <f t="array" ref="C2078">if(B2078="Tidak Ada",,if(isblank(B2078),,ifna(sumif('On Hand'!A:A,A2078,'On Hand'!D:D)&amp;" "&amp;_xlfn.xlookup(A2078,'All Item Code'!A:A,'All Item Code'!D:D,),0)))</f>
        <v/>
      </c>
      <c r="D2078" s="3" t="str">
        <f>IFERROR(__xludf.DUMMYFUNCTION("if(isblank(B2078),,ifna(textjoin(""; "",,filter('On Hand'!E:E,'On Hand'!A:A=A2078)),ifna(xlookup(A2078,'On Hand'!A:A,'On Hand'!E:E,),)))"),"")</f>
        <v/>
      </c>
    </row>
    <row r="2079">
      <c r="A2079" s="3" t="str">
        <f t="array" ref="A2079">ifna(_xlfn.xlookup(B2079,'All Item Code'!B:B,'All Item Code'!A:A,),)</f>
        <v/>
      </c>
      <c r="B2079" s="3"/>
      <c r="C2079" s="3" t="str">
        <f t="array" ref="C2079">if(B2079="Tidak Ada",,if(isblank(B2079),,ifna(sumif('On Hand'!A:A,A2079,'On Hand'!D:D)&amp;" "&amp;_xlfn.xlookup(A2079,'All Item Code'!A:A,'All Item Code'!D:D,),0)))</f>
        <v/>
      </c>
      <c r="D2079" s="3" t="str">
        <f>IFERROR(__xludf.DUMMYFUNCTION("if(isblank(B2079),,ifna(textjoin(""; "",,filter('On Hand'!E:E,'On Hand'!A:A=A2079)),ifna(xlookup(A2079,'On Hand'!A:A,'On Hand'!E:E,),)))"),"")</f>
        <v/>
      </c>
    </row>
    <row r="2080">
      <c r="A2080" s="3" t="str">
        <f t="array" ref="A2080">ifna(_xlfn.xlookup(B2080,'All Item Code'!B:B,'All Item Code'!A:A,),)</f>
        <v/>
      </c>
      <c r="B2080" s="3"/>
      <c r="C2080" s="3" t="str">
        <f t="array" ref="C2080">if(B2080="Tidak Ada",,if(isblank(B2080),,ifna(sumif('On Hand'!A:A,A2080,'On Hand'!D:D)&amp;" "&amp;_xlfn.xlookup(A2080,'All Item Code'!A:A,'All Item Code'!D:D,),0)))</f>
        <v/>
      </c>
      <c r="D2080" s="3" t="str">
        <f>IFERROR(__xludf.DUMMYFUNCTION("if(isblank(B2080),,ifna(textjoin(""; "",,filter('On Hand'!E:E,'On Hand'!A:A=A2080)),ifna(xlookup(A2080,'On Hand'!A:A,'On Hand'!E:E,),)))"),"")</f>
        <v/>
      </c>
    </row>
    <row r="2081">
      <c r="A2081" s="3" t="str">
        <f t="array" ref="A2081">ifna(_xlfn.xlookup(B2081,'All Item Code'!B:B,'All Item Code'!A:A,),)</f>
        <v/>
      </c>
      <c r="B2081" s="3"/>
      <c r="C2081" s="3" t="str">
        <f t="array" ref="C2081">if(B2081="Tidak Ada",,if(isblank(B2081),,ifna(sumif('On Hand'!A:A,A2081,'On Hand'!D:D)&amp;" "&amp;_xlfn.xlookup(A2081,'All Item Code'!A:A,'All Item Code'!D:D,),0)))</f>
        <v/>
      </c>
      <c r="D2081" s="3" t="str">
        <f>IFERROR(__xludf.DUMMYFUNCTION("if(isblank(B2081),,ifna(textjoin(""; "",,filter('On Hand'!E:E,'On Hand'!A:A=A2081)),ifna(xlookup(A2081,'On Hand'!A:A,'On Hand'!E:E,),)))"),"")</f>
        <v/>
      </c>
    </row>
    <row r="2082">
      <c r="A2082" s="3" t="str">
        <f t="array" ref="A2082">ifna(_xlfn.xlookup(B2082,'All Item Code'!B:B,'All Item Code'!A:A,),)</f>
        <v/>
      </c>
      <c r="B2082" s="3"/>
      <c r="C2082" s="3" t="str">
        <f t="array" ref="C2082">if(B2082="Tidak Ada",,if(isblank(B2082),,ifna(sumif('On Hand'!A:A,A2082,'On Hand'!D:D)&amp;" "&amp;_xlfn.xlookup(A2082,'All Item Code'!A:A,'All Item Code'!D:D,),0)))</f>
        <v/>
      </c>
      <c r="D2082" s="3" t="str">
        <f>IFERROR(__xludf.DUMMYFUNCTION("if(isblank(B2082),,ifna(textjoin(""; "",,filter('On Hand'!E:E,'On Hand'!A:A=A2082)),ifna(xlookup(A2082,'On Hand'!A:A,'On Hand'!E:E,),)))"),"")</f>
        <v/>
      </c>
    </row>
    <row r="2083">
      <c r="A2083" s="3" t="str">
        <f t="array" ref="A2083">ifna(_xlfn.xlookup(B2083,'All Item Code'!B:B,'All Item Code'!A:A,),)</f>
        <v/>
      </c>
      <c r="B2083" s="3"/>
      <c r="C2083" s="3" t="str">
        <f t="array" ref="C2083">if(B2083="Tidak Ada",,if(isblank(B2083),,ifna(sumif('On Hand'!A:A,A2083,'On Hand'!D:D)&amp;" "&amp;_xlfn.xlookup(A2083,'All Item Code'!A:A,'All Item Code'!D:D,),0)))</f>
        <v/>
      </c>
      <c r="D2083" s="3" t="str">
        <f>IFERROR(__xludf.DUMMYFUNCTION("if(isblank(B2083),,ifna(textjoin(""; "",,filter('On Hand'!E:E,'On Hand'!A:A=A2083)),ifna(xlookup(A2083,'On Hand'!A:A,'On Hand'!E:E,),)))"),"")</f>
        <v/>
      </c>
    </row>
    <row r="2084">
      <c r="A2084" s="3" t="str">
        <f t="array" ref="A2084">ifna(_xlfn.xlookup(B2084,'All Item Code'!B:B,'All Item Code'!A:A,),)</f>
        <v/>
      </c>
      <c r="B2084" s="3"/>
      <c r="C2084" s="3" t="str">
        <f t="array" ref="C2084">if(B2084="Tidak Ada",,if(isblank(B2084),,ifna(sumif('On Hand'!A:A,A2084,'On Hand'!D:D)&amp;" "&amp;_xlfn.xlookup(A2084,'All Item Code'!A:A,'All Item Code'!D:D,),0)))</f>
        <v/>
      </c>
      <c r="D2084" s="3" t="str">
        <f>IFERROR(__xludf.DUMMYFUNCTION("if(isblank(B2084),,ifna(textjoin(""; "",,filter('On Hand'!E:E,'On Hand'!A:A=A2084)),ifna(xlookup(A2084,'On Hand'!A:A,'On Hand'!E:E,),)))"),"")</f>
        <v/>
      </c>
    </row>
    <row r="2085">
      <c r="A2085" s="3" t="str">
        <f t="array" ref="A2085">ifna(_xlfn.xlookup(B2085,'All Item Code'!B:B,'All Item Code'!A:A,),)</f>
        <v/>
      </c>
      <c r="B2085" s="3"/>
      <c r="C2085" s="3" t="str">
        <f t="array" ref="C2085">if(B2085="Tidak Ada",,if(isblank(B2085),,ifna(sumif('On Hand'!A:A,A2085,'On Hand'!D:D)&amp;" "&amp;_xlfn.xlookup(A2085,'All Item Code'!A:A,'All Item Code'!D:D,),0)))</f>
        <v/>
      </c>
      <c r="D2085" s="3" t="str">
        <f>IFERROR(__xludf.DUMMYFUNCTION("if(isblank(B2085),,ifna(textjoin(""; "",,filter('On Hand'!E:E,'On Hand'!A:A=A2085)),ifna(xlookup(A2085,'On Hand'!A:A,'On Hand'!E:E,),)))"),"")</f>
        <v/>
      </c>
    </row>
    <row r="2086">
      <c r="A2086" s="3" t="str">
        <f t="array" ref="A2086">ifna(_xlfn.xlookup(B2086,'All Item Code'!B:B,'All Item Code'!A:A,),)</f>
        <v/>
      </c>
      <c r="B2086" s="3"/>
      <c r="C2086" s="3" t="str">
        <f t="array" ref="C2086">if(B2086="Tidak Ada",,if(isblank(B2086),,ifna(sumif('On Hand'!A:A,A2086,'On Hand'!D:D)&amp;" "&amp;_xlfn.xlookup(A2086,'All Item Code'!A:A,'All Item Code'!D:D,),0)))</f>
        <v/>
      </c>
      <c r="D2086" s="3" t="str">
        <f>IFERROR(__xludf.DUMMYFUNCTION("if(isblank(B2086),,ifna(textjoin(""; "",,filter('On Hand'!E:E,'On Hand'!A:A=A2086)),ifna(xlookup(A2086,'On Hand'!A:A,'On Hand'!E:E,),)))"),"")</f>
        <v/>
      </c>
    </row>
    <row r="2087">
      <c r="A2087" s="3" t="str">
        <f t="array" ref="A2087">ifna(_xlfn.xlookup(B2087,'All Item Code'!B:B,'All Item Code'!A:A,),)</f>
        <v/>
      </c>
      <c r="B2087" s="3"/>
      <c r="C2087" s="3" t="str">
        <f t="array" ref="C2087">if(B2087="Tidak Ada",,if(isblank(B2087),,ifna(sumif('On Hand'!A:A,A2087,'On Hand'!D:D)&amp;" "&amp;_xlfn.xlookup(A2087,'All Item Code'!A:A,'All Item Code'!D:D,),0)))</f>
        <v/>
      </c>
      <c r="D2087" s="3" t="str">
        <f>IFERROR(__xludf.DUMMYFUNCTION("if(isblank(B2087),,ifna(textjoin(""; "",,filter('On Hand'!E:E,'On Hand'!A:A=A2087)),ifna(xlookup(A2087,'On Hand'!A:A,'On Hand'!E:E,),)))"),"")</f>
        <v/>
      </c>
    </row>
    <row r="2088">
      <c r="A2088" s="3" t="str">
        <f t="array" ref="A2088">ifna(_xlfn.xlookup(B2088,'All Item Code'!B:B,'All Item Code'!A:A,),)</f>
        <v/>
      </c>
      <c r="B2088" s="3"/>
      <c r="C2088" s="3" t="str">
        <f t="array" ref="C2088">if(B2088="Tidak Ada",,if(isblank(B2088),,ifna(sumif('On Hand'!A:A,A2088,'On Hand'!D:D)&amp;" "&amp;_xlfn.xlookup(A2088,'All Item Code'!A:A,'All Item Code'!D:D,),0)))</f>
        <v/>
      </c>
      <c r="D2088" s="3" t="str">
        <f>IFERROR(__xludf.DUMMYFUNCTION("if(isblank(B2088),,ifna(textjoin(""; "",,filter('On Hand'!E:E,'On Hand'!A:A=A2088)),ifna(xlookup(A2088,'On Hand'!A:A,'On Hand'!E:E,),)))"),"")</f>
        <v/>
      </c>
    </row>
    <row r="2089">
      <c r="A2089" s="3" t="str">
        <f t="array" ref="A2089">ifna(_xlfn.xlookup(B2089,'All Item Code'!B:B,'All Item Code'!A:A,),)</f>
        <v/>
      </c>
      <c r="B2089" s="3"/>
      <c r="C2089" s="3" t="str">
        <f t="array" ref="C2089">if(B2089="Tidak Ada",,if(isblank(B2089),,ifna(sumif('On Hand'!A:A,A2089,'On Hand'!D:D)&amp;" "&amp;_xlfn.xlookup(A2089,'All Item Code'!A:A,'All Item Code'!D:D,),0)))</f>
        <v/>
      </c>
      <c r="D2089" s="3" t="str">
        <f>IFERROR(__xludf.DUMMYFUNCTION("if(isblank(B2089),,ifna(textjoin(""; "",,filter('On Hand'!E:E,'On Hand'!A:A=A2089)),ifna(xlookup(A2089,'On Hand'!A:A,'On Hand'!E:E,),)))"),"")</f>
        <v/>
      </c>
    </row>
    <row r="2090">
      <c r="A2090" s="3" t="str">
        <f t="array" ref="A2090">ifna(_xlfn.xlookup(B2090,'All Item Code'!B:B,'All Item Code'!A:A,),)</f>
        <v/>
      </c>
      <c r="B2090" s="3"/>
      <c r="C2090" s="3" t="str">
        <f t="array" ref="C2090">if(B2090="Tidak Ada",,if(isblank(B2090),,ifna(sumif('On Hand'!A:A,A2090,'On Hand'!D:D)&amp;" "&amp;_xlfn.xlookup(A2090,'All Item Code'!A:A,'All Item Code'!D:D,),0)))</f>
        <v/>
      </c>
      <c r="D2090" s="3" t="str">
        <f>IFERROR(__xludf.DUMMYFUNCTION("if(isblank(B2090),,ifna(textjoin(""; "",,filter('On Hand'!E:E,'On Hand'!A:A=A2090)),ifna(xlookup(A2090,'On Hand'!A:A,'On Hand'!E:E,),)))"),"")</f>
        <v/>
      </c>
    </row>
    <row r="2091">
      <c r="A2091" s="3" t="str">
        <f t="array" ref="A2091">ifna(_xlfn.xlookup(B2091,'All Item Code'!B:B,'All Item Code'!A:A,),)</f>
        <v/>
      </c>
      <c r="B2091" s="3"/>
      <c r="C2091" s="3" t="str">
        <f t="array" ref="C2091">if(B2091="Tidak Ada",,if(isblank(B2091),,ifna(sumif('On Hand'!A:A,A2091,'On Hand'!D:D)&amp;" "&amp;_xlfn.xlookup(A2091,'All Item Code'!A:A,'All Item Code'!D:D,),0)))</f>
        <v/>
      </c>
      <c r="D2091" s="3" t="str">
        <f>IFERROR(__xludf.DUMMYFUNCTION("if(isblank(B2091),,ifna(textjoin(""; "",,filter('On Hand'!E:E,'On Hand'!A:A=A2091)),ifna(xlookup(A2091,'On Hand'!A:A,'On Hand'!E:E,),)))"),"")</f>
        <v/>
      </c>
    </row>
    <row r="2092">
      <c r="A2092" s="3" t="str">
        <f t="array" ref="A2092">ifna(_xlfn.xlookup(B2092,'All Item Code'!B:B,'All Item Code'!A:A,),)</f>
        <v/>
      </c>
      <c r="B2092" s="3"/>
      <c r="C2092" s="3" t="str">
        <f t="array" ref="C2092">if(B2092="Tidak Ada",,if(isblank(B2092),,ifna(sumif('On Hand'!A:A,A2092,'On Hand'!D:D)&amp;" "&amp;_xlfn.xlookup(A2092,'All Item Code'!A:A,'All Item Code'!D:D,),0)))</f>
        <v/>
      </c>
      <c r="D2092" s="3" t="str">
        <f>IFERROR(__xludf.DUMMYFUNCTION("if(isblank(B2092),,ifna(textjoin(""; "",,filter('On Hand'!E:E,'On Hand'!A:A=A2092)),ifna(xlookup(A2092,'On Hand'!A:A,'On Hand'!E:E,),)))"),"")</f>
        <v/>
      </c>
    </row>
    <row r="2093">
      <c r="A2093" s="3" t="str">
        <f t="array" ref="A2093">ifna(_xlfn.xlookup(B2093,'All Item Code'!B:B,'All Item Code'!A:A,),)</f>
        <v/>
      </c>
      <c r="B2093" s="3"/>
      <c r="C2093" s="3" t="str">
        <f t="array" ref="C2093">if(B2093="Tidak Ada",,if(isblank(B2093),,ifna(sumif('On Hand'!A:A,A2093,'On Hand'!D:D)&amp;" "&amp;_xlfn.xlookup(A2093,'All Item Code'!A:A,'All Item Code'!D:D,),0)))</f>
        <v/>
      </c>
      <c r="D2093" s="3" t="str">
        <f>IFERROR(__xludf.DUMMYFUNCTION("if(isblank(B2093),,ifna(textjoin(""; "",,filter('On Hand'!E:E,'On Hand'!A:A=A2093)),ifna(xlookup(A2093,'On Hand'!A:A,'On Hand'!E:E,),)))"),"")</f>
        <v/>
      </c>
    </row>
    <row r="2094">
      <c r="A2094" s="3" t="str">
        <f t="array" ref="A2094">ifna(_xlfn.xlookup(B2094,'All Item Code'!B:B,'All Item Code'!A:A,),)</f>
        <v/>
      </c>
      <c r="B2094" s="3"/>
      <c r="C2094" s="3" t="str">
        <f t="array" ref="C2094">if(B2094="Tidak Ada",,if(isblank(B2094),,ifna(sumif('On Hand'!A:A,A2094,'On Hand'!D:D)&amp;" "&amp;_xlfn.xlookup(A2094,'All Item Code'!A:A,'All Item Code'!D:D,),0)))</f>
        <v/>
      </c>
      <c r="D2094" s="3" t="str">
        <f>IFERROR(__xludf.DUMMYFUNCTION("if(isblank(B2094),,ifna(textjoin(""; "",,filter('On Hand'!E:E,'On Hand'!A:A=A2094)),ifna(xlookup(A2094,'On Hand'!A:A,'On Hand'!E:E,),)))"),"")</f>
        <v/>
      </c>
    </row>
    <row r="2095">
      <c r="A2095" s="3" t="str">
        <f t="array" ref="A2095">ifna(_xlfn.xlookup(B2095,'All Item Code'!B:B,'All Item Code'!A:A,),)</f>
        <v/>
      </c>
      <c r="B2095" s="3"/>
      <c r="C2095" s="3" t="str">
        <f t="array" ref="C2095">if(B2095="Tidak Ada",,if(isblank(B2095),,ifna(sumif('On Hand'!A:A,A2095,'On Hand'!D:D)&amp;" "&amp;_xlfn.xlookup(A2095,'All Item Code'!A:A,'All Item Code'!D:D,),0)))</f>
        <v/>
      </c>
      <c r="D2095" s="3" t="str">
        <f>IFERROR(__xludf.DUMMYFUNCTION("if(isblank(B2095),,ifna(textjoin(""; "",,filter('On Hand'!E:E,'On Hand'!A:A=A2095)),ifna(xlookup(A2095,'On Hand'!A:A,'On Hand'!E:E,),)))"),"")</f>
        <v/>
      </c>
    </row>
    <row r="2096">
      <c r="A2096" s="3" t="str">
        <f t="array" ref="A2096">ifna(_xlfn.xlookup(B2096,'All Item Code'!B:B,'All Item Code'!A:A,),)</f>
        <v/>
      </c>
      <c r="B2096" s="3"/>
      <c r="C2096" s="3" t="str">
        <f t="array" ref="C2096">if(B2096="Tidak Ada",,if(isblank(B2096),,ifna(sumif('On Hand'!A:A,A2096,'On Hand'!D:D)&amp;" "&amp;_xlfn.xlookup(A2096,'All Item Code'!A:A,'All Item Code'!D:D,),0)))</f>
        <v/>
      </c>
      <c r="D2096" s="3" t="str">
        <f>IFERROR(__xludf.DUMMYFUNCTION("if(isblank(B2096),,ifna(textjoin(""; "",,filter('On Hand'!E:E,'On Hand'!A:A=A2096)),ifna(xlookup(A2096,'On Hand'!A:A,'On Hand'!E:E,),)))"),"")</f>
        <v/>
      </c>
    </row>
    <row r="2097">
      <c r="A2097" s="3" t="str">
        <f t="array" ref="A2097">ifna(_xlfn.xlookup(B2097,'All Item Code'!B:B,'All Item Code'!A:A,),)</f>
        <v/>
      </c>
      <c r="B2097" s="3"/>
      <c r="C2097" s="3" t="str">
        <f t="array" ref="C2097">if(B2097="Tidak Ada",,if(isblank(B2097),,ifna(sumif('On Hand'!A:A,A2097,'On Hand'!D:D)&amp;" "&amp;_xlfn.xlookup(A2097,'All Item Code'!A:A,'All Item Code'!D:D,),0)))</f>
        <v/>
      </c>
      <c r="D2097" s="3" t="str">
        <f>IFERROR(__xludf.DUMMYFUNCTION("if(isblank(B2097),,ifna(textjoin(""; "",,filter('On Hand'!E:E,'On Hand'!A:A=A2097)),ifna(xlookup(A2097,'On Hand'!A:A,'On Hand'!E:E,),)))"),"")</f>
        <v/>
      </c>
    </row>
    <row r="2098">
      <c r="A2098" s="3" t="str">
        <f t="array" ref="A2098">ifna(_xlfn.xlookup(B2098,'All Item Code'!B:B,'All Item Code'!A:A,),)</f>
        <v/>
      </c>
      <c r="B2098" s="3"/>
      <c r="C2098" s="3" t="str">
        <f t="array" ref="C2098">if(B2098="Tidak Ada",,if(isblank(B2098),,ifna(sumif('On Hand'!A:A,A2098,'On Hand'!D:D)&amp;" "&amp;_xlfn.xlookup(A2098,'All Item Code'!A:A,'All Item Code'!D:D,),0)))</f>
        <v/>
      </c>
      <c r="D2098" s="3" t="str">
        <f>IFERROR(__xludf.DUMMYFUNCTION("if(isblank(B2098),,ifna(textjoin(""; "",,filter('On Hand'!E:E,'On Hand'!A:A=A2098)),ifna(xlookup(A2098,'On Hand'!A:A,'On Hand'!E:E,),)))"),"")</f>
        <v/>
      </c>
    </row>
    <row r="2099">
      <c r="A2099" s="3" t="str">
        <f t="array" ref="A2099">ifna(_xlfn.xlookup(B2099,'All Item Code'!B:B,'All Item Code'!A:A,),)</f>
        <v/>
      </c>
      <c r="B2099" s="3"/>
      <c r="C2099" s="3" t="str">
        <f t="array" ref="C2099">if(B2099="Tidak Ada",,if(isblank(B2099),,ifna(sumif('On Hand'!A:A,A2099,'On Hand'!D:D)&amp;" "&amp;_xlfn.xlookup(A2099,'All Item Code'!A:A,'All Item Code'!D:D,),0)))</f>
        <v/>
      </c>
      <c r="D2099" s="3" t="str">
        <f>IFERROR(__xludf.DUMMYFUNCTION("if(isblank(B2099),,ifna(textjoin(""; "",,filter('On Hand'!E:E,'On Hand'!A:A=A2099)),ifna(xlookup(A2099,'On Hand'!A:A,'On Hand'!E:E,),)))"),"")</f>
        <v/>
      </c>
    </row>
    <row r="2100">
      <c r="A2100" s="3" t="str">
        <f t="array" ref="A2100">ifna(_xlfn.xlookup(B2100,'All Item Code'!B:B,'All Item Code'!A:A,),)</f>
        <v/>
      </c>
      <c r="B2100" s="3"/>
      <c r="C2100" s="3" t="str">
        <f t="array" ref="C2100">if(B2100="Tidak Ada",,if(isblank(B2100),,ifna(sumif('On Hand'!A:A,A2100,'On Hand'!D:D)&amp;" "&amp;_xlfn.xlookup(A2100,'All Item Code'!A:A,'All Item Code'!D:D,),0)))</f>
        <v/>
      </c>
      <c r="D2100" s="3" t="str">
        <f>IFERROR(__xludf.DUMMYFUNCTION("if(isblank(B2100),,ifna(textjoin(""; "",,filter('On Hand'!E:E,'On Hand'!A:A=A2100)),ifna(xlookup(A2100,'On Hand'!A:A,'On Hand'!E:E,),)))"),"")</f>
        <v/>
      </c>
    </row>
    <row r="2101">
      <c r="A2101" s="3" t="str">
        <f t="array" ref="A2101">ifna(_xlfn.xlookup(B2101,'All Item Code'!B:B,'All Item Code'!A:A,),)</f>
        <v/>
      </c>
      <c r="B2101" s="3"/>
      <c r="C2101" s="3" t="str">
        <f t="array" ref="C2101">if(B2101="Tidak Ada",,if(isblank(B2101),,ifna(sumif('On Hand'!A:A,A2101,'On Hand'!D:D)&amp;" "&amp;_xlfn.xlookup(A2101,'All Item Code'!A:A,'All Item Code'!D:D,),0)))</f>
        <v/>
      </c>
      <c r="D2101" s="3" t="str">
        <f>IFERROR(__xludf.DUMMYFUNCTION("if(isblank(B2101),,ifna(textjoin(""; "",,filter('On Hand'!E:E,'On Hand'!A:A=A2101)),ifna(xlookup(A2101,'On Hand'!A:A,'On Hand'!E:E,),)))"),"")</f>
        <v/>
      </c>
    </row>
    <row r="2102">
      <c r="A2102" s="3" t="str">
        <f t="array" ref="A2102">ifna(_xlfn.xlookup(B2102,'All Item Code'!B:B,'All Item Code'!A:A,),)</f>
        <v/>
      </c>
      <c r="B2102" s="3"/>
      <c r="C2102" s="3" t="str">
        <f t="array" ref="C2102">if(B2102="Tidak Ada",,if(isblank(B2102),,ifna(sumif('On Hand'!A:A,A2102,'On Hand'!D:D)&amp;" "&amp;_xlfn.xlookup(A2102,'All Item Code'!A:A,'All Item Code'!D:D,),0)))</f>
        <v/>
      </c>
      <c r="D2102" s="3" t="str">
        <f>IFERROR(__xludf.DUMMYFUNCTION("if(isblank(B2102),,ifna(textjoin(""; "",,filter('On Hand'!E:E,'On Hand'!A:A=A2102)),ifna(xlookup(A2102,'On Hand'!A:A,'On Hand'!E:E,),)))"),"")</f>
        <v/>
      </c>
    </row>
    <row r="2103">
      <c r="A2103" s="3" t="str">
        <f t="array" ref="A2103">ifna(_xlfn.xlookup(B2103,'All Item Code'!B:B,'All Item Code'!A:A,),)</f>
        <v/>
      </c>
      <c r="B2103" s="3"/>
      <c r="C2103" s="3" t="str">
        <f t="array" ref="C2103">if(B2103="Tidak Ada",,if(isblank(B2103),,ifna(sumif('On Hand'!A:A,A2103,'On Hand'!D:D)&amp;" "&amp;_xlfn.xlookup(A2103,'All Item Code'!A:A,'All Item Code'!D:D,),0)))</f>
        <v/>
      </c>
      <c r="D2103" s="3" t="str">
        <f>IFERROR(__xludf.DUMMYFUNCTION("if(isblank(B2103),,ifna(textjoin(""; "",,filter('On Hand'!E:E,'On Hand'!A:A=A2103)),ifna(xlookup(A2103,'On Hand'!A:A,'On Hand'!E:E,),)))"),"")</f>
        <v/>
      </c>
    </row>
    <row r="2104">
      <c r="A2104" s="3" t="str">
        <f t="array" ref="A2104">ifna(_xlfn.xlookup(B2104,'All Item Code'!B:B,'All Item Code'!A:A,),)</f>
        <v/>
      </c>
      <c r="B2104" s="3"/>
      <c r="C2104" s="3" t="str">
        <f t="array" ref="C2104">if(B2104="Tidak Ada",,if(isblank(B2104),,ifna(sumif('On Hand'!A:A,A2104,'On Hand'!D:D)&amp;" "&amp;_xlfn.xlookup(A2104,'All Item Code'!A:A,'All Item Code'!D:D,),0)))</f>
        <v/>
      </c>
      <c r="D2104" s="3" t="str">
        <f>IFERROR(__xludf.DUMMYFUNCTION("if(isblank(B2104),,ifna(textjoin(""; "",,filter('On Hand'!E:E,'On Hand'!A:A=A2104)),ifna(xlookup(A2104,'On Hand'!A:A,'On Hand'!E:E,),)))"),"")</f>
        <v/>
      </c>
    </row>
    <row r="2105">
      <c r="A2105" s="3" t="str">
        <f t="array" ref="A2105">ifna(_xlfn.xlookup(B2105,'All Item Code'!B:B,'All Item Code'!A:A,),)</f>
        <v/>
      </c>
      <c r="B2105" s="3"/>
      <c r="C2105" s="3" t="str">
        <f t="array" ref="C2105">if(B2105="Tidak Ada",,if(isblank(B2105),,ifna(sumif('On Hand'!A:A,A2105,'On Hand'!D:D)&amp;" "&amp;_xlfn.xlookup(A2105,'All Item Code'!A:A,'All Item Code'!D:D,),0)))</f>
        <v/>
      </c>
      <c r="D2105" s="3" t="str">
        <f>IFERROR(__xludf.DUMMYFUNCTION("if(isblank(B2105),,ifna(textjoin(""; "",,filter('On Hand'!E:E,'On Hand'!A:A=A2105)),ifna(xlookup(A2105,'On Hand'!A:A,'On Hand'!E:E,),)))"),"")</f>
        <v/>
      </c>
    </row>
    <row r="2106">
      <c r="A2106" s="3" t="str">
        <f t="array" ref="A2106">ifna(_xlfn.xlookup(B2106,'All Item Code'!B:B,'All Item Code'!A:A,),)</f>
        <v/>
      </c>
      <c r="B2106" s="3"/>
      <c r="C2106" s="3" t="str">
        <f t="array" ref="C2106">if(B2106="Tidak Ada",,if(isblank(B2106),,ifna(sumif('On Hand'!A:A,A2106,'On Hand'!D:D)&amp;" "&amp;_xlfn.xlookup(A2106,'All Item Code'!A:A,'All Item Code'!D:D,),0)))</f>
        <v/>
      </c>
      <c r="D2106" s="3" t="str">
        <f>IFERROR(__xludf.DUMMYFUNCTION("if(isblank(B2106),,ifna(textjoin(""; "",,filter('On Hand'!E:E,'On Hand'!A:A=A2106)),ifna(xlookup(A2106,'On Hand'!A:A,'On Hand'!E:E,),)))"),"")</f>
        <v/>
      </c>
    </row>
    <row r="2107">
      <c r="A2107" s="3" t="str">
        <f t="array" ref="A2107">ifna(_xlfn.xlookup(B2107,'All Item Code'!B:B,'All Item Code'!A:A,),)</f>
        <v/>
      </c>
      <c r="B2107" s="3"/>
      <c r="C2107" s="3" t="str">
        <f t="array" ref="C2107">if(B2107="Tidak Ada",,if(isblank(B2107),,ifna(sumif('On Hand'!A:A,A2107,'On Hand'!D:D)&amp;" "&amp;_xlfn.xlookup(A2107,'All Item Code'!A:A,'All Item Code'!D:D,),0)))</f>
        <v/>
      </c>
      <c r="D2107" s="3" t="str">
        <f>IFERROR(__xludf.DUMMYFUNCTION("if(isblank(B2107),,ifna(textjoin(""; "",,filter('On Hand'!E:E,'On Hand'!A:A=A2107)),ifna(xlookup(A2107,'On Hand'!A:A,'On Hand'!E:E,),)))"),"")</f>
        <v/>
      </c>
    </row>
    <row r="2108">
      <c r="A2108" s="3" t="str">
        <f t="array" ref="A2108">ifna(_xlfn.xlookup(B2108,'All Item Code'!B:B,'All Item Code'!A:A,),)</f>
        <v/>
      </c>
      <c r="B2108" s="3"/>
      <c r="C2108" s="3" t="str">
        <f t="array" ref="C2108">if(B2108="Tidak Ada",,if(isblank(B2108),,ifna(sumif('On Hand'!A:A,A2108,'On Hand'!D:D)&amp;" "&amp;_xlfn.xlookup(A2108,'All Item Code'!A:A,'All Item Code'!D:D,),0)))</f>
        <v/>
      </c>
      <c r="D2108" s="3" t="str">
        <f>IFERROR(__xludf.DUMMYFUNCTION("if(isblank(B2108),,ifna(textjoin(""; "",,filter('On Hand'!E:E,'On Hand'!A:A=A2108)),ifna(xlookup(A2108,'On Hand'!A:A,'On Hand'!E:E,),)))"),"")</f>
        <v/>
      </c>
    </row>
    <row r="2109">
      <c r="A2109" s="3" t="str">
        <f t="array" ref="A2109">ifna(_xlfn.xlookup(B2109,'All Item Code'!B:B,'All Item Code'!A:A,),)</f>
        <v/>
      </c>
      <c r="B2109" s="3"/>
      <c r="C2109" s="3" t="str">
        <f t="array" ref="C2109">if(B2109="Tidak Ada",,if(isblank(B2109),,ifna(sumif('On Hand'!A:A,A2109,'On Hand'!D:D)&amp;" "&amp;_xlfn.xlookup(A2109,'All Item Code'!A:A,'All Item Code'!D:D,),0)))</f>
        <v/>
      </c>
      <c r="D2109" s="3" t="str">
        <f>IFERROR(__xludf.DUMMYFUNCTION("if(isblank(B2109),,ifna(textjoin(""; "",,filter('On Hand'!E:E,'On Hand'!A:A=A2109)),ifna(xlookup(A2109,'On Hand'!A:A,'On Hand'!E:E,),)))"),"")</f>
        <v/>
      </c>
    </row>
    <row r="2110">
      <c r="A2110" s="3" t="str">
        <f t="array" ref="A2110">ifna(_xlfn.xlookup(B2110,'All Item Code'!B:B,'All Item Code'!A:A,),)</f>
        <v/>
      </c>
      <c r="B2110" s="3"/>
      <c r="C2110" s="3" t="str">
        <f t="array" ref="C2110">if(B2110="Tidak Ada",,if(isblank(B2110),,ifna(sumif('On Hand'!A:A,A2110,'On Hand'!D:D)&amp;" "&amp;_xlfn.xlookup(A2110,'All Item Code'!A:A,'All Item Code'!D:D,),0)))</f>
        <v/>
      </c>
      <c r="D2110" s="3" t="str">
        <f>IFERROR(__xludf.DUMMYFUNCTION("if(isblank(B2110),,ifna(textjoin(""; "",,filter('On Hand'!E:E,'On Hand'!A:A=A2110)),ifna(xlookup(A2110,'On Hand'!A:A,'On Hand'!E:E,),)))"),"")</f>
        <v/>
      </c>
    </row>
    <row r="2111">
      <c r="A2111" s="3" t="str">
        <f t="array" ref="A2111">ifna(_xlfn.xlookup(B2111,'All Item Code'!B:B,'All Item Code'!A:A,),)</f>
        <v/>
      </c>
      <c r="B2111" s="3"/>
      <c r="C2111" s="3" t="str">
        <f t="array" ref="C2111">if(B2111="Tidak Ada",,if(isblank(B2111),,ifna(sumif('On Hand'!A:A,A2111,'On Hand'!D:D)&amp;" "&amp;_xlfn.xlookup(A2111,'All Item Code'!A:A,'All Item Code'!D:D,),0)))</f>
        <v/>
      </c>
      <c r="D2111" s="3" t="str">
        <f>IFERROR(__xludf.DUMMYFUNCTION("if(isblank(B2111),,ifna(textjoin(""; "",,filter('On Hand'!E:E,'On Hand'!A:A=A2111)),ifna(xlookup(A2111,'On Hand'!A:A,'On Hand'!E:E,),)))"),"")</f>
        <v/>
      </c>
    </row>
    <row r="2112">
      <c r="A2112" s="3" t="str">
        <f t="array" ref="A2112">ifna(_xlfn.xlookup(B2112,'All Item Code'!B:B,'All Item Code'!A:A,),)</f>
        <v/>
      </c>
      <c r="B2112" s="3"/>
      <c r="C2112" s="3" t="str">
        <f t="array" ref="C2112">if(B2112="Tidak Ada",,if(isblank(B2112),,ifna(sumif('On Hand'!A:A,A2112,'On Hand'!D:D)&amp;" "&amp;_xlfn.xlookup(A2112,'All Item Code'!A:A,'All Item Code'!D:D,),0)))</f>
        <v/>
      </c>
      <c r="D2112" s="3" t="str">
        <f>IFERROR(__xludf.DUMMYFUNCTION("if(isblank(B2112),,ifna(textjoin(""; "",,filter('On Hand'!E:E,'On Hand'!A:A=A2112)),ifna(xlookup(A2112,'On Hand'!A:A,'On Hand'!E:E,),)))"),"")</f>
        <v/>
      </c>
    </row>
    <row r="2113">
      <c r="A2113" s="3" t="str">
        <f t="array" ref="A2113">ifna(_xlfn.xlookup(B2113,'All Item Code'!B:B,'All Item Code'!A:A,),)</f>
        <v/>
      </c>
      <c r="B2113" s="3"/>
      <c r="C2113" s="3" t="str">
        <f t="array" ref="C2113">if(B2113="Tidak Ada",,if(isblank(B2113),,ifna(sumif('On Hand'!A:A,A2113,'On Hand'!D:D)&amp;" "&amp;_xlfn.xlookup(A2113,'All Item Code'!A:A,'All Item Code'!D:D,),0)))</f>
        <v/>
      </c>
      <c r="D2113" s="3" t="str">
        <f>IFERROR(__xludf.DUMMYFUNCTION("if(isblank(B2113),,ifna(textjoin(""; "",,filter('On Hand'!E:E,'On Hand'!A:A=A2113)),ifna(xlookup(A2113,'On Hand'!A:A,'On Hand'!E:E,),)))"),"")</f>
        <v/>
      </c>
    </row>
    <row r="2114">
      <c r="A2114" s="3" t="str">
        <f t="array" ref="A2114">ifna(_xlfn.xlookup(B2114,'All Item Code'!B:B,'All Item Code'!A:A,),)</f>
        <v/>
      </c>
      <c r="B2114" s="3"/>
      <c r="C2114" s="3" t="str">
        <f t="array" ref="C2114">if(B2114="Tidak Ada",,if(isblank(B2114),,ifna(sumif('On Hand'!A:A,A2114,'On Hand'!D:D)&amp;" "&amp;_xlfn.xlookup(A2114,'All Item Code'!A:A,'All Item Code'!D:D,),0)))</f>
        <v/>
      </c>
      <c r="D2114" s="3" t="str">
        <f>IFERROR(__xludf.DUMMYFUNCTION("if(isblank(B2114),,ifna(textjoin(""; "",,filter('On Hand'!E:E,'On Hand'!A:A=A2114)),ifna(xlookup(A2114,'On Hand'!A:A,'On Hand'!E:E,),)))"),"")</f>
        <v/>
      </c>
    </row>
    <row r="2115">
      <c r="A2115" s="3" t="str">
        <f t="array" ref="A2115">ifna(_xlfn.xlookup(B2115,'All Item Code'!B:B,'All Item Code'!A:A,),)</f>
        <v/>
      </c>
      <c r="B2115" s="3"/>
      <c r="C2115" s="3" t="str">
        <f t="array" ref="C2115">if(B2115="Tidak Ada",,if(isblank(B2115),,ifna(sumif('On Hand'!A:A,A2115,'On Hand'!D:D)&amp;" "&amp;_xlfn.xlookup(A2115,'All Item Code'!A:A,'All Item Code'!D:D,),0)))</f>
        <v/>
      </c>
      <c r="D2115" s="3" t="str">
        <f>IFERROR(__xludf.DUMMYFUNCTION("if(isblank(B2115),,ifna(textjoin(""; "",,filter('On Hand'!E:E,'On Hand'!A:A=A2115)),ifna(xlookup(A2115,'On Hand'!A:A,'On Hand'!E:E,),)))"),"")</f>
        <v/>
      </c>
    </row>
    <row r="2116">
      <c r="A2116" s="3" t="str">
        <f t="array" ref="A2116">ifna(_xlfn.xlookup(B2116,'All Item Code'!B:B,'All Item Code'!A:A,),)</f>
        <v/>
      </c>
      <c r="B2116" s="3"/>
      <c r="C2116" s="3" t="str">
        <f t="array" ref="C2116">if(B2116="Tidak Ada",,if(isblank(B2116),,ifna(sumif('On Hand'!A:A,A2116,'On Hand'!D:D)&amp;" "&amp;_xlfn.xlookup(A2116,'All Item Code'!A:A,'All Item Code'!D:D,),0)))</f>
        <v/>
      </c>
      <c r="D2116" s="3" t="str">
        <f>IFERROR(__xludf.DUMMYFUNCTION("if(isblank(B2116),,ifna(textjoin(""; "",,filter('On Hand'!E:E,'On Hand'!A:A=A2116)),ifna(xlookup(A2116,'On Hand'!A:A,'On Hand'!E:E,),)))"),"")</f>
        <v/>
      </c>
    </row>
    <row r="2117">
      <c r="A2117" s="3" t="str">
        <f t="array" ref="A2117">ifna(_xlfn.xlookup(B2117,'All Item Code'!B:B,'All Item Code'!A:A,),)</f>
        <v/>
      </c>
      <c r="B2117" s="3"/>
      <c r="C2117" s="3" t="str">
        <f t="array" ref="C2117">if(B2117="Tidak Ada",,if(isblank(B2117),,ifna(sumif('On Hand'!A:A,A2117,'On Hand'!D:D)&amp;" "&amp;_xlfn.xlookup(A2117,'All Item Code'!A:A,'All Item Code'!D:D,),0)))</f>
        <v/>
      </c>
      <c r="D2117" s="3" t="str">
        <f>IFERROR(__xludf.DUMMYFUNCTION("if(isblank(B2117),,ifna(textjoin(""; "",,filter('On Hand'!E:E,'On Hand'!A:A=A2117)),ifna(xlookup(A2117,'On Hand'!A:A,'On Hand'!E:E,),)))"),"")</f>
        <v/>
      </c>
    </row>
    <row r="2118">
      <c r="A2118" s="3" t="str">
        <f t="array" ref="A2118">ifna(_xlfn.xlookup(B2118,'All Item Code'!B:B,'All Item Code'!A:A,),)</f>
        <v/>
      </c>
      <c r="B2118" s="3"/>
      <c r="C2118" s="3" t="str">
        <f t="array" ref="C2118">if(B2118="Tidak Ada",,if(isblank(B2118),,ifna(sumif('On Hand'!A:A,A2118,'On Hand'!D:D)&amp;" "&amp;_xlfn.xlookup(A2118,'All Item Code'!A:A,'All Item Code'!D:D,),0)))</f>
        <v/>
      </c>
      <c r="D2118" s="3" t="str">
        <f>IFERROR(__xludf.DUMMYFUNCTION("if(isblank(B2118),,ifna(textjoin(""; "",,filter('On Hand'!E:E,'On Hand'!A:A=A2118)),ifna(xlookup(A2118,'On Hand'!A:A,'On Hand'!E:E,),)))"),"")</f>
        <v/>
      </c>
    </row>
    <row r="2119">
      <c r="A2119" s="3" t="str">
        <f t="array" ref="A2119">ifna(_xlfn.xlookup(B2119,'All Item Code'!B:B,'All Item Code'!A:A,),)</f>
        <v/>
      </c>
      <c r="B2119" s="3"/>
      <c r="C2119" s="3" t="str">
        <f t="array" ref="C2119">if(B2119="Tidak Ada",,if(isblank(B2119),,ifna(sumif('On Hand'!A:A,A2119,'On Hand'!D:D)&amp;" "&amp;_xlfn.xlookup(A2119,'All Item Code'!A:A,'All Item Code'!D:D,),0)))</f>
        <v/>
      </c>
      <c r="D2119" s="3" t="str">
        <f>IFERROR(__xludf.DUMMYFUNCTION("if(isblank(B2119),,ifna(textjoin(""; "",,filter('On Hand'!E:E,'On Hand'!A:A=A2119)),ifna(xlookup(A2119,'On Hand'!A:A,'On Hand'!E:E,),)))"),"")</f>
        <v/>
      </c>
    </row>
    <row r="2120">
      <c r="A2120" s="3" t="str">
        <f t="array" ref="A2120">ifna(_xlfn.xlookup(B2120,'All Item Code'!B:B,'All Item Code'!A:A,),)</f>
        <v/>
      </c>
      <c r="B2120" s="3"/>
      <c r="C2120" s="3" t="str">
        <f t="array" ref="C2120">if(B2120="Tidak Ada",,if(isblank(B2120),,ifna(sumif('On Hand'!A:A,A2120,'On Hand'!D:D)&amp;" "&amp;_xlfn.xlookup(A2120,'All Item Code'!A:A,'All Item Code'!D:D,),0)))</f>
        <v/>
      </c>
      <c r="D2120" s="3" t="str">
        <f>IFERROR(__xludf.DUMMYFUNCTION("if(isblank(B2120),,ifna(textjoin(""; "",,filter('On Hand'!E:E,'On Hand'!A:A=A2120)),ifna(xlookup(A2120,'On Hand'!A:A,'On Hand'!E:E,),)))"),"")</f>
        <v/>
      </c>
    </row>
    <row r="2121">
      <c r="A2121" s="3" t="str">
        <f t="array" ref="A2121">ifna(_xlfn.xlookup(B2121,'All Item Code'!B:B,'All Item Code'!A:A,),)</f>
        <v/>
      </c>
      <c r="B2121" s="3"/>
      <c r="C2121" s="3" t="str">
        <f t="array" ref="C2121">if(B2121="Tidak Ada",,if(isblank(B2121),,ifna(sumif('On Hand'!A:A,A2121,'On Hand'!D:D)&amp;" "&amp;_xlfn.xlookup(A2121,'All Item Code'!A:A,'All Item Code'!D:D,),0)))</f>
        <v/>
      </c>
      <c r="D2121" s="3" t="str">
        <f>IFERROR(__xludf.DUMMYFUNCTION("if(isblank(B2121),,ifna(textjoin(""; "",,filter('On Hand'!E:E,'On Hand'!A:A=A2121)),ifna(xlookup(A2121,'On Hand'!A:A,'On Hand'!E:E,),)))"),"")</f>
        <v/>
      </c>
    </row>
    <row r="2122">
      <c r="A2122" s="3" t="str">
        <f t="array" ref="A2122">ifna(_xlfn.xlookup(B2122,'All Item Code'!B:B,'All Item Code'!A:A,),)</f>
        <v/>
      </c>
      <c r="B2122" s="3"/>
      <c r="C2122" s="3" t="str">
        <f t="array" ref="C2122">if(B2122="Tidak Ada",,if(isblank(B2122),,ifna(sumif('On Hand'!A:A,A2122,'On Hand'!D:D)&amp;" "&amp;_xlfn.xlookup(A2122,'All Item Code'!A:A,'All Item Code'!D:D,),0)))</f>
        <v/>
      </c>
      <c r="D2122" s="3" t="str">
        <f>IFERROR(__xludf.DUMMYFUNCTION("if(isblank(B2122),,ifna(textjoin(""; "",,filter('On Hand'!E:E,'On Hand'!A:A=A2122)),ifna(xlookup(A2122,'On Hand'!A:A,'On Hand'!E:E,),)))"),"")</f>
        <v/>
      </c>
    </row>
    <row r="2123">
      <c r="A2123" s="3" t="str">
        <f t="array" ref="A2123">ifna(_xlfn.xlookup(B2123,'All Item Code'!B:B,'All Item Code'!A:A,),)</f>
        <v/>
      </c>
      <c r="B2123" s="3"/>
      <c r="C2123" s="3" t="str">
        <f t="array" ref="C2123">if(B2123="Tidak Ada",,if(isblank(B2123),,ifna(sumif('On Hand'!A:A,A2123,'On Hand'!D:D)&amp;" "&amp;_xlfn.xlookup(A2123,'All Item Code'!A:A,'All Item Code'!D:D,),0)))</f>
        <v/>
      </c>
      <c r="D2123" s="3" t="str">
        <f>IFERROR(__xludf.DUMMYFUNCTION("if(isblank(B2123),,ifna(textjoin(""; "",,filter('On Hand'!E:E,'On Hand'!A:A=A2123)),ifna(xlookup(A2123,'On Hand'!A:A,'On Hand'!E:E,),)))"),"")</f>
        <v/>
      </c>
    </row>
    <row r="2124">
      <c r="A2124" s="3" t="str">
        <f t="array" ref="A2124">ifna(_xlfn.xlookup(B2124,'All Item Code'!B:B,'All Item Code'!A:A,),)</f>
        <v/>
      </c>
      <c r="B2124" s="3"/>
      <c r="C2124" s="3" t="str">
        <f t="array" ref="C2124">if(B2124="Tidak Ada",,if(isblank(B2124),,ifna(sumif('On Hand'!A:A,A2124,'On Hand'!D:D)&amp;" "&amp;_xlfn.xlookup(A2124,'All Item Code'!A:A,'All Item Code'!D:D,),0)))</f>
        <v/>
      </c>
      <c r="D2124" s="3" t="str">
        <f>IFERROR(__xludf.DUMMYFUNCTION("if(isblank(B2124),,ifna(textjoin(""; "",,filter('On Hand'!E:E,'On Hand'!A:A=A2124)),ifna(xlookup(A2124,'On Hand'!A:A,'On Hand'!E:E,),)))"),"")</f>
        <v/>
      </c>
    </row>
    <row r="2125">
      <c r="A2125" s="3" t="str">
        <f t="array" ref="A2125">ifna(_xlfn.xlookup(B2125,'All Item Code'!B:B,'All Item Code'!A:A,),)</f>
        <v/>
      </c>
      <c r="B2125" s="3"/>
      <c r="C2125" s="3" t="str">
        <f t="array" ref="C2125">if(B2125="Tidak Ada",,if(isblank(B2125),,ifna(sumif('On Hand'!A:A,A2125,'On Hand'!D:D)&amp;" "&amp;_xlfn.xlookup(A2125,'All Item Code'!A:A,'All Item Code'!D:D,),0)))</f>
        <v/>
      </c>
      <c r="D2125" s="3" t="str">
        <f>IFERROR(__xludf.DUMMYFUNCTION("if(isblank(B2125),,ifna(textjoin(""; "",,filter('On Hand'!E:E,'On Hand'!A:A=A2125)),ifna(xlookup(A2125,'On Hand'!A:A,'On Hand'!E:E,),)))"),"")</f>
        <v/>
      </c>
    </row>
    <row r="2126">
      <c r="A2126" s="3" t="str">
        <f t="array" ref="A2126">ifna(_xlfn.xlookup(B2126,'All Item Code'!B:B,'All Item Code'!A:A,),)</f>
        <v/>
      </c>
      <c r="B2126" s="3"/>
      <c r="C2126" s="3" t="str">
        <f t="array" ref="C2126">if(B2126="Tidak Ada",,if(isblank(B2126),,ifna(sumif('On Hand'!A:A,A2126,'On Hand'!D:D)&amp;" "&amp;_xlfn.xlookup(A2126,'All Item Code'!A:A,'All Item Code'!D:D,),0)))</f>
        <v/>
      </c>
      <c r="D2126" s="3" t="str">
        <f>IFERROR(__xludf.DUMMYFUNCTION("if(isblank(B2126),,ifna(textjoin(""; "",,filter('On Hand'!E:E,'On Hand'!A:A=A2126)),ifna(xlookup(A2126,'On Hand'!A:A,'On Hand'!E:E,),)))"),"")</f>
        <v/>
      </c>
    </row>
    <row r="2127">
      <c r="A2127" s="3" t="str">
        <f t="array" ref="A2127">ifna(_xlfn.xlookup(B2127,'All Item Code'!B:B,'All Item Code'!A:A,),)</f>
        <v/>
      </c>
      <c r="B2127" s="3"/>
      <c r="C2127" s="3" t="str">
        <f t="array" ref="C2127">if(B2127="Tidak Ada",,if(isblank(B2127),,ifna(sumif('On Hand'!A:A,A2127,'On Hand'!D:D)&amp;" "&amp;_xlfn.xlookup(A2127,'All Item Code'!A:A,'All Item Code'!D:D,),0)))</f>
        <v/>
      </c>
      <c r="D2127" s="3" t="str">
        <f>IFERROR(__xludf.DUMMYFUNCTION("if(isblank(B2127),,ifna(textjoin(""; "",,filter('On Hand'!E:E,'On Hand'!A:A=A2127)),ifna(xlookup(A2127,'On Hand'!A:A,'On Hand'!E:E,),)))"),"")</f>
        <v/>
      </c>
    </row>
    <row r="2128">
      <c r="A2128" s="3" t="str">
        <f t="array" ref="A2128">ifna(_xlfn.xlookup(B2128,'All Item Code'!B:B,'All Item Code'!A:A,),)</f>
        <v/>
      </c>
      <c r="B2128" s="3"/>
      <c r="C2128" s="3" t="str">
        <f t="array" ref="C2128">if(B2128="Tidak Ada",,if(isblank(B2128),,ifna(sumif('On Hand'!A:A,A2128,'On Hand'!D:D)&amp;" "&amp;_xlfn.xlookup(A2128,'All Item Code'!A:A,'All Item Code'!D:D,),0)))</f>
        <v/>
      </c>
      <c r="D2128" s="3" t="str">
        <f>IFERROR(__xludf.DUMMYFUNCTION("if(isblank(B2128),,ifna(textjoin(""; "",,filter('On Hand'!E:E,'On Hand'!A:A=A2128)),ifna(xlookup(A2128,'On Hand'!A:A,'On Hand'!E:E,),)))"),"")</f>
        <v/>
      </c>
    </row>
    <row r="2129">
      <c r="A2129" s="3" t="str">
        <f t="array" ref="A2129">ifna(_xlfn.xlookup(B2129,'All Item Code'!B:B,'All Item Code'!A:A,),)</f>
        <v/>
      </c>
      <c r="B2129" s="3"/>
      <c r="C2129" s="3" t="str">
        <f t="array" ref="C2129">if(B2129="Tidak Ada",,if(isblank(B2129),,ifna(sumif('On Hand'!A:A,A2129,'On Hand'!D:D)&amp;" "&amp;_xlfn.xlookup(A2129,'All Item Code'!A:A,'All Item Code'!D:D,),0)))</f>
        <v/>
      </c>
      <c r="D2129" s="3" t="str">
        <f>IFERROR(__xludf.DUMMYFUNCTION("if(isblank(B2129),,ifna(textjoin(""; "",,filter('On Hand'!E:E,'On Hand'!A:A=A2129)),ifna(xlookup(A2129,'On Hand'!A:A,'On Hand'!E:E,),)))"),"")</f>
        <v/>
      </c>
    </row>
    <row r="2130">
      <c r="A2130" s="3" t="str">
        <f t="array" ref="A2130">ifna(_xlfn.xlookup(B2130,'All Item Code'!B:B,'All Item Code'!A:A,),)</f>
        <v/>
      </c>
      <c r="B2130" s="3"/>
      <c r="C2130" s="3" t="str">
        <f t="array" ref="C2130">if(B2130="Tidak Ada",,if(isblank(B2130),,ifna(sumif('On Hand'!A:A,A2130,'On Hand'!D:D)&amp;" "&amp;_xlfn.xlookup(A2130,'All Item Code'!A:A,'All Item Code'!D:D,),0)))</f>
        <v/>
      </c>
      <c r="D2130" s="3" t="str">
        <f>IFERROR(__xludf.DUMMYFUNCTION("if(isblank(B2130),,ifna(textjoin(""; "",,filter('On Hand'!E:E,'On Hand'!A:A=A2130)),ifna(xlookup(A2130,'On Hand'!A:A,'On Hand'!E:E,),)))"),"")</f>
        <v/>
      </c>
    </row>
    <row r="2131">
      <c r="A2131" s="3" t="str">
        <f t="array" ref="A2131">ifna(_xlfn.xlookup(B2131,'All Item Code'!B:B,'All Item Code'!A:A,),)</f>
        <v/>
      </c>
      <c r="B2131" s="3"/>
      <c r="C2131" s="3" t="str">
        <f t="array" ref="C2131">if(B2131="Tidak Ada",,if(isblank(B2131),,ifna(sumif('On Hand'!A:A,A2131,'On Hand'!D:D)&amp;" "&amp;_xlfn.xlookup(A2131,'All Item Code'!A:A,'All Item Code'!D:D,),0)))</f>
        <v/>
      </c>
      <c r="D2131" s="3" t="str">
        <f>IFERROR(__xludf.DUMMYFUNCTION("if(isblank(B2131),,ifna(textjoin(""; "",,filter('On Hand'!E:E,'On Hand'!A:A=A2131)),ifna(xlookup(A2131,'On Hand'!A:A,'On Hand'!E:E,),)))"),"")</f>
        <v/>
      </c>
    </row>
    <row r="2132">
      <c r="A2132" s="3" t="str">
        <f t="array" ref="A2132">ifna(_xlfn.xlookup(B2132,'All Item Code'!B:B,'All Item Code'!A:A,),)</f>
        <v/>
      </c>
      <c r="B2132" s="3"/>
      <c r="C2132" s="3" t="str">
        <f t="array" ref="C2132">if(B2132="Tidak Ada",,if(isblank(B2132),,ifna(sumif('On Hand'!A:A,A2132,'On Hand'!D:D)&amp;" "&amp;_xlfn.xlookup(A2132,'All Item Code'!A:A,'All Item Code'!D:D,),0)))</f>
        <v/>
      </c>
      <c r="D2132" s="3" t="str">
        <f>IFERROR(__xludf.DUMMYFUNCTION("if(isblank(B2132),,ifna(textjoin(""; "",,filter('On Hand'!E:E,'On Hand'!A:A=A2132)),ifna(xlookup(A2132,'On Hand'!A:A,'On Hand'!E:E,),)))"),"")</f>
        <v/>
      </c>
    </row>
    <row r="2133">
      <c r="A2133" s="3" t="str">
        <f t="array" ref="A2133">ifna(_xlfn.xlookup(B2133,'All Item Code'!B:B,'All Item Code'!A:A,),)</f>
        <v/>
      </c>
      <c r="B2133" s="3"/>
      <c r="C2133" s="3" t="str">
        <f t="array" ref="C2133">if(B2133="Tidak Ada",,if(isblank(B2133),,ifna(sumif('On Hand'!A:A,A2133,'On Hand'!D:D)&amp;" "&amp;_xlfn.xlookup(A2133,'All Item Code'!A:A,'All Item Code'!D:D,),0)))</f>
        <v/>
      </c>
      <c r="D2133" s="3" t="str">
        <f>IFERROR(__xludf.DUMMYFUNCTION("if(isblank(B2133),,ifna(textjoin(""; "",,filter('On Hand'!E:E,'On Hand'!A:A=A2133)),ifna(xlookup(A2133,'On Hand'!A:A,'On Hand'!E:E,),)))"),"")</f>
        <v/>
      </c>
    </row>
    <row r="2134">
      <c r="A2134" s="3" t="str">
        <f t="array" ref="A2134">ifna(_xlfn.xlookup(B2134,'All Item Code'!B:B,'All Item Code'!A:A,),)</f>
        <v/>
      </c>
      <c r="B2134" s="3"/>
      <c r="C2134" s="3" t="str">
        <f t="array" ref="C2134">if(B2134="Tidak Ada",,if(isblank(B2134),,ifna(sumif('On Hand'!A:A,A2134,'On Hand'!D:D)&amp;" "&amp;_xlfn.xlookup(A2134,'All Item Code'!A:A,'All Item Code'!D:D,),0)))</f>
        <v/>
      </c>
      <c r="D2134" s="3" t="str">
        <f>IFERROR(__xludf.DUMMYFUNCTION("if(isblank(B2134),,ifna(textjoin(""; "",,filter('On Hand'!E:E,'On Hand'!A:A=A2134)),ifna(xlookup(A2134,'On Hand'!A:A,'On Hand'!E:E,),)))"),"")</f>
        <v/>
      </c>
    </row>
    <row r="2135">
      <c r="A2135" s="3" t="str">
        <f t="array" ref="A2135">ifna(_xlfn.xlookup(B2135,'All Item Code'!B:B,'All Item Code'!A:A,),)</f>
        <v/>
      </c>
      <c r="B2135" s="3"/>
      <c r="C2135" s="3" t="str">
        <f t="array" ref="C2135">if(B2135="Tidak Ada",,if(isblank(B2135),,ifna(sumif('On Hand'!A:A,A2135,'On Hand'!D:D)&amp;" "&amp;_xlfn.xlookup(A2135,'All Item Code'!A:A,'All Item Code'!D:D,),0)))</f>
        <v/>
      </c>
      <c r="D2135" s="3" t="str">
        <f>IFERROR(__xludf.DUMMYFUNCTION("if(isblank(B2135),,ifna(textjoin(""; "",,filter('On Hand'!E:E,'On Hand'!A:A=A2135)),ifna(xlookup(A2135,'On Hand'!A:A,'On Hand'!E:E,),)))"),"")</f>
        <v/>
      </c>
    </row>
    <row r="2136">
      <c r="A2136" s="3" t="str">
        <f t="array" ref="A2136">ifna(_xlfn.xlookup(B2136,'All Item Code'!B:B,'All Item Code'!A:A,),)</f>
        <v/>
      </c>
      <c r="B2136" s="3"/>
      <c r="C2136" s="3" t="str">
        <f t="array" ref="C2136">if(B2136="Tidak Ada",,if(isblank(B2136),,ifna(sumif('On Hand'!A:A,A2136,'On Hand'!D:D)&amp;" "&amp;_xlfn.xlookup(A2136,'All Item Code'!A:A,'All Item Code'!D:D,),0)))</f>
        <v/>
      </c>
      <c r="D2136" s="3" t="str">
        <f>IFERROR(__xludf.DUMMYFUNCTION("if(isblank(B2136),,ifna(textjoin(""; "",,filter('On Hand'!E:E,'On Hand'!A:A=A2136)),ifna(xlookup(A2136,'On Hand'!A:A,'On Hand'!E:E,),)))"),"")</f>
        <v/>
      </c>
    </row>
    <row r="2137">
      <c r="A2137" s="3" t="str">
        <f t="array" ref="A2137">ifna(_xlfn.xlookup(B2137,'All Item Code'!B:B,'All Item Code'!A:A,),)</f>
        <v/>
      </c>
      <c r="B2137" s="3"/>
      <c r="C2137" s="3" t="str">
        <f t="array" ref="C2137">if(B2137="Tidak Ada",,if(isblank(B2137),,ifna(sumif('On Hand'!A:A,A2137,'On Hand'!D:D)&amp;" "&amp;_xlfn.xlookup(A2137,'All Item Code'!A:A,'All Item Code'!D:D,),0)))</f>
        <v/>
      </c>
      <c r="D2137" s="3" t="str">
        <f>IFERROR(__xludf.DUMMYFUNCTION("if(isblank(B2137),,ifna(textjoin(""; "",,filter('On Hand'!E:E,'On Hand'!A:A=A2137)),ifna(xlookup(A2137,'On Hand'!A:A,'On Hand'!E:E,),)))"),"")</f>
        <v/>
      </c>
    </row>
    <row r="2138">
      <c r="A2138" s="3" t="str">
        <f t="array" ref="A2138">ifna(_xlfn.xlookup(B2138,'All Item Code'!B:B,'All Item Code'!A:A,),)</f>
        <v/>
      </c>
      <c r="B2138" s="3"/>
      <c r="C2138" s="3" t="str">
        <f t="array" ref="C2138">if(B2138="Tidak Ada",,if(isblank(B2138),,ifna(sumif('On Hand'!A:A,A2138,'On Hand'!D:D)&amp;" "&amp;_xlfn.xlookup(A2138,'All Item Code'!A:A,'All Item Code'!D:D,),0)))</f>
        <v/>
      </c>
      <c r="D2138" s="3" t="str">
        <f>IFERROR(__xludf.DUMMYFUNCTION("if(isblank(B2138),,ifna(textjoin(""; "",,filter('On Hand'!E:E,'On Hand'!A:A=A2138)),ifna(xlookup(A2138,'On Hand'!A:A,'On Hand'!E:E,),)))"),"")</f>
        <v/>
      </c>
    </row>
    <row r="2139">
      <c r="A2139" s="3" t="str">
        <f t="array" ref="A2139">ifna(_xlfn.xlookup(B2139,'All Item Code'!B:B,'All Item Code'!A:A,),)</f>
        <v/>
      </c>
      <c r="B2139" s="3"/>
      <c r="C2139" s="3" t="str">
        <f t="array" ref="C2139">if(B2139="Tidak Ada",,if(isblank(B2139),,ifna(sumif('On Hand'!A:A,A2139,'On Hand'!D:D)&amp;" "&amp;_xlfn.xlookup(A2139,'All Item Code'!A:A,'All Item Code'!D:D,),0)))</f>
        <v/>
      </c>
      <c r="D2139" s="3" t="str">
        <f>IFERROR(__xludf.DUMMYFUNCTION("if(isblank(B2139),,ifna(textjoin(""; "",,filter('On Hand'!E:E,'On Hand'!A:A=A2139)),ifna(xlookup(A2139,'On Hand'!A:A,'On Hand'!E:E,),)))"),"")</f>
        <v/>
      </c>
    </row>
    <row r="2140">
      <c r="A2140" s="3" t="str">
        <f t="array" ref="A2140">ifna(_xlfn.xlookup(B2140,'All Item Code'!B:B,'All Item Code'!A:A,),)</f>
        <v/>
      </c>
      <c r="B2140" s="3"/>
      <c r="C2140" s="3" t="str">
        <f t="array" ref="C2140">if(B2140="Tidak Ada",,if(isblank(B2140),,ifna(sumif('On Hand'!A:A,A2140,'On Hand'!D:D)&amp;" "&amp;_xlfn.xlookup(A2140,'All Item Code'!A:A,'All Item Code'!D:D,),0)))</f>
        <v/>
      </c>
      <c r="D2140" s="3" t="str">
        <f>IFERROR(__xludf.DUMMYFUNCTION("if(isblank(B2140),,ifna(textjoin(""; "",,filter('On Hand'!E:E,'On Hand'!A:A=A2140)),ifna(xlookup(A2140,'On Hand'!A:A,'On Hand'!E:E,),)))"),"")</f>
        <v/>
      </c>
    </row>
    <row r="2141">
      <c r="A2141" s="3" t="str">
        <f t="array" ref="A2141">ifna(_xlfn.xlookup(B2141,'All Item Code'!B:B,'All Item Code'!A:A,),)</f>
        <v/>
      </c>
      <c r="B2141" s="3"/>
      <c r="C2141" s="3" t="str">
        <f t="array" ref="C2141">if(B2141="Tidak Ada",,if(isblank(B2141),,ifna(sumif('On Hand'!A:A,A2141,'On Hand'!D:D)&amp;" "&amp;_xlfn.xlookup(A2141,'All Item Code'!A:A,'All Item Code'!D:D,),0)))</f>
        <v/>
      </c>
      <c r="D2141" s="3" t="str">
        <f>IFERROR(__xludf.DUMMYFUNCTION("if(isblank(B2141),,ifna(textjoin(""; "",,filter('On Hand'!E:E,'On Hand'!A:A=A2141)),ifna(xlookup(A2141,'On Hand'!A:A,'On Hand'!E:E,),)))"),"")</f>
        <v/>
      </c>
    </row>
    <row r="2142">
      <c r="A2142" s="3" t="str">
        <f t="array" ref="A2142">ifna(_xlfn.xlookup(B2142,'All Item Code'!B:B,'All Item Code'!A:A,),)</f>
        <v/>
      </c>
      <c r="B2142" s="3"/>
      <c r="C2142" s="3" t="str">
        <f t="array" ref="C2142">if(B2142="Tidak Ada",,if(isblank(B2142),,ifna(sumif('On Hand'!A:A,A2142,'On Hand'!D:D)&amp;" "&amp;_xlfn.xlookup(A2142,'All Item Code'!A:A,'All Item Code'!D:D,),0)))</f>
        <v/>
      </c>
      <c r="D2142" s="3" t="str">
        <f>IFERROR(__xludf.DUMMYFUNCTION("if(isblank(B2142),,ifna(textjoin(""; "",,filter('On Hand'!E:E,'On Hand'!A:A=A2142)),ifna(xlookup(A2142,'On Hand'!A:A,'On Hand'!E:E,),)))"),"")</f>
        <v/>
      </c>
    </row>
    <row r="2143">
      <c r="A2143" s="3" t="str">
        <f t="array" ref="A2143">ifna(_xlfn.xlookup(B2143,'All Item Code'!B:B,'All Item Code'!A:A,),)</f>
        <v/>
      </c>
      <c r="B2143" s="3"/>
      <c r="C2143" s="3" t="str">
        <f t="array" ref="C2143">if(B2143="Tidak Ada",,if(isblank(B2143),,ifna(sumif('On Hand'!A:A,A2143,'On Hand'!D:D)&amp;" "&amp;_xlfn.xlookup(A2143,'All Item Code'!A:A,'All Item Code'!D:D,),0)))</f>
        <v/>
      </c>
      <c r="D2143" s="3" t="str">
        <f>IFERROR(__xludf.DUMMYFUNCTION("if(isblank(B2143),,ifna(textjoin(""; "",,filter('On Hand'!E:E,'On Hand'!A:A=A2143)),ifna(xlookup(A2143,'On Hand'!A:A,'On Hand'!E:E,),)))"),"")</f>
        <v/>
      </c>
    </row>
    <row r="2144">
      <c r="A2144" s="3" t="str">
        <f t="array" ref="A2144">ifna(_xlfn.xlookup(B2144,'All Item Code'!B:B,'All Item Code'!A:A,),)</f>
        <v/>
      </c>
      <c r="B2144" s="3"/>
      <c r="C2144" s="3" t="str">
        <f t="array" ref="C2144">if(B2144="Tidak Ada",,if(isblank(B2144),,ifna(sumif('On Hand'!A:A,A2144,'On Hand'!D:D)&amp;" "&amp;_xlfn.xlookup(A2144,'All Item Code'!A:A,'All Item Code'!D:D,),0)))</f>
        <v/>
      </c>
      <c r="D2144" s="3" t="str">
        <f>IFERROR(__xludf.DUMMYFUNCTION("if(isblank(B2144),,ifna(textjoin(""; "",,filter('On Hand'!E:E,'On Hand'!A:A=A2144)),ifna(xlookup(A2144,'On Hand'!A:A,'On Hand'!E:E,),)))"),"")</f>
        <v/>
      </c>
    </row>
    <row r="2145">
      <c r="A2145" s="3" t="str">
        <f t="array" ref="A2145">ifna(_xlfn.xlookup(B2145,'All Item Code'!B:B,'All Item Code'!A:A,),)</f>
        <v/>
      </c>
      <c r="B2145" s="3"/>
      <c r="C2145" s="3" t="str">
        <f t="array" ref="C2145">if(B2145="Tidak Ada",,if(isblank(B2145),,ifna(sumif('On Hand'!A:A,A2145,'On Hand'!D:D)&amp;" "&amp;_xlfn.xlookup(A2145,'All Item Code'!A:A,'All Item Code'!D:D,),0)))</f>
        <v/>
      </c>
      <c r="D2145" s="3" t="str">
        <f>IFERROR(__xludf.DUMMYFUNCTION("if(isblank(B2145),,ifna(textjoin(""; "",,filter('On Hand'!E:E,'On Hand'!A:A=A2145)),ifna(xlookup(A2145,'On Hand'!A:A,'On Hand'!E:E,),)))"),"")</f>
        <v/>
      </c>
    </row>
    <row r="2146">
      <c r="A2146" s="3" t="str">
        <f t="array" ref="A2146">ifna(_xlfn.xlookup(B2146,'All Item Code'!B:B,'All Item Code'!A:A,),)</f>
        <v/>
      </c>
      <c r="B2146" s="3"/>
      <c r="C2146" s="3" t="str">
        <f t="array" ref="C2146">if(B2146="Tidak Ada",,if(isblank(B2146),,ifna(sumif('On Hand'!A:A,A2146,'On Hand'!D:D)&amp;" "&amp;_xlfn.xlookup(A2146,'All Item Code'!A:A,'All Item Code'!D:D,),0)))</f>
        <v/>
      </c>
      <c r="D2146" s="3" t="str">
        <f>IFERROR(__xludf.DUMMYFUNCTION("if(isblank(B2146),,ifna(textjoin(""; "",,filter('On Hand'!E:E,'On Hand'!A:A=A2146)),ifna(xlookup(A2146,'On Hand'!A:A,'On Hand'!E:E,),)))"),"")</f>
        <v/>
      </c>
    </row>
    <row r="2147">
      <c r="A2147" s="3" t="str">
        <f t="array" ref="A2147">ifna(_xlfn.xlookup(B2147,'All Item Code'!B:B,'All Item Code'!A:A,),)</f>
        <v/>
      </c>
      <c r="B2147" s="3"/>
      <c r="C2147" s="3" t="str">
        <f t="array" ref="C2147">if(B2147="Tidak Ada",,if(isblank(B2147),,ifna(sumif('On Hand'!A:A,A2147,'On Hand'!D:D)&amp;" "&amp;_xlfn.xlookup(A2147,'All Item Code'!A:A,'All Item Code'!D:D,),0)))</f>
        <v/>
      </c>
      <c r="D2147" s="3" t="str">
        <f>IFERROR(__xludf.DUMMYFUNCTION("if(isblank(B2147),,ifna(textjoin(""; "",,filter('On Hand'!E:E,'On Hand'!A:A=A2147)),ifna(xlookup(A2147,'On Hand'!A:A,'On Hand'!E:E,),)))"),"")</f>
        <v/>
      </c>
    </row>
    <row r="2148">
      <c r="A2148" s="3" t="str">
        <f t="array" ref="A2148">ifna(_xlfn.xlookup(B2148,'All Item Code'!B:B,'All Item Code'!A:A,),)</f>
        <v/>
      </c>
      <c r="B2148" s="3"/>
      <c r="C2148" s="3" t="str">
        <f t="array" ref="C2148">if(B2148="Tidak Ada",,if(isblank(B2148),,ifna(sumif('On Hand'!A:A,A2148,'On Hand'!D:D)&amp;" "&amp;_xlfn.xlookup(A2148,'All Item Code'!A:A,'All Item Code'!D:D,),0)))</f>
        <v/>
      </c>
      <c r="D2148" s="3" t="str">
        <f>IFERROR(__xludf.DUMMYFUNCTION("if(isblank(B2148),,ifna(textjoin(""; "",,filter('On Hand'!E:E,'On Hand'!A:A=A2148)),ifna(xlookup(A2148,'On Hand'!A:A,'On Hand'!E:E,),)))"),"")</f>
        <v/>
      </c>
    </row>
    <row r="2149">
      <c r="A2149" s="3" t="str">
        <f t="array" ref="A2149">ifna(_xlfn.xlookup(B2149,'All Item Code'!B:B,'All Item Code'!A:A,),)</f>
        <v/>
      </c>
      <c r="B2149" s="3"/>
      <c r="C2149" s="3" t="str">
        <f t="array" ref="C2149">if(B2149="Tidak Ada",,if(isblank(B2149),,ifna(sumif('On Hand'!A:A,A2149,'On Hand'!D:D)&amp;" "&amp;_xlfn.xlookup(A2149,'All Item Code'!A:A,'All Item Code'!D:D,),0)))</f>
        <v/>
      </c>
      <c r="D2149" s="3" t="str">
        <f>IFERROR(__xludf.DUMMYFUNCTION("if(isblank(B2149),,ifna(textjoin(""; "",,filter('On Hand'!E:E,'On Hand'!A:A=A2149)),ifna(xlookup(A2149,'On Hand'!A:A,'On Hand'!E:E,),)))"),"")</f>
        <v/>
      </c>
    </row>
    <row r="2150">
      <c r="A2150" s="3" t="str">
        <f t="array" ref="A2150">ifna(_xlfn.xlookup(B2150,'All Item Code'!B:B,'All Item Code'!A:A,),)</f>
        <v/>
      </c>
      <c r="B2150" s="3"/>
      <c r="C2150" s="3" t="str">
        <f t="array" ref="C2150">if(B2150="Tidak Ada",,if(isblank(B2150),,ifna(sumif('On Hand'!A:A,A2150,'On Hand'!D:D)&amp;" "&amp;_xlfn.xlookup(A2150,'All Item Code'!A:A,'All Item Code'!D:D,),0)))</f>
        <v/>
      </c>
      <c r="D2150" s="3" t="str">
        <f>IFERROR(__xludf.DUMMYFUNCTION("if(isblank(B2150),,ifna(textjoin(""; "",,filter('On Hand'!E:E,'On Hand'!A:A=A2150)),ifna(xlookup(A2150,'On Hand'!A:A,'On Hand'!E:E,),)))"),"")</f>
        <v/>
      </c>
    </row>
    <row r="2151">
      <c r="A2151" s="3" t="str">
        <f t="array" ref="A2151">ifna(_xlfn.xlookup(B2151,'All Item Code'!B:B,'All Item Code'!A:A,),)</f>
        <v/>
      </c>
      <c r="B2151" s="3"/>
      <c r="C2151" s="3" t="str">
        <f t="array" ref="C2151">if(B2151="Tidak Ada",,if(isblank(B2151),,ifna(sumif('On Hand'!A:A,A2151,'On Hand'!D:D)&amp;" "&amp;_xlfn.xlookup(A2151,'All Item Code'!A:A,'All Item Code'!D:D,),0)))</f>
        <v/>
      </c>
      <c r="D2151" s="3" t="str">
        <f>IFERROR(__xludf.DUMMYFUNCTION("if(isblank(B2151),,ifna(textjoin(""; "",,filter('On Hand'!E:E,'On Hand'!A:A=A2151)),ifna(xlookup(A2151,'On Hand'!A:A,'On Hand'!E:E,),)))"),"")</f>
        <v/>
      </c>
    </row>
    <row r="2152">
      <c r="A2152" s="3" t="str">
        <f t="array" ref="A2152">ifna(_xlfn.xlookup(B2152,'All Item Code'!B:B,'All Item Code'!A:A,),)</f>
        <v/>
      </c>
      <c r="B2152" s="3"/>
      <c r="C2152" s="3" t="str">
        <f t="array" ref="C2152">if(B2152="Tidak Ada",,if(isblank(B2152),,ifna(sumif('On Hand'!A:A,A2152,'On Hand'!D:D)&amp;" "&amp;_xlfn.xlookup(A2152,'All Item Code'!A:A,'All Item Code'!D:D,),0)))</f>
        <v/>
      </c>
      <c r="D2152" s="3" t="str">
        <f>IFERROR(__xludf.DUMMYFUNCTION("if(isblank(B2152),,ifna(textjoin(""; "",,filter('On Hand'!E:E,'On Hand'!A:A=A2152)),ifna(xlookup(A2152,'On Hand'!A:A,'On Hand'!E:E,),)))"),"")</f>
        <v/>
      </c>
    </row>
    <row r="2153">
      <c r="A2153" s="3" t="str">
        <f t="array" ref="A2153">ifna(_xlfn.xlookup(B2153,'All Item Code'!B:B,'All Item Code'!A:A,),)</f>
        <v/>
      </c>
      <c r="B2153" s="3"/>
      <c r="C2153" s="3" t="str">
        <f t="array" ref="C2153">if(B2153="Tidak Ada",,if(isblank(B2153),,ifna(sumif('On Hand'!A:A,A2153,'On Hand'!D:D)&amp;" "&amp;_xlfn.xlookup(A2153,'All Item Code'!A:A,'All Item Code'!D:D,),0)))</f>
        <v/>
      </c>
      <c r="D2153" s="3" t="str">
        <f>IFERROR(__xludf.DUMMYFUNCTION("if(isblank(B2153),,ifna(textjoin(""; "",,filter('On Hand'!E:E,'On Hand'!A:A=A2153)),ifna(xlookup(A2153,'On Hand'!A:A,'On Hand'!E:E,),)))"),"")</f>
        <v/>
      </c>
    </row>
    <row r="2154">
      <c r="A2154" s="3" t="str">
        <f t="array" ref="A2154">ifna(_xlfn.xlookup(B2154,'All Item Code'!B:B,'All Item Code'!A:A,),)</f>
        <v/>
      </c>
      <c r="B2154" s="3"/>
      <c r="C2154" s="3" t="str">
        <f t="array" ref="C2154">if(B2154="Tidak Ada",,if(isblank(B2154),,ifna(sumif('On Hand'!A:A,A2154,'On Hand'!D:D)&amp;" "&amp;_xlfn.xlookup(A2154,'All Item Code'!A:A,'All Item Code'!D:D,),0)))</f>
        <v/>
      </c>
      <c r="D2154" s="3" t="str">
        <f>IFERROR(__xludf.DUMMYFUNCTION("if(isblank(B2154),,ifna(textjoin(""; "",,filter('On Hand'!E:E,'On Hand'!A:A=A2154)),ifna(xlookup(A2154,'On Hand'!A:A,'On Hand'!E:E,),)))"),"")</f>
        <v/>
      </c>
    </row>
    <row r="2155">
      <c r="A2155" s="3" t="str">
        <f t="array" ref="A2155">ifna(_xlfn.xlookup(B2155,'All Item Code'!B:B,'All Item Code'!A:A,),)</f>
        <v/>
      </c>
      <c r="B2155" s="3"/>
      <c r="C2155" s="3" t="str">
        <f t="array" ref="C2155">if(B2155="Tidak Ada",,if(isblank(B2155),,ifna(sumif('On Hand'!A:A,A2155,'On Hand'!D:D)&amp;" "&amp;_xlfn.xlookup(A2155,'All Item Code'!A:A,'All Item Code'!D:D,),0)))</f>
        <v/>
      </c>
      <c r="D2155" s="3" t="str">
        <f>IFERROR(__xludf.DUMMYFUNCTION("if(isblank(B2155),,ifna(textjoin(""; "",,filter('On Hand'!E:E,'On Hand'!A:A=A2155)),ifna(xlookup(A2155,'On Hand'!A:A,'On Hand'!E:E,),)))"),"")</f>
        <v/>
      </c>
    </row>
    <row r="2156">
      <c r="A2156" s="3" t="str">
        <f t="array" ref="A2156">ifna(_xlfn.xlookup(B2156,'All Item Code'!B:B,'All Item Code'!A:A,),)</f>
        <v/>
      </c>
      <c r="B2156" s="3"/>
      <c r="C2156" s="3" t="str">
        <f t="array" ref="C2156">if(B2156="Tidak Ada",,if(isblank(B2156),,ifna(sumif('On Hand'!A:A,A2156,'On Hand'!D:D)&amp;" "&amp;_xlfn.xlookup(A2156,'All Item Code'!A:A,'All Item Code'!D:D,),0)))</f>
        <v/>
      </c>
      <c r="D2156" s="3" t="str">
        <f>IFERROR(__xludf.DUMMYFUNCTION("if(isblank(B2156),,ifna(textjoin(""; "",,filter('On Hand'!E:E,'On Hand'!A:A=A2156)),ifna(xlookup(A2156,'On Hand'!A:A,'On Hand'!E:E,),)))"),"")</f>
        <v/>
      </c>
    </row>
    <row r="2157">
      <c r="A2157" s="3" t="str">
        <f t="array" ref="A2157">ifna(_xlfn.xlookup(B2157,'All Item Code'!B:B,'All Item Code'!A:A,),)</f>
        <v/>
      </c>
      <c r="B2157" s="3"/>
      <c r="C2157" s="3" t="str">
        <f t="array" ref="C2157">if(B2157="Tidak Ada",,if(isblank(B2157),,ifna(sumif('On Hand'!A:A,A2157,'On Hand'!D:D)&amp;" "&amp;_xlfn.xlookup(A2157,'All Item Code'!A:A,'All Item Code'!D:D,),0)))</f>
        <v/>
      </c>
      <c r="D2157" s="3" t="str">
        <f>IFERROR(__xludf.DUMMYFUNCTION("if(isblank(B2157),,ifna(textjoin(""; "",,filter('On Hand'!E:E,'On Hand'!A:A=A2157)),ifna(xlookup(A2157,'On Hand'!A:A,'On Hand'!E:E,),)))"),"")</f>
        <v/>
      </c>
    </row>
    <row r="2158">
      <c r="A2158" s="3" t="str">
        <f t="array" ref="A2158">ifna(_xlfn.xlookup(B2158,'All Item Code'!B:B,'All Item Code'!A:A,),)</f>
        <v/>
      </c>
      <c r="B2158" s="3"/>
      <c r="C2158" s="3" t="str">
        <f t="array" ref="C2158">if(B2158="Tidak Ada",,if(isblank(B2158),,ifna(sumif('On Hand'!A:A,A2158,'On Hand'!D:D)&amp;" "&amp;_xlfn.xlookup(A2158,'All Item Code'!A:A,'All Item Code'!D:D,),0)))</f>
        <v/>
      </c>
      <c r="D2158" s="3" t="str">
        <f>IFERROR(__xludf.DUMMYFUNCTION("if(isblank(B2158),,ifna(textjoin(""; "",,filter('On Hand'!E:E,'On Hand'!A:A=A2158)),ifna(xlookup(A2158,'On Hand'!A:A,'On Hand'!E:E,),)))"),"")</f>
        <v/>
      </c>
    </row>
    <row r="2159">
      <c r="A2159" s="3" t="str">
        <f t="array" ref="A2159">ifna(_xlfn.xlookup(B2159,'All Item Code'!B:B,'All Item Code'!A:A,),)</f>
        <v/>
      </c>
      <c r="B2159" s="3"/>
      <c r="C2159" s="3" t="str">
        <f t="array" ref="C2159">if(B2159="Tidak Ada",,if(isblank(B2159),,ifna(sumif('On Hand'!A:A,A2159,'On Hand'!D:D)&amp;" "&amp;_xlfn.xlookup(A2159,'All Item Code'!A:A,'All Item Code'!D:D,),0)))</f>
        <v/>
      </c>
      <c r="D2159" s="3" t="str">
        <f>IFERROR(__xludf.DUMMYFUNCTION("if(isblank(B2159),,ifna(textjoin(""; "",,filter('On Hand'!E:E,'On Hand'!A:A=A2159)),ifna(xlookup(A2159,'On Hand'!A:A,'On Hand'!E:E,),)))"),"")</f>
        <v/>
      </c>
    </row>
    <row r="2160">
      <c r="A2160" s="3" t="str">
        <f t="array" ref="A2160">ifna(_xlfn.xlookup(B2160,'All Item Code'!B:B,'All Item Code'!A:A,),)</f>
        <v/>
      </c>
      <c r="B2160" s="3"/>
      <c r="C2160" s="3" t="str">
        <f t="array" ref="C2160">if(B2160="Tidak Ada",,if(isblank(B2160),,ifna(sumif('On Hand'!A:A,A2160,'On Hand'!D:D)&amp;" "&amp;_xlfn.xlookup(A2160,'All Item Code'!A:A,'All Item Code'!D:D,),0)))</f>
        <v/>
      </c>
      <c r="D2160" s="3" t="str">
        <f>IFERROR(__xludf.DUMMYFUNCTION("if(isblank(B2160),,ifna(textjoin(""; "",,filter('On Hand'!E:E,'On Hand'!A:A=A2160)),ifna(xlookup(A2160,'On Hand'!A:A,'On Hand'!E:E,),)))"),"")</f>
        <v/>
      </c>
    </row>
    <row r="2161">
      <c r="A2161" s="3" t="str">
        <f t="array" ref="A2161">ifna(_xlfn.xlookup(B2161,'All Item Code'!B:B,'All Item Code'!A:A,),)</f>
        <v/>
      </c>
      <c r="B2161" s="3"/>
      <c r="C2161" s="3" t="str">
        <f t="array" ref="C2161">if(B2161="Tidak Ada",,if(isblank(B2161),,ifna(sumif('On Hand'!A:A,A2161,'On Hand'!D:D)&amp;" "&amp;_xlfn.xlookup(A2161,'All Item Code'!A:A,'All Item Code'!D:D,),0)))</f>
        <v/>
      </c>
      <c r="D2161" s="3" t="str">
        <f>IFERROR(__xludf.DUMMYFUNCTION("if(isblank(B2161),,ifna(textjoin(""; "",,filter('On Hand'!E:E,'On Hand'!A:A=A2161)),ifna(xlookup(A2161,'On Hand'!A:A,'On Hand'!E:E,),)))"),"")</f>
        <v/>
      </c>
    </row>
    <row r="2162">
      <c r="A2162" s="3" t="str">
        <f t="array" ref="A2162">ifna(_xlfn.xlookup(B2162,'All Item Code'!B:B,'All Item Code'!A:A,),)</f>
        <v/>
      </c>
      <c r="B2162" s="3"/>
      <c r="C2162" s="3" t="str">
        <f t="array" ref="C2162">if(B2162="Tidak Ada",,if(isblank(B2162),,ifna(sumif('On Hand'!A:A,A2162,'On Hand'!D:D)&amp;" "&amp;_xlfn.xlookup(A2162,'All Item Code'!A:A,'All Item Code'!D:D,),0)))</f>
        <v/>
      </c>
      <c r="D2162" s="3" t="str">
        <f>IFERROR(__xludf.DUMMYFUNCTION("if(isblank(B2162),,ifna(textjoin(""; "",,filter('On Hand'!E:E,'On Hand'!A:A=A2162)),ifna(xlookup(A2162,'On Hand'!A:A,'On Hand'!E:E,),)))"),"")</f>
        <v/>
      </c>
    </row>
    <row r="2163">
      <c r="A2163" s="3" t="str">
        <f t="array" ref="A2163">ifna(_xlfn.xlookup(B2163,'All Item Code'!B:B,'All Item Code'!A:A,),)</f>
        <v/>
      </c>
      <c r="B2163" s="3"/>
      <c r="C2163" s="3" t="str">
        <f t="array" ref="C2163">if(B2163="Tidak Ada",,if(isblank(B2163),,ifna(sumif('On Hand'!A:A,A2163,'On Hand'!D:D)&amp;" "&amp;_xlfn.xlookup(A2163,'All Item Code'!A:A,'All Item Code'!D:D,),0)))</f>
        <v/>
      </c>
      <c r="D2163" s="3" t="str">
        <f>IFERROR(__xludf.DUMMYFUNCTION("if(isblank(B2163),,ifna(textjoin(""; "",,filter('On Hand'!E:E,'On Hand'!A:A=A2163)),ifna(xlookup(A2163,'On Hand'!A:A,'On Hand'!E:E,),)))"),"")</f>
        <v/>
      </c>
    </row>
    <row r="2164">
      <c r="A2164" s="3" t="str">
        <f t="array" ref="A2164">ifna(_xlfn.xlookup(B2164,'All Item Code'!B:B,'All Item Code'!A:A,),)</f>
        <v/>
      </c>
      <c r="B2164" s="3"/>
      <c r="C2164" s="3" t="str">
        <f t="array" ref="C2164">if(B2164="Tidak Ada",,if(isblank(B2164),,ifna(sumif('On Hand'!A:A,A2164,'On Hand'!D:D)&amp;" "&amp;_xlfn.xlookup(A2164,'All Item Code'!A:A,'All Item Code'!D:D,),0)))</f>
        <v/>
      </c>
      <c r="D2164" s="3" t="str">
        <f>IFERROR(__xludf.DUMMYFUNCTION("if(isblank(B2164),,ifna(textjoin(""; "",,filter('On Hand'!E:E,'On Hand'!A:A=A2164)),ifna(xlookup(A2164,'On Hand'!A:A,'On Hand'!E:E,),)))"),"")</f>
        <v/>
      </c>
    </row>
    <row r="2165">
      <c r="A2165" s="3" t="str">
        <f t="array" ref="A2165">ifna(_xlfn.xlookup(B2165,'All Item Code'!B:B,'All Item Code'!A:A,),)</f>
        <v/>
      </c>
      <c r="B2165" s="3"/>
      <c r="C2165" s="3" t="str">
        <f t="array" ref="C2165">if(B2165="Tidak Ada",,if(isblank(B2165),,ifna(sumif('On Hand'!A:A,A2165,'On Hand'!D:D)&amp;" "&amp;_xlfn.xlookup(A2165,'All Item Code'!A:A,'All Item Code'!D:D,),0)))</f>
        <v/>
      </c>
      <c r="D2165" s="3" t="str">
        <f>IFERROR(__xludf.DUMMYFUNCTION("if(isblank(B2165),,ifna(textjoin(""; "",,filter('On Hand'!E:E,'On Hand'!A:A=A2165)),ifna(xlookup(A2165,'On Hand'!A:A,'On Hand'!E:E,),)))"),"")</f>
        <v/>
      </c>
    </row>
    <row r="2166">
      <c r="A2166" s="3" t="str">
        <f t="array" ref="A2166">ifna(_xlfn.xlookup(B2166,'All Item Code'!B:B,'All Item Code'!A:A,),)</f>
        <v/>
      </c>
      <c r="B2166" s="3"/>
      <c r="C2166" s="3" t="str">
        <f t="array" ref="C2166">if(B2166="Tidak Ada",,if(isblank(B2166),,ifna(sumif('On Hand'!A:A,A2166,'On Hand'!D:D)&amp;" "&amp;_xlfn.xlookup(A2166,'All Item Code'!A:A,'All Item Code'!D:D,),0)))</f>
        <v/>
      </c>
      <c r="D2166" s="3" t="str">
        <f>IFERROR(__xludf.DUMMYFUNCTION("if(isblank(B2166),,ifna(textjoin(""; "",,filter('On Hand'!E:E,'On Hand'!A:A=A2166)),ifna(xlookup(A2166,'On Hand'!A:A,'On Hand'!E:E,),)))"),"")</f>
        <v/>
      </c>
    </row>
    <row r="2167">
      <c r="A2167" s="3" t="str">
        <f t="array" ref="A2167">ifna(_xlfn.xlookup(B2167,'All Item Code'!B:B,'All Item Code'!A:A,),)</f>
        <v/>
      </c>
      <c r="B2167" s="3"/>
      <c r="C2167" s="3" t="str">
        <f t="array" ref="C2167">if(B2167="Tidak Ada",,if(isblank(B2167),,ifna(sumif('On Hand'!A:A,A2167,'On Hand'!D:D)&amp;" "&amp;_xlfn.xlookup(A2167,'All Item Code'!A:A,'All Item Code'!D:D,),0)))</f>
        <v/>
      </c>
      <c r="D2167" s="3" t="str">
        <f>IFERROR(__xludf.DUMMYFUNCTION("if(isblank(B2167),,ifna(textjoin(""; "",,filter('On Hand'!E:E,'On Hand'!A:A=A2167)),ifna(xlookup(A2167,'On Hand'!A:A,'On Hand'!E:E,),)))"),"")</f>
        <v/>
      </c>
    </row>
    <row r="2168">
      <c r="A2168" s="3" t="str">
        <f t="array" ref="A2168">ifna(_xlfn.xlookup(B2168,'All Item Code'!B:B,'All Item Code'!A:A,),)</f>
        <v/>
      </c>
      <c r="B2168" s="3"/>
      <c r="C2168" s="3" t="str">
        <f t="array" ref="C2168">if(B2168="Tidak Ada",,if(isblank(B2168),,ifna(sumif('On Hand'!A:A,A2168,'On Hand'!D:D)&amp;" "&amp;_xlfn.xlookup(A2168,'All Item Code'!A:A,'All Item Code'!D:D,),0)))</f>
        <v/>
      </c>
      <c r="D2168" s="3" t="str">
        <f>IFERROR(__xludf.DUMMYFUNCTION("if(isblank(B2168),,ifna(textjoin(""; "",,filter('On Hand'!E:E,'On Hand'!A:A=A2168)),ifna(xlookup(A2168,'On Hand'!A:A,'On Hand'!E:E,),)))"),"")</f>
        <v/>
      </c>
    </row>
    <row r="2169">
      <c r="A2169" s="3" t="str">
        <f t="array" ref="A2169">ifna(_xlfn.xlookup(B2169,'All Item Code'!B:B,'All Item Code'!A:A,),)</f>
        <v/>
      </c>
      <c r="B2169" s="3"/>
      <c r="C2169" s="3" t="str">
        <f t="array" ref="C2169">if(B2169="Tidak Ada",,if(isblank(B2169),,ifna(sumif('On Hand'!A:A,A2169,'On Hand'!D:D)&amp;" "&amp;_xlfn.xlookup(A2169,'All Item Code'!A:A,'All Item Code'!D:D,),0)))</f>
        <v/>
      </c>
      <c r="D2169" s="3" t="str">
        <f>IFERROR(__xludf.DUMMYFUNCTION("if(isblank(B2169),,ifna(textjoin(""; "",,filter('On Hand'!E:E,'On Hand'!A:A=A2169)),ifna(xlookup(A2169,'On Hand'!A:A,'On Hand'!E:E,),)))"),"")</f>
        <v/>
      </c>
    </row>
    <row r="2170">
      <c r="A2170" s="3" t="str">
        <f t="array" ref="A2170">ifna(_xlfn.xlookup(B2170,'All Item Code'!B:B,'All Item Code'!A:A,),)</f>
        <v/>
      </c>
      <c r="B2170" s="3"/>
      <c r="C2170" s="3" t="str">
        <f t="array" ref="C2170">if(B2170="Tidak Ada",,if(isblank(B2170),,ifna(sumif('On Hand'!A:A,A2170,'On Hand'!D:D)&amp;" "&amp;_xlfn.xlookup(A2170,'All Item Code'!A:A,'All Item Code'!D:D,),0)))</f>
        <v/>
      </c>
      <c r="D2170" s="3" t="str">
        <f>IFERROR(__xludf.DUMMYFUNCTION("if(isblank(B2170),,ifna(textjoin(""; "",,filter('On Hand'!E:E,'On Hand'!A:A=A2170)),ifna(xlookup(A2170,'On Hand'!A:A,'On Hand'!E:E,),)))"),"")</f>
        <v/>
      </c>
    </row>
    <row r="2171">
      <c r="A2171" s="3" t="str">
        <f t="array" ref="A2171">ifna(_xlfn.xlookup(B2171,'All Item Code'!B:B,'All Item Code'!A:A,),)</f>
        <v/>
      </c>
      <c r="B2171" s="3"/>
      <c r="C2171" s="3" t="str">
        <f t="array" ref="C2171">if(B2171="Tidak Ada",,if(isblank(B2171),,ifna(sumif('On Hand'!A:A,A2171,'On Hand'!D:D)&amp;" "&amp;_xlfn.xlookup(A2171,'All Item Code'!A:A,'All Item Code'!D:D,),0)))</f>
        <v/>
      </c>
      <c r="D2171" s="3" t="str">
        <f>IFERROR(__xludf.DUMMYFUNCTION("if(isblank(B2171),,ifna(textjoin(""; "",,filter('On Hand'!E:E,'On Hand'!A:A=A2171)),ifna(xlookup(A2171,'On Hand'!A:A,'On Hand'!E:E,),)))"),"")</f>
        <v/>
      </c>
    </row>
    <row r="2172">
      <c r="A2172" s="3" t="str">
        <f t="array" ref="A2172">ifna(_xlfn.xlookup(B2172,'All Item Code'!B:B,'All Item Code'!A:A,),)</f>
        <v/>
      </c>
      <c r="B2172" s="3"/>
      <c r="C2172" s="3" t="str">
        <f t="array" ref="C2172">if(B2172="Tidak Ada",,if(isblank(B2172),,ifna(sumif('On Hand'!A:A,A2172,'On Hand'!D:D)&amp;" "&amp;_xlfn.xlookup(A2172,'All Item Code'!A:A,'All Item Code'!D:D,),0)))</f>
        <v/>
      </c>
      <c r="D2172" s="3" t="str">
        <f>IFERROR(__xludf.DUMMYFUNCTION("if(isblank(B2172),,ifna(textjoin(""; "",,filter('On Hand'!E:E,'On Hand'!A:A=A2172)),ifna(xlookup(A2172,'On Hand'!A:A,'On Hand'!E:E,),)))"),"")</f>
        <v/>
      </c>
    </row>
    <row r="2173">
      <c r="A2173" s="3" t="str">
        <f t="array" ref="A2173">ifna(_xlfn.xlookup(B2173,'All Item Code'!B:B,'All Item Code'!A:A,),)</f>
        <v/>
      </c>
      <c r="B2173" s="3"/>
      <c r="C2173" s="3" t="str">
        <f t="array" ref="C2173">if(B2173="Tidak Ada",,if(isblank(B2173),,ifna(sumif('On Hand'!A:A,A2173,'On Hand'!D:D)&amp;" "&amp;_xlfn.xlookup(A2173,'All Item Code'!A:A,'All Item Code'!D:D,),0)))</f>
        <v/>
      </c>
      <c r="D2173" s="3" t="str">
        <f>IFERROR(__xludf.DUMMYFUNCTION("if(isblank(B2173),,ifna(textjoin(""; "",,filter('On Hand'!E:E,'On Hand'!A:A=A2173)),ifna(xlookup(A2173,'On Hand'!A:A,'On Hand'!E:E,),)))"),"")</f>
        <v/>
      </c>
    </row>
    <row r="2174">
      <c r="A2174" s="3" t="str">
        <f t="array" ref="A2174">ifna(_xlfn.xlookup(B2174,'All Item Code'!B:B,'All Item Code'!A:A,),)</f>
        <v/>
      </c>
      <c r="B2174" s="3"/>
      <c r="C2174" s="3" t="str">
        <f t="array" ref="C2174">if(B2174="Tidak Ada",,if(isblank(B2174),,ifna(sumif('On Hand'!A:A,A2174,'On Hand'!D:D)&amp;" "&amp;_xlfn.xlookup(A2174,'All Item Code'!A:A,'All Item Code'!D:D,),0)))</f>
        <v/>
      </c>
      <c r="D2174" s="3" t="str">
        <f>IFERROR(__xludf.DUMMYFUNCTION("if(isblank(B2174),,ifna(textjoin(""; "",,filter('On Hand'!E:E,'On Hand'!A:A=A2174)),ifna(xlookup(A2174,'On Hand'!A:A,'On Hand'!E:E,),)))"),"")</f>
        <v/>
      </c>
    </row>
    <row r="2175">
      <c r="A2175" s="3" t="str">
        <f t="array" ref="A2175">ifna(_xlfn.xlookup(B2175,'All Item Code'!B:B,'All Item Code'!A:A,),)</f>
        <v/>
      </c>
      <c r="B2175" s="3"/>
      <c r="C2175" s="3" t="str">
        <f t="array" ref="C2175">if(B2175="Tidak Ada",,if(isblank(B2175),,ifna(sumif('On Hand'!A:A,A2175,'On Hand'!D:D)&amp;" "&amp;_xlfn.xlookup(A2175,'All Item Code'!A:A,'All Item Code'!D:D,),0)))</f>
        <v/>
      </c>
      <c r="D2175" s="3" t="str">
        <f>IFERROR(__xludf.DUMMYFUNCTION("if(isblank(B2175),,ifna(textjoin(""; "",,filter('On Hand'!E:E,'On Hand'!A:A=A2175)),ifna(xlookup(A2175,'On Hand'!A:A,'On Hand'!E:E,),)))"),"")</f>
        <v/>
      </c>
    </row>
    <row r="2176">
      <c r="A2176" s="3" t="str">
        <f t="array" ref="A2176">ifna(_xlfn.xlookup(B2176,'All Item Code'!B:B,'All Item Code'!A:A,),)</f>
        <v/>
      </c>
      <c r="B2176" s="3"/>
      <c r="C2176" s="3" t="str">
        <f t="array" ref="C2176">if(B2176="Tidak Ada",,if(isblank(B2176),,ifna(sumif('On Hand'!A:A,A2176,'On Hand'!D:D)&amp;" "&amp;_xlfn.xlookup(A2176,'All Item Code'!A:A,'All Item Code'!D:D,),0)))</f>
        <v/>
      </c>
      <c r="D2176" s="3" t="str">
        <f>IFERROR(__xludf.DUMMYFUNCTION("if(isblank(B2176),,ifna(textjoin(""; "",,filter('On Hand'!E:E,'On Hand'!A:A=A2176)),ifna(xlookup(A2176,'On Hand'!A:A,'On Hand'!E:E,),)))"),"")</f>
        <v/>
      </c>
    </row>
    <row r="2177">
      <c r="A2177" s="3" t="str">
        <f t="array" ref="A2177">ifna(_xlfn.xlookup(B2177,'All Item Code'!B:B,'All Item Code'!A:A,),)</f>
        <v/>
      </c>
      <c r="B2177" s="3"/>
      <c r="C2177" s="3" t="str">
        <f t="array" ref="C2177">if(B2177="Tidak Ada",,if(isblank(B2177),,ifna(sumif('On Hand'!A:A,A2177,'On Hand'!D:D)&amp;" "&amp;_xlfn.xlookup(A2177,'All Item Code'!A:A,'All Item Code'!D:D,),0)))</f>
        <v/>
      </c>
      <c r="D2177" s="3" t="str">
        <f>IFERROR(__xludf.DUMMYFUNCTION("if(isblank(B2177),,ifna(textjoin(""; "",,filter('On Hand'!E:E,'On Hand'!A:A=A2177)),ifna(xlookup(A2177,'On Hand'!A:A,'On Hand'!E:E,),)))"),"")</f>
        <v/>
      </c>
    </row>
    <row r="2178">
      <c r="A2178" s="3" t="str">
        <f t="array" ref="A2178">ifna(_xlfn.xlookup(B2178,'All Item Code'!B:B,'All Item Code'!A:A,),)</f>
        <v/>
      </c>
      <c r="B2178" s="3"/>
      <c r="C2178" s="3" t="str">
        <f t="array" ref="C2178">if(B2178="Tidak Ada",,if(isblank(B2178),,ifna(sumif('On Hand'!A:A,A2178,'On Hand'!D:D)&amp;" "&amp;_xlfn.xlookup(A2178,'All Item Code'!A:A,'All Item Code'!D:D,),0)))</f>
        <v/>
      </c>
      <c r="D2178" s="3" t="str">
        <f>IFERROR(__xludf.DUMMYFUNCTION("if(isblank(B2178),,ifna(textjoin(""; "",,filter('On Hand'!E:E,'On Hand'!A:A=A2178)),ifna(xlookup(A2178,'On Hand'!A:A,'On Hand'!E:E,),)))"),"")</f>
        <v/>
      </c>
    </row>
    <row r="2179">
      <c r="A2179" s="3" t="str">
        <f t="array" ref="A2179">ifna(_xlfn.xlookup(B2179,'All Item Code'!B:B,'All Item Code'!A:A,),)</f>
        <v/>
      </c>
      <c r="B2179" s="3"/>
      <c r="C2179" s="3" t="str">
        <f t="array" ref="C2179">if(B2179="Tidak Ada",,if(isblank(B2179),,ifna(sumif('On Hand'!A:A,A2179,'On Hand'!D:D)&amp;" "&amp;_xlfn.xlookup(A2179,'All Item Code'!A:A,'All Item Code'!D:D,),0)))</f>
        <v/>
      </c>
      <c r="D2179" s="3" t="str">
        <f>IFERROR(__xludf.DUMMYFUNCTION("if(isblank(B2179),,ifna(textjoin(""; "",,filter('On Hand'!E:E,'On Hand'!A:A=A2179)),ifna(xlookup(A2179,'On Hand'!A:A,'On Hand'!E:E,),)))"),"")</f>
        <v/>
      </c>
    </row>
    <row r="2180">
      <c r="A2180" s="3" t="str">
        <f t="array" ref="A2180">ifna(_xlfn.xlookup(B2180,'All Item Code'!B:B,'All Item Code'!A:A,),)</f>
        <v/>
      </c>
      <c r="B2180" s="3"/>
      <c r="C2180" s="3" t="str">
        <f t="array" ref="C2180">if(B2180="Tidak Ada",,if(isblank(B2180),,ifna(sumif('On Hand'!A:A,A2180,'On Hand'!D:D)&amp;" "&amp;_xlfn.xlookup(A2180,'All Item Code'!A:A,'All Item Code'!D:D,),0)))</f>
        <v/>
      </c>
      <c r="D2180" s="3" t="str">
        <f>IFERROR(__xludf.DUMMYFUNCTION("if(isblank(B2180),,ifna(textjoin(""; "",,filter('On Hand'!E:E,'On Hand'!A:A=A2180)),ifna(xlookup(A2180,'On Hand'!A:A,'On Hand'!E:E,),)))"),"")</f>
        <v/>
      </c>
    </row>
    <row r="2181">
      <c r="A2181" s="3" t="str">
        <f t="array" ref="A2181">ifna(_xlfn.xlookup(B2181,'All Item Code'!B:B,'All Item Code'!A:A,),)</f>
        <v/>
      </c>
      <c r="B2181" s="3"/>
      <c r="C2181" s="3" t="str">
        <f t="array" ref="C2181">if(B2181="Tidak Ada",,if(isblank(B2181),,ifna(sumif('On Hand'!A:A,A2181,'On Hand'!D:D)&amp;" "&amp;_xlfn.xlookup(A2181,'All Item Code'!A:A,'All Item Code'!D:D,),0)))</f>
        <v/>
      </c>
      <c r="D2181" s="3" t="str">
        <f>IFERROR(__xludf.DUMMYFUNCTION("if(isblank(B2181),,ifna(textjoin(""; "",,filter('On Hand'!E:E,'On Hand'!A:A=A2181)),ifna(xlookup(A2181,'On Hand'!A:A,'On Hand'!E:E,),)))"),"")</f>
        <v/>
      </c>
    </row>
    <row r="2182">
      <c r="A2182" s="3" t="str">
        <f t="array" ref="A2182">ifna(_xlfn.xlookup(B2182,'All Item Code'!B:B,'All Item Code'!A:A,),)</f>
        <v/>
      </c>
      <c r="B2182" s="3"/>
      <c r="C2182" s="3" t="str">
        <f t="array" ref="C2182">if(B2182="Tidak Ada",,if(isblank(B2182),,ifna(sumif('On Hand'!A:A,A2182,'On Hand'!D:D)&amp;" "&amp;_xlfn.xlookup(A2182,'All Item Code'!A:A,'All Item Code'!D:D,),0)))</f>
        <v/>
      </c>
      <c r="D2182" s="3" t="str">
        <f>IFERROR(__xludf.DUMMYFUNCTION("if(isblank(B2182),,ifna(textjoin(""; "",,filter('On Hand'!E:E,'On Hand'!A:A=A2182)),ifna(xlookup(A2182,'On Hand'!A:A,'On Hand'!E:E,),)))"),"")</f>
        <v/>
      </c>
    </row>
    <row r="2183">
      <c r="A2183" s="3" t="str">
        <f t="array" ref="A2183">ifna(_xlfn.xlookup(B2183,'All Item Code'!B:B,'All Item Code'!A:A,),)</f>
        <v/>
      </c>
      <c r="B2183" s="3"/>
      <c r="C2183" s="3" t="str">
        <f t="array" ref="C2183">if(B2183="Tidak Ada",,if(isblank(B2183),,ifna(sumif('On Hand'!A:A,A2183,'On Hand'!D:D)&amp;" "&amp;_xlfn.xlookup(A2183,'All Item Code'!A:A,'All Item Code'!D:D,),0)))</f>
        <v/>
      </c>
      <c r="D2183" s="3" t="str">
        <f>IFERROR(__xludf.DUMMYFUNCTION("if(isblank(B2183),,ifna(textjoin(""; "",,filter('On Hand'!E:E,'On Hand'!A:A=A2183)),ifna(xlookup(A2183,'On Hand'!A:A,'On Hand'!E:E,),)))"),"")</f>
        <v/>
      </c>
    </row>
    <row r="2184">
      <c r="A2184" s="3" t="str">
        <f t="array" ref="A2184">ifna(_xlfn.xlookup(B2184,'All Item Code'!B:B,'All Item Code'!A:A,),)</f>
        <v/>
      </c>
      <c r="B2184" s="3"/>
      <c r="C2184" s="3" t="str">
        <f t="array" ref="C2184">if(B2184="Tidak Ada",,if(isblank(B2184),,ifna(sumif('On Hand'!A:A,A2184,'On Hand'!D:D)&amp;" "&amp;_xlfn.xlookup(A2184,'All Item Code'!A:A,'All Item Code'!D:D,),0)))</f>
        <v/>
      </c>
      <c r="D2184" s="3" t="str">
        <f>IFERROR(__xludf.DUMMYFUNCTION("if(isblank(B2184),,ifna(textjoin(""; "",,filter('On Hand'!E:E,'On Hand'!A:A=A2184)),ifna(xlookup(A2184,'On Hand'!A:A,'On Hand'!E:E,),)))"),"")</f>
        <v/>
      </c>
    </row>
    <row r="2185">
      <c r="A2185" s="3" t="str">
        <f t="array" ref="A2185">ifna(_xlfn.xlookup(B2185,'All Item Code'!B:B,'All Item Code'!A:A,),)</f>
        <v/>
      </c>
      <c r="B2185" s="3"/>
      <c r="C2185" s="3" t="str">
        <f t="array" ref="C2185">if(B2185="Tidak Ada",,if(isblank(B2185),,ifna(sumif('On Hand'!A:A,A2185,'On Hand'!D:D)&amp;" "&amp;_xlfn.xlookup(A2185,'All Item Code'!A:A,'All Item Code'!D:D,),0)))</f>
        <v/>
      </c>
      <c r="D2185" s="3" t="str">
        <f>IFERROR(__xludf.DUMMYFUNCTION("if(isblank(B2185),,ifna(textjoin(""; "",,filter('On Hand'!E:E,'On Hand'!A:A=A2185)),ifna(xlookup(A2185,'On Hand'!A:A,'On Hand'!E:E,),)))"),"")</f>
        <v/>
      </c>
    </row>
    <row r="2186">
      <c r="A2186" s="3" t="str">
        <f t="array" ref="A2186">ifna(_xlfn.xlookup(B2186,'All Item Code'!B:B,'All Item Code'!A:A,),)</f>
        <v/>
      </c>
      <c r="B2186" s="3"/>
      <c r="C2186" s="3" t="str">
        <f t="array" ref="C2186">if(B2186="Tidak Ada",,if(isblank(B2186),,ifna(sumif('On Hand'!A:A,A2186,'On Hand'!D:D)&amp;" "&amp;_xlfn.xlookup(A2186,'All Item Code'!A:A,'All Item Code'!D:D,),0)))</f>
        <v/>
      </c>
      <c r="D2186" s="3" t="str">
        <f>IFERROR(__xludf.DUMMYFUNCTION("if(isblank(B2186),,ifna(textjoin(""; "",,filter('On Hand'!E:E,'On Hand'!A:A=A2186)),ifna(xlookup(A2186,'On Hand'!A:A,'On Hand'!E:E,),)))"),"")</f>
        <v/>
      </c>
    </row>
    <row r="2187">
      <c r="A2187" s="3" t="str">
        <f t="array" ref="A2187">ifna(_xlfn.xlookup(B2187,'All Item Code'!B:B,'All Item Code'!A:A,),)</f>
        <v/>
      </c>
      <c r="B2187" s="3"/>
      <c r="C2187" s="3" t="str">
        <f t="array" ref="C2187">if(B2187="Tidak Ada",,if(isblank(B2187),,ifna(sumif('On Hand'!A:A,A2187,'On Hand'!D:D)&amp;" "&amp;_xlfn.xlookup(A2187,'All Item Code'!A:A,'All Item Code'!D:D,),0)))</f>
        <v/>
      </c>
      <c r="D2187" s="3" t="str">
        <f>IFERROR(__xludf.DUMMYFUNCTION("if(isblank(B2187),,ifna(textjoin(""; "",,filter('On Hand'!E:E,'On Hand'!A:A=A2187)),ifna(xlookup(A2187,'On Hand'!A:A,'On Hand'!E:E,),)))"),"")</f>
        <v/>
      </c>
    </row>
    <row r="2188">
      <c r="A2188" s="3" t="str">
        <f t="array" ref="A2188">ifna(_xlfn.xlookup(B2188,'All Item Code'!B:B,'All Item Code'!A:A,),)</f>
        <v/>
      </c>
      <c r="B2188" s="3"/>
      <c r="C2188" s="3" t="str">
        <f t="array" ref="C2188">if(B2188="Tidak Ada",,if(isblank(B2188),,ifna(sumif('On Hand'!A:A,A2188,'On Hand'!D:D)&amp;" "&amp;_xlfn.xlookup(A2188,'All Item Code'!A:A,'All Item Code'!D:D,),0)))</f>
        <v/>
      </c>
      <c r="D2188" s="3" t="str">
        <f>IFERROR(__xludf.DUMMYFUNCTION("if(isblank(B2188),,ifna(textjoin(""; "",,filter('On Hand'!E:E,'On Hand'!A:A=A2188)),ifna(xlookup(A2188,'On Hand'!A:A,'On Hand'!E:E,),)))"),"")</f>
        <v/>
      </c>
    </row>
    <row r="2189">
      <c r="A2189" s="3" t="str">
        <f t="array" ref="A2189">ifna(_xlfn.xlookup(B2189,'All Item Code'!B:B,'All Item Code'!A:A,),)</f>
        <v/>
      </c>
      <c r="B2189" s="3"/>
      <c r="C2189" s="3" t="str">
        <f t="array" ref="C2189">if(B2189="Tidak Ada",,if(isblank(B2189),,ifna(sumif('On Hand'!A:A,A2189,'On Hand'!D:D)&amp;" "&amp;_xlfn.xlookup(A2189,'All Item Code'!A:A,'All Item Code'!D:D,),0)))</f>
        <v/>
      </c>
      <c r="D2189" s="3" t="str">
        <f>IFERROR(__xludf.DUMMYFUNCTION("if(isblank(B2189),,ifna(textjoin(""; "",,filter('On Hand'!E:E,'On Hand'!A:A=A2189)),ifna(xlookup(A2189,'On Hand'!A:A,'On Hand'!E:E,),)))"),"")</f>
        <v/>
      </c>
    </row>
    <row r="2190">
      <c r="A2190" s="3" t="str">
        <f t="array" ref="A2190">ifna(_xlfn.xlookup(B2190,'All Item Code'!B:B,'All Item Code'!A:A,),)</f>
        <v/>
      </c>
      <c r="B2190" s="3"/>
      <c r="C2190" s="3" t="str">
        <f t="array" ref="C2190">if(B2190="Tidak Ada",,if(isblank(B2190),,ifna(sumif('On Hand'!A:A,A2190,'On Hand'!D:D)&amp;" "&amp;_xlfn.xlookup(A2190,'All Item Code'!A:A,'All Item Code'!D:D,),0)))</f>
        <v/>
      </c>
      <c r="D2190" s="3" t="str">
        <f>IFERROR(__xludf.DUMMYFUNCTION("if(isblank(B2190),,ifna(textjoin(""; "",,filter('On Hand'!E:E,'On Hand'!A:A=A2190)),ifna(xlookup(A2190,'On Hand'!A:A,'On Hand'!E:E,),)))"),"")</f>
        <v/>
      </c>
    </row>
    <row r="2191">
      <c r="A2191" s="3" t="str">
        <f t="array" ref="A2191">ifna(_xlfn.xlookup(B2191,'All Item Code'!B:B,'All Item Code'!A:A,),)</f>
        <v/>
      </c>
      <c r="B2191" s="3"/>
      <c r="C2191" s="3" t="str">
        <f t="array" ref="C2191">if(B2191="Tidak Ada",,if(isblank(B2191),,ifna(sumif('On Hand'!A:A,A2191,'On Hand'!D:D)&amp;" "&amp;_xlfn.xlookup(A2191,'All Item Code'!A:A,'All Item Code'!D:D,),0)))</f>
        <v/>
      </c>
      <c r="D2191" s="3" t="str">
        <f>IFERROR(__xludf.DUMMYFUNCTION("if(isblank(B2191),,ifna(textjoin(""; "",,filter('On Hand'!E:E,'On Hand'!A:A=A2191)),ifna(xlookup(A2191,'On Hand'!A:A,'On Hand'!E:E,),)))"),"")</f>
        <v/>
      </c>
    </row>
    <row r="2192">
      <c r="A2192" s="3" t="str">
        <f t="array" ref="A2192">ifna(_xlfn.xlookup(B2192,'All Item Code'!B:B,'All Item Code'!A:A,),)</f>
        <v/>
      </c>
      <c r="B2192" s="3"/>
      <c r="C2192" s="3" t="str">
        <f t="array" ref="C2192">if(B2192="Tidak Ada",,if(isblank(B2192),,ifna(sumif('On Hand'!A:A,A2192,'On Hand'!D:D)&amp;" "&amp;_xlfn.xlookup(A2192,'All Item Code'!A:A,'All Item Code'!D:D,),0)))</f>
        <v/>
      </c>
      <c r="D2192" s="3" t="str">
        <f>IFERROR(__xludf.DUMMYFUNCTION("if(isblank(B2192),,ifna(textjoin(""; "",,filter('On Hand'!E:E,'On Hand'!A:A=A2192)),ifna(xlookup(A2192,'On Hand'!A:A,'On Hand'!E:E,),)))"),"")</f>
        <v/>
      </c>
    </row>
    <row r="2193">
      <c r="A2193" s="3" t="str">
        <f t="array" ref="A2193">ifna(_xlfn.xlookup(B2193,'All Item Code'!B:B,'All Item Code'!A:A,),)</f>
        <v/>
      </c>
      <c r="B2193" s="3"/>
      <c r="C2193" s="3" t="str">
        <f t="array" ref="C2193">if(B2193="Tidak Ada",,if(isblank(B2193),,ifna(sumif('On Hand'!A:A,A2193,'On Hand'!D:D)&amp;" "&amp;_xlfn.xlookup(A2193,'All Item Code'!A:A,'All Item Code'!D:D,),0)))</f>
        <v/>
      </c>
      <c r="D2193" s="3" t="str">
        <f>IFERROR(__xludf.DUMMYFUNCTION("if(isblank(B2193),,ifna(textjoin(""; "",,filter('On Hand'!E:E,'On Hand'!A:A=A2193)),ifna(xlookup(A2193,'On Hand'!A:A,'On Hand'!E:E,),)))"),"")</f>
        <v/>
      </c>
    </row>
    <row r="2194">
      <c r="A2194" s="3" t="str">
        <f t="array" ref="A2194">ifna(_xlfn.xlookup(B2194,'All Item Code'!B:B,'All Item Code'!A:A,),)</f>
        <v/>
      </c>
      <c r="B2194" s="3"/>
      <c r="C2194" s="3" t="str">
        <f t="array" ref="C2194">if(B2194="Tidak Ada",,if(isblank(B2194),,ifna(sumif('On Hand'!A:A,A2194,'On Hand'!D:D)&amp;" "&amp;_xlfn.xlookup(A2194,'All Item Code'!A:A,'All Item Code'!D:D,),0)))</f>
        <v/>
      </c>
      <c r="D2194" s="3" t="str">
        <f>IFERROR(__xludf.DUMMYFUNCTION("if(isblank(B2194),,ifna(textjoin(""; "",,filter('On Hand'!E:E,'On Hand'!A:A=A2194)),ifna(xlookup(A2194,'On Hand'!A:A,'On Hand'!E:E,),)))"),"")</f>
        <v/>
      </c>
    </row>
    <row r="2195">
      <c r="A2195" s="3" t="str">
        <f t="array" ref="A2195">ifna(_xlfn.xlookup(B2195,'All Item Code'!B:B,'All Item Code'!A:A,),)</f>
        <v/>
      </c>
      <c r="B2195" s="3"/>
      <c r="C2195" s="3" t="str">
        <f t="array" ref="C2195">if(B2195="Tidak Ada",,if(isblank(B2195),,ifna(sumif('On Hand'!A:A,A2195,'On Hand'!D:D)&amp;" "&amp;_xlfn.xlookup(A2195,'All Item Code'!A:A,'All Item Code'!D:D,),0)))</f>
        <v/>
      </c>
      <c r="D2195" s="3" t="str">
        <f>IFERROR(__xludf.DUMMYFUNCTION("if(isblank(B2195),,ifna(textjoin(""; "",,filter('On Hand'!E:E,'On Hand'!A:A=A2195)),ifna(xlookup(A2195,'On Hand'!A:A,'On Hand'!E:E,),)))"),"")</f>
        <v/>
      </c>
    </row>
    <row r="2196">
      <c r="A2196" s="3" t="str">
        <f t="array" ref="A2196">ifna(_xlfn.xlookup(B2196,'All Item Code'!B:B,'All Item Code'!A:A,),)</f>
        <v/>
      </c>
      <c r="B2196" s="3"/>
      <c r="C2196" s="3" t="str">
        <f t="array" ref="C2196">if(B2196="Tidak Ada",,if(isblank(B2196),,ifna(sumif('On Hand'!A:A,A2196,'On Hand'!D:D)&amp;" "&amp;_xlfn.xlookup(A2196,'All Item Code'!A:A,'All Item Code'!D:D,),0)))</f>
        <v/>
      </c>
      <c r="D2196" s="3" t="str">
        <f>IFERROR(__xludf.DUMMYFUNCTION("if(isblank(B2196),,ifna(textjoin(""; "",,filter('On Hand'!E:E,'On Hand'!A:A=A2196)),ifna(xlookup(A2196,'On Hand'!A:A,'On Hand'!E:E,),)))"),"")</f>
        <v/>
      </c>
    </row>
    <row r="2197">
      <c r="A2197" s="3" t="str">
        <f t="array" ref="A2197">ifna(_xlfn.xlookup(B2197,'All Item Code'!B:B,'All Item Code'!A:A,),)</f>
        <v/>
      </c>
      <c r="B2197" s="3"/>
      <c r="C2197" s="3" t="str">
        <f t="array" ref="C2197">if(B2197="Tidak Ada",,if(isblank(B2197),,ifna(sumif('On Hand'!A:A,A2197,'On Hand'!D:D)&amp;" "&amp;_xlfn.xlookup(A2197,'All Item Code'!A:A,'All Item Code'!D:D,),0)))</f>
        <v/>
      </c>
      <c r="D2197" s="3" t="str">
        <f>IFERROR(__xludf.DUMMYFUNCTION("if(isblank(B2197),,ifna(textjoin(""; "",,filter('On Hand'!E:E,'On Hand'!A:A=A2197)),ifna(xlookup(A2197,'On Hand'!A:A,'On Hand'!E:E,),)))"),"")</f>
        <v/>
      </c>
    </row>
    <row r="2198">
      <c r="A2198" s="3" t="str">
        <f t="array" ref="A2198">ifna(_xlfn.xlookup(B2198,'All Item Code'!B:B,'All Item Code'!A:A,),)</f>
        <v/>
      </c>
      <c r="B2198" s="3"/>
      <c r="C2198" s="3" t="str">
        <f t="array" ref="C2198">if(B2198="Tidak Ada",,if(isblank(B2198),,ifna(sumif('On Hand'!A:A,A2198,'On Hand'!D:D)&amp;" "&amp;_xlfn.xlookup(A2198,'All Item Code'!A:A,'All Item Code'!D:D,),0)))</f>
        <v/>
      </c>
      <c r="D2198" s="3" t="str">
        <f>IFERROR(__xludf.DUMMYFUNCTION("if(isblank(B2198),,ifna(textjoin(""; "",,filter('On Hand'!E:E,'On Hand'!A:A=A2198)),ifna(xlookup(A2198,'On Hand'!A:A,'On Hand'!E:E,),)))"),"")</f>
        <v/>
      </c>
    </row>
    <row r="2199">
      <c r="A2199" s="3" t="str">
        <f t="array" ref="A2199">ifna(_xlfn.xlookup(B2199,'All Item Code'!B:B,'All Item Code'!A:A,),)</f>
        <v/>
      </c>
      <c r="B2199" s="3"/>
      <c r="C2199" s="3" t="str">
        <f t="array" ref="C2199">if(B2199="Tidak Ada",,if(isblank(B2199),,ifna(sumif('On Hand'!A:A,A2199,'On Hand'!D:D)&amp;" "&amp;_xlfn.xlookup(A2199,'All Item Code'!A:A,'All Item Code'!D:D,),0)))</f>
        <v/>
      </c>
      <c r="D2199" s="3" t="str">
        <f>IFERROR(__xludf.DUMMYFUNCTION("if(isblank(B2199),,ifna(textjoin(""; "",,filter('On Hand'!E:E,'On Hand'!A:A=A2199)),ifna(xlookup(A2199,'On Hand'!A:A,'On Hand'!E:E,),)))"),"")</f>
        <v/>
      </c>
    </row>
    <row r="2200">
      <c r="A2200" s="3" t="str">
        <f t="array" ref="A2200">ifna(_xlfn.xlookup(B2200,'All Item Code'!B:B,'All Item Code'!A:A,),)</f>
        <v/>
      </c>
      <c r="B2200" s="3"/>
      <c r="C2200" s="3" t="str">
        <f t="array" ref="C2200">if(B2200="Tidak Ada",,if(isblank(B2200),,ifna(sumif('On Hand'!A:A,A2200,'On Hand'!D:D)&amp;" "&amp;_xlfn.xlookup(A2200,'All Item Code'!A:A,'All Item Code'!D:D,),0)))</f>
        <v/>
      </c>
      <c r="D2200" s="3" t="str">
        <f>IFERROR(__xludf.DUMMYFUNCTION("if(isblank(B2200),,ifna(textjoin(""; "",,filter('On Hand'!E:E,'On Hand'!A:A=A2200)),ifna(xlookup(A2200,'On Hand'!A:A,'On Hand'!E:E,),)))"),"")</f>
        <v/>
      </c>
    </row>
    <row r="2201">
      <c r="A2201" s="3" t="str">
        <f t="array" ref="A2201">ifna(_xlfn.xlookup(B2201,'All Item Code'!B:B,'All Item Code'!A:A,),)</f>
        <v/>
      </c>
      <c r="B2201" s="3"/>
      <c r="C2201" s="3" t="str">
        <f t="array" ref="C2201">if(B2201="Tidak Ada",,if(isblank(B2201),,ifna(sumif('On Hand'!A:A,A2201,'On Hand'!D:D)&amp;" "&amp;_xlfn.xlookup(A2201,'All Item Code'!A:A,'All Item Code'!D:D,),0)))</f>
        <v/>
      </c>
      <c r="D2201" s="3" t="str">
        <f>IFERROR(__xludf.DUMMYFUNCTION("if(isblank(B2201),,ifna(textjoin(""; "",,filter('On Hand'!E:E,'On Hand'!A:A=A2201)),ifna(xlookup(A2201,'On Hand'!A:A,'On Hand'!E:E,),)))"),"")</f>
        <v/>
      </c>
    </row>
    <row r="2202">
      <c r="A2202" s="3" t="str">
        <f t="array" ref="A2202">ifna(_xlfn.xlookup(B2202,'All Item Code'!B:B,'All Item Code'!A:A,),)</f>
        <v/>
      </c>
      <c r="B2202" s="3"/>
      <c r="C2202" s="3" t="str">
        <f t="array" ref="C2202">if(B2202="Tidak Ada",,if(isblank(B2202),,ifna(sumif('On Hand'!A:A,A2202,'On Hand'!D:D)&amp;" "&amp;_xlfn.xlookup(A2202,'All Item Code'!A:A,'All Item Code'!D:D,),0)))</f>
        <v/>
      </c>
      <c r="D2202" s="3" t="str">
        <f>IFERROR(__xludf.DUMMYFUNCTION("if(isblank(B2202),,ifna(textjoin(""; "",,filter('On Hand'!E:E,'On Hand'!A:A=A2202)),ifna(xlookup(A2202,'On Hand'!A:A,'On Hand'!E:E,),)))"),"")</f>
        <v/>
      </c>
    </row>
    <row r="2203">
      <c r="A2203" s="3" t="str">
        <f t="array" ref="A2203">ifna(_xlfn.xlookup(B2203,'All Item Code'!B:B,'All Item Code'!A:A,),)</f>
        <v/>
      </c>
      <c r="B2203" s="3"/>
      <c r="C2203" s="3" t="str">
        <f t="array" ref="C2203">if(B2203="Tidak Ada",,if(isblank(B2203),,ifna(sumif('On Hand'!A:A,A2203,'On Hand'!D:D)&amp;" "&amp;_xlfn.xlookup(A2203,'All Item Code'!A:A,'All Item Code'!D:D,),0)))</f>
        <v/>
      </c>
      <c r="D2203" s="3" t="str">
        <f>IFERROR(__xludf.DUMMYFUNCTION("if(isblank(B2203),,ifna(textjoin(""; "",,filter('On Hand'!E:E,'On Hand'!A:A=A2203)),ifna(xlookup(A2203,'On Hand'!A:A,'On Hand'!E:E,),)))"),"")</f>
        <v/>
      </c>
    </row>
    <row r="2204">
      <c r="A2204" s="3" t="str">
        <f t="array" ref="A2204">ifna(_xlfn.xlookup(B2204,'All Item Code'!B:B,'All Item Code'!A:A,),)</f>
        <v/>
      </c>
      <c r="B2204" s="3"/>
      <c r="C2204" s="3" t="str">
        <f t="array" ref="C2204">if(B2204="Tidak Ada",,if(isblank(B2204),,ifna(sumif('On Hand'!A:A,A2204,'On Hand'!D:D)&amp;" "&amp;_xlfn.xlookup(A2204,'All Item Code'!A:A,'All Item Code'!D:D,),0)))</f>
        <v/>
      </c>
      <c r="D2204" s="3" t="str">
        <f>IFERROR(__xludf.DUMMYFUNCTION("if(isblank(B2204),,ifna(textjoin(""; "",,filter('On Hand'!E:E,'On Hand'!A:A=A2204)),ifna(xlookup(A2204,'On Hand'!A:A,'On Hand'!E:E,),)))"),"")</f>
        <v/>
      </c>
    </row>
    <row r="2205">
      <c r="A2205" s="3" t="str">
        <f t="array" ref="A2205">ifna(_xlfn.xlookup(B2205,'All Item Code'!B:B,'All Item Code'!A:A,),)</f>
        <v/>
      </c>
      <c r="B2205" s="3"/>
      <c r="C2205" s="3" t="str">
        <f t="array" ref="C2205">if(B2205="Tidak Ada",,if(isblank(B2205),,ifna(sumif('On Hand'!A:A,A2205,'On Hand'!D:D)&amp;" "&amp;_xlfn.xlookup(A2205,'All Item Code'!A:A,'All Item Code'!D:D,),0)))</f>
        <v/>
      </c>
      <c r="D2205" s="3" t="str">
        <f>IFERROR(__xludf.DUMMYFUNCTION("if(isblank(B2205),,ifna(textjoin(""; "",,filter('On Hand'!E:E,'On Hand'!A:A=A2205)),ifna(xlookup(A2205,'On Hand'!A:A,'On Hand'!E:E,),)))"),"")</f>
        <v/>
      </c>
    </row>
    <row r="2206">
      <c r="A2206" s="3" t="str">
        <f t="array" ref="A2206">ifna(_xlfn.xlookup(B2206,'All Item Code'!B:B,'All Item Code'!A:A,),)</f>
        <v/>
      </c>
      <c r="B2206" s="3"/>
      <c r="C2206" s="3" t="str">
        <f t="array" ref="C2206">if(B2206="Tidak Ada",,if(isblank(B2206),,ifna(sumif('On Hand'!A:A,A2206,'On Hand'!D:D)&amp;" "&amp;_xlfn.xlookup(A2206,'All Item Code'!A:A,'All Item Code'!D:D,),0)))</f>
        <v/>
      </c>
      <c r="D2206" s="3" t="str">
        <f>IFERROR(__xludf.DUMMYFUNCTION("if(isblank(B2206),,ifna(textjoin(""; "",,filter('On Hand'!E:E,'On Hand'!A:A=A2206)),ifna(xlookup(A2206,'On Hand'!A:A,'On Hand'!E:E,),)))"),"")</f>
        <v/>
      </c>
    </row>
    <row r="2207">
      <c r="A2207" s="3" t="str">
        <f t="array" ref="A2207">ifna(_xlfn.xlookup(B2207,'All Item Code'!B:B,'All Item Code'!A:A,),)</f>
        <v/>
      </c>
      <c r="B2207" s="3"/>
      <c r="C2207" s="3" t="str">
        <f t="array" ref="C2207">if(B2207="Tidak Ada",,if(isblank(B2207),,ifna(sumif('On Hand'!A:A,A2207,'On Hand'!D:D)&amp;" "&amp;_xlfn.xlookup(A2207,'All Item Code'!A:A,'All Item Code'!D:D,),0)))</f>
        <v/>
      </c>
      <c r="D2207" s="3" t="str">
        <f>IFERROR(__xludf.DUMMYFUNCTION("if(isblank(B2207),,ifna(textjoin(""; "",,filter('On Hand'!E:E,'On Hand'!A:A=A2207)),ifna(xlookup(A2207,'On Hand'!A:A,'On Hand'!E:E,),)))"),"")</f>
        <v/>
      </c>
    </row>
    <row r="2208">
      <c r="A2208" s="3" t="str">
        <f t="array" ref="A2208">ifna(_xlfn.xlookup(B2208,'All Item Code'!B:B,'All Item Code'!A:A,),)</f>
        <v/>
      </c>
      <c r="B2208" s="3"/>
      <c r="C2208" s="3" t="str">
        <f t="array" ref="C2208">if(B2208="Tidak Ada",,if(isblank(B2208),,ifna(sumif('On Hand'!A:A,A2208,'On Hand'!D:D)&amp;" "&amp;_xlfn.xlookup(A2208,'All Item Code'!A:A,'All Item Code'!D:D,),0)))</f>
        <v/>
      </c>
      <c r="D2208" s="3" t="str">
        <f>IFERROR(__xludf.DUMMYFUNCTION("if(isblank(B2208),,ifna(textjoin(""; "",,filter('On Hand'!E:E,'On Hand'!A:A=A2208)),ifna(xlookup(A2208,'On Hand'!A:A,'On Hand'!E:E,),)))"),"")</f>
        <v/>
      </c>
    </row>
    <row r="2209">
      <c r="A2209" s="3" t="str">
        <f t="array" ref="A2209">ifna(_xlfn.xlookup(B2209,'All Item Code'!B:B,'All Item Code'!A:A,),)</f>
        <v/>
      </c>
      <c r="B2209" s="3"/>
      <c r="C2209" s="3" t="str">
        <f t="array" ref="C2209">if(B2209="Tidak Ada",,if(isblank(B2209),,ifna(sumif('On Hand'!A:A,A2209,'On Hand'!D:D)&amp;" "&amp;_xlfn.xlookup(A2209,'All Item Code'!A:A,'All Item Code'!D:D,),0)))</f>
        <v/>
      </c>
      <c r="D2209" s="3" t="str">
        <f>IFERROR(__xludf.DUMMYFUNCTION("if(isblank(B2209),,ifna(textjoin(""; "",,filter('On Hand'!E:E,'On Hand'!A:A=A2209)),ifna(xlookup(A2209,'On Hand'!A:A,'On Hand'!E:E,),)))"),"")</f>
        <v/>
      </c>
    </row>
    <row r="2210">
      <c r="A2210" s="3" t="str">
        <f t="array" ref="A2210">ifna(_xlfn.xlookup(B2210,'All Item Code'!B:B,'All Item Code'!A:A,),)</f>
        <v/>
      </c>
      <c r="B2210" s="3"/>
      <c r="C2210" s="3" t="str">
        <f t="array" ref="C2210">if(B2210="Tidak Ada",,if(isblank(B2210),,ifna(sumif('On Hand'!A:A,A2210,'On Hand'!D:D)&amp;" "&amp;_xlfn.xlookup(A2210,'All Item Code'!A:A,'All Item Code'!D:D,),0)))</f>
        <v/>
      </c>
      <c r="D2210" s="3" t="str">
        <f>IFERROR(__xludf.DUMMYFUNCTION("if(isblank(B2210),,ifna(textjoin(""; "",,filter('On Hand'!E:E,'On Hand'!A:A=A2210)),ifna(xlookup(A2210,'On Hand'!A:A,'On Hand'!E:E,),)))"),"")</f>
        <v/>
      </c>
    </row>
    <row r="2211">
      <c r="A2211" s="3" t="str">
        <f t="array" ref="A2211">ifna(_xlfn.xlookup(B2211,'All Item Code'!B:B,'All Item Code'!A:A,),)</f>
        <v/>
      </c>
      <c r="B2211" s="3"/>
      <c r="C2211" s="3" t="str">
        <f t="array" ref="C2211">if(B2211="Tidak Ada",,if(isblank(B2211),,ifna(sumif('On Hand'!A:A,A2211,'On Hand'!D:D)&amp;" "&amp;_xlfn.xlookup(A2211,'All Item Code'!A:A,'All Item Code'!D:D,),0)))</f>
        <v/>
      </c>
      <c r="D2211" s="3" t="str">
        <f>IFERROR(__xludf.DUMMYFUNCTION("if(isblank(B2211),,ifna(textjoin(""; "",,filter('On Hand'!E:E,'On Hand'!A:A=A2211)),ifna(xlookup(A2211,'On Hand'!A:A,'On Hand'!E:E,),)))"),"")</f>
        <v/>
      </c>
    </row>
    <row r="2212">
      <c r="A2212" s="3" t="str">
        <f t="array" ref="A2212">ifna(_xlfn.xlookup(B2212,'All Item Code'!B:B,'All Item Code'!A:A,),)</f>
        <v/>
      </c>
      <c r="B2212" s="3"/>
      <c r="C2212" s="3" t="str">
        <f t="array" ref="C2212">if(B2212="Tidak Ada",,if(isblank(B2212),,ifna(sumif('On Hand'!A:A,A2212,'On Hand'!D:D)&amp;" "&amp;_xlfn.xlookup(A2212,'All Item Code'!A:A,'All Item Code'!D:D,),0)))</f>
        <v/>
      </c>
      <c r="D2212" s="3" t="str">
        <f>IFERROR(__xludf.DUMMYFUNCTION("if(isblank(B2212),,ifna(textjoin(""; "",,filter('On Hand'!E:E,'On Hand'!A:A=A2212)),ifna(xlookup(A2212,'On Hand'!A:A,'On Hand'!E:E,),)))"),"")</f>
        <v/>
      </c>
    </row>
    <row r="2213">
      <c r="A2213" s="3" t="str">
        <f t="array" ref="A2213">ifna(_xlfn.xlookup(B2213,'All Item Code'!B:B,'All Item Code'!A:A,),)</f>
        <v/>
      </c>
      <c r="B2213" s="3"/>
      <c r="C2213" s="3" t="str">
        <f t="array" ref="C2213">if(B2213="Tidak Ada",,if(isblank(B2213),,ifna(sumif('On Hand'!A:A,A2213,'On Hand'!D:D)&amp;" "&amp;_xlfn.xlookup(A2213,'All Item Code'!A:A,'All Item Code'!D:D,),0)))</f>
        <v/>
      </c>
      <c r="D2213" s="3" t="str">
        <f>IFERROR(__xludf.DUMMYFUNCTION("if(isblank(B2213),,ifna(textjoin(""; "",,filter('On Hand'!E:E,'On Hand'!A:A=A2213)),ifna(xlookup(A2213,'On Hand'!A:A,'On Hand'!E:E,),)))"),"")</f>
        <v/>
      </c>
    </row>
    <row r="2214">
      <c r="A2214" s="3" t="str">
        <f t="array" ref="A2214">ifna(_xlfn.xlookup(B2214,'All Item Code'!B:B,'All Item Code'!A:A,),)</f>
        <v/>
      </c>
      <c r="B2214" s="3"/>
      <c r="C2214" s="3" t="str">
        <f t="array" ref="C2214">if(B2214="Tidak Ada",,if(isblank(B2214),,ifna(sumif('On Hand'!A:A,A2214,'On Hand'!D:D)&amp;" "&amp;_xlfn.xlookup(A2214,'All Item Code'!A:A,'All Item Code'!D:D,),0)))</f>
        <v/>
      </c>
      <c r="D2214" s="3" t="str">
        <f>IFERROR(__xludf.DUMMYFUNCTION("if(isblank(B2214),,ifna(textjoin(""; "",,filter('On Hand'!E:E,'On Hand'!A:A=A2214)),ifna(xlookup(A2214,'On Hand'!A:A,'On Hand'!E:E,),)))"),"")</f>
        <v/>
      </c>
    </row>
    <row r="2215">
      <c r="A2215" s="3" t="str">
        <f t="array" ref="A2215">ifna(_xlfn.xlookup(B2215,'All Item Code'!B:B,'All Item Code'!A:A,),)</f>
        <v/>
      </c>
      <c r="B2215" s="3"/>
      <c r="C2215" s="3" t="str">
        <f t="array" ref="C2215">if(B2215="Tidak Ada",,if(isblank(B2215),,ifna(sumif('On Hand'!A:A,A2215,'On Hand'!D:D)&amp;" "&amp;_xlfn.xlookup(A2215,'All Item Code'!A:A,'All Item Code'!D:D,),0)))</f>
        <v/>
      </c>
      <c r="D2215" s="3" t="str">
        <f>IFERROR(__xludf.DUMMYFUNCTION("if(isblank(B2215),,ifna(textjoin(""; "",,filter('On Hand'!E:E,'On Hand'!A:A=A2215)),ifna(xlookup(A2215,'On Hand'!A:A,'On Hand'!E:E,),)))"),"")</f>
        <v/>
      </c>
    </row>
    <row r="2216">
      <c r="A2216" s="3" t="str">
        <f t="array" ref="A2216">ifna(_xlfn.xlookup(B2216,'All Item Code'!B:B,'All Item Code'!A:A,),)</f>
        <v/>
      </c>
      <c r="B2216" s="3"/>
      <c r="C2216" s="3" t="str">
        <f t="array" ref="C2216">if(B2216="Tidak Ada",,if(isblank(B2216),,ifna(sumif('On Hand'!A:A,A2216,'On Hand'!D:D)&amp;" "&amp;_xlfn.xlookup(A2216,'All Item Code'!A:A,'All Item Code'!D:D,),0)))</f>
        <v/>
      </c>
      <c r="D2216" s="3" t="str">
        <f>IFERROR(__xludf.DUMMYFUNCTION("if(isblank(B2216),,ifna(textjoin(""; "",,filter('On Hand'!E:E,'On Hand'!A:A=A2216)),ifna(xlookup(A2216,'On Hand'!A:A,'On Hand'!E:E,),)))"),"")</f>
        <v/>
      </c>
    </row>
    <row r="2217">
      <c r="A2217" s="3" t="str">
        <f t="array" ref="A2217">ifna(_xlfn.xlookup(B2217,'All Item Code'!B:B,'All Item Code'!A:A,),)</f>
        <v/>
      </c>
      <c r="B2217" s="3"/>
      <c r="C2217" s="3" t="str">
        <f t="array" ref="C2217">if(B2217="Tidak Ada",,if(isblank(B2217),,ifna(sumif('On Hand'!A:A,A2217,'On Hand'!D:D)&amp;" "&amp;_xlfn.xlookup(A2217,'All Item Code'!A:A,'All Item Code'!D:D,),0)))</f>
        <v/>
      </c>
      <c r="D2217" s="3" t="str">
        <f>IFERROR(__xludf.DUMMYFUNCTION("if(isblank(B2217),,ifna(textjoin(""; "",,filter('On Hand'!E:E,'On Hand'!A:A=A2217)),ifna(xlookup(A2217,'On Hand'!A:A,'On Hand'!E:E,),)))"),"")</f>
        <v/>
      </c>
    </row>
    <row r="2218">
      <c r="A2218" s="3" t="str">
        <f t="array" ref="A2218">ifna(_xlfn.xlookup(B2218,'All Item Code'!B:B,'All Item Code'!A:A,),)</f>
        <v/>
      </c>
      <c r="B2218" s="3"/>
      <c r="C2218" s="3" t="str">
        <f t="array" ref="C2218">if(B2218="Tidak Ada",,if(isblank(B2218),,ifna(sumif('On Hand'!A:A,A2218,'On Hand'!D:D)&amp;" "&amp;_xlfn.xlookup(A2218,'All Item Code'!A:A,'All Item Code'!D:D,),0)))</f>
        <v/>
      </c>
      <c r="D2218" s="3" t="str">
        <f>IFERROR(__xludf.DUMMYFUNCTION("if(isblank(B2218),,ifna(textjoin(""; "",,filter('On Hand'!E:E,'On Hand'!A:A=A2218)),ifna(xlookup(A2218,'On Hand'!A:A,'On Hand'!E:E,),)))"),"")</f>
        <v/>
      </c>
    </row>
    <row r="2219">
      <c r="A2219" s="3" t="str">
        <f t="array" ref="A2219">ifna(_xlfn.xlookup(B2219,'All Item Code'!B:B,'All Item Code'!A:A,),)</f>
        <v/>
      </c>
      <c r="B2219" s="3"/>
      <c r="C2219" s="3" t="str">
        <f t="array" ref="C2219">if(B2219="Tidak Ada",,if(isblank(B2219),,ifna(sumif('On Hand'!A:A,A2219,'On Hand'!D:D)&amp;" "&amp;_xlfn.xlookup(A2219,'All Item Code'!A:A,'All Item Code'!D:D,),0)))</f>
        <v/>
      </c>
      <c r="D2219" s="3" t="str">
        <f>IFERROR(__xludf.DUMMYFUNCTION("if(isblank(B2219),,ifna(textjoin(""; "",,filter('On Hand'!E:E,'On Hand'!A:A=A2219)),ifna(xlookup(A2219,'On Hand'!A:A,'On Hand'!E:E,),)))"),"")</f>
        <v/>
      </c>
    </row>
    <row r="2220">
      <c r="A2220" s="3" t="str">
        <f t="array" ref="A2220">ifna(_xlfn.xlookup(B2220,'All Item Code'!B:B,'All Item Code'!A:A,),)</f>
        <v/>
      </c>
      <c r="B2220" s="3"/>
      <c r="C2220" s="3" t="str">
        <f t="array" ref="C2220">if(B2220="Tidak Ada",,if(isblank(B2220),,ifna(sumif('On Hand'!A:A,A2220,'On Hand'!D:D)&amp;" "&amp;_xlfn.xlookup(A2220,'All Item Code'!A:A,'All Item Code'!D:D,),0)))</f>
        <v/>
      </c>
      <c r="D2220" s="3" t="str">
        <f>IFERROR(__xludf.DUMMYFUNCTION("if(isblank(B2220),,ifna(textjoin(""; "",,filter('On Hand'!E:E,'On Hand'!A:A=A2220)),ifna(xlookup(A2220,'On Hand'!A:A,'On Hand'!E:E,),)))"),"")</f>
        <v/>
      </c>
    </row>
    <row r="2221">
      <c r="A2221" s="3" t="str">
        <f t="array" ref="A2221">ifna(_xlfn.xlookup(B2221,'All Item Code'!B:B,'All Item Code'!A:A,),)</f>
        <v/>
      </c>
      <c r="B2221" s="3"/>
      <c r="C2221" s="3" t="str">
        <f t="array" ref="C2221">if(B2221="Tidak Ada",,if(isblank(B2221),,ifna(sumif('On Hand'!A:A,A2221,'On Hand'!D:D)&amp;" "&amp;_xlfn.xlookup(A2221,'All Item Code'!A:A,'All Item Code'!D:D,),0)))</f>
        <v/>
      </c>
      <c r="D2221" s="3" t="str">
        <f>IFERROR(__xludf.DUMMYFUNCTION("if(isblank(B2221),,ifna(textjoin(""; "",,filter('On Hand'!E:E,'On Hand'!A:A=A2221)),ifna(xlookup(A2221,'On Hand'!A:A,'On Hand'!E:E,),)))"),"")</f>
        <v/>
      </c>
    </row>
    <row r="2222">
      <c r="A2222" s="3" t="str">
        <f t="array" ref="A2222">ifna(_xlfn.xlookup(B2222,'All Item Code'!B:B,'All Item Code'!A:A,),)</f>
        <v/>
      </c>
      <c r="B2222" s="3"/>
      <c r="C2222" s="3" t="str">
        <f t="array" ref="C2222">if(B2222="Tidak Ada",,if(isblank(B2222),,ifna(sumif('On Hand'!A:A,A2222,'On Hand'!D:D)&amp;" "&amp;_xlfn.xlookup(A2222,'All Item Code'!A:A,'All Item Code'!D:D,),0)))</f>
        <v/>
      </c>
      <c r="D2222" s="3" t="str">
        <f>IFERROR(__xludf.DUMMYFUNCTION("if(isblank(B2222),,ifna(textjoin(""; "",,filter('On Hand'!E:E,'On Hand'!A:A=A2222)),ifna(xlookup(A2222,'On Hand'!A:A,'On Hand'!E:E,),)))"),"")</f>
        <v/>
      </c>
    </row>
    <row r="2223">
      <c r="A2223" s="3" t="str">
        <f t="array" ref="A2223">ifna(_xlfn.xlookup(B2223,'All Item Code'!B:B,'All Item Code'!A:A,),)</f>
        <v/>
      </c>
      <c r="B2223" s="3"/>
      <c r="C2223" s="3" t="str">
        <f t="array" ref="C2223">if(B2223="Tidak Ada",,if(isblank(B2223),,ifna(sumif('On Hand'!A:A,A2223,'On Hand'!D:D)&amp;" "&amp;_xlfn.xlookup(A2223,'All Item Code'!A:A,'All Item Code'!D:D,),0)))</f>
        <v/>
      </c>
      <c r="D2223" s="3" t="str">
        <f>IFERROR(__xludf.DUMMYFUNCTION("if(isblank(B2223),,ifna(textjoin(""; "",,filter('On Hand'!E:E,'On Hand'!A:A=A2223)),ifna(xlookup(A2223,'On Hand'!A:A,'On Hand'!E:E,),)))"),"")</f>
        <v/>
      </c>
    </row>
    <row r="2224">
      <c r="A2224" s="3" t="str">
        <f t="array" ref="A2224">ifna(_xlfn.xlookup(B2224,'All Item Code'!B:B,'All Item Code'!A:A,),)</f>
        <v/>
      </c>
      <c r="B2224" s="3"/>
      <c r="C2224" s="3" t="str">
        <f t="array" ref="C2224">if(B2224="Tidak Ada",,if(isblank(B2224),,ifna(sumif('On Hand'!A:A,A2224,'On Hand'!D:D)&amp;" "&amp;_xlfn.xlookup(A2224,'All Item Code'!A:A,'All Item Code'!D:D,),0)))</f>
        <v/>
      </c>
      <c r="D2224" s="3" t="str">
        <f>IFERROR(__xludf.DUMMYFUNCTION("if(isblank(B2224),,ifna(textjoin(""; "",,filter('On Hand'!E:E,'On Hand'!A:A=A2224)),ifna(xlookup(A2224,'On Hand'!A:A,'On Hand'!E:E,),)))"),"")</f>
        <v/>
      </c>
    </row>
    <row r="2225">
      <c r="A2225" s="3" t="str">
        <f t="array" ref="A2225">ifna(_xlfn.xlookup(B2225,'All Item Code'!B:B,'All Item Code'!A:A,),)</f>
        <v/>
      </c>
      <c r="B2225" s="3"/>
      <c r="C2225" s="3" t="str">
        <f t="array" ref="C2225">if(B2225="Tidak Ada",,if(isblank(B2225),,ifna(sumif('On Hand'!A:A,A2225,'On Hand'!D:D)&amp;" "&amp;_xlfn.xlookup(A2225,'All Item Code'!A:A,'All Item Code'!D:D,),0)))</f>
        <v/>
      </c>
      <c r="D2225" s="3" t="str">
        <f>IFERROR(__xludf.DUMMYFUNCTION("if(isblank(B2225),,ifna(textjoin(""; "",,filter('On Hand'!E:E,'On Hand'!A:A=A2225)),ifna(xlookup(A2225,'On Hand'!A:A,'On Hand'!E:E,),)))"),"")</f>
        <v/>
      </c>
    </row>
    <row r="2226">
      <c r="A2226" s="3" t="str">
        <f t="array" ref="A2226">ifna(_xlfn.xlookup(B2226,'All Item Code'!B:B,'All Item Code'!A:A,),)</f>
        <v/>
      </c>
      <c r="B2226" s="3"/>
      <c r="C2226" s="3" t="str">
        <f t="array" ref="C2226">if(B2226="Tidak Ada",,if(isblank(B2226),,ifna(sumif('On Hand'!A:A,A2226,'On Hand'!D:D)&amp;" "&amp;_xlfn.xlookup(A2226,'All Item Code'!A:A,'All Item Code'!D:D,),0)))</f>
        <v/>
      </c>
      <c r="D2226" s="3" t="str">
        <f>IFERROR(__xludf.DUMMYFUNCTION("if(isblank(B2226),,ifna(textjoin(""; "",,filter('On Hand'!E:E,'On Hand'!A:A=A2226)),ifna(xlookup(A2226,'On Hand'!A:A,'On Hand'!E:E,),)))"),"")</f>
        <v/>
      </c>
    </row>
    <row r="2227">
      <c r="A2227" s="3" t="str">
        <f t="array" ref="A2227">ifna(_xlfn.xlookup(B2227,'All Item Code'!B:B,'All Item Code'!A:A,),)</f>
        <v/>
      </c>
      <c r="B2227" s="3"/>
      <c r="C2227" s="3" t="str">
        <f t="array" ref="C2227">if(B2227="Tidak Ada",,if(isblank(B2227),,ifna(sumif('On Hand'!A:A,A2227,'On Hand'!D:D)&amp;" "&amp;_xlfn.xlookup(A2227,'All Item Code'!A:A,'All Item Code'!D:D,),0)))</f>
        <v/>
      </c>
      <c r="D2227" s="3" t="str">
        <f>IFERROR(__xludf.DUMMYFUNCTION("if(isblank(B2227),,ifna(textjoin(""; "",,filter('On Hand'!E:E,'On Hand'!A:A=A2227)),ifna(xlookup(A2227,'On Hand'!A:A,'On Hand'!E:E,),)))"),"")</f>
        <v/>
      </c>
    </row>
    <row r="2228">
      <c r="A2228" s="3" t="str">
        <f t="array" ref="A2228">ifna(_xlfn.xlookup(B2228,'All Item Code'!B:B,'All Item Code'!A:A,),)</f>
        <v/>
      </c>
      <c r="B2228" s="3"/>
      <c r="C2228" s="3" t="str">
        <f t="array" ref="C2228">if(B2228="Tidak Ada",,if(isblank(B2228),,ifna(sumif('On Hand'!A:A,A2228,'On Hand'!D:D)&amp;" "&amp;_xlfn.xlookup(A2228,'All Item Code'!A:A,'All Item Code'!D:D,),0)))</f>
        <v/>
      </c>
      <c r="D2228" s="3" t="str">
        <f>IFERROR(__xludf.DUMMYFUNCTION("if(isblank(B2228),,ifna(textjoin(""; "",,filter('On Hand'!E:E,'On Hand'!A:A=A2228)),ifna(xlookup(A2228,'On Hand'!A:A,'On Hand'!E:E,),)))"),"")</f>
        <v/>
      </c>
    </row>
    <row r="2229">
      <c r="A2229" s="3" t="str">
        <f t="array" ref="A2229">ifna(_xlfn.xlookup(B2229,'All Item Code'!B:B,'All Item Code'!A:A,),)</f>
        <v/>
      </c>
      <c r="B2229" s="3"/>
      <c r="C2229" s="3" t="str">
        <f t="array" ref="C2229">if(B2229="Tidak Ada",,if(isblank(B2229),,ifna(sumif('On Hand'!A:A,A2229,'On Hand'!D:D)&amp;" "&amp;_xlfn.xlookup(A2229,'All Item Code'!A:A,'All Item Code'!D:D,),0)))</f>
        <v/>
      </c>
      <c r="D2229" s="3" t="str">
        <f>IFERROR(__xludf.DUMMYFUNCTION("if(isblank(B2229),,ifna(textjoin(""; "",,filter('On Hand'!E:E,'On Hand'!A:A=A2229)),ifna(xlookup(A2229,'On Hand'!A:A,'On Hand'!E:E,),)))"),"")</f>
        <v/>
      </c>
    </row>
    <row r="2230">
      <c r="A2230" s="3" t="str">
        <f t="array" ref="A2230">ifna(_xlfn.xlookup(B2230,'All Item Code'!B:B,'All Item Code'!A:A,),)</f>
        <v/>
      </c>
      <c r="B2230" s="3"/>
      <c r="C2230" s="3" t="str">
        <f t="array" ref="C2230">if(B2230="Tidak Ada",,if(isblank(B2230),,ifna(sumif('On Hand'!A:A,A2230,'On Hand'!D:D)&amp;" "&amp;_xlfn.xlookup(A2230,'All Item Code'!A:A,'All Item Code'!D:D,),0)))</f>
        <v/>
      </c>
      <c r="D2230" s="3" t="str">
        <f>IFERROR(__xludf.DUMMYFUNCTION("if(isblank(B2230),,ifna(textjoin(""; "",,filter('On Hand'!E:E,'On Hand'!A:A=A2230)),ifna(xlookup(A2230,'On Hand'!A:A,'On Hand'!E:E,),)))"),"")</f>
        <v/>
      </c>
    </row>
    <row r="2231">
      <c r="A2231" s="3" t="str">
        <f t="array" ref="A2231">ifna(_xlfn.xlookup(B2231,'All Item Code'!B:B,'All Item Code'!A:A,),)</f>
        <v/>
      </c>
      <c r="B2231" s="3"/>
      <c r="C2231" s="3" t="str">
        <f t="array" ref="C2231">if(B2231="Tidak Ada",,if(isblank(B2231),,ifna(sumif('On Hand'!A:A,A2231,'On Hand'!D:D)&amp;" "&amp;_xlfn.xlookup(A2231,'All Item Code'!A:A,'All Item Code'!D:D,),0)))</f>
        <v/>
      </c>
      <c r="D2231" s="3" t="str">
        <f>IFERROR(__xludf.DUMMYFUNCTION("if(isblank(B2231),,ifna(textjoin(""; "",,filter('On Hand'!E:E,'On Hand'!A:A=A2231)),ifna(xlookup(A2231,'On Hand'!A:A,'On Hand'!E:E,),)))"),"")</f>
        <v/>
      </c>
    </row>
    <row r="2232">
      <c r="A2232" s="3" t="str">
        <f t="array" ref="A2232">ifna(_xlfn.xlookup(B2232,'All Item Code'!B:B,'All Item Code'!A:A,),)</f>
        <v/>
      </c>
      <c r="B2232" s="3"/>
      <c r="C2232" s="3" t="str">
        <f t="array" ref="C2232">if(B2232="Tidak Ada",,if(isblank(B2232),,ifna(sumif('On Hand'!A:A,A2232,'On Hand'!D:D)&amp;" "&amp;_xlfn.xlookup(A2232,'All Item Code'!A:A,'All Item Code'!D:D,),0)))</f>
        <v/>
      </c>
      <c r="D2232" s="3" t="str">
        <f>IFERROR(__xludf.DUMMYFUNCTION("if(isblank(B2232),,ifna(textjoin(""; "",,filter('On Hand'!E:E,'On Hand'!A:A=A2232)),ifna(xlookup(A2232,'On Hand'!A:A,'On Hand'!E:E,),)))"),"")</f>
        <v/>
      </c>
    </row>
    <row r="2233">
      <c r="A2233" s="3" t="str">
        <f t="array" ref="A2233">ifna(_xlfn.xlookup(B2233,'All Item Code'!B:B,'All Item Code'!A:A,),)</f>
        <v/>
      </c>
      <c r="B2233" s="3"/>
      <c r="C2233" s="3" t="str">
        <f t="array" ref="C2233">if(B2233="Tidak Ada",,if(isblank(B2233),,ifna(sumif('On Hand'!A:A,A2233,'On Hand'!D:D)&amp;" "&amp;_xlfn.xlookup(A2233,'All Item Code'!A:A,'All Item Code'!D:D,),0)))</f>
        <v/>
      </c>
      <c r="D2233" s="3" t="str">
        <f>IFERROR(__xludf.DUMMYFUNCTION("if(isblank(B2233),,ifna(textjoin(""; "",,filter('On Hand'!E:E,'On Hand'!A:A=A2233)),ifna(xlookup(A2233,'On Hand'!A:A,'On Hand'!E:E,),)))"),"")</f>
        <v/>
      </c>
    </row>
    <row r="2234">
      <c r="A2234" s="3" t="str">
        <f t="array" ref="A2234">ifna(_xlfn.xlookup(B2234,'All Item Code'!B:B,'All Item Code'!A:A,),)</f>
        <v/>
      </c>
      <c r="B2234" s="3"/>
      <c r="C2234" s="3" t="str">
        <f t="array" ref="C2234">if(B2234="Tidak Ada",,if(isblank(B2234),,ifna(sumif('On Hand'!A:A,A2234,'On Hand'!D:D)&amp;" "&amp;_xlfn.xlookup(A2234,'All Item Code'!A:A,'All Item Code'!D:D,),0)))</f>
        <v/>
      </c>
      <c r="D2234" s="3" t="str">
        <f>IFERROR(__xludf.DUMMYFUNCTION("if(isblank(B2234),,ifna(textjoin(""; "",,filter('On Hand'!E:E,'On Hand'!A:A=A2234)),ifna(xlookup(A2234,'On Hand'!A:A,'On Hand'!E:E,),)))"),"")</f>
        <v/>
      </c>
    </row>
    <row r="2235">
      <c r="A2235" s="3" t="str">
        <f t="array" ref="A2235">ifna(_xlfn.xlookup(B2235,'All Item Code'!B:B,'All Item Code'!A:A,),)</f>
        <v/>
      </c>
      <c r="B2235" s="3"/>
      <c r="C2235" s="3" t="str">
        <f t="array" ref="C2235">if(B2235="Tidak Ada",,if(isblank(B2235),,ifna(sumif('On Hand'!A:A,A2235,'On Hand'!D:D)&amp;" "&amp;_xlfn.xlookup(A2235,'All Item Code'!A:A,'All Item Code'!D:D,),0)))</f>
        <v/>
      </c>
      <c r="D2235" s="3" t="str">
        <f>IFERROR(__xludf.DUMMYFUNCTION("if(isblank(B2235),,ifna(textjoin(""; "",,filter('On Hand'!E:E,'On Hand'!A:A=A2235)),ifna(xlookup(A2235,'On Hand'!A:A,'On Hand'!E:E,),)))"),"")</f>
        <v/>
      </c>
    </row>
    <row r="2236">
      <c r="A2236" s="3" t="str">
        <f t="array" ref="A2236">ifna(_xlfn.xlookup(B2236,'All Item Code'!B:B,'All Item Code'!A:A,),)</f>
        <v/>
      </c>
      <c r="B2236" s="3"/>
      <c r="C2236" s="3" t="str">
        <f t="array" ref="C2236">if(B2236="Tidak Ada",,if(isblank(B2236),,ifna(sumif('On Hand'!A:A,A2236,'On Hand'!D:D)&amp;" "&amp;_xlfn.xlookup(A2236,'All Item Code'!A:A,'All Item Code'!D:D,),0)))</f>
        <v/>
      </c>
      <c r="D2236" s="3" t="str">
        <f>IFERROR(__xludf.DUMMYFUNCTION("if(isblank(B2236),,ifna(textjoin(""; "",,filter('On Hand'!E:E,'On Hand'!A:A=A2236)),ifna(xlookup(A2236,'On Hand'!A:A,'On Hand'!E:E,),)))"),"")</f>
        <v/>
      </c>
    </row>
    <row r="2237">
      <c r="A2237" s="3" t="str">
        <f t="array" ref="A2237">ifna(_xlfn.xlookup(B2237,'All Item Code'!B:B,'All Item Code'!A:A,),)</f>
        <v/>
      </c>
      <c r="B2237" s="3"/>
      <c r="C2237" s="3" t="str">
        <f t="array" ref="C2237">if(B2237="Tidak Ada",,if(isblank(B2237),,ifna(sumif('On Hand'!A:A,A2237,'On Hand'!D:D)&amp;" "&amp;_xlfn.xlookup(A2237,'All Item Code'!A:A,'All Item Code'!D:D,),0)))</f>
        <v/>
      </c>
      <c r="D2237" s="3" t="str">
        <f>IFERROR(__xludf.DUMMYFUNCTION("if(isblank(B2237),,ifna(textjoin(""; "",,filter('On Hand'!E:E,'On Hand'!A:A=A2237)),ifna(xlookup(A2237,'On Hand'!A:A,'On Hand'!E:E,),)))"),"")</f>
        <v/>
      </c>
    </row>
    <row r="2238">
      <c r="A2238" s="3" t="str">
        <f t="array" ref="A2238">ifna(_xlfn.xlookup(B2238,'All Item Code'!B:B,'All Item Code'!A:A,),)</f>
        <v/>
      </c>
      <c r="B2238" s="3"/>
      <c r="C2238" s="3" t="str">
        <f t="array" ref="C2238">if(B2238="Tidak Ada",,if(isblank(B2238),,ifna(sumif('On Hand'!A:A,A2238,'On Hand'!D:D)&amp;" "&amp;_xlfn.xlookup(A2238,'All Item Code'!A:A,'All Item Code'!D:D,),0)))</f>
        <v/>
      </c>
      <c r="D2238" s="3" t="str">
        <f>IFERROR(__xludf.DUMMYFUNCTION("if(isblank(B2238),,ifna(textjoin(""; "",,filter('On Hand'!E:E,'On Hand'!A:A=A2238)),ifna(xlookup(A2238,'On Hand'!A:A,'On Hand'!E:E,),)))"),"")</f>
        <v/>
      </c>
    </row>
    <row r="2239">
      <c r="A2239" s="3" t="str">
        <f t="array" ref="A2239">ifna(_xlfn.xlookup(B2239,'All Item Code'!B:B,'All Item Code'!A:A,),)</f>
        <v/>
      </c>
      <c r="B2239" s="3"/>
      <c r="C2239" s="3" t="str">
        <f t="array" ref="C2239">if(B2239="Tidak Ada",,if(isblank(B2239),,ifna(sumif('On Hand'!A:A,A2239,'On Hand'!D:D)&amp;" "&amp;_xlfn.xlookup(A2239,'All Item Code'!A:A,'All Item Code'!D:D,),0)))</f>
        <v/>
      </c>
      <c r="D2239" s="3" t="str">
        <f>IFERROR(__xludf.DUMMYFUNCTION("if(isblank(B2239),,ifna(textjoin(""; "",,filter('On Hand'!E:E,'On Hand'!A:A=A2239)),ifna(xlookup(A2239,'On Hand'!A:A,'On Hand'!E:E,),)))"),"")</f>
        <v/>
      </c>
    </row>
    <row r="2240">
      <c r="A2240" s="3" t="str">
        <f t="array" ref="A2240">ifna(_xlfn.xlookup(B2240,'All Item Code'!B:B,'All Item Code'!A:A,),)</f>
        <v/>
      </c>
      <c r="B2240" s="3"/>
      <c r="C2240" s="3" t="str">
        <f t="array" ref="C2240">if(B2240="Tidak Ada",,if(isblank(B2240),,ifna(sumif('On Hand'!A:A,A2240,'On Hand'!D:D)&amp;" "&amp;_xlfn.xlookup(A2240,'All Item Code'!A:A,'All Item Code'!D:D,),0)))</f>
        <v/>
      </c>
      <c r="D2240" s="3" t="str">
        <f>IFERROR(__xludf.DUMMYFUNCTION("if(isblank(B2240),,ifna(textjoin(""; "",,filter('On Hand'!E:E,'On Hand'!A:A=A2240)),ifna(xlookup(A2240,'On Hand'!A:A,'On Hand'!E:E,),)))"),"")</f>
        <v/>
      </c>
    </row>
    <row r="2241">
      <c r="A2241" s="3" t="str">
        <f t="array" ref="A2241">ifna(_xlfn.xlookup(B2241,'All Item Code'!B:B,'All Item Code'!A:A,),)</f>
        <v/>
      </c>
      <c r="B2241" s="3"/>
      <c r="C2241" s="3" t="str">
        <f t="array" ref="C2241">if(B2241="Tidak Ada",,if(isblank(B2241),,ifna(sumif('On Hand'!A:A,A2241,'On Hand'!D:D)&amp;" "&amp;_xlfn.xlookup(A2241,'All Item Code'!A:A,'All Item Code'!D:D,),0)))</f>
        <v/>
      </c>
      <c r="D2241" s="3" t="str">
        <f>IFERROR(__xludf.DUMMYFUNCTION("if(isblank(B2241),,ifna(textjoin(""; "",,filter('On Hand'!E:E,'On Hand'!A:A=A2241)),ifna(xlookup(A2241,'On Hand'!A:A,'On Hand'!E:E,),)))"),"")</f>
        <v/>
      </c>
    </row>
    <row r="2242">
      <c r="A2242" s="3" t="str">
        <f t="array" ref="A2242">ifna(_xlfn.xlookup(B2242,'All Item Code'!B:B,'All Item Code'!A:A,),)</f>
        <v/>
      </c>
      <c r="B2242" s="3"/>
      <c r="C2242" s="3" t="str">
        <f t="array" ref="C2242">if(B2242="Tidak Ada",,if(isblank(B2242),,ifna(sumif('On Hand'!A:A,A2242,'On Hand'!D:D)&amp;" "&amp;_xlfn.xlookup(A2242,'All Item Code'!A:A,'All Item Code'!D:D,),0)))</f>
        <v/>
      </c>
      <c r="D2242" s="3" t="str">
        <f>IFERROR(__xludf.DUMMYFUNCTION("if(isblank(B2242),,ifna(textjoin(""; "",,filter('On Hand'!E:E,'On Hand'!A:A=A2242)),ifna(xlookup(A2242,'On Hand'!A:A,'On Hand'!E:E,),)))"),"")</f>
        <v/>
      </c>
    </row>
    <row r="2243">
      <c r="A2243" s="3" t="str">
        <f t="array" ref="A2243">ifna(_xlfn.xlookup(B2243,'All Item Code'!B:B,'All Item Code'!A:A,),)</f>
        <v/>
      </c>
      <c r="B2243" s="3"/>
      <c r="C2243" s="3" t="str">
        <f t="array" ref="C2243">if(B2243="Tidak Ada",,if(isblank(B2243),,ifna(sumif('On Hand'!A:A,A2243,'On Hand'!D:D)&amp;" "&amp;_xlfn.xlookup(A2243,'All Item Code'!A:A,'All Item Code'!D:D,),0)))</f>
        <v/>
      </c>
      <c r="D2243" s="3" t="str">
        <f>IFERROR(__xludf.DUMMYFUNCTION("if(isblank(B2243),,ifna(textjoin(""; "",,filter('On Hand'!E:E,'On Hand'!A:A=A2243)),ifna(xlookup(A2243,'On Hand'!A:A,'On Hand'!E:E,),)))"),"")</f>
        <v/>
      </c>
    </row>
    <row r="2244">
      <c r="A2244" s="3" t="str">
        <f t="array" ref="A2244">ifna(_xlfn.xlookup(B2244,'All Item Code'!B:B,'All Item Code'!A:A,),)</f>
        <v/>
      </c>
      <c r="B2244" s="3"/>
      <c r="C2244" s="3" t="str">
        <f t="array" ref="C2244">if(B2244="Tidak Ada",,if(isblank(B2244),,ifna(sumif('On Hand'!A:A,A2244,'On Hand'!D:D)&amp;" "&amp;_xlfn.xlookup(A2244,'All Item Code'!A:A,'All Item Code'!D:D,),0)))</f>
        <v/>
      </c>
      <c r="D2244" s="3" t="str">
        <f>IFERROR(__xludf.DUMMYFUNCTION("if(isblank(B2244),,ifna(textjoin(""; "",,filter('On Hand'!E:E,'On Hand'!A:A=A2244)),ifna(xlookup(A2244,'On Hand'!A:A,'On Hand'!E:E,),)))"),"")</f>
        <v/>
      </c>
    </row>
    <row r="2245">
      <c r="A2245" s="3" t="str">
        <f t="array" ref="A2245">ifna(_xlfn.xlookup(B2245,'All Item Code'!B:B,'All Item Code'!A:A,),)</f>
        <v/>
      </c>
      <c r="B2245" s="3"/>
      <c r="C2245" s="3" t="str">
        <f t="array" ref="C2245">if(B2245="Tidak Ada",,if(isblank(B2245),,ifna(sumif('On Hand'!A:A,A2245,'On Hand'!D:D)&amp;" "&amp;_xlfn.xlookup(A2245,'All Item Code'!A:A,'All Item Code'!D:D,),0)))</f>
        <v/>
      </c>
      <c r="D2245" s="3" t="str">
        <f>IFERROR(__xludf.DUMMYFUNCTION("if(isblank(B2245),,ifna(textjoin(""; "",,filter('On Hand'!E:E,'On Hand'!A:A=A2245)),ifna(xlookup(A2245,'On Hand'!A:A,'On Hand'!E:E,),)))"),"")</f>
        <v/>
      </c>
    </row>
    <row r="2246">
      <c r="A2246" s="3" t="str">
        <f t="array" ref="A2246">ifna(_xlfn.xlookup(B2246,'All Item Code'!B:B,'All Item Code'!A:A,),)</f>
        <v/>
      </c>
      <c r="B2246" s="3"/>
      <c r="C2246" s="3" t="str">
        <f t="array" ref="C2246">if(B2246="Tidak Ada",,if(isblank(B2246),,ifna(sumif('On Hand'!A:A,A2246,'On Hand'!D:D)&amp;" "&amp;_xlfn.xlookup(A2246,'All Item Code'!A:A,'All Item Code'!D:D,),0)))</f>
        <v/>
      </c>
      <c r="D2246" s="3" t="str">
        <f>IFERROR(__xludf.DUMMYFUNCTION("if(isblank(B2246),,ifna(textjoin(""; "",,filter('On Hand'!E:E,'On Hand'!A:A=A2246)),ifna(xlookup(A2246,'On Hand'!A:A,'On Hand'!E:E,),)))"),"")</f>
        <v/>
      </c>
    </row>
    <row r="2247">
      <c r="A2247" s="3" t="str">
        <f t="array" ref="A2247">ifna(_xlfn.xlookup(B2247,'All Item Code'!B:B,'All Item Code'!A:A,),)</f>
        <v/>
      </c>
      <c r="B2247" s="3"/>
      <c r="C2247" s="3" t="str">
        <f t="array" ref="C2247">if(B2247="Tidak Ada",,if(isblank(B2247),,ifna(sumif('On Hand'!A:A,A2247,'On Hand'!D:D)&amp;" "&amp;_xlfn.xlookup(A2247,'All Item Code'!A:A,'All Item Code'!D:D,),0)))</f>
        <v/>
      </c>
      <c r="D2247" s="3" t="str">
        <f>IFERROR(__xludf.DUMMYFUNCTION("if(isblank(B2247),,ifna(textjoin(""; "",,filter('On Hand'!E:E,'On Hand'!A:A=A2247)),ifna(xlookup(A2247,'On Hand'!A:A,'On Hand'!E:E,),)))"),"")</f>
        <v/>
      </c>
    </row>
    <row r="2248">
      <c r="A2248" s="3" t="str">
        <f t="array" ref="A2248">ifna(_xlfn.xlookup(B2248,'All Item Code'!B:B,'All Item Code'!A:A,),)</f>
        <v/>
      </c>
      <c r="B2248" s="3"/>
      <c r="C2248" s="3" t="str">
        <f t="array" ref="C2248">if(B2248="Tidak Ada",,if(isblank(B2248),,ifna(sumif('On Hand'!A:A,A2248,'On Hand'!D:D)&amp;" "&amp;_xlfn.xlookup(A2248,'All Item Code'!A:A,'All Item Code'!D:D,),0)))</f>
        <v/>
      </c>
      <c r="D2248" s="3" t="str">
        <f>IFERROR(__xludf.DUMMYFUNCTION("if(isblank(B2248),,ifna(textjoin(""; "",,filter('On Hand'!E:E,'On Hand'!A:A=A2248)),ifna(xlookup(A2248,'On Hand'!A:A,'On Hand'!E:E,),)))"),"")</f>
        <v/>
      </c>
    </row>
    <row r="2249">
      <c r="A2249" s="3" t="str">
        <f t="array" ref="A2249">ifna(_xlfn.xlookup(B2249,'All Item Code'!B:B,'All Item Code'!A:A,),)</f>
        <v/>
      </c>
      <c r="B2249" s="3"/>
      <c r="C2249" s="3" t="str">
        <f t="array" ref="C2249">if(B2249="Tidak Ada",,if(isblank(B2249),,ifna(sumif('On Hand'!A:A,A2249,'On Hand'!D:D)&amp;" "&amp;_xlfn.xlookup(A2249,'All Item Code'!A:A,'All Item Code'!D:D,),0)))</f>
        <v/>
      </c>
      <c r="D2249" s="3" t="str">
        <f>IFERROR(__xludf.DUMMYFUNCTION("if(isblank(B2249),,ifna(textjoin(""; "",,filter('On Hand'!E:E,'On Hand'!A:A=A2249)),ifna(xlookup(A2249,'On Hand'!A:A,'On Hand'!E:E,),)))"),"")</f>
        <v/>
      </c>
    </row>
    <row r="2250">
      <c r="A2250" s="3" t="str">
        <f t="array" ref="A2250">ifna(_xlfn.xlookup(B2250,'All Item Code'!B:B,'All Item Code'!A:A,),)</f>
        <v/>
      </c>
      <c r="B2250" s="3"/>
      <c r="C2250" s="3" t="str">
        <f t="array" ref="C2250">if(B2250="Tidak Ada",,if(isblank(B2250),,ifna(sumif('On Hand'!A:A,A2250,'On Hand'!D:D)&amp;" "&amp;_xlfn.xlookup(A2250,'All Item Code'!A:A,'All Item Code'!D:D,),0)))</f>
        <v/>
      </c>
      <c r="D2250" s="3" t="str">
        <f>IFERROR(__xludf.DUMMYFUNCTION("if(isblank(B2250),,ifna(textjoin(""; "",,filter('On Hand'!E:E,'On Hand'!A:A=A2250)),ifna(xlookup(A2250,'On Hand'!A:A,'On Hand'!E:E,),)))"),"")</f>
        <v/>
      </c>
    </row>
    <row r="2251">
      <c r="A2251" s="3" t="str">
        <f t="array" ref="A2251">ifna(_xlfn.xlookup(B2251,'All Item Code'!B:B,'All Item Code'!A:A,),)</f>
        <v/>
      </c>
      <c r="B2251" s="3"/>
      <c r="C2251" s="3" t="str">
        <f t="array" ref="C2251">if(B2251="Tidak Ada",,if(isblank(B2251),,ifna(sumif('On Hand'!A:A,A2251,'On Hand'!D:D)&amp;" "&amp;_xlfn.xlookup(A2251,'All Item Code'!A:A,'All Item Code'!D:D,),0)))</f>
        <v/>
      </c>
      <c r="D2251" s="3" t="str">
        <f>IFERROR(__xludf.DUMMYFUNCTION("if(isblank(B2251),,ifna(textjoin(""; "",,filter('On Hand'!E:E,'On Hand'!A:A=A2251)),ifna(xlookup(A2251,'On Hand'!A:A,'On Hand'!E:E,),)))"),"")</f>
        <v/>
      </c>
    </row>
    <row r="2252">
      <c r="A2252" s="3" t="str">
        <f t="array" ref="A2252">ifna(_xlfn.xlookup(B2252,'All Item Code'!B:B,'All Item Code'!A:A,),)</f>
        <v/>
      </c>
      <c r="B2252" s="3"/>
      <c r="C2252" s="3" t="str">
        <f t="array" ref="C2252">if(B2252="Tidak Ada",,if(isblank(B2252),,ifna(sumif('On Hand'!A:A,A2252,'On Hand'!D:D)&amp;" "&amp;_xlfn.xlookup(A2252,'All Item Code'!A:A,'All Item Code'!D:D,),0)))</f>
        <v/>
      </c>
      <c r="D2252" s="3" t="str">
        <f>IFERROR(__xludf.DUMMYFUNCTION("if(isblank(B2252),,ifna(textjoin(""; "",,filter('On Hand'!E:E,'On Hand'!A:A=A2252)),ifna(xlookup(A2252,'On Hand'!A:A,'On Hand'!E:E,),)))"),"")</f>
        <v/>
      </c>
    </row>
    <row r="2253">
      <c r="A2253" s="3" t="str">
        <f t="array" ref="A2253">ifna(_xlfn.xlookup(B2253,'All Item Code'!B:B,'All Item Code'!A:A,),)</f>
        <v/>
      </c>
      <c r="B2253" s="3"/>
      <c r="C2253" s="3" t="str">
        <f t="array" ref="C2253">if(B2253="Tidak Ada",,if(isblank(B2253),,ifna(sumif('On Hand'!A:A,A2253,'On Hand'!D:D)&amp;" "&amp;_xlfn.xlookup(A2253,'All Item Code'!A:A,'All Item Code'!D:D,),0)))</f>
        <v/>
      </c>
      <c r="D2253" s="3" t="str">
        <f>IFERROR(__xludf.DUMMYFUNCTION("if(isblank(B2253),,ifna(textjoin(""; "",,filter('On Hand'!E:E,'On Hand'!A:A=A2253)),ifna(xlookup(A2253,'On Hand'!A:A,'On Hand'!E:E,),)))"),"")</f>
        <v/>
      </c>
    </row>
    <row r="2254">
      <c r="A2254" s="3" t="str">
        <f t="array" ref="A2254">ifna(_xlfn.xlookup(B2254,'All Item Code'!B:B,'All Item Code'!A:A,),)</f>
        <v/>
      </c>
      <c r="B2254" s="3"/>
      <c r="C2254" s="3" t="str">
        <f t="array" ref="C2254">if(B2254="Tidak Ada",,if(isblank(B2254),,ifna(sumif('On Hand'!A:A,A2254,'On Hand'!D:D)&amp;" "&amp;_xlfn.xlookup(A2254,'All Item Code'!A:A,'All Item Code'!D:D,),0)))</f>
        <v/>
      </c>
      <c r="D2254" s="3" t="str">
        <f>IFERROR(__xludf.DUMMYFUNCTION("if(isblank(B2254),,ifna(textjoin(""; "",,filter('On Hand'!E:E,'On Hand'!A:A=A2254)),ifna(xlookup(A2254,'On Hand'!A:A,'On Hand'!E:E,),)))"),"")</f>
        <v/>
      </c>
    </row>
    <row r="2255">
      <c r="A2255" s="3" t="str">
        <f t="array" ref="A2255">ifna(_xlfn.xlookup(B2255,'All Item Code'!B:B,'All Item Code'!A:A,),)</f>
        <v/>
      </c>
      <c r="B2255" s="3"/>
      <c r="C2255" s="3" t="str">
        <f t="array" ref="C2255">if(B2255="Tidak Ada",,if(isblank(B2255),,ifna(sumif('On Hand'!A:A,A2255,'On Hand'!D:D)&amp;" "&amp;_xlfn.xlookup(A2255,'All Item Code'!A:A,'All Item Code'!D:D,),0)))</f>
        <v/>
      </c>
      <c r="D2255" s="3" t="str">
        <f>IFERROR(__xludf.DUMMYFUNCTION("if(isblank(B2255),,ifna(textjoin(""; "",,filter('On Hand'!E:E,'On Hand'!A:A=A2255)),ifna(xlookup(A2255,'On Hand'!A:A,'On Hand'!E:E,),)))"),"")</f>
        <v/>
      </c>
    </row>
    <row r="2256">
      <c r="A2256" s="3" t="str">
        <f t="array" ref="A2256">ifna(_xlfn.xlookup(B2256,'All Item Code'!B:B,'All Item Code'!A:A,),)</f>
        <v/>
      </c>
      <c r="B2256" s="3"/>
      <c r="C2256" s="3" t="str">
        <f t="array" ref="C2256">if(B2256="Tidak Ada",,if(isblank(B2256),,ifna(sumif('On Hand'!A:A,A2256,'On Hand'!D:D)&amp;" "&amp;_xlfn.xlookup(A2256,'All Item Code'!A:A,'All Item Code'!D:D,),0)))</f>
        <v/>
      </c>
      <c r="D2256" s="3" t="str">
        <f>IFERROR(__xludf.DUMMYFUNCTION("if(isblank(B2256),,ifna(textjoin(""; "",,filter('On Hand'!E:E,'On Hand'!A:A=A2256)),ifna(xlookup(A2256,'On Hand'!A:A,'On Hand'!E:E,),)))"),"")</f>
        <v/>
      </c>
    </row>
    <row r="2257">
      <c r="A2257" s="3" t="str">
        <f t="array" ref="A2257">ifna(_xlfn.xlookup(B2257,'All Item Code'!B:B,'All Item Code'!A:A,),)</f>
        <v/>
      </c>
      <c r="B2257" s="3"/>
      <c r="C2257" s="3" t="str">
        <f t="array" ref="C2257">if(B2257="Tidak Ada",,if(isblank(B2257),,ifna(sumif('On Hand'!A:A,A2257,'On Hand'!D:D)&amp;" "&amp;_xlfn.xlookup(A2257,'All Item Code'!A:A,'All Item Code'!D:D,),0)))</f>
        <v/>
      </c>
      <c r="D2257" s="3" t="str">
        <f>IFERROR(__xludf.DUMMYFUNCTION("if(isblank(B2257),,ifna(textjoin(""; "",,filter('On Hand'!E:E,'On Hand'!A:A=A2257)),ifna(xlookup(A2257,'On Hand'!A:A,'On Hand'!E:E,),)))"),"")</f>
        <v/>
      </c>
    </row>
    <row r="2258">
      <c r="A2258" s="3" t="str">
        <f t="array" ref="A2258">ifna(_xlfn.xlookup(B2258,'All Item Code'!B:B,'All Item Code'!A:A,),)</f>
        <v/>
      </c>
      <c r="B2258" s="3"/>
      <c r="C2258" s="3" t="str">
        <f t="array" ref="C2258">if(B2258="Tidak Ada",,if(isblank(B2258),,ifna(sumif('On Hand'!A:A,A2258,'On Hand'!D:D)&amp;" "&amp;_xlfn.xlookup(A2258,'All Item Code'!A:A,'All Item Code'!D:D,),0)))</f>
        <v/>
      </c>
      <c r="D2258" s="3" t="str">
        <f>IFERROR(__xludf.DUMMYFUNCTION("if(isblank(B2258),,ifna(textjoin(""; "",,filter('On Hand'!E:E,'On Hand'!A:A=A2258)),ifna(xlookup(A2258,'On Hand'!A:A,'On Hand'!E:E,),)))"),"")</f>
        <v/>
      </c>
    </row>
    <row r="2259">
      <c r="A2259" s="3" t="str">
        <f t="array" ref="A2259">ifna(_xlfn.xlookup(B2259,'All Item Code'!B:B,'All Item Code'!A:A,),)</f>
        <v/>
      </c>
      <c r="B2259" s="3"/>
      <c r="C2259" s="3" t="str">
        <f t="array" ref="C2259">if(B2259="Tidak Ada",,if(isblank(B2259),,ifna(sumif('On Hand'!A:A,A2259,'On Hand'!D:D)&amp;" "&amp;_xlfn.xlookup(A2259,'All Item Code'!A:A,'All Item Code'!D:D,),0)))</f>
        <v/>
      </c>
      <c r="D2259" s="3" t="str">
        <f>IFERROR(__xludf.DUMMYFUNCTION("if(isblank(B2259),,ifna(textjoin(""; "",,filter('On Hand'!E:E,'On Hand'!A:A=A2259)),ifna(xlookup(A2259,'On Hand'!A:A,'On Hand'!E:E,),)))"),"")</f>
        <v/>
      </c>
    </row>
    <row r="2260">
      <c r="A2260" s="3" t="str">
        <f t="array" ref="A2260">ifna(_xlfn.xlookup(B2260,'All Item Code'!B:B,'All Item Code'!A:A,),)</f>
        <v/>
      </c>
      <c r="B2260" s="3"/>
      <c r="C2260" s="3" t="str">
        <f t="array" ref="C2260">if(B2260="Tidak Ada",,if(isblank(B2260),,ifna(sumif('On Hand'!A:A,A2260,'On Hand'!D:D)&amp;" "&amp;_xlfn.xlookup(A2260,'All Item Code'!A:A,'All Item Code'!D:D,),0)))</f>
        <v/>
      </c>
      <c r="D2260" s="3" t="str">
        <f>IFERROR(__xludf.DUMMYFUNCTION("if(isblank(B2260),,ifna(textjoin(""; "",,filter('On Hand'!E:E,'On Hand'!A:A=A2260)),ifna(xlookup(A2260,'On Hand'!A:A,'On Hand'!E:E,),)))"),"")</f>
        <v/>
      </c>
    </row>
    <row r="2261">
      <c r="A2261" s="3" t="str">
        <f t="array" ref="A2261">ifna(_xlfn.xlookup(B2261,'All Item Code'!B:B,'All Item Code'!A:A,),)</f>
        <v/>
      </c>
      <c r="B2261" s="3"/>
      <c r="C2261" s="3" t="str">
        <f t="array" ref="C2261">if(B2261="Tidak Ada",,if(isblank(B2261),,ifna(sumif('On Hand'!A:A,A2261,'On Hand'!D:D)&amp;" "&amp;_xlfn.xlookup(A2261,'All Item Code'!A:A,'All Item Code'!D:D,),0)))</f>
        <v/>
      </c>
      <c r="D2261" s="3" t="str">
        <f>IFERROR(__xludf.DUMMYFUNCTION("if(isblank(B2261),,ifna(textjoin(""; "",,filter('On Hand'!E:E,'On Hand'!A:A=A2261)),ifna(xlookup(A2261,'On Hand'!A:A,'On Hand'!E:E,),)))"),"")</f>
        <v/>
      </c>
    </row>
    <row r="2262">
      <c r="A2262" s="3" t="str">
        <f t="array" ref="A2262">ifna(_xlfn.xlookup(B2262,'All Item Code'!B:B,'All Item Code'!A:A,),)</f>
        <v/>
      </c>
      <c r="B2262" s="3"/>
      <c r="C2262" s="3" t="str">
        <f t="array" ref="C2262">if(B2262="Tidak Ada",,if(isblank(B2262),,ifna(sumif('On Hand'!A:A,A2262,'On Hand'!D:D)&amp;" "&amp;_xlfn.xlookup(A2262,'All Item Code'!A:A,'All Item Code'!D:D,),0)))</f>
        <v/>
      </c>
      <c r="D2262" s="3" t="str">
        <f>IFERROR(__xludf.DUMMYFUNCTION("if(isblank(B2262),,ifna(textjoin(""; "",,filter('On Hand'!E:E,'On Hand'!A:A=A2262)),ifna(xlookup(A2262,'On Hand'!A:A,'On Hand'!E:E,),)))"),"")</f>
        <v/>
      </c>
    </row>
    <row r="2263">
      <c r="A2263" s="3" t="str">
        <f t="array" ref="A2263">ifna(_xlfn.xlookup(B2263,'All Item Code'!B:B,'All Item Code'!A:A,),)</f>
        <v/>
      </c>
      <c r="B2263" s="3"/>
      <c r="C2263" s="3" t="str">
        <f t="array" ref="C2263">if(B2263="Tidak Ada",,if(isblank(B2263),,ifna(sumif('On Hand'!A:A,A2263,'On Hand'!D:D)&amp;" "&amp;_xlfn.xlookup(A2263,'All Item Code'!A:A,'All Item Code'!D:D,),0)))</f>
        <v/>
      </c>
      <c r="D2263" s="3" t="str">
        <f>IFERROR(__xludf.DUMMYFUNCTION("if(isblank(B2263),,ifna(textjoin(""; "",,filter('On Hand'!E:E,'On Hand'!A:A=A2263)),ifna(xlookup(A2263,'On Hand'!A:A,'On Hand'!E:E,),)))"),"")</f>
        <v/>
      </c>
    </row>
    <row r="2264">
      <c r="A2264" s="3" t="str">
        <f t="array" ref="A2264">ifna(_xlfn.xlookup(B2264,'All Item Code'!B:B,'All Item Code'!A:A,),)</f>
        <v/>
      </c>
      <c r="B2264" s="3"/>
      <c r="C2264" s="3" t="str">
        <f t="array" ref="C2264">if(B2264="Tidak Ada",,if(isblank(B2264),,ifna(sumif('On Hand'!A:A,A2264,'On Hand'!D:D)&amp;" "&amp;_xlfn.xlookup(A2264,'All Item Code'!A:A,'All Item Code'!D:D,),0)))</f>
        <v/>
      </c>
      <c r="D2264" s="3" t="str">
        <f>IFERROR(__xludf.DUMMYFUNCTION("if(isblank(B2264),,ifna(textjoin(""; "",,filter('On Hand'!E:E,'On Hand'!A:A=A2264)),ifna(xlookup(A2264,'On Hand'!A:A,'On Hand'!E:E,),)))"),"")</f>
        <v/>
      </c>
    </row>
    <row r="2265">
      <c r="A2265" s="3" t="str">
        <f t="array" ref="A2265">ifna(_xlfn.xlookup(B2265,'All Item Code'!B:B,'All Item Code'!A:A,),)</f>
        <v/>
      </c>
      <c r="B2265" s="3"/>
      <c r="C2265" s="3" t="str">
        <f t="array" ref="C2265">if(B2265="Tidak Ada",,if(isblank(B2265),,ifna(sumif('On Hand'!A:A,A2265,'On Hand'!D:D)&amp;" "&amp;_xlfn.xlookup(A2265,'All Item Code'!A:A,'All Item Code'!D:D,),0)))</f>
        <v/>
      </c>
      <c r="D2265" s="3" t="str">
        <f>IFERROR(__xludf.DUMMYFUNCTION("if(isblank(B2265),,ifna(textjoin(""; "",,filter('On Hand'!E:E,'On Hand'!A:A=A2265)),ifna(xlookup(A2265,'On Hand'!A:A,'On Hand'!E:E,),)))"),"")</f>
        <v/>
      </c>
    </row>
    <row r="2266">
      <c r="A2266" s="3" t="str">
        <f t="array" ref="A2266">ifna(_xlfn.xlookup(B2266,'All Item Code'!B:B,'All Item Code'!A:A,),)</f>
        <v/>
      </c>
      <c r="B2266" s="3"/>
      <c r="C2266" s="3" t="str">
        <f t="array" ref="C2266">if(B2266="Tidak Ada",,if(isblank(B2266),,ifna(sumif('On Hand'!A:A,A2266,'On Hand'!D:D)&amp;" "&amp;_xlfn.xlookup(A2266,'All Item Code'!A:A,'All Item Code'!D:D,),0)))</f>
        <v/>
      </c>
      <c r="D2266" s="3" t="str">
        <f>IFERROR(__xludf.DUMMYFUNCTION("if(isblank(B2266),,ifna(textjoin(""; "",,filter('On Hand'!E:E,'On Hand'!A:A=A2266)),ifna(xlookup(A2266,'On Hand'!A:A,'On Hand'!E:E,),)))"),"")</f>
        <v/>
      </c>
    </row>
    <row r="2267">
      <c r="A2267" s="3" t="str">
        <f t="array" ref="A2267">ifna(_xlfn.xlookup(B2267,'All Item Code'!B:B,'All Item Code'!A:A,),)</f>
        <v/>
      </c>
      <c r="B2267" s="3"/>
      <c r="C2267" s="3" t="str">
        <f t="array" ref="C2267">if(B2267="Tidak Ada",,if(isblank(B2267),,ifna(sumif('On Hand'!A:A,A2267,'On Hand'!D:D)&amp;" "&amp;_xlfn.xlookup(A2267,'All Item Code'!A:A,'All Item Code'!D:D,),0)))</f>
        <v/>
      </c>
      <c r="D2267" s="3" t="str">
        <f>IFERROR(__xludf.DUMMYFUNCTION("if(isblank(B2267),,ifna(textjoin(""; "",,filter('On Hand'!E:E,'On Hand'!A:A=A2267)),ifna(xlookup(A2267,'On Hand'!A:A,'On Hand'!E:E,),)))"),"")</f>
        <v/>
      </c>
    </row>
    <row r="2268">
      <c r="A2268" s="3" t="str">
        <f t="array" ref="A2268">ifna(_xlfn.xlookup(B2268,'All Item Code'!B:B,'All Item Code'!A:A,),)</f>
        <v/>
      </c>
      <c r="B2268" s="3"/>
      <c r="C2268" s="3" t="str">
        <f t="array" ref="C2268">if(B2268="Tidak Ada",,if(isblank(B2268),,ifna(sumif('On Hand'!A:A,A2268,'On Hand'!D:D)&amp;" "&amp;_xlfn.xlookup(A2268,'All Item Code'!A:A,'All Item Code'!D:D,),0)))</f>
        <v/>
      </c>
      <c r="D2268" s="3" t="str">
        <f>IFERROR(__xludf.DUMMYFUNCTION("if(isblank(B2268),,ifna(textjoin(""; "",,filter('On Hand'!E:E,'On Hand'!A:A=A2268)),ifna(xlookup(A2268,'On Hand'!A:A,'On Hand'!E:E,),)))"),"")</f>
        <v/>
      </c>
    </row>
    <row r="2269">
      <c r="A2269" s="3" t="str">
        <f t="array" ref="A2269">ifna(_xlfn.xlookup(B2269,'All Item Code'!B:B,'All Item Code'!A:A,),)</f>
        <v/>
      </c>
      <c r="B2269" s="3"/>
      <c r="C2269" s="3" t="str">
        <f t="array" ref="C2269">if(B2269="Tidak Ada",,if(isblank(B2269),,ifna(sumif('On Hand'!A:A,A2269,'On Hand'!D:D)&amp;" "&amp;_xlfn.xlookup(A2269,'All Item Code'!A:A,'All Item Code'!D:D,),0)))</f>
        <v/>
      </c>
      <c r="D2269" s="3" t="str">
        <f>IFERROR(__xludf.DUMMYFUNCTION("if(isblank(B2269),,ifna(textjoin(""; "",,filter('On Hand'!E:E,'On Hand'!A:A=A2269)),ifna(xlookup(A2269,'On Hand'!A:A,'On Hand'!E:E,),)))"),"")</f>
        <v/>
      </c>
    </row>
    <row r="2270">
      <c r="A2270" s="3" t="str">
        <f t="array" ref="A2270">ifna(_xlfn.xlookup(B2270,'All Item Code'!B:B,'All Item Code'!A:A,),)</f>
        <v/>
      </c>
      <c r="B2270" s="3"/>
      <c r="C2270" s="3" t="str">
        <f t="array" ref="C2270">if(B2270="Tidak Ada",,if(isblank(B2270),,ifna(sumif('On Hand'!A:A,A2270,'On Hand'!D:D)&amp;" "&amp;_xlfn.xlookup(A2270,'All Item Code'!A:A,'All Item Code'!D:D,),0)))</f>
        <v/>
      </c>
      <c r="D2270" s="3" t="str">
        <f>IFERROR(__xludf.DUMMYFUNCTION("if(isblank(B2270),,ifna(textjoin(""; "",,filter('On Hand'!E:E,'On Hand'!A:A=A2270)),ifna(xlookup(A2270,'On Hand'!A:A,'On Hand'!E:E,),)))"),"")</f>
        <v/>
      </c>
    </row>
    <row r="2271">
      <c r="A2271" s="3" t="str">
        <f t="array" ref="A2271">ifna(_xlfn.xlookup(B2271,'All Item Code'!B:B,'All Item Code'!A:A,),)</f>
        <v/>
      </c>
      <c r="B2271" s="3"/>
      <c r="C2271" s="3" t="str">
        <f t="array" ref="C2271">if(B2271="Tidak Ada",,if(isblank(B2271),,ifna(sumif('On Hand'!A:A,A2271,'On Hand'!D:D)&amp;" "&amp;_xlfn.xlookup(A2271,'All Item Code'!A:A,'All Item Code'!D:D,),0)))</f>
        <v/>
      </c>
      <c r="D2271" s="3" t="str">
        <f>IFERROR(__xludf.DUMMYFUNCTION("if(isblank(B2271),,ifna(textjoin(""; "",,filter('On Hand'!E:E,'On Hand'!A:A=A2271)),ifna(xlookup(A2271,'On Hand'!A:A,'On Hand'!E:E,),)))"),"")</f>
        <v/>
      </c>
    </row>
    <row r="2272">
      <c r="A2272" s="3" t="str">
        <f t="array" ref="A2272">ifna(_xlfn.xlookup(B2272,'All Item Code'!B:B,'All Item Code'!A:A,),)</f>
        <v/>
      </c>
      <c r="B2272" s="3"/>
      <c r="C2272" s="3" t="str">
        <f t="array" ref="C2272">if(B2272="Tidak Ada",,if(isblank(B2272),,ifna(sumif('On Hand'!A:A,A2272,'On Hand'!D:D)&amp;" "&amp;_xlfn.xlookup(A2272,'All Item Code'!A:A,'All Item Code'!D:D,),0)))</f>
        <v/>
      </c>
      <c r="D2272" s="3" t="str">
        <f>IFERROR(__xludf.DUMMYFUNCTION("if(isblank(B2272),,ifna(textjoin(""; "",,filter('On Hand'!E:E,'On Hand'!A:A=A2272)),ifna(xlookup(A2272,'On Hand'!A:A,'On Hand'!E:E,),)))"),"")</f>
        <v/>
      </c>
    </row>
    <row r="2273">
      <c r="A2273" s="3" t="str">
        <f t="array" ref="A2273">ifna(_xlfn.xlookup(B2273,'All Item Code'!B:B,'All Item Code'!A:A,),)</f>
        <v/>
      </c>
      <c r="B2273" s="3"/>
      <c r="C2273" s="3" t="str">
        <f t="array" ref="C2273">if(B2273="Tidak Ada",,if(isblank(B2273),,ifna(sumif('On Hand'!A:A,A2273,'On Hand'!D:D)&amp;" "&amp;_xlfn.xlookup(A2273,'All Item Code'!A:A,'All Item Code'!D:D,),0)))</f>
        <v/>
      </c>
      <c r="D2273" s="3" t="str">
        <f>IFERROR(__xludf.DUMMYFUNCTION("if(isblank(B2273),,ifna(textjoin(""; "",,filter('On Hand'!E:E,'On Hand'!A:A=A2273)),ifna(xlookup(A2273,'On Hand'!A:A,'On Hand'!E:E,),)))"),"")</f>
        <v/>
      </c>
    </row>
    <row r="2274">
      <c r="A2274" s="3" t="str">
        <f t="array" ref="A2274">ifna(_xlfn.xlookup(B2274,'All Item Code'!B:B,'All Item Code'!A:A,),)</f>
        <v/>
      </c>
      <c r="B2274" s="3"/>
      <c r="C2274" s="3" t="str">
        <f t="array" ref="C2274">if(B2274="Tidak Ada",,if(isblank(B2274),,ifna(sumif('On Hand'!A:A,A2274,'On Hand'!D:D)&amp;" "&amp;_xlfn.xlookup(A2274,'All Item Code'!A:A,'All Item Code'!D:D,),0)))</f>
        <v/>
      </c>
      <c r="D2274" s="3" t="str">
        <f>IFERROR(__xludf.DUMMYFUNCTION("if(isblank(B2274),,ifna(textjoin(""; "",,filter('On Hand'!E:E,'On Hand'!A:A=A2274)),ifna(xlookup(A2274,'On Hand'!A:A,'On Hand'!E:E,),)))"),"")</f>
        <v/>
      </c>
    </row>
    <row r="2275">
      <c r="A2275" s="3" t="str">
        <f t="array" ref="A2275">ifna(_xlfn.xlookup(B2275,'All Item Code'!B:B,'All Item Code'!A:A,),)</f>
        <v/>
      </c>
      <c r="B2275" s="3"/>
      <c r="C2275" s="3" t="str">
        <f t="array" ref="C2275">if(B2275="Tidak Ada",,if(isblank(B2275),,ifna(sumif('On Hand'!A:A,A2275,'On Hand'!D:D)&amp;" "&amp;_xlfn.xlookup(A2275,'All Item Code'!A:A,'All Item Code'!D:D,),0)))</f>
        <v/>
      </c>
      <c r="D2275" s="3" t="str">
        <f>IFERROR(__xludf.DUMMYFUNCTION("if(isblank(B2275),,ifna(textjoin(""; "",,filter('On Hand'!E:E,'On Hand'!A:A=A2275)),ifna(xlookup(A2275,'On Hand'!A:A,'On Hand'!E:E,),)))"),"")</f>
        <v/>
      </c>
    </row>
    <row r="2276">
      <c r="A2276" s="3" t="str">
        <f t="array" ref="A2276">ifna(_xlfn.xlookup(B2276,'All Item Code'!B:B,'All Item Code'!A:A,),)</f>
        <v/>
      </c>
      <c r="B2276" s="3"/>
      <c r="C2276" s="3" t="str">
        <f t="array" ref="C2276">if(B2276="Tidak Ada",,if(isblank(B2276),,ifna(sumif('On Hand'!A:A,A2276,'On Hand'!D:D)&amp;" "&amp;_xlfn.xlookup(A2276,'All Item Code'!A:A,'All Item Code'!D:D,),0)))</f>
        <v/>
      </c>
      <c r="D2276" s="3" t="str">
        <f>IFERROR(__xludf.DUMMYFUNCTION("if(isblank(B2276),,ifna(textjoin(""; "",,filter('On Hand'!E:E,'On Hand'!A:A=A2276)),ifna(xlookup(A2276,'On Hand'!A:A,'On Hand'!E:E,),)))"),"")</f>
        <v/>
      </c>
    </row>
    <row r="2277">
      <c r="A2277" s="3" t="str">
        <f t="array" ref="A2277">ifna(_xlfn.xlookup(B2277,'All Item Code'!B:B,'All Item Code'!A:A,),)</f>
        <v/>
      </c>
      <c r="B2277" s="3"/>
      <c r="C2277" s="3" t="str">
        <f t="array" ref="C2277">if(B2277="Tidak Ada",,if(isblank(B2277),,ifna(sumif('On Hand'!A:A,A2277,'On Hand'!D:D)&amp;" "&amp;_xlfn.xlookup(A2277,'All Item Code'!A:A,'All Item Code'!D:D,),0)))</f>
        <v/>
      </c>
      <c r="D2277" s="3" t="str">
        <f>IFERROR(__xludf.DUMMYFUNCTION("if(isblank(B2277),,ifna(textjoin(""; "",,filter('On Hand'!E:E,'On Hand'!A:A=A2277)),ifna(xlookup(A2277,'On Hand'!A:A,'On Hand'!E:E,),)))"),"")</f>
        <v/>
      </c>
    </row>
    <row r="2278">
      <c r="A2278" s="3" t="str">
        <f t="array" ref="A2278">ifna(_xlfn.xlookup(B2278,'All Item Code'!B:B,'All Item Code'!A:A,),)</f>
        <v/>
      </c>
      <c r="B2278" s="3"/>
      <c r="C2278" s="3" t="str">
        <f t="array" ref="C2278">if(B2278="Tidak Ada",,if(isblank(B2278),,ifna(sumif('On Hand'!A:A,A2278,'On Hand'!D:D)&amp;" "&amp;_xlfn.xlookup(A2278,'All Item Code'!A:A,'All Item Code'!D:D,),0)))</f>
        <v/>
      </c>
      <c r="D2278" s="3" t="str">
        <f>IFERROR(__xludf.DUMMYFUNCTION("if(isblank(B2278),,ifna(textjoin(""; "",,filter('On Hand'!E:E,'On Hand'!A:A=A2278)),ifna(xlookup(A2278,'On Hand'!A:A,'On Hand'!E:E,),)))"),"")</f>
        <v/>
      </c>
    </row>
    <row r="2279">
      <c r="A2279" s="3" t="str">
        <f t="array" ref="A2279">ifna(_xlfn.xlookup(B2279,'All Item Code'!B:B,'All Item Code'!A:A,),)</f>
        <v/>
      </c>
      <c r="B2279" s="3"/>
      <c r="C2279" s="3" t="str">
        <f t="array" ref="C2279">if(B2279="Tidak Ada",,if(isblank(B2279),,ifna(sumif('On Hand'!A:A,A2279,'On Hand'!D:D)&amp;" "&amp;_xlfn.xlookup(A2279,'All Item Code'!A:A,'All Item Code'!D:D,),0)))</f>
        <v/>
      </c>
      <c r="D2279" s="3" t="str">
        <f>IFERROR(__xludf.DUMMYFUNCTION("if(isblank(B2279),,ifna(textjoin(""; "",,filter('On Hand'!E:E,'On Hand'!A:A=A2279)),ifna(xlookup(A2279,'On Hand'!A:A,'On Hand'!E:E,),)))"),"")</f>
        <v/>
      </c>
    </row>
    <row r="2280">
      <c r="A2280" s="3" t="str">
        <f t="array" ref="A2280">ifna(_xlfn.xlookup(B2280,'All Item Code'!B:B,'All Item Code'!A:A,),)</f>
        <v/>
      </c>
      <c r="B2280" s="3"/>
      <c r="C2280" s="3" t="str">
        <f t="array" ref="C2280">if(B2280="Tidak Ada",,if(isblank(B2280),,ifna(sumif('On Hand'!A:A,A2280,'On Hand'!D:D)&amp;" "&amp;_xlfn.xlookup(A2280,'All Item Code'!A:A,'All Item Code'!D:D,),0)))</f>
        <v/>
      </c>
      <c r="D2280" s="3" t="str">
        <f>IFERROR(__xludf.DUMMYFUNCTION("if(isblank(B2280),,ifna(textjoin(""; "",,filter('On Hand'!E:E,'On Hand'!A:A=A2280)),ifna(xlookup(A2280,'On Hand'!A:A,'On Hand'!E:E,),)))"),"")</f>
        <v/>
      </c>
    </row>
    <row r="2281">
      <c r="A2281" s="3" t="str">
        <f t="array" ref="A2281">ifna(_xlfn.xlookup(B2281,'All Item Code'!B:B,'All Item Code'!A:A,),)</f>
        <v/>
      </c>
      <c r="B2281" s="3"/>
      <c r="C2281" s="3" t="str">
        <f t="array" ref="C2281">if(B2281="Tidak Ada",,if(isblank(B2281),,ifna(sumif('On Hand'!A:A,A2281,'On Hand'!D:D)&amp;" "&amp;_xlfn.xlookup(A2281,'All Item Code'!A:A,'All Item Code'!D:D,),0)))</f>
        <v/>
      </c>
      <c r="D2281" s="3" t="str">
        <f>IFERROR(__xludf.DUMMYFUNCTION("if(isblank(B2281),,ifna(textjoin(""; "",,filter('On Hand'!E:E,'On Hand'!A:A=A2281)),ifna(xlookup(A2281,'On Hand'!A:A,'On Hand'!E:E,),)))"),"")</f>
        <v/>
      </c>
    </row>
    <row r="2282">
      <c r="A2282" s="3" t="str">
        <f t="array" ref="A2282">ifna(_xlfn.xlookup(B2282,'All Item Code'!B:B,'All Item Code'!A:A,),)</f>
        <v/>
      </c>
      <c r="B2282" s="3"/>
      <c r="C2282" s="3" t="str">
        <f t="array" ref="C2282">if(B2282="Tidak Ada",,if(isblank(B2282),,ifna(sumif('On Hand'!A:A,A2282,'On Hand'!D:D)&amp;" "&amp;_xlfn.xlookup(A2282,'All Item Code'!A:A,'All Item Code'!D:D,),0)))</f>
        <v/>
      </c>
      <c r="D2282" s="3" t="str">
        <f>IFERROR(__xludf.DUMMYFUNCTION("if(isblank(B2282),,ifna(textjoin(""; "",,filter('On Hand'!E:E,'On Hand'!A:A=A2282)),ifna(xlookup(A2282,'On Hand'!A:A,'On Hand'!E:E,),)))"),"")</f>
        <v/>
      </c>
    </row>
    <row r="2283">
      <c r="A2283" s="3" t="str">
        <f t="array" ref="A2283">ifna(_xlfn.xlookup(B2283,'All Item Code'!B:B,'All Item Code'!A:A,),)</f>
        <v/>
      </c>
      <c r="B2283" s="3"/>
      <c r="C2283" s="3" t="str">
        <f t="array" ref="C2283">if(B2283="Tidak Ada",,if(isblank(B2283),,ifna(sumif('On Hand'!A:A,A2283,'On Hand'!D:D)&amp;" "&amp;_xlfn.xlookup(A2283,'All Item Code'!A:A,'All Item Code'!D:D,),0)))</f>
        <v/>
      </c>
      <c r="D2283" s="3" t="str">
        <f>IFERROR(__xludf.DUMMYFUNCTION("if(isblank(B2283),,ifna(textjoin(""; "",,filter('On Hand'!E:E,'On Hand'!A:A=A2283)),ifna(xlookup(A2283,'On Hand'!A:A,'On Hand'!E:E,),)))"),"")</f>
        <v/>
      </c>
    </row>
    <row r="2284">
      <c r="A2284" s="3" t="str">
        <f t="array" ref="A2284">ifna(_xlfn.xlookup(B2284,'All Item Code'!B:B,'All Item Code'!A:A,),)</f>
        <v/>
      </c>
      <c r="B2284" s="3"/>
      <c r="C2284" s="3" t="str">
        <f t="array" ref="C2284">if(B2284="Tidak Ada",,if(isblank(B2284),,ifna(sumif('On Hand'!A:A,A2284,'On Hand'!D:D)&amp;" "&amp;_xlfn.xlookup(A2284,'All Item Code'!A:A,'All Item Code'!D:D,),0)))</f>
        <v/>
      </c>
      <c r="D2284" s="3" t="str">
        <f>IFERROR(__xludf.DUMMYFUNCTION("if(isblank(B2284),,ifna(textjoin(""; "",,filter('On Hand'!E:E,'On Hand'!A:A=A2284)),ifna(xlookup(A2284,'On Hand'!A:A,'On Hand'!E:E,),)))"),"")</f>
        <v/>
      </c>
    </row>
    <row r="2285">
      <c r="A2285" s="3" t="str">
        <f t="array" ref="A2285">ifna(_xlfn.xlookup(B2285,'All Item Code'!B:B,'All Item Code'!A:A,),)</f>
        <v/>
      </c>
      <c r="B2285" s="3"/>
      <c r="C2285" s="3" t="str">
        <f t="array" ref="C2285">if(B2285="Tidak Ada",,if(isblank(B2285),,ifna(sumif('On Hand'!A:A,A2285,'On Hand'!D:D)&amp;" "&amp;_xlfn.xlookup(A2285,'All Item Code'!A:A,'All Item Code'!D:D,),0)))</f>
        <v/>
      </c>
      <c r="D2285" s="3" t="str">
        <f>IFERROR(__xludf.DUMMYFUNCTION("if(isblank(B2285),,ifna(textjoin(""; "",,filter('On Hand'!E:E,'On Hand'!A:A=A2285)),ifna(xlookup(A2285,'On Hand'!A:A,'On Hand'!E:E,),)))"),"")</f>
        <v/>
      </c>
    </row>
    <row r="2286">
      <c r="A2286" s="3" t="str">
        <f t="array" ref="A2286">ifna(_xlfn.xlookup(B2286,'All Item Code'!B:B,'All Item Code'!A:A,),)</f>
        <v/>
      </c>
      <c r="B2286" s="3"/>
      <c r="C2286" s="3" t="str">
        <f t="array" ref="C2286">if(B2286="Tidak Ada",,if(isblank(B2286),,ifna(sumif('On Hand'!A:A,A2286,'On Hand'!D:D)&amp;" "&amp;_xlfn.xlookup(A2286,'All Item Code'!A:A,'All Item Code'!D:D,),0)))</f>
        <v/>
      </c>
      <c r="D2286" s="3" t="str">
        <f>IFERROR(__xludf.DUMMYFUNCTION("if(isblank(B2286),,ifna(textjoin(""; "",,filter('On Hand'!E:E,'On Hand'!A:A=A2286)),ifna(xlookup(A2286,'On Hand'!A:A,'On Hand'!E:E,),)))"),"")</f>
        <v/>
      </c>
    </row>
    <row r="2287">
      <c r="A2287" s="3" t="str">
        <f t="array" ref="A2287">ifna(_xlfn.xlookup(B2287,'All Item Code'!B:B,'All Item Code'!A:A,),)</f>
        <v/>
      </c>
      <c r="B2287" s="3"/>
      <c r="C2287" s="3" t="str">
        <f t="array" ref="C2287">if(B2287="Tidak Ada",,if(isblank(B2287),,ifna(sumif('On Hand'!A:A,A2287,'On Hand'!D:D)&amp;" "&amp;_xlfn.xlookup(A2287,'All Item Code'!A:A,'All Item Code'!D:D,),0)))</f>
        <v/>
      </c>
      <c r="D2287" s="3" t="str">
        <f>IFERROR(__xludf.DUMMYFUNCTION("if(isblank(B2287),,ifna(textjoin(""; "",,filter('On Hand'!E:E,'On Hand'!A:A=A2287)),ifna(xlookup(A2287,'On Hand'!A:A,'On Hand'!E:E,),)))"),"")</f>
        <v/>
      </c>
    </row>
    <row r="2288">
      <c r="A2288" s="3" t="str">
        <f t="array" ref="A2288">ifna(_xlfn.xlookup(B2288,'All Item Code'!B:B,'All Item Code'!A:A,),)</f>
        <v/>
      </c>
      <c r="B2288" s="3"/>
      <c r="C2288" s="3" t="str">
        <f t="array" ref="C2288">if(B2288="Tidak Ada",,if(isblank(B2288),,ifna(sumif('On Hand'!A:A,A2288,'On Hand'!D:D)&amp;" "&amp;_xlfn.xlookup(A2288,'All Item Code'!A:A,'All Item Code'!D:D,),0)))</f>
        <v/>
      </c>
      <c r="D2288" s="3" t="str">
        <f>IFERROR(__xludf.DUMMYFUNCTION("if(isblank(B2288),,ifna(textjoin(""; "",,filter('On Hand'!E:E,'On Hand'!A:A=A2288)),ifna(xlookup(A2288,'On Hand'!A:A,'On Hand'!E:E,),)))"),"")</f>
        <v/>
      </c>
    </row>
    <row r="2289">
      <c r="A2289" s="3" t="str">
        <f t="array" ref="A2289">ifna(_xlfn.xlookup(B2289,'All Item Code'!B:B,'All Item Code'!A:A,),)</f>
        <v/>
      </c>
      <c r="B2289" s="3"/>
      <c r="C2289" s="3" t="str">
        <f t="array" ref="C2289">if(B2289="Tidak Ada",,if(isblank(B2289),,ifna(sumif('On Hand'!A:A,A2289,'On Hand'!D:D)&amp;" "&amp;_xlfn.xlookup(A2289,'All Item Code'!A:A,'All Item Code'!D:D,),0)))</f>
        <v/>
      </c>
      <c r="D2289" s="3" t="str">
        <f>IFERROR(__xludf.DUMMYFUNCTION("if(isblank(B2289),,ifna(textjoin(""; "",,filter('On Hand'!E:E,'On Hand'!A:A=A2289)),ifna(xlookup(A2289,'On Hand'!A:A,'On Hand'!E:E,),)))"),"")</f>
        <v/>
      </c>
    </row>
    <row r="2290">
      <c r="A2290" s="3" t="str">
        <f t="array" ref="A2290">ifna(_xlfn.xlookup(B2290,'All Item Code'!B:B,'All Item Code'!A:A,),)</f>
        <v/>
      </c>
      <c r="B2290" s="3"/>
      <c r="C2290" s="3" t="str">
        <f t="array" ref="C2290">if(B2290="Tidak Ada",,if(isblank(B2290),,ifna(sumif('On Hand'!A:A,A2290,'On Hand'!D:D)&amp;" "&amp;_xlfn.xlookup(A2290,'All Item Code'!A:A,'All Item Code'!D:D,),0)))</f>
        <v/>
      </c>
      <c r="D2290" s="3" t="str">
        <f>IFERROR(__xludf.DUMMYFUNCTION("if(isblank(B2290),,ifna(textjoin(""; "",,filter('On Hand'!E:E,'On Hand'!A:A=A2290)),ifna(xlookup(A2290,'On Hand'!A:A,'On Hand'!E:E,),)))"),"")</f>
        <v/>
      </c>
    </row>
    <row r="2291">
      <c r="A2291" s="3" t="str">
        <f t="array" ref="A2291">ifna(_xlfn.xlookup(B2291,'All Item Code'!B:B,'All Item Code'!A:A,),)</f>
        <v/>
      </c>
      <c r="B2291" s="3"/>
      <c r="C2291" s="3" t="str">
        <f t="array" ref="C2291">if(B2291="Tidak Ada",,if(isblank(B2291),,ifna(sumif('On Hand'!A:A,A2291,'On Hand'!D:D)&amp;" "&amp;_xlfn.xlookup(A2291,'All Item Code'!A:A,'All Item Code'!D:D,),0)))</f>
        <v/>
      </c>
      <c r="D2291" s="3" t="str">
        <f>IFERROR(__xludf.DUMMYFUNCTION("if(isblank(B2291),,ifna(textjoin(""; "",,filter('On Hand'!E:E,'On Hand'!A:A=A2291)),ifna(xlookup(A2291,'On Hand'!A:A,'On Hand'!E:E,),)))"),"")</f>
        <v/>
      </c>
    </row>
    <row r="2292">
      <c r="A2292" s="3" t="str">
        <f t="array" ref="A2292">ifna(_xlfn.xlookup(B2292,'All Item Code'!B:B,'All Item Code'!A:A,),)</f>
        <v/>
      </c>
      <c r="B2292" s="3"/>
      <c r="C2292" s="3" t="str">
        <f t="array" ref="C2292">if(B2292="Tidak Ada",,if(isblank(B2292),,ifna(sumif('On Hand'!A:A,A2292,'On Hand'!D:D)&amp;" "&amp;_xlfn.xlookup(A2292,'All Item Code'!A:A,'All Item Code'!D:D,),0)))</f>
        <v/>
      </c>
      <c r="D2292" s="3" t="str">
        <f>IFERROR(__xludf.DUMMYFUNCTION("if(isblank(B2292),,ifna(textjoin(""; "",,filter('On Hand'!E:E,'On Hand'!A:A=A2292)),ifna(xlookup(A2292,'On Hand'!A:A,'On Hand'!E:E,),)))"),"")</f>
        <v/>
      </c>
    </row>
    <row r="2293">
      <c r="A2293" s="3" t="str">
        <f t="array" ref="A2293">ifna(_xlfn.xlookup(B2293,'All Item Code'!B:B,'All Item Code'!A:A,),)</f>
        <v/>
      </c>
      <c r="B2293" s="3"/>
      <c r="C2293" s="3" t="str">
        <f t="array" ref="C2293">if(B2293="Tidak Ada",,if(isblank(B2293),,ifna(sumif('On Hand'!A:A,A2293,'On Hand'!D:D)&amp;" "&amp;_xlfn.xlookup(A2293,'All Item Code'!A:A,'All Item Code'!D:D,),0)))</f>
        <v/>
      </c>
      <c r="D2293" s="3" t="str">
        <f>IFERROR(__xludf.DUMMYFUNCTION("if(isblank(B2293),,ifna(textjoin(""; "",,filter('On Hand'!E:E,'On Hand'!A:A=A2293)),ifna(xlookup(A2293,'On Hand'!A:A,'On Hand'!E:E,),)))"),"")</f>
        <v/>
      </c>
    </row>
    <row r="2294">
      <c r="A2294" s="3" t="str">
        <f t="array" ref="A2294">ifna(_xlfn.xlookup(B2294,'All Item Code'!B:B,'All Item Code'!A:A,),)</f>
        <v/>
      </c>
      <c r="B2294" s="3"/>
      <c r="C2294" s="3" t="str">
        <f t="array" ref="C2294">if(B2294="Tidak Ada",,if(isblank(B2294),,ifna(sumif('On Hand'!A:A,A2294,'On Hand'!D:D)&amp;" "&amp;_xlfn.xlookup(A2294,'All Item Code'!A:A,'All Item Code'!D:D,),0)))</f>
        <v/>
      </c>
      <c r="D2294" s="3" t="str">
        <f>IFERROR(__xludf.DUMMYFUNCTION("if(isblank(B2294),,ifna(textjoin(""; "",,filter('On Hand'!E:E,'On Hand'!A:A=A2294)),ifna(xlookup(A2294,'On Hand'!A:A,'On Hand'!E:E,),)))"),"")</f>
        <v/>
      </c>
    </row>
    <row r="2295">
      <c r="A2295" s="3" t="str">
        <f t="array" ref="A2295">ifna(_xlfn.xlookup(B2295,'All Item Code'!B:B,'All Item Code'!A:A,),)</f>
        <v/>
      </c>
      <c r="B2295" s="3"/>
      <c r="C2295" s="3" t="str">
        <f t="array" ref="C2295">if(B2295="Tidak Ada",,if(isblank(B2295),,ifna(sumif('On Hand'!A:A,A2295,'On Hand'!D:D)&amp;" "&amp;_xlfn.xlookup(A2295,'All Item Code'!A:A,'All Item Code'!D:D,),0)))</f>
        <v/>
      </c>
      <c r="D2295" s="3" t="str">
        <f>IFERROR(__xludf.DUMMYFUNCTION("if(isblank(B2295),,ifna(textjoin(""; "",,filter('On Hand'!E:E,'On Hand'!A:A=A2295)),ifna(xlookup(A2295,'On Hand'!A:A,'On Hand'!E:E,),)))"),"")</f>
        <v/>
      </c>
    </row>
    <row r="2296">
      <c r="A2296" s="3" t="str">
        <f t="array" ref="A2296">ifna(_xlfn.xlookup(B2296,'All Item Code'!B:B,'All Item Code'!A:A,),)</f>
        <v/>
      </c>
      <c r="B2296" s="3"/>
      <c r="C2296" s="3" t="str">
        <f t="array" ref="C2296">if(B2296="Tidak Ada",,if(isblank(B2296),,ifna(sumif('On Hand'!A:A,A2296,'On Hand'!D:D)&amp;" "&amp;_xlfn.xlookup(A2296,'All Item Code'!A:A,'All Item Code'!D:D,),0)))</f>
        <v/>
      </c>
      <c r="D2296" s="3" t="str">
        <f>IFERROR(__xludf.DUMMYFUNCTION("if(isblank(B2296),,ifna(textjoin(""; "",,filter('On Hand'!E:E,'On Hand'!A:A=A2296)),ifna(xlookup(A2296,'On Hand'!A:A,'On Hand'!E:E,),)))"),"")</f>
        <v/>
      </c>
    </row>
    <row r="2297">
      <c r="A2297" s="3" t="str">
        <f t="array" ref="A2297">ifna(_xlfn.xlookup(B2297,'All Item Code'!B:B,'All Item Code'!A:A,),)</f>
        <v/>
      </c>
      <c r="B2297" s="3"/>
      <c r="C2297" s="3" t="str">
        <f t="array" ref="C2297">if(B2297="Tidak Ada",,if(isblank(B2297),,ifna(sumif('On Hand'!A:A,A2297,'On Hand'!D:D)&amp;" "&amp;_xlfn.xlookup(A2297,'All Item Code'!A:A,'All Item Code'!D:D,),0)))</f>
        <v/>
      </c>
      <c r="D2297" s="3" t="str">
        <f>IFERROR(__xludf.DUMMYFUNCTION("if(isblank(B2297),,ifna(textjoin(""; "",,filter('On Hand'!E:E,'On Hand'!A:A=A2297)),ifna(xlookup(A2297,'On Hand'!A:A,'On Hand'!E:E,),)))"),"")</f>
        <v/>
      </c>
    </row>
    <row r="2298">
      <c r="A2298" s="3" t="str">
        <f t="array" ref="A2298">ifna(_xlfn.xlookup(B2298,'All Item Code'!B:B,'All Item Code'!A:A,),)</f>
        <v/>
      </c>
      <c r="B2298" s="3"/>
      <c r="C2298" s="3" t="str">
        <f t="array" ref="C2298">if(B2298="Tidak Ada",,if(isblank(B2298),,ifna(sumif('On Hand'!A:A,A2298,'On Hand'!D:D)&amp;" "&amp;_xlfn.xlookup(A2298,'All Item Code'!A:A,'All Item Code'!D:D,),0)))</f>
        <v/>
      </c>
      <c r="D2298" s="3" t="str">
        <f>IFERROR(__xludf.DUMMYFUNCTION("if(isblank(B2298),,ifna(textjoin(""; "",,filter('On Hand'!E:E,'On Hand'!A:A=A2298)),ifna(xlookup(A2298,'On Hand'!A:A,'On Hand'!E:E,),)))"),"")</f>
        <v/>
      </c>
    </row>
    <row r="2299">
      <c r="A2299" s="3" t="str">
        <f t="array" ref="A2299">ifna(_xlfn.xlookup(B2299,'All Item Code'!B:B,'All Item Code'!A:A,),)</f>
        <v/>
      </c>
      <c r="B2299" s="3"/>
      <c r="C2299" s="3" t="str">
        <f t="array" ref="C2299">if(B2299="Tidak Ada",,if(isblank(B2299),,ifna(sumif('On Hand'!A:A,A2299,'On Hand'!D:D)&amp;" "&amp;_xlfn.xlookup(A2299,'All Item Code'!A:A,'All Item Code'!D:D,),0)))</f>
        <v/>
      </c>
      <c r="D2299" s="3" t="str">
        <f>IFERROR(__xludf.DUMMYFUNCTION("if(isblank(B2299),,ifna(textjoin(""; "",,filter('On Hand'!E:E,'On Hand'!A:A=A2299)),ifna(xlookup(A2299,'On Hand'!A:A,'On Hand'!E:E,),)))"),"")</f>
        <v/>
      </c>
    </row>
    <row r="2300">
      <c r="A2300" s="3" t="str">
        <f t="array" ref="A2300">ifna(_xlfn.xlookup(B2300,'All Item Code'!B:B,'All Item Code'!A:A,),)</f>
        <v/>
      </c>
      <c r="B2300" s="3"/>
      <c r="C2300" s="3" t="str">
        <f t="array" ref="C2300">if(B2300="Tidak Ada",,if(isblank(B2300),,ifna(sumif('On Hand'!A:A,A2300,'On Hand'!D:D)&amp;" "&amp;_xlfn.xlookup(A2300,'All Item Code'!A:A,'All Item Code'!D:D,),0)))</f>
        <v/>
      </c>
      <c r="D2300" s="3" t="str">
        <f>IFERROR(__xludf.DUMMYFUNCTION("if(isblank(B2300),,ifna(textjoin(""; "",,filter('On Hand'!E:E,'On Hand'!A:A=A2300)),ifna(xlookup(A2300,'On Hand'!A:A,'On Hand'!E:E,),)))"),"")</f>
        <v/>
      </c>
    </row>
    <row r="2301">
      <c r="A2301" s="3" t="str">
        <f t="array" ref="A2301">ifna(_xlfn.xlookup(B2301,'All Item Code'!B:B,'All Item Code'!A:A,),)</f>
        <v/>
      </c>
      <c r="B2301" s="3"/>
      <c r="C2301" s="3" t="str">
        <f t="array" ref="C2301">if(B2301="Tidak Ada",,if(isblank(B2301),,ifna(sumif('On Hand'!A:A,A2301,'On Hand'!D:D)&amp;" "&amp;_xlfn.xlookup(A2301,'All Item Code'!A:A,'All Item Code'!D:D,),0)))</f>
        <v/>
      </c>
      <c r="D2301" s="3" t="str">
        <f>IFERROR(__xludf.DUMMYFUNCTION("if(isblank(B2301),,ifna(textjoin(""; "",,filter('On Hand'!E:E,'On Hand'!A:A=A2301)),ifna(xlookup(A2301,'On Hand'!A:A,'On Hand'!E:E,),)))"),"")</f>
        <v/>
      </c>
    </row>
    <row r="2302">
      <c r="A2302" s="3" t="str">
        <f t="array" ref="A2302">ifna(_xlfn.xlookup(B2302,'All Item Code'!B:B,'All Item Code'!A:A,),)</f>
        <v/>
      </c>
      <c r="B2302" s="3"/>
      <c r="C2302" s="3" t="str">
        <f t="array" ref="C2302">if(B2302="Tidak Ada",,if(isblank(B2302),,ifna(sumif('On Hand'!A:A,A2302,'On Hand'!D:D)&amp;" "&amp;_xlfn.xlookup(A2302,'All Item Code'!A:A,'All Item Code'!D:D,),0)))</f>
        <v/>
      </c>
      <c r="D2302" s="3" t="str">
        <f>IFERROR(__xludf.DUMMYFUNCTION("if(isblank(B2302),,ifna(textjoin(""; "",,filter('On Hand'!E:E,'On Hand'!A:A=A2302)),ifna(xlookup(A2302,'On Hand'!A:A,'On Hand'!E:E,),)))"),"")</f>
        <v/>
      </c>
    </row>
    <row r="2303">
      <c r="A2303" s="3" t="str">
        <f t="array" ref="A2303">ifna(_xlfn.xlookup(B2303,'All Item Code'!B:B,'All Item Code'!A:A,),)</f>
        <v/>
      </c>
      <c r="B2303" s="3"/>
      <c r="C2303" s="3" t="str">
        <f t="array" ref="C2303">if(B2303="Tidak Ada",,if(isblank(B2303),,ifna(sumif('On Hand'!A:A,A2303,'On Hand'!D:D)&amp;" "&amp;_xlfn.xlookup(A2303,'All Item Code'!A:A,'All Item Code'!D:D,),0)))</f>
        <v/>
      </c>
      <c r="D2303" s="3" t="str">
        <f>IFERROR(__xludf.DUMMYFUNCTION("if(isblank(B2303),,ifna(textjoin(""; "",,filter('On Hand'!E:E,'On Hand'!A:A=A2303)),ifna(xlookup(A2303,'On Hand'!A:A,'On Hand'!E:E,),)))"),"")</f>
        <v/>
      </c>
    </row>
    <row r="2304">
      <c r="A2304" s="3" t="str">
        <f t="array" ref="A2304">ifna(_xlfn.xlookup(B2304,'All Item Code'!B:B,'All Item Code'!A:A,),)</f>
        <v/>
      </c>
      <c r="B2304" s="3"/>
      <c r="C2304" s="3" t="str">
        <f t="array" ref="C2304">if(B2304="Tidak Ada",,if(isblank(B2304),,ifna(sumif('On Hand'!A:A,A2304,'On Hand'!D:D)&amp;" "&amp;_xlfn.xlookup(A2304,'All Item Code'!A:A,'All Item Code'!D:D,),0)))</f>
        <v/>
      </c>
      <c r="D2304" s="3" t="str">
        <f>IFERROR(__xludf.DUMMYFUNCTION("if(isblank(B2304),,ifna(textjoin(""; "",,filter('On Hand'!E:E,'On Hand'!A:A=A2304)),ifna(xlookup(A2304,'On Hand'!A:A,'On Hand'!E:E,),)))"),"")</f>
        <v/>
      </c>
    </row>
    <row r="2305">
      <c r="A2305" s="3" t="str">
        <f t="array" ref="A2305">ifna(_xlfn.xlookup(B2305,'All Item Code'!B:B,'All Item Code'!A:A,),)</f>
        <v/>
      </c>
      <c r="B2305" s="3"/>
      <c r="C2305" s="3" t="str">
        <f t="array" ref="C2305">if(B2305="Tidak Ada",,if(isblank(B2305),,ifna(sumif('On Hand'!A:A,A2305,'On Hand'!D:D)&amp;" "&amp;_xlfn.xlookup(A2305,'All Item Code'!A:A,'All Item Code'!D:D,),0)))</f>
        <v/>
      </c>
      <c r="D2305" s="3" t="str">
        <f>IFERROR(__xludf.DUMMYFUNCTION("if(isblank(B2305),,ifna(textjoin(""; "",,filter('On Hand'!E:E,'On Hand'!A:A=A2305)),ifna(xlookup(A2305,'On Hand'!A:A,'On Hand'!E:E,),)))"),"")</f>
        <v/>
      </c>
    </row>
    <row r="2306">
      <c r="A2306" s="3" t="str">
        <f t="array" ref="A2306">ifna(_xlfn.xlookup(B2306,'All Item Code'!B:B,'All Item Code'!A:A,),)</f>
        <v/>
      </c>
      <c r="B2306" s="3"/>
      <c r="C2306" s="3" t="str">
        <f t="array" ref="C2306">if(B2306="Tidak Ada",,if(isblank(B2306),,ifna(sumif('On Hand'!A:A,A2306,'On Hand'!D:D)&amp;" "&amp;_xlfn.xlookup(A2306,'All Item Code'!A:A,'All Item Code'!D:D,),0)))</f>
        <v/>
      </c>
      <c r="D2306" s="3" t="str">
        <f>IFERROR(__xludf.DUMMYFUNCTION("if(isblank(B2306),,ifna(textjoin(""; "",,filter('On Hand'!E:E,'On Hand'!A:A=A2306)),ifna(xlookup(A2306,'On Hand'!A:A,'On Hand'!E:E,),)))"),"")</f>
        <v/>
      </c>
    </row>
    <row r="2307">
      <c r="A2307" s="3" t="str">
        <f t="array" ref="A2307">ifna(_xlfn.xlookup(B2307,'All Item Code'!B:B,'All Item Code'!A:A,),)</f>
        <v/>
      </c>
      <c r="B2307" s="3"/>
      <c r="C2307" s="3" t="str">
        <f t="array" ref="C2307">if(B2307="Tidak Ada",,if(isblank(B2307),,ifna(sumif('On Hand'!A:A,A2307,'On Hand'!D:D)&amp;" "&amp;_xlfn.xlookup(A2307,'All Item Code'!A:A,'All Item Code'!D:D,),0)))</f>
        <v/>
      </c>
      <c r="D2307" s="3" t="str">
        <f>IFERROR(__xludf.DUMMYFUNCTION("if(isblank(B2307),,ifna(textjoin(""; "",,filter('On Hand'!E:E,'On Hand'!A:A=A2307)),ifna(xlookup(A2307,'On Hand'!A:A,'On Hand'!E:E,),)))"),"")</f>
        <v/>
      </c>
    </row>
    <row r="2308">
      <c r="A2308" s="3" t="str">
        <f t="array" ref="A2308">ifna(_xlfn.xlookup(B2308,'All Item Code'!B:B,'All Item Code'!A:A,),)</f>
        <v/>
      </c>
      <c r="B2308" s="3"/>
      <c r="C2308" s="3" t="str">
        <f t="array" ref="C2308">if(B2308="Tidak Ada",,if(isblank(B2308),,ifna(sumif('On Hand'!A:A,A2308,'On Hand'!D:D)&amp;" "&amp;_xlfn.xlookup(A2308,'All Item Code'!A:A,'All Item Code'!D:D,),0)))</f>
        <v/>
      </c>
      <c r="D2308" s="3" t="str">
        <f>IFERROR(__xludf.DUMMYFUNCTION("if(isblank(B2308),,ifna(textjoin(""; "",,filter('On Hand'!E:E,'On Hand'!A:A=A2308)),ifna(xlookup(A2308,'On Hand'!A:A,'On Hand'!E:E,),)))"),"")</f>
        <v/>
      </c>
    </row>
    <row r="2309">
      <c r="A2309" s="3" t="str">
        <f t="array" ref="A2309">ifna(_xlfn.xlookup(B2309,'All Item Code'!B:B,'All Item Code'!A:A,),)</f>
        <v/>
      </c>
      <c r="B2309" s="3"/>
      <c r="C2309" s="3" t="str">
        <f t="array" ref="C2309">if(B2309="Tidak Ada",,if(isblank(B2309),,ifna(sumif('On Hand'!A:A,A2309,'On Hand'!D:D)&amp;" "&amp;_xlfn.xlookup(A2309,'All Item Code'!A:A,'All Item Code'!D:D,),0)))</f>
        <v/>
      </c>
      <c r="D2309" s="3" t="str">
        <f>IFERROR(__xludf.DUMMYFUNCTION("if(isblank(B2309),,ifna(textjoin(""; "",,filter('On Hand'!E:E,'On Hand'!A:A=A2309)),ifna(xlookup(A2309,'On Hand'!A:A,'On Hand'!E:E,),)))"),"")</f>
        <v/>
      </c>
    </row>
    <row r="2310">
      <c r="A2310" s="3" t="str">
        <f t="array" ref="A2310">ifna(_xlfn.xlookup(B2310,'All Item Code'!B:B,'All Item Code'!A:A,),)</f>
        <v/>
      </c>
      <c r="B2310" s="3"/>
      <c r="C2310" s="3" t="str">
        <f t="array" ref="C2310">if(B2310="Tidak Ada",,if(isblank(B2310),,ifna(sumif('On Hand'!A:A,A2310,'On Hand'!D:D)&amp;" "&amp;_xlfn.xlookup(A2310,'All Item Code'!A:A,'All Item Code'!D:D,),0)))</f>
        <v/>
      </c>
      <c r="D2310" s="3" t="str">
        <f>IFERROR(__xludf.DUMMYFUNCTION("if(isblank(B2310),,ifna(textjoin(""; "",,filter('On Hand'!E:E,'On Hand'!A:A=A2310)),ifna(xlookup(A2310,'On Hand'!A:A,'On Hand'!E:E,),)))"),"")</f>
        <v/>
      </c>
    </row>
    <row r="2311">
      <c r="A2311" s="3" t="str">
        <f t="array" ref="A2311">ifna(_xlfn.xlookup(B2311,'All Item Code'!B:B,'All Item Code'!A:A,),)</f>
        <v/>
      </c>
      <c r="B2311" s="3"/>
      <c r="C2311" s="3" t="str">
        <f t="array" ref="C2311">if(B2311="Tidak Ada",,if(isblank(B2311),,ifna(sumif('On Hand'!A:A,A2311,'On Hand'!D:D)&amp;" "&amp;_xlfn.xlookup(A2311,'All Item Code'!A:A,'All Item Code'!D:D,),0)))</f>
        <v/>
      </c>
      <c r="D2311" s="3" t="str">
        <f>IFERROR(__xludf.DUMMYFUNCTION("if(isblank(B2311),,ifna(textjoin(""; "",,filter('On Hand'!E:E,'On Hand'!A:A=A2311)),ifna(xlookup(A2311,'On Hand'!A:A,'On Hand'!E:E,),)))"),"")</f>
        <v/>
      </c>
    </row>
    <row r="2312">
      <c r="A2312" s="3" t="str">
        <f t="array" ref="A2312">ifna(_xlfn.xlookup(B2312,'All Item Code'!B:B,'All Item Code'!A:A,),)</f>
        <v/>
      </c>
      <c r="B2312" s="3"/>
      <c r="C2312" s="3" t="str">
        <f t="array" ref="C2312">if(B2312="Tidak Ada",,if(isblank(B2312),,ifna(sumif('On Hand'!A:A,A2312,'On Hand'!D:D)&amp;" "&amp;_xlfn.xlookup(A2312,'All Item Code'!A:A,'All Item Code'!D:D,),0)))</f>
        <v/>
      </c>
      <c r="D2312" s="3" t="str">
        <f>IFERROR(__xludf.DUMMYFUNCTION("if(isblank(B2312),,ifna(textjoin(""; "",,filter('On Hand'!E:E,'On Hand'!A:A=A2312)),ifna(xlookup(A2312,'On Hand'!A:A,'On Hand'!E:E,),)))"),"")</f>
        <v/>
      </c>
    </row>
    <row r="2313">
      <c r="A2313" s="3" t="str">
        <f t="array" ref="A2313">ifna(_xlfn.xlookup(B2313,'All Item Code'!B:B,'All Item Code'!A:A,),)</f>
        <v/>
      </c>
      <c r="B2313" s="3"/>
      <c r="C2313" s="3" t="str">
        <f t="array" ref="C2313">if(B2313="Tidak Ada",,if(isblank(B2313),,ifna(sumif('On Hand'!A:A,A2313,'On Hand'!D:D)&amp;" "&amp;_xlfn.xlookup(A2313,'All Item Code'!A:A,'All Item Code'!D:D,),0)))</f>
        <v/>
      </c>
      <c r="D2313" s="3" t="str">
        <f>IFERROR(__xludf.DUMMYFUNCTION("if(isblank(B2313),,ifna(textjoin(""; "",,filter('On Hand'!E:E,'On Hand'!A:A=A2313)),ifna(xlookup(A2313,'On Hand'!A:A,'On Hand'!E:E,),)))"),"")</f>
        <v/>
      </c>
    </row>
    <row r="2314">
      <c r="A2314" s="3" t="str">
        <f t="array" ref="A2314">ifna(_xlfn.xlookup(B2314,'All Item Code'!B:B,'All Item Code'!A:A,),)</f>
        <v/>
      </c>
      <c r="B2314" s="3"/>
      <c r="C2314" s="3" t="str">
        <f t="array" ref="C2314">if(B2314="Tidak Ada",,if(isblank(B2314),,ifna(sumif('On Hand'!A:A,A2314,'On Hand'!D:D)&amp;" "&amp;_xlfn.xlookup(A2314,'All Item Code'!A:A,'All Item Code'!D:D,),0)))</f>
        <v/>
      </c>
      <c r="D2314" s="3" t="str">
        <f>IFERROR(__xludf.DUMMYFUNCTION("if(isblank(B2314),,ifna(textjoin(""; "",,filter('On Hand'!E:E,'On Hand'!A:A=A2314)),ifna(xlookup(A2314,'On Hand'!A:A,'On Hand'!E:E,),)))"),"")</f>
        <v/>
      </c>
    </row>
    <row r="2315">
      <c r="A2315" s="3" t="str">
        <f t="array" ref="A2315">ifna(_xlfn.xlookup(B2315,'All Item Code'!B:B,'All Item Code'!A:A,),)</f>
        <v/>
      </c>
      <c r="B2315" s="3"/>
      <c r="C2315" s="3" t="str">
        <f t="array" ref="C2315">if(B2315="Tidak Ada",,if(isblank(B2315),,ifna(sumif('On Hand'!A:A,A2315,'On Hand'!D:D)&amp;" "&amp;_xlfn.xlookup(A2315,'All Item Code'!A:A,'All Item Code'!D:D,),0)))</f>
        <v/>
      </c>
      <c r="D2315" s="3" t="str">
        <f>IFERROR(__xludf.DUMMYFUNCTION("if(isblank(B2315),,ifna(textjoin(""; "",,filter('On Hand'!E:E,'On Hand'!A:A=A2315)),ifna(xlookup(A2315,'On Hand'!A:A,'On Hand'!E:E,),)))"),"")</f>
        <v/>
      </c>
    </row>
    <row r="2316">
      <c r="A2316" s="3" t="str">
        <f t="array" ref="A2316">ifna(_xlfn.xlookup(B2316,'All Item Code'!B:B,'All Item Code'!A:A,),)</f>
        <v/>
      </c>
      <c r="B2316" s="3"/>
      <c r="C2316" s="3" t="str">
        <f t="array" ref="C2316">if(B2316="Tidak Ada",,if(isblank(B2316),,ifna(sumif('On Hand'!A:A,A2316,'On Hand'!D:D)&amp;" "&amp;_xlfn.xlookup(A2316,'All Item Code'!A:A,'All Item Code'!D:D,),0)))</f>
        <v/>
      </c>
      <c r="D2316" s="3" t="str">
        <f>IFERROR(__xludf.DUMMYFUNCTION("if(isblank(B2316),,ifna(textjoin(""; "",,filter('On Hand'!E:E,'On Hand'!A:A=A2316)),ifna(xlookup(A2316,'On Hand'!A:A,'On Hand'!E:E,),)))"),"")</f>
        <v/>
      </c>
    </row>
    <row r="2317">
      <c r="A2317" s="3" t="str">
        <f t="array" ref="A2317">ifna(_xlfn.xlookup(B2317,'All Item Code'!B:B,'All Item Code'!A:A,),)</f>
        <v/>
      </c>
      <c r="B2317" s="3"/>
      <c r="C2317" s="3" t="str">
        <f t="array" ref="C2317">if(B2317="Tidak Ada",,if(isblank(B2317),,ifna(sumif('On Hand'!A:A,A2317,'On Hand'!D:D)&amp;" "&amp;_xlfn.xlookup(A2317,'All Item Code'!A:A,'All Item Code'!D:D,),0)))</f>
        <v/>
      </c>
      <c r="D2317" s="3" t="str">
        <f>IFERROR(__xludf.DUMMYFUNCTION("if(isblank(B2317),,ifna(textjoin(""; "",,filter('On Hand'!E:E,'On Hand'!A:A=A2317)),ifna(xlookup(A2317,'On Hand'!A:A,'On Hand'!E:E,),)))"),"")</f>
        <v/>
      </c>
    </row>
    <row r="2318">
      <c r="A2318" s="3" t="str">
        <f t="array" ref="A2318">ifna(_xlfn.xlookup(B2318,'All Item Code'!B:B,'All Item Code'!A:A,),)</f>
        <v/>
      </c>
      <c r="B2318" s="3"/>
      <c r="C2318" s="3" t="str">
        <f t="array" ref="C2318">if(B2318="Tidak Ada",,if(isblank(B2318),,ifna(sumif('On Hand'!A:A,A2318,'On Hand'!D:D)&amp;" "&amp;_xlfn.xlookup(A2318,'All Item Code'!A:A,'All Item Code'!D:D,),0)))</f>
        <v/>
      </c>
      <c r="D2318" s="3" t="str">
        <f>IFERROR(__xludf.DUMMYFUNCTION("if(isblank(B2318),,ifna(textjoin(""; "",,filter('On Hand'!E:E,'On Hand'!A:A=A2318)),ifna(xlookup(A2318,'On Hand'!A:A,'On Hand'!E:E,),)))"),"")</f>
        <v/>
      </c>
    </row>
    <row r="2319">
      <c r="A2319" s="3" t="str">
        <f t="array" ref="A2319">ifna(_xlfn.xlookup(B2319,'All Item Code'!B:B,'All Item Code'!A:A,),)</f>
        <v/>
      </c>
      <c r="B2319" s="3"/>
      <c r="C2319" s="3" t="str">
        <f t="array" ref="C2319">if(B2319="Tidak Ada",,if(isblank(B2319),,ifna(sumif('On Hand'!A:A,A2319,'On Hand'!D:D)&amp;" "&amp;_xlfn.xlookup(A2319,'All Item Code'!A:A,'All Item Code'!D:D,),0)))</f>
        <v/>
      </c>
      <c r="D2319" s="3" t="str">
        <f>IFERROR(__xludf.DUMMYFUNCTION("if(isblank(B2319),,ifna(textjoin(""; "",,filter('On Hand'!E:E,'On Hand'!A:A=A2319)),ifna(xlookup(A2319,'On Hand'!A:A,'On Hand'!E:E,),)))"),"")</f>
        <v/>
      </c>
    </row>
    <row r="2320">
      <c r="A2320" s="3" t="str">
        <f t="array" ref="A2320">ifna(_xlfn.xlookup(B2320,'All Item Code'!B:B,'All Item Code'!A:A,),)</f>
        <v/>
      </c>
      <c r="B2320" s="3"/>
      <c r="C2320" s="3" t="str">
        <f t="array" ref="C2320">if(B2320="Tidak Ada",,if(isblank(B2320),,ifna(sumif('On Hand'!A:A,A2320,'On Hand'!D:D)&amp;" "&amp;_xlfn.xlookup(A2320,'All Item Code'!A:A,'All Item Code'!D:D,),0)))</f>
        <v/>
      </c>
      <c r="D2320" s="3" t="str">
        <f>IFERROR(__xludf.DUMMYFUNCTION("if(isblank(B2320),,ifna(textjoin(""; "",,filter('On Hand'!E:E,'On Hand'!A:A=A2320)),ifna(xlookup(A2320,'On Hand'!A:A,'On Hand'!E:E,),)))"),"")</f>
        <v/>
      </c>
    </row>
    <row r="2321">
      <c r="A2321" s="3" t="str">
        <f t="array" ref="A2321">ifna(_xlfn.xlookup(B2321,'All Item Code'!B:B,'All Item Code'!A:A,),)</f>
        <v/>
      </c>
      <c r="B2321" s="3"/>
      <c r="C2321" s="3" t="str">
        <f t="array" ref="C2321">if(B2321="Tidak Ada",,if(isblank(B2321),,ifna(sumif('On Hand'!A:A,A2321,'On Hand'!D:D)&amp;" "&amp;_xlfn.xlookup(A2321,'All Item Code'!A:A,'All Item Code'!D:D,),0)))</f>
        <v/>
      </c>
      <c r="D2321" s="3" t="str">
        <f>IFERROR(__xludf.DUMMYFUNCTION("if(isblank(B2321),,ifna(textjoin(""; "",,filter('On Hand'!E:E,'On Hand'!A:A=A2321)),ifna(xlookup(A2321,'On Hand'!A:A,'On Hand'!E:E,),)))"),"")</f>
        <v/>
      </c>
    </row>
    <row r="2322">
      <c r="A2322" s="3" t="str">
        <f t="array" ref="A2322">ifna(_xlfn.xlookup(B2322,'All Item Code'!B:B,'All Item Code'!A:A,),)</f>
        <v/>
      </c>
      <c r="B2322" s="3"/>
      <c r="C2322" s="3" t="str">
        <f t="array" ref="C2322">if(B2322="Tidak Ada",,if(isblank(B2322),,ifna(sumif('On Hand'!A:A,A2322,'On Hand'!D:D)&amp;" "&amp;_xlfn.xlookup(A2322,'All Item Code'!A:A,'All Item Code'!D:D,),0)))</f>
        <v/>
      </c>
      <c r="D2322" s="3" t="str">
        <f>IFERROR(__xludf.DUMMYFUNCTION("if(isblank(B2322),,ifna(textjoin(""; "",,filter('On Hand'!E:E,'On Hand'!A:A=A2322)),ifna(xlookup(A2322,'On Hand'!A:A,'On Hand'!E:E,),)))"),"")</f>
        <v/>
      </c>
    </row>
    <row r="2323">
      <c r="A2323" s="3" t="str">
        <f t="array" ref="A2323">ifna(_xlfn.xlookup(B2323,'All Item Code'!B:B,'All Item Code'!A:A,),)</f>
        <v/>
      </c>
      <c r="B2323" s="3"/>
      <c r="C2323" s="3" t="str">
        <f t="array" ref="C2323">if(B2323="Tidak Ada",,if(isblank(B2323),,ifna(sumif('On Hand'!A:A,A2323,'On Hand'!D:D)&amp;" "&amp;_xlfn.xlookup(A2323,'All Item Code'!A:A,'All Item Code'!D:D,),0)))</f>
        <v/>
      </c>
      <c r="D2323" s="3" t="str">
        <f>IFERROR(__xludf.DUMMYFUNCTION("if(isblank(B2323),,ifna(textjoin(""; "",,filter('On Hand'!E:E,'On Hand'!A:A=A2323)),ifna(xlookup(A2323,'On Hand'!A:A,'On Hand'!E:E,),)))"),"")</f>
        <v/>
      </c>
    </row>
    <row r="2324">
      <c r="A2324" s="3" t="str">
        <f t="array" ref="A2324">ifna(_xlfn.xlookup(B2324,'All Item Code'!B:B,'All Item Code'!A:A,),)</f>
        <v/>
      </c>
      <c r="B2324" s="3"/>
      <c r="C2324" s="3" t="str">
        <f t="array" ref="C2324">if(B2324="Tidak Ada",,if(isblank(B2324),,ifna(sumif('On Hand'!A:A,A2324,'On Hand'!D:D)&amp;" "&amp;_xlfn.xlookup(A2324,'All Item Code'!A:A,'All Item Code'!D:D,),0)))</f>
        <v/>
      </c>
      <c r="D2324" s="3" t="str">
        <f>IFERROR(__xludf.DUMMYFUNCTION("if(isblank(B2324),,ifna(textjoin(""; "",,filter('On Hand'!E:E,'On Hand'!A:A=A2324)),ifna(xlookup(A2324,'On Hand'!A:A,'On Hand'!E:E,),)))"),"")</f>
        <v/>
      </c>
    </row>
    <row r="2325">
      <c r="A2325" s="3" t="str">
        <f t="array" ref="A2325">ifna(_xlfn.xlookup(B2325,'All Item Code'!B:B,'All Item Code'!A:A,),)</f>
        <v/>
      </c>
      <c r="B2325" s="3"/>
      <c r="C2325" s="3" t="str">
        <f t="array" ref="C2325">if(B2325="Tidak Ada",,if(isblank(B2325),,ifna(sumif('On Hand'!A:A,A2325,'On Hand'!D:D)&amp;" "&amp;_xlfn.xlookup(A2325,'All Item Code'!A:A,'All Item Code'!D:D,),0)))</f>
        <v/>
      </c>
      <c r="D2325" s="3" t="str">
        <f>IFERROR(__xludf.DUMMYFUNCTION("if(isblank(B2325),,ifna(textjoin(""; "",,filter('On Hand'!E:E,'On Hand'!A:A=A2325)),ifna(xlookup(A2325,'On Hand'!A:A,'On Hand'!E:E,),)))"),"")</f>
        <v/>
      </c>
    </row>
    <row r="2326">
      <c r="A2326" s="3" t="str">
        <f t="array" ref="A2326">ifna(_xlfn.xlookup(B2326,'All Item Code'!B:B,'All Item Code'!A:A,),)</f>
        <v/>
      </c>
      <c r="B2326" s="3"/>
      <c r="C2326" s="3" t="str">
        <f t="array" ref="C2326">if(B2326="Tidak Ada",,if(isblank(B2326),,ifna(sumif('On Hand'!A:A,A2326,'On Hand'!D:D)&amp;" "&amp;_xlfn.xlookup(A2326,'All Item Code'!A:A,'All Item Code'!D:D,),0)))</f>
        <v/>
      </c>
      <c r="D2326" s="3" t="str">
        <f>IFERROR(__xludf.DUMMYFUNCTION("if(isblank(B2326),,ifna(textjoin(""; "",,filter('On Hand'!E:E,'On Hand'!A:A=A2326)),ifna(xlookup(A2326,'On Hand'!A:A,'On Hand'!E:E,),)))"),"")</f>
        <v/>
      </c>
    </row>
    <row r="2327">
      <c r="A2327" s="3" t="str">
        <f t="array" ref="A2327">ifna(_xlfn.xlookup(B2327,'All Item Code'!B:B,'All Item Code'!A:A,),)</f>
        <v/>
      </c>
      <c r="B2327" s="3"/>
      <c r="C2327" s="3" t="str">
        <f t="array" ref="C2327">if(B2327="Tidak Ada",,if(isblank(B2327),,ifna(sumif('On Hand'!A:A,A2327,'On Hand'!D:D)&amp;" "&amp;_xlfn.xlookup(A2327,'All Item Code'!A:A,'All Item Code'!D:D,),0)))</f>
        <v/>
      </c>
      <c r="D2327" s="3" t="str">
        <f>IFERROR(__xludf.DUMMYFUNCTION("if(isblank(B2327),,ifna(textjoin(""; "",,filter('On Hand'!E:E,'On Hand'!A:A=A2327)),ifna(xlookup(A2327,'On Hand'!A:A,'On Hand'!E:E,),)))"),"")</f>
        <v/>
      </c>
    </row>
    <row r="2328">
      <c r="A2328" s="9"/>
      <c r="B2328" s="9"/>
      <c r="C2328" s="9"/>
      <c r="D2328" s="9"/>
    </row>
    <row r="2329">
      <c r="A2329" s="9"/>
      <c r="B2329" s="9"/>
      <c r="C2329" s="9"/>
      <c r="D2329" s="9"/>
    </row>
    <row r="2330">
      <c r="A2330" s="9"/>
      <c r="B2330" s="9"/>
      <c r="C2330" s="9"/>
      <c r="D2330" s="9"/>
    </row>
    <row r="2331">
      <c r="A2331" s="9"/>
      <c r="B2331" s="9"/>
      <c r="C2331" s="9"/>
      <c r="D2331" s="9"/>
    </row>
    <row r="2332">
      <c r="A2332" s="9"/>
      <c r="B2332" s="9"/>
      <c r="C2332" s="9"/>
      <c r="D2332" s="9"/>
    </row>
    <row r="2333">
      <c r="A2333" s="9"/>
      <c r="B2333" s="9"/>
      <c r="C2333" s="9"/>
      <c r="D2333" s="9"/>
    </row>
    <row r="2334">
      <c r="A2334" s="9"/>
      <c r="B2334" s="9"/>
      <c r="C2334" s="9"/>
      <c r="D2334" s="9"/>
    </row>
    <row r="2335">
      <c r="A2335" s="9"/>
      <c r="B2335" s="9"/>
      <c r="C2335" s="9"/>
      <c r="D2335" s="9"/>
    </row>
    <row r="2336">
      <c r="A2336" s="9"/>
      <c r="B2336" s="9"/>
      <c r="C2336" s="9"/>
      <c r="D2336" s="9"/>
    </row>
    <row r="2337">
      <c r="A2337" s="9"/>
      <c r="B2337" s="9"/>
      <c r="C2337" s="9"/>
      <c r="D2337" s="9"/>
    </row>
    <row r="2338">
      <c r="A2338" s="9"/>
      <c r="B2338" s="9"/>
      <c r="C2338" s="9"/>
      <c r="D2338" s="9"/>
    </row>
    <row r="2339">
      <c r="A2339" s="9"/>
      <c r="B2339" s="9"/>
      <c r="C2339" s="9"/>
      <c r="D2339" s="9"/>
    </row>
    <row r="2340">
      <c r="A2340" s="9"/>
      <c r="B2340" s="9"/>
      <c r="C2340" s="9"/>
      <c r="D2340" s="9"/>
    </row>
    <row r="2341">
      <c r="A2341" s="9"/>
      <c r="B2341" s="9"/>
      <c r="C2341" s="9"/>
      <c r="D2341" s="9"/>
    </row>
    <row r="2342">
      <c r="A2342" s="9"/>
      <c r="B2342" s="9"/>
      <c r="C2342" s="9"/>
      <c r="D2342" s="9"/>
    </row>
    <row r="2343">
      <c r="A2343" s="9"/>
      <c r="B2343" s="9"/>
      <c r="C2343" s="9"/>
      <c r="D2343" s="9"/>
    </row>
    <row r="2344">
      <c r="A2344" s="9"/>
      <c r="B2344" s="9"/>
      <c r="C2344" s="9"/>
      <c r="D2344" s="9"/>
    </row>
    <row r="2345">
      <c r="A2345" s="9"/>
      <c r="B2345" s="9"/>
      <c r="C2345" s="9"/>
      <c r="D2345" s="9"/>
    </row>
    <row r="2346">
      <c r="A2346" s="9"/>
      <c r="B2346" s="9"/>
      <c r="C2346" s="9"/>
      <c r="D2346" s="9"/>
    </row>
    <row r="2347">
      <c r="A2347" s="9"/>
      <c r="B2347" s="9"/>
      <c r="C2347" s="9"/>
      <c r="D2347" s="9"/>
    </row>
    <row r="2348">
      <c r="A2348" s="9"/>
      <c r="B2348" s="9"/>
      <c r="C2348" s="9"/>
      <c r="D2348" s="9"/>
    </row>
    <row r="2349">
      <c r="A2349" s="9"/>
      <c r="B2349" s="9"/>
      <c r="C2349" s="9"/>
      <c r="D2349" s="9"/>
    </row>
    <row r="2350">
      <c r="A2350" s="9"/>
      <c r="B2350" s="9"/>
      <c r="C2350" s="9"/>
      <c r="D2350" s="9"/>
    </row>
    <row r="2351">
      <c r="A2351" s="9"/>
      <c r="B2351" s="9"/>
      <c r="C2351" s="9"/>
      <c r="D2351" s="9"/>
    </row>
    <row r="2352">
      <c r="A2352" s="9"/>
      <c r="B2352" s="9"/>
      <c r="C2352" s="9"/>
      <c r="D2352" s="9"/>
    </row>
    <row r="2353">
      <c r="A2353" s="9"/>
      <c r="B2353" s="9"/>
      <c r="C2353" s="9"/>
      <c r="D2353" s="9"/>
    </row>
    <row r="2354">
      <c r="A2354" s="9"/>
      <c r="B2354" s="9"/>
      <c r="C2354" s="9"/>
      <c r="D2354" s="9"/>
    </row>
    <row r="2355">
      <c r="A2355" s="9"/>
      <c r="B2355" s="9"/>
      <c r="C2355" s="9"/>
      <c r="D2355" s="9"/>
    </row>
    <row r="2356">
      <c r="A2356" s="9"/>
      <c r="B2356" s="9"/>
      <c r="C2356" s="9"/>
      <c r="D2356" s="9"/>
    </row>
    <row r="2357">
      <c r="A2357" s="9"/>
      <c r="B2357" s="9"/>
      <c r="C2357" s="9"/>
      <c r="D2357" s="9"/>
    </row>
    <row r="2358">
      <c r="A2358" s="9"/>
      <c r="B2358" s="9"/>
      <c r="C2358" s="9"/>
      <c r="D2358" s="9"/>
    </row>
    <row r="2359">
      <c r="A2359" s="9"/>
      <c r="B2359" s="9"/>
      <c r="C2359" s="9"/>
      <c r="D2359" s="9"/>
    </row>
    <row r="2360">
      <c r="A2360" s="9"/>
      <c r="B2360" s="9"/>
      <c r="C2360" s="9"/>
      <c r="D2360" s="9"/>
    </row>
    <row r="2361">
      <c r="A2361" s="9"/>
      <c r="B2361" s="9"/>
      <c r="C2361" s="9"/>
      <c r="D2361" s="9"/>
    </row>
    <row r="2362">
      <c r="A2362" s="9"/>
      <c r="B2362" s="9"/>
      <c r="C2362" s="9"/>
      <c r="D2362" s="9"/>
    </row>
    <row r="2363">
      <c r="A2363" s="9"/>
      <c r="B2363" s="9"/>
      <c r="C2363" s="9"/>
      <c r="D2363" s="9"/>
    </row>
    <row r="2364">
      <c r="A2364" s="9"/>
      <c r="B2364" s="9"/>
      <c r="C2364" s="9"/>
      <c r="D2364" s="9"/>
    </row>
    <row r="2365">
      <c r="A2365" s="9"/>
      <c r="B2365" s="9"/>
      <c r="C2365" s="9"/>
      <c r="D2365" s="9"/>
    </row>
    <row r="2366">
      <c r="A2366" s="9"/>
      <c r="B2366" s="9"/>
      <c r="C2366" s="9"/>
      <c r="D2366" s="9"/>
    </row>
    <row r="2367">
      <c r="A2367" s="9"/>
      <c r="B2367" s="9"/>
      <c r="C2367" s="9"/>
      <c r="D2367" s="9"/>
    </row>
    <row r="2368">
      <c r="A2368" s="9"/>
      <c r="B2368" s="9"/>
      <c r="C2368" s="9"/>
      <c r="D2368" s="9"/>
    </row>
    <row r="2369">
      <c r="A2369" s="9"/>
      <c r="B2369" s="9"/>
      <c r="C2369" s="9"/>
      <c r="D2369" s="9"/>
    </row>
    <row r="2370">
      <c r="A2370" s="9"/>
      <c r="B2370" s="9"/>
      <c r="C2370" s="9"/>
      <c r="D2370" s="9"/>
    </row>
    <row r="2371">
      <c r="A2371" s="9"/>
      <c r="B2371" s="9"/>
      <c r="C2371" s="9"/>
      <c r="D2371" s="9"/>
    </row>
    <row r="2372">
      <c r="A2372" s="9"/>
      <c r="B2372" s="9"/>
      <c r="C2372" s="9"/>
      <c r="D2372" s="9"/>
    </row>
    <row r="2373">
      <c r="A2373" s="9"/>
      <c r="B2373" s="9"/>
      <c r="C2373" s="9"/>
      <c r="D2373" s="9"/>
    </row>
    <row r="2374">
      <c r="A2374" s="9"/>
      <c r="B2374" s="9"/>
      <c r="C2374" s="9"/>
      <c r="D2374" s="9"/>
    </row>
    <row r="2375">
      <c r="A2375" s="9"/>
      <c r="B2375" s="9"/>
      <c r="C2375" s="9"/>
      <c r="D2375" s="9"/>
    </row>
    <row r="2376">
      <c r="A2376" s="9"/>
      <c r="B2376" s="9"/>
      <c r="C2376" s="9"/>
      <c r="D2376" s="9"/>
    </row>
    <row r="2377">
      <c r="A2377" s="9"/>
      <c r="B2377" s="9"/>
      <c r="C2377" s="9"/>
      <c r="D2377" s="9"/>
    </row>
    <row r="2378">
      <c r="A2378" s="9"/>
      <c r="B2378" s="9"/>
      <c r="C2378" s="9"/>
      <c r="D2378" s="9"/>
    </row>
    <row r="2379">
      <c r="A2379" s="9"/>
      <c r="B2379" s="9"/>
      <c r="C2379" s="9"/>
      <c r="D2379" s="9"/>
    </row>
    <row r="2380">
      <c r="A2380" s="9"/>
      <c r="B2380" s="9"/>
      <c r="C2380" s="9"/>
      <c r="D2380" s="9"/>
    </row>
    <row r="2381">
      <c r="A2381" s="9"/>
      <c r="B2381" s="9"/>
      <c r="C2381" s="9"/>
      <c r="D2381" s="9"/>
    </row>
    <row r="2382">
      <c r="A2382" s="9"/>
      <c r="B2382" s="9"/>
      <c r="C2382" s="9"/>
      <c r="D2382" s="9"/>
    </row>
    <row r="2383">
      <c r="A2383" s="9"/>
      <c r="B2383" s="9"/>
      <c r="C2383" s="9"/>
      <c r="D2383" s="9"/>
    </row>
    <row r="2384">
      <c r="A2384" s="9"/>
      <c r="B2384" s="9"/>
      <c r="C2384" s="9"/>
      <c r="D2384" s="9"/>
    </row>
    <row r="2385">
      <c r="A2385" s="9"/>
      <c r="B2385" s="9"/>
      <c r="C2385" s="9"/>
      <c r="D2385" s="9"/>
    </row>
    <row r="2386">
      <c r="A2386" s="9"/>
      <c r="B2386" s="9"/>
      <c r="C2386" s="9"/>
      <c r="D2386" s="9"/>
    </row>
    <row r="2387">
      <c r="A2387" s="9"/>
      <c r="B2387" s="9"/>
      <c r="C2387" s="9"/>
      <c r="D2387" s="9"/>
    </row>
    <row r="2388">
      <c r="A2388" s="9"/>
      <c r="B2388" s="9"/>
      <c r="C2388" s="9"/>
      <c r="D2388" s="9"/>
    </row>
    <row r="2389">
      <c r="A2389" s="9"/>
      <c r="B2389" s="9"/>
      <c r="C2389" s="9"/>
      <c r="D2389" s="9"/>
    </row>
    <row r="2390">
      <c r="A2390" s="9"/>
      <c r="B2390" s="9"/>
      <c r="C2390" s="9"/>
      <c r="D2390" s="9"/>
    </row>
    <row r="2391">
      <c r="A2391" s="9"/>
      <c r="B2391" s="9"/>
      <c r="C2391" s="9"/>
      <c r="D2391" s="9"/>
    </row>
    <row r="2392">
      <c r="A2392" s="9"/>
      <c r="B2392" s="9"/>
      <c r="C2392" s="9"/>
      <c r="D2392" s="9"/>
    </row>
    <row r="2393">
      <c r="A2393" s="9"/>
      <c r="B2393" s="9"/>
      <c r="C2393" s="9"/>
      <c r="D2393" s="9"/>
    </row>
    <row r="2394">
      <c r="A2394" s="9"/>
      <c r="B2394" s="9"/>
      <c r="C2394" s="9"/>
      <c r="D2394" s="9"/>
    </row>
    <row r="2395">
      <c r="A2395" s="9"/>
      <c r="B2395" s="9"/>
      <c r="C2395" s="9"/>
      <c r="D2395" s="9"/>
    </row>
    <row r="2396">
      <c r="A2396" s="9"/>
      <c r="B2396" s="9"/>
      <c r="C2396" s="9"/>
      <c r="D2396" s="9"/>
    </row>
    <row r="2397">
      <c r="A2397" s="9"/>
      <c r="B2397" s="9"/>
      <c r="C2397" s="9"/>
      <c r="D2397" s="9"/>
    </row>
    <row r="2398">
      <c r="A2398" s="9"/>
      <c r="B2398" s="9"/>
      <c r="C2398" s="9"/>
      <c r="D2398" s="9"/>
    </row>
    <row r="2399">
      <c r="A2399" s="9"/>
      <c r="B2399" s="9"/>
      <c r="C2399" s="9"/>
      <c r="D2399" s="9"/>
    </row>
    <row r="2400">
      <c r="A2400" s="9"/>
      <c r="B2400" s="9"/>
      <c r="C2400" s="9"/>
      <c r="D2400" s="9"/>
    </row>
    <row r="2401">
      <c r="A2401" s="9"/>
      <c r="B2401" s="9"/>
      <c r="C2401" s="9"/>
      <c r="D2401" s="9"/>
    </row>
    <row r="2402">
      <c r="A2402" s="9"/>
      <c r="B2402" s="9"/>
      <c r="C2402" s="9"/>
      <c r="D2402" s="9"/>
    </row>
    <row r="2403">
      <c r="A2403" s="9"/>
      <c r="B2403" s="9"/>
      <c r="C2403" s="9"/>
      <c r="D2403" s="9"/>
    </row>
    <row r="2404">
      <c r="A2404" s="9"/>
      <c r="B2404" s="9"/>
      <c r="C2404" s="9"/>
      <c r="D2404" s="9"/>
    </row>
    <row r="2405">
      <c r="A2405" s="9"/>
      <c r="B2405" s="9"/>
      <c r="C2405" s="9"/>
      <c r="D2405" s="9"/>
    </row>
    <row r="2406">
      <c r="A2406" s="9"/>
      <c r="B2406" s="9"/>
      <c r="C2406" s="9"/>
      <c r="D2406" s="9"/>
    </row>
    <row r="2407">
      <c r="A2407" s="9"/>
      <c r="B2407" s="9"/>
      <c r="C2407" s="9"/>
      <c r="D2407" s="9"/>
    </row>
    <row r="2408">
      <c r="A2408" s="9"/>
      <c r="B2408" s="9"/>
      <c r="C2408" s="9"/>
      <c r="D2408" s="9"/>
    </row>
    <row r="2409">
      <c r="A2409" s="9"/>
      <c r="B2409" s="9"/>
      <c r="C2409" s="9"/>
      <c r="D2409" s="9"/>
    </row>
    <row r="2410">
      <c r="A2410" s="9"/>
      <c r="B2410" s="9"/>
      <c r="C2410" s="9"/>
      <c r="D2410" s="9"/>
    </row>
    <row r="2411">
      <c r="A2411" s="9"/>
      <c r="B2411" s="9"/>
      <c r="C2411" s="9"/>
      <c r="D2411" s="9"/>
    </row>
    <row r="2412">
      <c r="A2412" s="9"/>
      <c r="B2412" s="9"/>
      <c r="C2412" s="9"/>
      <c r="D2412" s="9"/>
    </row>
    <row r="2413">
      <c r="A2413" s="9"/>
      <c r="B2413" s="9"/>
      <c r="C2413" s="9"/>
      <c r="D2413" s="9"/>
    </row>
    <row r="2414">
      <c r="A2414" s="9"/>
      <c r="B2414" s="9"/>
      <c r="C2414" s="9"/>
      <c r="D2414" s="9"/>
    </row>
    <row r="2415">
      <c r="A2415" s="9"/>
      <c r="B2415" s="9"/>
      <c r="C2415" s="9"/>
      <c r="D2415" s="9"/>
    </row>
    <row r="2416">
      <c r="A2416" s="9"/>
      <c r="B2416" s="9"/>
      <c r="C2416" s="9"/>
      <c r="D2416" s="9"/>
    </row>
    <row r="2417">
      <c r="A2417" s="9"/>
      <c r="B2417" s="9"/>
      <c r="C2417" s="9"/>
      <c r="D2417" s="9"/>
    </row>
    <row r="2418">
      <c r="A2418" s="9"/>
      <c r="B2418" s="9"/>
      <c r="C2418" s="9"/>
      <c r="D2418" s="9"/>
    </row>
    <row r="2419">
      <c r="A2419" s="9"/>
      <c r="B2419" s="9"/>
      <c r="C2419" s="9"/>
      <c r="D2419" s="9"/>
    </row>
    <row r="2420">
      <c r="A2420" s="9"/>
      <c r="B2420" s="9"/>
      <c r="C2420" s="9"/>
      <c r="D2420" s="9"/>
    </row>
    <row r="2421">
      <c r="A2421" s="9"/>
      <c r="B2421" s="9"/>
      <c r="C2421" s="9"/>
      <c r="D2421" s="9"/>
    </row>
    <row r="2422">
      <c r="A2422" s="9"/>
      <c r="B2422" s="9"/>
      <c r="C2422" s="9"/>
      <c r="D2422" s="9"/>
    </row>
    <row r="2423">
      <c r="A2423" s="9"/>
      <c r="B2423" s="9"/>
      <c r="C2423" s="9"/>
      <c r="D2423" s="9"/>
    </row>
    <row r="2424">
      <c r="A2424" s="9"/>
      <c r="B2424" s="9"/>
      <c r="C2424" s="9"/>
      <c r="D2424" s="9"/>
    </row>
    <row r="2425">
      <c r="A2425" s="9"/>
      <c r="B2425" s="9"/>
      <c r="C2425" s="9"/>
      <c r="D2425" s="9"/>
    </row>
    <row r="2426">
      <c r="A2426" s="9"/>
      <c r="B2426" s="9"/>
      <c r="C2426" s="9"/>
      <c r="D2426" s="9"/>
    </row>
    <row r="2427">
      <c r="A2427" s="9"/>
      <c r="B2427" s="9"/>
      <c r="C2427" s="9"/>
      <c r="D2427" s="9"/>
    </row>
    <row r="2428">
      <c r="A2428" s="9"/>
      <c r="B2428" s="9"/>
      <c r="C2428" s="9"/>
      <c r="D2428" s="9"/>
    </row>
    <row r="2429">
      <c r="A2429" s="9"/>
      <c r="B2429" s="9"/>
      <c r="C2429" s="9"/>
      <c r="D2429" s="9"/>
    </row>
    <row r="2430">
      <c r="A2430" s="9"/>
      <c r="B2430" s="9"/>
      <c r="C2430" s="9"/>
      <c r="D2430" s="9"/>
    </row>
    <row r="2431">
      <c r="A2431" s="9"/>
      <c r="B2431" s="9"/>
      <c r="C2431" s="9"/>
      <c r="D2431" s="9"/>
    </row>
    <row r="2432">
      <c r="A2432" s="9"/>
      <c r="B2432" s="9"/>
      <c r="C2432" s="9"/>
      <c r="D2432" s="9"/>
    </row>
    <row r="2433">
      <c r="A2433" s="9"/>
      <c r="B2433" s="9"/>
      <c r="C2433" s="9"/>
      <c r="D2433" s="9"/>
    </row>
    <row r="2434">
      <c r="A2434" s="9"/>
      <c r="B2434" s="9"/>
      <c r="C2434" s="9"/>
      <c r="D2434" s="9"/>
    </row>
    <row r="2435">
      <c r="A2435" s="9"/>
      <c r="B2435" s="9"/>
      <c r="C2435" s="9"/>
      <c r="D2435" s="9"/>
    </row>
    <row r="2436">
      <c r="A2436" s="9"/>
      <c r="B2436" s="9"/>
      <c r="C2436" s="9"/>
      <c r="D2436" s="9"/>
    </row>
    <row r="2437">
      <c r="A2437" s="9"/>
      <c r="B2437" s="9"/>
      <c r="C2437" s="9"/>
      <c r="D2437" s="9"/>
    </row>
    <row r="2438">
      <c r="A2438" s="9"/>
      <c r="B2438" s="9"/>
      <c r="C2438" s="9"/>
      <c r="D2438" s="9"/>
    </row>
    <row r="2439">
      <c r="A2439" s="9"/>
      <c r="B2439" s="9"/>
      <c r="C2439" s="9"/>
      <c r="D2439" s="9"/>
    </row>
    <row r="2440">
      <c r="A2440" s="9"/>
      <c r="B2440" s="9"/>
      <c r="C2440" s="9"/>
      <c r="D2440" s="9"/>
    </row>
    <row r="2441">
      <c r="A2441" s="9"/>
      <c r="B2441" s="9"/>
      <c r="C2441" s="9"/>
      <c r="D2441" s="9"/>
    </row>
    <row r="2442">
      <c r="A2442" s="9"/>
      <c r="B2442" s="9"/>
      <c r="C2442" s="9"/>
      <c r="D2442" s="9"/>
    </row>
    <row r="2443">
      <c r="A2443" s="9"/>
      <c r="B2443" s="9"/>
      <c r="C2443" s="9"/>
      <c r="D2443" s="9"/>
    </row>
    <row r="2444">
      <c r="A2444" s="9"/>
      <c r="B2444" s="9"/>
      <c r="C2444" s="9"/>
      <c r="D2444" s="9"/>
    </row>
    <row r="2445">
      <c r="A2445" s="9"/>
      <c r="B2445" s="9"/>
      <c r="C2445" s="9"/>
      <c r="D2445" s="9"/>
    </row>
    <row r="2446">
      <c r="A2446" s="9"/>
      <c r="B2446" s="9"/>
      <c r="C2446" s="9"/>
      <c r="D2446" s="9"/>
    </row>
    <row r="2447">
      <c r="A2447" s="9"/>
      <c r="B2447" s="9"/>
      <c r="C2447" s="9"/>
      <c r="D2447" s="9"/>
    </row>
    <row r="2448">
      <c r="A2448" s="9"/>
      <c r="B2448" s="9"/>
      <c r="C2448" s="9"/>
      <c r="D2448" s="9"/>
    </row>
    <row r="2449">
      <c r="A2449" s="9"/>
      <c r="B2449" s="9"/>
      <c r="C2449" s="9"/>
      <c r="D2449" s="9"/>
    </row>
    <row r="2450">
      <c r="A2450" s="9"/>
      <c r="B2450" s="9"/>
      <c r="C2450" s="9"/>
      <c r="D2450" s="9"/>
    </row>
    <row r="2451">
      <c r="A2451" s="9"/>
      <c r="B2451" s="9"/>
      <c r="C2451" s="9"/>
      <c r="D2451" s="9"/>
    </row>
    <row r="2452">
      <c r="A2452" s="9"/>
      <c r="B2452" s="9"/>
      <c r="C2452" s="9"/>
      <c r="D2452" s="9"/>
    </row>
    <row r="2453">
      <c r="A2453" s="9"/>
      <c r="B2453" s="9"/>
      <c r="C2453" s="9"/>
      <c r="D2453" s="9"/>
    </row>
    <row r="2454">
      <c r="A2454" s="9"/>
      <c r="B2454" s="9"/>
      <c r="C2454" s="9"/>
      <c r="D2454" s="9"/>
    </row>
    <row r="2455">
      <c r="A2455" s="9"/>
      <c r="B2455" s="9"/>
      <c r="C2455" s="9"/>
      <c r="D2455" s="9"/>
    </row>
    <row r="2456">
      <c r="A2456" s="9"/>
      <c r="B2456" s="9"/>
      <c r="C2456" s="9"/>
      <c r="D2456" s="9"/>
    </row>
    <row r="2457">
      <c r="A2457" s="9"/>
      <c r="B2457" s="9"/>
      <c r="C2457" s="9"/>
      <c r="D2457" s="9"/>
    </row>
    <row r="2458">
      <c r="A2458" s="9"/>
      <c r="B2458" s="9"/>
      <c r="C2458" s="9"/>
      <c r="D2458" s="9"/>
    </row>
    <row r="2459">
      <c r="A2459" s="9"/>
      <c r="B2459" s="9"/>
      <c r="C2459" s="9"/>
      <c r="D2459" s="9"/>
    </row>
    <row r="2460">
      <c r="A2460" s="9"/>
      <c r="B2460" s="9"/>
      <c r="C2460" s="9"/>
      <c r="D2460" s="9"/>
    </row>
    <row r="2461">
      <c r="A2461" s="9"/>
      <c r="B2461" s="9"/>
      <c r="C2461" s="9"/>
      <c r="D2461" s="9"/>
    </row>
    <row r="2462">
      <c r="A2462" s="9"/>
      <c r="B2462" s="9"/>
      <c r="C2462" s="9"/>
      <c r="D2462" s="9"/>
    </row>
    <row r="2463">
      <c r="A2463" s="9"/>
      <c r="B2463" s="9"/>
      <c r="C2463" s="9"/>
      <c r="D2463" s="9"/>
    </row>
    <row r="2464">
      <c r="A2464" s="9"/>
      <c r="B2464" s="9"/>
      <c r="C2464" s="9"/>
      <c r="D2464" s="9"/>
    </row>
    <row r="2465">
      <c r="A2465" s="9"/>
      <c r="B2465" s="9"/>
      <c r="C2465" s="9"/>
      <c r="D2465" s="9"/>
    </row>
    <row r="2466">
      <c r="A2466" s="9"/>
      <c r="B2466" s="9"/>
      <c r="C2466" s="9"/>
      <c r="D2466" s="9"/>
    </row>
    <row r="2467">
      <c r="A2467" s="9"/>
      <c r="B2467" s="9"/>
      <c r="C2467" s="9"/>
      <c r="D2467" s="9"/>
    </row>
    <row r="2468">
      <c r="A2468" s="9"/>
      <c r="B2468" s="9"/>
      <c r="C2468" s="9"/>
      <c r="D2468" s="9"/>
    </row>
    <row r="2469">
      <c r="A2469" s="9"/>
      <c r="B2469" s="9"/>
      <c r="C2469" s="9"/>
      <c r="D2469" s="9"/>
    </row>
    <row r="2470">
      <c r="A2470" s="9"/>
      <c r="B2470" s="9"/>
      <c r="C2470" s="9"/>
      <c r="D2470" s="9"/>
    </row>
    <row r="2471">
      <c r="A2471" s="9"/>
      <c r="B2471" s="9"/>
      <c r="C2471" s="9"/>
      <c r="D2471" s="9"/>
    </row>
    <row r="2472">
      <c r="A2472" s="9"/>
      <c r="B2472" s="9"/>
      <c r="C2472" s="9"/>
      <c r="D2472" s="9"/>
    </row>
    <row r="2473">
      <c r="A2473" s="9"/>
      <c r="B2473" s="9"/>
      <c r="C2473" s="9"/>
      <c r="D2473" s="9"/>
    </row>
    <row r="2474">
      <c r="A2474" s="9"/>
      <c r="B2474" s="9"/>
      <c r="C2474" s="9"/>
      <c r="D2474" s="9"/>
    </row>
    <row r="2475">
      <c r="A2475" s="9"/>
      <c r="B2475" s="9"/>
      <c r="C2475" s="9"/>
      <c r="D2475" s="9"/>
    </row>
    <row r="2476">
      <c r="A2476" s="9"/>
      <c r="B2476" s="9"/>
      <c r="C2476" s="9"/>
      <c r="D2476" s="9"/>
    </row>
    <row r="2477">
      <c r="A2477" s="9"/>
      <c r="B2477" s="9"/>
      <c r="C2477" s="9"/>
      <c r="D2477" s="9"/>
    </row>
    <row r="2478">
      <c r="A2478" s="9"/>
      <c r="B2478" s="9"/>
      <c r="C2478" s="9"/>
      <c r="D2478" s="9"/>
    </row>
    <row r="2479">
      <c r="A2479" s="9"/>
      <c r="B2479" s="9"/>
      <c r="C2479" s="9"/>
      <c r="D2479" s="9"/>
    </row>
    <row r="2480">
      <c r="A2480" s="9"/>
      <c r="B2480" s="9"/>
      <c r="C2480" s="9"/>
      <c r="D2480" s="9"/>
    </row>
    <row r="2481">
      <c r="A2481" s="9"/>
      <c r="B2481" s="9"/>
      <c r="C2481" s="9"/>
      <c r="D2481" s="9"/>
    </row>
    <row r="2482">
      <c r="A2482" s="9"/>
      <c r="B2482" s="9"/>
      <c r="C2482" s="9"/>
      <c r="D2482" s="9"/>
    </row>
    <row r="2483">
      <c r="A2483" s="9"/>
      <c r="B2483" s="9"/>
      <c r="C2483" s="9"/>
      <c r="D2483" s="9"/>
    </row>
    <row r="2484">
      <c r="A2484" s="9"/>
      <c r="B2484" s="9"/>
      <c r="C2484" s="9"/>
      <c r="D2484" s="9"/>
    </row>
    <row r="2485">
      <c r="A2485" s="9"/>
      <c r="B2485" s="9"/>
      <c r="C2485" s="9"/>
      <c r="D2485" s="9"/>
    </row>
    <row r="2486">
      <c r="A2486" s="9"/>
      <c r="B2486" s="9"/>
      <c r="C2486" s="9"/>
      <c r="D2486" s="9"/>
    </row>
    <row r="2487">
      <c r="A2487" s="9"/>
      <c r="B2487" s="9"/>
      <c r="C2487" s="9"/>
      <c r="D2487" s="9"/>
    </row>
    <row r="2488">
      <c r="A2488" s="9"/>
      <c r="B2488" s="9"/>
      <c r="C2488" s="9"/>
      <c r="D2488" s="9"/>
    </row>
    <row r="2489">
      <c r="A2489" s="9"/>
      <c r="B2489" s="9"/>
      <c r="C2489" s="9"/>
      <c r="D2489" s="9"/>
    </row>
    <row r="2490">
      <c r="A2490" s="9"/>
      <c r="B2490" s="9"/>
      <c r="C2490" s="9"/>
      <c r="D2490" s="9"/>
    </row>
    <row r="2491">
      <c r="A2491" s="9"/>
      <c r="B2491" s="9"/>
      <c r="C2491" s="9"/>
      <c r="D2491" s="9"/>
    </row>
    <row r="2492">
      <c r="A2492" s="9"/>
      <c r="B2492" s="9"/>
      <c r="C2492" s="9"/>
      <c r="D2492" s="9"/>
    </row>
    <row r="2493">
      <c r="A2493" s="9"/>
      <c r="B2493" s="9"/>
      <c r="C2493" s="9"/>
      <c r="D2493" s="9"/>
    </row>
    <row r="2494">
      <c r="A2494" s="9"/>
      <c r="B2494" s="9"/>
      <c r="C2494" s="9"/>
      <c r="D2494" s="9"/>
    </row>
    <row r="2495">
      <c r="A2495" s="9"/>
      <c r="B2495" s="9"/>
      <c r="C2495" s="9"/>
      <c r="D2495" s="9"/>
    </row>
    <row r="2496">
      <c r="A2496" s="9"/>
      <c r="B2496" s="9"/>
      <c r="C2496" s="9"/>
      <c r="D2496" s="9"/>
    </row>
    <row r="2497">
      <c r="A2497" s="9"/>
      <c r="B2497" s="9"/>
      <c r="C2497" s="9"/>
      <c r="D2497" s="9"/>
    </row>
    <row r="2498">
      <c r="A2498" s="9"/>
      <c r="B2498" s="9"/>
      <c r="C2498" s="9"/>
      <c r="D2498" s="9"/>
    </row>
    <row r="2499">
      <c r="A2499" s="9"/>
      <c r="B2499" s="9"/>
      <c r="C2499" s="9"/>
      <c r="D2499" s="9"/>
    </row>
    <row r="2500">
      <c r="A2500" s="9"/>
      <c r="B2500" s="9"/>
      <c r="C2500" s="9"/>
      <c r="D2500" s="9"/>
    </row>
    <row r="2501">
      <c r="A2501" s="9"/>
      <c r="B2501" s="9"/>
      <c r="C2501" s="9"/>
      <c r="D2501" s="9"/>
    </row>
    <row r="2502">
      <c r="A2502" s="9"/>
      <c r="B2502" s="9"/>
      <c r="C2502" s="9"/>
      <c r="D2502" s="9"/>
    </row>
    <row r="2503">
      <c r="A2503" s="9"/>
      <c r="B2503" s="9"/>
      <c r="C2503" s="9"/>
      <c r="D2503" s="9"/>
    </row>
    <row r="2504">
      <c r="A2504" s="9"/>
      <c r="B2504" s="9"/>
      <c r="C2504" s="9"/>
      <c r="D2504" s="9"/>
    </row>
    <row r="2505">
      <c r="A2505" s="9"/>
      <c r="B2505" s="9"/>
      <c r="C2505" s="9"/>
      <c r="D2505" s="9"/>
    </row>
    <row r="2506">
      <c r="A2506" s="9"/>
      <c r="B2506" s="9"/>
      <c r="C2506" s="9"/>
      <c r="D2506" s="9"/>
    </row>
    <row r="2507">
      <c r="A2507" s="9"/>
      <c r="B2507" s="9"/>
      <c r="C2507" s="9"/>
      <c r="D2507" s="9"/>
    </row>
    <row r="2508">
      <c r="A2508" s="9"/>
      <c r="B2508" s="9"/>
      <c r="C2508" s="9"/>
      <c r="D2508" s="9"/>
    </row>
    <row r="2509">
      <c r="A2509" s="9"/>
      <c r="B2509" s="9"/>
      <c r="C2509" s="9"/>
      <c r="D2509" s="9"/>
    </row>
    <row r="2510">
      <c r="A2510" s="9"/>
      <c r="B2510" s="9"/>
      <c r="C2510" s="9"/>
      <c r="D2510" s="9"/>
    </row>
    <row r="2511">
      <c r="A2511" s="9"/>
      <c r="B2511" s="9"/>
      <c r="C2511" s="9"/>
      <c r="D2511" s="9"/>
    </row>
    <row r="2512">
      <c r="A2512" s="9"/>
      <c r="B2512" s="9"/>
      <c r="C2512" s="9"/>
      <c r="D2512" s="9"/>
    </row>
    <row r="2513">
      <c r="A2513" s="9"/>
      <c r="B2513" s="9"/>
      <c r="C2513" s="9"/>
      <c r="D2513" s="9"/>
    </row>
    <row r="2514">
      <c r="A2514" s="9"/>
      <c r="B2514" s="9"/>
      <c r="C2514" s="9"/>
      <c r="D2514" s="9"/>
    </row>
    <row r="2515">
      <c r="A2515" s="9"/>
      <c r="B2515" s="9"/>
      <c r="C2515" s="9"/>
      <c r="D2515" s="9"/>
    </row>
    <row r="2516">
      <c r="A2516" s="9"/>
      <c r="B2516" s="9"/>
      <c r="C2516" s="9"/>
      <c r="D2516" s="9"/>
    </row>
    <row r="2517">
      <c r="A2517" s="9"/>
      <c r="B2517" s="9"/>
      <c r="C2517" s="9"/>
      <c r="D2517" s="9"/>
    </row>
    <row r="2518">
      <c r="A2518" s="9"/>
      <c r="B2518" s="9"/>
      <c r="C2518" s="9"/>
      <c r="D2518" s="9"/>
    </row>
    <row r="2519">
      <c r="A2519" s="9"/>
      <c r="B2519" s="9"/>
      <c r="C2519" s="9"/>
      <c r="D2519" s="9"/>
    </row>
    <row r="2520">
      <c r="A2520" s="9"/>
      <c r="B2520" s="9"/>
      <c r="C2520" s="9"/>
      <c r="D2520" s="9"/>
    </row>
    <row r="2521">
      <c r="A2521" s="9"/>
      <c r="B2521" s="9"/>
      <c r="C2521" s="9"/>
      <c r="D2521" s="9"/>
    </row>
    <row r="2522">
      <c r="A2522" s="9"/>
      <c r="B2522" s="9"/>
      <c r="C2522" s="9"/>
      <c r="D2522" s="9"/>
    </row>
    <row r="2523">
      <c r="A2523" s="9"/>
      <c r="B2523" s="9"/>
      <c r="C2523" s="9"/>
      <c r="D2523" s="9"/>
    </row>
    <row r="2524">
      <c r="A2524" s="9"/>
      <c r="B2524" s="9"/>
      <c r="C2524" s="9"/>
      <c r="D2524" s="9"/>
    </row>
    <row r="2525">
      <c r="A2525" s="9"/>
      <c r="B2525" s="9"/>
      <c r="C2525" s="9"/>
      <c r="D2525" s="9"/>
    </row>
    <row r="2526">
      <c r="A2526" s="9"/>
      <c r="B2526" s="9"/>
      <c r="C2526" s="9"/>
      <c r="D2526" s="9"/>
    </row>
    <row r="2527">
      <c r="A2527" s="9"/>
      <c r="B2527" s="9"/>
      <c r="C2527" s="9"/>
      <c r="D2527" s="9"/>
    </row>
    <row r="2528">
      <c r="A2528" s="9"/>
      <c r="B2528" s="9"/>
      <c r="C2528" s="9"/>
      <c r="D2528" s="9"/>
    </row>
    <row r="2529">
      <c r="A2529" s="9"/>
      <c r="B2529" s="9"/>
      <c r="C2529" s="9"/>
      <c r="D2529" s="9"/>
    </row>
    <row r="2530">
      <c r="A2530" s="9"/>
      <c r="B2530" s="9"/>
      <c r="C2530" s="9"/>
      <c r="D2530" s="9"/>
    </row>
    <row r="2531">
      <c r="A2531" s="9"/>
      <c r="B2531" s="9"/>
      <c r="C2531" s="9"/>
      <c r="D2531" s="9"/>
    </row>
    <row r="2532">
      <c r="A2532" s="9"/>
      <c r="B2532" s="9"/>
      <c r="C2532" s="9"/>
      <c r="D2532" s="9"/>
    </row>
    <row r="2533">
      <c r="A2533" s="9"/>
      <c r="B2533" s="9"/>
      <c r="C2533" s="9"/>
      <c r="D2533" s="9"/>
    </row>
    <row r="2534">
      <c r="A2534" s="9"/>
      <c r="B2534" s="9"/>
      <c r="C2534" s="9"/>
      <c r="D2534" s="9"/>
    </row>
    <row r="2535">
      <c r="A2535" s="9"/>
      <c r="B2535" s="9"/>
      <c r="C2535" s="9"/>
      <c r="D2535" s="9"/>
    </row>
    <row r="2536">
      <c r="A2536" s="9"/>
      <c r="B2536" s="9"/>
      <c r="C2536" s="9"/>
      <c r="D2536" s="9"/>
    </row>
    <row r="2537">
      <c r="A2537" s="9"/>
      <c r="B2537" s="9"/>
      <c r="C2537" s="9"/>
      <c r="D2537" s="9"/>
    </row>
    <row r="2538">
      <c r="A2538" s="9"/>
      <c r="B2538" s="9"/>
      <c r="C2538" s="9"/>
      <c r="D2538" s="9"/>
    </row>
    <row r="2539">
      <c r="A2539" s="9"/>
      <c r="B2539" s="9"/>
      <c r="C2539" s="9"/>
      <c r="D2539" s="9"/>
    </row>
    <row r="2540">
      <c r="A2540" s="9"/>
      <c r="B2540" s="9"/>
      <c r="C2540" s="9"/>
      <c r="D2540" s="9"/>
    </row>
    <row r="2541">
      <c r="A2541" s="9"/>
      <c r="B2541" s="9"/>
      <c r="C2541" s="9"/>
      <c r="D2541" s="9"/>
    </row>
    <row r="2542">
      <c r="A2542" s="9"/>
      <c r="B2542" s="9"/>
      <c r="C2542" s="9"/>
      <c r="D2542" s="9"/>
    </row>
    <row r="2543">
      <c r="A2543" s="9"/>
      <c r="B2543" s="9"/>
      <c r="C2543" s="9"/>
      <c r="D2543" s="9"/>
    </row>
    <row r="2544">
      <c r="A2544" s="9"/>
      <c r="B2544" s="9"/>
      <c r="C2544" s="9"/>
      <c r="D2544" s="9"/>
    </row>
    <row r="2545">
      <c r="A2545" s="9"/>
      <c r="B2545" s="9"/>
      <c r="C2545" s="9"/>
      <c r="D2545" s="9"/>
    </row>
    <row r="2546">
      <c r="A2546" s="9"/>
      <c r="B2546" s="9"/>
      <c r="C2546" s="9"/>
      <c r="D2546" s="9"/>
    </row>
    <row r="2547">
      <c r="A2547" s="9"/>
      <c r="B2547" s="9"/>
      <c r="C2547" s="9"/>
      <c r="D2547" s="9"/>
    </row>
    <row r="2548">
      <c r="A2548" s="9"/>
      <c r="B2548" s="9"/>
      <c r="C2548" s="9"/>
      <c r="D2548" s="9"/>
    </row>
    <row r="2549">
      <c r="A2549" s="9"/>
      <c r="B2549" s="9"/>
      <c r="C2549" s="9"/>
      <c r="D2549" s="9"/>
    </row>
    <row r="2550">
      <c r="A2550" s="9"/>
      <c r="B2550" s="9"/>
      <c r="C2550" s="9"/>
      <c r="D2550" s="9"/>
    </row>
    <row r="2551">
      <c r="A2551" s="9"/>
      <c r="B2551" s="9"/>
      <c r="C2551" s="9"/>
      <c r="D2551" s="9"/>
    </row>
    <row r="2552">
      <c r="A2552" s="9"/>
      <c r="B2552" s="9"/>
      <c r="C2552" s="9"/>
      <c r="D2552" s="9"/>
    </row>
    <row r="2553">
      <c r="A2553" s="9"/>
      <c r="B2553" s="9"/>
      <c r="C2553" s="9"/>
      <c r="D2553" s="9"/>
    </row>
    <row r="2554">
      <c r="A2554" s="9"/>
      <c r="B2554" s="9"/>
      <c r="C2554" s="9"/>
      <c r="D2554" s="9"/>
    </row>
    <row r="2555">
      <c r="A2555" s="9"/>
      <c r="B2555" s="9"/>
      <c r="C2555" s="9"/>
      <c r="D2555" s="9"/>
    </row>
    <row r="2556">
      <c r="A2556" s="9"/>
      <c r="B2556" s="9"/>
      <c r="C2556" s="9"/>
      <c r="D2556" s="9"/>
    </row>
    <row r="2557">
      <c r="A2557" s="9"/>
      <c r="B2557" s="9"/>
      <c r="C2557" s="9"/>
      <c r="D2557" s="9"/>
    </row>
    <row r="2558">
      <c r="A2558" s="9"/>
      <c r="B2558" s="9"/>
      <c r="C2558" s="9"/>
      <c r="D2558" s="9"/>
    </row>
    <row r="2559">
      <c r="A2559" s="9"/>
      <c r="B2559" s="9"/>
      <c r="C2559" s="9"/>
      <c r="D2559" s="9"/>
    </row>
    <row r="2560">
      <c r="A2560" s="9"/>
      <c r="B2560" s="9"/>
      <c r="C2560" s="9"/>
      <c r="D2560" s="9"/>
    </row>
    <row r="2561">
      <c r="A2561" s="9"/>
      <c r="B2561" s="9"/>
      <c r="C2561" s="9"/>
      <c r="D2561" s="9"/>
    </row>
    <row r="2562">
      <c r="A2562" s="9"/>
      <c r="B2562" s="9"/>
      <c r="C2562" s="9"/>
      <c r="D2562" s="9"/>
    </row>
    <row r="2563">
      <c r="A2563" s="9"/>
      <c r="B2563" s="9"/>
      <c r="C2563" s="9"/>
      <c r="D2563" s="9"/>
    </row>
    <row r="2564">
      <c r="A2564" s="9"/>
      <c r="B2564" s="9"/>
      <c r="C2564" s="9"/>
      <c r="D2564" s="9"/>
    </row>
    <row r="2565">
      <c r="A2565" s="9"/>
      <c r="B2565" s="9"/>
      <c r="C2565" s="9"/>
      <c r="D2565" s="9"/>
    </row>
    <row r="2566">
      <c r="A2566" s="9"/>
      <c r="B2566" s="9"/>
      <c r="C2566" s="9"/>
      <c r="D2566" s="9"/>
    </row>
    <row r="2567">
      <c r="A2567" s="9"/>
      <c r="B2567" s="9"/>
      <c r="C2567" s="9"/>
      <c r="D2567" s="9"/>
    </row>
    <row r="2568">
      <c r="A2568" s="9"/>
      <c r="B2568" s="9"/>
      <c r="C2568" s="9"/>
      <c r="D2568" s="9"/>
    </row>
    <row r="2569">
      <c r="A2569" s="9"/>
      <c r="B2569" s="9"/>
      <c r="C2569" s="9"/>
      <c r="D2569" s="9"/>
    </row>
    <row r="2570">
      <c r="A2570" s="9"/>
      <c r="B2570" s="9"/>
      <c r="C2570" s="9"/>
      <c r="D2570" s="9"/>
    </row>
    <row r="2571">
      <c r="A2571" s="9"/>
      <c r="B2571" s="9"/>
      <c r="C2571" s="9"/>
      <c r="D2571" s="9"/>
    </row>
    <row r="2572">
      <c r="A2572" s="9"/>
      <c r="B2572" s="9"/>
      <c r="C2572" s="9"/>
      <c r="D2572" s="9"/>
    </row>
    <row r="2573">
      <c r="A2573" s="9"/>
      <c r="B2573" s="9"/>
      <c r="C2573" s="9"/>
      <c r="D2573" s="9"/>
    </row>
    <row r="2574">
      <c r="A2574" s="9"/>
      <c r="B2574" s="9"/>
      <c r="C2574" s="9"/>
      <c r="D2574" s="9"/>
    </row>
    <row r="2575">
      <c r="A2575" s="9"/>
      <c r="B2575" s="9"/>
      <c r="C2575" s="9"/>
      <c r="D2575" s="9"/>
    </row>
    <row r="2576">
      <c r="A2576" s="9"/>
      <c r="B2576" s="9"/>
      <c r="C2576" s="9"/>
      <c r="D2576" s="9"/>
    </row>
    <row r="2577">
      <c r="A2577" s="9"/>
      <c r="B2577" s="9"/>
      <c r="C2577" s="9"/>
      <c r="D2577" s="9"/>
    </row>
    <row r="2578">
      <c r="A2578" s="9"/>
      <c r="B2578" s="9"/>
      <c r="C2578" s="9"/>
      <c r="D2578" s="9"/>
    </row>
    <row r="2579">
      <c r="A2579" s="9"/>
      <c r="B2579" s="9"/>
      <c r="C2579" s="9"/>
      <c r="D2579" s="9"/>
    </row>
    <row r="2580">
      <c r="A2580" s="9"/>
      <c r="B2580" s="9"/>
      <c r="C2580" s="9"/>
      <c r="D2580" s="9"/>
    </row>
    <row r="2581">
      <c r="A2581" s="9"/>
      <c r="B2581" s="9"/>
      <c r="C2581" s="9"/>
      <c r="D2581" s="9"/>
    </row>
    <row r="2582">
      <c r="A2582" s="9"/>
      <c r="B2582" s="9"/>
      <c r="C2582" s="9"/>
      <c r="D2582" s="9"/>
    </row>
    <row r="2583">
      <c r="A2583" s="9"/>
      <c r="B2583" s="9"/>
      <c r="C2583" s="9"/>
      <c r="D2583" s="9"/>
    </row>
    <row r="2584">
      <c r="A2584" s="9"/>
      <c r="B2584" s="9"/>
      <c r="C2584" s="9"/>
      <c r="D2584" s="9"/>
    </row>
    <row r="2585">
      <c r="A2585" s="9"/>
      <c r="B2585" s="9"/>
      <c r="C2585" s="9"/>
      <c r="D2585" s="9"/>
    </row>
    <row r="2586">
      <c r="A2586" s="9"/>
      <c r="B2586" s="9"/>
      <c r="C2586" s="9"/>
      <c r="D2586" s="9"/>
    </row>
    <row r="2587">
      <c r="A2587" s="9"/>
      <c r="B2587" s="9"/>
      <c r="C2587" s="9"/>
      <c r="D2587" s="9"/>
    </row>
    <row r="2588">
      <c r="A2588" s="9"/>
      <c r="B2588" s="9"/>
      <c r="C2588" s="9"/>
      <c r="D2588" s="9"/>
    </row>
    <row r="2589">
      <c r="A2589" s="9"/>
      <c r="B2589" s="9"/>
      <c r="C2589" s="9"/>
      <c r="D2589" s="9"/>
    </row>
    <row r="2590">
      <c r="A2590" s="9"/>
      <c r="B2590" s="9"/>
      <c r="C2590" s="9"/>
      <c r="D2590" s="9"/>
    </row>
    <row r="2591">
      <c r="A2591" s="9"/>
      <c r="B2591" s="9"/>
      <c r="C2591" s="9"/>
      <c r="D2591" s="9"/>
    </row>
    <row r="2592">
      <c r="A2592" s="9"/>
      <c r="B2592" s="9"/>
      <c r="C2592" s="9"/>
      <c r="D2592" s="9"/>
    </row>
    <row r="2593">
      <c r="A2593" s="9"/>
      <c r="B2593" s="9"/>
      <c r="C2593" s="9"/>
      <c r="D2593" s="9"/>
    </row>
    <row r="2594">
      <c r="A2594" s="9"/>
      <c r="B2594" s="9"/>
      <c r="C2594" s="9"/>
      <c r="D2594" s="9"/>
    </row>
    <row r="2595">
      <c r="A2595" s="9"/>
      <c r="B2595" s="9"/>
      <c r="C2595" s="9"/>
      <c r="D2595" s="9"/>
    </row>
    <row r="2596">
      <c r="A2596" s="9"/>
      <c r="B2596" s="9"/>
      <c r="C2596" s="9"/>
      <c r="D2596" s="9"/>
    </row>
    <row r="2597">
      <c r="A2597" s="9"/>
      <c r="B2597" s="9"/>
      <c r="C2597" s="9"/>
      <c r="D2597" s="9"/>
    </row>
    <row r="2598">
      <c r="A2598" s="9"/>
      <c r="B2598" s="9"/>
      <c r="C2598" s="9"/>
      <c r="D2598" s="9"/>
    </row>
    <row r="2599">
      <c r="A2599" s="9"/>
      <c r="B2599" s="9"/>
      <c r="C2599" s="9"/>
      <c r="D2599" s="9"/>
    </row>
    <row r="2600">
      <c r="A2600" s="9"/>
      <c r="B2600" s="9"/>
      <c r="C2600" s="9"/>
      <c r="D2600" s="9"/>
    </row>
    <row r="2601">
      <c r="A2601" s="9"/>
      <c r="B2601" s="9"/>
      <c r="C2601" s="9"/>
      <c r="D2601" s="9"/>
    </row>
    <row r="2602">
      <c r="A2602" s="9"/>
      <c r="B2602" s="9"/>
      <c r="C2602" s="9"/>
      <c r="D2602" s="9"/>
    </row>
    <row r="2603">
      <c r="A2603" s="9"/>
      <c r="B2603" s="9"/>
      <c r="C2603" s="9"/>
      <c r="D2603" s="9"/>
    </row>
    <row r="2604">
      <c r="A2604" s="9"/>
      <c r="B2604" s="9"/>
      <c r="C2604" s="9"/>
      <c r="D2604" s="9"/>
    </row>
    <row r="2605">
      <c r="A2605" s="9"/>
      <c r="B2605" s="9"/>
      <c r="C2605" s="9"/>
      <c r="D2605" s="9"/>
    </row>
    <row r="2606">
      <c r="A2606" s="9"/>
      <c r="B2606" s="9"/>
      <c r="C2606" s="9"/>
      <c r="D2606" s="9"/>
    </row>
    <row r="2607">
      <c r="A2607" s="9"/>
      <c r="B2607" s="9"/>
      <c r="C2607" s="9"/>
      <c r="D2607" s="9"/>
    </row>
    <row r="2608">
      <c r="A2608" s="9"/>
      <c r="B2608" s="9"/>
      <c r="C2608" s="9"/>
      <c r="D2608" s="9"/>
    </row>
    <row r="2609">
      <c r="A2609" s="9"/>
      <c r="B2609" s="9"/>
      <c r="C2609" s="9"/>
      <c r="D2609" s="9"/>
    </row>
    <row r="2610">
      <c r="A2610" s="9"/>
      <c r="B2610" s="9"/>
      <c r="C2610" s="9"/>
      <c r="D2610" s="9"/>
    </row>
    <row r="2611">
      <c r="A2611" s="9"/>
      <c r="B2611" s="9"/>
      <c r="C2611" s="9"/>
      <c r="D2611" s="9"/>
    </row>
    <row r="2612">
      <c r="A2612" s="9"/>
      <c r="B2612" s="9"/>
      <c r="C2612" s="9"/>
      <c r="D2612" s="9"/>
    </row>
    <row r="2613">
      <c r="A2613" s="9"/>
      <c r="B2613" s="9"/>
      <c r="C2613" s="9"/>
      <c r="D2613" s="9"/>
    </row>
    <row r="2614">
      <c r="A2614" s="9"/>
      <c r="B2614" s="9"/>
      <c r="C2614" s="9"/>
      <c r="D2614" s="9"/>
    </row>
    <row r="2615">
      <c r="A2615" s="9"/>
      <c r="B2615" s="9"/>
      <c r="C2615" s="9"/>
      <c r="D2615" s="9"/>
    </row>
    <row r="2616">
      <c r="A2616" s="9"/>
      <c r="B2616" s="9"/>
      <c r="C2616" s="9"/>
      <c r="D2616" s="9"/>
    </row>
    <row r="2617">
      <c r="A2617" s="9"/>
      <c r="B2617" s="9"/>
      <c r="C2617" s="9"/>
      <c r="D2617" s="9"/>
    </row>
    <row r="2618">
      <c r="A2618" s="9"/>
      <c r="B2618" s="9"/>
      <c r="C2618" s="9"/>
      <c r="D2618" s="9"/>
    </row>
    <row r="2619">
      <c r="A2619" s="9"/>
      <c r="B2619" s="9"/>
      <c r="C2619" s="9"/>
      <c r="D2619" s="9"/>
    </row>
    <row r="2620">
      <c r="A2620" s="9"/>
      <c r="B2620" s="9"/>
      <c r="C2620" s="9"/>
      <c r="D2620" s="9"/>
    </row>
    <row r="2621">
      <c r="A2621" s="9"/>
      <c r="B2621" s="9"/>
      <c r="C2621" s="9"/>
      <c r="D2621" s="9"/>
    </row>
    <row r="2622">
      <c r="A2622" s="9"/>
      <c r="B2622" s="9"/>
      <c r="C2622" s="9"/>
      <c r="D2622" s="9"/>
    </row>
    <row r="2623">
      <c r="A2623" s="9"/>
      <c r="B2623" s="9"/>
      <c r="C2623" s="9"/>
      <c r="D2623" s="9"/>
    </row>
  </sheetData>
  <mergeCells count="1">
    <mergeCell ref="F6:K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IFERROR(__xludf.DUMMYFUNCTION("importrange(""1ZTUXhF0dnt45v0vHwLa1Fr56SKO64eHyOYXGurqHipk"",""Sheet1!A2:C"")"),"J-10205-02")</f>
        <v>J-10205-02</v>
      </c>
      <c r="B1" s="2" t="str">
        <f>IFERROR(__xludf.DUMMYFUNCTION("""COMPUTED_VALUE"""),"Chlorine Test; Merck; c/n 1.14978.0001; 600 tests/pack")</f>
        <v>Chlorine Test; Merck; c/n 1.14978.0001; 600 tests/pack</v>
      </c>
      <c r="C1" s="2" t="str">
        <f>IFERROR(__xludf.DUMMYFUNCTION("""COMPUTED_VALUE"""),"J-10205-02")</f>
        <v>J-10205-02</v>
      </c>
      <c r="D1" s="2" t="str">
        <f>if(isna(vlookup(C1,'On Hand'!A:C,3,0)),"",vlookup(C1,'On Hand'!A:C,3,0))</f>
        <v/>
      </c>
    </row>
    <row r="2">
      <c r="A2" s="2" t="str">
        <f>IFERROR(__xludf.DUMMYFUNCTION("""COMPUTED_VALUE"""),"O-11109-00")</f>
        <v>O-11109-00</v>
      </c>
      <c r="B2" s="2" t="str">
        <f>IFERROR(__xludf.DUMMYFUNCTION("""COMPUTED_VALUE"""),"Bearing 6002-2RSH")</f>
        <v>Bearing 6002-2RSH</v>
      </c>
      <c r="C2" s="2" t="str">
        <f>IFERROR(__xludf.DUMMYFUNCTION("""COMPUTED_VALUE"""),"O-11109-00")</f>
        <v>O-11109-00</v>
      </c>
      <c r="D2" s="2" t="str">
        <f>if(isna(vlookup(C2,'On Hand'!A:C,3,0)),"",vlookup(C2,'On Hand'!A:C,3,0))</f>
        <v>pc</v>
      </c>
    </row>
    <row r="3">
      <c r="A3" s="2" t="str">
        <f>IFERROR(__xludf.DUMMYFUNCTION("""COMPUTED_VALUE"""),"O-11145-00")</f>
        <v>O-11145-00</v>
      </c>
      <c r="B3" s="2" t="str">
        <f>IFERROR(__xludf.DUMMYFUNCTION("""COMPUTED_VALUE"""),"Bearing 6201 2Z")</f>
        <v>Bearing 6201 2Z</v>
      </c>
      <c r="C3" s="2" t="str">
        <f>IFERROR(__xludf.DUMMYFUNCTION("""COMPUTED_VALUE"""),"O-11145-00")</f>
        <v>O-11145-00</v>
      </c>
      <c r="D3" s="2" t="str">
        <f>if(isna(vlookup(C3,'On Hand'!A:C,3,0)),"",vlookup(C3,'On Hand'!A:C,3,0))</f>
        <v>pc</v>
      </c>
    </row>
    <row r="4">
      <c r="A4" s="2" t="str">
        <f>IFERROR(__xludf.DUMMYFUNCTION("""COMPUTED_VALUE"""),"O-11149-00")</f>
        <v>O-11149-00</v>
      </c>
      <c r="B4" s="2" t="str">
        <f>IFERROR(__xludf.DUMMYFUNCTION("""COMPUTED_VALUE"""),"Bearing 6202 ZZ - P/N : -  pc")</f>
        <v>Bearing 6202 ZZ - P/N : -  pc</v>
      </c>
      <c r="C4" s="2" t="str">
        <f>IFERROR(__xludf.DUMMYFUNCTION("""COMPUTED_VALUE"""),"O-11149-00")</f>
        <v>O-11149-00</v>
      </c>
      <c r="D4" s="2" t="str">
        <f>if(isna(vlookup(C4,'On Hand'!A:C,3,0)),"",vlookup(C4,'On Hand'!A:C,3,0))</f>
        <v>pc</v>
      </c>
    </row>
    <row r="5">
      <c r="A5" s="2" t="str">
        <f>IFERROR(__xludf.DUMMYFUNCTION("""COMPUTED_VALUE"""),"O-11154-00")</f>
        <v>O-11154-00</v>
      </c>
      <c r="B5" s="2" t="str">
        <f>IFERROR(__xludf.DUMMYFUNCTION("""COMPUTED_VALUE"""),"Bearing 6204 2Z SKF")</f>
        <v>Bearing 6204 2Z SKF</v>
      </c>
      <c r="C5" s="2" t="str">
        <f>IFERROR(__xludf.DUMMYFUNCTION("""COMPUTED_VALUE"""),"O-11154-00")</f>
        <v>O-11154-00</v>
      </c>
      <c r="D5" s="2" t="str">
        <f>if(isna(vlookup(C5,'On Hand'!A:C,3,0)),"",vlookup(C5,'On Hand'!A:C,3,0))</f>
        <v>pc</v>
      </c>
    </row>
    <row r="6">
      <c r="A6" s="2" t="str">
        <f>IFERROR(__xludf.DUMMYFUNCTION("""COMPUTED_VALUE"""),"O-11162-00")</f>
        <v>O-11162-00</v>
      </c>
      <c r="B6" s="2" t="str">
        <f>IFERROR(__xludf.DUMMYFUNCTION("""COMPUTED_VALUE"""),"Bearing 6205 ZZ")</f>
        <v>Bearing 6205 ZZ</v>
      </c>
      <c r="C6" s="2" t="str">
        <f>IFERROR(__xludf.DUMMYFUNCTION("""COMPUTED_VALUE"""),"O-11162-00")</f>
        <v>O-11162-00</v>
      </c>
      <c r="D6" s="2" t="str">
        <f>if(isna(vlookup(C6,'On Hand'!A:C,3,0)),"",vlookup(C6,'On Hand'!A:C,3,0))</f>
        <v>pc</v>
      </c>
    </row>
    <row r="7">
      <c r="A7" s="2" t="str">
        <f>IFERROR(__xludf.DUMMYFUNCTION("""COMPUTED_VALUE"""),"O-11166-00")</f>
        <v>O-11166-00</v>
      </c>
      <c r="B7" s="2" t="str">
        <f>IFERROR(__xludf.DUMMYFUNCTION("""COMPUTED_VALUE"""),"Bearing 6206 ZZ")</f>
        <v>Bearing 6206 ZZ</v>
      </c>
      <c r="C7" s="2" t="str">
        <f>IFERROR(__xludf.DUMMYFUNCTION("""COMPUTED_VALUE"""),"O-11166-00")</f>
        <v>O-11166-00</v>
      </c>
      <c r="D7" s="2" t="str">
        <f>if(isna(vlookup(C7,'On Hand'!A:C,3,0)),"",vlookup(C7,'On Hand'!A:C,3,0))</f>
        <v>pc</v>
      </c>
    </row>
    <row r="8">
      <c r="A8" s="2" t="str">
        <f>IFERROR(__xludf.DUMMYFUNCTION("""COMPUTED_VALUE"""),"O-11169-00")</f>
        <v>O-11169-00</v>
      </c>
      <c r="B8" s="2" t="str">
        <f>IFERROR(__xludf.DUMMYFUNCTION("""COMPUTED_VALUE"""),"Bearing 6207ZZ")</f>
        <v>Bearing 6207ZZ</v>
      </c>
      <c r="C8" s="2" t="str">
        <f>IFERROR(__xludf.DUMMYFUNCTION("""COMPUTED_VALUE"""),"O-11169-00")</f>
        <v>O-11169-00</v>
      </c>
      <c r="D8" s="2" t="str">
        <f>if(isna(vlookup(C8,'On Hand'!A:C,3,0)),"",vlookup(C8,'On Hand'!A:C,3,0))</f>
        <v>pc</v>
      </c>
    </row>
    <row r="9">
      <c r="A9" s="2" t="str">
        <f>IFERROR(__xludf.DUMMYFUNCTION("""COMPUTED_VALUE"""),"O-11173-00")</f>
        <v>O-11173-00</v>
      </c>
      <c r="B9" s="2" t="str">
        <f>IFERROR(__xludf.DUMMYFUNCTION("""COMPUTED_VALUE"""),"Bearing 6208 SKF")</f>
        <v>Bearing 6208 SKF</v>
      </c>
      <c r="C9" s="2" t="str">
        <f>IFERROR(__xludf.DUMMYFUNCTION("""COMPUTED_VALUE"""),"O-11173-00")</f>
        <v>O-11173-00</v>
      </c>
      <c r="D9" s="2" t="str">
        <f>if(isna(vlookup(C9,'On Hand'!A:C,3,0)),"",vlookup(C9,'On Hand'!A:C,3,0))</f>
        <v>pc</v>
      </c>
    </row>
    <row r="10">
      <c r="A10" s="2" t="str">
        <f>IFERROR(__xludf.DUMMYFUNCTION("""COMPUTED_VALUE"""),"O-11181-00")</f>
        <v>O-11181-00</v>
      </c>
      <c r="B10" s="2" t="str">
        <f>IFERROR(__xludf.DUMMYFUNCTION("""COMPUTED_VALUE"""),"Bearing 626-2Z")</f>
        <v>Bearing 626-2Z</v>
      </c>
      <c r="C10" s="2" t="str">
        <f>IFERROR(__xludf.DUMMYFUNCTION("""COMPUTED_VALUE"""),"O-11181-00")</f>
        <v>O-11181-00</v>
      </c>
      <c r="D10" s="2" t="str">
        <f>if(isna(vlookup(C10,'On Hand'!A:C,3,0)),"",vlookup(C10,'On Hand'!A:C,3,0))</f>
        <v>pc</v>
      </c>
    </row>
    <row r="11">
      <c r="A11" s="2" t="str">
        <f>IFERROR(__xludf.DUMMYFUNCTION("""COMPUTED_VALUE"""),"O-11287-00")</f>
        <v>O-11287-00</v>
      </c>
      <c r="B11" s="2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1" s="2" t="str">
        <f>IFERROR(__xludf.DUMMYFUNCTION("""COMPUTED_VALUE"""),"O-11287-00")</f>
        <v>O-11287-00</v>
      </c>
      <c r="D11" s="2" t="str">
        <f>if(isna(vlookup(C11,'On Hand'!A:C,3,0)),"",vlookup(C11,'On Hand'!A:C,3,0))</f>
        <v/>
      </c>
    </row>
    <row r="12">
      <c r="A12" s="2" t="str">
        <f>IFERROR(__xludf.DUMMYFUNCTION("""COMPUTED_VALUE"""),"O-11356-00")</f>
        <v>O-11356-00</v>
      </c>
      <c r="B12" s="2" t="str">
        <f>IFERROR(__xludf.DUMMYFUNCTION("""COMPUTED_VALUE"""),"Lubricant ? Food grade oil Viscolab 150 - Pc=Liter")</f>
        <v>Lubricant ? Food grade oil Viscolab 150 - Pc=Liter</v>
      </c>
      <c r="C12" s="2" t="str">
        <f>IFERROR(__xludf.DUMMYFUNCTION("""COMPUTED_VALUE"""),"O-11356-00")</f>
        <v>O-11356-00</v>
      </c>
      <c r="D12" s="2" t="str">
        <f>if(isna(vlookup(C12,'On Hand'!A:C,3,0)),"",vlookup(C12,'On Hand'!A:C,3,0))</f>
        <v/>
      </c>
    </row>
    <row r="13">
      <c r="A13" s="2" t="str">
        <f>IFERROR(__xludf.DUMMYFUNCTION("""COMPUTED_VALUE"""),"O-11367-00")</f>
        <v>O-11367-00</v>
      </c>
      <c r="B13" s="2" t="str">
        <f>IFERROR(__xludf.DUMMYFUNCTION("""COMPUTED_VALUE"""),"Lubricant ? Oli ISO VG 320 MULTIPRIMA INDOSEJAHTERA, PT P/N : -  pc")</f>
        <v>Lubricant ? Oli ISO VG 320 MULTIPRIMA INDOSEJAHTERA, PT P/N : -  pc</v>
      </c>
      <c r="C13" s="2" t="str">
        <f>IFERROR(__xludf.DUMMYFUNCTION("""COMPUTED_VALUE"""),"O-11367-00")</f>
        <v>O-11367-00</v>
      </c>
      <c r="D13" s="2" t="str">
        <f>if(isna(vlookup(C13,'On Hand'!A:C,3,0)),"",vlookup(C13,'On Hand'!A:C,3,0))</f>
        <v>L</v>
      </c>
    </row>
    <row r="14">
      <c r="A14" s="2" t="str">
        <f>IFERROR(__xludf.DUMMYFUNCTION("""COMPUTED_VALUE"""),"O-11761-00")</f>
        <v>O-11761-00</v>
      </c>
      <c r="B14" s="2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4" s="2" t="str">
        <f>IFERROR(__xludf.DUMMYFUNCTION("""COMPUTED_VALUE"""),"O-11761-00")</f>
        <v>O-11761-00</v>
      </c>
      <c r="D14" s="2" t="str">
        <f>if(isna(vlookup(C14,'On Hand'!A:C,3,0)),"",vlookup(C14,'On Hand'!A:C,3,0))</f>
        <v>pc</v>
      </c>
    </row>
    <row r="15">
      <c r="A15" s="2" t="str">
        <f>IFERROR(__xludf.DUMMYFUNCTION("""COMPUTED_VALUE"""),"O-11762-00")</f>
        <v>O-11762-00</v>
      </c>
      <c r="B15" s="2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5" s="2" t="str">
        <f>IFERROR(__xludf.DUMMYFUNCTION("""COMPUTED_VALUE"""),"O-11762-00")</f>
        <v>O-11762-00</v>
      </c>
      <c r="D15" s="2" t="str">
        <f>if(isna(vlookup(C15,'On Hand'!A:C,3,0)),"",vlookup(C15,'On Hand'!A:C,3,0))</f>
        <v>pc</v>
      </c>
    </row>
    <row r="16">
      <c r="A16" s="2" t="str">
        <f>IFERROR(__xludf.DUMMYFUNCTION("""COMPUTED_VALUE"""),"O-11763-00")</f>
        <v>O-11763-00</v>
      </c>
      <c r="B16" s="2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6" s="2" t="str">
        <f>IFERROR(__xludf.DUMMYFUNCTION("""COMPUTED_VALUE"""),"O-11763-00")</f>
        <v>O-11763-00</v>
      </c>
      <c r="D16" s="2" t="str">
        <f>if(isna(vlookup(C16,'On Hand'!A:C,3,0)),"",vlookup(C16,'On Hand'!A:C,3,0))</f>
        <v>pc</v>
      </c>
    </row>
    <row r="17">
      <c r="A17" s="2" t="str">
        <f>IFERROR(__xludf.DUMMYFUNCTION("""COMPUTED_VALUE"""),"O-12732-00")</f>
        <v>O-12732-00</v>
      </c>
      <c r="B17" s="2" t="str">
        <f>IFERROR(__xludf.DUMMYFUNCTION("""COMPUTED_VALUE"""),"Tubing Polyurethane TU1208 Clear; SMC; Part No. X3; roll")</f>
        <v>Tubing Polyurethane TU1208 Clear; SMC; Part No. X3; roll</v>
      </c>
      <c r="C17" s="2" t="str">
        <f>IFERROR(__xludf.DUMMYFUNCTION("""COMPUTED_VALUE"""),"O-12732-00")</f>
        <v>O-12732-00</v>
      </c>
      <c r="D17" s="2" t="str">
        <f>if(isna(vlookup(C17,'On Hand'!A:C,3,0)),"",vlookup(C17,'On Hand'!A:C,3,0))</f>
        <v/>
      </c>
    </row>
    <row r="18">
      <c r="A18" s="2" t="str">
        <f>IFERROR(__xludf.DUMMYFUNCTION("""COMPUTED_VALUE"""),"O-12733-00")</f>
        <v>O-12733-00</v>
      </c>
      <c r="B18" s="2" t="str">
        <f>IFERROR(__xludf.DUMMYFUNCTION("""COMPUTED_VALUE"""),"General - TU Polyurethane Tubing, TU1065C-100; SMC Pneumatics; -; 1 roll")</f>
        <v>General - TU Polyurethane Tubing, TU1065C-100; SMC Pneumatics; -; 1 roll</v>
      </c>
      <c r="C18" s="2" t="str">
        <f>IFERROR(__xludf.DUMMYFUNCTION("""COMPUTED_VALUE"""),"O-12733-00")</f>
        <v>O-12733-00</v>
      </c>
      <c r="D18" s="2" t="str">
        <f>if(isna(vlookup(C18,'On Hand'!A:C,3,0)),"",vlookup(C18,'On Hand'!A:C,3,0))</f>
        <v/>
      </c>
    </row>
    <row r="19">
      <c r="A19" s="2" t="str">
        <f>IFERROR(__xludf.DUMMYFUNCTION("""COMPUTED_VALUE"""),"O-12734-00")</f>
        <v>O-12734-00</v>
      </c>
      <c r="B19" s="2" t="str">
        <f>IFERROR(__xludf.DUMMYFUNCTION("""COMPUTED_VALUE"""),"General - TU Polyurethane Tubing, TU0805C-100; SMC Pneumatics; -; 1 roll")</f>
        <v>General - TU Polyurethane Tubing, TU0805C-100; SMC Pneumatics; -; 1 roll</v>
      </c>
      <c r="C19" s="2" t="str">
        <f>IFERROR(__xludf.DUMMYFUNCTION("""COMPUTED_VALUE"""),"O-12734-00")</f>
        <v>O-12734-00</v>
      </c>
      <c r="D19" s="2" t="str">
        <f>if(isna(vlookup(C19,'On Hand'!A:C,3,0)),"",vlookup(C19,'On Hand'!A:C,3,0))</f>
        <v/>
      </c>
    </row>
    <row r="20">
      <c r="A20" s="2" t="str">
        <f>IFERROR(__xludf.DUMMYFUNCTION("""COMPUTED_VALUE"""),"O-12735-00")</f>
        <v>O-12735-00</v>
      </c>
      <c r="B20" s="2" t="str">
        <f>IFERROR(__xludf.DUMMYFUNCTION("""COMPUTED_VALUE"""),"General - TU Polyurethane Tubing, TU0604C-100; SMC Pneumatics; -; 1 roll")</f>
        <v>General - TU Polyurethane Tubing, TU0604C-100; SMC Pneumatics; -; 1 roll</v>
      </c>
      <c r="C20" s="2" t="str">
        <f>IFERROR(__xludf.DUMMYFUNCTION("""COMPUTED_VALUE"""),"O-12735-00")</f>
        <v>O-12735-00</v>
      </c>
      <c r="D20" s="2" t="str">
        <f>if(isna(vlookup(C20,'On Hand'!A:C,3,0)),"",vlookup(C20,'On Hand'!A:C,3,0))</f>
        <v/>
      </c>
    </row>
    <row r="21">
      <c r="A21" s="2" t="str">
        <f>IFERROR(__xludf.DUMMYFUNCTION("""COMPUTED_VALUE"""),"O-12736-00")</f>
        <v>O-12736-00</v>
      </c>
      <c r="B21" s="2" t="str">
        <f>IFERROR(__xludf.DUMMYFUNCTION("""COMPUTED_VALUE"""),"Tubing Polyurethane TU0425 Clear; ; ;")</f>
        <v>Tubing Polyurethane TU0425 Clear; ; ;</v>
      </c>
      <c r="C21" s="2" t="str">
        <f>IFERROR(__xludf.DUMMYFUNCTION("""COMPUTED_VALUE"""),"O-12736-00")</f>
        <v>O-12736-00</v>
      </c>
      <c r="D21" s="2" t="str">
        <f>if(isna(vlookup(C21,'On Hand'!A:C,3,0)),"",vlookup(C21,'On Hand'!A:C,3,0))</f>
        <v/>
      </c>
    </row>
    <row r="22">
      <c r="A22" s="2" t="str">
        <f>IFERROR(__xludf.DUMMYFUNCTION("""COMPUTED_VALUE"""),"O-12868-00")</f>
        <v>O-12868-00</v>
      </c>
      <c r="B22" s="2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2" s="2" t="str">
        <f>IFERROR(__xludf.DUMMYFUNCTION("""COMPUTED_VALUE"""),"O-12868-00")</f>
        <v>O-12868-00</v>
      </c>
      <c r="D22" s="2" t="str">
        <f>if(isna(vlookup(C22,'On Hand'!A:C,3,0)),"",vlookup(C22,'On Hand'!A:C,3,0))</f>
        <v/>
      </c>
    </row>
    <row r="23">
      <c r="A23" s="2" t="str">
        <f>IFERROR(__xludf.DUMMYFUNCTION("""COMPUTED_VALUE"""),"O-12918-00")</f>
        <v>O-12918-00</v>
      </c>
      <c r="B23" s="2" t="str">
        <f>IFERROR(__xludf.DUMMYFUNCTION("""COMPUTED_VALUE"""),"MARCHESINI MA 255 - p/n 322010 Nordson - Saturn precision Nozzle 200 mesh")</f>
        <v>MARCHESINI MA 255 - p/n 322010 Nordson - Saturn precision Nozzle 200 mesh</v>
      </c>
      <c r="C23" s="2" t="str">
        <f>IFERROR(__xludf.DUMMYFUNCTION("""COMPUTED_VALUE"""),"O-12918-00")</f>
        <v>O-12918-00</v>
      </c>
      <c r="D23" s="2" t="str">
        <f>if(isna(vlookup(C23,'On Hand'!A:C,3,0)),"",vlookup(C23,'On Hand'!A:C,3,0))</f>
        <v/>
      </c>
    </row>
    <row r="24">
      <c r="A24" s="2" t="str">
        <f>IFERROR(__xludf.DUMMYFUNCTION("""COMPUTED_VALUE"""),"O-13062-00")</f>
        <v>O-13062-00</v>
      </c>
      <c r="B24" s="2" t="str">
        <f>IFERROR(__xludf.DUMMYFUNCTION("""COMPUTED_VALUE"""),"AUTOCLAVE Lab Mikro - PALL Emflon Filter 0,2um p/n C3PFRP1")</f>
        <v>AUTOCLAVE Lab Mikro - PALL Emflon Filter 0,2um p/n C3PFRP1</v>
      </c>
      <c r="C24" s="2" t="str">
        <f>IFERROR(__xludf.DUMMYFUNCTION("""COMPUTED_VALUE"""),"O-13062-00")</f>
        <v>O-13062-00</v>
      </c>
      <c r="D24" s="2" t="str">
        <f>if(isna(vlookup(C24,'On Hand'!A:C,3,0)),"",vlookup(C24,'On Hand'!A:C,3,0))</f>
        <v/>
      </c>
    </row>
    <row r="25">
      <c r="A25" s="2" t="str">
        <f>IFERROR(__xludf.DUMMYFUNCTION("""COMPUTED_VALUE"""),"O-13216-00")</f>
        <v>O-13216-00</v>
      </c>
      <c r="B25" s="2" t="str">
        <f>IFERROR(__xludf.DUMMYFUNCTION("""COMPUTED_VALUE"""),"Lubricant - Bechem Staroil G 320 Brown H1 @20 Liter/Pail")</f>
        <v>Lubricant - Bechem Staroil G 320 Brown H1 @20 Liter/Pail</v>
      </c>
      <c r="C25" s="2" t="str">
        <f>IFERROR(__xludf.DUMMYFUNCTION("""COMPUTED_VALUE"""),"O-13216-00")</f>
        <v>O-13216-00</v>
      </c>
      <c r="D25" s="2" t="str">
        <f>if(isna(vlookup(C25,'On Hand'!A:C,3,0)),"",vlookup(C25,'On Hand'!A:C,3,0))</f>
        <v>L</v>
      </c>
    </row>
    <row r="26">
      <c r="A26" s="2" t="str">
        <f>IFERROR(__xludf.DUMMYFUNCTION("""COMPUTED_VALUE"""),"O-13501-00")</f>
        <v>O-13501-00</v>
      </c>
      <c r="B26" s="2" t="str">
        <f>IFERROR(__xludf.DUMMYFUNCTION("""COMPUTED_VALUE"""),"General - Push-in T-connector, QST-12; Festo; 153132; 1 pcs")</f>
        <v>General - Push-in T-connector, QST-12; Festo; 153132; 1 pcs</v>
      </c>
      <c r="C26" s="2" t="str">
        <f>IFERROR(__xludf.DUMMYFUNCTION("""COMPUTED_VALUE"""),"O-13501-00")</f>
        <v>O-13501-00</v>
      </c>
      <c r="D26" s="2" t="str">
        <f>if(isna(vlookup(C26,'On Hand'!A:C,3,0)),"",vlookup(C26,'On Hand'!A:C,3,0))</f>
        <v>pc</v>
      </c>
    </row>
    <row r="27">
      <c r="A27" s="2" t="str">
        <f>IFERROR(__xludf.DUMMYFUNCTION("""COMPUTED_VALUE"""),"O-13505-00")</f>
        <v>O-13505-00</v>
      </c>
      <c r="B27" s="2" t="str">
        <f>IFERROR(__xludf.DUMMYFUNCTION("""COMPUTED_VALUE"""),"General - Push-in T-connector, QST-10; Festo; 153131; 1 pcs")</f>
        <v>General - Push-in T-connector, QST-10; Festo; 153131; 1 pcs</v>
      </c>
      <c r="C27" s="2" t="str">
        <f>IFERROR(__xludf.DUMMYFUNCTION("""COMPUTED_VALUE"""),"O-13505-00")</f>
        <v>O-13505-00</v>
      </c>
      <c r="D27" s="2" t="str">
        <f>if(isna(vlookup(C27,'On Hand'!A:C,3,0)),"",vlookup(C27,'On Hand'!A:C,3,0))</f>
        <v>pc</v>
      </c>
    </row>
    <row r="28">
      <c r="A28" s="2" t="str">
        <f>IFERROR(__xludf.DUMMYFUNCTION("""COMPUTED_VALUE"""),"O-13508-00")</f>
        <v>O-13508-00</v>
      </c>
      <c r="B28" s="2" t="str">
        <f>IFERROR(__xludf.DUMMYFUNCTION("""COMPUTED_VALUE"""),"Pneumatic Fitting - QS 8-6 FESTO P/N : -  pc")</f>
        <v>Pneumatic Fitting - QS 8-6 FESTO P/N : -  pc</v>
      </c>
      <c r="C28" s="2" t="str">
        <f>IFERROR(__xludf.DUMMYFUNCTION("""COMPUTED_VALUE"""),"O-13508-00")</f>
        <v>O-13508-00</v>
      </c>
      <c r="D28" s="2" t="str">
        <f>if(isna(vlookup(C28,'On Hand'!A:C,3,0)),"",vlookup(C28,'On Hand'!A:C,3,0))</f>
        <v/>
      </c>
    </row>
    <row r="29">
      <c r="A29" s="2" t="str">
        <f>IFERROR(__xludf.DUMMYFUNCTION("""COMPUTED_VALUE"""),"O-13510-00")</f>
        <v>O-13510-00</v>
      </c>
      <c r="B29" s="2" t="str">
        <f>IFERROR(__xludf.DUMMYFUNCTION("""COMPUTED_VALUE"""),"Pneumatic Fitting - QS 12-10 FESTO P/N : -  pc")</f>
        <v>Pneumatic Fitting - QS 12-10 FESTO P/N : -  pc</v>
      </c>
      <c r="C29" s="2" t="str">
        <f>IFERROR(__xludf.DUMMYFUNCTION("""COMPUTED_VALUE"""),"O-13510-00")</f>
        <v>O-13510-00</v>
      </c>
      <c r="D29" s="2" t="str">
        <f>if(isna(vlookup(C29,'On Hand'!A:C,3,0)),"",vlookup(C29,'On Hand'!A:C,3,0))</f>
        <v>pc</v>
      </c>
    </row>
    <row r="30">
      <c r="A30" s="2" t="str">
        <f>IFERROR(__xludf.DUMMYFUNCTION("""COMPUTED_VALUE"""),"O-13521-00")</f>
        <v>O-13521-00</v>
      </c>
      <c r="B30" s="2" t="str">
        <f>IFERROR(__xludf.DUMMYFUNCTION("""COMPUTED_VALUE"""),"gasket 1 1/2"" / EPDM - P/N : -  pc")</f>
        <v>gasket 1 1/2" / EPDM - P/N : -  pc</v>
      </c>
      <c r="C30" s="2" t="str">
        <f>IFERROR(__xludf.DUMMYFUNCTION("""COMPUTED_VALUE"""),"O-13521-00")</f>
        <v>O-13521-00</v>
      </c>
      <c r="D30" s="2" t="str">
        <f>if(isna(vlookup(C30,'On Hand'!A:C,3,0)),"",vlookup(C30,'On Hand'!A:C,3,0))</f>
        <v>pc</v>
      </c>
    </row>
    <row r="31">
      <c r="A31" s="2" t="str">
        <f>IFERROR(__xludf.DUMMYFUNCTION("""COMPUTED_VALUE"""),"O-13522-00")</f>
        <v>O-13522-00</v>
      </c>
      <c r="B31" s="2" t="str">
        <f>IFERROR(__xludf.DUMMYFUNCTION("""COMPUTED_VALUE"""),"gasket 2"" / EPDM; ; ;")</f>
        <v>gasket 2" / EPDM; ; ;</v>
      </c>
      <c r="C31" s="2" t="str">
        <f>IFERROR(__xludf.DUMMYFUNCTION("""COMPUTED_VALUE"""),"O-13522-00")</f>
        <v>O-13522-00</v>
      </c>
      <c r="D31" s="2" t="str">
        <f>if(isna(vlookup(C31,'On Hand'!A:C,3,0)),"",vlookup(C31,'On Hand'!A:C,3,0))</f>
        <v>pc</v>
      </c>
    </row>
    <row r="32">
      <c r="A32" s="2" t="str">
        <f>IFERROR(__xludf.DUMMYFUNCTION("""COMPUTED_VALUE"""),"O-13617-00")</f>
        <v>O-13617-00</v>
      </c>
      <c r="B32" s="2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2" s="2" t="str">
        <f>IFERROR(__xludf.DUMMYFUNCTION("""COMPUTED_VALUE"""),"O-13617-00")</f>
        <v>O-13617-00</v>
      </c>
      <c r="D32" s="2" t="str">
        <f>if(isna(vlookup(C32,'On Hand'!A:C,3,0)),"",vlookup(C32,'On Hand'!A:C,3,0))</f>
        <v/>
      </c>
    </row>
    <row r="33">
      <c r="A33" s="2" t="str">
        <f>IFERROR(__xludf.DUMMYFUNCTION("""COMPUTED_VALUE"""),"O-13799-00")</f>
        <v>O-13799-00</v>
      </c>
      <c r="B33" s="2" t="str">
        <f>IFERROR(__xludf.DUMMYFUNCTION("""COMPUTED_VALUE"""),"Carbon Vanes VT4.40 INTIDAYA DINAMIKA SEJATI, PT P/N : -  pc")</f>
        <v>Carbon Vanes VT4.40 INTIDAYA DINAMIKA SEJATI, PT P/N : -  pc</v>
      </c>
      <c r="C33" s="2" t="str">
        <f>IFERROR(__xludf.DUMMYFUNCTION("""COMPUTED_VALUE"""),"O-13799-00")</f>
        <v>O-13799-00</v>
      </c>
      <c r="D33" s="2" t="str">
        <f>if(isna(vlookup(C33,'On Hand'!A:C,3,0)),"",vlookup(C33,'On Hand'!A:C,3,0))</f>
        <v/>
      </c>
    </row>
    <row r="34">
      <c r="A34" s="2" t="str">
        <f>IFERROR(__xludf.DUMMYFUNCTION("""COMPUTED_VALUE"""),"O-14022-00")</f>
        <v>O-14022-00</v>
      </c>
      <c r="B34" s="2" t="str">
        <f>IFERROR(__xludf.DUMMYFUNCTION("""COMPUTED_VALUE"""),"Valve Base SV-3-M5 Festo FESTO P/N : -  pc")</f>
        <v>Valve Base SV-3-M5 Festo FESTO P/N : -  pc</v>
      </c>
      <c r="C34" s="2" t="str">
        <f>IFERROR(__xludf.DUMMYFUNCTION("""COMPUTED_VALUE"""),"O-14022-00")</f>
        <v>O-14022-00</v>
      </c>
      <c r="D34" s="2" t="str">
        <f>if(isna(vlookup(C34,'On Hand'!A:C,3,0)),"",vlookup(C34,'On Hand'!A:C,3,0))</f>
        <v>pc</v>
      </c>
    </row>
    <row r="35">
      <c r="A35" s="2" t="str">
        <f>IFERROR(__xludf.DUMMYFUNCTION("""COMPUTED_VALUE"""),"O-14099-00")</f>
        <v>O-14099-00</v>
      </c>
      <c r="B35" s="2" t="str">
        <f>IFERROR(__xludf.DUMMYFUNCTION("""COMPUTED_VALUE"""),"Selang TS-25 (25x33) TOYOX P/N : -  pc")</f>
        <v>Selang TS-25 (25x33) TOYOX P/N : -  pc</v>
      </c>
      <c r="C35" s="2" t="str">
        <f>IFERROR(__xludf.DUMMYFUNCTION("""COMPUTED_VALUE"""),"O-14099-00")</f>
        <v>O-14099-00</v>
      </c>
      <c r="D35" s="2" t="str">
        <f>if(isna(vlookup(C35,'On Hand'!A:C,3,0)),"",vlookup(C35,'On Hand'!A:C,3,0))</f>
        <v/>
      </c>
    </row>
    <row r="36">
      <c r="A36" s="2" t="str">
        <f>IFERROR(__xludf.DUMMYFUNCTION("""COMPUTED_VALUE"""),"O-14360-00")</f>
        <v>O-14360-00</v>
      </c>
      <c r="B36" s="2" t="str">
        <f>IFERROR(__xludf.DUMMYFUNCTION("""COMPUTED_VALUE"""),"Membran Valve EPDM PTFE DN 40  Gemu KRISNA DWI MITRA P/N : 600 40M5E-221 pc")</f>
        <v>Membran Valve EPDM PTFE DN 40  Gemu KRISNA DWI MITRA P/N : 600 40M5E-221 pc</v>
      </c>
      <c r="C36" s="2" t="str">
        <f>IFERROR(__xludf.DUMMYFUNCTION("""COMPUTED_VALUE"""),"O-14360-00")</f>
        <v>O-14360-00</v>
      </c>
      <c r="D36" s="2" t="str">
        <f>if(isna(vlookup(C36,'On Hand'!A:C,3,0)),"",vlookup(C36,'On Hand'!A:C,3,0))</f>
        <v>pc</v>
      </c>
    </row>
    <row r="37">
      <c r="A37" s="2" t="str">
        <f>IFERROR(__xludf.DUMMYFUNCTION("""COMPUTED_VALUE"""),"O-14363-00")</f>
        <v>O-14363-00</v>
      </c>
      <c r="B37" s="2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7" s="2" t="str">
        <f>IFERROR(__xludf.DUMMYFUNCTION("""COMPUTED_VALUE"""),"O-14363-00")</f>
        <v>O-14363-00</v>
      </c>
      <c r="D37" s="2" t="str">
        <f>if(isna(vlookup(C37,'On Hand'!A:C,3,0)),"",vlookup(C37,'On Hand'!A:C,3,0))</f>
        <v>pc</v>
      </c>
    </row>
    <row r="38">
      <c r="A38" s="2" t="str">
        <f>IFERROR(__xludf.DUMMYFUNCTION("""COMPUTED_VALUE"""),"O-14364-00")</f>
        <v>O-14364-00</v>
      </c>
      <c r="B38" s="2" t="str">
        <f>IFERROR(__xludf.DUMMYFUNCTION("""COMPUTED_VALUE"""),"Membrane Diaphragm Valve EPDM PTFE DN 50 p/n: 600 50M5E-221 Gemu; ; ;")</f>
        <v>Membrane Diaphragm Valve EPDM PTFE DN 50 p/n: 600 50M5E-221 Gemu; ; ;</v>
      </c>
      <c r="C38" s="2" t="str">
        <f>IFERROR(__xludf.DUMMYFUNCTION("""COMPUTED_VALUE"""),"O-14364-00")</f>
        <v>O-14364-00</v>
      </c>
      <c r="D38" s="2" t="str">
        <f>if(isna(vlookup(C38,'On Hand'!A:C,3,0)),"",vlookup(C38,'On Hand'!A:C,3,0))</f>
        <v>pc</v>
      </c>
    </row>
    <row r="39">
      <c r="A39" s="2" t="str">
        <f>IFERROR(__xludf.DUMMYFUNCTION("""COMPUTED_VALUE"""),"O-14449-00")</f>
        <v>O-14449-00</v>
      </c>
      <c r="B39" s="2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39" s="2" t="str">
        <f>IFERROR(__xludf.DUMMYFUNCTION("""COMPUTED_VALUE"""),"O-14449-00")</f>
        <v>O-14449-00</v>
      </c>
      <c r="D39" s="2" t="str">
        <f>if(isna(vlookup(C39,'On Hand'!A:C,3,0)),"",vlookup(C39,'On Hand'!A:C,3,0))</f>
        <v/>
      </c>
    </row>
    <row r="40">
      <c r="A40" s="2" t="str">
        <f>IFERROR(__xludf.DUMMYFUNCTION("""COMPUTED_VALUE"""),"O-14510-00")</f>
        <v>O-14510-00</v>
      </c>
      <c r="B40" s="2" t="str">
        <f>IFERROR(__xludf.DUMMYFUNCTION("""COMPUTED_VALUE"""),"Speed Control AS2201F-02-08SA, SMC, , SINAR MUTIARA CAKRABUANA, PT P/N : - pc")</f>
        <v>Speed Control AS2201F-02-08SA, SMC, , SINAR MUTIARA CAKRABUANA, PT P/N : - pc</v>
      </c>
      <c r="C40" s="2" t="str">
        <f>IFERROR(__xludf.DUMMYFUNCTION("""COMPUTED_VALUE"""),"O-14510-00")</f>
        <v>O-14510-00</v>
      </c>
      <c r="D40" s="2" t="str">
        <f>if(isna(vlookup(C40,'On Hand'!A:C,3,0)),"",vlookup(C40,'On Hand'!A:C,3,0))</f>
        <v>pc</v>
      </c>
    </row>
    <row r="41">
      <c r="A41" s="2" t="str">
        <f>IFERROR(__xludf.DUMMYFUNCTION("""COMPUTED_VALUE"""),"O-14594-00")</f>
        <v>O-14594-00</v>
      </c>
      <c r="B41" s="2" t="str">
        <f>IFERROR(__xludf.DUMMYFUNCTION("""COMPUTED_VALUE"""),"Kit, membrane ozone 6510 METTLER TOLEDO INDONESIA, PT P/N : -  pc")</f>
        <v>Kit, membrane ozone 6510 METTLER TOLEDO INDONESIA, PT P/N : -  pc</v>
      </c>
      <c r="C41" s="2" t="str">
        <f>IFERROR(__xludf.DUMMYFUNCTION("""COMPUTED_VALUE"""),"O-14594-00")</f>
        <v>O-14594-00</v>
      </c>
      <c r="D41" s="2" t="str">
        <f>if(isna(vlookup(C41,'On Hand'!A:C,3,0)),"",vlookup(C41,'On Hand'!A:C,3,0))</f>
        <v/>
      </c>
    </row>
    <row r="42">
      <c r="A42" s="2" t="str">
        <f>IFERROR(__xludf.DUMMYFUNCTION("""COMPUTED_VALUE"""),"O-14616-00")</f>
        <v>O-14616-00</v>
      </c>
      <c r="B42" s="2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2" s="2" t="str">
        <f>IFERROR(__xludf.DUMMYFUNCTION("""COMPUTED_VALUE"""),"O-14616-00")</f>
        <v>O-14616-00</v>
      </c>
      <c r="D42" s="2" t="str">
        <f>if(isna(vlookup(C42,'On Hand'!A:C,3,0)),"",vlookup(C42,'On Hand'!A:C,3,0))</f>
        <v/>
      </c>
    </row>
    <row r="43">
      <c r="A43" s="2" t="str">
        <f>IFERROR(__xludf.DUMMYFUNCTION("""COMPUTED_VALUE"""),"O-14617-00")</f>
        <v>O-14617-00</v>
      </c>
      <c r="B43" s="2" t="str">
        <f>IFERROR(__xludf.DUMMYFUNCTION("""COMPUTED_VALUE"""),"Solenoid valve 2/2 ways NC 4,5mm; ; c/n 28582;")</f>
        <v>Solenoid valve 2/2 ways NC 4,5mm; ; c/n 28582;</v>
      </c>
      <c r="C43" s="2" t="str">
        <f>IFERROR(__xludf.DUMMYFUNCTION("""COMPUTED_VALUE"""),"O-14617-00")</f>
        <v>O-14617-00</v>
      </c>
      <c r="D43" s="2" t="str">
        <f>if(isna(vlookup(C43,'On Hand'!A:C,3,0)),"",vlookup(C43,'On Hand'!A:C,3,0))</f>
        <v>unt</v>
      </c>
    </row>
    <row r="44">
      <c r="A44" s="2" t="str">
        <f>IFERROR(__xludf.DUMMYFUNCTION("""COMPUTED_VALUE"""),"O-14618-00")</f>
        <v>O-14618-00</v>
      </c>
      <c r="B44" s="2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4" s="2" t="str">
        <f>IFERROR(__xludf.DUMMYFUNCTION("""COMPUTED_VALUE"""),"O-14618-00")</f>
        <v>O-14618-00</v>
      </c>
      <c r="D44" s="2" t="str">
        <f>if(isna(vlookup(C44,'On Hand'!A:C,3,0)),"",vlookup(C44,'On Hand'!A:C,3,0))</f>
        <v>unt</v>
      </c>
    </row>
    <row r="45">
      <c r="A45" s="2" t="str">
        <f>IFERROR(__xludf.DUMMYFUNCTION("""COMPUTED_VALUE"""),"O-14619-00")</f>
        <v>O-14619-00</v>
      </c>
      <c r="B45" s="2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5" s="2" t="str">
        <f>IFERROR(__xludf.DUMMYFUNCTION("""COMPUTED_VALUE"""),"O-14619-00")</f>
        <v>O-14619-00</v>
      </c>
      <c r="D45" s="2" t="str">
        <f>if(isna(vlookup(C45,'On Hand'!A:C,3,0)),"",vlookup(C45,'On Hand'!A:C,3,0))</f>
        <v/>
      </c>
    </row>
    <row r="46">
      <c r="A46" s="2" t="str">
        <f>IFERROR(__xludf.DUMMYFUNCTION("""COMPUTED_VALUE"""),"O-14620-00")</f>
        <v>O-14620-00</v>
      </c>
      <c r="B46" s="2" t="str">
        <f>IFERROR(__xludf.DUMMYFUNCTION("""COMPUTED_VALUE"""),"Microswitch for pneumatic cylinder; ; c/n 7821;")</f>
        <v>Microswitch for pneumatic cylinder; ; c/n 7821;</v>
      </c>
      <c r="C46" s="2" t="str">
        <f>IFERROR(__xludf.DUMMYFUNCTION("""COMPUTED_VALUE"""),"O-14620-00")</f>
        <v>O-14620-00</v>
      </c>
      <c r="D46" s="2" t="str">
        <f>if(isna(vlookup(C46,'On Hand'!A:C,3,0)),"",vlookup(C46,'On Hand'!A:C,3,0))</f>
        <v>unt</v>
      </c>
    </row>
    <row r="47">
      <c r="A47" s="2" t="str">
        <f>IFERROR(__xludf.DUMMYFUNCTION("""COMPUTED_VALUE"""),"O-14621-00")</f>
        <v>O-14621-00</v>
      </c>
      <c r="B47" s="2" t="str">
        <f>IFERROR(__xludf.DUMMYFUNCTION("""COMPUTED_VALUE"""),"Coil U2 11W 24VDC; Univer; c/n 5233;")</f>
        <v>Coil U2 11W 24VDC; Univer; c/n 5233;</v>
      </c>
      <c r="C47" s="2" t="str">
        <f>IFERROR(__xludf.DUMMYFUNCTION("""COMPUTED_VALUE"""),"O-14621-00")</f>
        <v>O-14621-00</v>
      </c>
      <c r="D47" s="2" t="str">
        <f>if(isna(vlookup(C47,'On Hand'!A:C,3,0)),"",vlookup(C47,'On Hand'!A:C,3,0))</f>
        <v>unt</v>
      </c>
    </row>
    <row r="48">
      <c r="A48" s="2" t="str">
        <f>IFERROR(__xludf.DUMMYFUNCTION("""COMPUTED_VALUE"""),"O-14639-00")</f>
        <v>O-14639-00</v>
      </c>
      <c r="B48" s="2" t="str">
        <f>IFERROR(__xludf.DUMMYFUNCTION("""COMPUTED_VALUE"""),"EPDM Gasket for Ferrule dia. 1/2"" - P/N : -  pc")</f>
        <v>EPDM Gasket for Ferrule dia. 1/2" - P/N : -  pc</v>
      </c>
      <c r="C48" s="2" t="str">
        <f>IFERROR(__xludf.DUMMYFUNCTION("""COMPUTED_VALUE"""),"O-14639-00")</f>
        <v>O-14639-00</v>
      </c>
      <c r="D48" s="2" t="str">
        <f>if(isna(vlookup(C48,'On Hand'!A:C,3,0)),"",vlookup(C48,'On Hand'!A:C,3,0))</f>
        <v>pc</v>
      </c>
    </row>
    <row r="49">
      <c r="A49" s="2" t="str">
        <f>IFERROR(__xludf.DUMMYFUNCTION("""COMPUTED_VALUE"""),"O-14640-00")</f>
        <v>O-14640-00</v>
      </c>
      <c r="B49" s="2" t="str">
        <f>IFERROR(__xludf.DUMMYFUNCTION("""COMPUTED_VALUE"""),"General - Silicone Gasket for Ferrule dia. 3/4""; -; -; 1 Pc")</f>
        <v>General - Silicone Gasket for Ferrule dia. 3/4"; -; -; 1 Pc</v>
      </c>
      <c r="C49" s="2" t="str">
        <f>IFERROR(__xludf.DUMMYFUNCTION("""COMPUTED_VALUE"""),"O-14640-00")</f>
        <v>O-14640-00</v>
      </c>
      <c r="D49" s="2" t="str">
        <f>if(isna(vlookup(C49,'On Hand'!A:C,3,0)),"",vlookup(C49,'On Hand'!A:C,3,0))</f>
        <v>pc</v>
      </c>
    </row>
    <row r="50">
      <c r="A50" s="2" t="str">
        <f>IFERROR(__xludf.DUMMYFUNCTION("""COMPUTED_VALUE"""),"O-14641-00")</f>
        <v>O-14641-00</v>
      </c>
      <c r="B50" s="2" t="str">
        <f>IFERROR(__xludf.DUMMYFUNCTION("""COMPUTED_VALUE"""),"General - Silicone Gasket for Ferrule dia. 1""; -; -; 1 Pc")</f>
        <v>General - Silicone Gasket for Ferrule dia. 1"; -; -; 1 Pc</v>
      </c>
      <c r="C50" s="2" t="str">
        <f>IFERROR(__xludf.DUMMYFUNCTION("""COMPUTED_VALUE"""),"O-14641-00")</f>
        <v>O-14641-00</v>
      </c>
      <c r="D50" s="2" t="str">
        <f>if(isna(vlookup(C50,'On Hand'!A:C,3,0)),"",vlookup(C50,'On Hand'!A:C,3,0))</f>
        <v>pc</v>
      </c>
    </row>
    <row r="51">
      <c r="A51" s="2" t="str">
        <f>IFERROR(__xludf.DUMMYFUNCTION("""COMPUTED_VALUE"""),"O-14642-00")</f>
        <v>O-14642-00</v>
      </c>
      <c r="B51" s="2" t="str">
        <f>IFERROR(__xludf.DUMMYFUNCTION("""COMPUTED_VALUE"""),"General - Silicone Gasket for Ferrule dia. 2,5""; -; -; 1 Pc")</f>
        <v>General - Silicone Gasket for Ferrule dia. 2,5"; -; -; 1 Pc</v>
      </c>
      <c r="C51" s="2" t="str">
        <f>IFERROR(__xludf.DUMMYFUNCTION("""COMPUTED_VALUE"""),"O-14642-00")</f>
        <v>O-14642-00</v>
      </c>
      <c r="D51" s="2" t="str">
        <f>if(isna(vlookup(C51,'On Hand'!A:C,3,0)),"",vlookup(C51,'On Hand'!A:C,3,0))</f>
        <v>pc</v>
      </c>
    </row>
    <row r="52">
      <c r="A52" s="2" t="str">
        <f>IFERROR(__xludf.DUMMYFUNCTION("""COMPUTED_VALUE"""),"O-14643-00")</f>
        <v>O-14643-00</v>
      </c>
      <c r="B52" s="2" t="str">
        <f>IFERROR(__xludf.DUMMYFUNCTION("""COMPUTED_VALUE"""),"EPDM Gasket for Ferrule dia. 3""; ; ;")</f>
        <v>EPDM Gasket for Ferrule dia. 3"; ; ;</v>
      </c>
      <c r="C52" s="2" t="str">
        <f>IFERROR(__xludf.DUMMYFUNCTION("""COMPUTED_VALUE"""),"O-14643-00")</f>
        <v>O-14643-00</v>
      </c>
      <c r="D52" s="2" t="str">
        <f>if(isna(vlookup(C52,'On Hand'!A:C,3,0)),"",vlookup(C52,'On Hand'!A:C,3,0))</f>
        <v>pc</v>
      </c>
    </row>
    <row r="53">
      <c r="A53" s="2" t="str">
        <f>IFERROR(__xludf.DUMMYFUNCTION("""COMPUTED_VALUE"""),"O-14644-00")</f>
        <v>O-14644-00</v>
      </c>
      <c r="B53" s="2" t="str">
        <f>IFERROR(__xludf.DUMMYFUNCTION("""COMPUTED_VALUE"""),"General - Silicone Gasket for Ferrule dia. 4""; -; -; 1 Pc")</f>
        <v>General - Silicone Gasket for Ferrule dia. 4"; -; -; 1 Pc</v>
      </c>
      <c r="C53" s="2" t="str">
        <f>IFERROR(__xludf.DUMMYFUNCTION("""COMPUTED_VALUE"""),"O-14644-00")</f>
        <v>O-14644-00</v>
      </c>
      <c r="D53" s="2" t="str">
        <f>if(isna(vlookup(C53,'On Hand'!A:C,3,0)),"",vlookup(C53,'On Hand'!A:C,3,0))</f>
        <v>pc</v>
      </c>
    </row>
    <row r="54">
      <c r="A54" s="2" t="str">
        <f>IFERROR(__xludf.DUMMYFUNCTION("""COMPUTED_VALUE"""),"O-15019-00")</f>
        <v>O-15019-00</v>
      </c>
      <c r="B54" s="2" t="str">
        <f>IFERROR(__xludf.DUMMYFUNCTION("""COMPUTED_VALUE"""),"Bearing 6004 H SS")</f>
        <v>Bearing 6004 H SS</v>
      </c>
      <c r="C54" s="2" t="str">
        <f>IFERROR(__xludf.DUMMYFUNCTION("""COMPUTED_VALUE"""),"O-15019-00")</f>
        <v>O-15019-00</v>
      </c>
      <c r="D54" s="2" t="str">
        <f>if(isna(vlookup(C54,'On Hand'!A:C,3,0)),"",vlookup(C54,'On Hand'!A:C,3,0))</f>
        <v>pc</v>
      </c>
    </row>
    <row r="55">
      <c r="A55" s="2" t="str">
        <f>IFERROR(__xludf.DUMMYFUNCTION("""COMPUTED_VALUE"""),"O-15398-00")</f>
        <v>O-15398-00</v>
      </c>
      <c r="B55" s="2" t="str">
        <f>IFERROR(__xludf.DUMMYFUNCTION("""COMPUTED_VALUE"""),"Bearing - 61800-2RS1 - P/N : -  pc")</f>
        <v>Bearing - 61800-2RS1 - P/N : -  pc</v>
      </c>
      <c r="C55" s="2" t="str">
        <f>IFERROR(__xludf.DUMMYFUNCTION("""COMPUTED_VALUE"""),"O-15398-00")</f>
        <v>O-15398-00</v>
      </c>
      <c r="D55" s="2" t="str">
        <f>if(isna(vlookup(C55,'On Hand'!A:C,3,0)),"",vlookup(C55,'On Hand'!A:C,3,0))</f>
        <v>pc</v>
      </c>
    </row>
    <row r="56">
      <c r="A56" s="2" t="str">
        <f>IFERROR(__xludf.DUMMYFUNCTION("""COMPUTED_VALUE"""),"O-15400-00")</f>
        <v>O-15400-00</v>
      </c>
      <c r="B56" s="2" t="str">
        <f>IFERROR(__xludf.DUMMYFUNCTION("""COMPUTED_VALUE"""),"Colamark - Side Arms kit EPT012551; Domino; SP-0076; 1 Pc")</f>
        <v>Colamark - Side Arms kit EPT012551; Domino; SP-0076; 1 Pc</v>
      </c>
      <c r="C56" s="2" t="str">
        <f>IFERROR(__xludf.DUMMYFUNCTION("""COMPUTED_VALUE"""),"O-15400-00")</f>
        <v>O-15400-00</v>
      </c>
      <c r="D56" s="2" t="str">
        <f>if(isna(vlookup(C56,'On Hand'!A:C,3,0)),"",vlookup(C56,'On Hand'!A:C,3,0))</f>
        <v>pc</v>
      </c>
    </row>
    <row r="57">
      <c r="A57" s="2" t="str">
        <f>IFERROR(__xludf.DUMMYFUNCTION("""COMPUTED_VALUE"""),"O-15462-00")</f>
        <v>O-15462-00</v>
      </c>
      <c r="B57" s="2" t="str">
        <f>IFERROR(__xludf.DUMMYFUNCTION("""COMPUTED_VALUE"""),"Dry Fog Stainless Steel FLOAT 47049-23S")</f>
        <v>Dry Fog Stainless Steel FLOAT 47049-23S</v>
      </c>
      <c r="C57" s="2" t="str">
        <f>IFERROR(__xludf.DUMMYFUNCTION("""COMPUTED_VALUE"""),"O-15462-00")</f>
        <v>O-15462-00</v>
      </c>
      <c r="D57" s="2" t="str">
        <f>if(isna(vlookup(C57,'On Hand'!A:C,3,0)),"",vlookup(C57,'On Hand'!A:C,3,0))</f>
        <v/>
      </c>
    </row>
    <row r="58">
      <c r="A58" s="2" t="str">
        <f>IFERROR(__xludf.DUMMYFUNCTION("""COMPUTED_VALUE"""),"O-15484-00")</f>
        <v>O-15484-00</v>
      </c>
      <c r="B58" s="2" t="str">
        <f>IFERROR(__xludf.DUMMYFUNCTION("""COMPUTED_VALUE"""),"Static Gasket (Door gasket) for main chamber; ; ;")</f>
        <v>Static Gasket (Door gasket) for main chamber; ; ;</v>
      </c>
      <c r="C58" s="2" t="str">
        <f>IFERROR(__xludf.DUMMYFUNCTION("""COMPUTED_VALUE"""),"O-15484-00")</f>
        <v>O-15484-00</v>
      </c>
      <c r="D58" s="2" t="str">
        <f>if(isna(vlookup(C58,'On Hand'!A:C,3,0)),"",vlookup(C58,'On Hand'!A:C,3,0))</f>
        <v/>
      </c>
    </row>
    <row r="59">
      <c r="A59" s="2" t="str">
        <f>IFERROR(__xludf.DUMMYFUNCTION("""COMPUTED_VALUE"""),"O-15485-00")</f>
        <v>O-15485-00</v>
      </c>
      <c r="B59" s="2" t="str">
        <f>IFERROR(__xludf.DUMMYFUNCTION("""COMPUTED_VALUE"""),"HEPA (H 14) Filters (155D mm x 150H mm); ; ;")</f>
        <v>HEPA (H 14) Filters (155D mm x 150H mm); ; ;</v>
      </c>
      <c r="C59" s="2" t="str">
        <f>IFERROR(__xludf.DUMMYFUNCTION("""COMPUTED_VALUE"""),"O-15485-00")</f>
        <v>O-15485-00</v>
      </c>
      <c r="D59" s="2" t="str">
        <f>if(isna(vlookup(C59,'On Hand'!A:C,3,0)),"",vlookup(C59,'On Hand'!A:C,3,0))</f>
        <v/>
      </c>
    </row>
    <row r="60">
      <c r="A60" s="2" t="str">
        <f>IFERROR(__xludf.DUMMYFUNCTION("""COMPUTED_VALUE"""),"O-15486-00")</f>
        <v>O-15486-00</v>
      </c>
      <c r="B60" s="2" t="str">
        <f>IFERROR(__xludf.DUMMYFUNCTION("""COMPUTED_VALUE"""),"Pre-filter (EU-8) size 100D x 135H mm; ; ;")</f>
        <v>Pre-filter (EU-8) size 100D x 135H mm; ; ;</v>
      </c>
      <c r="C60" s="2" t="str">
        <f>IFERROR(__xludf.DUMMYFUNCTION("""COMPUTED_VALUE"""),"O-15486-00")</f>
        <v>O-15486-00</v>
      </c>
      <c r="D60" s="2" t="str">
        <f>if(isna(vlookup(C60,'On Hand'!A:C,3,0)),"",vlookup(C60,'On Hand'!A:C,3,0))</f>
        <v/>
      </c>
    </row>
    <row r="61">
      <c r="A61" s="2" t="str">
        <f>IFERROR(__xludf.DUMMYFUNCTION("""COMPUTED_VALUE"""),"O-15487-00")</f>
        <v>O-15487-00</v>
      </c>
      <c r="B61" s="2" t="str">
        <f>IFERROR(__xludf.DUMMYFUNCTION("""COMPUTED_VALUE"""),"Gas Spring Model : 8-18-2, 03 SL/300N-486; ; ;")</f>
        <v>Gas Spring Model : 8-18-2, 03 SL/300N-486; ; ;</v>
      </c>
      <c r="C61" s="2" t="str">
        <f>IFERROR(__xludf.DUMMYFUNCTION("""COMPUTED_VALUE"""),"O-15487-00")</f>
        <v>O-15487-00</v>
      </c>
      <c r="D61" s="2" t="str">
        <f>if(isna(vlookup(C61,'On Hand'!A:C,3,0)),"",vlookup(C61,'On Hand'!A:C,3,0))</f>
        <v/>
      </c>
    </row>
    <row r="62">
      <c r="A62" s="2" t="str">
        <f>IFERROR(__xludf.DUMMYFUNCTION("""COMPUTED_VALUE"""),"O-15488-00")</f>
        <v>O-15488-00</v>
      </c>
      <c r="B62" s="2" t="str">
        <f>IFERROR(__xludf.DUMMYFUNCTION("""COMPUTED_VALUE"""),"Gauntlets for main chamber, port size 250 x 200 mm; ; ;")</f>
        <v>Gauntlets for main chamber, port size 250 x 200 mm; ; ;</v>
      </c>
      <c r="C62" s="2" t="str">
        <f>IFERROR(__xludf.DUMMYFUNCTION("""COMPUTED_VALUE"""),"O-15488-00")</f>
        <v>O-15488-00</v>
      </c>
      <c r="D62" s="2" t="str">
        <f>if(isna(vlookup(C62,'On Hand'!A:C,3,0)),"",vlookup(C62,'On Hand'!A:C,3,0))</f>
        <v/>
      </c>
    </row>
    <row r="63">
      <c r="A63" s="2" t="str">
        <f>IFERROR(__xludf.DUMMYFUNCTION("""COMPUTED_VALUE"""),"O-15489-00")</f>
        <v>O-15489-00</v>
      </c>
      <c r="B63" s="2" t="str">
        <f>IFERROR(__xludf.DUMMYFUNCTION("""COMPUTED_VALUE"""),"SPA 1120 Brand : Optibelt / Bando Merah; Optibelt; ;")</f>
        <v>SPA 1120 Brand : Optibelt / Bando Merah; Optibelt; ;</v>
      </c>
      <c r="C63" s="2" t="str">
        <f>IFERROR(__xludf.DUMMYFUNCTION("""COMPUTED_VALUE"""),"O-15489-00")</f>
        <v>O-15489-00</v>
      </c>
      <c r="D63" s="2" t="str">
        <f>if(isna(vlookup(C63,'On Hand'!A:C,3,0)),"",vlookup(C63,'On Hand'!A:C,3,0))</f>
        <v>pc</v>
      </c>
    </row>
    <row r="64">
      <c r="A64" s="2" t="str">
        <f>IFERROR(__xludf.DUMMYFUNCTION("""COMPUTED_VALUE"""),"O-15490-00")</f>
        <v>O-15490-00</v>
      </c>
      <c r="B64" s="2" t="str">
        <f>IFERROR(__xludf.DUMMYFUNCTION("""COMPUTED_VALUE"""),"B63 Brand : Optibelt / Bando Merah; Optibelt; ;")</f>
        <v>B63 Brand : Optibelt / Bando Merah; Optibelt; ;</v>
      </c>
      <c r="C64" s="2" t="str">
        <f>IFERROR(__xludf.DUMMYFUNCTION("""COMPUTED_VALUE"""),"O-15490-00")</f>
        <v>O-15490-00</v>
      </c>
      <c r="D64" s="2" t="str">
        <f>if(isna(vlookup(C64,'On Hand'!A:C,3,0)),"",vlookup(C64,'On Hand'!A:C,3,0))</f>
        <v>pc</v>
      </c>
    </row>
    <row r="65">
      <c r="A65" s="2" t="str">
        <f>IFERROR(__xludf.DUMMYFUNCTION("""COMPUTED_VALUE"""),"O-15491-00")</f>
        <v>O-15491-00</v>
      </c>
      <c r="B65" s="2" t="str">
        <f>IFERROR(__xludf.DUMMYFUNCTION("""COMPUTED_VALUE"""),"SPA 2482 Lw Brand : Optibelt / Bando Merah; Optibelt; ;")</f>
        <v>SPA 2482 Lw Brand : Optibelt / Bando Merah; Optibelt; ;</v>
      </c>
      <c r="C65" s="2" t="str">
        <f>IFERROR(__xludf.DUMMYFUNCTION("""COMPUTED_VALUE"""),"O-15491-00")</f>
        <v>O-15491-00</v>
      </c>
      <c r="D65" s="2" t="str">
        <f>if(isna(vlookup(C65,'On Hand'!A:C,3,0)),"",vlookup(C65,'On Hand'!A:C,3,0))</f>
        <v>pc</v>
      </c>
    </row>
    <row r="66">
      <c r="A66" s="2" t="str">
        <f>IFERROR(__xludf.DUMMYFUNCTION("""COMPUTED_VALUE"""),"O-15492-00")</f>
        <v>O-15492-00</v>
      </c>
      <c r="B66" s="2" t="str">
        <f>IFERROR(__xludf.DUMMYFUNCTION("""COMPUTED_VALUE"""),"SPA 1132 Brand : Optibelt / Bando Merah - P/N : - pc")</f>
        <v>SPA 1132 Brand : Optibelt / Bando Merah - P/N : - pc</v>
      </c>
      <c r="C66" s="2" t="str">
        <f>IFERROR(__xludf.DUMMYFUNCTION("""COMPUTED_VALUE"""),"O-15492-00")</f>
        <v>O-15492-00</v>
      </c>
      <c r="D66" s="2" t="str">
        <f>if(isna(vlookup(C66,'On Hand'!A:C,3,0)),"",vlookup(C66,'On Hand'!A:C,3,0))</f>
        <v/>
      </c>
    </row>
    <row r="67">
      <c r="A67" s="2" t="str">
        <f>IFERROR(__xludf.DUMMYFUNCTION("""COMPUTED_VALUE"""),"O-15493-00")</f>
        <v>O-15493-00</v>
      </c>
      <c r="B67" s="2" t="str">
        <f>IFERROR(__xludf.DUMMYFUNCTION("""COMPUTED_VALUE"""),"SPA 1082 Brand : Optibelt / Bando Merah Optibelt")</f>
        <v>SPA 1082 Brand : Optibelt / Bando Merah Optibelt</v>
      </c>
      <c r="C67" s="2" t="str">
        <f>IFERROR(__xludf.DUMMYFUNCTION("""COMPUTED_VALUE"""),"O-15493-00")</f>
        <v>O-15493-00</v>
      </c>
      <c r="D67" s="2" t="str">
        <f>if(isna(vlookup(C67,'On Hand'!A:C,3,0)),"",vlookup(C67,'On Hand'!A:C,3,0))</f>
        <v>pc</v>
      </c>
    </row>
    <row r="68">
      <c r="A68" s="2" t="str">
        <f>IFERROR(__xludf.DUMMYFUNCTION("""COMPUTED_VALUE"""),"O-15544-00")</f>
        <v>O-15544-00</v>
      </c>
      <c r="B68" s="2" t="str">
        <f>IFERROR(__xludf.DUMMYFUNCTION("""COMPUTED_VALUE"""),"BECKER VACUUM - Medical Bacterial Filter FM70 Conn: 1/2 inch")</f>
        <v>BECKER VACUUM - Medical Bacterial Filter FM70 Conn: 1/2 inch</v>
      </c>
      <c r="C68" s="2" t="str">
        <f>IFERROR(__xludf.DUMMYFUNCTION("""COMPUTED_VALUE"""),"O-15544-00")</f>
        <v>O-15544-00</v>
      </c>
      <c r="D68" s="2" t="str">
        <f>if(isna(vlookup(C68,'On Hand'!A:C,3,0)),"",vlookup(C68,'On Hand'!A:C,3,0))</f>
        <v/>
      </c>
    </row>
    <row r="69">
      <c r="A69" s="2" t="str">
        <f>IFERROR(__xludf.DUMMYFUNCTION("""COMPUTED_VALUE"""),"O-15550-00")</f>
        <v>O-15550-00</v>
      </c>
      <c r="B69" s="2" t="str">
        <f>IFERROR(__xludf.DUMMYFUNCTION("""COMPUTED_VALUE"""),"ABSOLUT ENCODER MONOLOOP SSI, GRAY CODE, 360 TURN PULSE")</f>
        <v>ABSOLUT ENCODER MONOLOOP SSI, GRAY CODE, 360 TURN PULSE</v>
      </c>
      <c r="C69" s="2" t="str">
        <f>IFERROR(__xludf.DUMMYFUNCTION("""COMPUTED_VALUE"""),"O-15550-00")</f>
        <v>O-15550-00</v>
      </c>
      <c r="D69" s="2" t="str">
        <f>if(isna(vlookup(C69,'On Hand'!A:C,3,0)),"",vlookup(C69,'On Hand'!A:C,3,0))</f>
        <v/>
      </c>
    </row>
    <row r="70">
      <c r="A70" s="2" t="str">
        <f>IFERROR(__xludf.DUMMYFUNCTION("""COMPUTED_VALUE"""),"O-15551-00")</f>
        <v>O-15551-00</v>
      </c>
      <c r="B70" s="2" t="str">
        <f>IFERROR(__xludf.DUMMYFUNCTION("""COMPUTED_VALUE"""),"ABSOLUT ENCODER MONOLOOP SSI; GRAY CODE, 360 TURN PULSE; MAIN ENCODER ;")</f>
        <v>ABSOLUT ENCODER MONOLOOP SSI; GRAY CODE, 360 TURN PULSE; MAIN ENCODER ;</v>
      </c>
      <c r="C70" s="2" t="str">
        <f>IFERROR(__xludf.DUMMYFUNCTION("""COMPUTED_VALUE"""),"O-15551-00")</f>
        <v>O-15551-00</v>
      </c>
      <c r="D70" s="2" t="str">
        <f>if(isna(vlookup(C70,'On Hand'!A:C,3,0)),"",vlookup(C70,'On Hand'!A:C,3,0))</f>
        <v/>
      </c>
    </row>
    <row r="71">
      <c r="A71" s="2" t="str">
        <f>IFERROR(__xludf.DUMMYFUNCTION("""COMPUTED_VALUE"""),"O-15552-00")</f>
        <v>O-15552-00</v>
      </c>
      <c r="B71" s="2" t="str">
        <f>IFERROR(__xludf.DUMMYFUNCTION("""COMPUTED_VALUE"""),"ABSOLUTE ENCODER SSI 8192 GRAY RADIAL CONNECTOR; PART NO :202931")</f>
        <v>ABSOLUTE ENCODER SSI 8192 GRAY RADIAL CONNECTOR; PART NO :202931</v>
      </c>
      <c r="C71" s="2" t="str">
        <f>IFERROR(__xludf.DUMMYFUNCTION("""COMPUTED_VALUE"""),"O-15552-00")</f>
        <v>O-15552-00</v>
      </c>
      <c r="D71" s="2" t="str">
        <f>if(isna(vlookup(C71,'On Hand'!A:C,3,0)),"",vlookup(C71,'On Hand'!A:C,3,0))</f>
        <v>unt</v>
      </c>
    </row>
    <row r="72">
      <c r="A72" s="2" t="str">
        <f>IFERROR(__xludf.DUMMYFUNCTION("""COMPUTED_VALUE"""),"O-15553-00")</f>
        <v>O-15553-00</v>
      </c>
      <c r="B72" s="2" t="str">
        <f>IFERROR(__xludf.DUMMYFUNCTION("""COMPUTED_VALUE"""),"ACTUATOR VALVE (FV20)")</f>
        <v>ACTUATOR VALVE (FV20)</v>
      </c>
      <c r="C72" s="2" t="str">
        <f>IFERROR(__xludf.DUMMYFUNCTION("""COMPUTED_VALUE"""),"O-15553-00")</f>
        <v>O-15553-00</v>
      </c>
      <c r="D72" s="2" t="str">
        <f>if(isna(vlookup(C72,'On Hand'!A:C,3,0)),"",vlookup(C72,'On Hand'!A:C,3,0))</f>
        <v/>
      </c>
    </row>
    <row r="73">
      <c r="A73" s="2" t="str">
        <f>IFERROR(__xludf.DUMMYFUNCTION("""COMPUTED_VALUE"""),"O-15554-00")</f>
        <v>O-15554-00</v>
      </c>
      <c r="B73" s="2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3" s="2" t="str">
        <f>IFERROR(__xludf.DUMMYFUNCTION("""COMPUTED_VALUE"""),"O-15554-00")</f>
        <v>O-15554-00</v>
      </c>
      <c r="D73" s="2" t="str">
        <f>if(isna(vlookup(C73,'On Hand'!A:C,3,0)),"",vlookup(C73,'On Hand'!A:C,3,0))</f>
        <v/>
      </c>
    </row>
    <row r="74">
      <c r="A74" s="2" t="str">
        <f>IFERROR(__xludf.DUMMYFUNCTION("""COMPUTED_VALUE"""),"O-15555-00")</f>
        <v>O-15555-00</v>
      </c>
      <c r="B74" s="2" t="str">
        <f>IFERROR(__xludf.DUMMYFUNCTION("""COMPUTED_VALUE"""),"AISI BALLS 5/32; PART NO :200042")</f>
        <v>AISI BALLS 5/32; PART NO :200042</v>
      </c>
      <c r="C74" s="2" t="str">
        <f>IFERROR(__xludf.DUMMYFUNCTION("""COMPUTED_VALUE"""),"O-15555-00")</f>
        <v>O-15555-00</v>
      </c>
      <c r="D74" s="2" t="str">
        <f>if(isna(vlookup(C74,'On Hand'!A:C,3,0)),"",vlookup(C74,'On Hand'!A:C,3,0))</f>
        <v/>
      </c>
    </row>
    <row r="75">
      <c r="A75" s="2" t="str">
        <f>IFERROR(__xludf.DUMMYFUNCTION("""COMPUTED_VALUE"""),"O-15556-00")</f>
        <v>O-15556-00</v>
      </c>
      <c r="B75" s="2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5" s="2" t="str">
        <f>IFERROR(__xludf.DUMMYFUNCTION("""COMPUTED_VALUE"""),"O-15556-00")</f>
        <v>O-15556-00</v>
      </c>
      <c r="D75" s="2" t="str">
        <f>if(isna(vlookup(C75,'On Hand'!A:C,3,0)),"",vlookup(C75,'On Hand'!A:C,3,0))</f>
        <v/>
      </c>
    </row>
    <row r="76">
      <c r="A76" s="2" t="str">
        <f>IFERROR(__xludf.DUMMYFUNCTION("""COMPUTED_VALUE"""),"O-15557-00")</f>
        <v>O-15557-00</v>
      </c>
      <c r="B76" s="2" t="str">
        <f>IFERROR(__xludf.DUMMYFUNCTION("""COMPUTED_VALUE"""),"BEARING 51104; STERILINE; PART NO :201653")</f>
        <v>BEARING 51104; STERILINE; PART NO :201653</v>
      </c>
      <c r="C76" s="2" t="str">
        <f>IFERROR(__xludf.DUMMYFUNCTION("""COMPUTED_VALUE"""),"O-15557-00")</f>
        <v>O-15557-00</v>
      </c>
      <c r="D76" s="2" t="str">
        <f>if(isna(vlookup(C76,'On Hand'!A:C,3,0)),"",vlookup(C76,'On Hand'!A:C,3,0))</f>
        <v/>
      </c>
    </row>
    <row r="77">
      <c r="A77" s="2" t="str">
        <f>IFERROR(__xludf.DUMMYFUNCTION("""COMPUTED_VALUE"""),"O-15558-00")</f>
        <v>O-15558-00</v>
      </c>
      <c r="B77" s="2" t="str">
        <f>IFERROR(__xludf.DUMMYFUNCTION("""COMPUTED_VALUE"""),"BEARING ANGULAR BALL 7003 ACDGA/P4A; STERILINE ; PART NO :200245")</f>
        <v>BEARING ANGULAR BALL 7003 ACDGA/P4A; STERILINE ; PART NO :200245</v>
      </c>
      <c r="C77" s="2" t="str">
        <f>IFERROR(__xludf.DUMMYFUNCTION("""COMPUTED_VALUE"""),"O-15558-00")</f>
        <v>O-15558-00</v>
      </c>
      <c r="D77" s="2" t="str">
        <f>if(isna(vlookup(C77,'On Hand'!A:C,3,0)),"",vlookup(C77,'On Hand'!A:C,3,0))</f>
        <v/>
      </c>
    </row>
    <row r="78">
      <c r="A78" s="2" t="str">
        <f>IFERROR(__xludf.DUMMYFUNCTION("""COMPUTED_VALUE"""),"O-15559-00")</f>
        <v>O-15559-00</v>
      </c>
      <c r="B78" s="2" t="str">
        <f>IFERROR(__xludf.DUMMYFUNCTION("""COMPUTED_VALUE"""),"BEARING INA KH 1428; STERILINE : PART NO :200023")</f>
        <v>BEARING INA KH 1428; STERILINE : PART NO :200023</v>
      </c>
      <c r="C78" s="2" t="str">
        <f>IFERROR(__xludf.DUMMYFUNCTION("""COMPUTED_VALUE"""),"O-15559-00")</f>
        <v>O-15559-00</v>
      </c>
      <c r="D78" s="2" t="str">
        <f>if(isna(vlookup(C78,'On Hand'!A:C,3,0)),"",vlookup(C78,'On Hand'!A:C,3,0))</f>
        <v>unt</v>
      </c>
    </row>
    <row r="79">
      <c r="A79" s="2" t="str">
        <f>IFERROR(__xludf.DUMMYFUNCTION("""COMPUTED_VALUE"""),"O-15560-00")</f>
        <v>O-15560-00</v>
      </c>
      <c r="B79" s="2" t="str">
        <f>IFERROR(__xludf.DUMMYFUNCTION("""COMPUTED_VALUE"""),"BEARING INA KH 2030; STERILINE ; PART NO :200053")</f>
        <v>BEARING INA KH 2030; STERILINE ; PART NO :200053</v>
      </c>
      <c r="C79" s="2" t="str">
        <f>IFERROR(__xludf.DUMMYFUNCTION("""COMPUTED_VALUE"""),"O-15560-00")</f>
        <v>O-15560-00</v>
      </c>
      <c r="D79" s="2" t="str">
        <f>if(isna(vlookup(C79,'On Hand'!A:C,3,0)),"",vlookup(C79,'On Hand'!A:C,3,0))</f>
        <v/>
      </c>
    </row>
    <row r="80">
      <c r="A80" s="2" t="str">
        <f>IFERROR(__xludf.DUMMYFUNCTION("""COMPUTED_VALUE"""),"O-15561-00")</f>
        <v>O-15561-00</v>
      </c>
      <c r="B80" s="2" t="str">
        <f>IFERROR(__xludf.DUMMYFUNCTION("""COMPUTED_VALUE"""),"BEARING INA KH 3050; STERILINE ; PART NO :200055")</f>
        <v>BEARING INA KH 3050; STERILINE ; PART NO :200055</v>
      </c>
      <c r="C80" s="2" t="str">
        <f>IFERROR(__xludf.DUMMYFUNCTION("""COMPUTED_VALUE"""),"O-15561-00")</f>
        <v>O-15561-00</v>
      </c>
      <c r="D80" s="2" t="str">
        <f>if(isna(vlookup(C80,'On Hand'!A:C,3,0)),"",vlookup(C80,'On Hand'!A:C,3,0))</f>
        <v/>
      </c>
    </row>
    <row r="81">
      <c r="A81" s="2" t="str">
        <f>IFERROR(__xludf.DUMMYFUNCTION("""COMPUTED_VALUE"""),"O-15562-00")</f>
        <v>O-15562-00</v>
      </c>
      <c r="B81" s="2" t="str">
        <f>IFERROR(__xludf.DUMMYFUNCTION("""COMPUTED_VALUE"""),"BEARING INA NKIA5902; STERILINE PART NO :201027")</f>
        <v>BEARING INA NKIA5902; STERILINE PART NO :201027</v>
      </c>
      <c r="C81" s="2" t="str">
        <f>IFERROR(__xludf.DUMMYFUNCTION("""COMPUTED_VALUE"""),"O-15562-00")</f>
        <v>O-15562-00</v>
      </c>
      <c r="D81" s="2" t="str">
        <f>if(isna(vlookup(C81,'On Hand'!A:C,3,0)),"",vlookup(C81,'On Hand'!A:C,3,0))</f>
        <v/>
      </c>
    </row>
    <row r="82">
      <c r="A82" s="2" t="str">
        <f>IFERROR(__xludf.DUMMYFUNCTION("""COMPUTED_VALUE"""),"O-15563-00")</f>
        <v>O-15563-00</v>
      </c>
      <c r="B82" s="2" t="str">
        <f>IFERROR(__xludf.DUMMYFUNCTION("""COMPUTED_VALUE"""),"BEARING R-4HH BRAND EZO")</f>
        <v>BEARING R-4HH BRAND EZO</v>
      </c>
      <c r="C82" s="2" t="str">
        <f>IFERROR(__xludf.DUMMYFUNCTION("""COMPUTED_VALUE"""),"O-15563-00")</f>
        <v>O-15563-00</v>
      </c>
      <c r="D82" s="2" t="str">
        <f>if(isna(vlookup(C82,'On Hand'!A:C,3,0)),"",vlookup(C82,'On Hand'!A:C,3,0))</f>
        <v/>
      </c>
    </row>
    <row r="83">
      <c r="A83" s="2" t="str">
        <f>IFERROR(__xludf.DUMMYFUNCTION("""COMPUTED_VALUE"""),"O-15564-00")</f>
        <v>O-15564-00</v>
      </c>
      <c r="B83" s="2" t="str">
        <f>IFERROR(__xludf.DUMMYFUNCTION("""COMPUTED_VALUE"""),"BUSHING IGUS HFM 08 - 10 - 10; STERILINE PART NO :201202")</f>
        <v>BUSHING IGUS HFM 08 - 10 - 10; STERILINE PART NO :201202</v>
      </c>
      <c r="C83" s="2" t="str">
        <f>IFERROR(__xludf.DUMMYFUNCTION("""COMPUTED_VALUE"""),"O-15564-00")</f>
        <v>O-15564-00</v>
      </c>
      <c r="D83" s="2" t="str">
        <f>if(isna(vlookup(C83,'On Hand'!A:C,3,0)),"",vlookup(C83,'On Hand'!A:C,3,0))</f>
        <v/>
      </c>
    </row>
    <row r="84">
      <c r="A84" s="2" t="str">
        <f>IFERROR(__xludf.DUMMYFUNCTION("""COMPUTED_VALUE"""),"O-15565-00")</f>
        <v>O-15565-00</v>
      </c>
      <c r="B84" s="2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4" s="2" t="str">
        <f>IFERROR(__xludf.DUMMYFUNCTION("""COMPUTED_VALUE"""),"O-15565-00")</f>
        <v>O-15565-00</v>
      </c>
      <c r="D84" s="2" t="str">
        <f>if(isna(vlookup(C84,'On Hand'!A:C,3,0)),"",vlookup(C84,'On Hand'!A:C,3,0))</f>
        <v/>
      </c>
    </row>
    <row r="85">
      <c r="A85" s="2" t="str">
        <f>IFERROR(__xludf.DUMMYFUNCTION("""COMPUTED_VALUE"""),"O-15566-00")</f>
        <v>O-15566-00</v>
      </c>
      <c r="B85" s="2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5" s="2" t="str">
        <f>IFERROR(__xludf.DUMMYFUNCTION("""COMPUTED_VALUE"""),"O-15566-00")</f>
        <v>O-15566-00</v>
      </c>
      <c r="D85" s="2" t="str">
        <f>if(isna(vlookup(C85,'On Hand'!A:C,3,0)),"",vlookup(C85,'On Hand'!A:C,3,0))</f>
        <v/>
      </c>
    </row>
    <row r="86">
      <c r="A86" s="2" t="str">
        <f>IFERROR(__xludf.DUMMYFUNCTION("""COMPUTED_VALUE"""),"O-15567-00")</f>
        <v>O-15567-00</v>
      </c>
      <c r="B86" s="2" t="str">
        <f>IFERROR(__xludf.DUMMYFUNCTION("""COMPUTED_VALUE"""),"CAPS MINIMUM LOAD SENSOR ; HIGH PRECISION OPTICAL FIBER FU-7F")</f>
        <v>CAPS MINIMUM LOAD SENSOR ; HIGH PRECISION OPTICAL FIBER FU-7F</v>
      </c>
      <c r="C86" s="2" t="str">
        <f>IFERROR(__xludf.DUMMYFUNCTION("""COMPUTED_VALUE"""),"O-15567-00")</f>
        <v>O-15567-00</v>
      </c>
      <c r="D86" s="2" t="str">
        <f>if(isna(vlookup(C86,'On Hand'!A:C,3,0)),"",vlookup(C86,'On Hand'!A:C,3,0))</f>
        <v/>
      </c>
    </row>
    <row r="87">
      <c r="A87" s="2" t="str">
        <f>IFERROR(__xludf.DUMMYFUNCTION("""COMPUTED_VALUE"""),"O-15568-00")</f>
        <v>O-15568-00</v>
      </c>
      <c r="B87" s="2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7" s="2" t="str">
        <f>IFERROR(__xludf.DUMMYFUNCTION("""COMPUTED_VALUE"""),"O-15568-00")</f>
        <v>O-15568-00</v>
      </c>
      <c r="D87" s="2" t="str">
        <f>if(isna(vlookup(C87,'On Hand'!A:C,3,0)),"",vlookup(C87,'On Hand'!A:C,3,0))</f>
        <v/>
      </c>
    </row>
    <row r="88">
      <c r="A88" s="2" t="str">
        <f>IFERROR(__xludf.DUMMYFUNCTION("""COMPUTED_VALUE"""),"O-15569-00")</f>
        <v>O-15569-00</v>
      </c>
      <c r="B88" s="2" t="str">
        <f>IFERROR(__xludf.DUMMYFUNCTION("""COMPUTED_VALUE"""),"CHAMBER AIR INLET PNEUMATIC VALVE ; VP3 ;")</f>
        <v>CHAMBER AIR INLET PNEUMATIC VALVE ; VP3 ;</v>
      </c>
      <c r="C88" s="2" t="str">
        <f>IFERROR(__xludf.DUMMYFUNCTION("""COMPUTED_VALUE"""),"O-15569-00")</f>
        <v>O-15569-00</v>
      </c>
      <c r="D88" s="2" t="str">
        <f>if(isna(vlookup(C88,'On Hand'!A:C,3,0)),"",vlookup(C88,'On Hand'!A:C,3,0))</f>
        <v/>
      </c>
    </row>
    <row r="89">
      <c r="A89" s="2" t="str">
        <f>IFERROR(__xludf.DUMMYFUNCTION("""COMPUTED_VALUE"""),"O-15570-00")</f>
        <v>O-15570-00</v>
      </c>
      <c r="B89" s="2" t="str">
        <f>IFERROR(__xludf.DUMMYFUNCTION("""COMPUTED_VALUE"""),"CHAMBER PRESSURE TRANSDUCER ; TP ;")</f>
        <v>CHAMBER PRESSURE TRANSDUCER ; TP ;</v>
      </c>
      <c r="C89" s="2" t="str">
        <f>IFERROR(__xludf.DUMMYFUNCTION("""COMPUTED_VALUE"""),"O-15570-00")</f>
        <v>O-15570-00</v>
      </c>
      <c r="D89" s="2" t="str">
        <f>if(isna(vlookup(C89,'On Hand'!A:C,3,0)),"",vlookup(C89,'On Hand'!A:C,3,0))</f>
        <v/>
      </c>
    </row>
    <row r="90">
      <c r="A90" s="2" t="str">
        <f>IFERROR(__xludf.DUMMYFUNCTION("""COMPUTED_VALUE"""),"O-15571-00")</f>
        <v>O-15571-00</v>
      </c>
      <c r="B90" s="2" t="str">
        <f>IFERROR(__xludf.DUMMYFUNCTION("""COMPUTED_VALUE"""),"COMPRESSED AIR LINE FILTER; F6 ;")</f>
        <v>COMPRESSED AIR LINE FILTER; F6 ;</v>
      </c>
      <c r="C90" s="2" t="str">
        <f>IFERROR(__xludf.DUMMYFUNCTION("""COMPUTED_VALUE"""),"O-15571-00")</f>
        <v>O-15571-00</v>
      </c>
      <c r="D90" s="2" t="str">
        <f>if(isna(vlookup(C90,'On Hand'!A:C,3,0)),"",vlookup(C90,'On Hand'!A:C,3,0))</f>
        <v/>
      </c>
    </row>
    <row r="91">
      <c r="A91" s="2" t="str">
        <f>IFERROR(__xludf.DUMMYFUNCTION("""COMPUTED_VALUE"""),"O-15572-00")</f>
        <v>O-15572-00</v>
      </c>
      <c r="B91" s="2" t="str">
        <f>IFERROR(__xludf.DUMMYFUNCTION("""COMPUTED_VALUE"""),"CORDA TONDA IN NBR D=3MM; STERILINE ; PART NO :6829")</f>
        <v>CORDA TONDA IN NBR D=3MM; STERILINE ; PART NO :6829</v>
      </c>
      <c r="C91" s="2" t="str">
        <f>IFERROR(__xludf.DUMMYFUNCTION("""COMPUTED_VALUE"""),"O-15572-00")</f>
        <v>O-15572-00</v>
      </c>
      <c r="D91" s="2" t="str">
        <f>if(isna(vlookup(C91,'On Hand'!A:C,3,0)),"",vlookup(C91,'On Hand'!A:C,3,0))</f>
        <v>unt</v>
      </c>
    </row>
    <row r="92">
      <c r="A92" s="2" t="str">
        <f>IFERROR(__xludf.DUMMYFUNCTION("""COMPUTED_VALUE"""),"O-15573-00")</f>
        <v>O-15573-00</v>
      </c>
      <c r="B92" s="2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2" s="2" t="str">
        <f>IFERROR(__xludf.DUMMYFUNCTION("""COMPUTED_VALUE"""),"O-15573-00")</f>
        <v>O-15573-00</v>
      </c>
      <c r="D92" s="2" t="str">
        <f>if(isna(vlookup(C92,'On Hand'!A:C,3,0)),"",vlookup(C92,'On Hand'!A:C,3,0))</f>
        <v/>
      </c>
    </row>
    <row r="93">
      <c r="A93" s="2" t="str">
        <f>IFERROR(__xludf.DUMMYFUNCTION("""COMPUTED_VALUE"""),"O-15574-00")</f>
        <v>O-15574-00</v>
      </c>
      <c r="B93" s="2" t="str">
        <f>IFERROR(__xludf.DUMMYFUNCTION("""COMPUTED_VALUE"""),"COUPLING HUB: STERILINE ; GET 14 ALU-C DIAM-14; PART NO :200239")</f>
        <v>COUPLING HUB: STERILINE ; GET 14 ALU-C DIAM-14; PART NO :200239</v>
      </c>
      <c r="C93" s="2" t="str">
        <f>IFERROR(__xludf.DUMMYFUNCTION("""COMPUTED_VALUE"""),"O-15574-00")</f>
        <v>O-15574-00</v>
      </c>
      <c r="D93" s="2" t="str">
        <f>if(isna(vlookup(C93,'On Hand'!A:C,3,0)),"",vlookup(C93,'On Hand'!A:C,3,0))</f>
        <v/>
      </c>
    </row>
    <row r="94">
      <c r="A94" s="2" t="str">
        <f>IFERROR(__xludf.DUMMYFUNCTION("""COMPUTED_VALUE"""),"O-15575-00")</f>
        <v>O-15575-00</v>
      </c>
      <c r="B94" s="2" t="str">
        <f>IFERROR(__xludf.DUMMYFUNCTION("""COMPUTED_VALUE"""),"COUPLING HUB; STERILINE ; GE-T 19/24 ESEC. -C-FORO DIAM. 19; PART NO :200834")</f>
        <v>COUPLING HUB; STERILINE ; GE-T 19/24 ESEC. -C-FORO DIAM. 19; PART NO :200834</v>
      </c>
      <c r="C94" s="2" t="str">
        <f>IFERROR(__xludf.DUMMYFUNCTION("""COMPUTED_VALUE"""),"O-15575-00")</f>
        <v>O-15575-00</v>
      </c>
      <c r="D94" s="2" t="str">
        <f>if(isna(vlookup(C94,'On Hand'!A:C,3,0)),"",vlookup(C94,'On Hand'!A:C,3,0))</f>
        <v/>
      </c>
    </row>
    <row r="95">
      <c r="A95" s="2" t="str">
        <f>IFERROR(__xludf.DUMMYFUNCTION("""COMPUTED_VALUE"""),"O-15576-00")</f>
        <v>O-15576-00</v>
      </c>
      <c r="B95" s="2" t="str">
        <f>IFERROR(__xludf.DUMMYFUNCTION("""COMPUTED_VALUE"""),"DOOR GASKET RED SILICON; PART NO :PP600076")</f>
        <v>DOOR GASKET RED SILICON; PART NO :PP600076</v>
      </c>
      <c r="C95" s="2" t="str">
        <f>IFERROR(__xludf.DUMMYFUNCTION("""COMPUTED_VALUE"""),"O-15576-00")</f>
        <v>O-15576-00</v>
      </c>
      <c r="D95" s="2" t="str">
        <f>if(isna(vlookup(C95,'On Hand'!A:C,3,0)),"",vlookup(C95,'On Hand'!A:C,3,0))</f>
        <v/>
      </c>
    </row>
    <row r="96">
      <c r="A96" s="2" t="str">
        <f>IFERROR(__xludf.DUMMYFUNCTION("""COMPUTED_VALUE"""),"O-15577-00")</f>
        <v>O-15577-00</v>
      </c>
      <c r="B96" s="2" t="str">
        <f>IFERROR(__xludf.DUMMYFUNCTION("""COMPUTED_VALUE"""),"DOOR LOCKED/UNLOCKED LIMIT SWITCH(ADJUSTABLE ROLLER LEVER, 1NO+1NC,IP67)")</f>
        <v>DOOR LOCKED/UNLOCKED LIMIT SWITCH(ADJUSTABLE ROLLER LEVER, 1NO+1NC,IP67)</v>
      </c>
      <c r="C96" s="2" t="str">
        <f>IFERROR(__xludf.DUMMYFUNCTION("""COMPUTED_VALUE"""),"O-15577-00")</f>
        <v>O-15577-00</v>
      </c>
      <c r="D96" s="2" t="str">
        <f>if(isna(vlookup(C96,'On Hand'!A:C,3,0)),"",vlookup(C96,'On Hand'!A:C,3,0))</f>
        <v/>
      </c>
    </row>
    <row r="97">
      <c r="A97" s="2" t="str">
        <f>IFERROR(__xludf.DUMMYFUNCTION("""COMPUTED_VALUE"""),"O-15578-00")</f>
        <v>O-15578-00</v>
      </c>
      <c r="B97" s="2" t="str">
        <f>IFERROR(__xludf.DUMMYFUNCTION("""COMPUTED_VALUE"""),"DOOR SEALING RING(?D?TYPE SILICON RUBBER 17X20 (7METERS))")</f>
        <v>DOOR SEALING RING(?D?TYPE SILICON RUBBER 17X20 (7METERS))</v>
      </c>
      <c r="C97" s="2" t="str">
        <f>IFERROR(__xludf.DUMMYFUNCTION("""COMPUTED_VALUE"""),"O-15578-00")</f>
        <v>O-15578-00</v>
      </c>
      <c r="D97" s="2" t="str">
        <f>if(isna(vlookup(C97,'On Hand'!A:C,3,0)),"",vlookup(C97,'On Hand'!A:C,3,0))</f>
        <v/>
      </c>
    </row>
    <row r="98">
      <c r="A98" s="2" t="str">
        <f>IFERROR(__xludf.DUMMYFUNCTION("""COMPUTED_VALUE"""),"O-15579-00")</f>
        <v>O-15579-00</v>
      </c>
      <c r="B98" s="2" t="str">
        <f>IFERROR(__xludf.DUMMYFUNCTION("""COMPUTED_VALUE"""),"DOOR GASKET SIDE 1; DG ;")</f>
        <v>DOOR GASKET SIDE 1; DG ;</v>
      </c>
      <c r="C98" s="2" t="str">
        <f>IFERROR(__xludf.DUMMYFUNCTION("""COMPUTED_VALUE"""),"O-15579-00")</f>
        <v>O-15579-00</v>
      </c>
      <c r="D98" s="2" t="str">
        <f>if(isna(vlookup(C98,'On Hand'!A:C,3,0)),"",vlookup(C98,'On Hand'!A:C,3,0))</f>
        <v/>
      </c>
    </row>
    <row r="99">
      <c r="A99" s="2" t="str">
        <f>IFERROR(__xludf.DUMMYFUNCTION("""COMPUTED_VALUE"""),"O-15580-00")</f>
        <v>O-15580-00</v>
      </c>
      <c r="B99" s="2" t="str">
        <f>IFERROR(__xludf.DUMMYFUNCTION("""COMPUTED_VALUE"""),"DOOR GASKET SIDE 2; DG1 ;")</f>
        <v>DOOR GASKET SIDE 2; DG1 ;</v>
      </c>
      <c r="C99" s="2" t="str">
        <f>IFERROR(__xludf.DUMMYFUNCTION("""COMPUTED_VALUE"""),"O-15580-00")</f>
        <v>O-15580-00</v>
      </c>
      <c r="D99" s="2" t="str">
        <f>if(isna(vlookup(C99,'On Hand'!A:C,3,0)),"",vlookup(C99,'On Hand'!A:C,3,0))</f>
        <v/>
      </c>
    </row>
    <row r="100">
      <c r="A100" s="2" t="str">
        <f>IFERROR(__xludf.DUMMYFUNCTION("""COMPUTED_VALUE"""),"O-15581-00")</f>
        <v>O-15581-00</v>
      </c>
      <c r="B100" s="2" t="str">
        <f>IFERROR(__xludf.DUMMYFUNCTION("""COMPUTED_VALUE"""),"DOOR SAFETY SWITCHES ; SCHMERSAL ; MAGNET BPS-260")</f>
        <v>DOOR SAFETY SWITCHES ; SCHMERSAL ; MAGNET BPS-260</v>
      </c>
      <c r="C100" s="2" t="str">
        <f>IFERROR(__xludf.DUMMYFUNCTION("""COMPUTED_VALUE"""),"O-15581-00")</f>
        <v>O-15581-00</v>
      </c>
      <c r="D100" s="2" t="str">
        <f>if(isna(vlookup(C100,'On Hand'!A:C,3,0)),"",vlookup(C100,'On Hand'!A:C,3,0))</f>
        <v/>
      </c>
    </row>
    <row r="101">
      <c r="A101" s="2" t="str">
        <f>IFERROR(__xludf.DUMMYFUNCTION("""COMPUTED_VALUE"""),"O-15582-00")</f>
        <v>O-15582-00</v>
      </c>
      <c r="B101" s="2" t="str">
        <f>IFERROR(__xludf.DUMMYFUNCTION("""COMPUTED_VALUE"""),"DOOR SAFETY SWITCHES ; SCHMERSAL ; PROXIMITY SENSOR , BNS-260 FOR DOOR")</f>
        <v>DOOR SAFETY SWITCHES ; SCHMERSAL ; PROXIMITY SENSOR , BNS-260 FOR DOOR</v>
      </c>
      <c r="C101" s="2" t="str">
        <f>IFERROR(__xludf.DUMMYFUNCTION("""COMPUTED_VALUE"""),"O-15582-00")</f>
        <v>O-15582-00</v>
      </c>
      <c r="D101" s="2" t="str">
        <f>if(isna(vlookup(C101,'On Hand'!A:C,3,0)),"",vlookup(C101,'On Hand'!A:C,3,0))</f>
        <v/>
      </c>
    </row>
    <row r="102">
      <c r="A102" s="2" t="str">
        <f>IFERROR(__xludf.DUMMYFUNCTION("""COMPUTED_VALUE"""),"O-15583-00")</f>
        <v>O-15583-00</v>
      </c>
      <c r="B102" s="2" t="str">
        <f>IFERROR(__xludf.DUMMYFUNCTION("""COMPUTED_VALUE"""),"DOP+GASKET ( FOR RUPTURE DISK SILICON EXPANSION TANK, D=3)")</f>
        <v>DOP+GASKET ( FOR RUPTURE DISK SILICON EXPANSION TANK, D=3)</v>
      </c>
      <c r="C102" s="2" t="str">
        <f>IFERROR(__xludf.DUMMYFUNCTION("""COMPUTED_VALUE"""),"O-15583-00")</f>
        <v>O-15583-00</v>
      </c>
      <c r="D102" s="2" t="str">
        <f>if(isna(vlookup(C102,'On Hand'!A:C,3,0)),"",vlookup(C102,'On Hand'!A:C,3,0))</f>
        <v/>
      </c>
    </row>
    <row r="103">
      <c r="A103" s="2" t="str">
        <f>IFERROR(__xludf.DUMMYFUNCTION("""COMPUTED_VALUE"""),"O-15584-00")</f>
        <v>O-15584-00</v>
      </c>
      <c r="B103" s="2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3" s="2" t="str">
        <f>IFERROR(__xludf.DUMMYFUNCTION("""COMPUTED_VALUE"""),"O-15584-00")</f>
        <v>O-15584-00</v>
      </c>
      <c r="D103" s="2" t="str">
        <f>if(isna(vlookup(C103,'On Hand'!A:C,3,0)),"",vlookup(C103,'On Hand'!A:C,3,0))</f>
        <v/>
      </c>
    </row>
    <row r="104">
      <c r="A104" s="2" t="str">
        <f>IFERROR(__xludf.DUMMYFUNCTION("""COMPUTED_VALUE"""),"O-15585-00")</f>
        <v>O-15585-00</v>
      </c>
      <c r="B104" s="2" t="str">
        <f>IFERROR(__xludf.DUMMYFUNCTION("""COMPUTED_VALUE"""),"EPDM GASKET FOR GEMU PNEUMATIC MEMBRANE VALVE 1/2 (DN15) HEAT NO. 133057;")</f>
        <v>EPDM GASKET FOR GEMU PNEUMATIC MEMBRANE VALVE 1/2 (DN15) HEAT NO. 133057;</v>
      </c>
      <c r="C104" s="2" t="str">
        <f>IFERROR(__xludf.DUMMYFUNCTION("""COMPUTED_VALUE"""),"O-15585-00")</f>
        <v>O-15585-00</v>
      </c>
      <c r="D104" s="2" t="str">
        <f>if(isna(vlookup(C104,'On Hand'!A:C,3,0)),"",vlookup(C104,'On Hand'!A:C,3,0))</f>
        <v/>
      </c>
    </row>
    <row r="105">
      <c r="A105" s="2" t="str">
        <f>IFERROR(__xludf.DUMMYFUNCTION("""COMPUTED_VALUE"""),"O-15586-00")</f>
        <v>O-15586-00</v>
      </c>
      <c r="B105" s="2" t="str">
        <f>IFERROR(__xludf.DUMMYFUNCTION("""COMPUTED_VALUE"""),"EXIT LIFTING SIDE GUIDES CYLINDER ; CYLINDER D=16 STROKE=15")</f>
        <v>EXIT LIFTING SIDE GUIDES CYLINDER ; CYLINDER D=16 STROKE=15</v>
      </c>
      <c r="C105" s="2" t="str">
        <f>IFERROR(__xludf.DUMMYFUNCTION("""COMPUTED_VALUE"""),"O-15586-00")</f>
        <v>O-15586-00</v>
      </c>
      <c r="D105" s="2" t="str">
        <f>if(isna(vlookup(C105,'On Hand'!A:C,3,0)),"",vlookup(C105,'On Hand'!A:C,3,0))</f>
        <v/>
      </c>
    </row>
    <row r="106">
      <c r="A106" s="2" t="str">
        <f>IFERROR(__xludf.DUMMYFUNCTION("""COMPUTED_VALUE"""),"O-15587-00")</f>
        <v>O-15587-00</v>
      </c>
      <c r="B106" s="2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6" s="2" t="str">
        <f>IFERROR(__xludf.DUMMYFUNCTION("""COMPUTED_VALUE"""),"O-15587-00")</f>
        <v>O-15587-00</v>
      </c>
      <c r="D106" s="2" t="str">
        <f>if(isna(vlookup(C106,'On Hand'!A:C,3,0)),"",vlookup(C106,'On Hand'!A:C,3,0))</f>
        <v>unt</v>
      </c>
    </row>
    <row r="107">
      <c r="A107" s="2" t="str">
        <f>IFERROR(__xludf.DUMMYFUNCTION("""COMPUTED_VALUE"""),"O-15588-00")</f>
        <v>O-15588-00</v>
      </c>
      <c r="B107" s="2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7" s="2" t="str">
        <f>IFERROR(__xludf.DUMMYFUNCTION("""COMPUTED_VALUE"""),"O-15588-00")</f>
        <v>O-15588-00</v>
      </c>
      <c r="D107" s="2" t="str">
        <f>if(isna(vlookup(C107,'On Hand'!A:C,3,0)),"",vlookup(C107,'On Hand'!A:C,3,0))</f>
        <v/>
      </c>
    </row>
    <row r="108">
      <c r="A108" s="2" t="str">
        <f>IFERROR(__xludf.DUMMYFUNCTION("""COMPUTED_VALUE"""),"O-15589-00")</f>
        <v>O-15589-00</v>
      </c>
      <c r="B108" s="2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8" s="2" t="str">
        <f>IFERROR(__xludf.DUMMYFUNCTION("""COMPUTED_VALUE"""),"O-15589-00")</f>
        <v>O-15589-00</v>
      </c>
      <c r="D108" s="2" t="str">
        <f>if(isna(vlookup(C108,'On Hand'!A:C,3,0)),"",vlookup(C108,'On Hand'!A:C,3,0))</f>
        <v/>
      </c>
    </row>
    <row r="109">
      <c r="A109" s="2" t="str">
        <f>IFERROR(__xludf.DUMMYFUNCTION("""COMPUTED_VALUE"""),"O-15590-00")</f>
        <v>O-15590-00</v>
      </c>
      <c r="B109" s="2" t="str">
        <f>IFERROR(__xludf.DUMMYFUNCTION("""COMPUTED_VALUE"""),"FILTER CA 0,2 MICRON; PART NO :CC120072")</f>
        <v>FILTER CA 0,2 MICRON; PART NO :CC120072</v>
      </c>
      <c r="C109" s="2" t="str">
        <f>IFERROR(__xludf.DUMMYFUNCTION("""COMPUTED_VALUE"""),"O-15590-00")</f>
        <v>O-15590-00</v>
      </c>
      <c r="D109" s="2" t="str">
        <f>if(isna(vlookup(C109,'On Hand'!A:C,3,0)),"",vlookup(C109,'On Hand'!A:C,3,0))</f>
        <v/>
      </c>
    </row>
    <row r="110">
      <c r="A110" s="2" t="str">
        <f>IFERROR(__xludf.DUMMYFUNCTION("""COMPUTED_VALUE"""),"O-15591-00")</f>
        <v>O-15591-00</v>
      </c>
      <c r="B110" s="2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0" s="2" t="str">
        <f>IFERROR(__xludf.DUMMYFUNCTION("""COMPUTED_VALUE"""),"O-15591-00")</f>
        <v>O-15591-00</v>
      </c>
      <c r="D110" s="2" t="str">
        <f>if(isna(vlookup(C110,'On Hand'!A:C,3,0)),"",vlookup(C110,'On Hand'!A:C,3,0))</f>
        <v>unt</v>
      </c>
    </row>
    <row r="111">
      <c r="A111" s="2" t="str">
        <f>IFERROR(__xludf.DUMMYFUNCTION("""COMPUTED_VALUE"""),"O-15592-00")</f>
        <v>O-15592-00</v>
      </c>
      <c r="B111" s="2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1" s="2" t="str">
        <f>IFERROR(__xludf.DUMMYFUNCTION("""COMPUTED_VALUE"""),"O-15592-00")</f>
        <v>O-15592-00</v>
      </c>
      <c r="D111" s="2" t="str">
        <f>if(isna(vlookup(C111,'On Hand'!A:C,3,0)),"",vlookup(C111,'On Hand'!A:C,3,0))</f>
        <v>unt</v>
      </c>
    </row>
    <row r="112">
      <c r="A112" s="2" t="str">
        <f>IFERROR(__xludf.DUMMYFUNCTION("""COMPUTED_VALUE"""),"O-15592-00")</f>
        <v>O-15592-00</v>
      </c>
      <c r="B112" s="2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2" t="str">
        <f>IFERROR(__xludf.DUMMYFUNCTION("""COMPUTED_VALUE"""),"O-15592-00")</f>
        <v>O-15592-00</v>
      </c>
      <c r="D112" s="2" t="str">
        <f>if(isna(vlookup(C112,'On Hand'!A:C,3,0)),"",vlookup(C112,'On Hand'!A:C,3,0))</f>
        <v>unt</v>
      </c>
    </row>
    <row r="113">
      <c r="A113" s="2" t="str">
        <f>IFERROR(__xludf.DUMMYFUNCTION("""COMPUTED_VALUE"""),"O-15593-00")</f>
        <v>O-15593-00</v>
      </c>
      <c r="B113" s="2" t="str">
        <f>IFERROR(__xludf.DUMMYFUNCTION("""COMPUTED_VALUE"""),"FITTING FEMALE THREAD, SMC, KQ2F10-03A")</f>
        <v>FITTING FEMALE THREAD, SMC, KQ2F10-03A</v>
      </c>
      <c r="C113" s="2" t="str">
        <f>IFERROR(__xludf.DUMMYFUNCTION("""COMPUTED_VALUE"""),"O-15593-00")</f>
        <v>O-15593-00</v>
      </c>
      <c r="D113" s="2" t="str">
        <f>if(isna(vlookup(C113,'On Hand'!A:C,3,0)),"",vlookup(C113,'On Hand'!A:C,3,0))</f>
        <v/>
      </c>
    </row>
    <row r="114">
      <c r="A114" s="2" t="str">
        <f>IFERROR(__xludf.DUMMYFUNCTION("""COMPUTED_VALUE"""),"O-15594-00")</f>
        <v>O-15594-00</v>
      </c>
      <c r="B114" s="2" t="str">
        <f>IFERROR(__xludf.DUMMYFUNCTION("""COMPUTED_VALUE"""),"FLOWMETER + REGULATOR PRE GAS/POST GAS; ASA")</f>
        <v>FLOWMETER + REGULATOR PRE GAS/POST GAS; ASA</v>
      </c>
      <c r="C114" s="2" t="str">
        <f>IFERROR(__xludf.DUMMYFUNCTION("""COMPUTED_VALUE"""),"O-15594-00")</f>
        <v>O-15594-00</v>
      </c>
      <c r="D114" s="2" t="str">
        <f>if(isna(vlookup(C114,'On Hand'!A:C,3,0)),"",vlookup(C114,'On Hand'!A:C,3,0))</f>
        <v/>
      </c>
    </row>
    <row r="115">
      <c r="A115" s="2" t="str">
        <f>IFERROR(__xludf.DUMMYFUNCTION("""COMPUTED_VALUE"""),"O-15595-00")</f>
        <v>O-15595-00</v>
      </c>
      <c r="B115" s="2" t="str">
        <f>IFERROR(__xludf.DUMMYFUNCTION("""COMPUTED_VALUE"""),"MOTOR, BONFIGLIOLI TYPE BN63B4 0,18-0,21KW, 50-60HZ 1320RPM;")</f>
        <v>MOTOR, BONFIGLIOLI TYPE BN63B4 0,18-0,21KW, 50-60HZ 1320RPM;</v>
      </c>
      <c r="C115" s="2" t="str">
        <f>IFERROR(__xludf.DUMMYFUNCTION("""COMPUTED_VALUE"""),"O-15595-00")</f>
        <v>O-15595-00</v>
      </c>
      <c r="D115" s="2" t="str">
        <f>if(isna(vlookup(C115,'On Hand'!A:C,3,0)),"",vlookup(C115,'On Hand'!A:C,3,0))</f>
        <v/>
      </c>
    </row>
    <row r="116">
      <c r="A116" s="2" t="str">
        <f>IFERROR(__xludf.DUMMYFUNCTION("""COMPUTED_VALUE"""),"O-15596-00")</f>
        <v>O-15596-00</v>
      </c>
      <c r="B116" s="2" t="str">
        <f>IFERROR(__xludf.DUMMYFUNCTION("""COMPUTED_VALUE"""),"GASKET O RING + SPRING 255")</f>
        <v>GASKET O RING + SPRING 255</v>
      </c>
      <c r="C116" s="2" t="str">
        <f>IFERROR(__xludf.DUMMYFUNCTION("""COMPUTED_VALUE"""),"O-15596-00")</f>
        <v>O-15596-00</v>
      </c>
      <c r="D116" s="2" t="str">
        <f>if(isna(vlookup(C116,'On Hand'!A:C,3,0)),"",vlookup(C116,'On Hand'!A:C,3,0))</f>
        <v/>
      </c>
    </row>
    <row r="117">
      <c r="A117" s="2" t="str">
        <f>IFERROR(__xludf.DUMMYFUNCTION("""COMPUTED_VALUE"""),"O-15597-00")</f>
        <v>O-15597-00</v>
      </c>
      <c r="B117" s="2" t="str">
        <f>IFERROR(__xludf.DUMMYFUNCTION("""COMPUTED_VALUE"""),"GASKET O RING 2,5 ")</f>
        <v>GASKET O RING 2,5 </v>
      </c>
      <c r="C117" s="2" t="str">
        <f>IFERROR(__xludf.DUMMYFUNCTION("""COMPUTED_VALUE"""),"O-15597-00")</f>
        <v>O-15597-00</v>
      </c>
      <c r="D117" s="2" t="str">
        <f>if(isna(vlookup(C117,'On Hand'!A:C,3,0)),"",vlookup(C117,'On Hand'!A:C,3,0))</f>
        <v/>
      </c>
    </row>
    <row r="118">
      <c r="A118" s="2" t="str">
        <f>IFERROR(__xludf.DUMMYFUNCTION("""COMPUTED_VALUE"""),"O-15598-00")</f>
        <v>O-15598-00</v>
      </c>
      <c r="B118" s="2" t="str">
        <f>IFERROR(__xludf.DUMMYFUNCTION("""COMPUTED_VALUE"""),"GASKET O RING 216")</f>
        <v>GASKET O RING 216</v>
      </c>
      <c r="C118" s="2" t="str">
        <f>IFERROR(__xludf.DUMMYFUNCTION("""COMPUTED_VALUE"""),"O-15598-00")</f>
        <v>O-15598-00</v>
      </c>
      <c r="D118" s="2" t="str">
        <f>if(isna(vlookup(C118,'On Hand'!A:C,3,0)),"",vlookup(C118,'On Hand'!A:C,3,0))</f>
        <v/>
      </c>
    </row>
    <row r="119">
      <c r="A119" s="2" t="str">
        <f>IFERROR(__xludf.DUMMYFUNCTION("""COMPUTED_VALUE"""),"O-15599-00")</f>
        <v>O-15599-00</v>
      </c>
      <c r="B119" s="2" t="str">
        <f>IFERROR(__xludf.DUMMYFUNCTION("""COMPUTED_VALUE"""),"GASKET O RING 286")</f>
        <v>GASKET O RING 286</v>
      </c>
      <c r="C119" s="2" t="str">
        <f>IFERROR(__xludf.DUMMYFUNCTION("""COMPUTED_VALUE"""),"O-15599-00")</f>
        <v>O-15599-00</v>
      </c>
      <c r="D119" s="2" t="str">
        <f>if(isna(vlookup(C119,'On Hand'!A:C,3,0)),"",vlookup(C119,'On Hand'!A:C,3,0))</f>
        <v/>
      </c>
    </row>
    <row r="120">
      <c r="A120" s="2" t="str">
        <f>IFERROR(__xludf.DUMMYFUNCTION("""COMPUTED_VALUE"""),"O-15600-00")</f>
        <v>O-15600-00</v>
      </c>
      <c r="B120" s="2" t="str">
        <f>IFERROR(__xludf.DUMMYFUNCTION("""COMPUTED_VALUE"""),"GASKET O RING 301")</f>
        <v>GASKET O RING 301</v>
      </c>
      <c r="C120" s="2" t="str">
        <f>IFERROR(__xludf.DUMMYFUNCTION("""COMPUTED_VALUE"""),"O-15600-00")</f>
        <v>O-15600-00</v>
      </c>
      <c r="D120" s="2" t="str">
        <f>if(isna(vlookup(C120,'On Hand'!A:C,3,0)),"",vlookup(C120,'On Hand'!A:C,3,0))</f>
        <v/>
      </c>
    </row>
    <row r="121">
      <c r="A121" s="2" t="str">
        <f>IFERROR(__xludf.DUMMYFUNCTION("""COMPUTED_VALUE"""),"O-15601-00")</f>
        <v>O-15601-00</v>
      </c>
      <c r="B121" s="2" t="str">
        <f>IFERROR(__xludf.DUMMYFUNCTION("""COMPUTED_VALUE"""),"GASKET O RING 304")</f>
        <v>GASKET O RING 304</v>
      </c>
      <c r="C121" s="2" t="str">
        <f>IFERROR(__xludf.DUMMYFUNCTION("""COMPUTED_VALUE"""),"O-15601-00")</f>
        <v>O-15601-00</v>
      </c>
      <c r="D121" s="2" t="str">
        <f>if(isna(vlookup(C121,'On Hand'!A:C,3,0)),"",vlookup(C121,'On Hand'!A:C,3,0))</f>
        <v/>
      </c>
    </row>
    <row r="122">
      <c r="A122" s="2" t="str">
        <f>IFERROR(__xludf.DUMMYFUNCTION("""COMPUTED_VALUE"""),"O-15602-00")</f>
        <v>O-15602-00</v>
      </c>
      <c r="B122" s="2" t="str">
        <f>IFERROR(__xludf.DUMMYFUNCTION("""COMPUTED_VALUE"""),"GASKET O RING 305")</f>
        <v>GASKET O RING 305</v>
      </c>
      <c r="C122" s="2" t="str">
        <f>IFERROR(__xludf.DUMMYFUNCTION("""COMPUTED_VALUE"""),"O-15602-00")</f>
        <v>O-15602-00</v>
      </c>
      <c r="D122" s="2" t="str">
        <f>if(isna(vlookup(C122,'On Hand'!A:C,3,0)),"",vlookup(C122,'On Hand'!A:C,3,0))</f>
        <v/>
      </c>
    </row>
    <row r="123">
      <c r="A123" s="2" t="str">
        <f>IFERROR(__xludf.DUMMYFUNCTION("""COMPUTED_VALUE"""),"O-15603-00")</f>
        <v>O-15603-00</v>
      </c>
      <c r="B123" s="2" t="str">
        <f>IFERROR(__xludf.DUMMYFUNCTION("""COMPUTED_VALUE"""),"GASKET O RING 310")</f>
        <v>GASKET O RING 310</v>
      </c>
      <c r="C123" s="2" t="str">
        <f>IFERROR(__xludf.DUMMYFUNCTION("""COMPUTED_VALUE"""),"O-15603-00")</f>
        <v>O-15603-00</v>
      </c>
      <c r="D123" s="2" t="str">
        <f>if(isna(vlookup(C123,'On Hand'!A:C,3,0)),"",vlookup(C123,'On Hand'!A:C,3,0))</f>
        <v/>
      </c>
    </row>
    <row r="124">
      <c r="A124" s="2" t="str">
        <f>IFERROR(__xludf.DUMMYFUNCTION("""COMPUTED_VALUE"""),"O-15604-00")</f>
        <v>O-15604-00</v>
      </c>
      <c r="B124" s="2" t="str">
        <f>IFERROR(__xludf.DUMMYFUNCTION("""COMPUTED_VALUE"""),"GASKET O RING 314")</f>
        <v>GASKET O RING 314</v>
      </c>
      <c r="C124" s="2" t="str">
        <f>IFERROR(__xludf.DUMMYFUNCTION("""COMPUTED_VALUE"""),"O-15604-00")</f>
        <v>O-15604-00</v>
      </c>
      <c r="D124" s="2" t="str">
        <f>if(isna(vlookup(C124,'On Hand'!A:C,3,0)),"",vlookup(C124,'On Hand'!A:C,3,0))</f>
        <v/>
      </c>
    </row>
    <row r="125">
      <c r="A125" s="2" t="str">
        <f>IFERROR(__xludf.DUMMYFUNCTION("""COMPUTED_VALUE"""),"O-15605-00")</f>
        <v>O-15605-00</v>
      </c>
      <c r="B125" s="2" t="str">
        <f>IFERROR(__xludf.DUMMYFUNCTION("""COMPUTED_VALUE"""),"GASKET O RING 315")</f>
        <v>GASKET O RING 315</v>
      </c>
      <c r="C125" s="2" t="str">
        <f>IFERROR(__xludf.DUMMYFUNCTION("""COMPUTED_VALUE"""),"O-15605-00")</f>
        <v>O-15605-00</v>
      </c>
      <c r="D125" s="2" t="str">
        <f>if(isna(vlookup(C125,'On Hand'!A:C,3,0)),"",vlookup(C125,'On Hand'!A:C,3,0))</f>
        <v/>
      </c>
    </row>
    <row r="126">
      <c r="A126" s="2" t="str">
        <f>IFERROR(__xludf.DUMMYFUNCTION("""COMPUTED_VALUE"""),"O-15606-00")</f>
        <v>O-15606-00</v>
      </c>
      <c r="B126" s="2" t="str">
        <f>IFERROR(__xludf.DUMMYFUNCTION("""COMPUTED_VALUE"""),"GASKET O RING 424")</f>
        <v>GASKET O RING 424</v>
      </c>
      <c r="C126" s="2" t="str">
        <f>IFERROR(__xludf.DUMMYFUNCTION("""COMPUTED_VALUE"""),"O-15606-00")</f>
        <v>O-15606-00</v>
      </c>
      <c r="D126" s="2" t="str">
        <f>if(isna(vlookup(C126,'On Hand'!A:C,3,0)),"",vlookup(C126,'On Hand'!A:C,3,0))</f>
        <v/>
      </c>
    </row>
    <row r="127">
      <c r="A127" s="2" t="str">
        <f>IFERROR(__xludf.DUMMYFUNCTION("""COMPUTED_VALUE"""),"O-15607-00")</f>
        <v>O-15607-00</v>
      </c>
      <c r="B127" s="2" t="str">
        <f>IFERROR(__xludf.DUMMYFUNCTION("""COMPUTED_VALUE"""),"GASKET O RING 80")</f>
        <v>GASKET O RING 80</v>
      </c>
      <c r="C127" s="2" t="str">
        <f>IFERROR(__xludf.DUMMYFUNCTION("""COMPUTED_VALUE"""),"O-15607-00")</f>
        <v>O-15607-00</v>
      </c>
      <c r="D127" s="2" t="str">
        <f>if(isna(vlookup(C127,'On Hand'!A:C,3,0)),"",vlookup(C127,'On Hand'!A:C,3,0))</f>
        <v/>
      </c>
    </row>
    <row r="128">
      <c r="A128" s="2" t="str">
        <f>IFERROR(__xludf.DUMMYFUNCTION("""COMPUTED_VALUE"""),"O-15608-00")</f>
        <v>O-15608-00</v>
      </c>
      <c r="B128" s="2" t="str">
        <f>IFERROR(__xludf.DUMMYFUNCTION("""COMPUTED_VALUE"""),"GASKET PRESSURE DRAIN SIDE 1 ; PR12 ;")</f>
        <v>GASKET PRESSURE DRAIN SIDE 1 ; PR12 ;</v>
      </c>
      <c r="C128" s="2" t="str">
        <f>IFERROR(__xludf.DUMMYFUNCTION("""COMPUTED_VALUE"""),"O-15608-00")</f>
        <v>O-15608-00</v>
      </c>
      <c r="D128" s="2" t="str">
        <f>if(isna(vlookup(C128,'On Hand'!A:C,3,0)),"",vlookup(C128,'On Hand'!A:C,3,0))</f>
        <v/>
      </c>
    </row>
    <row r="129">
      <c r="A129" s="2" t="str">
        <f>IFERROR(__xludf.DUMMYFUNCTION("""COMPUTED_VALUE"""),"O-15609-00")</f>
        <v>O-15609-00</v>
      </c>
      <c r="B129" s="2" t="str">
        <f>IFERROR(__xludf.DUMMYFUNCTION("""COMPUTED_VALUE"""),"GASKET PRESSURE DRAIN SIDE 2 ; PR13 ;")</f>
        <v>GASKET PRESSURE DRAIN SIDE 2 ; PR13 ;</v>
      </c>
      <c r="C129" s="2" t="str">
        <f>IFERROR(__xludf.DUMMYFUNCTION("""COMPUTED_VALUE"""),"O-15609-00")</f>
        <v>O-15609-00</v>
      </c>
      <c r="D129" s="2" t="str">
        <f>if(isna(vlookup(C129,'On Hand'!A:C,3,0)),"",vlookup(C129,'On Hand'!A:C,3,0))</f>
        <v/>
      </c>
    </row>
    <row r="130">
      <c r="A130" s="2" t="str">
        <f>IFERROR(__xludf.DUMMYFUNCTION("""COMPUTED_VALUE"""),"O-15610-00")</f>
        <v>O-15610-00</v>
      </c>
      <c r="B130" s="2" t="str">
        <f>IFERROR(__xludf.DUMMYFUNCTION("""COMPUTED_VALUE"""),"GEAR MOTOR N100/SO - UFR1 - UL; HALSTRUP SAIA ; PART NO :19475")</f>
        <v>GEAR MOTOR N100/SO - UFR1 - UL; HALSTRUP SAIA ; PART NO :19475</v>
      </c>
      <c r="C130" s="2" t="str">
        <f>IFERROR(__xludf.DUMMYFUNCTION("""COMPUTED_VALUE"""),"O-15610-00")</f>
        <v>O-15610-00</v>
      </c>
      <c r="D130" s="2" t="str">
        <f>if(isna(vlookup(C130,'On Hand'!A:C,3,0)),"",vlookup(C130,'On Hand'!A:C,3,0))</f>
        <v/>
      </c>
    </row>
    <row r="131">
      <c r="A131" s="2" t="str">
        <f>IFERROR(__xludf.DUMMYFUNCTION("""COMPUTED_VALUE"""),"O-15611-00")</f>
        <v>O-15611-00</v>
      </c>
      <c r="B131" s="2" t="str">
        <f>IFERROR(__xludf.DUMMYFUNCTION("""COMPUTED_VALUE"""),"GEAR MOTOR N100/SO + UFR1 - UL;HALSTRUP SAIA ; PART NO :19474")</f>
        <v>GEAR MOTOR N100/SO + UFR1 - UL;HALSTRUP SAIA ; PART NO :19474</v>
      </c>
      <c r="C131" s="2" t="str">
        <f>IFERROR(__xludf.DUMMYFUNCTION("""COMPUTED_VALUE"""),"O-15611-00")</f>
        <v>O-15611-00</v>
      </c>
      <c r="D131" s="2" t="str">
        <f>if(isna(vlookup(C131,'On Hand'!A:C,3,0)),"",vlookup(C131,'On Hand'!A:C,3,0))</f>
        <v/>
      </c>
    </row>
    <row r="132">
      <c r="A132" s="2" t="str">
        <f>IFERROR(__xludf.DUMMYFUNCTION("""COMPUTED_VALUE"""),"O-15612-00")</f>
        <v>O-15612-00</v>
      </c>
      <c r="B132" s="2" t="str">
        <f>IFERROR(__xludf.DUMMYFUNCTION("""COMPUTED_VALUE"""),"GEARED BELT 16AT05 1050(TOOTHED BELT DIN 7721 AT5 : 16AT5 / 1050 - PU)")</f>
        <v>GEARED BELT 16AT05 1050(TOOTHED BELT DIN 7721 AT5 : 16AT5 / 1050 - PU)</v>
      </c>
      <c r="C132" s="2" t="str">
        <f>IFERROR(__xludf.DUMMYFUNCTION("""COMPUTED_VALUE"""),"O-15612-00")</f>
        <v>O-15612-00</v>
      </c>
      <c r="D132" s="2" t="str">
        <f>if(isna(vlookup(C132,'On Hand'!A:C,3,0)),"",vlookup(C132,'On Hand'!A:C,3,0))</f>
        <v/>
      </c>
    </row>
    <row r="133">
      <c r="A133" s="2" t="str">
        <f>IFERROR(__xludf.DUMMYFUNCTION("""COMPUTED_VALUE"""),"O-15613-00")</f>
        <v>O-15613-00</v>
      </c>
      <c r="B133" s="2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3" s="2" t="str">
        <f>IFERROR(__xludf.DUMMYFUNCTION("""COMPUTED_VALUE"""),"O-15613-00")</f>
        <v>O-15613-00</v>
      </c>
      <c r="D133" s="2" t="str">
        <f>if(isna(vlookup(C133,'On Hand'!A:C,3,0)),"",vlookup(C133,'On Hand'!A:C,3,0))</f>
        <v/>
      </c>
    </row>
    <row r="134">
      <c r="A134" s="2" t="str">
        <f>IFERROR(__xludf.DUMMYFUNCTION("""COMPUTED_VALUE"""),"O-15614-00")</f>
        <v>O-15614-00</v>
      </c>
      <c r="B134" s="2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4" s="2" t="str">
        <f>IFERROR(__xludf.DUMMYFUNCTION("""COMPUTED_VALUE"""),"O-15614-00")</f>
        <v>O-15614-00</v>
      </c>
      <c r="D134" s="2" t="str">
        <f>if(isna(vlookup(C134,'On Hand'!A:C,3,0)),"",vlookup(C134,'On Hand'!A:C,3,0))</f>
        <v/>
      </c>
    </row>
    <row r="135">
      <c r="A135" s="2" t="str">
        <f>IFERROR(__xludf.DUMMYFUNCTION("""COMPUTED_VALUE"""),"O-15615-00")</f>
        <v>O-15615-00</v>
      </c>
      <c r="B135" s="2" t="str">
        <f>IFERROR(__xludf.DUMMYFUNCTION("""COMPUTED_VALUE"""),"HIGH PRECISION OPTICAL FIBER 10MM WIDTH FU-12; PART NO :201020")</f>
        <v>HIGH PRECISION OPTICAL FIBER 10MM WIDTH FU-12; PART NO :201020</v>
      </c>
      <c r="C135" s="2" t="str">
        <f>IFERROR(__xludf.DUMMYFUNCTION("""COMPUTED_VALUE"""),"O-15615-00")</f>
        <v>O-15615-00</v>
      </c>
      <c r="D135" s="2" t="str">
        <f>if(isna(vlookup(C135,'On Hand'!A:C,3,0)),"",vlookup(C135,'On Hand'!A:C,3,0))</f>
        <v/>
      </c>
    </row>
    <row r="136">
      <c r="A136" s="2" t="str">
        <f>IFERROR(__xludf.DUMMYFUNCTION("""COMPUTED_VALUE"""),"O-15616-00")</f>
        <v>O-15616-00</v>
      </c>
      <c r="B136" s="2" t="str">
        <f>IFERROR(__xludf.DUMMYFUNCTION("""COMPUTED_VALUE"""),"HIGH PRECISION OPTICAL FIBER FU-7F; PART NO :201061")</f>
        <v>HIGH PRECISION OPTICAL FIBER FU-7F; PART NO :201061</v>
      </c>
      <c r="C136" s="2" t="str">
        <f>IFERROR(__xludf.DUMMYFUNCTION("""COMPUTED_VALUE"""),"O-15616-00")</f>
        <v>O-15616-00</v>
      </c>
      <c r="D136" s="2" t="str">
        <f>if(isna(vlookup(C136,'On Hand'!A:C,3,0)),"",vlookup(C136,'On Hand'!A:C,3,0))</f>
        <v/>
      </c>
    </row>
    <row r="137">
      <c r="A137" s="2" t="str">
        <f>IFERROR(__xludf.DUMMYFUNCTION("""COMPUTED_VALUE"""),"O-15617-00")</f>
        <v>O-15617-00</v>
      </c>
      <c r="B137" s="2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7" s="2" t="str">
        <f>IFERROR(__xludf.DUMMYFUNCTION("""COMPUTED_VALUE"""),"O-15617-00")</f>
        <v>O-15617-00</v>
      </c>
      <c r="D137" s="2" t="str">
        <f>if(isna(vlookup(C137,'On Hand'!A:C,3,0)),"",vlookup(C137,'On Hand'!A:C,3,0))</f>
        <v/>
      </c>
    </row>
    <row r="138">
      <c r="A138" s="2" t="str">
        <f>IFERROR(__xludf.DUMMYFUNCTION("""COMPUTED_VALUE"""),"O-15619-00")</f>
        <v>O-15619-00</v>
      </c>
      <c r="B138" s="2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8" s="2" t="str">
        <f>IFERROR(__xludf.DUMMYFUNCTION("""COMPUTED_VALUE"""),"O-15619-00")</f>
        <v>O-15619-00</v>
      </c>
      <c r="D138" s="2" t="str">
        <f>if(isna(vlookup(C138,'On Hand'!A:C,3,0)),"",vlookup(C138,'On Hand'!A:C,3,0))</f>
        <v/>
      </c>
    </row>
    <row r="139">
      <c r="A139" s="2" t="str">
        <f>IFERROR(__xludf.DUMMYFUNCTION("""COMPUTED_VALUE"""),"O-15620-00")</f>
        <v>O-15620-00</v>
      </c>
      <c r="B139" s="2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39" s="2" t="str">
        <f>IFERROR(__xludf.DUMMYFUNCTION("""COMPUTED_VALUE"""),"O-15620-00")</f>
        <v>O-15620-00</v>
      </c>
      <c r="D139" s="2" t="str">
        <f>if(isna(vlookup(C139,'On Hand'!A:C,3,0)),"",vlookup(C139,'On Hand'!A:C,3,0))</f>
        <v/>
      </c>
    </row>
    <row r="140">
      <c r="A140" s="2" t="str">
        <f>IFERROR(__xludf.DUMMYFUNCTION("""COMPUTED_VALUE"""),"O-15621-00")</f>
        <v>O-15621-00</v>
      </c>
      <c r="B140" s="2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0" s="2" t="str">
        <f>IFERROR(__xludf.DUMMYFUNCTION("""COMPUTED_VALUE"""),"O-15621-00")</f>
        <v>O-15621-00</v>
      </c>
      <c r="D140" s="2" t="str">
        <f>if(isna(vlookup(C140,'On Hand'!A:C,3,0)),"",vlookup(C140,'On Hand'!A:C,3,0))</f>
        <v/>
      </c>
    </row>
    <row r="141">
      <c r="A141" s="2" t="str">
        <f>IFERROR(__xludf.DUMMYFUNCTION("""COMPUTED_VALUE"""),"O-15622-00")</f>
        <v>O-15622-00</v>
      </c>
      <c r="B141" s="2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1" s="2" t="str">
        <f>IFERROR(__xludf.DUMMYFUNCTION("""COMPUTED_VALUE"""),"O-15622-00")</f>
        <v>O-15622-00</v>
      </c>
      <c r="D141" s="2" t="str">
        <f>if(isna(vlookup(C141,'On Hand'!A:C,3,0)),"",vlookup(C141,'On Hand'!A:C,3,0))</f>
        <v/>
      </c>
    </row>
    <row r="142">
      <c r="A142" s="2" t="str">
        <f>IFERROR(__xludf.DUMMYFUNCTION("""COMPUTED_VALUE"""),"O-15623-00")</f>
        <v>O-15623-00</v>
      </c>
      <c r="B142" s="2" t="str">
        <f>IFERROR(__xludf.DUMMYFUNCTION("""COMPUTED_VALUE"""),"OPTIC FIBER; OMRON PAIR OF LENS FOR OPTIC FIBERS")</f>
        <v>OPTIC FIBER; OMRON PAIR OF LENS FOR OPTIC FIBERS</v>
      </c>
      <c r="C142" s="2" t="str">
        <f>IFERROR(__xludf.DUMMYFUNCTION("""COMPUTED_VALUE"""),"O-15623-00")</f>
        <v>O-15623-00</v>
      </c>
      <c r="D142" s="2" t="str">
        <f>if(isna(vlookup(C142,'On Hand'!A:C,3,0)),"",vlookup(C142,'On Hand'!A:C,3,0))</f>
        <v/>
      </c>
    </row>
    <row r="143">
      <c r="A143" s="2" t="str">
        <f>IFERROR(__xludf.DUMMYFUNCTION("""COMPUTED_VALUE"""),"O-15624-00")</f>
        <v>O-15624-00</v>
      </c>
      <c r="B143" s="2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3" s="2" t="str">
        <f>IFERROR(__xludf.DUMMYFUNCTION("""COMPUTED_VALUE"""),"O-15624-00")</f>
        <v>O-15624-00</v>
      </c>
      <c r="D143" s="2" t="str">
        <f>if(isna(vlookup(C143,'On Hand'!A:C,3,0)),"",vlookup(C143,'On Hand'!A:C,3,0))</f>
        <v/>
      </c>
    </row>
    <row r="144">
      <c r="A144" s="2" t="str">
        <f>IFERROR(__xludf.DUMMYFUNCTION("""COMPUTED_VALUE"""),"O-15625-00")</f>
        <v>O-15625-00</v>
      </c>
      <c r="B144" s="2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4" s="2" t="str">
        <f>IFERROR(__xludf.DUMMYFUNCTION("""COMPUTED_VALUE"""),"O-15625-00")</f>
        <v>O-15625-00</v>
      </c>
      <c r="D144" s="2" t="str">
        <f>if(isna(vlookup(C144,'On Hand'!A:C,3,0)),"",vlookup(C144,'On Hand'!A:C,3,0))</f>
        <v/>
      </c>
    </row>
    <row r="145">
      <c r="A145" s="2" t="str">
        <f>IFERROR(__xludf.DUMMYFUNCTION("""COMPUTED_VALUE"""),"O-15626-00")</f>
        <v>O-15626-00</v>
      </c>
      <c r="B145" s="2" t="str">
        <f>IFERROR(__xludf.DUMMYFUNCTION("""COMPUTED_VALUE"""),"JACKET WATER AND CONDENSATE DRAIN FILTER; F9 ;")</f>
        <v>JACKET WATER AND CONDENSATE DRAIN FILTER; F9 ;</v>
      </c>
      <c r="C145" s="2" t="str">
        <f>IFERROR(__xludf.DUMMYFUNCTION("""COMPUTED_VALUE"""),"O-15626-00")</f>
        <v>O-15626-00</v>
      </c>
      <c r="D145" s="2" t="str">
        <f>if(isna(vlookup(C145,'On Hand'!A:C,3,0)),"",vlookup(C145,'On Hand'!A:C,3,0))</f>
        <v/>
      </c>
    </row>
    <row r="146">
      <c r="A146" s="2" t="str">
        <f>IFERROR(__xludf.DUMMYFUNCTION("""COMPUTED_VALUE"""),"O-15628-00")</f>
        <v>O-15628-00</v>
      </c>
      <c r="B146" s="2" t="str">
        <f>IFERROR(__xludf.DUMMYFUNCTION("""COMPUTED_VALUE"""),"LEFT AND RIGHT PINCER ACTUATOR ; SMC :BISTABLE ELECTROVALVE - SV1200-5FU")</f>
        <v>LEFT AND RIGHT PINCER ACTUATOR ; SMC :BISTABLE ELECTROVALVE - SV1200-5FU</v>
      </c>
      <c r="C146" s="2" t="str">
        <f>IFERROR(__xludf.DUMMYFUNCTION("""COMPUTED_VALUE"""),"O-15628-00")</f>
        <v>O-15628-00</v>
      </c>
      <c r="D146" s="2" t="str">
        <f>if(isna(vlookup(C146,'On Hand'!A:C,3,0)),"",vlookup(C146,'On Hand'!A:C,3,0))</f>
        <v/>
      </c>
    </row>
    <row r="147">
      <c r="A147" s="2" t="str">
        <f>IFERROR(__xludf.DUMMYFUNCTION("""COMPUTED_VALUE"""),"O-15629-00")</f>
        <v>O-15629-00</v>
      </c>
      <c r="B147" s="2" t="str">
        <f>IFERROR(__xludf.DUMMYFUNCTION("""COMPUTED_VALUE"""),"ENCODER ;Sick Stegmann;ABSOLUTE ENCODER A4A08192 GRAY RADIAL CONNECTOR")</f>
        <v>ENCODER ;Sick Stegmann;ABSOLUTE ENCODER A4A08192 GRAY RADIAL CONNECTOR</v>
      </c>
      <c r="C147" s="2" t="str">
        <f>IFERROR(__xludf.DUMMYFUNCTION("""COMPUTED_VALUE"""),"O-15629-00")</f>
        <v>O-15629-00</v>
      </c>
      <c r="D147" s="2" t="str">
        <f>if(isna(vlookup(C147,'On Hand'!A:C,3,0)),"",vlookup(C147,'On Hand'!A:C,3,0))</f>
        <v/>
      </c>
    </row>
    <row r="148">
      <c r="A148" s="2" t="str">
        <f>IFERROR(__xludf.DUMMYFUNCTION("""COMPUTED_VALUE"""),"O-15630-00")</f>
        <v>O-15630-00</v>
      </c>
      <c r="B148" s="2" t="str">
        <f>IFERROR(__xludf.DUMMYFUNCTION("""COMPUTED_VALUE"""),"MAGNETIC CONTACTOR (S00, AC-3 4KW, 1NO, COIL VOLTAGE: AC230V 50/60HZ)")</f>
        <v>MAGNETIC CONTACTOR (S00, AC-3 4KW, 1NO, COIL VOLTAGE: AC230V 50/60HZ)</v>
      </c>
      <c r="C148" s="2" t="str">
        <f>IFERROR(__xludf.DUMMYFUNCTION("""COMPUTED_VALUE"""),"O-15630-00")</f>
        <v>O-15630-00</v>
      </c>
      <c r="D148" s="2" t="str">
        <f>if(isna(vlookup(C148,'On Hand'!A:C,3,0)),"",vlookup(C148,'On Hand'!A:C,3,0))</f>
        <v/>
      </c>
    </row>
    <row r="149">
      <c r="A149" s="2" t="str">
        <f>IFERROR(__xludf.DUMMYFUNCTION("""COMPUTED_VALUE"""),"O-15631-00")</f>
        <v>O-15631-00</v>
      </c>
      <c r="B149" s="2" t="str">
        <f>IFERROR(__xludf.DUMMYFUNCTION("""COMPUTED_VALUE"""),"MAGNETIC SWITCH (SMEO - 4U - S - LED - 24B)")</f>
        <v>MAGNETIC SWITCH (SMEO - 4U - S - LED - 24B)</v>
      </c>
      <c r="C149" s="2" t="str">
        <f>IFERROR(__xludf.DUMMYFUNCTION("""COMPUTED_VALUE"""),"O-15631-00")</f>
        <v>O-15631-00</v>
      </c>
      <c r="D149" s="2" t="str">
        <f>if(isna(vlookup(C149,'On Hand'!A:C,3,0)),"",vlookup(C149,'On Hand'!A:C,3,0))</f>
        <v/>
      </c>
    </row>
    <row r="150">
      <c r="A150" s="2" t="str">
        <f>IFERROR(__xludf.DUMMYFUNCTION("""COMPUTED_VALUE"""),"O-15632-00")</f>
        <v>O-15632-00</v>
      </c>
      <c r="B150" s="2" t="str">
        <f>IFERROR(__xludf.DUMMYFUNCTION("""COMPUTED_VALUE"""),"MEMBRANE PTFE/EPDM BONDED; SED;")</f>
        <v>MEMBRANE PTFE/EPDM BONDED; SED;</v>
      </c>
      <c r="C150" s="2" t="str">
        <f>IFERROR(__xludf.DUMMYFUNCTION("""COMPUTED_VALUE"""),"O-15632-00")</f>
        <v>O-15632-00</v>
      </c>
      <c r="D150" s="2" t="str">
        <f>if(isna(vlookup(C150,'On Hand'!A:C,3,0)),"",vlookup(C150,'On Hand'!A:C,3,0))</f>
        <v/>
      </c>
    </row>
    <row r="151">
      <c r="A151" s="2" t="str">
        <f>IFERROR(__xludf.DUMMYFUNCTION("""COMPUTED_VALUE"""),"O-15633-00")</f>
        <v>O-15633-00</v>
      </c>
      <c r="B151" s="2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1" s="2" t="str">
        <f>IFERROR(__xludf.DUMMYFUNCTION("""COMPUTED_VALUE"""),"O-15633-00")</f>
        <v>O-15633-00</v>
      </c>
      <c r="D151" s="2" t="str">
        <f>if(isna(vlookup(C151,'On Hand'!A:C,3,0)),"",vlookup(C151,'On Hand'!A:C,3,0))</f>
        <v/>
      </c>
    </row>
    <row r="152">
      <c r="A152" s="2" t="str">
        <f>IFERROR(__xludf.DUMMYFUNCTION("""COMPUTED_VALUE"""),"O-15634-00")</f>
        <v>O-15634-00</v>
      </c>
      <c r="B152" s="2" t="str">
        <f>IFERROR(__xludf.DUMMYFUNCTION("""COMPUTED_VALUE"""),"MICROSWITCH FOR PNEUMATIC CYLINDER, UNIVER, DF-220M08")</f>
        <v>MICROSWITCH FOR PNEUMATIC CYLINDER, UNIVER, DF-220M08</v>
      </c>
      <c r="C152" s="2" t="str">
        <f>IFERROR(__xludf.DUMMYFUNCTION("""COMPUTED_VALUE"""),"O-15634-00")</f>
        <v>O-15634-00</v>
      </c>
      <c r="D152" s="2" t="str">
        <f>if(isna(vlookup(C152,'On Hand'!A:C,3,0)),"",vlookup(C152,'On Hand'!A:C,3,0))</f>
        <v/>
      </c>
    </row>
    <row r="153">
      <c r="A153" s="2" t="str">
        <f>IFERROR(__xludf.DUMMYFUNCTION("""COMPUTED_VALUE"""),"O-15635-00")</f>
        <v>O-15635-00</v>
      </c>
      <c r="B153" s="2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3" s="2" t="str">
        <f>IFERROR(__xludf.DUMMYFUNCTION("""COMPUTED_VALUE"""),"O-15635-00")</f>
        <v>O-15635-00</v>
      </c>
      <c r="D153" s="2" t="str">
        <f>if(isna(vlookup(C153,'On Hand'!A:C,3,0)),"",vlookup(C153,'On Hand'!A:C,3,0))</f>
        <v/>
      </c>
    </row>
    <row r="154">
      <c r="A154" s="2" t="str">
        <f>IFERROR(__xludf.DUMMYFUNCTION("""COMPUTED_VALUE"""),"O-15636-00")</f>
        <v>O-15636-00</v>
      </c>
      <c r="B154" s="2" t="str">
        <f>IFERROR(__xludf.DUMMYFUNCTION("""COMPUTED_VALUE"""),"MINIATUR RELAY ; STERILINE ;PART NO :5834")</f>
        <v>MINIATUR RELAY ; STERILINE ;PART NO :5834</v>
      </c>
      <c r="C154" s="2" t="str">
        <f>IFERROR(__xludf.DUMMYFUNCTION("""COMPUTED_VALUE"""),"O-15636-00")</f>
        <v>O-15636-00</v>
      </c>
      <c r="D154" s="2" t="str">
        <f>if(isna(vlookup(C154,'On Hand'!A:C,3,0)),"",vlookup(C154,'On Hand'!A:C,3,0))</f>
        <v/>
      </c>
    </row>
    <row r="155">
      <c r="A155" s="2" t="str">
        <f>IFERROR(__xludf.DUMMYFUNCTION("""COMPUTED_VALUE"""),"O-15637-00")</f>
        <v>O-15637-00</v>
      </c>
      <c r="B155" s="2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5" s="2" t="str">
        <f>IFERROR(__xludf.DUMMYFUNCTION("""COMPUTED_VALUE"""),"O-15637-00")</f>
        <v>O-15637-00</v>
      </c>
      <c r="D155" s="2" t="str">
        <f>if(isna(vlookup(C155,'On Hand'!A:C,3,0)),"",vlookup(C155,'On Hand'!A:C,3,0))</f>
        <v/>
      </c>
    </row>
    <row r="156">
      <c r="A156" s="2" t="str">
        <f>IFERROR(__xludf.DUMMYFUNCTION("""COMPUTED_VALUE"""),"O-15638-00")</f>
        <v>O-15638-00</v>
      </c>
      <c r="B156" s="2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6" s="2" t="str">
        <f>IFERROR(__xludf.DUMMYFUNCTION("""COMPUTED_VALUE"""),"O-15638-00")</f>
        <v>O-15638-00</v>
      </c>
      <c r="D156" s="2" t="str">
        <f>if(isna(vlookup(C156,'On Hand'!A:C,3,0)),"",vlookup(C156,'On Hand'!A:C,3,0))</f>
        <v/>
      </c>
    </row>
    <row r="157">
      <c r="A157" s="2" t="str">
        <f>IFERROR(__xludf.DUMMYFUNCTION("""COMPUTED_VALUE"""),"O-15639-00")</f>
        <v>O-15639-00</v>
      </c>
      <c r="B157" s="2" t="str">
        <f>IFERROR(__xludf.DUMMYFUNCTION("""COMPUTED_VALUE"""),"MUSHROOM SEAL(SF00-05A SECTION:V)")</f>
        <v>MUSHROOM SEAL(SF00-05A SECTION:V)</v>
      </c>
      <c r="C157" s="2" t="str">
        <f>IFERROR(__xludf.DUMMYFUNCTION("""COMPUTED_VALUE"""),"O-15639-00")</f>
        <v>O-15639-00</v>
      </c>
      <c r="D157" s="2" t="str">
        <f>if(isna(vlookup(C157,'On Hand'!A:C,3,0)),"",vlookup(C157,'On Hand'!A:C,3,0))</f>
        <v/>
      </c>
    </row>
    <row r="158">
      <c r="A158" s="2" t="str">
        <f>IFERROR(__xludf.DUMMYFUNCTION("""COMPUTED_VALUE"""),"O-15640-00")</f>
        <v>O-15640-00</v>
      </c>
      <c r="B158" s="2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8" s="2" t="str">
        <f>IFERROR(__xludf.DUMMYFUNCTION("""COMPUTED_VALUE"""),"O-15640-00")</f>
        <v>O-15640-00</v>
      </c>
      <c r="D158" s="2" t="str">
        <f>if(isna(vlookup(C158,'On Hand'!A:C,3,0)),"",vlookup(C158,'On Hand'!A:C,3,0))</f>
        <v/>
      </c>
    </row>
    <row r="159">
      <c r="A159" s="2" t="str">
        <f>IFERROR(__xludf.DUMMYFUNCTION("""COMPUTED_VALUE"""),"O-15641-00")</f>
        <v>O-15641-00</v>
      </c>
      <c r="B159" s="2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59" s="2" t="str">
        <f>IFERROR(__xludf.DUMMYFUNCTION("""COMPUTED_VALUE"""),"O-15641-00")</f>
        <v>O-15641-00</v>
      </c>
      <c r="D159" s="2" t="str">
        <f>if(isna(vlookup(C159,'On Hand'!A:C,3,0)),"",vlookup(C159,'On Hand'!A:C,3,0))</f>
        <v/>
      </c>
    </row>
    <row r="160">
      <c r="A160" s="2" t="str">
        <f>IFERROR(__xludf.DUMMYFUNCTION("""COMPUTED_VALUE"""),"O-15642-00")</f>
        <v>O-15642-00</v>
      </c>
      <c r="B160" s="2" t="str">
        <f>IFERROR(__xludf.DUMMYFUNCTION("""COMPUTED_VALUE"""),"PINCH VALVE ; SIRAI TYPE Z130A, WITH COIL 24VDC 13W")</f>
        <v>PINCH VALVE ; SIRAI TYPE Z130A, WITH COIL 24VDC 13W</v>
      </c>
      <c r="C160" s="2" t="str">
        <f>IFERROR(__xludf.DUMMYFUNCTION("""COMPUTED_VALUE"""),"O-15642-00")</f>
        <v>O-15642-00</v>
      </c>
      <c r="D160" s="2" t="str">
        <f>if(isna(vlookup(C160,'On Hand'!A:C,3,0)),"",vlookup(C160,'On Hand'!A:C,3,0))</f>
        <v/>
      </c>
    </row>
    <row r="161">
      <c r="A161" s="2" t="str">
        <f>IFERROR(__xludf.DUMMYFUNCTION("""COMPUTED_VALUE"""),"O-15643-00")</f>
        <v>O-15643-00</v>
      </c>
      <c r="B161" s="2" t="str">
        <f>IFERROR(__xludf.DUMMYFUNCTION("""COMPUTED_VALUE"""),"NOZZLE FOR WATER ; STERILINE ; SS AISI 316L A-1/8MJJXP020S316; PART NO :5311")</f>
        <v>NOZZLE FOR WATER ; STERILINE ; SS AISI 316L A-1/8MJJXP020S316; PART NO :5311</v>
      </c>
      <c r="C161" s="2" t="str">
        <f>IFERROR(__xludf.DUMMYFUNCTION("""COMPUTED_VALUE"""),"O-15643-00")</f>
        <v>O-15643-00</v>
      </c>
      <c r="D161" s="2" t="str">
        <f>if(isna(vlookup(C161,'On Hand'!A:C,3,0)),"",vlookup(C161,'On Hand'!A:C,3,0))</f>
        <v>unt</v>
      </c>
    </row>
    <row r="162">
      <c r="A162" s="2" t="str">
        <f>IFERROR(__xludf.DUMMYFUNCTION("""COMPUTED_VALUE"""),"O-15644-00")</f>
        <v>O-15644-00</v>
      </c>
      <c r="B162" s="2" t="str">
        <f>IFERROR(__xludf.DUMMYFUNCTION("""COMPUTED_VALUE"""),"NOZZLES RISING CYLINDER ; CYLINDER D=40MM, STROKE=40MM")</f>
        <v>NOZZLES RISING CYLINDER ; CYLINDER D=40MM, STROKE=40MM</v>
      </c>
      <c r="C162" s="2" t="str">
        <f>IFERROR(__xludf.DUMMYFUNCTION("""COMPUTED_VALUE"""),"O-15644-00")</f>
        <v>O-15644-00</v>
      </c>
      <c r="D162" s="2" t="str">
        <f>if(isna(vlookup(C162,'On Hand'!A:C,3,0)),"",vlookup(C162,'On Hand'!A:C,3,0))</f>
        <v/>
      </c>
    </row>
    <row r="163">
      <c r="A163" s="2" t="str">
        <f>IFERROR(__xludf.DUMMYFUNCTION("""COMPUTED_VALUE"""),"O-15645-00")</f>
        <v>O-15645-00</v>
      </c>
      <c r="B163" s="2" t="str">
        <f>IFERROR(__xludf.DUMMYFUNCTION("""COMPUTED_VALUE"""),"O - RING T = 2,62 : OR 3081 FPM 75?SH - BLACK( OR 3081 FPM 75?SH - BLACK)")</f>
        <v>O - RING T = 2,62 : OR 3081 FPM 75?SH - BLACK( OR 3081 FPM 75?SH - BLACK)</v>
      </c>
      <c r="C163" s="2" t="str">
        <f>IFERROR(__xludf.DUMMYFUNCTION("""COMPUTED_VALUE"""),"O-15645-00")</f>
        <v>O-15645-00</v>
      </c>
      <c r="D163" s="2" t="str">
        <f>if(isna(vlookup(C163,'On Hand'!A:C,3,0)),"",vlookup(C163,'On Hand'!A:C,3,0))</f>
        <v/>
      </c>
    </row>
    <row r="164">
      <c r="A164" s="2" t="str">
        <f>IFERROR(__xludf.DUMMYFUNCTION("""COMPUTED_VALUE"""),"O-15646-00")</f>
        <v>O-15646-00</v>
      </c>
      <c r="B164" s="2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4" s="2" t="str">
        <f>IFERROR(__xludf.DUMMYFUNCTION("""COMPUTED_VALUE"""),"O-15646-00")</f>
        <v>O-15646-00</v>
      </c>
      <c r="D164" s="2" t="str">
        <f>if(isna(vlookup(C164,'On Hand'!A:C,3,0)),"",vlookup(C164,'On Hand'!A:C,3,0))</f>
        <v/>
      </c>
    </row>
    <row r="165">
      <c r="A165" s="2" t="str">
        <f>IFERROR(__xludf.DUMMYFUNCTION("""COMPUTED_VALUE"""),"O-15647-00")</f>
        <v>O-15647-00</v>
      </c>
      <c r="B165" s="2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5" s="2" t="str">
        <f>IFERROR(__xludf.DUMMYFUNCTION("""COMPUTED_VALUE"""),"O-15647-00")</f>
        <v>O-15647-00</v>
      </c>
      <c r="D165" s="2" t="str">
        <f>if(isna(vlookup(C165,'On Hand'!A:C,3,0)),"",vlookup(C165,'On Hand'!A:C,3,0))</f>
        <v/>
      </c>
    </row>
    <row r="166">
      <c r="A166" s="2" t="str">
        <f>IFERROR(__xludf.DUMMYFUNCTION("""COMPUTED_VALUE"""),"O-15648-00")</f>
        <v>O-15648-00</v>
      </c>
      <c r="B166" s="2" t="str">
        <f>IFERROR(__xludf.DUMMYFUNCTION("""COMPUTED_VALUE"""),"PAIR OF SLEEVES CSM D.200/90 LENGTH 550MM, THICKNESS 4/10; PART NO :7266")</f>
        <v>PAIR OF SLEEVES CSM D.200/90 LENGTH 550MM, THICKNESS 4/10; PART NO :7266</v>
      </c>
      <c r="C166" s="2" t="str">
        <f>IFERROR(__xludf.DUMMYFUNCTION("""COMPUTED_VALUE"""),"O-15648-00")</f>
        <v>O-15648-00</v>
      </c>
      <c r="D166" s="2" t="str">
        <f>if(isna(vlookup(C166,'On Hand'!A:C,3,0)),"",vlookup(C166,'On Hand'!A:C,3,0))</f>
        <v/>
      </c>
    </row>
    <row r="167">
      <c r="A167" s="2" t="str">
        <f>IFERROR(__xludf.DUMMYFUNCTION("""COMPUTED_VALUE"""),"O-15649-00")</f>
        <v>O-15649-00</v>
      </c>
      <c r="B167" s="2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7" s="2" t="str">
        <f>IFERROR(__xludf.DUMMYFUNCTION("""COMPUTED_VALUE"""),"O-15649-00")</f>
        <v>O-15649-00</v>
      </c>
      <c r="D167" s="2" t="str">
        <f>if(isna(vlookup(C167,'On Hand'!A:C,3,0)),"",vlookup(C167,'On Hand'!A:C,3,0))</f>
        <v/>
      </c>
    </row>
    <row r="168">
      <c r="A168" s="2" t="str">
        <f>IFERROR(__xludf.DUMMYFUNCTION("""COMPUTED_VALUE"""),"O-15650-00")</f>
        <v>O-15650-00</v>
      </c>
      <c r="B168" s="2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8" s="2" t="str">
        <f>IFERROR(__xludf.DUMMYFUNCTION("""COMPUTED_VALUE"""),"O-15650-00")</f>
        <v>O-15650-00</v>
      </c>
      <c r="D168" s="2" t="str">
        <f>if(isna(vlookup(C168,'On Hand'!A:C,3,0)),"",vlookup(C168,'On Hand'!A:C,3,0))</f>
        <v/>
      </c>
    </row>
    <row r="169">
      <c r="A169" s="2" t="str">
        <f>IFERROR(__xludf.DUMMYFUNCTION("""COMPUTED_VALUE"""),"O-15651-00")</f>
        <v>O-15651-00</v>
      </c>
      <c r="B169" s="2" t="str">
        <f>IFERROR(__xludf.DUMMYFUNCTION("""COMPUTED_VALUE"""),"PHOTOELECTRIC SWITCH; PART NO :10115")</f>
        <v>PHOTOELECTRIC SWITCH; PART NO :10115</v>
      </c>
      <c r="C169" s="2" t="str">
        <f>IFERROR(__xludf.DUMMYFUNCTION("""COMPUTED_VALUE"""),"O-15651-00")</f>
        <v>O-15651-00</v>
      </c>
      <c r="D169" s="2" t="str">
        <f>if(isna(vlookup(C169,'On Hand'!A:C,3,0)),"",vlookup(C169,'On Hand'!A:C,3,0))</f>
        <v/>
      </c>
    </row>
    <row r="170">
      <c r="A170" s="2" t="str">
        <f>IFERROR(__xludf.DUMMYFUNCTION("""COMPUTED_VALUE"""),"O-15652-00")</f>
        <v>O-15652-00</v>
      </c>
      <c r="B170" s="2" t="str">
        <f>IFERROR(__xludf.DUMMYFUNCTION("""COMPUTED_VALUE"""),"PNEUMATIC MEMBRANE VALVE 1/2' (DN15); STERILINE ; PART NO :5189")</f>
        <v>PNEUMATIC MEMBRANE VALVE 1/2' (DN15); STERILINE ; PART NO :5189</v>
      </c>
      <c r="C170" s="2" t="str">
        <f>IFERROR(__xludf.DUMMYFUNCTION("""COMPUTED_VALUE"""),"O-15652-00")</f>
        <v>O-15652-00</v>
      </c>
      <c r="D170" s="2" t="str">
        <f>if(isna(vlookup(C170,'On Hand'!A:C,3,0)),"",vlookup(C170,'On Hand'!A:C,3,0))</f>
        <v/>
      </c>
    </row>
    <row r="171">
      <c r="A171" s="2" t="str">
        <f>IFERROR(__xludf.DUMMYFUNCTION("""COMPUTED_VALUE"""),"O-15653-00")</f>
        <v>O-15653-00</v>
      </c>
      <c r="B171" s="2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1" s="2" t="str">
        <f>IFERROR(__xludf.DUMMYFUNCTION("""COMPUTED_VALUE"""),"O-15653-00")</f>
        <v>O-15653-00</v>
      </c>
      <c r="D171" s="2" t="str">
        <f>if(isna(vlookup(C171,'On Hand'!A:C,3,0)),"",vlookup(C171,'On Hand'!A:C,3,0))</f>
        <v/>
      </c>
    </row>
    <row r="172">
      <c r="A172" s="2" t="str">
        <f>IFERROR(__xludf.DUMMYFUNCTION("""COMPUTED_VALUE"""),"O-15654-00")</f>
        <v>O-15654-00</v>
      </c>
      <c r="B172" s="2" t="str">
        <f>IFERROR(__xludf.DUMMYFUNCTION("""COMPUTED_VALUE"""),"PRE-FILTER CARTRIDGE; KLENZAIDS; EU-8 SIZE 100D X 135H MM")</f>
        <v>PRE-FILTER CARTRIDGE; KLENZAIDS; EU-8 SIZE 100D X 135H MM</v>
      </c>
      <c r="C172" s="2" t="str">
        <f>IFERROR(__xludf.DUMMYFUNCTION("""COMPUTED_VALUE"""),"O-15654-00")</f>
        <v>O-15654-00</v>
      </c>
      <c r="D172" s="2" t="str">
        <f>if(isna(vlookup(C172,'On Hand'!A:C,3,0)),"",vlookup(C172,'On Hand'!A:C,3,0))</f>
        <v/>
      </c>
    </row>
    <row r="173">
      <c r="A173" s="2" t="str">
        <f>IFERROR(__xludf.DUMMYFUNCTION("""COMPUTED_VALUE"""),"O-15655-00")</f>
        <v>O-15655-00</v>
      </c>
      <c r="B173" s="2" t="str">
        <f>IFERROR(__xludf.DUMMYFUNCTION("""COMPUTED_VALUE"""),"PRESSURE SWITCH WITH INDICATION, FESTO 0-1 BAR PNEUMATIC CONNECTION")</f>
        <v>PRESSURE SWITCH WITH INDICATION, FESTO 0-1 BAR PNEUMATIC CONNECTION</v>
      </c>
      <c r="C173" s="2" t="str">
        <f>IFERROR(__xludf.DUMMYFUNCTION("""COMPUTED_VALUE"""),"O-15655-00")</f>
        <v>O-15655-00</v>
      </c>
      <c r="D173" s="2" t="str">
        <f>if(isna(vlookup(C173,'On Hand'!A:C,3,0)),"",vlookup(C173,'On Hand'!A:C,3,0))</f>
        <v/>
      </c>
    </row>
    <row r="174">
      <c r="A174" s="2" t="str">
        <f>IFERROR(__xludf.DUMMYFUNCTION("""COMPUTED_VALUE"""),"O-15656-00")</f>
        <v>O-15656-00</v>
      </c>
      <c r="B174" s="2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4" s="2" t="str">
        <f>IFERROR(__xludf.DUMMYFUNCTION("""COMPUTED_VALUE"""),"O-15656-00")</f>
        <v>O-15656-00</v>
      </c>
      <c r="D174" s="2" t="str">
        <f>if(isna(vlookup(C174,'On Hand'!A:C,3,0)),"",vlookup(C174,'On Hand'!A:C,3,0))</f>
        <v/>
      </c>
    </row>
    <row r="175">
      <c r="A175" s="2" t="str">
        <f>IFERROR(__xludf.DUMMYFUNCTION("""COMPUTED_VALUE"""),"O-15658-00")</f>
        <v>O-15658-00</v>
      </c>
      <c r="B175" s="2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5" s="2" t="str">
        <f>IFERROR(__xludf.DUMMYFUNCTION("""COMPUTED_VALUE"""),"O-15658-00")</f>
        <v>O-15658-00</v>
      </c>
      <c r="D175" s="2" t="str">
        <f>if(isna(vlookup(C175,'On Hand'!A:C,3,0)),"",vlookup(C175,'On Hand'!A:C,3,0))</f>
        <v/>
      </c>
    </row>
    <row r="176">
      <c r="A176" s="2" t="str">
        <f>IFERROR(__xludf.DUMMYFUNCTION("""COMPUTED_VALUE"""),"O-15660-00")</f>
        <v>O-15660-00</v>
      </c>
      <c r="B176" s="2" t="str">
        <f>IFERROR(__xludf.DUMMYFUNCTION("""COMPUTED_VALUE"""),"RADIAL BEARING 15X32X9 6002 - 2Z; STERILINE ; PART NO :200019")</f>
        <v>RADIAL BEARING 15X32X9 6002 - 2Z; STERILINE ; PART NO :200019</v>
      </c>
      <c r="C176" s="2" t="str">
        <f>IFERROR(__xludf.DUMMYFUNCTION("""COMPUTED_VALUE"""),"O-15660-00")</f>
        <v>O-15660-00</v>
      </c>
      <c r="D176" s="2" t="str">
        <f>if(isna(vlookup(C176,'On Hand'!A:C,3,0)),"",vlookup(C176,'On Hand'!A:C,3,0))</f>
        <v/>
      </c>
    </row>
    <row r="177">
      <c r="A177" s="2" t="str">
        <f>IFERROR(__xludf.DUMMYFUNCTION("""COMPUTED_VALUE"""),"O-15661-00")</f>
        <v>O-15661-00</v>
      </c>
      <c r="B177" s="2" t="str">
        <f>IFERROR(__xludf.DUMMYFUNCTION("""COMPUTED_VALUE"""),"RADIAL BEARING 6001-2RS; STERILINE ; PART NO :200723")</f>
        <v>RADIAL BEARING 6001-2RS; STERILINE ; PART NO :200723</v>
      </c>
      <c r="C177" s="2" t="str">
        <f>IFERROR(__xludf.DUMMYFUNCTION("""COMPUTED_VALUE"""),"O-15661-00")</f>
        <v>O-15661-00</v>
      </c>
      <c r="D177" s="2" t="str">
        <f>if(isna(vlookup(C177,'On Hand'!A:C,3,0)),"",vlookup(C177,'On Hand'!A:C,3,0))</f>
        <v/>
      </c>
    </row>
    <row r="178">
      <c r="A178" s="2" t="str">
        <f>IFERROR(__xludf.DUMMYFUNCTION("""COMPUTED_VALUE"""),"O-15662-00")</f>
        <v>O-15662-00</v>
      </c>
      <c r="B178" s="2" t="str">
        <f>IFERROR(__xludf.DUMMYFUNCTION("""COMPUTED_VALUE"""),"RADIAL BEARING 6004 - 2Z SKF (6002-27); STERILINE : PART NO :200018")</f>
        <v>RADIAL BEARING 6004 - 2Z SKF (6002-27); STERILINE : PART NO :200018</v>
      </c>
      <c r="C178" s="2" t="str">
        <f>IFERROR(__xludf.DUMMYFUNCTION("""COMPUTED_VALUE"""),"O-15662-00")</f>
        <v>O-15662-00</v>
      </c>
      <c r="D178" s="2" t="str">
        <f>if(isna(vlookup(C178,'On Hand'!A:C,3,0)),"",vlookup(C178,'On Hand'!A:C,3,0))</f>
        <v/>
      </c>
    </row>
    <row r="179">
      <c r="A179" s="2" t="str">
        <f>IFERROR(__xludf.DUMMYFUNCTION("""COMPUTED_VALUE"""),"O-15663-00")</f>
        <v>O-15663-00</v>
      </c>
      <c r="B179" s="2" t="str">
        <f>IFERROR(__xludf.DUMMYFUNCTION("""COMPUTED_VALUE"""),"RECORDER PAPER(RECORDING WIDTH, 10 ROLLS/BOX) ; YOKOGAWA")</f>
        <v>RECORDER PAPER(RECORDING WIDTH, 10 ROLLS/BOX) ; YOKOGAWA</v>
      </c>
      <c r="C179" s="2" t="str">
        <f>IFERROR(__xludf.DUMMYFUNCTION("""COMPUTED_VALUE"""),"O-15663-00")</f>
        <v>O-15663-00</v>
      </c>
      <c r="D179" s="2" t="str">
        <f>if(isna(vlookup(C179,'On Hand'!A:C,3,0)),"",vlookup(C179,'On Hand'!A:C,3,0))</f>
        <v/>
      </c>
    </row>
    <row r="180">
      <c r="A180" s="2" t="str">
        <f>IFERROR(__xludf.DUMMYFUNCTION("""COMPUTED_VALUE"""),"O-15664-00")</f>
        <v>O-15664-00</v>
      </c>
      <c r="B180" s="2" t="str">
        <f>IFERROR(__xludf.DUMMYFUNCTION("""COMPUTED_VALUE"""),"RECORDER RIBBON(6 COLOR RIBBON CASSETTE)")</f>
        <v>RECORDER RIBBON(6 COLOR RIBBON CASSETTE)</v>
      </c>
      <c r="C180" s="2" t="str">
        <f>IFERROR(__xludf.DUMMYFUNCTION("""COMPUTED_VALUE"""),"O-15664-00")</f>
        <v>O-15664-00</v>
      </c>
      <c r="D180" s="2" t="str">
        <f>if(isna(vlookup(C180,'On Hand'!A:C,3,0)),"",vlookup(C180,'On Hand'!A:C,3,0))</f>
        <v/>
      </c>
    </row>
    <row r="181">
      <c r="A181" s="2" t="str">
        <f>IFERROR(__xludf.DUMMYFUNCTION("""COMPUTED_VALUE"""),"O-15665-00")</f>
        <v>O-15665-00</v>
      </c>
      <c r="B181" s="2" t="str">
        <f>IFERROR(__xludf.DUMMYFUNCTION("""COMPUTED_VALUE"""),"RED SILICON ORING 2125; PART NO :202359")</f>
        <v>RED SILICON ORING 2125; PART NO :202359</v>
      </c>
      <c r="C181" s="2" t="str">
        <f>IFERROR(__xludf.DUMMYFUNCTION("""COMPUTED_VALUE"""),"O-15665-00")</f>
        <v>O-15665-00</v>
      </c>
      <c r="D181" s="2" t="str">
        <f>if(isna(vlookup(C181,'On Hand'!A:C,3,0)),"",vlookup(C181,'On Hand'!A:C,3,0))</f>
        <v/>
      </c>
    </row>
    <row r="182">
      <c r="A182" s="2" t="str">
        <f>IFERROR(__xludf.DUMMYFUNCTION("""COMPUTED_VALUE"""),"O-15666-00")</f>
        <v>O-15666-00</v>
      </c>
      <c r="B182" s="2" t="str">
        <f>IFERROR(__xludf.DUMMYFUNCTION("""COMPUTED_VALUE"""),"RED SILICON ORING 4900; PART NO :202514")</f>
        <v>RED SILICON ORING 4900; PART NO :202514</v>
      </c>
      <c r="C182" s="2" t="str">
        <f>IFERROR(__xludf.DUMMYFUNCTION("""COMPUTED_VALUE"""),"O-15666-00")</f>
        <v>O-15666-00</v>
      </c>
      <c r="D182" s="2" t="str">
        <f>if(isna(vlookup(C182,'On Hand'!A:C,3,0)),"",vlookup(C182,'On Hand'!A:C,3,0))</f>
        <v/>
      </c>
    </row>
    <row r="183">
      <c r="A183" s="2" t="str">
        <f>IFERROR(__xludf.DUMMYFUNCTION("""COMPUTED_VALUE"""),"O-15667-00")</f>
        <v>O-15667-00</v>
      </c>
      <c r="B183" s="2" t="str">
        <f>IFERROR(__xludf.DUMMYFUNCTION("""COMPUTED_VALUE"""),"REFRIGERATION FILTER CORE(48 CU.IN., S.S , MESH, 140 UM,)")</f>
        <v>REFRIGERATION FILTER CORE(48 CU.IN., S.S , MESH, 140 UM,)</v>
      </c>
      <c r="C183" s="2" t="str">
        <f>IFERROR(__xludf.DUMMYFUNCTION("""COMPUTED_VALUE"""),"O-15667-00")</f>
        <v>O-15667-00</v>
      </c>
      <c r="D183" s="2" t="str">
        <f>if(isna(vlookup(C183,'On Hand'!A:C,3,0)),"",vlookup(C183,'On Hand'!A:C,3,0))</f>
        <v/>
      </c>
    </row>
    <row r="184">
      <c r="A184" s="2" t="str">
        <f>IFERROR(__xludf.DUMMYFUNCTION("""COMPUTED_VALUE"""),"O-15668-00")</f>
        <v>O-15668-00</v>
      </c>
      <c r="B184" s="2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4" s="2" t="str">
        <f>IFERROR(__xludf.DUMMYFUNCTION("""COMPUTED_VALUE"""),"O-15668-00")</f>
        <v>O-15668-00</v>
      </c>
      <c r="D184" s="2" t="str">
        <f>if(isna(vlookup(C184,'On Hand'!A:C,3,0)),"",vlookup(C184,'On Hand'!A:C,3,0))</f>
        <v/>
      </c>
    </row>
    <row r="185">
      <c r="A185" s="2" t="str">
        <f>IFERROR(__xludf.DUMMYFUNCTION("""COMPUTED_VALUE"""),"O-15669-00")</f>
        <v>O-15669-00</v>
      </c>
      <c r="B185" s="2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5" s="2" t="str">
        <f>IFERROR(__xludf.DUMMYFUNCTION("""COMPUTED_VALUE"""),"O-15669-00")</f>
        <v>O-15669-00</v>
      </c>
      <c r="D185" s="2" t="str">
        <f>if(isna(vlookup(C185,'On Hand'!A:C,3,0)),"",vlookup(C185,'On Hand'!A:C,3,0))</f>
        <v>unt</v>
      </c>
    </row>
    <row r="186">
      <c r="A186" s="2" t="str">
        <f>IFERROR(__xludf.DUMMYFUNCTION("""COMPUTED_VALUE"""),"O-15670-00")</f>
        <v>O-15670-00</v>
      </c>
      <c r="B186" s="2" t="str">
        <f>IFERROR(__xludf.DUMMYFUNCTION("""COMPUTED_VALUE"""),"RING JOINT - AR 19-24 SHORE 98; PART NO :200105")</f>
        <v>RING JOINT - AR 19-24 SHORE 98; PART NO :200105</v>
      </c>
      <c r="C186" s="2" t="str">
        <f>IFERROR(__xludf.DUMMYFUNCTION("""COMPUTED_VALUE"""),"O-15670-00")</f>
        <v>O-15670-00</v>
      </c>
      <c r="D186" s="2" t="str">
        <f>if(isna(vlookup(C186,'On Hand'!A:C,3,0)),"",vlookup(C186,'On Hand'!A:C,3,0))</f>
        <v/>
      </c>
    </row>
    <row r="187">
      <c r="A187" s="2" t="str">
        <f>IFERROR(__xludf.DUMMYFUNCTION("""COMPUTED_VALUE"""),"O-15671-00")</f>
        <v>O-15671-00</v>
      </c>
      <c r="B187" s="2" t="str">
        <f>IFERROR(__xludf.DUMMYFUNCTION("""COMPUTED_VALUE"""),"RING JOINT AR 14 SHORE 98 SG; PART NO :200078")</f>
        <v>RING JOINT AR 14 SHORE 98 SG; PART NO :200078</v>
      </c>
      <c r="C187" s="2" t="str">
        <f>IFERROR(__xludf.DUMMYFUNCTION("""COMPUTED_VALUE"""),"O-15671-00")</f>
        <v>O-15671-00</v>
      </c>
      <c r="D187" s="2" t="str">
        <f>if(isna(vlookup(C187,'On Hand'!A:C,3,0)),"",vlookup(C187,'On Hand'!A:C,3,0))</f>
        <v/>
      </c>
    </row>
    <row r="188">
      <c r="A188" s="2" t="str">
        <f>IFERROR(__xludf.DUMMYFUNCTION("""COMPUTED_VALUE"""),"O-15672-00")</f>
        <v>O-15672-00</v>
      </c>
      <c r="B188" s="2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8" s="2" t="str">
        <f>IFERROR(__xludf.DUMMYFUNCTION("""COMPUTED_VALUE"""),"O-15672-00")</f>
        <v>O-15672-00</v>
      </c>
      <c r="D188" s="2" t="str">
        <f>if(isna(vlookup(C188,'On Hand'!A:C,3,0)),"",vlookup(C188,'On Hand'!A:C,3,0))</f>
        <v/>
      </c>
    </row>
    <row r="189">
      <c r="A189" s="2" t="str">
        <f>IFERROR(__xludf.DUMMYFUNCTION("""COMPUTED_VALUE"""),"O-15673-00")</f>
        <v>O-15673-00</v>
      </c>
      <c r="B189" s="2" t="str">
        <f>IFERROR(__xludf.DUMMYFUNCTION("""COMPUTED_VALUE"""),"SAFETY PRESSURE SWITCH ; PRSIC ;")</f>
        <v>SAFETY PRESSURE SWITCH ; PRSIC ;</v>
      </c>
      <c r="C189" s="2" t="str">
        <f>IFERROR(__xludf.DUMMYFUNCTION("""COMPUTED_VALUE"""),"O-15673-00")</f>
        <v>O-15673-00</v>
      </c>
      <c r="D189" s="2" t="str">
        <f>if(isna(vlookup(C189,'On Hand'!A:C,3,0)),"",vlookup(C189,'On Hand'!A:C,3,0))</f>
        <v/>
      </c>
    </row>
    <row r="190">
      <c r="A190" s="2" t="str">
        <f>IFERROR(__xludf.DUMMYFUNCTION("""COMPUTED_VALUE"""),"O-15674-00")</f>
        <v>O-15674-00</v>
      </c>
      <c r="B190" s="2" t="str">
        <f>IFERROR(__xludf.DUMMYFUNCTION("""COMPUTED_VALUE"""),"SAFETY THERMOMETER PROBE ; TE5 ;")</f>
        <v>SAFETY THERMOMETER PROBE ; TE5 ;</v>
      </c>
      <c r="C190" s="2" t="str">
        <f>IFERROR(__xludf.DUMMYFUNCTION("""COMPUTED_VALUE"""),"O-15674-00")</f>
        <v>O-15674-00</v>
      </c>
      <c r="D190" s="2" t="str">
        <f>if(isna(vlookup(C190,'On Hand'!A:C,3,0)),"",vlookup(C190,'On Hand'!A:C,3,0))</f>
        <v/>
      </c>
    </row>
    <row r="191">
      <c r="A191" s="2" t="str">
        <f>IFERROR(__xludf.DUMMYFUNCTION("""COMPUTED_VALUE"""),"O-15675-00")</f>
        <v>O-15675-00</v>
      </c>
      <c r="B191" s="2" t="str">
        <f>IFERROR(__xludf.DUMMYFUNCTION("""COMPUTED_VALUE"""),"SAFETY THERMOMETER PROBE ; TE5 ;")</f>
        <v>SAFETY THERMOMETER PROBE ; TE5 ;</v>
      </c>
      <c r="C191" s="2" t="str">
        <f>IFERROR(__xludf.DUMMYFUNCTION("""COMPUTED_VALUE"""),"O-15675-00")</f>
        <v>O-15675-00</v>
      </c>
      <c r="D191" s="2" t="str">
        <f>if(isna(vlookup(C191,'On Hand'!A:C,3,0)),"",vlookup(C191,'On Hand'!A:C,3,0))</f>
        <v/>
      </c>
    </row>
    <row r="192">
      <c r="A192" s="2" t="str">
        <f>IFERROR(__xludf.DUMMYFUNCTION("""COMPUTED_VALUE"""),"O-15676-00")</f>
        <v>O-15676-00</v>
      </c>
      <c r="B192" s="2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2" s="2" t="str">
        <f>IFERROR(__xludf.DUMMYFUNCTION("""COMPUTED_VALUE"""),"O-15676-00")</f>
        <v>O-15676-00</v>
      </c>
      <c r="D192" s="2" t="str">
        <f>if(isna(vlookup(C192,'On Hand'!A:C,3,0)),"",vlookup(C192,'On Hand'!A:C,3,0))</f>
        <v/>
      </c>
    </row>
    <row r="193">
      <c r="A193" s="2" t="str">
        <f>IFERROR(__xludf.DUMMYFUNCTION("""COMPUTED_VALUE"""),"O-15677-00")</f>
        <v>O-15677-00</v>
      </c>
      <c r="B193" s="2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3" s="2" t="str">
        <f>IFERROR(__xludf.DUMMYFUNCTION("""COMPUTED_VALUE"""),"O-15677-00")</f>
        <v>O-15677-00</v>
      </c>
      <c r="D193" s="2" t="str">
        <f>if(isna(vlookup(C193,'On Hand'!A:C,3,0)),"",vlookup(C193,'On Hand'!A:C,3,0))</f>
        <v/>
      </c>
    </row>
    <row r="194">
      <c r="A194" s="2" t="str">
        <f>IFERROR(__xludf.DUMMYFUNCTION("""COMPUTED_VALUE"""),"O-15678-00")</f>
        <v>O-15678-00</v>
      </c>
      <c r="B194" s="2" t="str">
        <f>IFERROR(__xludf.DUMMYFUNCTION("""COMPUTED_VALUE"""),"SEALING RING G20 - 28 - 4; PART NO :200067")</f>
        <v>SEALING RING G20 - 28 - 4; PART NO :200067</v>
      </c>
      <c r="C194" s="2" t="str">
        <f>IFERROR(__xludf.DUMMYFUNCTION("""COMPUTED_VALUE"""),"O-15678-00")</f>
        <v>O-15678-00</v>
      </c>
      <c r="D194" s="2" t="str">
        <f>if(isna(vlookup(C194,'On Hand'!A:C,3,0)),"",vlookup(C194,'On Hand'!A:C,3,0))</f>
        <v/>
      </c>
    </row>
    <row r="195">
      <c r="A195" s="2" t="str">
        <f>IFERROR(__xludf.DUMMYFUNCTION("""COMPUTED_VALUE"""),"O-15679-00")</f>
        <v>O-15679-00</v>
      </c>
      <c r="B195" s="2" t="str">
        <f>IFERROR(__xludf.DUMMYFUNCTION("""COMPUTED_VALUE"""),"SECURITY PHOTOCELLS; PART NO :7209")</f>
        <v>SECURITY PHOTOCELLS; PART NO :7209</v>
      </c>
      <c r="C195" s="2" t="str">
        <f>IFERROR(__xludf.DUMMYFUNCTION("""COMPUTED_VALUE"""),"O-15679-00")</f>
        <v>O-15679-00</v>
      </c>
      <c r="D195" s="2" t="str">
        <f>if(isna(vlookup(C195,'On Hand'!A:C,3,0)),"",vlookup(C195,'On Hand'!A:C,3,0))</f>
        <v/>
      </c>
    </row>
    <row r="196">
      <c r="A196" s="2" t="str">
        <f>IFERROR(__xludf.DUMMYFUNCTION("""COMPUTED_VALUE"""),"O-15680-00")</f>
        <v>O-15680-00</v>
      </c>
      <c r="B196" s="2" t="str">
        <f>IFERROR(__xludf.DUMMYFUNCTION("""COMPUTED_VALUE"""),"SILICON GASKET O RING RED ; ID= 192 mm, OD: 246 mm, Thickness : 4 mm")</f>
        <v>SILICON GASKET O RING RED ; ID= 192 mm, OD: 246 mm, Thickness : 4 mm</v>
      </c>
      <c r="C196" s="2" t="str">
        <f>IFERROR(__xludf.DUMMYFUNCTION("""COMPUTED_VALUE"""),"O-15680-00")</f>
        <v>O-15680-00</v>
      </c>
      <c r="D196" s="2" t="str">
        <f>if(isna(vlookup(C196,'On Hand'!A:C,3,0)),"",vlookup(C196,'On Hand'!A:C,3,0))</f>
        <v/>
      </c>
    </row>
    <row r="197">
      <c r="A197" s="2" t="str">
        <f>IFERROR(__xludf.DUMMYFUNCTION("""COMPUTED_VALUE"""),"O-15681-00")</f>
        <v>O-15681-00</v>
      </c>
      <c r="B197" s="2" t="str">
        <f>IFERROR(__xludf.DUMMYFUNCTION("""COMPUTED_VALUE"""),"Glove housing gasket; Thickness 2 mm, glove port dia 250 mm")</f>
        <v>Glove housing gasket; Thickness 2 mm, glove port dia 250 mm</v>
      </c>
      <c r="C197" s="2" t="str">
        <f>IFERROR(__xludf.DUMMYFUNCTION("""COMPUTED_VALUE"""),"O-15681-00")</f>
        <v>O-15681-00</v>
      </c>
      <c r="D197" s="2" t="str">
        <f>if(isna(vlookup(C197,'On Hand'!A:C,3,0)),"",vlookup(C197,'On Hand'!A:C,3,0))</f>
        <v/>
      </c>
    </row>
    <row r="198">
      <c r="A198" s="2" t="str">
        <f>IFERROR(__xludf.DUMMYFUNCTION("""COMPUTED_VALUE"""),"O-15682-00")</f>
        <v>O-15682-00</v>
      </c>
      <c r="B198" s="2" t="str">
        <f>IFERROR(__xludf.DUMMYFUNCTION("""COMPUTED_VALUE"""),"SILICON HOSES F10 ( ID:6MM / OD: 10MM );")</f>
        <v>SILICON HOSES F10 ( ID:6MM / OD: 10MM );</v>
      </c>
      <c r="C198" s="2" t="str">
        <f>IFERROR(__xludf.DUMMYFUNCTION("""COMPUTED_VALUE"""),"O-15682-00")</f>
        <v>O-15682-00</v>
      </c>
      <c r="D198" s="2" t="str">
        <f>if(isna(vlookup(C198,'On Hand'!A:C,3,0)),"",vlookup(C198,'On Hand'!A:C,3,0))</f>
        <v/>
      </c>
    </row>
    <row r="199">
      <c r="A199" s="2" t="str">
        <f>IFERROR(__xludf.DUMMYFUNCTION("""COMPUTED_VALUE"""),"O-15683-00")</f>
        <v>O-15683-00</v>
      </c>
      <c r="B199" s="2" t="str">
        <f>IFERROR(__xludf.DUMMYFUNCTION("""COMPUTED_VALUE"""),"SILICON HOSES F14 ( ID:4MM / OD: 10MM ) 86/10;")</f>
        <v>SILICON HOSES F14 ( ID:4MM / OD: 10MM ) 86/10;</v>
      </c>
      <c r="C199" s="2" t="str">
        <f>IFERROR(__xludf.DUMMYFUNCTION("""COMPUTED_VALUE"""),"O-15683-00")</f>
        <v>O-15683-00</v>
      </c>
      <c r="D199" s="2" t="str">
        <f>if(isna(vlookup(C199,'On Hand'!A:C,3,0)),"",vlookup(C199,'On Hand'!A:C,3,0))</f>
        <v/>
      </c>
    </row>
    <row r="200">
      <c r="A200" s="2" t="str">
        <f>IFERROR(__xludf.DUMMYFUNCTION("""COMPUTED_VALUE"""),"O-15684-00")</f>
        <v>O-15684-00</v>
      </c>
      <c r="B200" s="2" t="str">
        <f>IFERROR(__xludf.DUMMYFUNCTION("""COMPUTED_VALUE"""),"SILICON ORING 3100; PART NO :200236")</f>
        <v>SILICON ORING 3100; PART NO :200236</v>
      </c>
      <c r="C200" s="2" t="str">
        <f>IFERROR(__xludf.DUMMYFUNCTION("""COMPUTED_VALUE"""),"O-15684-00")</f>
        <v>O-15684-00</v>
      </c>
      <c r="D200" s="2" t="str">
        <f>if(isna(vlookup(C200,'On Hand'!A:C,3,0)),"",vlookup(C200,'On Hand'!A:C,3,0))</f>
        <v/>
      </c>
    </row>
    <row r="201">
      <c r="A201" s="2" t="str">
        <f>IFERROR(__xludf.DUMMYFUNCTION("""COMPUTED_VALUE"""),"O-15685-00")</f>
        <v>O-15685-00</v>
      </c>
      <c r="B201" s="2" t="str">
        <f>IFERROR(__xludf.DUMMYFUNCTION("""COMPUTED_VALUE"""),"SILICON ORING 3162; PART NO :201677")</f>
        <v>SILICON ORING 3162; PART NO :201677</v>
      </c>
      <c r="C201" s="2" t="str">
        <f>IFERROR(__xludf.DUMMYFUNCTION("""COMPUTED_VALUE"""),"O-15685-00")</f>
        <v>O-15685-00</v>
      </c>
      <c r="D201" s="2" t="str">
        <f>if(isna(vlookup(C201,'On Hand'!A:C,3,0)),"",vlookup(C201,'On Hand'!A:C,3,0))</f>
        <v/>
      </c>
    </row>
    <row r="202">
      <c r="A202" s="2" t="str">
        <f>IFERROR(__xludf.DUMMYFUNCTION("""COMPUTED_VALUE"""),"O-15686-00")</f>
        <v>O-15686-00</v>
      </c>
      <c r="B202" s="2" t="str">
        <f>IFERROR(__xludf.DUMMYFUNCTION("""COMPUTED_VALUE"""),"SILICON ORING 3200; PART NO :200069")</f>
        <v>SILICON ORING 3200; PART NO :200069</v>
      </c>
      <c r="C202" s="2" t="str">
        <f>IFERROR(__xludf.DUMMYFUNCTION("""COMPUTED_VALUE"""),"O-15686-00")</f>
        <v>O-15686-00</v>
      </c>
      <c r="D202" s="2" t="str">
        <f>if(isna(vlookup(C202,'On Hand'!A:C,3,0)),"",vlookup(C202,'On Hand'!A:C,3,0))</f>
        <v/>
      </c>
    </row>
    <row r="203">
      <c r="A203" s="2" t="str">
        <f>IFERROR(__xludf.DUMMYFUNCTION("""COMPUTED_VALUE"""),"O-15687-00")</f>
        <v>O-15687-00</v>
      </c>
      <c r="B203" s="2" t="str">
        <f>IFERROR(__xludf.DUMMYFUNCTION("""COMPUTED_VALUE"""),"SILICON ORING 3237; PART NO :201706")</f>
        <v>SILICON ORING 3237; PART NO :201706</v>
      </c>
      <c r="C203" s="2" t="str">
        <f>IFERROR(__xludf.DUMMYFUNCTION("""COMPUTED_VALUE"""),"O-15687-00")</f>
        <v>O-15687-00</v>
      </c>
      <c r="D203" s="2" t="str">
        <f>if(isna(vlookup(C203,'On Hand'!A:C,3,0)),"",vlookup(C203,'On Hand'!A:C,3,0))</f>
        <v/>
      </c>
    </row>
    <row r="204">
      <c r="A204" s="2" t="str">
        <f>IFERROR(__xludf.DUMMYFUNCTION("""COMPUTED_VALUE"""),"O-15688-00")</f>
        <v>O-15688-00</v>
      </c>
      <c r="B204" s="2" t="str">
        <f>IFERROR(__xludf.DUMMYFUNCTION("""COMPUTED_VALUE"""),"SILICON ORING 3256; PART NO :200081")</f>
        <v>SILICON ORING 3256; PART NO :200081</v>
      </c>
      <c r="C204" s="2" t="str">
        <f>IFERROR(__xludf.DUMMYFUNCTION("""COMPUTED_VALUE"""),"O-15688-00")</f>
        <v>O-15688-00</v>
      </c>
      <c r="D204" s="2" t="str">
        <f>if(isna(vlookup(C204,'On Hand'!A:C,3,0)),"",vlookup(C204,'On Hand'!A:C,3,0))</f>
        <v/>
      </c>
    </row>
    <row r="205">
      <c r="A205" s="2" t="str">
        <f>IFERROR(__xludf.DUMMYFUNCTION("""COMPUTED_VALUE"""),"O-15689-00")</f>
        <v>O-15689-00</v>
      </c>
      <c r="B205" s="2" t="str">
        <f>IFERROR(__xludf.DUMMYFUNCTION("""COMPUTED_VALUE"""),"SILICON ORING 3325; PART NO :200079")</f>
        <v>SILICON ORING 3325; PART NO :200079</v>
      </c>
      <c r="C205" s="2" t="str">
        <f>IFERROR(__xludf.DUMMYFUNCTION("""COMPUTED_VALUE"""),"O-15689-00")</f>
        <v>O-15689-00</v>
      </c>
      <c r="D205" s="2" t="str">
        <f>if(isna(vlookup(C205,'On Hand'!A:C,3,0)),"",vlookup(C205,'On Hand'!A:C,3,0))</f>
        <v/>
      </c>
    </row>
    <row r="206">
      <c r="A206" s="2" t="str">
        <f>IFERROR(__xludf.DUMMYFUNCTION("""COMPUTED_VALUE"""),"O-15690-00")</f>
        <v>O-15690-00</v>
      </c>
      <c r="B206" s="2" t="str">
        <f>IFERROR(__xludf.DUMMYFUNCTION("""COMPUTED_VALUE"""),"SILICON ORING 3350; PART NO :200783")</f>
        <v>SILICON ORING 3350; PART NO :200783</v>
      </c>
      <c r="C206" s="2" t="str">
        <f>IFERROR(__xludf.DUMMYFUNCTION("""COMPUTED_VALUE"""),"O-15690-00")</f>
        <v>O-15690-00</v>
      </c>
      <c r="D206" s="2" t="str">
        <f>if(isna(vlookup(C206,'On Hand'!A:C,3,0)),"",vlookup(C206,'On Hand'!A:C,3,0))</f>
        <v/>
      </c>
    </row>
    <row r="207">
      <c r="A207" s="2" t="str">
        <f>IFERROR(__xludf.DUMMYFUNCTION("""COMPUTED_VALUE"""),"O-15691-00")</f>
        <v>O-15691-00</v>
      </c>
      <c r="B207" s="2" t="str">
        <f>IFERROR(__xludf.DUMMYFUNCTION("""COMPUTED_VALUE"""),"SILICON ORING 4675; PART NO :201548")</f>
        <v>SILICON ORING 4675; PART NO :201548</v>
      </c>
      <c r="C207" s="2" t="str">
        <f>IFERROR(__xludf.DUMMYFUNCTION("""COMPUTED_VALUE"""),"O-15691-00")</f>
        <v>O-15691-00</v>
      </c>
      <c r="D207" s="2" t="str">
        <f>if(isna(vlookup(C207,'On Hand'!A:C,3,0)),"",vlookup(C207,'On Hand'!A:C,3,0))</f>
        <v/>
      </c>
    </row>
    <row r="208">
      <c r="A208" s="2" t="str">
        <f>IFERROR(__xludf.DUMMYFUNCTION("""COMPUTED_VALUE"""),"O-15692-00")</f>
        <v>O-15692-00</v>
      </c>
      <c r="B208" s="2" t="str">
        <f>IFERROR(__xludf.DUMMYFUNCTION("""COMPUTED_VALUE"""),"SILICONE GASKET EPDM 24X16; PART NO :7163")</f>
        <v>SILICONE GASKET EPDM 24X16; PART NO :7163</v>
      </c>
      <c r="C208" s="2" t="str">
        <f>IFERROR(__xludf.DUMMYFUNCTION("""COMPUTED_VALUE"""),"O-15692-00")</f>
        <v>O-15692-00</v>
      </c>
      <c r="D208" s="2" t="str">
        <f>if(isna(vlookup(C208,'On Hand'!A:C,3,0)),"",vlookup(C208,'On Hand'!A:C,3,0))</f>
        <v/>
      </c>
    </row>
    <row r="209">
      <c r="A209" s="2" t="str">
        <f>IFERROR(__xludf.DUMMYFUNCTION("""COMPUTED_VALUE"""),"O-15693-00")</f>
        <v>O-15693-00</v>
      </c>
      <c r="B209" s="2" t="str">
        <f>IFERROR(__xludf.DUMMYFUNCTION("""COMPUTED_VALUE"""),"SILICONE GASKET EPDM 29,5X19,5; PART NO :7164")</f>
        <v>SILICONE GASKET EPDM 29,5X19,5; PART NO :7164</v>
      </c>
      <c r="C209" s="2" t="str">
        <f>IFERROR(__xludf.DUMMYFUNCTION("""COMPUTED_VALUE"""),"O-15693-00")</f>
        <v>O-15693-00</v>
      </c>
      <c r="D209" s="2" t="str">
        <f>if(isna(vlookup(C209,'On Hand'!A:C,3,0)),"",vlookup(C209,'On Hand'!A:C,3,0))</f>
        <v/>
      </c>
    </row>
    <row r="210">
      <c r="A210" s="2" t="str">
        <f>IFERROR(__xludf.DUMMYFUNCTION("""COMPUTED_VALUE"""),"O-15694-00")</f>
        <v>O-15694-00</v>
      </c>
      <c r="B210" s="2" t="str">
        <f>IFERROR(__xludf.DUMMYFUNCTION("""COMPUTED_VALUE"""),"SILICONE O-RING 2162; PART NO :200831")</f>
        <v>SILICONE O-RING 2162; PART NO :200831</v>
      </c>
      <c r="C210" s="2" t="str">
        <f>IFERROR(__xludf.DUMMYFUNCTION("""COMPUTED_VALUE"""),"O-15694-00")</f>
        <v>O-15694-00</v>
      </c>
      <c r="D210" s="2" t="str">
        <f>if(isna(vlookup(C210,'On Hand'!A:C,3,0)),"",vlookup(C210,'On Hand'!A:C,3,0))</f>
        <v/>
      </c>
    </row>
    <row r="211">
      <c r="A211" s="2" t="str">
        <f>IFERROR(__xludf.DUMMYFUNCTION("""COMPUTED_VALUE"""),"O-15695-00")</f>
        <v>O-15695-00</v>
      </c>
      <c r="B211" s="2" t="str">
        <f>IFERROR(__xludf.DUMMYFUNCTION("""COMPUTED_VALUE"""),"SILICONE STRING FOR GASKET EPDM 9,5X7,5 ; PART NO :7165")</f>
        <v>SILICONE STRING FOR GASKET EPDM 9,5X7,5 ; PART NO :7165</v>
      </c>
      <c r="C211" s="2" t="str">
        <f>IFERROR(__xludf.DUMMYFUNCTION("""COMPUTED_VALUE"""),"O-15695-00")</f>
        <v>O-15695-00</v>
      </c>
      <c r="D211" s="2" t="str">
        <f>if(isna(vlookup(C211,'On Hand'!A:C,3,0)),"",vlookup(C211,'On Hand'!A:C,3,0))</f>
        <v/>
      </c>
    </row>
    <row r="212">
      <c r="A212" s="2" t="str">
        <f>IFERROR(__xludf.DUMMYFUNCTION("""COMPUTED_VALUE"""),"O-15696-00")</f>
        <v>O-15696-00</v>
      </c>
      <c r="B212" s="2" t="str">
        <f>IFERROR(__xludf.DUMMYFUNCTION("""COMPUTED_VALUE"""),"SILICONE SUCKER 01.11.16; PART NO :202082")</f>
        <v>SILICONE SUCKER 01.11.16; PART NO :202082</v>
      </c>
      <c r="C212" s="2" t="str">
        <f>IFERROR(__xludf.DUMMYFUNCTION("""COMPUTED_VALUE"""),"O-15696-00")</f>
        <v>O-15696-00</v>
      </c>
      <c r="D212" s="2" t="str">
        <f>if(isna(vlookup(C212,'On Hand'!A:C,3,0)),"",vlookup(C212,'On Hand'!A:C,3,0))</f>
        <v/>
      </c>
    </row>
    <row r="213">
      <c r="A213" s="2" t="str">
        <f>IFERROR(__xludf.DUMMYFUNCTION("""COMPUTED_VALUE"""),"O-15697-00")</f>
        <v>O-15697-00</v>
      </c>
      <c r="B213" s="2" t="str">
        <f>IFERROR(__xludf.DUMMYFUNCTION("""COMPUTED_VALUE"""),"General - SILICONE SUCKER 01.16.20; Steriline; 202370; 1 Pc")</f>
        <v>General - SILICONE SUCKER 01.16.20; Steriline; 202370; 1 Pc</v>
      </c>
      <c r="C213" s="2" t="str">
        <f>IFERROR(__xludf.DUMMYFUNCTION("""COMPUTED_VALUE"""),"O-15697-00")</f>
        <v>O-15697-00</v>
      </c>
      <c r="D213" s="2" t="str">
        <f>if(isna(vlookup(C213,'On Hand'!A:C,3,0)),"",vlookup(C213,'On Hand'!A:C,3,0))</f>
        <v>unt</v>
      </c>
    </row>
    <row r="214">
      <c r="A214" s="2" t="str">
        <f>IFERROR(__xludf.DUMMYFUNCTION("""COMPUTED_VALUE"""),"O-15698-00")</f>
        <v>O-15698-00</v>
      </c>
      <c r="B214" s="2" t="str">
        <f>IFERROR(__xludf.DUMMYFUNCTION("""COMPUTED_VALUE"""),"SLEEVE BEARING STAR 0670-225-40PP; STERILINE ;
 PART NO :200988")</f>
        <v>SLEEVE BEARING STAR 0670-225-40PP; STERILINE ;
 PART NO :200988</v>
      </c>
      <c r="C214" s="2" t="str">
        <f>IFERROR(__xludf.DUMMYFUNCTION("""COMPUTED_VALUE"""),"O-15698-00")</f>
        <v>O-15698-00</v>
      </c>
      <c r="D214" s="2" t="str">
        <f>if(isna(vlookup(C214,'On Hand'!A:C,3,0)),"",vlookup(C214,'On Hand'!A:C,3,0))</f>
        <v/>
      </c>
    </row>
    <row r="215">
      <c r="A215" s="2" t="str">
        <f>IFERROR(__xludf.DUMMYFUNCTION("""COMPUTED_VALUE"""),"O-15699-00")</f>
        <v>O-15699-00</v>
      </c>
      <c r="B215" s="2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5" s="2" t="str">
        <f>IFERROR(__xludf.DUMMYFUNCTION("""COMPUTED_VALUE"""),"O-15699-00")</f>
        <v>O-15699-00</v>
      </c>
      <c r="D215" s="2" t="str">
        <f>if(isna(vlookup(C215,'On Hand'!A:C,3,0)),"",vlookup(C215,'On Hand'!A:C,3,0))</f>
        <v/>
      </c>
    </row>
    <row r="216">
      <c r="A216" s="2" t="str">
        <f>IFERROR(__xludf.DUMMYFUNCTION("""COMPUTED_VALUE"""),"O-15700-00")</f>
        <v>O-15700-00</v>
      </c>
      <c r="B216" s="2" t="str">
        <f>IFERROR(__xludf.DUMMYFUNCTION("""COMPUTED_VALUE"""),"SOLENOID VALVE CLWS COMPRESSOR(6213A 1/2 24 VDC 10 W,)")</f>
        <v>SOLENOID VALVE CLWS COMPRESSOR(6213A 1/2 24 VDC 10 W,)</v>
      </c>
      <c r="C216" s="2" t="str">
        <f>IFERROR(__xludf.DUMMYFUNCTION("""COMPUTED_VALUE"""),"O-15700-00")</f>
        <v>O-15700-00</v>
      </c>
      <c r="D216" s="2" t="str">
        <f>if(isna(vlookup(C216,'On Hand'!A:C,3,0)),"",vlookup(C216,'On Hand'!A:C,3,0))</f>
        <v/>
      </c>
    </row>
    <row r="217">
      <c r="A217" s="2" t="str">
        <f>IFERROR(__xludf.DUMMYFUNCTION("""COMPUTED_VALUE"""),"O-15701-00")</f>
        <v>O-15701-00</v>
      </c>
      <c r="B217" s="2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7" s="2" t="str">
        <f>IFERROR(__xludf.DUMMYFUNCTION("""COMPUTED_VALUE"""),"O-15701-00")</f>
        <v>O-15701-00</v>
      </c>
      <c r="D217" s="2" t="str">
        <f>if(isna(vlookup(C217,'On Hand'!A:C,3,0)),"",vlookup(C217,'On Hand'!A:C,3,0))</f>
        <v/>
      </c>
    </row>
    <row r="218">
      <c r="A218" s="2" t="str">
        <f>IFERROR(__xludf.DUMMYFUNCTION("""COMPUTED_VALUE"""),"O-15702-00")</f>
        <v>O-15702-00</v>
      </c>
      <c r="B218" s="2" t="str">
        <f>IFERROR(__xludf.DUMMYFUNCTION("""COMPUTED_VALUE"""),"SOLENOID VALVE SOLDER 3/8  &amp; 3/8")</f>
        <v>SOLENOID VALVE SOLDER 3/8  &amp; 3/8</v>
      </c>
      <c r="C218" s="2" t="str">
        <f>IFERROR(__xludf.DUMMYFUNCTION("""COMPUTED_VALUE"""),"O-15702-00")</f>
        <v>O-15702-00</v>
      </c>
      <c r="D218" s="2" t="str">
        <f>if(isna(vlookup(C218,'On Hand'!A:C,3,0)),"",vlookup(C218,'On Hand'!A:C,3,0))</f>
        <v/>
      </c>
    </row>
    <row r="219">
      <c r="A219" s="2" t="str">
        <f>IFERROR(__xludf.DUMMYFUNCTION("""COMPUTED_VALUE"""),"O-15703-00")</f>
        <v>O-15703-00</v>
      </c>
      <c r="B219" s="2" t="str">
        <f>IFERROR(__xludf.DUMMYFUNCTION("""COMPUTED_VALUE"""),"SPRING D=17X61-1.25 PITCH=10; PART NO :302681")</f>
        <v>SPRING D=17X61-1.25 PITCH=10; PART NO :302681</v>
      </c>
      <c r="C219" s="2" t="str">
        <f>IFERROR(__xludf.DUMMYFUNCTION("""COMPUTED_VALUE"""),"O-15703-00")</f>
        <v>O-15703-00</v>
      </c>
      <c r="D219" s="2" t="str">
        <f>if(isna(vlookup(C219,'On Hand'!A:C,3,0)),"",vlookup(C219,'On Hand'!A:C,3,0))</f>
        <v/>
      </c>
    </row>
    <row r="220">
      <c r="A220" s="2" t="str">
        <f>IFERROR(__xludf.DUMMYFUNCTION("""COMPUTED_VALUE"""),"O-15704-00")</f>
        <v>O-15704-00</v>
      </c>
      <c r="B220" s="2" t="str">
        <f>IFERROR(__xludf.DUMMYFUNCTION("""COMPUTED_VALUE"""),"STATIC GASKET (DOOR GASKET) FOR MAIN CHAMBER ; KLENZAIDS")</f>
        <v>STATIC GASKET (DOOR GASKET) FOR MAIN CHAMBER ; KLENZAIDS</v>
      </c>
      <c r="C220" s="2" t="str">
        <f>IFERROR(__xludf.DUMMYFUNCTION("""COMPUTED_VALUE"""),"O-15704-00")</f>
        <v>O-15704-00</v>
      </c>
      <c r="D220" s="2" t="str">
        <f>if(isna(vlookup(C220,'On Hand'!A:C,3,0)),"",vlookup(C220,'On Hand'!A:C,3,0))</f>
        <v/>
      </c>
    </row>
    <row r="221">
      <c r="A221" s="2" t="str">
        <f>IFERROR(__xludf.DUMMYFUNCTION("""COMPUTED_VALUE"""),"O-15705-00")</f>
        <v>O-15705-00</v>
      </c>
      <c r="B221" s="2" t="str">
        <f>IFERROR(__xludf.DUMMYFUNCTION("""COMPUTED_VALUE"""),"STERILE FILTER(SARTOFLUOR 0.2 UM, CARTRIDGE 5UM)")</f>
        <v>STERILE FILTER(SARTOFLUOR 0.2 UM, CARTRIDGE 5UM)</v>
      </c>
      <c r="C221" s="2" t="str">
        <f>IFERROR(__xludf.DUMMYFUNCTION("""COMPUTED_VALUE"""),"O-15705-00")</f>
        <v>O-15705-00</v>
      </c>
      <c r="D221" s="2" t="str">
        <f>if(isna(vlookup(C221,'On Hand'!A:C,3,0)),"",vlookup(C221,'On Hand'!A:C,3,0))</f>
        <v/>
      </c>
    </row>
    <row r="222">
      <c r="A222" s="2" t="str">
        <f>IFERROR(__xludf.DUMMYFUNCTION("""COMPUTED_VALUE"""),"O-15706-00")</f>
        <v>O-15706-00</v>
      </c>
      <c r="B222" s="2" t="str">
        <f>IFERROR(__xludf.DUMMYFUNCTION("""COMPUTED_VALUE"""),"STERILE FILTER FOR AIR; FA ;")</f>
        <v>STERILE FILTER FOR AIR; FA ;</v>
      </c>
      <c r="C222" s="2" t="str">
        <f>IFERROR(__xludf.DUMMYFUNCTION("""COMPUTED_VALUE"""),"O-15706-00")</f>
        <v>O-15706-00</v>
      </c>
      <c r="D222" s="2" t="str">
        <f>if(isna(vlookup(C222,'On Hand'!A:C,3,0)),"",vlookup(C222,'On Hand'!A:C,3,0))</f>
        <v/>
      </c>
    </row>
    <row r="223">
      <c r="A223" s="2" t="str">
        <f>IFERROR(__xludf.DUMMYFUNCTION("""COMPUTED_VALUE"""),"O-15707-00")</f>
        <v>O-15707-00</v>
      </c>
      <c r="B223" s="2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3" s="2" t="str">
        <f>IFERROR(__xludf.DUMMYFUNCTION("""COMPUTED_VALUE"""),"O-15707-00")</f>
        <v>O-15707-00</v>
      </c>
      <c r="D223" s="2" t="str">
        <f>if(isna(vlookup(C223,'On Hand'!A:C,3,0)),"",vlookup(C223,'On Hand'!A:C,3,0))</f>
        <v/>
      </c>
    </row>
    <row r="224">
      <c r="A224" s="2" t="str">
        <f>IFERROR(__xludf.DUMMYFUNCTION("""COMPUTED_VALUE"""),"O-15708-00")</f>
        <v>O-15708-00</v>
      </c>
      <c r="B224" s="2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4" s="2" t="str">
        <f>IFERROR(__xludf.DUMMYFUNCTION("""COMPUTED_VALUE"""),"O-15708-00")</f>
        <v>O-15708-00</v>
      </c>
      <c r="D224" s="2" t="str">
        <f>if(isna(vlookup(C224,'On Hand'!A:C,3,0)),"",vlookup(C224,'On Hand'!A:C,3,0))</f>
        <v/>
      </c>
    </row>
    <row r="225">
      <c r="A225" s="2" t="str">
        <f>IFERROR(__xludf.DUMMYFUNCTION("""COMPUTED_VALUE"""),"O-15709-00")</f>
        <v>O-15709-00</v>
      </c>
      <c r="B225" s="2" t="str">
        <f>IFERROR(__xludf.DUMMYFUNCTION("""COMPUTED_VALUE"""),"KEYENCE, HIGH PRECISION OPTICAL FIBER SUPER TOUGH FLEX FIBERS;")</f>
        <v>KEYENCE, HIGH PRECISION OPTICAL FIBER SUPER TOUGH FLEX FIBERS;</v>
      </c>
      <c r="C225" s="2" t="str">
        <f>IFERROR(__xludf.DUMMYFUNCTION("""COMPUTED_VALUE"""),"O-15709-00")</f>
        <v>O-15709-00</v>
      </c>
      <c r="D225" s="2" t="str">
        <f>if(isna(vlookup(C225,'On Hand'!A:C,3,0)),"",vlookup(C225,'On Hand'!A:C,3,0))</f>
        <v/>
      </c>
    </row>
    <row r="226">
      <c r="A226" s="2" t="str">
        <f>IFERROR(__xludf.DUMMYFUNCTION("""COMPUTED_VALUE"""),"O-15710-00")</f>
        <v>O-15710-00</v>
      </c>
      <c r="B226" s="2" t="str">
        <f>IFERROR(__xludf.DUMMYFUNCTION("""COMPUTED_VALUE"""),"VACUUM VALVE; MAC; 55B-24-PE-611-JB")</f>
        <v>VACUUM VALVE; MAC; 55B-24-PE-611-JB</v>
      </c>
      <c r="C226" s="2" t="str">
        <f>IFERROR(__xludf.DUMMYFUNCTION("""COMPUTED_VALUE"""),"O-15710-00")</f>
        <v>O-15710-00</v>
      </c>
      <c r="D226" s="2" t="str">
        <f>if(isna(vlookup(C226,'On Hand'!A:C,3,0)),"",vlookup(C226,'On Hand'!A:C,3,0))</f>
        <v/>
      </c>
    </row>
    <row r="227">
      <c r="A227" s="2" t="str">
        <f>IFERROR(__xludf.DUMMYFUNCTION("""COMPUTED_VALUE"""),"O-15711-00")</f>
        <v>O-15711-00</v>
      </c>
      <c r="B227" s="2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7" s="2" t="str">
        <f>IFERROR(__xludf.DUMMYFUNCTION("""COMPUTED_VALUE"""),"O-15711-00")</f>
        <v>O-15711-00</v>
      </c>
      <c r="D227" s="2" t="str">
        <f>if(isna(vlookup(C227,'On Hand'!A:C,3,0)),"",vlookup(C227,'On Hand'!A:C,3,0))</f>
        <v/>
      </c>
    </row>
    <row r="228">
      <c r="A228" s="2" t="str">
        <f>IFERROR(__xludf.DUMMYFUNCTION("""COMPUTED_VALUE"""),"O-15712-00")</f>
        <v>O-15712-00</v>
      </c>
      <c r="B228" s="2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8" s="2" t="str">
        <f>IFERROR(__xludf.DUMMYFUNCTION("""COMPUTED_VALUE"""),"O-15712-00")</f>
        <v>O-15712-00</v>
      </c>
      <c r="D228" s="2" t="str">
        <f>if(isna(vlookup(C228,'On Hand'!A:C,3,0)),"",vlookup(C228,'On Hand'!A:C,3,0))</f>
        <v/>
      </c>
    </row>
    <row r="229">
      <c r="A229" s="2" t="str">
        <f>IFERROR(__xludf.DUMMYFUNCTION("""COMPUTED_VALUE"""),"O-15713-00")</f>
        <v>O-15713-00</v>
      </c>
      <c r="B229" s="2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29" s="2" t="str">
        <f>IFERROR(__xludf.DUMMYFUNCTION("""COMPUTED_VALUE"""),"O-15713-00")</f>
        <v>O-15713-00</v>
      </c>
      <c r="D229" s="2" t="str">
        <f>if(isna(vlookup(C229,'On Hand'!A:C,3,0)),"",vlookup(C229,'On Hand'!A:C,3,0))</f>
        <v/>
      </c>
    </row>
    <row r="230">
      <c r="A230" s="2" t="str">
        <f>IFERROR(__xludf.DUMMYFUNCTION("""COMPUTED_VALUE"""),"O-15714-00")</f>
        <v>O-15714-00</v>
      </c>
      <c r="B230" s="2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0" s="2" t="str">
        <f>IFERROR(__xludf.DUMMYFUNCTION("""COMPUTED_VALUE"""),"O-15714-00")</f>
        <v>O-15714-00</v>
      </c>
      <c r="D230" s="2" t="str">
        <f>if(isna(vlookup(C230,'On Hand'!A:C,3,0)),"",vlookup(C230,'On Hand'!A:C,3,0))</f>
        <v/>
      </c>
    </row>
    <row r="231">
      <c r="A231" s="2" t="str">
        <f>IFERROR(__xludf.DUMMYFUNCTION("""COMPUTED_VALUE"""),"O-15715-00")</f>
        <v>O-15715-00</v>
      </c>
      <c r="B231" s="2" t="str">
        <f>IFERROR(__xludf.DUMMYFUNCTION("""COMPUTED_VALUE"""),"STOPPERS VIBRATING BOWL BASE ; VIBRATING BASE D=290 220V-50HZ")</f>
        <v>STOPPERS VIBRATING BOWL BASE ; VIBRATING BASE D=290 220V-50HZ</v>
      </c>
      <c r="C231" s="2" t="str">
        <f>IFERROR(__xludf.DUMMYFUNCTION("""COMPUTED_VALUE"""),"O-15715-00")</f>
        <v>O-15715-00</v>
      </c>
      <c r="D231" s="2" t="str">
        <f>if(isna(vlookup(C231,'On Hand'!A:C,3,0)),"",vlookup(C231,'On Hand'!A:C,3,0))</f>
        <v/>
      </c>
    </row>
    <row r="232">
      <c r="A232" s="2" t="str">
        <f>IFERROR(__xludf.DUMMYFUNCTION("""COMPUTED_VALUE"""),"O-15716-00")</f>
        <v>O-15716-00</v>
      </c>
      <c r="B232" s="2" t="str">
        <f>IFERROR(__xludf.DUMMYFUNCTION("""COMPUTED_VALUE"""),"STOPPERS VIBRATING CHUTE BASE ; LINEAR FEEDER 220V-50HZ SERIAL NO. 09375")</f>
        <v>STOPPERS VIBRATING CHUTE BASE ; LINEAR FEEDER 220V-50HZ SERIAL NO. 09375</v>
      </c>
      <c r="C232" s="2" t="str">
        <f>IFERROR(__xludf.DUMMYFUNCTION("""COMPUTED_VALUE"""),"O-15716-00")</f>
        <v>O-15716-00</v>
      </c>
      <c r="D232" s="2" t="str">
        <f>if(isna(vlookup(C232,'On Hand'!A:C,3,0)),"",vlookup(C232,'On Hand'!A:C,3,0))</f>
        <v/>
      </c>
    </row>
    <row r="233">
      <c r="A233" s="2" t="str">
        <f>IFERROR(__xludf.DUMMYFUNCTION("""COMPUTED_VALUE"""),"O-15717-00")</f>
        <v>O-15717-00</v>
      </c>
      <c r="B233" s="2" t="str">
        <f>IFERROR(__xludf.DUMMYFUNCTION("""COMPUTED_VALUE"""),"STOPPERS VIBRATING HOPPER BASE ; VIBRATING HOPPER 18/20 LIT BASE")</f>
        <v>STOPPERS VIBRATING HOPPER BASE ; VIBRATING HOPPER 18/20 LIT BASE</v>
      </c>
      <c r="C233" s="2" t="str">
        <f>IFERROR(__xludf.DUMMYFUNCTION("""COMPUTED_VALUE"""),"O-15717-00")</f>
        <v>O-15717-00</v>
      </c>
      <c r="D233" s="2" t="str">
        <f>if(isna(vlookup(C233,'On Hand'!A:C,3,0)),"",vlookup(C233,'On Hand'!A:C,3,0))</f>
        <v/>
      </c>
    </row>
    <row r="234">
      <c r="A234" s="2" t="str">
        <f>IFERROR(__xludf.DUMMYFUNCTION("""COMPUTED_VALUE"""),"O-15718-00")</f>
        <v>O-15718-00</v>
      </c>
      <c r="B234" s="2" t="str">
        <f>IFERROR(__xludf.DUMMYFUNCTION("""COMPUTED_VALUE"""),"General - SYNTHETIC FOOD GRADE; CRC; NSF H1; 1 Pc")</f>
        <v>General - SYNTHETIC FOOD GRADE; CRC; NSF H1; 1 Pc</v>
      </c>
      <c r="C234" s="2" t="str">
        <f>IFERROR(__xludf.DUMMYFUNCTION("""COMPUTED_VALUE"""),"O-15718-00")</f>
        <v>O-15718-00</v>
      </c>
      <c r="D234" s="2" t="str">
        <f>if(isna(vlookup(C234,'On Hand'!A:C,3,0)),"",vlookup(C234,'On Hand'!A:C,3,0))</f>
        <v>pc</v>
      </c>
    </row>
    <row r="235">
      <c r="A235" s="2" t="str">
        <f>IFERROR(__xludf.DUMMYFUNCTION("""COMPUTED_VALUE"""),"O-15719-00")</f>
        <v>O-15719-00</v>
      </c>
      <c r="B235" s="2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5" s="2" t="str">
        <f>IFERROR(__xludf.DUMMYFUNCTION("""COMPUTED_VALUE"""),"O-15719-00")</f>
        <v>O-15719-00</v>
      </c>
      <c r="D235" s="2" t="str">
        <f>if(isna(vlookup(C235,'On Hand'!A:C,3,0)),"",vlookup(C235,'On Hand'!A:C,3,0))</f>
        <v/>
      </c>
    </row>
    <row r="236">
      <c r="A236" s="2" t="str">
        <f>IFERROR(__xludf.DUMMYFUNCTION("""COMPUTED_VALUE"""),"O-15720-00")</f>
        <v>O-15720-00</v>
      </c>
      <c r="B236" s="2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6" s="2" t="str">
        <f>IFERROR(__xludf.DUMMYFUNCTION("""COMPUTED_VALUE"""),"O-15720-00")</f>
        <v>O-15720-00</v>
      </c>
      <c r="D236" s="2" t="str">
        <f>if(isna(vlookup(C236,'On Hand'!A:C,3,0)),"",vlookup(C236,'On Hand'!A:C,3,0))</f>
        <v/>
      </c>
    </row>
    <row r="237">
      <c r="A237" s="2" t="str">
        <f>IFERROR(__xludf.DUMMYFUNCTION("""COMPUTED_VALUE"""),"O-15721-00")</f>
        <v>O-15721-00</v>
      </c>
      <c r="B237" s="2" t="str">
        <f>IFERROR(__xludf.DUMMYFUNCTION("""COMPUTED_VALUE"""),"TEMPERATURE PROBE(PT100, DIN 43760, 316 SS, 316 SS, TEFLON, AWG #26, CLASS:A)")</f>
        <v>TEMPERATURE PROBE(PT100, DIN 43760, 316 SS, 316 SS, TEFLON, AWG #26, CLASS:A)</v>
      </c>
      <c r="C237" s="2" t="str">
        <f>IFERROR(__xludf.DUMMYFUNCTION("""COMPUTED_VALUE"""),"O-15721-00")</f>
        <v>O-15721-00</v>
      </c>
      <c r="D237" s="2" t="str">
        <f>if(isna(vlookup(C237,'On Hand'!A:C,3,0)),"",vlookup(C237,'On Hand'!A:C,3,0))</f>
        <v/>
      </c>
    </row>
    <row r="238">
      <c r="A238" s="2" t="str">
        <f>IFERROR(__xludf.DUMMYFUNCTION("""COMPUTED_VALUE"""),"O-15722-00")</f>
        <v>O-15722-00</v>
      </c>
      <c r="B238" s="2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8" s="2" t="str">
        <f>IFERROR(__xludf.DUMMYFUNCTION("""COMPUTED_VALUE"""),"O-15722-00")</f>
        <v>O-15722-00</v>
      </c>
      <c r="D238" s="2" t="str">
        <f>if(isna(vlookup(C238,'On Hand'!A:C,3,0)),"",vlookup(C238,'On Hand'!A:C,3,0))</f>
        <v/>
      </c>
    </row>
    <row r="239">
      <c r="A239" s="2" t="str">
        <f>IFERROR(__xludf.DUMMYFUNCTION("""COMPUTED_VALUE"""),"O-15723-00")</f>
        <v>O-15723-00</v>
      </c>
      <c r="B239" s="2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39" s="2" t="str">
        <f>IFERROR(__xludf.DUMMYFUNCTION("""COMPUTED_VALUE"""),"O-15723-00")</f>
        <v>O-15723-00</v>
      </c>
      <c r="D239" s="2" t="str">
        <f>if(isna(vlookup(C239,'On Hand'!A:C,3,0)),"",vlookup(C239,'On Hand'!A:C,3,0))</f>
        <v/>
      </c>
    </row>
    <row r="240">
      <c r="A240" s="2" t="str">
        <f>IFERROR(__xludf.DUMMYFUNCTION("""COMPUTED_VALUE"""),"O-15724-00")</f>
        <v>O-15724-00</v>
      </c>
      <c r="B240" s="2" t="str">
        <f>IFERROR(__xludf.DUMMYFUNCTION("""COMPUTED_VALUE"""),"TRIPHASE MICROMASTER INVERTER SERIES 440 0,37KW 3AC 380-480V; PART NO :3648")</f>
        <v>TRIPHASE MICROMASTER INVERTER SERIES 440 0,37KW 3AC 380-480V; PART NO :3648</v>
      </c>
      <c r="C240" s="2" t="str">
        <f>IFERROR(__xludf.DUMMYFUNCTION("""COMPUTED_VALUE"""),"O-15724-00")</f>
        <v>O-15724-00</v>
      </c>
      <c r="D240" s="2" t="str">
        <f>if(isna(vlookup(C240,'On Hand'!A:C,3,0)),"",vlookup(C240,'On Hand'!A:C,3,0))</f>
        <v/>
      </c>
    </row>
    <row r="241">
      <c r="A241" s="2" t="str">
        <f>IFERROR(__xludf.DUMMYFUNCTION("""COMPUTED_VALUE"""),"O-15725-00")</f>
        <v>O-15725-00</v>
      </c>
      <c r="B241" s="2" t="str">
        <f>IFERROR(__xludf.DUMMYFUNCTION("""COMPUTED_VALUE"""),"VACUUM CLAMP DAN BLIND 3/4 + GASKET")</f>
        <v>VACUUM CLAMP DAN BLIND 3/4 + GASKET</v>
      </c>
      <c r="C241" s="2" t="str">
        <f>IFERROR(__xludf.DUMMYFUNCTION("""COMPUTED_VALUE"""),"O-15725-00")</f>
        <v>O-15725-00</v>
      </c>
      <c r="D241" s="2" t="str">
        <f>if(isna(vlookup(C241,'On Hand'!A:C,3,0)),"",vlookup(C241,'On Hand'!A:C,3,0))</f>
        <v/>
      </c>
    </row>
    <row r="242">
      <c r="A242" s="2" t="str">
        <f>IFERROR(__xludf.DUMMYFUNCTION("""COMPUTED_VALUE"""),"O-15726-00")</f>
        <v>O-15726-00</v>
      </c>
      <c r="B242" s="2" t="str">
        <f>IFERROR(__xludf.DUMMYFUNCTION("""COMPUTED_VALUE"""),"VACUUM KIT SEAL; part number KK000315")</f>
        <v>VACUUM KIT SEAL; part number KK000315</v>
      </c>
      <c r="C242" s="2" t="str">
        <f>IFERROR(__xludf.DUMMYFUNCTION("""COMPUTED_VALUE"""),"O-15726-00")</f>
        <v>O-15726-00</v>
      </c>
      <c r="D242" s="2" t="str">
        <f>if(isna(vlookup(C242,'On Hand'!A:C,3,0)),"",vlookup(C242,'On Hand'!A:C,3,0))</f>
        <v/>
      </c>
    </row>
    <row r="243">
      <c r="A243" s="2" t="str">
        <f>IFERROR(__xludf.DUMMYFUNCTION("""COMPUTED_VALUE"""),"O-15727-00")</f>
        <v>O-15727-00</v>
      </c>
      <c r="B243" s="2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3" s="2" t="str">
        <f>IFERROR(__xludf.DUMMYFUNCTION("""COMPUTED_VALUE"""),"O-15727-00")</f>
        <v>O-15727-00</v>
      </c>
      <c r="D243" s="2" t="str">
        <f>if(isna(vlookup(C243,'On Hand'!A:C,3,0)),"",vlookup(C243,'On Hand'!A:C,3,0))</f>
        <v/>
      </c>
    </row>
    <row r="244">
      <c r="A244" s="2" t="str">
        <f>IFERROR(__xludf.DUMMYFUNCTION("""COMPUTED_VALUE"""),"O-15728-00")</f>
        <v>O-15728-00</v>
      </c>
      <c r="B244" s="2" t="str">
        <f>IFERROR(__xludf.DUMMYFUNCTION("""COMPUTED_VALUE"""),"VACUUM PUMP WATER LINE FILTER; F4 ;")</f>
        <v>VACUUM PUMP WATER LINE FILTER; F4 ;</v>
      </c>
      <c r="C244" s="2" t="str">
        <f>IFERROR(__xludf.DUMMYFUNCTION("""COMPUTED_VALUE"""),"O-15728-00")</f>
        <v>O-15728-00</v>
      </c>
      <c r="D244" s="2" t="str">
        <f>if(isna(vlookup(C244,'On Hand'!A:C,3,0)),"",vlookup(C244,'On Hand'!A:C,3,0))</f>
        <v/>
      </c>
    </row>
    <row r="245">
      <c r="A245" s="2" t="str">
        <f>IFERROR(__xludf.DUMMYFUNCTION("""COMPUTED_VALUE"""),"O-15729-00")</f>
        <v>O-15729-00</v>
      </c>
      <c r="B245" s="2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5" s="2" t="str">
        <f>IFERROR(__xludf.DUMMYFUNCTION("""COMPUTED_VALUE"""),"O-15729-00")</f>
        <v>O-15729-00</v>
      </c>
      <c r="D245" s="2" t="str">
        <f>if(isna(vlookup(C245,'On Hand'!A:C,3,0)),"",vlookup(C245,'On Hand'!A:C,3,0))</f>
        <v/>
      </c>
    </row>
    <row r="246">
      <c r="A246" s="2" t="str">
        <f>IFERROR(__xludf.DUMMYFUNCTION("""COMPUTED_VALUE"""),"O-15730-00")</f>
        <v>O-15730-00</v>
      </c>
      <c r="B246" s="2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6" s="2" t="str">
        <f>IFERROR(__xludf.DUMMYFUNCTION("""COMPUTED_VALUE"""),"O-15730-00")</f>
        <v>O-15730-00</v>
      </c>
      <c r="D246" s="2" t="str">
        <f>if(isna(vlookup(C246,'On Hand'!A:C,3,0)),"",vlookup(C246,'On Hand'!A:C,3,0))</f>
        <v/>
      </c>
    </row>
    <row r="247">
      <c r="A247" s="2" t="str">
        <f>IFERROR(__xludf.DUMMYFUNCTION("""COMPUTED_VALUE"""),"O-15731-00")</f>
        <v>O-15731-00</v>
      </c>
      <c r="B247" s="2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7" s="2" t="str">
        <f>IFERROR(__xludf.DUMMYFUNCTION("""COMPUTED_VALUE"""),"O-15731-00")</f>
        <v>O-15731-00</v>
      </c>
      <c r="D247" s="2" t="str">
        <f>if(isna(vlookup(C247,'On Hand'!A:C,3,0)),"",vlookup(C247,'On Hand'!A:C,3,0))</f>
        <v/>
      </c>
    </row>
    <row r="248">
      <c r="A248" s="2" t="str">
        <f>IFERROR(__xludf.DUMMYFUNCTION("""COMPUTED_VALUE"""),"O-15732-00")</f>
        <v>O-15732-00</v>
      </c>
      <c r="B248" s="2" t="str">
        <f>IFERROR(__xludf.DUMMYFUNCTION("""COMPUTED_VALUE"""),"KEYENCE AMPLIFIER SENSOR OPTICAL FIBER PNP OUTPUT CONNECTOR M8 FU-12")</f>
        <v>KEYENCE AMPLIFIER SENSOR OPTICAL FIBER PNP OUTPUT CONNECTOR M8 FU-12</v>
      </c>
      <c r="C248" s="2" t="str">
        <f>IFERROR(__xludf.DUMMYFUNCTION("""COMPUTED_VALUE"""),"O-15732-00")</f>
        <v>O-15732-00</v>
      </c>
      <c r="D248" s="2" t="str">
        <f>if(isna(vlookup(C248,'On Hand'!A:C,3,0)),"",vlookup(C248,'On Hand'!A:C,3,0))</f>
        <v/>
      </c>
    </row>
    <row r="249">
      <c r="A249" s="2" t="str">
        <f>IFERROR(__xludf.DUMMYFUNCTION("""COMPUTED_VALUE"""),"O-15733-00")</f>
        <v>O-15733-00</v>
      </c>
      <c r="B249" s="2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49" s="2" t="str">
        <f>IFERROR(__xludf.DUMMYFUNCTION("""COMPUTED_VALUE"""),"O-15733-00")</f>
        <v>O-15733-00</v>
      </c>
      <c r="D249" s="2" t="str">
        <f>if(isna(vlookup(C249,'On Hand'!A:C,3,0)),"",vlookup(C249,'On Hand'!A:C,3,0))</f>
        <v/>
      </c>
    </row>
    <row r="250">
      <c r="A250" s="2" t="str">
        <f>IFERROR(__xludf.DUMMYFUNCTION("""COMPUTED_VALUE"""),"O-15734-00")</f>
        <v>O-15734-00</v>
      </c>
      <c r="B250" s="2" t="str">
        <f>IFERROR(__xludf.DUMMYFUNCTION("""COMPUTED_VALUE"""),"WHEEL BEARING NATR 10 PP - INA; STERILINE: PART NO :200829")</f>
        <v>WHEEL BEARING NATR 10 PP - INA; STERILINE: PART NO :200829</v>
      </c>
      <c r="C250" s="2" t="str">
        <f>IFERROR(__xludf.DUMMYFUNCTION("""COMPUTED_VALUE"""),"O-15734-00")</f>
        <v>O-15734-00</v>
      </c>
      <c r="D250" s="2" t="str">
        <f>if(isna(vlookup(C250,'On Hand'!A:C,3,0)),"",vlookup(C250,'On Hand'!A:C,3,0))</f>
        <v/>
      </c>
    </row>
    <row r="251">
      <c r="A251" s="2" t="str">
        <f>IFERROR(__xludf.DUMMYFUNCTION("""COMPUTED_VALUE"""),"O-15786-00")</f>
        <v>O-15786-00</v>
      </c>
      <c r="B251" s="2" t="str">
        <f>IFERROR(__xludf.DUMMYFUNCTION("""COMPUTED_VALUE"""),"SG-1 Coiled Tubing W/3/8""FL Type : 1002-0161; ; ;")</f>
        <v>SG-1 Coiled Tubing W/3/8"FL Type : 1002-0161; ; ;</v>
      </c>
      <c r="C251" s="2" t="str">
        <f>IFERROR(__xludf.DUMMYFUNCTION("""COMPUTED_VALUE"""),"O-15786-00")</f>
        <v>O-15786-00</v>
      </c>
      <c r="D251" s="2" t="str">
        <f>if(isna(vlookup(C251,'On Hand'!A:C,3,0)),"",vlookup(C251,'On Hand'!A:C,3,0))</f>
        <v/>
      </c>
    </row>
    <row r="252">
      <c r="A252" s="2" t="str">
        <f>IFERROR(__xludf.DUMMYFUNCTION("""COMPUTED_VALUE"""),"O-15820-00")</f>
        <v>O-15820-00</v>
      </c>
      <c r="B252" s="2" t="str">
        <f>IFERROR(__xludf.DUMMYFUNCTION("""COMPUTED_VALUE"""),"General - MCB C60H 1 phase 1 pole 2 A; Schneider; -; 1 Pc")</f>
        <v>General - MCB C60H 1 phase 1 pole 2 A; Schneider; -; 1 Pc</v>
      </c>
      <c r="C252" s="2" t="str">
        <f>IFERROR(__xludf.DUMMYFUNCTION("""COMPUTED_VALUE"""),"O-15820-00")</f>
        <v>O-15820-00</v>
      </c>
      <c r="D252" s="2" t="str">
        <f>if(isna(vlookup(C252,'On Hand'!A:C,3,0)),"",vlookup(C252,'On Hand'!A:C,3,0))</f>
        <v>pc</v>
      </c>
    </row>
    <row r="253">
      <c r="A253" s="2" t="str">
        <f>IFERROR(__xludf.DUMMYFUNCTION("""COMPUTED_VALUE"""),"O-15821-00")</f>
        <v>O-15821-00</v>
      </c>
      <c r="B253" s="2" t="str">
        <f>IFERROR(__xludf.DUMMYFUNCTION("""COMPUTED_VALUE"""),"MCB Schneider C60H 1 phase 1 pole 4 A 100000A - P/N : - pc")</f>
        <v>MCB Schneider C60H 1 phase 1 pole 4 A 100000A - P/N : - pc</v>
      </c>
      <c r="C253" s="2" t="str">
        <f>IFERROR(__xludf.DUMMYFUNCTION("""COMPUTED_VALUE"""),"O-15821-00")</f>
        <v>O-15821-00</v>
      </c>
      <c r="D253" s="2" t="str">
        <f>if(isna(vlookup(C253,'On Hand'!A:C,3,0)),"",vlookup(C253,'On Hand'!A:C,3,0))</f>
        <v/>
      </c>
    </row>
    <row r="254">
      <c r="A254" s="2" t="str">
        <f>IFERROR(__xludf.DUMMYFUNCTION("""COMPUTED_VALUE"""),"O-15822-00")</f>
        <v>O-15822-00</v>
      </c>
      <c r="B254" s="2" t="str">
        <f>IFERROR(__xludf.DUMMYFUNCTION("""COMPUTED_VALUE"""),"General - MCB C60H 1 phase 1 pole 10 A; Schneider; -; 1 Pc")</f>
        <v>General - MCB C60H 1 phase 1 pole 10 A; Schneider; -; 1 Pc</v>
      </c>
      <c r="C254" s="2" t="str">
        <f>IFERROR(__xludf.DUMMYFUNCTION("""COMPUTED_VALUE"""),"O-15822-00")</f>
        <v>O-15822-00</v>
      </c>
      <c r="D254" s="2" t="str">
        <f>if(isna(vlookup(C254,'On Hand'!A:C,3,0)),"",vlookup(C254,'On Hand'!A:C,3,0))</f>
        <v>pc</v>
      </c>
    </row>
    <row r="255">
      <c r="A255" s="2" t="str">
        <f>IFERROR(__xludf.DUMMYFUNCTION("""COMPUTED_VALUE"""),"O-15875-00")</f>
        <v>O-15875-00</v>
      </c>
      <c r="B255" s="2" t="str">
        <f>IFERROR(__xludf.DUMMYFUNCTION("""COMPUTED_VALUE"""),"Flexible Plate; Material = SUS316 L T= 1.2mm; ; ;")</f>
        <v>Flexible Plate; Material = SUS316 L T= 1.2mm; ; ;</v>
      </c>
      <c r="C255" s="2" t="str">
        <f>IFERROR(__xludf.DUMMYFUNCTION("""COMPUTED_VALUE"""),"O-15875-00")</f>
        <v>O-15875-00</v>
      </c>
      <c r="D255" s="2" t="str">
        <f>if(isna(vlookup(C255,'On Hand'!A:C,3,0)),"",vlookup(C255,'On Hand'!A:C,3,0))</f>
        <v/>
      </c>
    </row>
    <row r="256">
      <c r="A256" s="2" t="str">
        <f>IFERROR(__xludf.DUMMYFUNCTION("""COMPUTED_VALUE"""),"O-15902-00")</f>
        <v>O-15902-00</v>
      </c>
      <c r="B256" s="2" t="str">
        <f>IFERROR(__xludf.DUMMYFUNCTION("""COMPUTED_VALUE"""),"Suction Cup capping size 6R; P/N : 011010; ; ;")</f>
        <v>Suction Cup capping size 6R; P/N : 011010; ; ;</v>
      </c>
      <c r="C256" s="2" t="str">
        <f>IFERROR(__xludf.DUMMYFUNCTION("""COMPUTED_VALUE"""),"O-15902-00")</f>
        <v>O-15902-00</v>
      </c>
      <c r="D256" s="2" t="str">
        <f>if(isna(vlookup(C256,'On Hand'!A:C,3,0)),"",vlookup(C256,'On Hand'!A:C,3,0))</f>
        <v>pc</v>
      </c>
    </row>
    <row r="257">
      <c r="A257" s="2" t="str">
        <f>IFERROR(__xludf.DUMMYFUNCTION("""COMPUTED_VALUE"""),"O-15905-00")</f>
        <v>O-15905-00</v>
      </c>
      <c r="B257" s="2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7" s="2" t="str">
        <f>IFERROR(__xludf.DUMMYFUNCTION("""COMPUTED_VALUE"""),"O-15905-00")</f>
        <v>O-15905-00</v>
      </c>
      <c r="D257" s="2" t="str">
        <f>if(isna(vlookup(C257,'On Hand'!A:C,3,0)),"",vlookup(C257,'On Hand'!A:C,3,0))</f>
        <v>unt</v>
      </c>
    </row>
    <row r="258">
      <c r="A258" s="2" t="str">
        <f>IFERROR(__xludf.DUMMYFUNCTION("""COMPUTED_VALUE"""),"O-15906-00")</f>
        <v>O-15906-00</v>
      </c>
      <c r="B258" s="2" t="str">
        <f>IFERROR(__xludf.DUMMYFUNCTION("""COMPUTED_VALUE"""),"O-Ring ID =252mm STRIPE DIAM 4 mm in Viton (Sleeve Glove cRABS); ; ;")</f>
        <v>O-Ring ID =252mm STRIPE DIAM 4 mm in Viton (Sleeve Glove cRABS); ; ;</v>
      </c>
      <c r="C258" s="2" t="str">
        <f>IFERROR(__xludf.DUMMYFUNCTION("""COMPUTED_VALUE"""),"O-15906-00")</f>
        <v>O-15906-00</v>
      </c>
      <c r="D258" s="2" t="str">
        <f>if(isna(vlookup(C258,'On Hand'!A:C,3,0)),"",vlookup(C258,'On Hand'!A:C,3,0))</f>
        <v/>
      </c>
    </row>
    <row r="259">
      <c r="A259" s="2" t="str">
        <f>IFERROR(__xludf.DUMMYFUNCTION("""COMPUTED_VALUE"""),"O-15911-00")</f>
        <v>O-15911-00</v>
      </c>
      <c r="B259" s="2" t="str">
        <f>IFERROR(__xludf.DUMMYFUNCTION("""COMPUTED_VALUE"""),"Fedegari FVA2/A1 - TAPPO DN35 ASTM; Code : PM102749; ; ;")</f>
        <v>Fedegari FVA2/A1 - TAPPO DN35 ASTM; Code : PM102749; ; ;</v>
      </c>
      <c r="C259" s="2" t="str">
        <f>IFERROR(__xludf.DUMMYFUNCTION("""COMPUTED_VALUE"""),"O-15911-00")</f>
        <v>O-15911-00</v>
      </c>
      <c r="D259" s="2" t="str">
        <f>if(isna(vlookup(C259,'On Hand'!A:C,3,0)),"",vlookup(C259,'On Hand'!A:C,3,0))</f>
        <v>unt</v>
      </c>
    </row>
    <row r="260">
      <c r="A260" s="2" t="str">
        <f>IFERROR(__xludf.DUMMYFUNCTION("""COMPUTED_VALUE"""),"O-15912-00")</f>
        <v>O-15912-00</v>
      </c>
      <c r="B260" s="2" t="str">
        <f>IFERROR(__xludf.DUMMYFUNCTION("""COMPUTED_VALUE"""),"Fedegari FVA2/A1 - CLAMP DN34-DN35 (MICROCASTED); Code : GM100094; ; ;")</f>
        <v>Fedegari FVA2/A1 - CLAMP DN34-DN35 (MICROCASTED); Code : GM100094; ; ;</v>
      </c>
      <c r="C260" s="2" t="str">
        <f>IFERROR(__xludf.DUMMYFUNCTION("""COMPUTED_VALUE"""),"O-15912-00")</f>
        <v>O-15912-00</v>
      </c>
      <c r="D260" s="2" t="str">
        <f>if(isna(vlookup(C260,'On Hand'!A:C,3,0)),"",vlookup(C260,'On Hand'!A:C,3,0))</f>
        <v>unt</v>
      </c>
    </row>
    <row r="261">
      <c r="A261" s="2" t="str">
        <f>IFERROR(__xludf.DUMMYFUNCTION("""COMPUTED_VALUE"""),"O-15913-00")</f>
        <v>O-15913-00</v>
      </c>
      <c r="B261" s="2" t="str">
        <f>IFERROR(__xludf.DUMMYFUNCTION("""COMPUTED_VALUE"""),"Fedegari FVA2/A1 - CENTERING RING DN35 CLAMP; Code : PP100897; ; ;")</f>
        <v>Fedegari FVA2/A1 - CENTERING RING DN35 CLAMP; Code : PP100897; ; ;</v>
      </c>
      <c r="C261" s="2" t="str">
        <f>IFERROR(__xludf.DUMMYFUNCTION("""COMPUTED_VALUE"""),"O-15913-00")</f>
        <v>O-15913-00</v>
      </c>
      <c r="D261" s="2" t="str">
        <f>if(isna(vlookup(C261,'On Hand'!A:C,3,0)),"",vlookup(C261,'On Hand'!A:C,3,0))</f>
        <v>unt</v>
      </c>
    </row>
    <row r="262">
      <c r="A262" s="2" t="str">
        <f>IFERROR(__xludf.DUMMYFUNCTION("""COMPUTED_VALUE"""),"O-15914-00")</f>
        <v>O-15914-00</v>
      </c>
      <c r="B262" s="2" t="str">
        <f>IFERROR(__xludf.DUMMYFUNCTION("""COMPUTED_VALUE"""),"Fedegari FVA2/A1 - O-RING 34.52x3.53; Code : CC150171; ; ;")</f>
        <v>Fedegari FVA2/A1 - O-RING 34.52x3.53; Code : CC150171; ; ;</v>
      </c>
      <c r="C262" s="2" t="str">
        <f>IFERROR(__xludf.DUMMYFUNCTION("""COMPUTED_VALUE"""),"O-15914-00")</f>
        <v>O-15914-00</v>
      </c>
      <c r="D262" s="2" t="str">
        <f>if(isna(vlookup(C262,'On Hand'!A:C,3,0)),"",vlookup(C262,'On Hand'!A:C,3,0))</f>
        <v>unt</v>
      </c>
    </row>
    <row r="263">
      <c r="A263" s="2" t="str">
        <f>IFERROR(__xludf.DUMMYFUNCTION("""COMPUTED_VALUE"""),"O-15915-00")</f>
        <v>O-15915-00</v>
      </c>
      <c r="B263" s="2" t="str">
        <f>IFERROR(__xludf.DUMMYFUNCTION("""COMPUTED_VALUE"""),"Fedegari FVA2/A1 - DN16 ASTM CAP; Code : PM102747; ; ;")</f>
        <v>Fedegari FVA2/A1 - DN16 ASTM CAP; Code : PM102747; ; ;</v>
      </c>
      <c r="C263" s="2" t="str">
        <f>IFERROR(__xludf.DUMMYFUNCTION("""COMPUTED_VALUE"""),"O-15915-00")</f>
        <v>O-15915-00</v>
      </c>
      <c r="D263" s="2" t="str">
        <f>if(isna(vlookup(C263,'On Hand'!A:C,3,0)),"",vlookup(C263,'On Hand'!A:C,3,0))</f>
        <v>unt</v>
      </c>
    </row>
    <row r="264">
      <c r="A264" s="2" t="str">
        <f>IFERROR(__xludf.DUMMYFUNCTION("""COMPUTED_VALUE"""),"O-15916-00")</f>
        <v>O-15916-00</v>
      </c>
      <c r="B264" s="2" t="str">
        <f>IFERROR(__xludf.DUMMYFUNCTION("""COMPUTED_VALUE"""),"Fedegari FVA2/A1 - CLAMP DN10 1/2"" (MICROCASTED); Code : GM100017; ; ;")</f>
        <v>Fedegari FVA2/A1 - CLAMP DN10 1/2" (MICROCASTED); Code : GM100017; ; ;</v>
      </c>
      <c r="C264" s="2" t="str">
        <f>IFERROR(__xludf.DUMMYFUNCTION("""COMPUTED_VALUE"""),"O-15916-00")</f>
        <v>O-15916-00</v>
      </c>
      <c r="D264" s="2" t="str">
        <f>if(isna(vlookup(C264,'On Hand'!A:C,3,0)),"",vlookup(C264,'On Hand'!A:C,3,0))</f>
        <v>unt</v>
      </c>
    </row>
    <row r="265">
      <c r="A265" s="2" t="str">
        <f>IFERROR(__xludf.DUMMYFUNCTION("""COMPUTED_VALUE"""),"O-15917-00")</f>
        <v>O-15917-00</v>
      </c>
      <c r="B265" s="2" t="str">
        <f>IFERROR(__xludf.DUMMYFUNCTION("""COMPUTED_VALUE"""),"Fedegari FVA2/A1 - CENTERING RING DN16 CLAMP; Code : PP100907; ; ;")</f>
        <v>Fedegari FVA2/A1 - CENTERING RING DN16 CLAMP; Code : PP100907; ; ;</v>
      </c>
      <c r="C265" s="2" t="str">
        <f>IFERROR(__xludf.DUMMYFUNCTION("""COMPUTED_VALUE"""),"O-15917-00")</f>
        <v>O-15917-00</v>
      </c>
      <c r="D265" s="2" t="str">
        <f>if(isna(vlookup(C265,'On Hand'!A:C,3,0)),"",vlookup(C265,'On Hand'!A:C,3,0))</f>
        <v>unt</v>
      </c>
    </row>
    <row r="266">
      <c r="A266" s="2" t="str">
        <f>IFERROR(__xludf.DUMMYFUNCTION("""COMPUTED_VALUE"""),"O-15918-00")</f>
        <v>O-15918-00</v>
      </c>
      <c r="B266" s="2" t="str">
        <f>IFERROR(__xludf.DUMMYFUNCTION("""COMPUTED_VALUE"""),"Fedegari FVA2/A1 - O-RING 15.47x3.53 ; Code : CC150170; ; ;")</f>
        <v>Fedegari FVA2/A1 - O-RING 15.47x3.53 ; Code : CC150170; ; ;</v>
      </c>
      <c r="C266" s="2" t="str">
        <f>IFERROR(__xludf.DUMMYFUNCTION("""COMPUTED_VALUE"""),"O-15918-00")</f>
        <v>O-15918-00</v>
      </c>
      <c r="D266" s="2" t="str">
        <f>if(isna(vlookup(C266,'On Hand'!A:C,3,0)),"",vlookup(C266,'On Hand'!A:C,3,0))</f>
        <v>unt</v>
      </c>
    </row>
    <row r="267">
      <c r="A267" s="2" t="str">
        <f>IFERROR(__xludf.DUMMYFUNCTION("""COMPUTED_VALUE"""),"O-15919-00")</f>
        <v>O-15919-00</v>
      </c>
      <c r="B267" s="2" t="str">
        <f>IFERROR(__xludf.DUMMYFUNCTION("""COMPUTED_VALUE"""),"Temperature control Module PUM-A, MODEL PUMATCC1-0BY71; ; ;")</f>
        <v>Temperature control Module PUM-A, MODEL PUMATCC1-0BY71; ; ;</v>
      </c>
      <c r="C267" s="2" t="str">
        <f>IFERROR(__xludf.DUMMYFUNCTION("""COMPUTED_VALUE"""),"O-15919-00")</f>
        <v>O-15919-00</v>
      </c>
      <c r="D267" s="2" t="str">
        <f>if(isna(vlookup(C267,'On Hand'!A:C,3,0)),"",vlookup(C267,'On Hand'!A:C,3,0))</f>
        <v/>
      </c>
    </row>
    <row r="268">
      <c r="A268" s="2" t="str">
        <f>IFERROR(__xludf.DUMMYFUNCTION("""COMPUTED_VALUE"""),"O-15920-00")</f>
        <v>O-15920-00</v>
      </c>
      <c r="B268" s="2" t="str">
        <f>IFERROR(__xludf.DUMMYFUNCTION("""COMPUTED_VALUE"""),"Digital Event I/O module PUM-E, model PUM ERYY1-0B072; ; ;")</f>
        <v>Digital Event I/O module PUM-E, model PUM ERYY1-0B072; ; ;</v>
      </c>
      <c r="C268" s="2" t="str">
        <f>IFERROR(__xludf.DUMMYFUNCTION("""COMPUTED_VALUE"""),"O-15920-00")</f>
        <v>O-15920-00</v>
      </c>
      <c r="D268" s="2" t="str">
        <f>if(isna(vlookup(C268,'On Hand'!A:C,3,0)),"",vlookup(C268,'On Hand'!A:C,3,0))</f>
        <v/>
      </c>
    </row>
    <row r="269">
      <c r="A269" s="2" t="str">
        <f>IFERROR(__xludf.DUMMYFUNCTION("""COMPUTED_VALUE"""),"O-15921-00")</f>
        <v>O-15921-00</v>
      </c>
      <c r="B269" s="2" t="str">
        <f>IFERROR(__xludf.DUMMYFUNCTION("""COMPUTED_VALUE"""),"Clamp Ferrule 1/2""; SS304; ; ;")</f>
        <v>Clamp Ferrule 1/2"; SS304; ; ;</v>
      </c>
      <c r="C269" s="2" t="str">
        <f>IFERROR(__xludf.DUMMYFUNCTION("""COMPUTED_VALUE"""),"O-15921-00")</f>
        <v>O-15921-00</v>
      </c>
      <c r="D269" s="2" t="str">
        <f>if(isna(vlookup(C269,'On Hand'!A:C,3,0)),"",vlookup(C269,'On Hand'!A:C,3,0))</f>
        <v/>
      </c>
    </row>
    <row r="270">
      <c r="A270" s="2" t="str">
        <f>IFERROR(__xludf.DUMMYFUNCTION("""COMPUTED_VALUE"""),"O-15931-00")</f>
        <v>O-15931-00</v>
      </c>
      <c r="B270" s="2" t="str">
        <f>IFERROR(__xludf.DUMMYFUNCTION("""COMPUTED_VALUE"""),"General - Double Tape 1"" Merah; 3M; -; 1 Pc")</f>
        <v>General - Double Tape 1" Merah; 3M; -; 1 Pc</v>
      </c>
      <c r="C270" s="2" t="str">
        <f>IFERROR(__xludf.DUMMYFUNCTION("""COMPUTED_VALUE"""),"O-15931-00")</f>
        <v>O-15931-00</v>
      </c>
      <c r="D270" s="2" t="str">
        <f>if(isna(vlookup(C270,'On Hand'!A:C,3,0)),"",vlookup(C270,'On Hand'!A:C,3,0))</f>
        <v>pc</v>
      </c>
    </row>
    <row r="271">
      <c r="A271" s="2" t="str">
        <f>IFERROR(__xludf.DUMMYFUNCTION("""COMPUTED_VALUE"""),"O-16006-00")</f>
        <v>O-16006-00</v>
      </c>
      <c r="B271" s="2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1" s="2" t="str">
        <f>IFERROR(__xludf.DUMMYFUNCTION("""COMPUTED_VALUE"""),"O-16006-00")</f>
        <v>O-16006-00</v>
      </c>
      <c r="D271" s="2" t="str">
        <f>if(isna(vlookup(C271,'On Hand'!A:C,3,0)),"",vlookup(C271,'On Hand'!A:C,3,0))</f>
        <v/>
      </c>
    </row>
    <row r="272">
      <c r="A272" s="2" t="str">
        <f>IFERROR(__xludf.DUMMYFUNCTION("""COMPUTED_VALUE"""),"O-16007-00")</f>
        <v>O-16007-00</v>
      </c>
      <c r="B272" s="2" t="str">
        <f>IFERROR(__xludf.DUMMYFUNCTION("""COMPUTED_VALUE"""),"Silicone Sucker 01.10.10; P/N : 201119; ; ;")</f>
        <v>Silicone Sucker 01.10.10; P/N : 201119; ; ;</v>
      </c>
      <c r="C272" s="2" t="str">
        <f>IFERROR(__xludf.DUMMYFUNCTION("""COMPUTED_VALUE"""),"O-16007-00")</f>
        <v>O-16007-00</v>
      </c>
      <c r="D272" s="2" t="str">
        <f>if(isna(vlookup(C272,'On Hand'!A:C,3,0)),"",vlookup(C272,'On Hand'!A:C,3,0))</f>
        <v/>
      </c>
    </row>
    <row r="273">
      <c r="A273" s="2" t="str">
        <f>IFERROR(__xludf.DUMMYFUNCTION("""COMPUTED_VALUE"""),"O-16030-00")</f>
        <v>O-16030-00</v>
      </c>
      <c r="B273" s="2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3" s="2" t="str">
        <f>IFERROR(__xludf.DUMMYFUNCTION("""COMPUTED_VALUE"""),"O-16030-00")</f>
        <v>O-16030-00</v>
      </c>
      <c r="D273" s="2" t="str">
        <f>if(isna(vlookup(C273,'On Hand'!A:C,3,0)),"",vlookup(C273,'On Hand'!A:C,3,0))</f>
        <v>unt</v>
      </c>
    </row>
    <row r="274">
      <c r="A274" s="2" t="str">
        <f>IFERROR(__xludf.DUMMYFUNCTION("""COMPUTED_VALUE"""),"O-16031-00")</f>
        <v>O-16031-00</v>
      </c>
      <c r="B274" s="2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4" s="2" t="str">
        <f>IFERROR(__xludf.DUMMYFUNCTION("""COMPUTED_VALUE"""),"O-16031-00")</f>
        <v>O-16031-00</v>
      </c>
      <c r="D274" s="2" t="str">
        <f>if(isna(vlookup(C274,'On Hand'!A:C,3,0)),"",vlookup(C274,'On Hand'!A:C,3,0))</f>
        <v/>
      </c>
    </row>
    <row r="275">
      <c r="A275" s="2" t="str">
        <f>IFERROR(__xludf.DUMMYFUNCTION("""COMPUTED_VALUE"""),"O-16032-00")</f>
        <v>O-16032-00</v>
      </c>
      <c r="B275" s="2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5" s="2" t="str">
        <f>IFERROR(__xludf.DUMMYFUNCTION("""COMPUTED_VALUE"""),"O-16032-00")</f>
        <v>O-16032-00</v>
      </c>
      <c r="D275" s="2" t="str">
        <f>if(isna(vlookup(C275,'On Hand'!A:C,3,0)),"",vlookup(C275,'On Hand'!A:C,3,0))</f>
        <v>unt</v>
      </c>
    </row>
    <row r="276">
      <c r="A276" s="2" t="str">
        <f>IFERROR(__xludf.DUMMYFUNCTION("""COMPUTED_VALUE"""),"O-16032-00")</f>
        <v>O-16032-00</v>
      </c>
      <c r="B276" s="2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2" t="str">
        <f>IFERROR(__xludf.DUMMYFUNCTION("""COMPUTED_VALUE"""),"O-16032-00")</f>
        <v>O-16032-00</v>
      </c>
      <c r="D276" s="2" t="str">
        <f>if(isna(vlookup(C276,'On Hand'!A:C,3,0)),"",vlookup(C276,'On Hand'!A:C,3,0))</f>
        <v>unt</v>
      </c>
    </row>
    <row r="277">
      <c r="A277" s="2" t="str">
        <f>IFERROR(__xludf.DUMMYFUNCTION("""COMPUTED_VALUE"""),"O-16033-00")</f>
        <v>O-16033-00</v>
      </c>
      <c r="B277" s="2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7" s="2" t="str">
        <f>IFERROR(__xludf.DUMMYFUNCTION("""COMPUTED_VALUE"""),"O-16033-00")</f>
        <v>O-16033-00</v>
      </c>
      <c r="D277" s="2" t="str">
        <f>if(isna(vlookup(C277,'On Hand'!A:C,3,0)),"",vlookup(C277,'On Hand'!A:C,3,0))</f>
        <v>unt</v>
      </c>
    </row>
    <row r="278">
      <c r="A278" s="2" t="str">
        <f>IFERROR(__xludf.DUMMYFUNCTION("""COMPUTED_VALUE"""),"O-16033-00")</f>
        <v>O-16033-00</v>
      </c>
      <c r="B278" s="2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2" t="str">
        <f>IFERROR(__xludf.DUMMYFUNCTION("""COMPUTED_VALUE"""),"O-16033-00")</f>
        <v>O-16033-00</v>
      </c>
      <c r="D278" s="2" t="str">
        <f>if(isna(vlookup(C278,'On Hand'!A:C,3,0)),"",vlookup(C278,'On Hand'!A:C,3,0))</f>
        <v>unt</v>
      </c>
    </row>
    <row r="279">
      <c r="A279" s="2" t="str">
        <f>IFERROR(__xludf.DUMMYFUNCTION("""COMPUTED_VALUE"""),"O-16077-00")</f>
        <v>O-16077-00</v>
      </c>
      <c r="B279" s="2" t="str">
        <f>IFERROR(__xludf.DUMMYFUNCTION("""COMPUTED_VALUE"""),"Kleenpak Emflon PFR 0.2 um PALL Part No. KA2PFRP1 pc")</f>
        <v>Kleenpak Emflon PFR 0.2 um PALL Part No. KA2PFRP1 pc</v>
      </c>
      <c r="C279" s="2" t="str">
        <f>IFERROR(__xludf.DUMMYFUNCTION("""COMPUTED_VALUE"""),"O-16077-00")</f>
        <v>O-16077-00</v>
      </c>
      <c r="D279" s="2" t="str">
        <f>if(isna(vlookup(C279,'On Hand'!A:C,3,0)),"",vlookup(C279,'On Hand'!A:C,3,0))</f>
        <v/>
      </c>
    </row>
    <row r="280">
      <c r="A280" s="2" t="str">
        <f>IFERROR(__xludf.DUMMYFUNCTION("""COMPUTED_VALUE"""),"O-16097-00")</f>
        <v>O-16097-00</v>
      </c>
      <c r="B280" s="2" t="str">
        <f>IFERROR(__xludf.DUMMYFUNCTION("""COMPUTED_VALUE"""),"FILTER KIT FOR 92XX/94XX MITRA PACK, PT P/N : A40989 pc")</f>
        <v>FILTER KIT FOR 92XX/94XX MITRA PACK, PT P/N : A40989 pc</v>
      </c>
      <c r="C280" s="2" t="str">
        <f>IFERROR(__xludf.DUMMYFUNCTION("""COMPUTED_VALUE"""),"O-16097-00")</f>
        <v>O-16097-00</v>
      </c>
      <c r="D280" s="2" t="str">
        <f>if(isna(vlookup(C280,'On Hand'!A:C,3,0)),"",vlookup(C280,'On Hand'!A:C,3,0))</f>
        <v/>
      </c>
    </row>
    <row r="281">
      <c r="A281" s="2" t="str">
        <f>IFERROR(__xludf.DUMMYFUNCTION("""COMPUTED_VALUE"""),"O-16148-00")</f>
        <v>O-16148-00</v>
      </c>
      <c r="B281" s="2" t="str">
        <f>IFERROR(__xludf.DUMMYFUNCTION("""COMPUTED_VALUE"""),"O-Ring Silicone Red Uk.10.05 x 7.5 x 2.55; ; ;")</f>
        <v>O-Ring Silicone Red Uk.10.05 x 7.5 x 2.55; ; ;</v>
      </c>
      <c r="C281" s="2" t="str">
        <f>IFERROR(__xludf.DUMMYFUNCTION("""COMPUTED_VALUE"""),"O-16148-00")</f>
        <v>O-16148-00</v>
      </c>
      <c r="D281" s="2" t="str">
        <f>if(isna(vlookup(C281,'On Hand'!A:C,3,0)),"",vlookup(C281,'On Hand'!A:C,3,0))</f>
        <v/>
      </c>
    </row>
    <row r="282">
      <c r="A282" s="2" t="str">
        <f>IFERROR(__xludf.DUMMYFUNCTION("""COMPUTED_VALUE"""),"O-16149-00")</f>
        <v>O-16149-00</v>
      </c>
      <c r="B282" s="2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2" s="2" t="str">
        <f>IFERROR(__xludf.DUMMYFUNCTION("""COMPUTED_VALUE"""),"O-16149-00")</f>
        <v>O-16149-00</v>
      </c>
      <c r="D282" s="2" t="str">
        <f>if(isna(vlookup(C282,'On Hand'!A:C,3,0)),"",vlookup(C282,'On Hand'!A:C,3,0))</f>
        <v/>
      </c>
    </row>
    <row r="283">
      <c r="A283" s="2" t="str">
        <f>IFERROR(__xludf.DUMMYFUNCTION("""COMPUTED_VALUE"""),"O-16150-00")</f>
        <v>O-16150-00</v>
      </c>
      <c r="B283" s="2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3" s="2" t="str">
        <f>IFERROR(__xludf.DUMMYFUNCTION("""COMPUTED_VALUE"""),"O-16150-00")</f>
        <v>O-16150-00</v>
      </c>
      <c r="D283" s="2" t="str">
        <f>if(isna(vlookup(C283,'On Hand'!A:C,3,0)),"",vlookup(C283,'On Hand'!A:C,3,0))</f>
        <v/>
      </c>
    </row>
    <row r="284">
      <c r="A284" s="2" t="str">
        <f>IFERROR(__xludf.DUMMYFUNCTION("""COMPUTED_VALUE"""),"O-16152-00")</f>
        <v>O-16152-00</v>
      </c>
      <c r="B284" s="2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4" s="2" t="str">
        <f>IFERROR(__xludf.DUMMYFUNCTION("""COMPUTED_VALUE"""),"O-16152-00")</f>
        <v>O-16152-00</v>
      </c>
      <c r="D284" s="2" t="str">
        <f>if(isna(vlookup(C284,'On Hand'!A:C,3,0)),"",vlookup(C284,'On Hand'!A:C,3,0))</f>
        <v>unt</v>
      </c>
    </row>
    <row r="285">
      <c r="A285" s="2" t="str">
        <f>IFERROR(__xludf.DUMMYFUNCTION("""COMPUTED_VALUE"""),"O-16173-00")</f>
        <v>O-16173-00</v>
      </c>
      <c r="B285" s="2" t="str">
        <f>IFERROR(__xludf.DUMMYFUNCTION("""COMPUTED_VALUE"""),"O-RING T=3,53 :OR 4275 MVQ NT80-RED 39269097; Order No : 5022383; ; ;")</f>
        <v>O-RING T=3,53 :OR 4275 MVQ NT80-RED 39269097; Order No : 5022383; ; ;</v>
      </c>
      <c r="C285" s="2" t="str">
        <f>IFERROR(__xludf.DUMMYFUNCTION("""COMPUTED_VALUE"""),"O-16173-00")</f>
        <v>O-16173-00</v>
      </c>
      <c r="D285" s="2" t="str">
        <f>if(isna(vlookup(C285,'On Hand'!A:C,3,0)),"",vlookup(C285,'On Hand'!A:C,3,0))</f>
        <v>unt</v>
      </c>
    </row>
    <row r="286">
      <c r="A286" s="2" t="str">
        <f>IFERROR(__xludf.DUMMYFUNCTION("""COMPUTED_VALUE"""),"O-16174-00")</f>
        <v>O-16174-00</v>
      </c>
      <c r="B286" s="2" t="str">
        <f>IFERROR(__xludf.DUMMYFUNCTION("""COMPUTED_VALUE"""),"O-RING T=3,53 :OR 4400 MVQ70SH +M4 40169997 ; Order No : 5025024; ; ;")</f>
        <v>O-RING T=3,53 :OR 4400 MVQ70SH +M4 40169997 ; Order No : 5025024; ; ;</v>
      </c>
      <c r="C286" s="2" t="str">
        <f>IFERROR(__xludf.DUMMYFUNCTION("""COMPUTED_VALUE"""),"O-16174-00")</f>
        <v>O-16174-00</v>
      </c>
      <c r="D286" s="2" t="str">
        <f>if(isna(vlookup(C286,'On Hand'!A:C,3,0)),"",vlookup(C286,'On Hand'!A:C,3,0))</f>
        <v>unt</v>
      </c>
    </row>
    <row r="287">
      <c r="A287" s="2" t="str">
        <f>IFERROR(__xludf.DUMMYFUNCTION("""COMPUTED_VALUE"""),"O-16175-00")</f>
        <v>O-16175-00</v>
      </c>
      <c r="B287" s="2" t="str">
        <f>IFERROR(__xludf.DUMMYFUNCTION("""COMPUTED_VALUE"""),"O-RING T=3,53 :OR 4725 MVQ NT70-RED+M4 39269097; Order No : 5025020; ; ;")</f>
        <v>O-RING T=3,53 :OR 4725 MVQ NT70-RED+M4 39269097; Order No : 5025020; ; ;</v>
      </c>
      <c r="C287" s="2" t="str">
        <f>IFERROR(__xludf.DUMMYFUNCTION("""COMPUTED_VALUE"""),"O-16175-00")</f>
        <v>O-16175-00</v>
      </c>
      <c r="D287" s="2" t="str">
        <f>if(isna(vlookup(C287,'On Hand'!A:C,3,0)),"",vlookup(C287,'On Hand'!A:C,3,0))</f>
        <v>unt</v>
      </c>
    </row>
    <row r="288">
      <c r="A288" s="2" t="str">
        <f>IFERROR(__xludf.DUMMYFUNCTION("""COMPUTED_VALUE"""),"O-16187-00")</f>
        <v>O-16187-00</v>
      </c>
      <c r="B288" s="2" t="str">
        <f>IFERROR(__xludf.DUMMYFUNCTION("""COMPUTED_VALUE"""),"Timing Belt Lbr. 55mm Pjg Keliling 420mm; ; ;")</f>
        <v>Timing Belt Lbr. 55mm Pjg Keliling 420mm; ; ;</v>
      </c>
      <c r="C288" s="2" t="str">
        <f>IFERROR(__xludf.DUMMYFUNCTION("""COMPUTED_VALUE"""),"O-16187-00")</f>
        <v>O-16187-00</v>
      </c>
      <c r="D288" s="2" t="str">
        <f>if(isna(vlookup(C288,'On Hand'!A:C,3,0)),"",vlookup(C288,'On Hand'!A:C,3,0))</f>
        <v/>
      </c>
    </row>
    <row r="289">
      <c r="A289" s="2" t="str">
        <f>IFERROR(__xludf.DUMMYFUNCTION("""COMPUTED_VALUE"""),"O-16188-00")</f>
        <v>O-16188-00</v>
      </c>
      <c r="B289" s="2" t="str">
        <f>IFERROR(__xludf.DUMMYFUNCTION("""COMPUTED_VALUE"""),"Assembling external washing nozzle P/N 21025; Steriline; ;")</f>
        <v>Assembling external washing nozzle P/N 21025; Steriline; ;</v>
      </c>
      <c r="C289" s="2" t="str">
        <f>IFERROR(__xludf.DUMMYFUNCTION("""COMPUTED_VALUE"""),"O-16188-00")</f>
        <v>O-16188-00</v>
      </c>
      <c r="D289" s="2" t="str">
        <f>if(isna(vlookup(C289,'On Hand'!A:C,3,0)),"",vlookup(C289,'On Hand'!A:C,3,0))</f>
        <v/>
      </c>
    </row>
    <row r="290">
      <c r="A290" s="2" t="str">
        <f>IFERROR(__xludf.DUMMYFUNCTION("""COMPUTED_VALUE"""),"O-16189-00")</f>
        <v>O-16189-00</v>
      </c>
      <c r="B290" s="2" t="str">
        <f>IFERROR(__xludf.DUMMYFUNCTION("""COMPUTED_VALUE"""),"Assembling exernal drying nozzle P/N. 21029; Steriline; ;")</f>
        <v>Assembling exernal drying nozzle P/N. 21029; Steriline; ;</v>
      </c>
      <c r="C290" s="2" t="str">
        <f>IFERROR(__xludf.DUMMYFUNCTION("""COMPUTED_VALUE"""),"O-16189-00")</f>
        <v>O-16189-00</v>
      </c>
      <c r="D290" s="2" t="str">
        <f>if(isna(vlookup(C290,'On Hand'!A:C,3,0)),"",vlookup(C290,'On Hand'!A:C,3,0))</f>
        <v/>
      </c>
    </row>
    <row r="291">
      <c r="A291" s="2" t="str">
        <f>IFERROR(__xludf.DUMMYFUNCTION("""COMPUTED_VALUE"""),"O-16281-00")</f>
        <v>O-16281-00</v>
      </c>
      <c r="B291" s="2" t="str">
        <f>IFERROR(__xludf.DUMMYFUNCTION("""COMPUTED_VALUE"""),"Washing RAR4 - Pusher Guide; ; ;")</f>
        <v>Washing RAR4 - Pusher Guide; ; ;</v>
      </c>
      <c r="C291" s="2" t="str">
        <f>IFERROR(__xludf.DUMMYFUNCTION("""COMPUTED_VALUE"""),"O-16281-00")</f>
        <v>O-16281-00</v>
      </c>
      <c r="D291" s="2" t="str">
        <f>if(isna(vlookup(C291,'On Hand'!A:C,3,0)),"",vlookup(C291,'On Hand'!A:C,3,0))</f>
        <v/>
      </c>
    </row>
    <row r="292">
      <c r="A292" s="2" t="str">
        <f>IFERROR(__xludf.DUMMYFUNCTION("""COMPUTED_VALUE"""),"O-16314-00")</f>
        <v>O-16314-00</v>
      </c>
      <c r="B292" s="2" t="str">
        <f>IFERROR(__xludf.DUMMYFUNCTION("""COMPUTED_VALUE"""),"Membrane Diaphragm Valve EPDM PTFE DN 4-15 p/n: 600 8M 5A-221 Gemu; ; ;")</f>
        <v>Membrane Diaphragm Valve EPDM PTFE DN 4-15 p/n: 600 8M 5A-221 Gemu; ; ;</v>
      </c>
      <c r="C292" s="2" t="str">
        <f>IFERROR(__xludf.DUMMYFUNCTION("""COMPUTED_VALUE"""),"O-16314-00")</f>
        <v>O-16314-00</v>
      </c>
      <c r="D292" s="2" t="str">
        <f>if(isna(vlookup(C292,'On Hand'!A:C,3,0)),"",vlookup(C292,'On Hand'!A:C,3,0))</f>
        <v/>
      </c>
    </row>
    <row r="293">
      <c r="A293" s="2" t="str">
        <f>IFERROR(__xludf.DUMMYFUNCTION("""COMPUTED_VALUE"""),"O-16317-00")</f>
        <v>O-16317-00</v>
      </c>
      <c r="B293" s="2" t="str">
        <f>IFERROR(__xludf.DUMMYFUNCTION("""COMPUTED_VALUE"""),"FD Lyofast 10 - Oli Vaccum Ultragrade 20 Edwards; ; ;")</f>
        <v>FD Lyofast 10 - Oli Vaccum Ultragrade 20 Edwards; ; ;</v>
      </c>
      <c r="C293" s="2" t="str">
        <f>IFERROR(__xludf.DUMMYFUNCTION("""COMPUTED_VALUE"""),"O-16317-00")</f>
        <v>O-16317-00</v>
      </c>
      <c r="D293" s="2" t="str">
        <f>if(isna(vlookup(C293,'On Hand'!A:C,3,0)),"",vlookup(C293,'On Hand'!A:C,3,0))</f>
        <v>L</v>
      </c>
    </row>
    <row r="294">
      <c r="A294" s="2" t="str">
        <f>IFERROR(__xludf.DUMMYFUNCTION("""COMPUTED_VALUE"""),"O-16318-00")</f>
        <v>O-16318-00</v>
      </c>
      <c r="B294" s="2" t="str">
        <f>IFERROR(__xludf.DUMMYFUNCTION("""COMPUTED_VALUE"""),"SED - Diaphragm spare MA8 EPDM/PTFE 00210.190.051.V")</f>
        <v>SED - Diaphragm spare MA8 EPDM/PTFE 00210.190.051.V</v>
      </c>
      <c r="C294" s="2" t="str">
        <f>IFERROR(__xludf.DUMMYFUNCTION("""COMPUTED_VALUE"""),"O-16318-00")</f>
        <v>O-16318-00</v>
      </c>
      <c r="D294" s="2" t="str">
        <f>if(isna(vlookup(C294,'On Hand'!A:C,3,0)),"",vlookup(C294,'On Hand'!A:C,3,0))</f>
        <v/>
      </c>
    </row>
    <row r="295">
      <c r="A295" s="2" t="str">
        <f>IFERROR(__xludf.DUMMYFUNCTION("""COMPUTED_VALUE"""),"O-16319-00")</f>
        <v>O-16319-00</v>
      </c>
      <c r="B295" s="2" t="str">
        <f>IFERROR(__xludf.DUMMYFUNCTION("""COMPUTED_VALUE"""),"SED - Stroke-Seal Adjuster and Manual Override p/n:024.14.025")</f>
        <v>SED - Stroke-Seal Adjuster and Manual Override p/n:024.14.025</v>
      </c>
      <c r="C295" s="2" t="str">
        <f>IFERROR(__xludf.DUMMYFUNCTION("""COMPUTED_VALUE"""),"O-16319-00")</f>
        <v>O-16319-00</v>
      </c>
      <c r="D295" s="2" t="str">
        <f>if(isna(vlookup(C295,'On Hand'!A:C,3,0)),"",vlookup(C295,'On Hand'!A:C,3,0))</f>
        <v/>
      </c>
    </row>
    <row r="296">
      <c r="A296" s="2" t="str">
        <f>IFERROR(__xludf.DUMMYFUNCTION("""COMPUTED_VALUE"""),"O-16321-00")</f>
        <v>O-16321-00</v>
      </c>
      <c r="B296" s="2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6" s="2" t="str">
        <f>IFERROR(__xludf.DUMMYFUNCTION("""COMPUTED_VALUE"""),"O-16321-00")</f>
        <v>O-16321-00</v>
      </c>
      <c r="D296" s="2" t="str">
        <f>if(isna(vlookup(C296,'On Hand'!A:C,3,0)),"",vlookup(C296,'On Hand'!A:C,3,0))</f>
        <v/>
      </c>
    </row>
    <row r="297">
      <c r="A297" s="2" t="str">
        <f>IFERROR(__xludf.DUMMYFUNCTION("""COMPUTED_VALUE"""),"O-16334-00")</f>
        <v>O-16334-00</v>
      </c>
      <c r="B297" s="2" t="str">
        <f>IFERROR(__xludf.DUMMYFUNCTION("""COMPUTED_VALUE"""),"Regulator Nitrogen ( N2 )  YAMATO P/N : -  pc")</f>
        <v>Regulator Nitrogen ( N2 )  YAMATO P/N : -  pc</v>
      </c>
      <c r="C297" s="2" t="str">
        <f>IFERROR(__xludf.DUMMYFUNCTION("""COMPUTED_VALUE"""),"O-16334-00")</f>
        <v>O-16334-00</v>
      </c>
      <c r="D297" s="2" t="str">
        <f>if(isna(vlookup(C297,'On Hand'!A:C,3,0)),"",vlookup(C297,'On Hand'!A:C,3,0))</f>
        <v/>
      </c>
    </row>
    <row r="298">
      <c r="A298" s="2" t="str">
        <f>IFERROR(__xludf.DUMMYFUNCTION("""COMPUTED_VALUE"""),"O-16550-00")</f>
        <v>O-16550-00</v>
      </c>
      <c r="B298" s="2" t="str">
        <f>IFERROR(__xludf.DUMMYFUNCTION("""COMPUTED_VALUE"""),"Seidenader MS30 - FS Rotation Axis Lower Part p/n:VK-068000-00")</f>
        <v>Seidenader MS30 - FS Rotation Axis Lower Part p/n:VK-068000-00</v>
      </c>
      <c r="C298" s="2" t="str">
        <f>IFERROR(__xludf.DUMMYFUNCTION("""COMPUTED_VALUE"""),"O-16550-00")</f>
        <v>O-16550-00</v>
      </c>
      <c r="D298" s="2" t="str">
        <f>if(isna(vlookup(C298,'On Hand'!A:C,3,0)),"",vlookup(C298,'On Hand'!A:C,3,0))</f>
        <v/>
      </c>
    </row>
    <row r="299">
      <c r="A299" s="2" t="str">
        <f>IFERROR(__xludf.DUMMYFUNCTION("""COMPUTED_VALUE"""),"O-16551-00")</f>
        <v>O-16551-00</v>
      </c>
      <c r="B299" s="2" t="str">
        <f>IFERROR(__xludf.DUMMYFUNCTION("""COMPUTED_VALUE"""),"Seidenader MS30 - FS Rotation Axis UpperPart p/n:VK-068048-06")</f>
        <v>Seidenader MS30 - FS Rotation Axis UpperPart p/n:VK-068048-06</v>
      </c>
      <c r="C299" s="2" t="str">
        <f>IFERROR(__xludf.DUMMYFUNCTION("""COMPUTED_VALUE"""),"O-16551-00")</f>
        <v>O-16551-00</v>
      </c>
      <c r="D299" s="2" t="str">
        <f>if(isna(vlookup(C299,'On Hand'!A:C,3,0)),"",vlookup(C299,'On Hand'!A:C,3,0))</f>
        <v/>
      </c>
    </row>
    <row r="300">
      <c r="A300" s="2" t="str">
        <f>IFERROR(__xludf.DUMMYFUNCTION("""COMPUTED_VALUE"""),"O-16552-00")</f>
        <v>O-16552-00</v>
      </c>
      <c r="B300" s="2" t="str">
        <f>IFERROR(__xludf.DUMMYFUNCTION("""COMPUTED_VALUE"""),"Seidenader MS30 - Sealing Starwheel p/n:37-029122-22")</f>
        <v>Seidenader MS30 - Sealing Starwheel p/n:37-029122-22</v>
      </c>
      <c r="C300" s="2" t="str">
        <f>IFERROR(__xludf.DUMMYFUNCTION("""COMPUTED_VALUE"""),"O-16552-00")</f>
        <v>O-16552-00</v>
      </c>
      <c r="D300" s="2" t="str">
        <f>if(isna(vlookup(C300,'On Hand'!A:C,3,0)),"",vlookup(C300,'On Hand'!A:C,3,0))</f>
        <v/>
      </c>
    </row>
    <row r="301">
      <c r="A301" s="2" t="str">
        <f>IFERROR(__xludf.DUMMYFUNCTION("""COMPUTED_VALUE"""),"O-16553-00")</f>
        <v>O-16553-00</v>
      </c>
      <c r="B301" s="2" t="str">
        <f>IFERROR(__xludf.DUMMYFUNCTION("""COMPUTED_VALUE"""),"Seidenader MS30 - Sealing Starwheel p/n:37-029122-22")</f>
        <v>Seidenader MS30 - Sealing Starwheel p/n:37-029122-22</v>
      </c>
      <c r="C301" s="2" t="str">
        <f>IFERROR(__xludf.DUMMYFUNCTION("""COMPUTED_VALUE"""),"O-16553-00")</f>
        <v>O-16553-00</v>
      </c>
      <c r="D301" s="2" t="str">
        <f>if(isna(vlookup(C301,'On Hand'!A:C,3,0)),"",vlookup(C301,'On Hand'!A:C,3,0))</f>
        <v/>
      </c>
    </row>
    <row r="302">
      <c r="A302" s="2" t="str">
        <f>IFERROR(__xludf.DUMMYFUNCTION("""COMPUTED_VALUE"""),"O-16554-00")</f>
        <v>O-16554-00</v>
      </c>
      <c r="B302" s="2" t="str">
        <f>IFERROR(__xludf.DUMMYFUNCTION("""COMPUTED_VALUE"""),"Seidenader MS30 - Sealing Starwheel p/n:37-029122-25")</f>
        <v>Seidenader MS30 - Sealing Starwheel p/n:37-029122-25</v>
      </c>
      <c r="C302" s="2" t="str">
        <f>IFERROR(__xludf.DUMMYFUNCTION("""COMPUTED_VALUE"""),"O-16554-00")</f>
        <v>O-16554-00</v>
      </c>
      <c r="D302" s="2" t="str">
        <f>if(isna(vlookup(C302,'On Hand'!A:C,3,0)),"",vlookup(C302,'On Hand'!A:C,3,0))</f>
        <v/>
      </c>
    </row>
    <row r="303">
      <c r="A303" s="2" t="str">
        <f>IFERROR(__xludf.DUMMYFUNCTION("""COMPUTED_VALUE"""),"O-16555-00")</f>
        <v>O-16555-00</v>
      </c>
      <c r="B303" s="2" t="str">
        <f>IFERROR(__xludf.DUMMYFUNCTION("""COMPUTED_VALUE"""),"Seidenader MS30 - Suction Cup Dia:16x19 (Standart) p/n:01-000413-20")</f>
        <v>Seidenader MS30 - Suction Cup Dia:16x19 (Standart) p/n:01-000413-20</v>
      </c>
      <c r="C303" s="2" t="str">
        <f>IFERROR(__xludf.DUMMYFUNCTION("""COMPUTED_VALUE"""),"O-16555-00")</f>
        <v>O-16555-00</v>
      </c>
      <c r="D303" s="2" t="str">
        <f>if(isna(vlookup(C303,'On Hand'!A:C,3,0)),"",vlookup(C303,'On Hand'!A:C,3,0))</f>
        <v/>
      </c>
    </row>
    <row r="304">
      <c r="A304" s="2" t="str">
        <f>IFERROR(__xludf.DUMMYFUNCTION("""COMPUTED_VALUE"""),"O-16556-00")</f>
        <v>O-16556-00</v>
      </c>
      <c r="B304" s="2" t="str">
        <f>IFERROR(__xludf.DUMMYFUNCTION("""COMPUTED_VALUE"""),"Seidenader MS30 - O-ring Black p/n:00-000428-07")</f>
        <v>Seidenader MS30 - O-ring Black p/n:00-000428-07</v>
      </c>
      <c r="C304" s="2" t="str">
        <f>IFERROR(__xludf.DUMMYFUNCTION("""COMPUTED_VALUE"""),"O-16556-00")</f>
        <v>O-16556-00</v>
      </c>
      <c r="D304" s="2" t="str">
        <f>if(isna(vlookup(C304,'On Hand'!A:C,3,0)),"",vlookup(C304,'On Hand'!A:C,3,0))</f>
        <v/>
      </c>
    </row>
    <row r="305">
      <c r="A305" s="2" t="str">
        <f>IFERROR(__xludf.DUMMYFUNCTION("""COMPUTED_VALUE"""),"O-16557-00")</f>
        <v>O-16557-00</v>
      </c>
      <c r="B305" s="2" t="str">
        <f>IFERROR(__xludf.DUMMYFUNCTION("""COMPUTED_VALUE"""),"Seidenader MS30 - O-ring Black Dia:18x2 p/n:00-000428-34")</f>
        <v>Seidenader MS30 - O-ring Black Dia:18x2 p/n:00-000428-34</v>
      </c>
      <c r="C305" s="2" t="str">
        <f>IFERROR(__xludf.DUMMYFUNCTION("""COMPUTED_VALUE"""),"O-16557-00")</f>
        <v>O-16557-00</v>
      </c>
      <c r="D305" s="2" t="str">
        <f>if(isna(vlookup(C305,'On Hand'!A:C,3,0)),"",vlookup(C305,'On Hand'!A:C,3,0))</f>
        <v/>
      </c>
    </row>
    <row r="306">
      <c r="A306" s="2" t="str">
        <f>IFERROR(__xludf.DUMMYFUNCTION("""COMPUTED_VALUE"""),"O-16558-00")</f>
        <v>O-16558-00</v>
      </c>
      <c r="B306" s="2" t="str">
        <f>IFERROR(__xludf.DUMMYFUNCTION("""COMPUTED_VALUE"""),"Seidenader MS30 - Suction Cup Dia:11 (Standart) FSGA 11 M5 p/n:01-000413-18")</f>
        <v>Seidenader MS30 - Suction Cup Dia:11 (Standart) FSGA 11 M5 p/n:01-000413-18</v>
      </c>
      <c r="C306" s="2" t="str">
        <f>IFERROR(__xludf.DUMMYFUNCTION("""COMPUTED_VALUE"""),"O-16558-00")</f>
        <v>O-16558-00</v>
      </c>
      <c r="D306" s="2" t="str">
        <f>if(isna(vlookup(C306,'On Hand'!A:C,3,0)),"",vlookup(C306,'On Hand'!A:C,3,0))</f>
        <v/>
      </c>
    </row>
    <row r="307">
      <c r="A307" s="2" t="str">
        <f>IFERROR(__xludf.DUMMYFUNCTION("""COMPUTED_VALUE"""),"O-16559-00")</f>
        <v>O-16559-00</v>
      </c>
      <c r="B307" s="2" t="str">
        <f>IFERROR(__xludf.DUMMYFUNCTION("""COMPUTED_VALUE"""),"Seidenader MS30 - Pressure Spring p/n:02-055865-00")</f>
        <v>Seidenader MS30 - Pressure Spring p/n:02-055865-00</v>
      </c>
      <c r="C307" s="2" t="str">
        <f>IFERROR(__xludf.DUMMYFUNCTION("""COMPUTED_VALUE"""),"O-16559-00")</f>
        <v>O-16559-00</v>
      </c>
      <c r="D307" s="2" t="str">
        <f>if(isna(vlookup(C307,'On Hand'!A:C,3,0)),"",vlookup(C307,'On Hand'!A:C,3,0))</f>
        <v/>
      </c>
    </row>
    <row r="308">
      <c r="A308" s="2" t="str">
        <f>IFERROR(__xludf.DUMMYFUNCTION("""COMPUTED_VALUE"""),"O-16560-00")</f>
        <v>O-16560-00</v>
      </c>
      <c r="B308" s="2" t="str">
        <f>IFERROR(__xludf.DUMMYFUNCTION("""COMPUTED_VALUE"""),"Seidenader MS30 - Rubber Band 298X47X1 p/n:37-030151-39")</f>
        <v>Seidenader MS30 - Rubber Band 298X47X1 p/n:37-030151-39</v>
      </c>
      <c r="C308" s="2" t="str">
        <f>IFERROR(__xludf.DUMMYFUNCTION("""COMPUTED_VALUE"""),"O-16560-00")</f>
        <v>O-16560-00</v>
      </c>
      <c r="D308" s="2" t="str">
        <f>if(isna(vlookup(C308,'On Hand'!A:C,3,0)),"",vlookup(C308,'On Hand'!A:C,3,0))</f>
        <v/>
      </c>
    </row>
    <row r="309">
      <c r="A309" s="2" t="str">
        <f>IFERROR(__xludf.DUMMYFUNCTION("""COMPUTED_VALUE"""),"O-16561-00")</f>
        <v>O-16561-00</v>
      </c>
      <c r="B309" s="2" t="str">
        <f>IFERROR(__xludf.DUMMYFUNCTION("""COMPUTED_VALUE"""),"Seidenader MS30 - Rubber Band 2X47X300 p/n:37-030151-38")</f>
        <v>Seidenader MS30 - Rubber Band 2X47X300 p/n:37-030151-38</v>
      </c>
      <c r="C309" s="2" t="str">
        <f>IFERROR(__xludf.DUMMYFUNCTION("""COMPUTED_VALUE"""),"O-16561-00")</f>
        <v>O-16561-00</v>
      </c>
      <c r="D309" s="2" t="str">
        <f>if(isna(vlookup(C309,'On Hand'!A:C,3,0)),"",vlookup(C309,'On Hand'!A:C,3,0))</f>
        <v/>
      </c>
    </row>
    <row r="310">
      <c r="A310" s="2" t="str">
        <f>IFERROR(__xludf.DUMMYFUNCTION("""COMPUTED_VALUE"""),"O-16562-00")</f>
        <v>O-16562-00</v>
      </c>
      <c r="B310" s="2" t="str">
        <f>IFERROR(__xludf.DUMMYFUNCTION("""COMPUTED_VALUE"""),"Seidenader MS30 - Filter cartridge p/n:02.000413-79")</f>
        <v>Seidenader MS30 - Filter cartridge p/n:02.000413-79</v>
      </c>
      <c r="C310" s="2" t="str">
        <f>IFERROR(__xludf.DUMMYFUNCTION("""COMPUTED_VALUE"""),"O-16562-00")</f>
        <v>O-16562-00</v>
      </c>
      <c r="D310" s="2" t="str">
        <f>if(isna(vlookup(C310,'On Hand'!A:C,3,0)),"",vlookup(C310,'On Hand'!A:C,3,0))</f>
        <v/>
      </c>
    </row>
    <row r="311">
      <c r="A311" s="2" t="str">
        <f>IFERROR(__xludf.DUMMYFUNCTION("""COMPUTED_VALUE"""),"O-16563-00")</f>
        <v>O-16563-00</v>
      </c>
      <c r="B311" s="2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1" s="2" t="str">
        <f>IFERROR(__xludf.DUMMYFUNCTION("""COMPUTED_VALUE"""),"O-16563-00")</f>
        <v>O-16563-00</v>
      </c>
      <c r="D311" s="2" t="str">
        <f>if(isna(vlookup(C311,'On Hand'!A:C,3,0)),"",vlookup(C311,'On Hand'!A:C,3,0))</f>
        <v/>
      </c>
    </row>
    <row r="312">
      <c r="A312" s="2" t="str">
        <f>IFERROR(__xludf.DUMMYFUNCTION("""COMPUTED_VALUE"""),"O-16564-00")</f>
        <v>O-16564-00</v>
      </c>
      <c r="B312" s="2" t="str">
        <f>IFERROR(__xludf.DUMMYFUNCTION("""COMPUTED_VALUE"""),"Marchesini MA155 - Conveyor Belt FNI-5E ER 1110 X 75 (SIL) p/n:C721411175")</f>
        <v>Marchesini MA155 - Conveyor Belt FNI-5E ER 1110 X 75 (SIL) p/n:C721411175</v>
      </c>
      <c r="C312" s="2" t="str">
        <f>IFERROR(__xludf.DUMMYFUNCTION("""COMPUTED_VALUE"""),"O-16564-00")</f>
        <v>O-16564-00</v>
      </c>
      <c r="D312" s="2" t="str">
        <f>if(isna(vlookup(C312,'On Hand'!A:C,3,0)),"",vlookup(C312,'On Hand'!A:C,3,0))</f>
        <v/>
      </c>
    </row>
    <row r="313">
      <c r="A313" s="2" t="str">
        <f>IFERROR(__xludf.DUMMYFUNCTION("""COMPUTED_VALUE"""),"O-16565-00")</f>
        <v>O-16565-00</v>
      </c>
      <c r="B313" s="2" t="str">
        <f>IFERROR(__xludf.DUMMYFUNCTION("""COMPUTED_VALUE"""),"Marchesini MA155 - Cylinder CQ2B 20-5 SSMC p/n:P115820005")</f>
        <v>Marchesini MA155 - Cylinder CQ2B 20-5 SSMC p/n:P115820005</v>
      </c>
      <c r="C313" s="2" t="str">
        <f>IFERROR(__xludf.DUMMYFUNCTION("""COMPUTED_VALUE"""),"O-16565-00")</f>
        <v>O-16565-00</v>
      </c>
      <c r="D313" s="2" t="str">
        <f>if(isna(vlookup(C313,'On Hand'!A:C,3,0)),"",vlookup(C313,'On Hand'!A:C,3,0))</f>
        <v/>
      </c>
    </row>
    <row r="314">
      <c r="A314" s="2" t="str">
        <f>IFERROR(__xludf.DUMMYFUNCTION("""COMPUTED_VALUE"""),"O-16566-00")</f>
        <v>O-16566-00</v>
      </c>
      <c r="B314" s="2" t="str">
        <f>IFERROR(__xludf.DUMMYFUNCTION("""COMPUTED_VALUE"""),"Marchesini MA155 - Conveyor Belt NB-8E 1850 x 40 p/n:C720718540")</f>
        <v>Marchesini MA155 - Conveyor Belt NB-8E 1850 x 40 p/n:C720718540</v>
      </c>
      <c r="C314" s="2" t="str">
        <f>IFERROR(__xludf.DUMMYFUNCTION("""COMPUTED_VALUE"""),"O-16566-00")</f>
        <v>O-16566-00</v>
      </c>
      <c r="D314" s="2" t="str">
        <f>if(isna(vlookup(C314,'On Hand'!A:C,3,0)),"",vlookup(C314,'On Hand'!A:C,3,0))</f>
        <v/>
      </c>
    </row>
    <row r="315">
      <c r="A315" s="2" t="str">
        <f>IFERROR(__xludf.DUMMYFUNCTION("""COMPUTED_VALUE"""),"O-16567-00")</f>
        <v>O-16567-00</v>
      </c>
      <c r="B315" s="2" t="str">
        <f>IFERROR(__xludf.DUMMYFUNCTION("""COMPUTED_VALUE"""),"Marchesini MA155 - Conveyor Belt 1380 x 40 HA p/n:C720713840")</f>
        <v>Marchesini MA155 - Conveyor Belt 1380 x 40 HA p/n:C720713840</v>
      </c>
      <c r="C315" s="2" t="str">
        <f>IFERROR(__xludf.DUMMYFUNCTION("""COMPUTED_VALUE"""),"O-16567-00")</f>
        <v>O-16567-00</v>
      </c>
      <c r="D315" s="2" t="str">
        <f>if(isna(vlookup(C315,'On Hand'!A:C,3,0)),"",vlookup(C315,'On Hand'!A:C,3,0))</f>
        <v/>
      </c>
    </row>
    <row r="316">
      <c r="A316" s="2" t="str">
        <f>IFERROR(__xludf.DUMMYFUNCTION("""COMPUTED_VALUE"""),"O-16568-00")</f>
        <v>O-16568-00</v>
      </c>
      <c r="B316" s="2" t="str">
        <f>IFERROR(__xludf.DUMMYFUNCTION("""COMPUTED_VALUE"""),"Marchesini MA155 - Toothed Belt 390 H 150 Gomma Nerra p/n:C262390150")</f>
        <v>Marchesini MA155 - Toothed Belt 390 H 150 Gomma Nerra p/n:C262390150</v>
      </c>
      <c r="C316" s="2" t="str">
        <f>IFERROR(__xludf.DUMMYFUNCTION("""COMPUTED_VALUE"""),"O-16568-00")</f>
        <v>O-16568-00</v>
      </c>
      <c r="D316" s="2" t="str">
        <f>if(isna(vlookup(C316,'On Hand'!A:C,3,0)),"",vlookup(C316,'On Hand'!A:C,3,0))</f>
        <v/>
      </c>
    </row>
    <row r="317">
      <c r="A317" s="2" t="str">
        <f>IFERROR(__xludf.DUMMYFUNCTION("""COMPUTED_VALUE"""),"O-16569-00")</f>
        <v>O-16569-00</v>
      </c>
      <c r="B317" s="2" t="str">
        <f>IFERROR(__xludf.DUMMYFUNCTION("""COMPUTED_VALUE"""),"Marchesini MA155 - Toothed Belt 202 L:100 Gomma Nerra p/n:C261202100")</f>
        <v>Marchesini MA155 - Toothed Belt 202 L:100 Gomma Nerra p/n:C261202100</v>
      </c>
      <c r="C317" s="2" t="str">
        <f>IFERROR(__xludf.DUMMYFUNCTION("""COMPUTED_VALUE"""),"O-16569-00")</f>
        <v>O-16569-00</v>
      </c>
      <c r="D317" s="2" t="str">
        <f>if(isna(vlookup(C317,'On Hand'!A:C,3,0)),"",vlookup(C317,'On Hand'!A:C,3,0))</f>
        <v/>
      </c>
    </row>
    <row r="318">
      <c r="A318" s="2" t="str">
        <f>IFERROR(__xludf.DUMMYFUNCTION("""COMPUTED_VALUE"""),"O-16570-00")</f>
        <v>O-16570-00</v>
      </c>
      <c r="B318" s="2" t="str">
        <f>IFERROR(__xludf.DUMMYFUNCTION("""COMPUTED_VALUE"""),"Marchesini MA155 - Conveyor Belt TS10 720 x 40 Habasit p/n:C720007240")</f>
        <v>Marchesini MA155 - Conveyor Belt TS10 720 x 40 Habasit p/n:C720007240</v>
      </c>
      <c r="C318" s="2" t="str">
        <f>IFERROR(__xludf.DUMMYFUNCTION("""COMPUTED_VALUE"""),"O-16570-00")</f>
        <v>O-16570-00</v>
      </c>
      <c r="D318" s="2" t="str">
        <f>if(isna(vlookup(C318,'On Hand'!A:C,3,0)),"",vlookup(C318,'On Hand'!A:C,3,0))</f>
        <v>pc</v>
      </c>
    </row>
    <row r="319">
      <c r="A319" s="2" t="str">
        <f>IFERROR(__xludf.DUMMYFUNCTION("""COMPUTED_VALUE"""),"O-16571-00")</f>
        <v>O-16571-00</v>
      </c>
      <c r="B319" s="2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19" s="2" t="str">
        <f>IFERROR(__xludf.DUMMYFUNCTION("""COMPUTED_VALUE"""),"O-16571-00")</f>
        <v>O-16571-00</v>
      </c>
      <c r="D319" s="2" t="str">
        <f>if(isna(vlookup(C319,'On Hand'!A:C,3,0)),"",vlookup(C319,'On Hand'!A:C,3,0))</f>
        <v/>
      </c>
    </row>
    <row r="320">
      <c r="A320" s="2" t="str">
        <f>IFERROR(__xludf.DUMMYFUNCTION("""COMPUTED_VALUE"""),"O-16572-00")</f>
        <v>O-16572-00</v>
      </c>
      <c r="B320" s="2" t="str">
        <f>IFERROR(__xludf.DUMMYFUNCTION("""COMPUTED_VALUE"""),"Marchesini MA155 - Conveyor Belt TS10 520 x 40 Habasit p/n:C720005240")</f>
        <v>Marchesini MA155 - Conveyor Belt TS10 520 x 40 Habasit p/n:C720005240</v>
      </c>
      <c r="C320" s="2" t="str">
        <f>IFERROR(__xludf.DUMMYFUNCTION("""COMPUTED_VALUE"""),"O-16572-00")</f>
        <v>O-16572-00</v>
      </c>
      <c r="D320" s="2" t="str">
        <f>if(isna(vlookup(C320,'On Hand'!A:C,3,0)),"",vlookup(C320,'On Hand'!A:C,3,0))</f>
        <v/>
      </c>
    </row>
    <row r="321">
      <c r="A321" s="2" t="str">
        <f>IFERROR(__xludf.DUMMYFUNCTION("""COMPUTED_VALUE"""),"O-16573-00")</f>
        <v>O-16573-00</v>
      </c>
      <c r="B321" s="2" t="str">
        <f>IFERROR(__xludf.DUMMYFUNCTION("""COMPUTED_VALUE"""),"Marchesini MA155 - Conveyor Belt TS10 290 x 40 Habasit p/n:C720002940")</f>
        <v>Marchesini MA155 - Conveyor Belt TS10 290 x 40 Habasit p/n:C720002940</v>
      </c>
      <c r="C321" s="2" t="str">
        <f>IFERROR(__xludf.DUMMYFUNCTION("""COMPUTED_VALUE"""),"O-16573-00")</f>
        <v>O-16573-00</v>
      </c>
      <c r="D321" s="2" t="str">
        <f>if(isna(vlookup(C321,'On Hand'!A:C,3,0)),"",vlookup(C321,'On Hand'!A:C,3,0))</f>
        <v>pc</v>
      </c>
    </row>
    <row r="322">
      <c r="A322" s="2" t="str">
        <f>IFERROR(__xludf.DUMMYFUNCTION("""COMPUTED_VALUE"""),"O-16574-00")</f>
        <v>O-16574-00</v>
      </c>
      <c r="B322" s="2" t="str">
        <f>IFERROR(__xludf.DUMMYFUNCTION("""COMPUTED_VALUE"""),"Marchesini MA155 - Toothed Belt 210 L:100 Gomma Nerra p/n:C261405100")</f>
        <v>Marchesini MA155 - Toothed Belt 210 L:100 Gomma Nerra p/n:C261405100</v>
      </c>
      <c r="C322" s="2" t="str">
        <f>IFERROR(__xludf.DUMMYFUNCTION("""COMPUTED_VALUE"""),"O-16574-00")</f>
        <v>O-16574-00</v>
      </c>
      <c r="D322" s="2" t="str">
        <f>if(isna(vlookup(C322,'On Hand'!A:C,3,0)),"",vlookup(C322,'On Hand'!A:C,3,0))</f>
        <v/>
      </c>
    </row>
    <row r="323">
      <c r="A323" s="2" t="str">
        <f>IFERROR(__xludf.DUMMYFUNCTION("""COMPUTED_VALUE"""),"O-16575-00")</f>
        <v>O-16575-00</v>
      </c>
      <c r="B323" s="2" t="str">
        <f>IFERROR(__xludf.DUMMYFUNCTION("""COMPUTED_VALUE"""),"Marchesini MA155 - Toothed Belt 210 L:075 Gomma Nerra p/n:C261210075")</f>
        <v>Marchesini MA155 - Toothed Belt 210 L:075 Gomma Nerra p/n:C261210075</v>
      </c>
      <c r="C323" s="2" t="str">
        <f>IFERROR(__xludf.DUMMYFUNCTION("""COMPUTED_VALUE"""),"O-16575-00")</f>
        <v>O-16575-00</v>
      </c>
      <c r="D323" s="2" t="str">
        <f>if(isna(vlookup(C323,'On Hand'!A:C,3,0)),"",vlookup(C323,'On Hand'!A:C,3,0))</f>
        <v/>
      </c>
    </row>
    <row r="324">
      <c r="A324" s="2" t="str">
        <f>IFERROR(__xludf.DUMMYFUNCTION("""COMPUTED_VALUE"""),"O-16576-00")</f>
        <v>O-16576-00</v>
      </c>
      <c r="B324" s="2" t="str">
        <f>IFERROR(__xludf.DUMMYFUNCTION("""COMPUTED_VALUE"""),"Marchesini MA155 - Assembled Roller p/n:2894R004")</f>
        <v>Marchesini MA155 - Assembled Roller p/n:2894R004</v>
      </c>
      <c r="C324" s="2" t="str">
        <f>IFERROR(__xludf.DUMMYFUNCTION("""COMPUTED_VALUE"""),"O-16576-00")</f>
        <v>O-16576-00</v>
      </c>
      <c r="D324" s="2" t="str">
        <f>if(isna(vlookup(C324,'On Hand'!A:C,3,0)),"",vlookup(C324,'On Hand'!A:C,3,0))</f>
        <v/>
      </c>
    </row>
    <row r="325">
      <c r="A325" s="2" t="str">
        <f>IFERROR(__xludf.DUMMYFUNCTION("""COMPUTED_VALUE"""),"O-16577-00")</f>
        <v>O-16577-00</v>
      </c>
      <c r="B325" s="2" t="str">
        <f>IFERROR(__xludf.DUMMYFUNCTION("""COMPUTED_VALUE"""),"Marchesini MA155 - Wrapper BM2-025 p/n:P312100025")</f>
        <v>Marchesini MA155 - Wrapper BM2-025 p/n:P312100025</v>
      </c>
      <c r="C325" s="2" t="str">
        <f>IFERROR(__xludf.DUMMYFUNCTION("""COMPUTED_VALUE"""),"O-16577-00")</f>
        <v>O-16577-00</v>
      </c>
      <c r="D325" s="2" t="str">
        <f>if(isna(vlookup(C325,'On Hand'!A:C,3,0)),"",vlookup(C325,'On Hand'!A:C,3,0))</f>
        <v/>
      </c>
    </row>
    <row r="326">
      <c r="A326" s="2" t="str">
        <f>IFERROR(__xludf.DUMMYFUNCTION("""COMPUTED_VALUE"""),"O-16578-00")</f>
        <v>O-16578-00</v>
      </c>
      <c r="B326" s="2" t="str">
        <f>IFERROR(__xludf.DUMMYFUNCTION("""COMPUTED_VALUE"""),"Marchesini MA155 - Cylinder D-C73CZ SMC p/n:P312100000")</f>
        <v>Marchesini MA155 - Cylinder D-C73CZ SMC p/n:P312100000</v>
      </c>
      <c r="C326" s="2" t="str">
        <f>IFERROR(__xludf.DUMMYFUNCTION("""COMPUTED_VALUE"""),"O-16578-00")</f>
        <v>O-16578-00</v>
      </c>
      <c r="D326" s="2" t="str">
        <f>if(isna(vlookup(C326,'On Hand'!A:C,3,0)),"",vlookup(C326,'On Hand'!A:C,3,0))</f>
        <v/>
      </c>
    </row>
    <row r="327">
      <c r="A327" s="2" t="str">
        <f>IFERROR(__xludf.DUMMYFUNCTION("""COMPUTED_VALUE"""),"O-16579-00")</f>
        <v>O-16579-00</v>
      </c>
      <c r="B327" s="2" t="str">
        <f>IFERROR(__xludf.DUMMYFUNCTION("""COMPUTED_VALUE"""),"Marchesini MA155 - Bushing D. 6 D. 8 L.6 Glacier p/n:C120060806")</f>
        <v>Marchesini MA155 - Bushing D. 6 D. 8 L.6 Glacier p/n:C120060806</v>
      </c>
      <c r="C327" s="2" t="str">
        <f>IFERROR(__xludf.DUMMYFUNCTION("""COMPUTED_VALUE"""),"O-16579-00")</f>
        <v>O-16579-00</v>
      </c>
      <c r="D327" s="2" t="str">
        <f>if(isna(vlookup(C327,'On Hand'!A:C,3,0)),"",vlookup(C327,'On Hand'!A:C,3,0))</f>
        <v/>
      </c>
    </row>
    <row r="328">
      <c r="A328" s="2" t="str">
        <f>IFERROR(__xludf.DUMMYFUNCTION("""COMPUTED_VALUE"""),"O-16580-00")</f>
        <v>O-16580-00</v>
      </c>
      <c r="B328" s="2" t="str">
        <f>IFERROR(__xludf.DUMMYFUNCTION("""COMPUTED_VALUE"""),"Marchesini MA155 - Bushing 16E7 22X16 p/n:C110162216")</f>
        <v>Marchesini MA155 - Bushing 16E7 22X16 p/n:C110162216</v>
      </c>
      <c r="C328" s="2" t="str">
        <f>IFERROR(__xludf.DUMMYFUNCTION("""COMPUTED_VALUE"""),"O-16580-00")</f>
        <v>O-16580-00</v>
      </c>
      <c r="D328" s="2" t="str">
        <f>if(isna(vlookup(C328,'On Hand'!A:C,3,0)),"",vlookup(C328,'On Hand'!A:C,3,0))</f>
        <v/>
      </c>
    </row>
    <row r="329">
      <c r="A329" s="2" t="str">
        <f>IFERROR(__xludf.DUMMYFUNCTION("""COMPUTED_VALUE"""),"O-16581-00")</f>
        <v>O-16581-00</v>
      </c>
      <c r="B329" s="2" t="str">
        <f>IFERROR(__xludf.DUMMYFUNCTION("""COMPUTED_VALUE"""),"Marchesini MA155 - Rear Bucket p/n:A892216014")</f>
        <v>Marchesini MA155 - Rear Bucket p/n:A892216014</v>
      </c>
      <c r="C329" s="2" t="str">
        <f>IFERROR(__xludf.DUMMYFUNCTION("""COMPUTED_VALUE"""),"O-16581-00")</f>
        <v>O-16581-00</v>
      </c>
      <c r="D329" s="2" t="str">
        <f>if(isna(vlookup(C329,'On Hand'!A:C,3,0)),"",vlookup(C329,'On Hand'!A:C,3,0))</f>
        <v/>
      </c>
    </row>
    <row r="330">
      <c r="A330" s="2" t="str">
        <f>IFERROR(__xludf.DUMMYFUNCTION("""COMPUTED_VALUE"""),"O-16582-00")</f>
        <v>O-16582-00</v>
      </c>
      <c r="B330" s="2" t="str">
        <f>IFERROR(__xludf.DUMMYFUNCTION("""COMPUTED_VALUE"""),"Marchesini MA155 - Front Bucket p/n:A892216012")</f>
        <v>Marchesini MA155 - Front Bucket p/n:A892216012</v>
      </c>
      <c r="C330" s="2" t="str">
        <f>IFERROR(__xludf.DUMMYFUNCTION("""COMPUTED_VALUE"""),"O-16582-00")</f>
        <v>O-16582-00</v>
      </c>
      <c r="D330" s="2" t="str">
        <f>if(isna(vlookup(C330,'On Hand'!A:C,3,0)),"",vlookup(C330,'On Hand'!A:C,3,0))</f>
        <v/>
      </c>
    </row>
    <row r="331">
      <c r="A331" s="2" t="str">
        <f>IFERROR(__xludf.DUMMYFUNCTION("""COMPUTED_VALUE"""),"O-16583-00")</f>
        <v>O-16583-00</v>
      </c>
      <c r="B331" s="2" t="str">
        <f>IFERROR(__xludf.DUMMYFUNCTION("""COMPUTED_VALUE"""),"Marchesini MA155 - Polycord Belt MA150/5 p/n: 20P00192")</f>
        <v>Marchesini MA155 - Polycord Belt MA150/5 p/n: 20P00192</v>
      </c>
      <c r="C331" s="2" t="str">
        <f>IFERROR(__xludf.DUMMYFUNCTION("""COMPUTED_VALUE"""),"O-16583-00")</f>
        <v>O-16583-00</v>
      </c>
      <c r="D331" s="2" t="str">
        <f>if(isna(vlookup(C331,'On Hand'!A:C,3,0)),"",vlookup(C331,'On Hand'!A:C,3,0))</f>
        <v/>
      </c>
    </row>
    <row r="332">
      <c r="A332" s="2" t="str">
        <f>IFERROR(__xludf.DUMMYFUNCTION("""COMPUTED_VALUE"""),"O-16584-00")</f>
        <v>O-16584-00</v>
      </c>
      <c r="B332" s="2" t="str">
        <f>IFERROR(__xludf.DUMMYFUNCTION("""COMPUTED_VALUE"""),"Marchesini MA155 - Cylinder CRB2BW20-270SZ SMC p/n: P121220270")</f>
        <v>Marchesini MA155 - Cylinder CRB2BW20-270SZ SMC p/n: P121220270</v>
      </c>
      <c r="C332" s="2" t="str">
        <f>IFERROR(__xludf.DUMMYFUNCTION("""COMPUTED_VALUE"""),"O-16584-00")</f>
        <v>O-16584-00</v>
      </c>
      <c r="D332" s="2" t="str">
        <f>if(isna(vlookup(C332,'On Hand'!A:C,3,0)),"",vlookup(C332,'On Hand'!A:C,3,0))</f>
        <v/>
      </c>
    </row>
    <row r="333">
      <c r="A333" s="2" t="str">
        <f>IFERROR(__xludf.DUMMYFUNCTION("""COMPUTED_VALUE"""),"O-16585-00")</f>
        <v>O-16585-00</v>
      </c>
      <c r="B333" s="2" t="str">
        <f>IFERROR(__xludf.DUMMYFUNCTION("""COMPUTED_VALUE"""),"Marchesini MA155 - Right Contrast Tooth p/n: 27P00631")</f>
        <v>Marchesini MA155 - Right Contrast Tooth p/n: 27P00631</v>
      </c>
      <c r="C333" s="2" t="str">
        <f>IFERROR(__xludf.DUMMYFUNCTION("""COMPUTED_VALUE"""),"O-16585-00")</f>
        <v>O-16585-00</v>
      </c>
      <c r="D333" s="2" t="str">
        <f>if(isna(vlookup(C333,'On Hand'!A:C,3,0)),"",vlookup(C333,'On Hand'!A:C,3,0))</f>
        <v/>
      </c>
    </row>
    <row r="334">
      <c r="A334" s="2" t="str">
        <f>IFERROR(__xludf.DUMMYFUNCTION("""COMPUTED_VALUE"""),"O-16586-00")</f>
        <v>O-16586-00</v>
      </c>
      <c r="B334" s="2" t="str">
        <f>IFERROR(__xludf.DUMMYFUNCTION("""COMPUTED_VALUE"""),"Marchesini MA155 - Inclined Left Tooth p/n:18990019")</f>
        <v>Marchesini MA155 - Inclined Left Tooth p/n:18990019</v>
      </c>
      <c r="C334" s="2" t="str">
        <f>IFERROR(__xludf.DUMMYFUNCTION("""COMPUTED_VALUE"""),"O-16586-00")</f>
        <v>O-16586-00</v>
      </c>
      <c r="D334" s="2" t="str">
        <f>if(isna(vlookup(C334,'On Hand'!A:C,3,0)),"",vlookup(C334,'On Hand'!A:C,3,0))</f>
        <v/>
      </c>
    </row>
    <row r="335">
      <c r="A335" s="2" t="str">
        <f>IFERROR(__xludf.DUMMYFUNCTION("""COMPUTED_VALUE"""),"O-16587-00")</f>
        <v>O-16587-00</v>
      </c>
      <c r="B335" s="2" t="str">
        <f>IFERROR(__xludf.DUMMYFUNCTION("""COMPUTED_VALUE"""),"Marchesini MA155 - Inclined Right Tooth p/n:18990018")</f>
        <v>Marchesini MA155 - Inclined Right Tooth p/n:18990018</v>
      </c>
      <c r="C335" s="2" t="str">
        <f>IFERROR(__xludf.DUMMYFUNCTION("""COMPUTED_VALUE"""),"O-16587-00")</f>
        <v>O-16587-00</v>
      </c>
      <c r="D335" s="2" t="str">
        <f>if(isna(vlookup(C335,'On Hand'!A:C,3,0)),"",vlookup(C335,'On Hand'!A:C,3,0))</f>
        <v/>
      </c>
    </row>
    <row r="336">
      <c r="A336" s="2" t="str">
        <f>IFERROR(__xludf.DUMMYFUNCTION("""COMPUTED_VALUE"""),"O-16588-00")</f>
        <v>O-16588-00</v>
      </c>
      <c r="B336" s="2" t="str">
        <f>IFERROR(__xludf.DUMMYFUNCTION("""COMPUTED_VALUE"""),"Marchesini MA155 - Leaflet Grippet p/n:A920000005")</f>
        <v>Marchesini MA155 - Leaflet Grippet p/n:A920000005</v>
      </c>
      <c r="C336" s="2" t="str">
        <f>IFERROR(__xludf.DUMMYFUNCTION("""COMPUTED_VALUE"""),"O-16588-00")</f>
        <v>O-16588-00</v>
      </c>
      <c r="D336" s="2" t="str">
        <f>if(isna(vlookup(C336,'On Hand'!A:C,3,0)),"",vlookup(C336,'On Hand'!A:C,3,0))</f>
        <v/>
      </c>
    </row>
    <row r="337">
      <c r="A337" s="2" t="str">
        <f>IFERROR(__xludf.DUMMYFUNCTION("""COMPUTED_VALUE"""),"O-16589-00")</f>
        <v>O-16589-00</v>
      </c>
      <c r="B337" s="2" t="str">
        <f>IFERROR(__xludf.DUMMYFUNCTION("""COMPUTED_VALUE"""),"Carton Sealer - Spring 33 x 32 x 4 p/n:10141")</f>
        <v>Carton Sealer - Spring 33 x 32 x 4 p/n:10141</v>
      </c>
      <c r="C337" s="2" t="str">
        <f>IFERROR(__xludf.DUMMYFUNCTION("""COMPUTED_VALUE"""),"O-16589-00")</f>
        <v>O-16589-00</v>
      </c>
      <c r="D337" s="2" t="str">
        <f>if(isna(vlookup(C337,'On Hand'!A:C,3,0)),"",vlookup(C337,'On Hand'!A:C,3,0))</f>
        <v/>
      </c>
    </row>
    <row r="338">
      <c r="A338" s="2" t="str">
        <f>IFERROR(__xludf.DUMMYFUNCTION("""COMPUTED_VALUE"""),"O-16590-00")</f>
        <v>O-16590-00</v>
      </c>
      <c r="B338" s="2" t="str">
        <f>IFERROR(__xludf.DUMMYFUNCTION("""COMPUTED_VALUE"""),"Carton Sealer - Spring Front Arm Rubber Roller p/n:9510303")</f>
        <v>Carton Sealer - Spring Front Arm Rubber Roller p/n:9510303</v>
      </c>
      <c r="C338" s="2" t="str">
        <f>IFERROR(__xludf.DUMMYFUNCTION("""COMPUTED_VALUE"""),"O-16590-00")</f>
        <v>O-16590-00</v>
      </c>
      <c r="D338" s="2" t="str">
        <f>if(isna(vlookup(C338,'On Hand'!A:C,3,0)),"",vlookup(C338,'On Hand'!A:C,3,0))</f>
        <v/>
      </c>
    </row>
    <row r="339">
      <c r="A339" s="2" t="str">
        <f>IFERROR(__xludf.DUMMYFUNCTION("""COMPUTED_VALUE"""),"O-16591-00")</f>
        <v>O-16591-00</v>
      </c>
      <c r="B339" s="2" t="str">
        <f>IFERROR(__xludf.DUMMYFUNCTION("""COMPUTED_VALUE"""),"Carton Sealer - Spring 2.2 x 20.8 x 89 p/n:10096-2")</f>
        <v>Carton Sealer - Spring 2.2 x 20.8 x 89 p/n:10096-2</v>
      </c>
      <c r="C339" s="2" t="str">
        <f>IFERROR(__xludf.DUMMYFUNCTION("""COMPUTED_VALUE"""),"O-16591-00")</f>
        <v>O-16591-00</v>
      </c>
      <c r="D339" s="2" t="str">
        <f>if(isna(vlookup(C339,'On Hand'!A:C,3,0)),"",vlookup(C339,'On Hand'!A:C,3,0))</f>
        <v/>
      </c>
    </row>
    <row r="340">
      <c r="A340" s="2" t="str">
        <f>IFERROR(__xludf.DUMMYFUNCTION("""COMPUTED_VALUE"""),"O-16592-00")</f>
        <v>O-16592-00</v>
      </c>
      <c r="B340" s="2" t="str">
        <f>IFERROR(__xludf.DUMMYFUNCTION("""COMPUTED_VALUE"""),"Carton Sealer - Spring 2.0 x 20.8 x 89 10096-1")</f>
        <v>Carton Sealer - Spring 2.0 x 20.8 x 89 10096-1</v>
      </c>
      <c r="C340" s="2" t="str">
        <f>IFERROR(__xludf.DUMMYFUNCTION("""COMPUTED_VALUE"""),"O-16592-00")</f>
        <v>O-16592-00</v>
      </c>
      <c r="D340" s="2" t="str">
        <f>if(isna(vlookup(C340,'On Hand'!A:C,3,0)),"",vlookup(C340,'On Hand'!A:C,3,0))</f>
        <v/>
      </c>
    </row>
    <row r="341">
      <c r="A341" s="2" t="str">
        <f>IFERROR(__xludf.DUMMYFUNCTION("""COMPUTED_VALUE"""),"O-16593-00")</f>
        <v>O-16593-00</v>
      </c>
      <c r="B341" s="2" t="str">
        <f>IFERROR(__xludf.DUMMYFUNCTION("""COMPUTED_VALUE"""),"Carton Sealer - Cutter Blade 2inch p/n:10122")</f>
        <v>Carton Sealer - Cutter Blade 2inch p/n:10122</v>
      </c>
      <c r="C341" s="2" t="str">
        <f>IFERROR(__xludf.DUMMYFUNCTION("""COMPUTED_VALUE"""),"O-16593-00")</f>
        <v>O-16593-00</v>
      </c>
      <c r="D341" s="2" t="str">
        <f>if(isna(vlookup(C341,'On Hand'!A:C,3,0)),"",vlookup(C341,'On Hand'!A:C,3,0))</f>
        <v/>
      </c>
    </row>
    <row r="342">
      <c r="A342" s="2" t="str">
        <f>IFERROR(__xludf.DUMMYFUNCTION("""COMPUTED_VALUE"""),"O-16594-00")</f>
        <v>O-16594-00</v>
      </c>
      <c r="B342" s="2" t="str">
        <f>IFERROR(__xludf.DUMMYFUNCTION("""COMPUTED_VALUE"""),"Carton Sealer - Spring 8.5 x 1 x 59 mm p/n:9510300")</f>
        <v>Carton Sealer - Spring 8.5 x 1 x 59 mm p/n:9510300</v>
      </c>
      <c r="C342" s="2" t="str">
        <f>IFERROR(__xludf.DUMMYFUNCTION("""COMPUTED_VALUE"""),"O-16594-00")</f>
        <v>O-16594-00</v>
      </c>
      <c r="D342" s="2" t="str">
        <f>if(isna(vlookup(C342,'On Hand'!A:C,3,0)),"",vlookup(C342,'On Hand'!A:C,3,0))</f>
        <v/>
      </c>
    </row>
    <row r="343">
      <c r="A343" s="2" t="str">
        <f>IFERROR(__xludf.DUMMYFUNCTION("""COMPUTED_VALUE"""),"O-16595-00")</f>
        <v>O-16595-00</v>
      </c>
      <c r="B343" s="2" t="str">
        <f>IFERROR(__xludf.DUMMYFUNCTION("""COMPUTED_VALUE"""),"Carton Sealer - Spring 8.5 x 1 x 59 mm p/n:9510299")</f>
        <v>Carton Sealer - Spring 8.5 x 1 x 59 mm p/n:9510299</v>
      </c>
      <c r="C343" s="2" t="str">
        <f>IFERROR(__xludf.DUMMYFUNCTION("""COMPUTED_VALUE"""),"O-16595-00")</f>
        <v>O-16595-00</v>
      </c>
      <c r="D343" s="2" t="str">
        <f>if(isna(vlookup(C343,'On Hand'!A:C,3,0)),"",vlookup(C343,'On Hand'!A:C,3,0))</f>
        <v/>
      </c>
    </row>
    <row r="344">
      <c r="A344" s="2" t="str">
        <f>IFERROR(__xludf.DUMMYFUNCTION("""COMPUTED_VALUE"""),"O-16596-00")</f>
        <v>O-16596-00</v>
      </c>
      <c r="B344" s="2" t="str">
        <f>IFERROR(__xludf.DUMMYFUNCTION("""COMPUTED_VALUE"""),"Carton Sealer - Spring 0.8 x 6.8 x 32 mm p/n:C4415000")</f>
        <v>Carton Sealer - Spring 0.8 x 6.8 x 32 mm p/n:C4415000</v>
      </c>
      <c r="C344" s="2" t="str">
        <f>IFERROR(__xludf.DUMMYFUNCTION("""COMPUTED_VALUE"""),"O-16596-00")</f>
        <v>O-16596-00</v>
      </c>
      <c r="D344" s="2" t="str">
        <f>if(isna(vlookup(C344,'On Hand'!A:C,3,0)),"",vlookup(C344,'On Hand'!A:C,3,0))</f>
        <v/>
      </c>
    </row>
    <row r="345">
      <c r="A345" s="2" t="str">
        <f>IFERROR(__xludf.DUMMYFUNCTION("""COMPUTED_VALUE"""),"O-16597-00")</f>
        <v>O-16597-00</v>
      </c>
      <c r="B345" s="2" t="str">
        <f>IFERROR(__xludf.DUMMYFUNCTION("""COMPUTED_VALUE"""),"Carton Sealer - Spring 10.2 x 1.2 x 62.5 mm p/n:20009")</f>
        <v>Carton Sealer - Spring 10.2 x 1.2 x 62.5 mm p/n:20009</v>
      </c>
      <c r="C345" s="2" t="str">
        <f>IFERROR(__xludf.DUMMYFUNCTION("""COMPUTED_VALUE"""),"O-16597-00")</f>
        <v>O-16597-00</v>
      </c>
      <c r="D345" s="2" t="str">
        <f>if(isna(vlookup(C345,'On Hand'!A:C,3,0)),"",vlookup(C345,'On Hand'!A:C,3,0))</f>
        <v/>
      </c>
    </row>
    <row r="346">
      <c r="A346" s="2" t="str">
        <f>IFERROR(__xludf.DUMMYFUNCTION("""COMPUTED_VALUE"""),"O-16598-00")</f>
        <v>O-16598-00</v>
      </c>
      <c r="B346" s="2" t="str">
        <f>IFERROR(__xludf.DUMMYFUNCTION("""COMPUTED_VALUE"""),"Carton Sealer - Spring 2 x 25 x 34 mm p/n:8044")</f>
        <v>Carton Sealer - Spring 2 x 25 x 34 mm p/n:8044</v>
      </c>
      <c r="C346" s="2" t="str">
        <f>IFERROR(__xludf.DUMMYFUNCTION("""COMPUTED_VALUE"""),"O-16598-00")</f>
        <v>O-16598-00</v>
      </c>
      <c r="D346" s="2" t="str">
        <f>if(isna(vlookup(C346,'On Hand'!A:C,3,0)),"",vlookup(C346,'On Hand'!A:C,3,0))</f>
        <v/>
      </c>
    </row>
    <row r="347">
      <c r="A347" s="2" t="str">
        <f>IFERROR(__xludf.DUMMYFUNCTION("""COMPUTED_VALUE"""),"O-16608-00")</f>
        <v>O-16608-00</v>
      </c>
      <c r="B347" s="2" t="str">
        <f>IFERROR(__xludf.DUMMYFUNCTION("""COMPUTED_VALUE"""),"Baterai Airsampler Minicapt 100 s/n MC12N014")</f>
        <v>Baterai Airsampler Minicapt 100 s/n MC12N014</v>
      </c>
      <c r="C347" s="2" t="str">
        <f>IFERROR(__xludf.DUMMYFUNCTION("""COMPUTED_VALUE"""),"O-16608-00")</f>
        <v>O-16608-00</v>
      </c>
      <c r="D347" s="2" t="str">
        <f>if(isna(vlookup(C347,'On Hand'!A:C,3,0)),"",vlookup(C347,'On Hand'!A:C,3,0))</f>
        <v/>
      </c>
    </row>
    <row r="348">
      <c r="A348" s="2" t="str">
        <f>IFERROR(__xludf.DUMMYFUNCTION("""COMPUTED_VALUE"""),"O-16646-00")</f>
        <v>O-16646-00</v>
      </c>
      <c r="B348" s="2" t="str">
        <f>IFERROR(__xludf.DUMMYFUNCTION("""COMPUTED_VALUE"""),"Oring NBR OD: 162 mm T: 6.7 mm")</f>
        <v>Oring NBR OD: 162 mm T: 6.7 mm</v>
      </c>
      <c r="C348" s="2" t="str">
        <f>IFERROR(__xludf.DUMMYFUNCTION("""COMPUTED_VALUE"""),"O-16646-00")</f>
        <v>O-16646-00</v>
      </c>
      <c r="D348" s="2" t="str">
        <f>if(isna(vlookup(C348,'On Hand'!A:C,3,0)),"",vlookup(C348,'On Hand'!A:C,3,0))</f>
        <v>pc</v>
      </c>
    </row>
    <row r="349">
      <c r="A349" s="2" t="str">
        <f>IFERROR(__xludf.DUMMYFUNCTION("""COMPUTED_VALUE"""),"O-16647-00")</f>
        <v>O-16647-00</v>
      </c>
      <c r="B349" s="2" t="str">
        <f>IFERROR(__xludf.DUMMYFUNCTION("""COMPUTED_VALUE"""),"General - Oring Silicone Merah 23x18x2.5 mm; -; -; 1 Pc")</f>
        <v>General - Oring Silicone Merah 23x18x2.5 mm; -; -; 1 Pc</v>
      </c>
      <c r="C349" s="2" t="str">
        <f>IFERROR(__xludf.DUMMYFUNCTION("""COMPUTED_VALUE"""),"O-16647-00")</f>
        <v>O-16647-00</v>
      </c>
      <c r="D349" s="2" t="str">
        <f>if(isna(vlookup(C349,'On Hand'!A:C,3,0)),"",vlookup(C349,'On Hand'!A:C,3,0))</f>
        <v>pc</v>
      </c>
    </row>
    <row r="350">
      <c r="A350" s="2" t="str">
        <f>IFERROR(__xludf.DUMMYFUNCTION("""COMPUTED_VALUE"""),"O-16658-00")</f>
        <v>O-16658-00</v>
      </c>
      <c r="B350" s="2" t="str">
        <f>IFERROR(__xludf.DUMMYFUNCTION("""COMPUTED_VALUE"""),"Cylinder Compact ADNGF-16-15-P-A FESTO P/N : 554214 pc")</f>
        <v>Cylinder Compact ADNGF-16-15-P-A FESTO P/N : 554214 pc</v>
      </c>
      <c r="C350" s="2" t="str">
        <f>IFERROR(__xludf.DUMMYFUNCTION("""COMPUTED_VALUE"""),"O-16658-00")</f>
        <v>O-16658-00</v>
      </c>
      <c r="D350" s="2" t="str">
        <f>if(isna(vlookup(C350,'On Hand'!A:C,3,0)),"",vlookup(C350,'On Hand'!A:C,3,0))</f>
        <v>pc</v>
      </c>
    </row>
    <row r="351">
      <c r="A351" s="2" t="str">
        <f>IFERROR(__xludf.DUMMYFUNCTION("""COMPUTED_VALUE"""),"O-16659-00")</f>
        <v>O-16659-00</v>
      </c>
      <c r="B351" s="2" t="str">
        <f>IFERROR(__xludf.DUMMYFUNCTION("""COMPUTED_VALUE"""),"Oring Silicone Merah OD: 352 mm T: 3.3 mm")</f>
        <v>Oring Silicone Merah OD: 352 mm T: 3.3 mm</v>
      </c>
      <c r="C351" s="2" t="str">
        <f>IFERROR(__xludf.DUMMYFUNCTION("""COMPUTED_VALUE"""),"O-16659-00")</f>
        <v>O-16659-00</v>
      </c>
      <c r="D351" s="2" t="str">
        <f>if(isna(vlookup(C351,'On Hand'!A:C,3,0)),"",vlookup(C351,'On Hand'!A:C,3,0))</f>
        <v>pc</v>
      </c>
    </row>
    <row r="352">
      <c r="A352" s="2" t="str">
        <f>IFERROR(__xludf.DUMMYFUNCTION("""COMPUTED_VALUE"""),"O-16706-00")</f>
        <v>O-16706-00</v>
      </c>
      <c r="B352" s="2" t="str">
        <f>IFERROR(__xludf.DUMMYFUNCTION("""COMPUTED_VALUE"""),"Capping VCM200 - Coupling for Encoder NBK MST 32 - P/N : -  pc")</f>
        <v>Capping VCM200 - Coupling for Encoder NBK MST 32 - P/N : -  pc</v>
      </c>
      <c r="C352" s="2" t="str">
        <f>IFERROR(__xludf.DUMMYFUNCTION("""COMPUTED_VALUE"""),"O-16706-00")</f>
        <v>O-16706-00</v>
      </c>
      <c r="D352" s="2" t="str">
        <f>if(isna(vlookup(C352,'On Hand'!A:C,3,0)),"",vlookup(C352,'On Hand'!A:C,3,0))</f>
        <v>pc</v>
      </c>
    </row>
    <row r="353">
      <c r="A353" s="2" t="str">
        <f>IFERROR(__xludf.DUMMYFUNCTION("""COMPUTED_VALUE"""),"O-16715-00")</f>
        <v>O-16715-00</v>
      </c>
      <c r="B353" s="2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3" s="2" t="str">
        <f>IFERROR(__xludf.DUMMYFUNCTION("""COMPUTED_VALUE"""),"O-16715-00")</f>
        <v>O-16715-00</v>
      </c>
      <c r="D353" s="2" t="str">
        <f>if(isna(vlookup(C353,'On Hand'!A:C,3,0)),"",vlookup(C353,'On Hand'!A:C,3,0))</f>
        <v>pc</v>
      </c>
    </row>
    <row r="354">
      <c r="A354" s="2" t="str">
        <f>IFERROR(__xludf.DUMMYFUNCTION("""COMPUTED_VALUE"""),"O-16725-00")</f>
        <v>O-16725-00</v>
      </c>
      <c r="B354" s="2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4" s="2" t="str">
        <f>IFERROR(__xludf.DUMMYFUNCTION("""COMPUTED_VALUE"""),"O-16725-00")</f>
        <v>O-16725-00</v>
      </c>
      <c r="D354" s="2" t="str">
        <f>if(isna(vlookup(C354,'On Hand'!A:C,3,0)),"",vlookup(C354,'On Hand'!A:C,3,0))</f>
        <v>unt</v>
      </c>
    </row>
    <row r="355">
      <c r="A355" s="2" t="str">
        <f>IFERROR(__xludf.DUMMYFUNCTION("""COMPUTED_VALUE"""),"O-16731-00")</f>
        <v>O-16731-00</v>
      </c>
      <c r="B355" s="2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5" s="2" t="str">
        <f>IFERROR(__xludf.DUMMYFUNCTION("""COMPUTED_VALUE"""),"O-16731-00")</f>
        <v>O-16731-00</v>
      </c>
      <c r="D355" s="2" t="str">
        <f>if(isna(vlookup(C355,'On Hand'!A:C,3,0)),"",vlookup(C355,'On Hand'!A:C,3,0))</f>
        <v/>
      </c>
    </row>
    <row r="356">
      <c r="A356" s="2" t="str">
        <f>IFERROR(__xludf.DUMMYFUNCTION("""COMPUTED_VALUE"""),"O-16732-00")</f>
        <v>O-16732-00</v>
      </c>
      <c r="B356" s="2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6" s="2" t="str">
        <f>IFERROR(__xludf.DUMMYFUNCTION("""COMPUTED_VALUE"""),"O-16732-00")</f>
        <v>O-16732-00</v>
      </c>
      <c r="D356" s="2" t="str">
        <f>if(isna(vlookup(C356,'On Hand'!A:C,3,0)),"",vlookup(C356,'On Hand'!A:C,3,0))</f>
        <v>pc</v>
      </c>
    </row>
    <row r="357">
      <c r="A357" s="2" t="str">
        <f>IFERROR(__xludf.DUMMYFUNCTION("""COMPUTED_VALUE"""),"O-16752-00")</f>
        <v>O-16752-00</v>
      </c>
      <c r="B357" s="2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7" s="2" t="str">
        <f>IFERROR(__xludf.DUMMYFUNCTION("""COMPUTED_VALUE"""),"O-16752-00")</f>
        <v>O-16752-00</v>
      </c>
      <c r="D357" s="2" t="str">
        <f>if(isna(vlookup(C357,'On Hand'!A:C,3,0)),"",vlookup(C357,'On Hand'!A:C,3,0))</f>
        <v>pc</v>
      </c>
    </row>
    <row r="358">
      <c r="A358" s="2" t="str">
        <f>IFERROR(__xludf.DUMMYFUNCTION("""COMPUTED_VALUE"""),"O-16756-00")</f>
        <v>O-16756-00</v>
      </c>
      <c r="B358" s="2" t="str">
        <f>IFERROR(__xludf.DUMMYFUNCTION("""COMPUTED_VALUE"""),"Washing RAR4 - Tamper Resistant Screw IBNP5-10")</f>
        <v>Washing RAR4 - Tamper Resistant Screw IBNP5-10</v>
      </c>
      <c r="C358" s="2" t="str">
        <f>IFERROR(__xludf.DUMMYFUNCTION("""COMPUTED_VALUE"""),"O-16756-00")</f>
        <v>O-16756-00</v>
      </c>
      <c r="D358" s="2" t="str">
        <f>if(isna(vlookup(C358,'On Hand'!A:C,3,0)),"",vlookup(C358,'On Hand'!A:C,3,0))</f>
        <v/>
      </c>
    </row>
    <row r="359">
      <c r="A359" s="2" t="str">
        <f>IFERROR(__xludf.DUMMYFUNCTION("""COMPUTED_VALUE"""),"O-16757-00")</f>
        <v>O-16757-00</v>
      </c>
      <c r="B359" s="2" t="str">
        <f>IFERROR(__xludf.DUMMYFUNCTION("""COMPUTED_VALUE"""),"Capping VCM200 - Coupling CPJ30-BL-10-10")</f>
        <v>Capping VCM200 - Coupling CPJ30-BL-10-10</v>
      </c>
      <c r="C359" s="2" t="str">
        <f>IFERROR(__xludf.DUMMYFUNCTION("""COMPUTED_VALUE"""),"O-16757-00")</f>
        <v>O-16757-00</v>
      </c>
      <c r="D359" s="2" t="str">
        <f>if(isna(vlookup(C359,'On Hand'!A:C,3,0)),"",vlookup(C359,'On Hand'!A:C,3,0))</f>
        <v>pc</v>
      </c>
    </row>
    <row r="360">
      <c r="A360" s="2" t="str">
        <f>IFERROR(__xludf.DUMMYFUNCTION("""COMPUTED_VALUE"""),"O-16770-00")</f>
        <v>O-16770-00</v>
      </c>
      <c r="B360" s="2" t="str">
        <f>IFERROR(__xludf.DUMMYFUNCTION("""COMPUTED_VALUE"""),"Oring Silicone Merah 30.3 x 27.2 x 1.75 mm")</f>
        <v>Oring Silicone Merah 30.3 x 27.2 x 1.75 mm</v>
      </c>
      <c r="C360" s="2" t="str">
        <f>IFERROR(__xludf.DUMMYFUNCTION("""COMPUTED_VALUE"""),"O-16770-00")</f>
        <v>O-16770-00</v>
      </c>
      <c r="D360" s="2" t="str">
        <f>if(isna(vlookup(C360,'On Hand'!A:C,3,0)),"",vlookup(C360,'On Hand'!A:C,3,0))</f>
        <v/>
      </c>
    </row>
    <row r="361">
      <c r="A361" s="2" t="str">
        <f>IFERROR(__xludf.DUMMYFUNCTION("""COMPUTED_VALUE"""),"O-16771-00")</f>
        <v>O-16771-00</v>
      </c>
      <c r="B361" s="2" t="str">
        <f>IFERROR(__xludf.DUMMYFUNCTION("""COMPUTED_VALUE"""),"Oring Silicone Merah 19 x 15.5 x 1.75 mm")</f>
        <v>Oring Silicone Merah 19 x 15.5 x 1.75 mm</v>
      </c>
      <c r="C361" s="2" t="str">
        <f>IFERROR(__xludf.DUMMYFUNCTION("""COMPUTED_VALUE"""),"O-16771-00")</f>
        <v>O-16771-00</v>
      </c>
      <c r="D361" s="2" t="str">
        <f>if(isna(vlookup(C361,'On Hand'!A:C,3,0)),"",vlookup(C361,'On Hand'!A:C,3,0))</f>
        <v>pc</v>
      </c>
    </row>
    <row r="362">
      <c r="A362" s="2" t="str">
        <f>IFERROR(__xludf.DUMMYFUNCTION("""COMPUTED_VALUE"""),"O-16772-00")</f>
        <v>O-16772-00</v>
      </c>
      <c r="B362" s="2" t="str">
        <f>IFERROR(__xludf.DUMMYFUNCTION("""COMPUTED_VALUE"""),"Oring Silicone Merah 40.5 x 37.5 x 1.5 mm; ; ;")</f>
        <v>Oring Silicone Merah 40.5 x 37.5 x 1.5 mm; ; ;</v>
      </c>
      <c r="C362" s="2" t="str">
        <f>IFERROR(__xludf.DUMMYFUNCTION("""COMPUTED_VALUE"""),"O-16772-00")</f>
        <v>O-16772-00</v>
      </c>
      <c r="D362" s="2" t="str">
        <f>if(isna(vlookup(C362,'On Hand'!A:C,3,0)),"",vlookup(C362,'On Hand'!A:C,3,0))</f>
        <v>pc</v>
      </c>
    </row>
    <row r="363">
      <c r="A363" s="2" t="str">
        <f>IFERROR(__xludf.DUMMYFUNCTION("""COMPUTED_VALUE"""),"O-16793-00")</f>
        <v>O-16793-00</v>
      </c>
      <c r="B363" s="2" t="str">
        <f>IFERROR(__xludf.DUMMYFUNCTION("""COMPUTED_VALUE"""),"Capping VCM200 - Gear Material Pom Hitam")</f>
        <v>Capping VCM200 - Gear Material Pom Hitam</v>
      </c>
      <c r="C363" s="2" t="str">
        <f>IFERROR(__xludf.DUMMYFUNCTION("""COMPUTED_VALUE"""),"O-16793-00")</f>
        <v>O-16793-00</v>
      </c>
      <c r="D363" s="2" t="str">
        <f>if(isna(vlookup(C363,'On Hand'!A:C,3,0)),"",vlookup(C363,'On Hand'!A:C,3,0))</f>
        <v/>
      </c>
    </row>
    <row r="364">
      <c r="A364" s="2" t="str">
        <f>IFERROR(__xludf.DUMMYFUNCTION("""COMPUTED_VALUE"""),"O-16798-00")</f>
        <v>O-16798-00</v>
      </c>
      <c r="B364" s="2" t="str">
        <f>IFERROR(__xludf.DUMMYFUNCTION("""COMPUTED_VALUE"""),"SMC - Tubing Anti Static TAU1065B-20")</f>
        <v>SMC - Tubing Anti Static TAU1065B-20</v>
      </c>
      <c r="C364" s="2" t="str">
        <f>IFERROR(__xludf.DUMMYFUNCTION("""COMPUTED_VALUE"""),"O-16798-00")</f>
        <v>O-16798-00</v>
      </c>
      <c r="D364" s="2" t="str">
        <f>if(isna(vlookup(C364,'On Hand'!A:C,3,0)),"",vlookup(C364,'On Hand'!A:C,3,0))</f>
        <v/>
      </c>
    </row>
    <row r="365">
      <c r="A365" s="2" t="str">
        <f>IFERROR(__xludf.DUMMYFUNCTION("""COMPUTED_VALUE"""),"O-16826-00")</f>
        <v>O-16826-00</v>
      </c>
      <c r="B365" s="2" t="str">
        <f>IFERROR(__xludf.DUMMYFUNCTION("""COMPUTED_VALUE"""),"DEMISTER, part number 402; ; ;")</f>
        <v>DEMISTER, part number 402; ; ;</v>
      </c>
      <c r="C365" s="2" t="str">
        <f>IFERROR(__xludf.DUMMYFUNCTION("""COMPUTED_VALUE"""),"O-16826-00")</f>
        <v>O-16826-00</v>
      </c>
      <c r="D365" s="2" t="str">
        <f>if(isna(vlookup(C365,'On Hand'!A:C,3,0)),"",vlookup(C365,'On Hand'!A:C,3,0))</f>
        <v/>
      </c>
    </row>
    <row r="366">
      <c r="A366" s="2" t="str">
        <f>IFERROR(__xludf.DUMMYFUNCTION("""COMPUTED_VALUE"""),"O-16827-00")</f>
        <v>O-16827-00</v>
      </c>
      <c r="B366" s="2" t="str">
        <f>IFERROR(__xludf.DUMMYFUNCTION("""COMPUTED_VALUE"""),"Gasket Oil Separator Part No. 401")</f>
        <v>Gasket Oil Separator Part No. 401</v>
      </c>
      <c r="C366" s="2" t="str">
        <f>IFERROR(__xludf.DUMMYFUNCTION("""COMPUTED_VALUE"""),"O-16827-00")</f>
        <v>O-16827-00</v>
      </c>
      <c r="D366" s="2" t="str">
        <f>if(isna(vlookup(C366,'On Hand'!A:C,3,0)),"",vlookup(C366,'On Hand'!A:C,3,0))</f>
        <v/>
      </c>
    </row>
    <row r="367">
      <c r="A367" s="2" t="str">
        <f>IFERROR(__xludf.DUMMYFUNCTION("""COMPUTED_VALUE"""),"O-16885-00")</f>
        <v>O-16885-00</v>
      </c>
      <c r="B367" s="2" t="str">
        <f>IFERROR(__xludf.DUMMYFUNCTION("""COMPUTED_VALUE"""),"Clamp Hose Alumunium Ferrule 1 inch EN14425-3")</f>
        <v>Clamp Hose Alumunium Ferrule 1 inch EN14425-3</v>
      </c>
      <c r="C367" s="2" t="str">
        <f>IFERROR(__xludf.DUMMYFUNCTION("""COMPUTED_VALUE"""),"O-16885-00")</f>
        <v>O-16885-00</v>
      </c>
      <c r="D367" s="2" t="str">
        <f>if(isna(vlookup(C367,'On Hand'!A:C,3,0)),"",vlookup(C367,'On Hand'!A:C,3,0))</f>
        <v/>
      </c>
    </row>
    <row r="368">
      <c r="A368" s="2" t="str">
        <f>IFERROR(__xludf.DUMMYFUNCTION("""COMPUTED_VALUE"""),"O-16886-00")</f>
        <v>O-16886-00</v>
      </c>
      <c r="B368" s="2" t="str">
        <f>IFERROR(__xludf.DUMMYFUNCTION("""COMPUTED_VALUE"""),"Clamp Hose Alumunium Ferrule 3/4 inch EN14420-3")</f>
        <v>Clamp Hose Alumunium Ferrule 3/4 inch EN14420-3</v>
      </c>
      <c r="C368" s="2" t="str">
        <f>IFERROR(__xludf.DUMMYFUNCTION("""COMPUTED_VALUE"""),"O-16886-00")</f>
        <v>O-16886-00</v>
      </c>
      <c r="D368" s="2" t="str">
        <f>if(isna(vlookup(C368,'On Hand'!A:C,3,0)),"",vlookup(C368,'On Hand'!A:C,3,0))</f>
        <v>pc</v>
      </c>
    </row>
    <row r="369">
      <c r="A369" s="2" t="str">
        <f>IFERROR(__xludf.DUMMYFUNCTION("""COMPUTED_VALUE"""),"O-16922-00")</f>
        <v>O-16922-00</v>
      </c>
      <c r="B369" s="2" t="str">
        <f>IFERROR(__xludf.DUMMYFUNCTION("""COMPUTED_VALUE"""),"Marchesini MA155-P/N. 018090090 Shaft; ; ;")</f>
        <v>Marchesini MA155-P/N. 018090090 Shaft; ; ;</v>
      </c>
      <c r="C369" s="2" t="str">
        <f>IFERROR(__xludf.DUMMYFUNCTION("""COMPUTED_VALUE"""),"O-16922-00")</f>
        <v>O-16922-00</v>
      </c>
      <c r="D369" s="2" t="str">
        <f>if(isna(vlookup(C369,'On Hand'!A:C,3,0)),"",vlookup(C369,'On Hand'!A:C,3,0))</f>
        <v/>
      </c>
    </row>
    <row r="370">
      <c r="A370" s="2" t="str">
        <f>IFERROR(__xludf.DUMMYFUNCTION("""COMPUTED_VALUE"""),"O-16943-00")</f>
        <v>O-16943-00</v>
      </c>
      <c r="B370" s="2" t="str">
        <f>IFERROR(__xludf.DUMMYFUNCTION("""COMPUTED_VALUE"""),"Tunnel ST1L - Potentiometer Model 10K 3turns P/n: 3757; ; ;")</f>
        <v>Tunnel ST1L - Potentiometer Model 10K 3turns P/n: 3757; ; ;</v>
      </c>
      <c r="C370" s="2" t="str">
        <f>IFERROR(__xludf.DUMMYFUNCTION("""COMPUTED_VALUE"""),"O-16943-00")</f>
        <v>O-16943-00</v>
      </c>
      <c r="D370" s="2" t="str">
        <f>if(isna(vlookup(C370,'On Hand'!A:C,3,0)),"",vlookup(C370,'On Hand'!A:C,3,0))</f>
        <v>pc</v>
      </c>
    </row>
    <row r="371">
      <c r="A371" s="2" t="str">
        <f>IFERROR(__xludf.DUMMYFUNCTION("""COMPUTED_VALUE"""),"O-16949-00")</f>
        <v>O-16949-00</v>
      </c>
      <c r="B371" s="2" t="str">
        <f>IFERROR(__xludf.DUMMYFUNCTION("""COMPUTED_VALUE"""),"Hepa Filter - H14 ( 99.999% ) size: 457x305x150")</f>
        <v>Hepa Filter - H14 ( 99.999% ) size: 457x305x150</v>
      </c>
      <c r="C371" s="2" t="str">
        <f>IFERROR(__xludf.DUMMYFUNCTION("""COMPUTED_VALUE"""),"O-16949-00")</f>
        <v>O-16949-00</v>
      </c>
      <c r="D371" s="2" t="str">
        <f>if(isna(vlookup(C371,'On Hand'!A:C,3,0)),"",vlookup(C371,'On Hand'!A:C,3,0))</f>
        <v>pc</v>
      </c>
    </row>
    <row r="372">
      <c r="A372" s="2" t="str">
        <f>IFERROR(__xludf.DUMMYFUNCTION("""COMPUTED_VALUE"""),"O-16958-00")</f>
        <v>O-16958-00</v>
      </c>
      <c r="B372" s="2" t="str">
        <f>IFERROR(__xludf.DUMMYFUNCTION("""COMPUTED_VALUE"""),"Marchesini MA155 - Kit Filter Saturn Melter 100 Mesh P/n: 1028305")</f>
        <v>Marchesini MA155 - Kit Filter Saturn Melter 100 Mesh P/n: 1028305</v>
      </c>
      <c r="C372" s="2" t="str">
        <f>IFERROR(__xludf.DUMMYFUNCTION("""COMPUTED_VALUE"""),"O-16958-00")</f>
        <v>O-16958-00</v>
      </c>
      <c r="D372" s="2" t="str">
        <f>if(isna(vlookup(C372,'On Hand'!A:C,3,0)),"",vlookup(C372,'On Hand'!A:C,3,0))</f>
        <v/>
      </c>
    </row>
    <row r="373">
      <c r="A373" s="2" t="str">
        <f>IFERROR(__xludf.DUMMYFUNCTION("""COMPUTED_VALUE"""),"O-16959-00")</f>
        <v>O-16959-00</v>
      </c>
      <c r="B373" s="2" t="str">
        <f>IFERROR(__xludf.DUMMYFUNCTION("""COMPUTED_VALUE"""),"Marchesini MA155 - Kit Filter 200 Mesh Saturn M14 P/n: 1045520")</f>
        <v>Marchesini MA155 - Kit Filter 200 Mesh Saturn M14 P/n: 1045520</v>
      </c>
      <c r="C373" s="2" t="str">
        <f>IFERROR(__xludf.DUMMYFUNCTION("""COMPUTED_VALUE"""),"O-16959-00")</f>
        <v>O-16959-00</v>
      </c>
      <c r="D373" s="2" t="str">
        <f>if(isna(vlookup(C373,'On Hand'!A:C,3,0)),"",vlookup(C373,'On Hand'!A:C,3,0))</f>
        <v/>
      </c>
    </row>
    <row r="374">
      <c r="A374" s="2" t="str">
        <f>IFERROR(__xludf.DUMMYFUNCTION("""COMPUTED_VALUE"""),"O-16960-00")</f>
        <v>O-16960-00</v>
      </c>
      <c r="B374" s="2" t="str">
        <f>IFERROR(__xludf.DUMMYFUNCTION("""COMPUTED_VALUE"""),"Marchesini MA155 - Green HMP Liquid 5 liter P/n: 90090104")</f>
        <v>Marchesini MA155 - Green HMP Liquid 5 liter P/n: 90090104</v>
      </c>
      <c r="C374" s="2" t="str">
        <f>IFERROR(__xludf.DUMMYFUNCTION("""COMPUTED_VALUE"""),"O-16960-00")</f>
        <v>O-16960-00</v>
      </c>
      <c r="D374" s="2" t="str">
        <f>if(isna(vlookup(C374,'On Hand'!A:C,3,0)),"",vlookup(C374,'On Hand'!A:C,3,0))</f>
        <v/>
      </c>
    </row>
    <row r="375">
      <c r="A375" s="2" t="str">
        <f>IFERROR(__xludf.DUMMYFUNCTION("""COMPUTED_VALUE"""),"O-16961-00")</f>
        <v>O-16961-00</v>
      </c>
      <c r="B375" s="2" t="str">
        <f>IFERROR(__xludf.DUMMYFUNCTION("""COMPUTED_VALUE"""),"FESTO - CRQS-1/8-6 p/n 162862")</f>
        <v>FESTO - CRQS-1/8-6 p/n 162862</v>
      </c>
      <c r="C375" s="2" t="str">
        <f>IFERROR(__xludf.DUMMYFUNCTION("""COMPUTED_VALUE"""),"O-16961-00")</f>
        <v>O-16961-00</v>
      </c>
      <c r="D375" s="2" t="str">
        <f>if(isna(vlookup(C375,'On Hand'!A:C,3,0)),"",vlookup(C375,'On Hand'!A:C,3,0))</f>
        <v>pc</v>
      </c>
    </row>
    <row r="376">
      <c r="A376" s="2" t="str">
        <f>IFERROR(__xludf.DUMMYFUNCTION("""COMPUTED_VALUE"""),"O-16979-00")</f>
        <v>O-16979-00</v>
      </c>
      <c r="B376" s="2" t="str">
        <f>IFERROR(__xludf.DUMMYFUNCTION("""COMPUTED_VALUE"""),"Freeze Dryer MBE1207 - Thermostatic Cooling Water AVTA15 Danfoss")</f>
        <v>Freeze Dryer MBE1207 - Thermostatic Cooling Water AVTA15 Danfoss</v>
      </c>
      <c r="C376" s="2" t="str">
        <f>IFERROR(__xludf.DUMMYFUNCTION("""COMPUTED_VALUE"""),"O-16979-00")</f>
        <v>O-16979-00</v>
      </c>
      <c r="D376" s="2" t="str">
        <f>if(isna(vlookup(C376,'On Hand'!A:C,3,0)),"",vlookup(C376,'On Hand'!A:C,3,0))</f>
        <v/>
      </c>
    </row>
    <row r="377">
      <c r="A377" s="2" t="str">
        <f>IFERROR(__xludf.DUMMYFUNCTION("""COMPUTED_VALUE"""),"O-16980-00")</f>
        <v>O-16980-00</v>
      </c>
      <c r="B377" s="2" t="str">
        <f>IFERROR(__xludf.DUMMYFUNCTION("""COMPUTED_VALUE"""),"General - Diaphragm 40 mm ER Grade EPDM; Saunders; DA040ER M4; 1 Pc")</f>
        <v>General - Diaphragm 40 mm ER Grade EPDM; Saunders; DA040ER M4; 1 Pc</v>
      </c>
      <c r="C377" s="2" t="str">
        <f>IFERROR(__xludf.DUMMYFUNCTION("""COMPUTED_VALUE"""),"O-16980-00")</f>
        <v>O-16980-00</v>
      </c>
      <c r="D377" s="2" t="str">
        <f>if(isna(vlookup(C377,'On Hand'!A:C,3,0)),"",vlookup(C377,'On Hand'!A:C,3,0))</f>
        <v>pc</v>
      </c>
    </row>
    <row r="378">
      <c r="A378" s="2" t="str">
        <f>IFERROR(__xludf.DUMMYFUNCTION("""COMPUTED_VALUE"""),"O-16980-00")</f>
        <v>O-16980-00</v>
      </c>
      <c r="B378" s="2" t="str">
        <f>IFERROR(__xludf.DUMMYFUNCTION("""COMPUTED_VALUE"""),"General - Diaphragm 40 mm ER Grade EPDM; Saunders; DA040ER M4; 1 Pc")</f>
        <v>General - Diaphragm 40 mm ER Grade EPDM; Saunders; DA040ER M4; 1 Pc</v>
      </c>
      <c r="C378" s="2" t="str">
        <f>IFERROR(__xludf.DUMMYFUNCTION("""COMPUTED_VALUE"""),"O-16980-00")</f>
        <v>O-16980-00</v>
      </c>
      <c r="D378" s="2" t="str">
        <f>if(isna(vlookup(C378,'On Hand'!A:C,3,0)),"",vlookup(C378,'On Hand'!A:C,3,0))</f>
        <v>pc</v>
      </c>
    </row>
    <row r="379">
      <c r="A379" s="2" t="str">
        <f>IFERROR(__xludf.DUMMYFUNCTION("""COMPUTED_VALUE"""),"O-16981-00")</f>
        <v>O-16981-00</v>
      </c>
      <c r="B379" s="2" t="str">
        <f>IFERROR(__xludf.DUMMYFUNCTION("""COMPUTED_VALUE"""),"General - Diaphragm 25 mm ER Grade EPDM; Saunders; DA025ER M4; 1 Pc")</f>
        <v>General - Diaphragm 25 mm ER Grade EPDM; Saunders; DA025ER M4; 1 Pc</v>
      </c>
      <c r="C379" s="2" t="str">
        <f>IFERROR(__xludf.DUMMYFUNCTION("""COMPUTED_VALUE"""),"O-16981-00")</f>
        <v>O-16981-00</v>
      </c>
      <c r="D379" s="2" t="str">
        <f>if(isna(vlookup(C379,'On Hand'!A:C,3,0)),"",vlookup(C379,'On Hand'!A:C,3,0))</f>
        <v>pc</v>
      </c>
    </row>
    <row r="380">
      <c r="A380" s="2" t="str">
        <f>IFERROR(__xludf.DUMMYFUNCTION("""COMPUTED_VALUE"""),"O-16981-00")</f>
        <v>O-16981-00</v>
      </c>
      <c r="B380" s="2" t="str">
        <f>IFERROR(__xludf.DUMMYFUNCTION("""COMPUTED_VALUE"""),"General - Diaphragm 25 mm ER Grade EPDM; Saunders; DA025ER M4; 1 Pc")</f>
        <v>General - Diaphragm 25 mm ER Grade EPDM; Saunders; DA025ER M4; 1 Pc</v>
      </c>
      <c r="C380" s="2" t="str">
        <f>IFERROR(__xludf.DUMMYFUNCTION("""COMPUTED_VALUE"""),"O-16981-00")</f>
        <v>O-16981-00</v>
      </c>
      <c r="D380" s="2" t="str">
        <f>if(isna(vlookup(C380,'On Hand'!A:C,3,0)),"",vlookup(C380,'On Hand'!A:C,3,0))</f>
        <v>pc</v>
      </c>
    </row>
    <row r="381">
      <c r="A381" s="2" t="str">
        <f>IFERROR(__xludf.DUMMYFUNCTION("""COMPUTED_VALUE"""),"O-16982-00")</f>
        <v>O-16982-00</v>
      </c>
      <c r="B381" s="2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1" s="2" t="str">
        <f>IFERROR(__xludf.DUMMYFUNCTION("""COMPUTED_VALUE"""),"O-16982-00")</f>
        <v>O-16982-00</v>
      </c>
      <c r="D381" s="2" t="str">
        <f>if(isna(vlookup(C381,'On Hand'!A:C,3,0)),"",vlookup(C381,'On Hand'!A:C,3,0))</f>
        <v/>
      </c>
    </row>
    <row r="382">
      <c r="A382" s="2" t="str">
        <f>IFERROR(__xludf.DUMMYFUNCTION("""COMPUTED_VALUE"""),"O-16984-00")</f>
        <v>O-16984-00</v>
      </c>
      <c r="B382" s="2" t="str">
        <f>IFERROR(__xludf.DUMMYFUNCTION("""COMPUTED_VALUE"""),"Freeze Dryer MBE1207 - Butterfly Valve SS316 DN65 P/n: EB14-00067 BRAY; ; ;")</f>
        <v>Freeze Dryer MBE1207 - Butterfly Valve SS316 DN65 P/n: EB14-00067 BRAY; ; ;</v>
      </c>
      <c r="C382" s="2" t="str">
        <f>IFERROR(__xludf.DUMMYFUNCTION("""COMPUTED_VALUE"""),"O-16984-00")</f>
        <v>O-16984-00</v>
      </c>
      <c r="D382" s="2" t="str">
        <f>if(isna(vlookup(C382,'On Hand'!A:C,3,0)),"",vlookup(C382,'On Hand'!A:C,3,0))</f>
        <v>pc</v>
      </c>
    </row>
    <row r="383">
      <c r="A383" s="2" t="str">
        <f>IFERROR(__xludf.DUMMYFUNCTION("""COMPUTED_VALUE"""),"O-17011-00")</f>
        <v>O-17011-00</v>
      </c>
      <c r="B383" s="2" t="str">
        <f>IFERROR(__xludf.DUMMYFUNCTION("""COMPUTED_VALUE"""),"Parallel Keys MISUMI P/N : KET3 pc")</f>
        <v>Parallel Keys MISUMI P/N : KET3 pc</v>
      </c>
      <c r="C383" s="2" t="str">
        <f>IFERROR(__xludf.DUMMYFUNCTION("""COMPUTED_VALUE"""),"O-17011-00")</f>
        <v>O-17011-00</v>
      </c>
      <c r="D383" s="2" t="str">
        <f>if(isna(vlookup(C383,'On Hand'!A:C,3,0)),"",vlookup(C383,'On Hand'!A:C,3,0))</f>
        <v>pc</v>
      </c>
    </row>
    <row r="384">
      <c r="A384" s="2" t="str">
        <f>IFERROR(__xludf.DUMMYFUNCTION("""COMPUTED_VALUE"""),"O-17030-00")</f>
        <v>O-17030-00</v>
      </c>
      <c r="B384" s="2" t="str">
        <f>IFERROR(__xludf.DUMMYFUNCTION("""COMPUTED_VALUE"""),"cRABS Z064CR -  Treaded Three Port Seat Valve VOBG320 3/4inch G")</f>
        <v>cRABS Z064CR -  Treaded Three Port Seat Valve VOBG320 3/4inch G</v>
      </c>
      <c r="C384" s="2" t="str">
        <f>IFERROR(__xludf.DUMMYFUNCTION("""COMPUTED_VALUE"""),"O-17030-00")</f>
        <v>O-17030-00</v>
      </c>
      <c r="D384" s="2" t="str">
        <f>if(isna(vlookup(C384,'On Hand'!A:C,3,0)),"",vlookup(C384,'On Hand'!A:C,3,0))</f>
        <v/>
      </c>
    </row>
    <row r="385">
      <c r="A385" s="2" t="str">
        <f>IFERROR(__xludf.DUMMYFUNCTION("""COMPUTED_VALUE"""),"O-17067-00")</f>
        <v>O-17067-00</v>
      </c>
      <c r="B385" s="2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5" s="2" t="str">
        <f>IFERROR(__xludf.DUMMYFUNCTION("""COMPUTED_VALUE"""),"O-17067-00")</f>
        <v>O-17067-00</v>
      </c>
      <c r="D385" s="2" t="str">
        <f>if(isna(vlookup(C385,'On Hand'!A:C,3,0)),"",vlookup(C385,'On Hand'!A:C,3,0))</f>
        <v/>
      </c>
    </row>
    <row r="386">
      <c r="A386" s="2" t="str">
        <f>IFERROR(__xludf.DUMMYFUNCTION("""COMPUTED_VALUE"""),"O-17068-00")</f>
        <v>O-17068-00</v>
      </c>
      <c r="B386" s="2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6" s="2" t="str">
        <f>IFERROR(__xludf.DUMMYFUNCTION("""COMPUTED_VALUE"""),"O-17068-00")</f>
        <v>O-17068-00</v>
      </c>
      <c r="D386" s="2" t="str">
        <f>if(isna(vlookup(C386,'On Hand'!A:C,3,0)),"",vlookup(C386,'On Hand'!A:C,3,0))</f>
        <v>pc</v>
      </c>
    </row>
    <row r="387">
      <c r="A387" s="2" t="str">
        <f>IFERROR(__xludf.DUMMYFUNCTION("""COMPUTED_VALUE"""),"O-17069-00")</f>
        <v>O-17069-00</v>
      </c>
      <c r="B387" s="2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7" s="2" t="str">
        <f>IFERROR(__xludf.DUMMYFUNCTION("""COMPUTED_VALUE"""),"O-17069-00")</f>
        <v>O-17069-00</v>
      </c>
      <c r="D387" s="2" t="str">
        <f>if(isna(vlookup(C387,'On Hand'!A:C,3,0)),"",vlookup(C387,'On Hand'!A:C,3,0))</f>
        <v>pc</v>
      </c>
    </row>
    <row r="388">
      <c r="A388" s="2" t="str">
        <f>IFERROR(__xludf.DUMMYFUNCTION("""COMPUTED_VALUE"""),"O-17070-00")</f>
        <v>O-17070-00</v>
      </c>
      <c r="B388" s="2" t="str">
        <f>IFERROR(__xludf.DUMMYFUNCTION("""COMPUTED_VALUE"""),"Washing RAR4 - Pincers Jaws for Vial 50mL")</f>
        <v>Washing RAR4 - Pincers Jaws for Vial 50mL</v>
      </c>
      <c r="C388" s="2" t="str">
        <f>IFERROR(__xludf.DUMMYFUNCTION("""COMPUTED_VALUE"""),"O-17070-00")</f>
        <v>O-17070-00</v>
      </c>
      <c r="D388" s="2" t="str">
        <f>if(isna(vlookup(C388,'On Hand'!A:C,3,0)),"",vlookup(C388,'On Hand'!A:C,3,0))</f>
        <v>pc</v>
      </c>
    </row>
    <row r="389">
      <c r="A389" s="2" t="str">
        <f>IFERROR(__xludf.DUMMYFUNCTION("""COMPUTED_VALUE"""),"O-17071-00")</f>
        <v>O-17071-00</v>
      </c>
      <c r="B389" s="2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89" s="2" t="str">
        <f>IFERROR(__xludf.DUMMYFUNCTION("""COMPUTED_VALUE"""),"O-17071-00")</f>
        <v>O-17071-00</v>
      </c>
      <c r="D389" s="2" t="str">
        <f>if(isna(vlookup(C389,'On Hand'!A:C,3,0)),"",vlookup(C389,'On Hand'!A:C,3,0))</f>
        <v>pc</v>
      </c>
    </row>
    <row r="390">
      <c r="A390" s="2" t="str">
        <f>IFERROR(__xludf.DUMMYFUNCTION("""COMPUTED_VALUE"""),"O-17072-00")</f>
        <v>O-17072-00</v>
      </c>
      <c r="B390" s="2" t="str">
        <f>IFERROR(__xludf.DUMMYFUNCTION("""COMPUTED_VALUE"""),"Capping VCM200 - Washer for Capping Rotating Plate P/n: 307842; ; ;")</f>
        <v>Capping VCM200 - Washer for Capping Rotating Plate P/n: 307842; ; ;</v>
      </c>
      <c r="C390" s="2" t="str">
        <f>IFERROR(__xludf.DUMMYFUNCTION("""COMPUTED_VALUE"""),"O-17072-00")</f>
        <v>O-17072-00</v>
      </c>
      <c r="D390" s="2" t="str">
        <f>if(isna(vlookup(C390,'On Hand'!A:C,3,0)),"",vlookup(C390,'On Hand'!A:C,3,0))</f>
        <v/>
      </c>
    </row>
    <row r="391">
      <c r="A391" s="2" t="str">
        <f>IFERROR(__xludf.DUMMYFUNCTION("""COMPUTED_VALUE"""),"O-17073-00")</f>
        <v>O-17073-00</v>
      </c>
      <c r="B391" s="2" t="str">
        <f>IFERROR(__xludf.DUMMYFUNCTION("""COMPUTED_VALUE"""),"Capping VCM200 - Plate HARRISA CIPTARINDO ENGINEERING, CV. P/N : 307790 pc")</f>
        <v>Capping VCM200 - Plate HARRISA CIPTARINDO ENGINEERING, CV. P/N : 307790 pc</v>
      </c>
      <c r="C391" s="2" t="str">
        <f>IFERROR(__xludf.DUMMYFUNCTION("""COMPUTED_VALUE"""),"O-17073-00")</f>
        <v>O-17073-00</v>
      </c>
      <c r="D391" s="2" t="str">
        <f>if(isna(vlookup(C391,'On Hand'!A:C,3,0)),"",vlookup(C391,'On Hand'!A:C,3,0))</f>
        <v>pc</v>
      </c>
    </row>
    <row r="392">
      <c r="A392" s="2" t="str">
        <f>IFERROR(__xludf.DUMMYFUNCTION("""COMPUTED_VALUE"""),"O-17129-00")</f>
        <v>O-17129-00</v>
      </c>
      <c r="B392" s="2" t="str">
        <f>IFERROR(__xludf.DUMMYFUNCTION("""COMPUTED_VALUE"""),"IMA CLU EK2046  Welded Bellow For Unloading Pusher 316L ST100*65")</f>
        <v>IMA CLU EK2046  Welded Bellow For Unloading Pusher 316L ST100*65</v>
      </c>
      <c r="C392" s="2" t="str">
        <f>IFERROR(__xludf.DUMMYFUNCTION("""COMPUTED_VALUE"""),"O-17129-00")</f>
        <v>O-17129-00</v>
      </c>
      <c r="D392" s="2" t="str">
        <f>if(isna(vlookup(C392,'On Hand'!A:C,3,0)),"",vlookup(C392,'On Hand'!A:C,3,0))</f>
        <v/>
      </c>
    </row>
    <row r="393">
      <c r="A393" s="2" t="str">
        <f>IFERROR(__xludf.DUMMYFUNCTION("""COMPUTED_VALUE"""),"O-17209-00")</f>
        <v>O-17209-00</v>
      </c>
      <c r="B393" s="2" t="str">
        <f>IFERROR(__xludf.DUMMYFUNCTION("""COMPUTED_VALUE"""),"Oring Silicone Merah 20 x 15.5 x 2 mm")</f>
        <v>Oring Silicone Merah 20 x 15.5 x 2 mm</v>
      </c>
      <c r="C393" s="2" t="str">
        <f>IFERROR(__xludf.DUMMYFUNCTION("""COMPUTED_VALUE"""),"O-17209-00")</f>
        <v>O-17209-00</v>
      </c>
      <c r="D393" s="2" t="str">
        <f>if(isna(vlookup(C393,'On Hand'!A:C,3,0)),"",vlookup(C393,'On Hand'!A:C,3,0))</f>
        <v>pc</v>
      </c>
    </row>
    <row r="394">
      <c r="A394" s="2" t="str">
        <f>IFERROR(__xludf.DUMMYFUNCTION("""COMPUTED_VALUE"""),"O-17242-00")</f>
        <v>O-17242-00</v>
      </c>
      <c r="B394" s="2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4" s="2" t="str">
        <f>IFERROR(__xludf.DUMMYFUNCTION("""COMPUTED_VALUE"""),"O-17242-00")</f>
        <v>O-17242-00</v>
      </c>
      <c r="D394" s="2" t="str">
        <f>if(isna(vlookup(C394,'On Hand'!A:C,3,0)),"",vlookup(C394,'On Hand'!A:C,3,0))</f>
        <v>pc</v>
      </c>
    </row>
    <row r="395">
      <c r="A395" s="2" t="str">
        <f>IFERROR(__xludf.DUMMYFUNCTION("""COMPUTED_VALUE"""),"O-17243-00")</f>
        <v>O-17243-00</v>
      </c>
      <c r="B395" s="2" t="str">
        <f>IFERROR(__xludf.DUMMYFUNCTION("""COMPUTED_VALUE"""),"Selang Flexible Vaccum 40 mm")</f>
        <v>Selang Flexible Vaccum 40 mm</v>
      </c>
      <c r="C395" s="2" t="str">
        <f>IFERROR(__xludf.DUMMYFUNCTION("""COMPUTED_VALUE"""),"O-17243-00")</f>
        <v>O-17243-00</v>
      </c>
      <c r="D395" s="2" t="str">
        <f>if(isna(vlookup(C395,'On Hand'!A:C,3,0)),"",vlookup(C395,'On Hand'!A:C,3,0))</f>
        <v/>
      </c>
    </row>
    <row r="396">
      <c r="A396" s="2" t="str">
        <f>IFERROR(__xludf.DUMMYFUNCTION("""COMPUTED_VALUE"""),"O-17279-00")</f>
        <v>O-17279-00</v>
      </c>
      <c r="B396" s="2" t="str">
        <f>IFERROR(__xludf.DUMMYFUNCTION("""COMPUTED_VALUE"""),"Compact Cylinder ADVULQ-20-110-P-A Festo P/n: 156102")</f>
        <v>Compact Cylinder ADVULQ-20-110-P-A Festo P/n: 156102</v>
      </c>
      <c r="C396" s="2" t="str">
        <f>IFERROR(__xludf.DUMMYFUNCTION("""COMPUTED_VALUE"""),"O-17279-00")</f>
        <v>O-17279-00</v>
      </c>
      <c r="D396" s="2" t="str">
        <f>if(isna(vlookup(C396,'On Hand'!A:C,3,0)),"",vlookup(C396,'On Hand'!A:C,3,0))</f>
        <v/>
      </c>
    </row>
    <row r="397">
      <c r="A397" s="2" t="str">
        <f>IFERROR(__xludf.DUMMYFUNCTION("""COMPUTED_VALUE"""),"O-17285-00")</f>
        <v>O-17285-00</v>
      </c>
      <c r="B397" s="2" t="str">
        <f>IFERROR(__xludf.DUMMYFUNCTION("""COMPUTED_VALUE"""),"Freeze Dryer MBE1207 - Main Valve Bellow SUS316L ST105*75; ; ;")</f>
        <v>Freeze Dryer MBE1207 - Main Valve Bellow SUS316L ST105*75; ; ;</v>
      </c>
      <c r="C397" s="2" t="str">
        <f>IFERROR(__xludf.DUMMYFUNCTION("""COMPUTED_VALUE"""),"O-17285-00")</f>
        <v>O-17285-00</v>
      </c>
      <c r="D397" s="2" t="str">
        <f>if(isna(vlookup(C397,'On Hand'!A:C,3,0)),"",vlookup(C397,'On Hand'!A:C,3,0))</f>
        <v>unt</v>
      </c>
    </row>
    <row r="398">
      <c r="A398" s="2" t="str">
        <f>IFERROR(__xludf.DUMMYFUNCTION("""COMPUTED_VALUE"""),"O-17287-00")</f>
        <v>O-17287-00</v>
      </c>
      <c r="B398" s="2" t="str">
        <f>IFERROR(__xludf.DUMMYFUNCTION("""COMPUTED_VALUE"""),"Sleeve and Gloves Y1524-S Port : 7inch Material: CSM Thickness: 0.4mm Piercan")</f>
        <v>Sleeve and Gloves Y1524-S Port : 7inch Material: CSM Thickness: 0.4mm Piercan</v>
      </c>
      <c r="C398" s="2" t="str">
        <f>IFERROR(__xludf.DUMMYFUNCTION("""COMPUTED_VALUE"""),"O-17287-00")</f>
        <v>O-17287-00</v>
      </c>
      <c r="D398" s="2" t="str">
        <f>if(isna(vlookup(C398,'On Hand'!A:C,3,0)),"",vlookup(C398,'On Hand'!A:C,3,0))</f>
        <v/>
      </c>
    </row>
    <row r="399">
      <c r="A399" s="2" t="str">
        <f>IFERROR(__xludf.DUMMYFUNCTION("""COMPUTED_VALUE"""),"O-17313-00")</f>
        <v>O-17313-00</v>
      </c>
      <c r="B399" s="2" t="str">
        <f>IFERROR(__xludf.DUMMYFUNCTION("""COMPUTED_VALUE"""),"Breathing Circuit Filter BB50T PALL")</f>
        <v>Breathing Circuit Filter BB50T PALL</v>
      </c>
      <c r="C399" s="2" t="str">
        <f>IFERROR(__xludf.DUMMYFUNCTION("""COMPUTED_VALUE"""),"O-17313-00")</f>
        <v>O-17313-00</v>
      </c>
      <c r="D399" s="2" t="str">
        <f>if(isna(vlookup(C399,'On Hand'!A:C,3,0)),"",vlookup(C399,'On Hand'!A:C,3,0))</f>
        <v>pc</v>
      </c>
    </row>
    <row r="400">
      <c r="A400" s="2" t="str">
        <f>IFERROR(__xludf.DUMMYFUNCTION("""COMPUTED_VALUE"""),"O-17376-00")</f>
        <v>O-17376-00</v>
      </c>
      <c r="B400" s="2" t="str">
        <f>IFERROR(__xludf.DUMMYFUNCTION("""COMPUTED_VALUE"""),"Autoclave Fedegari FOF / 6 AC - Kit DN22 Valve Mod; p/n: KK000310; ; ;")</f>
        <v>Autoclave Fedegari FOF / 6 AC - Kit DN22 Valve Mod; p/n: KK000310; ; ;</v>
      </c>
      <c r="C400" s="2" t="str">
        <f>IFERROR(__xludf.DUMMYFUNCTION("""COMPUTED_VALUE"""),"O-17376-00")</f>
        <v>O-17376-00</v>
      </c>
      <c r="D400" s="2" t="str">
        <f>if(isna(vlookup(C400,'On Hand'!A:C,3,0)),"",vlookup(C400,'On Hand'!A:C,3,0))</f>
        <v>pc</v>
      </c>
    </row>
    <row r="401">
      <c r="A401" s="2" t="str">
        <f>IFERROR(__xludf.DUMMYFUNCTION("""COMPUTED_VALUE"""),"O-17393-00")</f>
        <v>O-17393-00</v>
      </c>
      <c r="B401" s="2" t="str">
        <f>IFERROR(__xludf.DUMMYFUNCTION("""COMPUTED_VALUE"""),"Autoclave Fedegari FOF / 6 AC - O-Ring 6.02x2.62; p/n. CC150168; ; ;")</f>
        <v>Autoclave Fedegari FOF / 6 AC - O-Ring 6.02x2.62; p/n. CC150168; ; ;</v>
      </c>
      <c r="C401" s="2" t="str">
        <f>IFERROR(__xludf.DUMMYFUNCTION("""COMPUTED_VALUE"""),"O-17393-00")</f>
        <v>O-17393-00</v>
      </c>
      <c r="D401" s="2" t="str">
        <f>if(isna(vlookup(C401,'On Hand'!A:C,3,0)),"",vlookup(C401,'On Hand'!A:C,3,0))</f>
        <v/>
      </c>
    </row>
    <row r="402">
      <c r="A402" s="2" t="str">
        <f>IFERROR(__xludf.DUMMYFUNCTION("""COMPUTED_VALUE"""),"O-17395-00")</f>
        <v>O-17395-00</v>
      </c>
      <c r="B402" s="2" t="str">
        <f>IFERROR(__xludf.DUMMYFUNCTION("""COMPUTED_VALUE"""),"Autoclave Fedegari FOF / 6 AC - O-Ring 10.78x2.62; p/n. CC150169; ; ;")</f>
        <v>Autoclave Fedegari FOF / 6 AC - O-Ring 10.78x2.62; p/n. CC150169; ; ;</v>
      </c>
      <c r="C402" s="2" t="str">
        <f>IFERROR(__xludf.DUMMYFUNCTION("""COMPUTED_VALUE"""),"O-17395-00")</f>
        <v>O-17395-00</v>
      </c>
      <c r="D402" s="2" t="str">
        <f>if(isna(vlookup(C402,'On Hand'!A:C,3,0)),"",vlookup(C402,'On Hand'!A:C,3,0))</f>
        <v/>
      </c>
    </row>
    <row r="403">
      <c r="A403" s="2" t="str">
        <f>IFERROR(__xludf.DUMMYFUNCTION("""COMPUTED_VALUE"""),"O-17399-00")</f>
        <v>O-17399-00</v>
      </c>
      <c r="B403" s="2" t="str">
        <f>IFERROR(__xludf.DUMMYFUNCTION("""COMPUTED_VALUE"""),"Autoclave Fedegari FOF / 6 AC - O-RING21.82x3.53 ; p/n CC150010; ; ;")</f>
        <v>Autoclave Fedegari FOF / 6 AC - O-RING21.82x3.53 ; p/n CC150010; ; ;</v>
      </c>
      <c r="C403" s="2" t="str">
        <f>IFERROR(__xludf.DUMMYFUNCTION("""COMPUTED_VALUE"""),"O-17399-00")</f>
        <v>O-17399-00</v>
      </c>
      <c r="D403" s="2" t="str">
        <f>if(isna(vlookup(C403,'On Hand'!A:C,3,0)),"",vlookup(C403,'On Hand'!A:C,3,0))</f>
        <v>pc</v>
      </c>
    </row>
    <row r="404">
      <c r="A404" s="2" t="str">
        <f>IFERROR(__xludf.DUMMYFUNCTION("""COMPUTED_VALUE"""),"O-17420-00")</f>
        <v>O-17420-00</v>
      </c>
      <c r="B404" s="2" t="str">
        <f>IFERROR(__xludf.DUMMYFUNCTION("""COMPUTED_VALUE"""),"Diaphragm Silicone Platinum Cured NA25/26 NovaSeptic")</f>
        <v>Diaphragm Silicone Platinum Cured NA25/26 NovaSeptic</v>
      </c>
      <c r="C404" s="2" t="str">
        <f>IFERROR(__xludf.DUMMYFUNCTION("""COMPUTED_VALUE"""),"O-17420-00")</f>
        <v>O-17420-00</v>
      </c>
      <c r="D404" s="2" t="str">
        <f>if(isna(vlookup(C404,'On Hand'!A:C,3,0)),"",vlookup(C404,'On Hand'!A:C,3,0))</f>
        <v>pc</v>
      </c>
    </row>
    <row r="405">
      <c r="A405" s="2" t="str">
        <f>IFERROR(__xludf.DUMMYFUNCTION("""COMPUTED_VALUE"""),"O-17534-00")</f>
        <v>O-17534-00</v>
      </c>
      <c r="B405" s="2" t="str">
        <f>IFERROR(__xludf.DUMMYFUNCTION("""COMPUTED_VALUE"""),"Oring Viton 234x5.3 mm; ; ;")</f>
        <v>Oring Viton 234x5.3 mm; ; ;</v>
      </c>
      <c r="C405" s="2" t="str">
        <f>IFERROR(__xludf.DUMMYFUNCTION("""COMPUTED_VALUE"""),"O-17534-00")</f>
        <v>O-17534-00</v>
      </c>
      <c r="D405" s="2" t="str">
        <f>if(isna(vlookup(C405,'On Hand'!A:C,3,0)),"",vlookup(C405,'On Hand'!A:C,3,0))</f>
        <v>pc</v>
      </c>
    </row>
    <row r="406">
      <c r="A406" s="2" t="str">
        <f>IFERROR(__xludf.DUMMYFUNCTION("""COMPUTED_VALUE"""),"O-17535-00")</f>
        <v>O-17535-00</v>
      </c>
      <c r="B406" s="2" t="str">
        <f>IFERROR(__xludf.DUMMYFUNCTION("""COMPUTED_VALUE"""),"Hepa-Filter, Miele PRIMA INSTRUMENT ANALITIKA, PT P/N : 10083920 pc")</f>
        <v>Hepa-Filter, Miele PRIMA INSTRUMENT ANALITIKA, PT P/N : 10083920 pc</v>
      </c>
      <c r="C406" s="2" t="str">
        <f>IFERROR(__xludf.DUMMYFUNCTION("""COMPUTED_VALUE"""),"O-17535-00")</f>
        <v>O-17535-00</v>
      </c>
      <c r="D406" s="2" t="str">
        <f>if(isna(vlookup(C406,'On Hand'!A:C,3,0)),"",vlookup(C406,'On Hand'!A:C,3,0))</f>
        <v>pc</v>
      </c>
    </row>
    <row r="407">
      <c r="A407" s="2" t="str">
        <f>IFERROR(__xludf.DUMMYFUNCTION("""COMPUTED_VALUE"""),"O-17597-00")</f>
        <v>O-17597-00</v>
      </c>
      <c r="B407" s="2" t="str">
        <f>IFERROR(__xludf.DUMMYFUNCTION("""COMPUTED_VALUE"""),"Guide Belt Model : FRB-7701 Hualian")</f>
        <v>Guide Belt Model : FRB-7701 Hualian</v>
      </c>
      <c r="C407" s="2" t="str">
        <f>IFERROR(__xludf.DUMMYFUNCTION("""COMPUTED_VALUE"""),"O-17597-00")</f>
        <v>O-17597-00</v>
      </c>
      <c r="D407" s="2" t="str">
        <f>if(isna(vlookup(C407,'On Hand'!A:C,3,0)),"",vlookup(C407,'On Hand'!A:C,3,0))</f>
        <v/>
      </c>
    </row>
    <row r="408">
      <c r="A408" s="2" t="str">
        <f>IFERROR(__xludf.DUMMYFUNCTION("""COMPUTED_VALUE"""),"O-17640-00")</f>
        <v>O-17640-00</v>
      </c>
      <c r="B408" s="2" t="str">
        <f>IFERROR(__xludf.DUMMYFUNCTION("""COMPUTED_VALUE"""),"Ruber Whell Silicone Model : FRB-770i Hualian")</f>
        <v>Ruber Whell Silicone Model : FRB-770i Hualian</v>
      </c>
      <c r="C408" s="2" t="str">
        <f>IFERROR(__xludf.DUMMYFUNCTION("""COMPUTED_VALUE"""),"O-17640-00")</f>
        <v>O-17640-00</v>
      </c>
      <c r="D408" s="2" t="str">
        <f>if(isna(vlookup(C408,'On Hand'!A:C,3,0)),"",vlookup(C408,'On Hand'!A:C,3,0))</f>
        <v/>
      </c>
    </row>
    <row r="409">
      <c r="A409" s="2" t="str">
        <f>IFERROR(__xludf.DUMMYFUNCTION("""COMPUTED_VALUE"""),"O-17669-00")</f>
        <v>O-17669-00</v>
      </c>
      <c r="B409" s="2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09" s="2" t="str">
        <f>IFERROR(__xludf.DUMMYFUNCTION("""COMPUTED_VALUE"""),"O-17669-00")</f>
        <v>O-17669-00</v>
      </c>
      <c r="D409" s="2" t="str">
        <f>if(isna(vlookup(C409,'On Hand'!A:C,3,0)),"",vlookup(C409,'On Hand'!A:C,3,0))</f>
        <v>unt</v>
      </c>
    </row>
    <row r="410">
      <c r="A410" s="2" t="str">
        <f>IFERROR(__xludf.DUMMYFUNCTION("""COMPUTED_VALUE"""),"O-17712-00")</f>
        <v>O-17712-00</v>
      </c>
      <c r="B410" s="2" t="str">
        <f>IFERROR(__xludf.DUMMYFUNCTION("""COMPUTED_VALUE"""),"Socket Controller 8 pin - P/N : - pc")</f>
        <v>Socket Controller 8 pin - P/N : - pc</v>
      </c>
      <c r="C410" s="2" t="str">
        <f>IFERROR(__xludf.DUMMYFUNCTION("""COMPUTED_VALUE"""),"O-17712-00")</f>
        <v>O-17712-00</v>
      </c>
      <c r="D410" s="2" t="str">
        <f>if(isna(vlookup(C410,'On Hand'!A:C,3,0)),"",vlookup(C410,'On Hand'!A:C,3,0))</f>
        <v/>
      </c>
    </row>
    <row r="411">
      <c r="A411" s="2" t="str">
        <f>IFERROR(__xludf.DUMMYFUNCTION("""COMPUTED_VALUE"""),"O-17729-00")</f>
        <v>O-17729-00</v>
      </c>
      <c r="B411" s="2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1" s="2" t="str">
        <f>IFERROR(__xludf.DUMMYFUNCTION("""COMPUTED_VALUE"""),"O-17729-00")</f>
        <v>O-17729-00</v>
      </c>
      <c r="D411" s="2" t="str">
        <f>if(isna(vlookup(C411,'On Hand'!A:C,3,0)),"",vlookup(C411,'On Hand'!A:C,3,0))</f>
        <v/>
      </c>
    </row>
    <row r="412">
      <c r="A412" s="2" t="str">
        <f>IFERROR(__xludf.DUMMYFUNCTION("""COMPUTED_VALUE"""),"O-17730-00")</f>
        <v>O-17730-00</v>
      </c>
      <c r="B412" s="2" t="str">
        <f>IFERROR(__xludf.DUMMYFUNCTION("""COMPUTED_VALUE"""),"Dry Fog - Inner Gasket; P/N. 43100-106; ; ;")</f>
        <v>Dry Fog - Inner Gasket; P/N. 43100-106; ; ;</v>
      </c>
      <c r="C412" s="2" t="str">
        <f>IFERROR(__xludf.DUMMYFUNCTION("""COMPUTED_VALUE"""),"O-17730-00")</f>
        <v>O-17730-00</v>
      </c>
      <c r="D412" s="2" t="str">
        <f>if(isna(vlookup(C412,'On Hand'!A:C,3,0)),"",vlookup(C412,'On Hand'!A:C,3,0))</f>
        <v/>
      </c>
    </row>
    <row r="413">
      <c r="A413" s="2" t="str">
        <f>IFERROR(__xludf.DUMMYFUNCTION("""COMPUTED_VALUE"""),"O-17732-00")</f>
        <v>O-17732-00</v>
      </c>
      <c r="B413" s="2" t="str">
        <f>IFERROR(__xludf.DUMMYFUNCTION("""COMPUTED_VALUE"""),"Dry Fog - O-ring P4 MULTITRADE GOLDEN SYNERGY, PT P/N : 43100-082 pc")</f>
        <v>Dry Fog - O-ring P4 MULTITRADE GOLDEN SYNERGY, PT P/N : 43100-082 pc</v>
      </c>
      <c r="C413" s="2" t="str">
        <f>IFERROR(__xludf.DUMMYFUNCTION("""COMPUTED_VALUE"""),"O-17732-00")</f>
        <v>O-17732-00</v>
      </c>
      <c r="D413" s="2" t="str">
        <f>if(isna(vlookup(C413,'On Hand'!A:C,3,0)),"",vlookup(C413,'On Hand'!A:C,3,0))</f>
        <v/>
      </c>
    </row>
    <row r="414">
      <c r="A414" s="2" t="str">
        <f>IFERROR(__xludf.DUMMYFUNCTION("""COMPUTED_VALUE"""),"O-17810-00")</f>
        <v>O-17810-00</v>
      </c>
      <c r="B414" s="2" t="str">
        <f>IFERROR(__xludf.DUMMYFUNCTION("""COMPUTED_VALUE"""),"25TC PTFE Diaphragm for Flush Bottom Outlet Valve NA25/25; ; ;")</f>
        <v>25TC PTFE Diaphragm for Flush Bottom Outlet Valve NA25/25; ; ;</v>
      </c>
      <c r="C414" s="2" t="str">
        <f>IFERROR(__xludf.DUMMYFUNCTION("""COMPUTED_VALUE"""),"O-17810-00")</f>
        <v>O-17810-00</v>
      </c>
      <c r="D414" s="2" t="str">
        <f>if(isna(vlookup(C414,'On Hand'!A:C,3,0)),"",vlookup(C414,'On Hand'!A:C,3,0))</f>
        <v/>
      </c>
    </row>
    <row r="415">
      <c r="A415" s="2" t="str">
        <f>IFERROR(__xludf.DUMMYFUNCTION("""COMPUTED_VALUE"""),"O-17812-00")</f>
        <v>O-17812-00</v>
      </c>
      <c r="B415" s="2" t="str">
        <f>IFERROR(__xludf.DUMMYFUNCTION("""COMPUTED_VALUE"""),"Filter LSC Photometer ATI 2i P/N : 5500180-B")</f>
        <v>Filter LSC Photometer ATI 2i P/N : 5500180-B</v>
      </c>
      <c r="C415" s="2" t="str">
        <f>IFERROR(__xludf.DUMMYFUNCTION("""COMPUTED_VALUE"""),"O-17812-00")</f>
        <v>O-17812-00</v>
      </c>
      <c r="D415" s="2" t="str">
        <f>if(isna(vlookup(C415,'On Hand'!A:C,3,0)),"",vlookup(C415,'On Hand'!A:C,3,0))</f>
        <v/>
      </c>
    </row>
    <row r="416">
      <c r="A416" s="2" t="str">
        <f>IFERROR(__xludf.DUMMYFUNCTION("""COMPUTED_VALUE"""),"O-17831-00")</f>
        <v>O-17831-00</v>
      </c>
      <c r="B416" s="2" t="str">
        <f>IFERROR(__xludf.DUMMYFUNCTION("""COMPUTED_VALUE"""),"Gear Door Autoclave, HARRISA CIPTARINDO ENGINEERING, CV P/N : -  pc")</f>
        <v>Gear Door Autoclave, HARRISA CIPTARINDO ENGINEERING, CV P/N : -  pc</v>
      </c>
      <c r="C416" s="2" t="str">
        <f>IFERROR(__xludf.DUMMYFUNCTION("""COMPUTED_VALUE"""),"O-17831-00")</f>
        <v>O-17831-00</v>
      </c>
      <c r="D416" s="2" t="str">
        <f>if(isna(vlookup(C416,'On Hand'!A:C,3,0)),"",vlookup(C416,'On Hand'!A:C,3,0))</f>
        <v>pc</v>
      </c>
    </row>
    <row r="417">
      <c r="A417" s="2" t="str">
        <f>IFERROR(__xludf.DUMMYFUNCTION("""COMPUTED_VALUE"""),"O-17832-00")</f>
        <v>O-17832-00</v>
      </c>
      <c r="B417" s="2" t="str">
        <f>IFERROR(__xludf.DUMMYFUNCTION("""COMPUTED_VALUE"""),"Washing RAR4 - Outfeed Teflon Left; ; ;")</f>
        <v>Washing RAR4 - Outfeed Teflon Left; ; ;</v>
      </c>
      <c r="C417" s="2" t="str">
        <f>IFERROR(__xludf.DUMMYFUNCTION("""COMPUTED_VALUE"""),"O-17832-00")</f>
        <v>O-17832-00</v>
      </c>
      <c r="D417" s="2" t="str">
        <f>if(isna(vlookup(C417,'On Hand'!A:C,3,0)),"",vlookup(C417,'On Hand'!A:C,3,0))</f>
        <v>pc</v>
      </c>
    </row>
    <row r="418">
      <c r="A418" s="2" t="str">
        <f>IFERROR(__xludf.DUMMYFUNCTION("""COMPUTED_VALUE"""),"O-17833-00")</f>
        <v>O-17833-00</v>
      </c>
      <c r="B418" s="2" t="str">
        <f>IFERROR(__xludf.DUMMYFUNCTION("""COMPUTED_VALUE"""),"Washing RAR4 - Outfeed Teflon Right; ; ;")</f>
        <v>Washing RAR4 - Outfeed Teflon Right; ; ;</v>
      </c>
      <c r="C418" s="2" t="str">
        <f>IFERROR(__xludf.DUMMYFUNCTION("""COMPUTED_VALUE"""),"O-17833-00")</f>
        <v>O-17833-00</v>
      </c>
      <c r="D418" s="2" t="str">
        <f>if(isna(vlookup(C418,'On Hand'!A:C,3,0)),"",vlookup(C418,'On Hand'!A:C,3,0))</f>
        <v>pc</v>
      </c>
    </row>
    <row r="419">
      <c r="A419" s="2" t="str">
        <f>IFERROR(__xludf.DUMMYFUNCTION("""COMPUTED_VALUE"""),"O-17836-00")</f>
        <v>O-17836-00</v>
      </c>
      <c r="B419" s="2" t="str">
        <f>IFERROR(__xludf.DUMMYFUNCTION("""COMPUTED_VALUE"""),"Manual Actuator SS316L type: 612 GEMU")</f>
        <v>Manual Actuator SS316L type: 612 GEMU</v>
      </c>
      <c r="C419" s="2" t="str">
        <f>IFERROR(__xludf.DUMMYFUNCTION("""COMPUTED_VALUE"""),"O-17836-00")</f>
        <v>O-17836-00</v>
      </c>
      <c r="D419" s="2" t="str">
        <f>if(isna(vlookup(C419,'On Hand'!A:C,3,0)),"",vlookup(C419,'On Hand'!A:C,3,0))</f>
        <v/>
      </c>
    </row>
    <row r="420">
      <c r="A420" s="2" t="str">
        <f>IFERROR(__xludf.DUMMYFUNCTION("""COMPUTED_VALUE"""),"O-17842-00")</f>
        <v>O-17842-00</v>
      </c>
      <c r="B420" s="2" t="str">
        <f>IFERROR(__xludf.DUMMYFUNCTION("""COMPUTED_VALUE"""),"Membrane Diaphragm Valve EPDM DN 25 p/n: 600 25M 17 Gemu")</f>
        <v>Membrane Diaphragm Valve EPDM DN 25 p/n: 600 25M 17 Gemu</v>
      </c>
      <c r="C420" s="2" t="str">
        <f>IFERROR(__xludf.DUMMYFUNCTION("""COMPUTED_VALUE"""),"O-17842-00")</f>
        <v>O-17842-00</v>
      </c>
      <c r="D420" s="2" t="str">
        <f>if(isna(vlookup(C420,'On Hand'!A:C,3,0)),"",vlookup(C420,'On Hand'!A:C,3,0))</f>
        <v>pc</v>
      </c>
    </row>
    <row r="421">
      <c r="A421" s="2" t="str">
        <f>IFERROR(__xludf.DUMMYFUNCTION("""COMPUTED_VALUE"""),"O-17938-00")</f>
        <v>O-17938-00</v>
      </c>
      <c r="B421" s="2" t="str">
        <f>IFERROR(__xludf.DUMMYFUNCTION("""COMPUTED_VALUE"""),"Misumi - Casters CGAN65-M")</f>
        <v>Misumi - Casters CGAN65-M</v>
      </c>
      <c r="C421" s="2" t="str">
        <f>IFERROR(__xludf.DUMMYFUNCTION("""COMPUTED_VALUE"""),"O-17938-00")</f>
        <v>O-17938-00</v>
      </c>
      <c r="D421" s="2" t="str">
        <f>if(isna(vlookup(C421,'On Hand'!A:C,3,0)),"",vlookup(C421,'On Hand'!A:C,3,0))</f>
        <v/>
      </c>
    </row>
    <row r="422">
      <c r="A422" s="2" t="str">
        <f>IFERROR(__xludf.DUMMYFUNCTION("""COMPUTED_VALUE"""),"O-17960-00")</f>
        <v>O-17960-00</v>
      </c>
      <c r="B422" s="2" t="str">
        <f>IFERROR(__xludf.DUMMYFUNCTION("""COMPUTED_VALUE"""),"Mixer Male Bearing, GMP, pH Range: pH1  pH14, 1/pack; NovAseptic; ;")</f>
        <v>Mixer Male Bearing, GMP, pH Range: pH1  pH14, 1/pack; NovAseptic; ;</v>
      </c>
      <c r="C422" s="2" t="str">
        <f>IFERROR(__xludf.DUMMYFUNCTION("""COMPUTED_VALUE"""),"O-17960-00")</f>
        <v>O-17960-00</v>
      </c>
      <c r="D422" s="2" t="str">
        <f>if(isna(vlookup(C422,'On Hand'!A:C,3,0)),"",vlookup(C422,'On Hand'!A:C,3,0))</f>
        <v>Pck</v>
      </c>
    </row>
    <row r="423">
      <c r="A423" s="2" t="str">
        <f>IFERROR(__xludf.DUMMYFUNCTION("""COMPUTED_VALUE"""),"O-17988-00")</f>
        <v>O-17988-00</v>
      </c>
      <c r="B423" s="2" t="str">
        <f>IFERROR(__xludf.DUMMYFUNCTION("""COMPUTED_VALUE"""),"Cam Follow (Idle Pin); INA; KR16-X-PP-A; pc")</f>
        <v>Cam Follow (Idle Pin); INA; KR16-X-PP-A; pc</v>
      </c>
      <c r="C423" s="2" t="str">
        <f>IFERROR(__xludf.DUMMYFUNCTION("""COMPUTED_VALUE"""),"O-17988-00")</f>
        <v>O-17988-00</v>
      </c>
      <c r="D423" s="2" t="str">
        <f>if(isna(vlookup(C423,'On Hand'!A:C,3,0)),"",vlookup(C423,'On Hand'!A:C,3,0))</f>
        <v>pc</v>
      </c>
    </row>
    <row r="424">
      <c r="A424" s="2" t="str">
        <f>IFERROR(__xludf.DUMMYFUNCTION("""COMPUTED_VALUE"""),"O-17995-00")</f>
        <v>O-17995-00</v>
      </c>
      <c r="B424" s="2" t="str">
        <f>IFERROR(__xludf.DUMMYFUNCTION("""COMPUTED_VALUE"""),"Freeze Dryer MBE1207 - Slot Door Vacuum Gasket dia.12.7 P/N : EB41-00517; ; ;")</f>
        <v>Freeze Dryer MBE1207 - Slot Door Vacuum Gasket dia.12.7 P/N : EB41-00517; ; ;</v>
      </c>
      <c r="C424" s="2" t="str">
        <f>IFERROR(__xludf.DUMMYFUNCTION("""COMPUTED_VALUE"""),"O-17995-00")</f>
        <v>O-17995-00</v>
      </c>
      <c r="D424" s="2" t="str">
        <f>if(isna(vlookup(C424,'On Hand'!A:C,3,0)),"",vlookup(C424,'On Hand'!A:C,3,0))</f>
        <v/>
      </c>
    </row>
    <row r="425">
      <c r="A425" s="2" t="str">
        <f>IFERROR(__xludf.DUMMYFUNCTION("""COMPUTED_VALUE"""),"O-17996-00")</f>
        <v>O-17996-00</v>
      </c>
      <c r="B425" s="2" t="str">
        <f>IFERROR(__xludf.DUMMYFUNCTION("""COMPUTED_VALUE"""),"Freeze Dryer MBE1207 - Slot Door Pressure Gasket P/N : EDF01-02008; ; ;")</f>
        <v>Freeze Dryer MBE1207 - Slot Door Pressure Gasket P/N : EDF01-02008; ; ;</v>
      </c>
      <c r="C425" s="2" t="str">
        <f>IFERROR(__xludf.DUMMYFUNCTION("""COMPUTED_VALUE"""),"O-17996-00")</f>
        <v>O-17996-00</v>
      </c>
      <c r="D425" s="2" t="str">
        <f>if(isna(vlookup(C425,'On Hand'!A:C,3,0)),"",vlookup(C425,'On Hand'!A:C,3,0))</f>
        <v>unt</v>
      </c>
    </row>
    <row r="426">
      <c r="A426" s="2" t="str">
        <f>IFERROR(__xludf.DUMMYFUNCTION("""COMPUTED_VALUE"""),"O-17997-00")</f>
        <v>O-17997-00</v>
      </c>
      <c r="B426" s="2" t="str">
        <f>IFERROR(__xludf.DUMMYFUNCTION("""COMPUTED_VALUE"""),"Freeze Dryer MBE1207 - Mushroom Seal P/N : EBSF0005AR0; ; ;")</f>
        <v>Freeze Dryer MBE1207 - Mushroom Seal P/N : EBSF0005AR0; ; ;</v>
      </c>
      <c r="C426" s="2" t="str">
        <f>IFERROR(__xludf.DUMMYFUNCTION("""COMPUTED_VALUE"""),"O-17997-00")</f>
        <v>O-17997-00</v>
      </c>
      <c r="D426" s="2" t="str">
        <f>if(isna(vlookup(C426,'On Hand'!A:C,3,0)),"",vlookup(C426,'On Hand'!A:C,3,0))</f>
        <v>m</v>
      </c>
    </row>
    <row r="427">
      <c r="A427" s="2" t="str">
        <f>IFERROR(__xludf.DUMMYFUNCTION("""COMPUTED_VALUE"""),"O-17998-00")</f>
        <v>O-17998-00</v>
      </c>
      <c r="B427" s="2" t="str">
        <f>IFERROR(__xludf.DUMMYFUNCTION("""COMPUTED_VALUE"""),"Freeze Dryer MBE1207 - Main Door Gasket P/N : EB41-00568; ; ;")</f>
        <v>Freeze Dryer MBE1207 - Main Door Gasket P/N : EB41-00568; ; ;</v>
      </c>
      <c r="C427" s="2" t="str">
        <f>IFERROR(__xludf.DUMMYFUNCTION("""COMPUTED_VALUE"""),"O-17998-00")</f>
        <v>O-17998-00</v>
      </c>
      <c r="D427" s="2" t="str">
        <f>if(isna(vlookup(C427,'On Hand'!A:C,3,0)),"",vlookup(C427,'On Hand'!A:C,3,0))</f>
        <v>m</v>
      </c>
    </row>
    <row r="428">
      <c r="A428" s="2" t="str">
        <f>IFERROR(__xludf.DUMMYFUNCTION("""COMPUTED_VALUE"""),"O-18009-00")</f>
        <v>O-18009-00</v>
      </c>
      <c r="B428" s="2" t="str">
        <f>IFERROR(__xludf.DUMMYFUNCTION("""COMPUTED_VALUE"""),"Silincer SMC P/N : AN30-03")</f>
        <v>Silincer SMC P/N : AN30-03</v>
      </c>
      <c r="C428" s="2" t="str">
        <f>IFERROR(__xludf.DUMMYFUNCTION("""COMPUTED_VALUE"""),"O-18009-00")</f>
        <v>O-18009-00</v>
      </c>
      <c r="D428" s="2" t="str">
        <f>if(isna(vlookup(C428,'On Hand'!A:C,3,0)),"",vlookup(C428,'On Hand'!A:C,3,0))</f>
        <v>pc</v>
      </c>
    </row>
    <row r="429">
      <c r="A429" s="2" t="str">
        <f>IFERROR(__xludf.DUMMYFUNCTION("""COMPUTED_VALUE"""),"O-18010-00")</f>
        <v>O-18010-00</v>
      </c>
      <c r="B429" s="2" t="str">
        <f>IFERROR(__xludf.DUMMYFUNCTION("""COMPUTED_VALUE"""),"Fitting SMC P/N : KQ2H08-03AS")</f>
        <v>Fitting SMC P/N : KQ2H08-03AS</v>
      </c>
      <c r="C429" s="2" t="str">
        <f>IFERROR(__xludf.DUMMYFUNCTION("""COMPUTED_VALUE"""),"O-18010-00")</f>
        <v>O-18010-00</v>
      </c>
      <c r="D429" s="2" t="str">
        <f>if(isna(vlookup(C429,'On Hand'!A:C,3,0)),"",vlookup(C429,'On Hand'!A:C,3,0))</f>
        <v>pc</v>
      </c>
    </row>
    <row r="430">
      <c r="A430" s="2" t="str">
        <f>IFERROR(__xludf.DUMMYFUNCTION("""COMPUTED_VALUE"""),"O-18011-00")</f>
        <v>O-18011-00</v>
      </c>
      <c r="B430" s="2" t="str">
        <f>IFERROR(__xludf.DUMMYFUNCTION("""COMPUTED_VALUE"""),"Air Filter SMC P/N : AF40-04-A")</f>
        <v>Air Filter SMC P/N : AF40-04-A</v>
      </c>
      <c r="C430" s="2" t="str">
        <f>IFERROR(__xludf.DUMMYFUNCTION("""COMPUTED_VALUE"""),"O-18011-00")</f>
        <v>O-18011-00</v>
      </c>
      <c r="D430" s="2" t="str">
        <f>if(isna(vlookup(C430,'On Hand'!A:C,3,0)),"",vlookup(C430,'On Hand'!A:C,3,0))</f>
        <v/>
      </c>
    </row>
    <row r="431">
      <c r="A431" s="2" t="str">
        <f>IFERROR(__xludf.DUMMYFUNCTION("""COMPUTED_VALUE"""),"O-18041-00")</f>
        <v>O-18041-00</v>
      </c>
      <c r="B431" s="2" t="str">
        <f>IFERROR(__xludf.DUMMYFUNCTION("""COMPUTED_VALUE"""),"Bearing 624 ZZ; SKF; ;")</f>
        <v>Bearing 624 ZZ; SKF; ;</v>
      </c>
      <c r="C431" s="2" t="str">
        <f>IFERROR(__xludf.DUMMYFUNCTION("""COMPUTED_VALUE"""),"O-18041-00")</f>
        <v>O-18041-00</v>
      </c>
      <c r="D431" s="2" t="str">
        <f>if(isna(vlookup(C431,'On Hand'!A:C,3,0)),"",vlookup(C431,'On Hand'!A:C,3,0))</f>
        <v>pc</v>
      </c>
    </row>
    <row r="432">
      <c r="A432" s="2" t="str">
        <f>IFERROR(__xludf.DUMMYFUNCTION("""COMPUTED_VALUE"""),"O-18043-00")</f>
        <v>O-18043-00</v>
      </c>
      <c r="B432" s="2" t="str">
        <f>IFERROR(__xludf.DUMMYFUNCTION("""COMPUTED_VALUE"""),"Name Plate For Sampling Point Material SS304 25x70x0.3mm")</f>
        <v>Name Plate For Sampling Point Material SS304 25x70x0.3mm</v>
      </c>
      <c r="C432" s="2" t="str">
        <f>IFERROR(__xludf.DUMMYFUNCTION("""COMPUTED_VALUE"""),"O-18043-00")</f>
        <v>O-18043-00</v>
      </c>
      <c r="D432" s="2" t="str">
        <f>if(isna(vlookup(C432,'On Hand'!A:C,3,0)),"",vlookup(C432,'On Hand'!A:C,3,0))</f>
        <v/>
      </c>
    </row>
    <row r="433">
      <c r="A433" s="2" t="str">
        <f>IFERROR(__xludf.DUMMYFUNCTION("""COMPUTED_VALUE"""),"O-18055-00")</f>
        <v>O-18055-00</v>
      </c>
      <c r="B433" s="2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3" s="2" t="str">
        <f>IFERROR(__xludf.DUMMYFUNCTION("""COMPUTED_VALUE"""),"O-18055-00")</f>
        <v>O-18055-00</v>
      </c>
      <c r="D433" s="2" t="str">
        <f>if(isna(vlookup(C433,'On Hand'!A:C,3,0)),"",vlookup(C433,'On Hand'!A:C,3,0))</f>
        <v>pc</v>
      </c>
    </row>
    <row r="434">
      <c r="A434" s="2" t="str">
        <f>IFERROR(__xludf.DUMMYFUNCTION("""COMPUTED_VALUE"""),"O-18094-00")</f>
        <v>O-18094-00</v>
      </c>
      <c r="B434" s="2" t="str">
        <f>IFERROR(__xludf.DUMMYFUNCTION("""COMPUTED_VALUE"""),"Freeze Dryer MBE1207 - Orifice 0,3 Danfoss; ; ;")</f>
        <v>Freeze Dryer MBE1207 - Orifice 0,3 Danfoss; ; ;</v>
      </c>
      <c r="C434" s="2" t="str">
        <f>IFERROR(__xludf.DUMMYFUNCTION("""COMPUTED_VALUE"""),"O-18094-00")</f>
        <v>O-18094-00</v>
      </c>
      <c r="D434" s="2" t="str">
        <f>if(isna(vlookup(C434,'On Hand'!A:C,3,0)),"",vlookup(C434,'On Hand'!A:C,3,0))</f>
        <v/>
      </c>
    </row>
    <row r="435">
      <c r="A435" s="2" t="str">
        <f>IFERROR(__xludf.DUMMYFUNCTION("""COMPUTED_VALUE"""),"O-18108-00")</f>
        <v>O-18108-00</v>
      </c>
      <c r="B435" s="2" t="str">
        <f>IFERROR(__xludf.DUMMYFUNCTION("""COMPUTED_VALUE"""),"Freeze Dryer MBE1207 - Therm.Exp.Valve TE2 R404A/R507A 068Z3403; DANFOSS; ;")</f>
        <v>Freeze Dryer MBE1207 - Therm.Exp.Valve TE2 R404A/R507A 068Z3403; DANFOSS; ;</v>
      </c>
      <c r="C435" s="2" t="str">
        <f>IFERROR(__xludf.DUMMYFUNCTION("""COMPUTED_VALUE"""),"O-18108-00")</f>
        <v>O-18108-00</v>
      </c>
      <c r="D435" s="2" t="str">
        <f>if(isna(vlookup(C435,'On Hand'!A:C,3,0)),"",vlookup(C435,'On Hand'!A:C,3,0))</f>
        <v>pc</v>
      </c>
    </row>
    <row r="436">
      <c r="A436" s="2" t="str">
        <f>IFERROR(__xludf.DUMMYFUNCTION("""COMPUTED_VALUE"""),"O-18120-00")</f>
        <v>O-18120-00</v>
      </c>
      <c r="B436" s="2" t="str">
        <f>IFERROR(__xludf.DUMMYFUNCTION("""COMPUTED_VALUE"""),"Capping VCM200 - Lock Nut Cramping; ; ;")</f>
        <v>Capping VCM200 - Lock Nut Cramping; ; ;</v>
      </c>
      <c r="C436" s="2" t="str">
        <f>IFERROR(__xludf.DUMMYFUNCTION("""COMPUTED_VALUE"""),"O-18120-00")</f>
        <v>O-18120-00</v>
      </c>
      <c r="D436" s="2" t="str">
        <f>if(isna(vlookup(C436,'On Hand'!A:C,3,0)),"",vlookup(C436,'On Hand'!A:C,3,0))</f>
        <v>pc</v>
      </c>
    </row>
    <row r="437">
      <c r="A437" s="2" t="str">
        <f>IFERROR(__xludf.DUMMYFUNCTION("""COMPUTED_VALUE"""),"O-18124-00")</f>
        <v>O-18124-00</v>
      </c>
      <c r="B437" s="2" t="str">
        <f>IFERROR(__xludf.DUMMYFUNCTION("""COMPUTED_VALUE"""),"Mixing Tank Adam - USM T60 Impeller with 20mm Silicon Carbide, G10-012; ; ;")</f>
        <v>Mixing Tank Adam - USM T60 Impeller with 20mm Silicon Carbide, G10-012; ; ;</v>
      </c>
      <c r="C437" s="2" t="str">
        <f>IFERROR(__xludf.DUMMYFUNCTION("""COMPUTED_VALUE"""),"O-18124-00")</f>
        <v>O-18124-00</v>
      </c>
      <c r="D437" s="2" t="str">
        <f>if(isna(vlookup(C437,'On Hand'!A:C,3,0)),"",vlookup(C437,'On Hand'!A:C,3,0))</f>
        <v>pc</v>
      </c>
    </row>
    <row r="438">
      <c r="A438" s="2" t="str">
        <f>IFERROR(__xludf.DUMMYFUNCTION("""COMPUTED_VALUE"""),"O-18125-00")</f>
        <v>O-18125-00</v>
      </c>
      <c r="B438" s="2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8" s="2" t="str">
        <f>IFERROR(__xludf.DUMMYFUNCTION("""COMPUTED_VALUE"""),"O-18125-00")</f>
        <v>O-18125-00</v>
      </c>
      <c r="D438" s="2" t="str">
        <f>if(isna(vlookup(C438,'On Hand'!A:C,3,0)),"",vlookup(C438,'On Hand'!A:C,3,0))</f>
        <v>pc</v>
      </c>
    </row>
    <row r="439">
      <c r="A439" s="2" t="str">
        <f>IFERROR(__xludf.DUMMYFUNCTION("""COMPUTED_VALUE"""),"O-18165-00")</f>
        <v>O-18165-00</v>
      </c>
      <c r="B439" s="2" t="str">
        <f>IFERROR(__xludf.DUMMYFUNCTION("""COMPUTED_VALUE"""),"Water Spray Gun (1/4"") SG-1-01; PARKER; ;")</f>
        <v>Water Spray Gun (1/4") SG-1-01; PARKER; ;</v>
      </c>
      <c r="C439" s="2" t="str">
        <f>IFERROR(__xludf.DUMMYFUNCTION("""COMPUTED_VALUE"""),"O-18165-00")</f>
        <v>O-18165-00</v>
      </c>
      <c r="D439" s="2" t="str">
        <f>if(isna(vlookup(C439,'On Hand'!A:C,3,0)),"",vlookup(C439,'On Hand'!A:C,3,0))</f>
        <v/>
      </c>
    </row>
    <row r="440">
      <c r="A440" s="2" t="str">
        <f>IFERROR(__xludf.DUMMYFUNCTION("""COMPUTED_VALUE"""),"O-18166-00")</f>
        <v>O-18166-00</v>
      </c>
      <c r="B440" s="2" t="str">
        <f>IFERROR(__xludf.DUMMYFUNCTION("""COMPUTED_VALUE"""),"Flow Meter 1-10 CMH LZQ-7")</f>
        <v>Flow Meter 1-10 CMH LZQ-7</v>
      </c>
      <c r="C440" s="2" t="str">
        <f>IFERROR(__xludf.DUMMYFUNCTION("""COMPUTED_VALUE"""),"O-18166-00")</f>
        <v>O-18166-00</v>
      </c>
      <c r="D440" s="2" t="str">
        <f>if(isna(vlookup(C440,'On Hand'!A:C,3,0)),"",vlookup(C440,'On Hand'!A:C,3,0))</f>
        <v/>
      </c>
    </row>
    <row r="441">
      <c r="A441" s="2" t="str">
        <f>IFERROR(__xludf.DUMMYFUNCTION("""COMPUTED_VALUE"""),"O-18175-00")</f>
        <v>O-18175-00</v>
      </c>
      <c r="B441" s="2" t="str">
        <f>IFERROR(__xludf.DUMMYFUNCTION("""COMPUTED_VALUE"""),"Freeze Dryer MBE1207 - Tefflon Self")</f>
        <v>Freeze Dryer MBE1207 - Tefflon Self</v>
      </c>
      <c r="C441" s="2" t="str">
        <f>IFERROR(__xludf.DUMMYFUNCTION("""COMPUTED_VALUE"""),"O-18175-00")</f>
        <v>O-18175-00</v>
      </c>
      <c r="D441" s="2" t="str">
        <f>if(isna(vlookup(C441,'On Hand'!A:C,3,0)),"",vlookup(C441,'On Hand'!A:C,3,0))</f>
        <v>pc</v>
      </c>
    </row>
    <row r="442">
      <c r="A442" s="2" t="str">
        <f>IFERROR(__xludf.DUMMYFUNCTION("""COMPUTED_VALUE"""),"O-18192-00")</f>
        <v>O-18192-00</v>
      </c>
      <c r="B442" s="2" t="str">
        <f>IFERROR(__xludf.DUMMYFUNCTION("""COMPUTED_VALUE"""),"SMC - Tubing Anti Static TAS1208B-20")</f>
        <v>SMC - Tubing Anti Static TAS1208B-20</v>
      </c>
      <c r="C442" s="2" t="str">
        <f>IFERROR(__xludf.DUMMYFUNCTION("""COMPUTED_VALUE"""),"O-18192-00")</f>
        <v>O-18192-00</v>
      </c>
      <c r="D442" s="2" t="str">
        <f>if(isna(vlookup(C442,'On Hand'!A:C,3,0)),"",vlookup(C442,'On Hand'!A:C,3,0))</f>
        <v/>
      </c>
    </row>
    <row r="443">
      <c r="A443" s="2" t="str">
        <f>IFERROR(__xludf.DUMMYFUNCTION("""COMPUTED_VALUE"""),"O-18209-00")</f>
        <v>O-18209-00</v>
      </c>
      <c r="B443" s="2" t="str">
        <f>IFERROR(__xludf.DUMMYFUNCTION("""COMPUTED_VALUE"""),"Oring Viton Dia. 170 x 6,99mm; ; ;")</f>
        <v>Oring Viton Dia. 170 x 6,99mm; ; ;</v>
      </c>
      <c r="C443" s="2" t="str">
        <f>IFERROR(__xludf.DUMMYFUNCTION("""COMPUTED_VALUE"""),"O-18209-00")</f>
        <v>O-18209-00</v>
      </c>
      <c r="D443" s="2" t="str">
        <f>if(isna(vlookup(C443,'On Hand'!A:C,3,0)),"",vlookup(C443,'On Hand'!A:C,3,0))</f>
        <v/>
      </c>
    </row>
    <row r="444">
      <c r="A444" s="2" t="str">
        <f>IFERROR(__xludf.DUMMYFUNCTION("""COMPUTED_VALUE"""),"O-18218-00")</f>
        <v>O-18218-00</v>
      </c>
      <c r="B444" s="2" t="str">
        <f>IFERROR(__xludf.DUMMYFUNCTION("""COMPUTED_VALUE"""),"Mata Reject Station Material Pom")</f>
        <v>Mata Reject Station Material Pom</v>
      </c>
      <c r="C444" s="2" t="str">
        <f>IFERROR(__xludf.DUMMYFUNCTION("""COMPUTED_VALUE"""),"O-18218-00")</f>
        <v>O-18218-00</v>
      </c>
      <c r="D444" s="2" t="str">
        <f>if(isna(vlookup(C444,'On Hand'!A:C,3,0)),"",vlookup(C444,'On Hand'!A:C,3,0))</f>
        <v/>
      </c>
    </row>
    <row r="445">
      <c r="A445" s="2" t="str">
        <f>IFERROR(__xludf.DUMMYFUNCTION("""COMPUTED_VALUE"""),"O-18229-00")</f>
        <v>O-18229-00</v>
      </c>
      <c r="B445" s="2" t="str">
        <f>IFERROR(__xludf.DUMMYFUNCTION("""COMPUTED_VALUE"""),"Assy Reject Station Material Pom")</f>
        <v>Assy Reject Station Material Pom</v>
      </c>
      <c r="C445" s="2" t="str">
        <f>IFERROR(__xludf.DUMMYFUNCTION("""COMPUTED_VALUE"""),"O-18229-00")</f>
        <v>O-18229-00</v>
      </c>
      <c r="D445" s="2" t="str">
        <f>if(isna(vlookup(C445,'On Hand'!A:C,3,0)),"",vlookup(C445,'On Hand'!A:C,3,0))</f>
        <v/>
      </c>
    </row>
    <row r="446">
      <c r="A446" s="2" t="str">
        <f>IFERROR(__xludf.DUMMYFUNCTION("""COMPUTED_VALUE"""),"O-18344-00")</f>
        <v>O-18344-00</v>
      </c>
      <c r="B446" s="2" t="str">
        <f>IFERROR(__xludf.DUMMYFUNCTION("""COMPUTED_VALUE"""),"Capping VCM200 - Roller trimmer D=48X18 inclination=7 for alucap D=20; ; ;")</f>
        <v>Capping VCM200 - Roller trimmer D=48X18 inclination=7 for alucap D=20; ; ;</v>
      </c>
      <c r="C446" s="2" t="str">
        <f>IFERROR(__xludf.DUMMYFUNCTION("""COMPUTED_VALUE"""),"O-18344-00")</f>
        <v>O-18344-00</v>
      </c>
      <c r="D446" s="2" t="str">
        <f>if(isna(vlookup(C446,'On Hand'!A:C,3,0)),"",vlookup(C446,'On Hand'!A:C,3,0))</f>
        <v/>
      </c>
    </row>
    <row r="447">
      <c r="A447" s="2" t="str">
        <f>IFERROR(__xludf.DUMMYFUNCTION("""COMPUTED_VALUE"""),"O-18345-00")</f>
        <v>O-18345-00</v>
      </c>
      <c r="B447" s="2" t="str">
        <f>IFERROR(__xludf.DUMMYFUNCTION("""COMPUTED_VALUE"""),"Silicon suction cup 01.11.16 PN: 202082; ; ;")</f>
        <v>Silicon suction cup 01.11.16 PN: 202082; ; ;</v>
      </c>
      <c r="C447" s="2" t="str">
        <f>IFERROR(__xludf.DUMMYFUNCTION("""COMPUTED_VALUE"""),"O-18345-00")</f>
        <v>O-18345-00</v>
      </c>
      <c r="D447" s="2" t="str">
        <f>if(isna(vlookup(C447,'On Hand'!A:C,3,0)),"",vlookup(C447,'On Hand'!A:C,3,0))</f>
        <v>pc</v>
      </c>
    </row>
    <row r="448">
      <c r="A448" s="2" t="str">
        <f>IFERROR(__xludf.DUMMYFUNCTION("""COMPUTED_VALUE"""),"O-18345-00")</f>
        <v>O-18345-00</v>
      </c>
      <c r="B448" s="2" t="str">
        <f>IFERROR(__xludf.DUMMYFUNCTION("""COMPUTED_VALUE"""),"Silicon suction cup 01.11.16 PN: 202082; ; ;")</f>
        <v>Silicon suction cup 01.11.16 PN: 202082; ; ;</v>
      </c>
      <c r="C448" s="2" t="str">
        <f>IFERROR(__xludf.DUMMYFUNCTION("""COMPUTED_VALUE"""),"O-18345-00")</f>
        <v>O-18345-00</v>
      </c>
      <c r="D448" s="2" t="str">
        <f>if(isna(vlookup(C448,'On Hand'!A:C,3,0)),"",vlookup(C448,'On Hand'!A:C,3,0))</f>
        <v>pc</v>
      </c>
    </row>
    <row r="449">
      <c r="A449" s="2" t="str">
        <f>IFERROR(__xludf.DUMMYFUNCTION("""COMPUTED_VALUE"""),"O-18346-00")</f>
        <v>O-18346-00</v>
      </c>
      <c r="B449" s="2" t="str">
        <f>IFERROR(__xludf.DUMMYFUNCTION("""COMPUTED_VALUE"""),"Tunnel ST1L - Junction (15x15mm L=23,5mm) CA system Tight Door; ; ;")</f>
        <v>Tunnel ST1L - Junction (15x15mm L=23,5mm) CA system Tight Door; ; ;</v>
      </c>
      <c r="C449" s="2" t="str">
        <f>IFERROR(__xludf.DUMMYFUNCTION("""COMPUTED_VALUE"""),"O-18346-00")</f>
        <v>O-18346-00</v>
      </c>
      <c r="D449" s="2" t="str">
        <f>if(isna(vlookup(C449,'On Hand'!A:C,3,0)),"",vlookup(C449,'On Hand'!A:C,3,0))</f>
        <v>pc</v>
      </c>
    </row>
    <row r="450">
      <c r="A450" s="2" t="str">
        <f>IFERROR(__xludf.DUMMYFUNCTION("""COMPUTED_VALUE"""),"O-18347-00")</f>
        <v>O-18347-00</v>
      </c>
      <c r="B450" s="2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0" s="2" t="str">
        <f>IFERROR(__xludf.DUMMYFUNCTION("""COMPUTED_VALUE"""),"O-18347-00")</f>
        <v>O-18347-00</v>
      </c>
      <c r="D450" s="2" t="str">
        <f>if(isna(vlookup(C450,'On Hand'!A:C,3,0)),"",vlookup(C450,'On Hand'!A:C,3,0))</f>
        <v>pc</v>
      </c>
    </row>
    <row r="451">
      <c r="A451" s="2" t="str">
        <f>IFERROR(__xludf.DUMMYFUNCTION("""COMPUTED_VALUE"""),"O-18348-00")</f>
        <v>O-18348-00</v>
      </c>
      <c r="B451" s="2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1" s="2" t="str">
        <f>IFERROR(__xludf.DUMMYFUNCTION("""COMPUTED_VALUE"""),"O-18348-00")</f>
        <v>O-18348-00</v>
      </c>
      <c r="D451" s="2" t="str">
        <f>if(isna(vlookup(C451,'On Hand'!A:C,3,0)),"",vlookup(C451,'On Hand'!A:C,3,0))</f>
        <v>pc</v>
      </c>
    </row>
    <row r="452">
      <c r="A452" s="2" t="str">
        <f>IFERROR(__xludf.DUMMYFUNCTION("""COMPUTED_VALUE"""),"O-18349-00")</f>
        <v>O-18349-00</v>
      </c>
      <c r="B452" s="2" t="str">
        <f>IFERROR(__xludf.DUMMYFUNCTION("""COMPUTED_VALUE"""),"Gas Spring Stabilus Lift-o-mat 065641 0500N; ; ;")</f>
        <v>Gas Spring Stabilus Lift-o-mat 065641 0500N; ; ;</v>
      </c>
      <c r="C452" s="2" t="str">
        <f>IFERROR(__xludf.DUMMYFUNCTION("""COMPUTED_VALUE"""),"O-18349-00")</f>
        <v>O-18349-00</v>
      </c>
      <c r="D452" s="2" t="str">
        <f>if(isna(vlookup(C452,'On Hand'!A:C,3,0)),"",vlookup(C452,'On Hand'!A:C,3,0))</f>
        <v/>
      </c>
    </row>
    <row r="453">
      <c r="A453" s="2" t="str">
        <f>IFERROR(__xludf.DUMMYFUNCTION("""COMPUTED_VALUE"""),"O-18350-00")</f>
        <v>O-18350-00</v>
      </c>
      <c r="B453" s="2" t="str">
        <f>IFERROR(__xludf.DUMMYFUNCTION("""COMPUTED_VALUE"""),"Oring EDM 100x105x2.5 mm")</f>
        <v>Oring EDM 100x105x2.5 mm</v>
      </c>
      <c r="C453" s="2" t="str">
        <f>IFERROR(__xludf.DUMMYFUNCTION("""COMPUTED_VALUE"""),"O-18350-00")</f>
        <v>O-18350-00</v>
      </c>
      <c r="D453" s="2" t="str">
        <f>if(isna(vlookup(C453,'On Hand'!A:C,3,0)),"",vlookup(C453,'On Hand'!A:C,3,0))</f>
        <v>pc</v>
      </c>
    </row>
    <row r="454">
      <c r="A454" s="2" t="str">
        <f>IFERROR(__xludf.DUMMYFUNCTION("""COMPUTED_VALUE"""),"O-18351-00")</f>
        <v>O-18351-00</v>
      </c>
      <c r="B454" s="2" t="str">
        <f>IFERROR(__xludf.DUMMYFUNCTION("""COMPUTED_VALUE"""),"Oring Silicone 3.1x19.4x25.6 mm")</f>
        <v>Oring Silicone 3.1x19.4x25.6 mm</v>
      </c>
      <c r="C454" s="2" t="str">
        <f>IFERROR(__xludf.DUMMYFUNCTION("""COMPUTED_VALUE"""),"O-18351-00")</f>
        <v>O-18351-00</v>
      </c>
      <c r="D454" s="2" t="str">
        <f>if(isna(vlookup(C454,'On Hand'!A:C,3,0)),"",vlookup(C454,'On Hand'!A:C,3,0))</f>
        <v>pc</v>
      </c>
    </row>
    <row r="455">
      <c r="A455" s="2" t="str">
        <f>IFERROR(__xludf.DUMMYFUNCTION("""COMPUTED_VALUE"""),"O-18356-00")</f>
        <v>O-18356-00</v>
      </c>
      <c r="B455" s="2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5" s="2" t="str">
        <f>IFERROR(__xludf.DUMMYFUNCTION("""COMPUTED_VALUE"""),"O-18356-00")</f>
        <v>O-18356-00</v>
      </c>
      <c r="D455" s="2" t="str">
        <f>if(isna(vlookup(C455,'On Hand'!A:C,3,0)),"",vlookup(C455,'On Hand'!A:C,3,0))</f>
        <v>m</v>
      </c>
    </row>
    <row r="456">
      <c r="A456" s="2" t="str">
        <f>IFERROR(__xludf.DUMMYFUNCTION("""COMPUTED_VALUE"""),"O-18388-00")</f>
        <v>O-18388-00</v>
      </c>
      <c r="B456" s="2" t="str">
        <f>IFERROR(__xludf.DUMMYFUNCTION("""COMPUTED_VALUE"""),"Membrane Valve PTFE/EPDM DN15 type 612 GEMU; ; ;")</f>
        <v>Membrane Valve PTFE/EPDM DN15 type 612 GEMU; ; ;</v>
      </c>
      <c r="C456" s="2" t="str">
        <f>IFERROR(__xludf.DUMMYFUNCTION("""COMPUTED_VALUE"""),"O-18388-00")</f>
        <v>O-18388-00</v>
      </c>
      <c r="D456" s="2" t="str">
        <f>if(isna(vlookup(C456,'On Hand'!A:C,3,0)),"",vlookup(C456,'On Hand'!A:C,3,0))</f>
        <v>pc</v>
      </c>
    </row>
    <row r="457">
      <c r="A457" s="2" t="str">
        <f>IFERROR(__xludf.DUMMYFUNCTION("""COMPUTED_VALUE"""),"O-18428-00")</f>
        <v>O-18428-00</v>
      </c>
      <c r="B457" s="2" t="str">
        <f>IFERROR(__xludf.DUMMYFUNCTION("""COMPUTED_VALUE"""),"Roda Vertikal Blind Runner and Spacer dan Cor d Driver Runner")</f>
        <v>Roda Vertikal Blind Runner and Spacer dan Cor d Driver Runner</v>
      </c>
      <c r="C457" s="2" t="str">
        <f>IFERROR(__xludf.DUMMYFUNCTION("""COMPUTED_VALUE"""),"O-18428-00")</f>
        <v>O-18428-00</v>
      </c>
      <c r="D457" s="2" t="str">
        <f>if(isna(vlookup(C457,'On Hand'!A:C,3,0)),"",vlookup(C457,'On Hand'!A:C,3,0))</f>
        <v/>
      </c>
    </row>
    <row r="458">
      <c r="A458" s="2" t="str">
        <f>IFERROR(__xludf.DUMMYFUNCTION("""COMPUTED_VALUE"""),"O-18445-00")</f>
        <v>O-18445-00</v>
      </c>
      <c r="B458" s="2" t="str">
        <f>IFERROR(__xludf.DUMMYFUNCTION("""COMPUTED_VALUE"""),"Tunnel ST1L - Oufeed Guide POM White")</f>
        <v>Tunnel ST1L - Oufeed Guide POM White</v>
      </c>
      <c r="C458" s="2" t="str">
        <f>IFERROR(__xludf.DUMMYFUNCTION("""COMPUTED_VALUE"""),"O-18445-00")</f>
        <v>O-18445-00</v>
      </c>
      <c r="D458" s="2" t="str">
        <f>if(isna(vlookup(C458,'On Hand'!A:C,3,0)),"",vlookup(C458,'On Hand'!A:C,3,0))</f>
        <v/>
      </c>
    </row>
    <row r="459">
      <c r="A459" s="2" t="str">
        <f>IFERROR(__xludf.DUMMYFUNCTION("""COMPUTED_VALUE"""),"O-18446-00")</f>
        <v>O-18446-00</v>
      </c>
      <c r="B459" s="2" t="str">
        <f>IFERROR(__xludf.DUMMYFUNCTION("""COMPUTED_VALUE"""),"General - Silicone Guide Infeed; Custom/Lokal; -; 1 Pc")</f>
        <v>General - Silicone Guide Infeed; Custom/Lokal; -; 1 Pc</v>
      </c>
      <c r="C459" s="2" t="str">
        <f>IFERROR(__xludf.DUMMYFUNCTION("""COMPUTED_VALUE"""),"O-18446-00")</f>
        <v>O-18446-00</v>
      </c>
      <c r="D459" s="2" t="str">
        <f>if(isna(vlookup(C459,'On Hand'!A:C,3,0)),"",vlookup(C459,'On Hand'!A:C,3,0))</f>
        <v>pc</v>
      </c>
    </row>
    <row r="460">
      <c r="A460" s="2" t="str">
        <f>IFERROR(__xludf.DUMMYFUNCTION("""COMPUTED_VALUE"""),"O-18447-00")</f>
        <v>O-18447-00</v>
      </c>
      <c r="B460" s="2" t="str">
        <f>IFERROR(__xludf.DUMMYFUNCTION("""COMPUTED_VALUE"""),"General - Silicone Guide Outfeed; Custom/Lokal; -; 1 Pc")</f>
        <v>General - Silicone Guide Outfeed; Custom/Lokal; -; 1 Pc</v>
      </c>
      <c r="C460" s="2" t="str">
        <f>IFERROR(__xludf.DUMMYFUNCTION("""COMPUTED_VALUE"""),"O-18447-00")</f>
        <v>O-18447-00</v>
      </c>
      <c r="D460" s="2" t="str">
        <f>if(isna(vlookup(C460,'On Hand'!A:C,3,0)),"",vlookup(C460,'On Hand'!A:C,3,0))</f>
        <v>pc</v>
      </c>
    </row>
    <row r="461">
      <c r="A461" s="2" t="str">
        <f>IFERROR(__xludf.DUMMYFUNCTION("""COMPUTED_VALUE"""),"O-18455-00")</f>
        <v>O-18455-00</v>
      </c>
      <c r="B461" s="2" t="str">
        <f>IFERROR(__xludf.DUMMYFUNCTION("""COMPUTED_VALUE"""),"Clamp Selang SS304 7/8"" (8-22mm); ; ;")</f>
        <v>Clamp Selang SS304 7/8" (8-22mm); ; ;</v>
      </c>
      <c r="C461" s="2" t="str">
        <f>IFERROR(__xludf.DUMMYFUNCTION("""COMPUTED_VALUE"""),"O-18455-00")</f>
        <v>O-18455-00</v>
      </c>
      <c r="D461" s="2" t="str">
        <f>if(isna(vlookup(C461,'On Hand'!A:C,3,0)),"",vlookup(C461,'On Hand'!A:C,3,0))</f>
        <v/>
      </c>
    </row>
    <row r="462">
      <c r="A462" s="2" t="str">
        <f>IFERROR(__xludf.DUMMYFUNCTION("""COMPUTED_VALUE"""),"O-18456-00")</f>
        <v>O-18456-00</v>
      </c>
      <c r="B462" s="2" t="str">
        <f>IFERROR(__xludf.DUMMYFUNCTION("""COMPUTED_VALUE"""),"Oring Material Viton Dia. 170 x 6.99 mm")</f>
        <v>Oring Material Viton Dia. 170 x 6.99 mm</v>
      </c>
      <c r="C462" s="2" t="str">
        <f>IFERROR(__xludf.DUMMYFUNCTION("""COMPUTED_VALUE"""),"O-18456-00")</f>
        <v>O-18456-00</v>
      </c>
      <c r="D462" s="2" t="str">
        <f>if(isna(vlookup(C462,'On Hand'!A:C,3,0)),"",vlookup(C462,'On Hand'!A:C,3,0))</f>
        <v>pc</v>
      </c>
    </row>
    <row r="463">
      <c r="A463" s="2" t="str">
        <f>IFERROR(__xludf.DUMMYFUNCTION("""COMPUTED_VALUE"""),"O-18504-00")</f>
        <v>O-18504-00</v>
      </c>
      <c r="B463" s="2" t="str">
        <f>IFERROR(__xludf.DUMMYFUNCTION("""COMPUTED_VALUE"""),"Baut hexagonal ss M6x15mm+Mur+Ring; ; ;")</f>
        <v>Baut hexagonal ss M6x15mm+Mur+Ring; ; ;</v>
      </c>
      <c r="C463" s="2" t="str">
        <f>IFERROR(__xludf.DUMMYFUNCTION("""COMPUTED_VALUE"""),"O-18504-00")</f>
        <v>O-18504-00</v>
      </c>
      <c r="D463" s="2" t="str">
        <f>if(isna(vlookup(C463,'On Hand'!A:C,3,0)),"",vlookup(C463,'On Hand'!A:C,3,0))</f>
        <v/>
      </c>
    </row>
    <row r="464">
      <c r="A464" s="2" t="str">
        <f>IFERROR(__xludf.DUMMYFUNCTION("""COMPUTED_VALUE"""),"O-18559-00")</f>
        <v>O-18559-00</v>
      </c>
      <c r="B464" s="2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4" s="2" t="str">
        <f>IFERROR(__xludf.DUMMYFUNCTION("""COMPUTED_VALUE"""),"O-18559-00")</f>
        <v>O-18559-00</v>
      </c>
      <c r="D464" s="2" t="str">
        <f>if(isna(vlookup(C464,'On Hand'!A:C,3,0)),"",vlookup(C464,'On Hand'!A:C,3,0))</f>
        <v>pc</v>
      </c>
    </row>
    <row r="465">
      <c r="A465" s="2" t="str">
        <f>IFERROR(__xludf.DUMMYFUNCTION("""COMPUTED_VALUE"""),"O-18560-00")</f>
        <v>O-18560-00</v>
      </c>
      <c r="B465" s="2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5" s="2" t="str">
        <f>IFERROR(__xludf.DUMMYFUNCTION("""COMPUTED_VALUE"""),"O-18560-00")</f>
        <v>O-18560-00</v>
      </c>
      <c r="D465" s="2" t="str">
        <f>if(isna(vlookup(C465,'On Hand'!A:C,3,0)),"",vlookup(C465,'On Hand'!A:C,3,0))</f>
        <v>pc</v>
      </c>
    </row>
    <row r="466">
      <c r="A466" s="2" t="str">
        <f>IFERROR(__xludf.DUMMYFUNCTION("""COMPUTED_VALUE"""),"O-18686-00")</f>
        <v>O-18686-00</v>
      </c>
      <c r="B466" s="2" t="str">
        <f>IFERROR(__xludf.DUMMYFUNCTION("""COMPUTED_VALUE"""),"Autoclave Fedegari FVA2/A1 NB2963AT - DN6-8 CLAMP P/N: GM100029; ; ;")</f>
        <v>Autoclave Fedegari FVA2/A1 NB2963AT - DN6-8 CLAMP P/N: GM100029; ; ;</v>
      </c>
      <c r="C466" s="2" t="str">
        <f>IFERROR(__xludf.DUMMYFUNCTION("""COMPUTED_VALUE"""),"O-18686-00")</f>
        <v>O-18686-00</v>
      </c>
      <c r="D466" s="2" t="str">
        <f>if(isna(vlookup(C466,'On Hand'!A:C,3,0)),"",vlookup(C466,'On Hand'!A:C,3,0))</f>
        <v>pc</v>
      </c>
    </row>
    <row r="467">
      <c r="A467" s="2" t="str">
        <f>IFERROR(__xludf.DUMMYFUNCTION("""COMPUTED_VALUE"""),"O-18687-00")</f>
        <v>O-18687-00</v>
      </c>
      <c r="B467" s="2" t="str">
        <f>IFERROR(__xludf.DUMMYFUNCTION("""COMPUTED_VALUE"""),"Autoclave Fedegari FVA2/A1 NB2963AT - DN10/DN16 CLAMP P/N: GM100017; ; ;")</f>
        <v>Autoclave Fedegari FVA2/A1 NB2963AT - DN10/DN16 CLAMP P/N: GM100017; ; ;</v>
      </c>
      <c r="C467" s="2" t="str">
        <f>IFERROR(__xludf.DUMMYFUNCTION("""COMPUTED_VALUE"""),"O-18687-00")</f>
        <v>O-18687-00</v>
      </c>
      <c r="D467" s="2" t="str">
        <f>if(isna(vlookup(C467,'On Hand'!A:C,3,0)),"",vlookup(C467,'On Hand'!A:C,3,0))</f>
        <v>pc</v>
      </c>
    </row>
    <row r="468">
      <c r="A468" s="2" t="str">
        <f>IFERROR(__xludf.DUMMYFUNCTION("""COMPUTED_VALUE"""),"O-18688-00")</f>
        <v>O-18688-00</v>
      </c>
      <c r="B468" s="2" t="str">
        <f>IFERROR(__xludf.DUMMYFUNCTION("""COMPUTED_VALUE"""),"Autoclave Fedegari FVA2/A1 NB2963AT - DN20/DN22 CLAMP P/N: GM100067; ; ;")</f>
        <v>Autoclave Fedegari FVA2/A1 NB2963AT - DN20/DN22 CLAMP P/N: GM100067; ; ;</v>
      </c>
      <c r="C468" s="2" t="str">
        <f>IFERROR(__xludf.DUMMYFUNCTION("""COMPUTED_VALUE"""),"O-18688-00")</f>
        <v>O-18688-00</v>
      </c>
      <c r="D468" s="2" t="str">
        <f>if(isna(vlookup(C468,'On Hand'!A:C,3,0)),"",vlookup(C468,'On Hand'!A:C,3,0))</f>
        <v>pc</v>
      </c>
    </row>
    <row r="469">
      <c r="A469" s="2" t="str">
        <f>IFERROR(__xludf.DUMMYFUNCTION("""COMPUTED_VALUE"""),"O-18690-00")</f>
        <v>O-18690-00</v>
      </c>
      <c r="B469" s="2" t="str">
        <f>IFERROR(__xludf.DUMMYFUNCTION("""COMPUTED_VALUE"""),"Autoclave Fedegari FVA2/A1 NB2963AT - DN48/DN50 CLAMP P/N: GM100049; ; ;")</f>
        <v>Autoclave Fedegari FVA2/A1 NB2963AT - DN48/DN50 CLAMP P/N: GM100049; ; ;</v>
      </c>
      <c r="C469" s="2" t="str">
        <f>IFERROR(__xludf.DUMMYFUNCTION("""COMPUTED_VALUE"""),"O-18690-00")</f>
        <v>O-18690-00</v>
      </c>
      <c r="D469" s="2" t="str">
        <f>if(isna(vlookup(C469,'On Hand'!A:C,3,0)),"",vlookup(C469,'On Hand'!A:C,3,0))</f>
        <v>pc</v>
      </c>
    </row>
    <row r="470">
      <c r="A470" s="2" t="str">
        <f>IFERROR(__xludf.DUMMYFUNCTION("""COMPUTED_VALUE"""),"O-18691-00")</f>
        <v>O-18691-00</v>
      </c>
      <c r="B470" s="2" t="str">
        <f>IFERROR(__xludf.DUMMYFUNCTION("""COMPUTED_VALUE"""),"Autoclave Fedegari FVA2/A1 NB2963AT - DN6 Blind CAP P/N: PM101233; ; ;")</f>
        <v>Autoclave Fedegari FVA2/A1 NB2963AT - DN6 Blind CAP P/N: PM101233; ; ;</v>
      </c>
      <c r="C470" s="2" t="str">
        <f>IFERROR(__xludf.DUMMYFUNCTION("""COMPUTED_VALUE"""),"O-18691-00")</f>
        <v>O-18691-00</v>
      </c>
      <c r="D470" s="2" t="str">
        <f>if(isna(vlookup(C470,'On Hand'!A:C,3,0)),"",vlookup(C470,'On Hand'!A:C,3,0))</f>
        <v>pc</v>
      </c>
    </row>
    <row r="471">
      <c r="A471" s="2" t="str">
        <f>IFERROR(__xludf.DUMMYFUNCTION("""COMPUTED_VALUE"""),"O-18692-00")</f>
        <v>O-18692-00</v>
      </c>
      <c r="B471" s="2" t="str">
        <f>IFERROR(__xludf.DUMMYFUNCTION("""COMPUTED_VALUE"""),"Autoclave Fedegari FVA2/A1 NB2963AT - DN10 Blind CAP P/N: PM102746; ; ;")</f>
        <v>Autoclave Fedegari FVA2/A1 NB2963AT - DN10 Blind CAP P/N: PM102746; ; ;</v>
      </c>
      <c r="C471" s="2" t="str">
        <f>IFERROR(__xludf.DUMMYFUNCTION("""COMPUTED_VALUE"""),"O-18692-00")</f>
        <v>O-18692-00</v>
      </c>
      <c r="D471" s="2" t="str">
        <f>if(isna(vlookup(C471,'On Hand'!A:C,3,0)),"",vlookup(C471,'On Hand'!A:C,3,0))</f>
        <v>pc</v>
      </c>
    </row>
    <row r="472">
      <c r="A472" s="2" t="str">
        <f>IFERROR(__xludf.DUMMYFUNCTION("""COMPUTED_VALUE"""),"O-18693-00")</f>
        <v>O-18693-00</v>
      </c>
      <c r="B472" s="2" t="str">
        <f>IFERROR(__xludf.DUMMYFUNCTION("""COMPUTED_VALUE"""),"Autoclave Fedegari FVA2/A1 NB2963AT - DN16 Blind CAP P/N:PM102747; ; ;")</f>
        <v>Autoclave Fedegari FVA2/A1 NB2963AT - DN16 Blind CAP P/N:PM102747; ; ;</v>
      </c>
      <c r="C472" s="2" t="str">
        <f>IFERROR(__xludf.DUMMYFUNCTION("""COMPUTED_VALUE"""),"O-18693-00")</f>
        <v>O-18693-00</v>
      </c>
      <c r="D472" s="2" t="str">
        <f>if(isna(vlookup(C472,'On Hand'!A:C,3,0)),"",vlookup(C472,'On Hand'!A:C,3,0))</f>
        <v>pc</v>
      </c>
    </row>
    <row r="473">
      <c r="A473" s="2" t="str">
        <f>IFERROR(__xludf.DUMMYFUNCTION("""COMPUTED_VALUE"""),"O-18694-00")</f>
        <v>O-18694-00</v>
      </c>
      <c r="B473" s="2" t="str">
        <f>IFERROR(__xludf.DUMMYFUNCTION("""COMPUTED_VALUE"""),"Autoclave Fedegari FVA2/A1 NB2963AT - DN22 Blind CAP P/N: PM102748; ; ;")</f>
        <v>Autoclave Fedegari FVA2/A1 NB2963AT - DN22 Blind CAP P/N: PM102748; ; ;</v>
      </c>
      <c r="C473" s="2" t="str">
        <f>IFERROR(__xludf.DUMMYFUNCTION("""COMPUTED_VALUE"""),"O-18694-00")</f>
        <v>O-18694-00</v>
      </c>
      <c r="D473" s="2" t="str">
        <f>if(isna(vlookup(C473,'On Hand'!A:C,3,0)),"",vlookup(C473,'On Hand'!A:C,3,0))</f>
        <v>pc</v>
      </c>
    </row>
    <row r="474">
      <c r="A474" s="2" t="str">
        <f>IFERROR(__xludf.DUMMYFUNCTION("""COMPUTED_VALUE"""),"O-18775-00")</f>
        <v>O-18775-00</v>
      </c>
      <c r="B474" s="2" t="str">
        <f>IFERROR(__xludf.DUMMYFUNCTION("""COMPUTED_VALUE"""),"General - Round Bar SS 8 MM; ; ;; -; -; 1 Pc")</f>
        <v>General - Round Bar SS 8 MM; ; ;; -; -; 1 Pc</v>
      </c>
      <c r="C474" s="2" t="str">
        <f>IFERROR(__xludf.DUMMYFUNCTION("""COMPUTED_VALUE"""),"O-18775-00")</f>
        <v>O-18775-00</v>
      </c>
      <c r="D474" s="2" t="str">
        <f>if(isna(vlookup(C474,'On Hand'!A:C,3,0)),"",vlookup(C474,'On Hand'!A:C,3,0))</f>
        <v/>
      </c>
    </row>
    <row r="475">
      <c r="A475" s="2" t="str">
        <f>IFERROR(__xludf.DUMMYFUNCTION("""COMPUTED_VALUE"""),"O-18827-00")</f>
        <v>O-18827-00</v>
      </c>
      <c r="B475" s="2" t="str">
        <f>IFERROR(__xludf.DUMMYFUNCTION("""COMPUTED_VALUE"""),"Side Arms kit; Sanco; P/N : EPT012551;")</f>
        <v>Side Arms kit; Sanco; P/N : EPT012551;</v>
      </c>
      <c r="C475" s="2" t="str">
        <f>IFERROR(__xludf.DUMMYFUNCTION("""COMPUTED_VALUE"""),"O-18827-00")</f>
        <v>O-18827-00</v>
      </c>
      <c r="D475" s="2" t="str">
        <f>if(isna(vlookup(C475,'On Hand'!A:C,3,0)),"",vlookup(C475,'On Hand'!A:C,3,0))</f>
        <v/>
      </c>
    </row>
    <row r="476">
      <c r="A476" s="2" t="str">
        <f>IFERROR(__xludf.DUMMYFUNCTION("""COMPUTED_VALUE"""),"O-18870-00")</f>
        <v>O-18870-00</v>
      </c>
      <c r="B476" s="2" t="str">
        <f>IFERROR(__xludf.DUMMYFUNCTION("""COMPUTED_VALUE"""),"Oring Silicone Merah 18.4x13x2.7 mm; ; ;")</f>
        <v>Oring Silicone Merah 18.4x13x2.7 mm; ; ;</v>
      </c>
      <c r="C476" s="2" t="str">
        <f>IFERROR(__xludf.DUMMYFUNCTION("""COMPUTED_VALUE"""),"O-18870-00")</f>
        <v>O-18870-00</v>
      </c>
      <c r="D476" s="2" t="str">
        <f>if(isna(vlookup(C476,'On Hand'!A:C,3,0)),"",vlookup(C476,'On Hand'!A:C,3,0))</f>
        <v>pc</v>
      </c>
    </row>
    <row r="477">
      <c r="A477" s="2" t="str">
        <f>IFERROR(__xludf.DUMMYFUNCTION("""COMPUTED_VALUE"""),"O-18876-00")</f>
        <v>O-18876-00</v>
      </c>
      <c r="B477" s="2" t="str">
        <f>IFERROR(__xludf.DUMMYFUNCTION("""COMPUTED_VALUE"""),"Oring Silicone Merah 40.6x37x1.8 mm; ; ;")</f>
        <v>Oring Silicone Merah 40.6x37x1.8 mm; ; ;</v>
      </c>
      <c r="C477" s="2" t="str">
        <f>IFERROR(__xludf.DUMMYFUNCTION("""COMPUTED_VALUE"""),"O-18876-00")</f>
        <v>O-18876-00</v>
      </c>
      <c r="D477" s="2" t="str">
        <f>if(isna(vlookup(C477,'On Hand'!A:C,3,0)),"",vlookup(C477,'On Hand'!A:C,3,0))</f>
        <v>pc</v>
      </c>
    </row>
    <row r="478">
      <c r="A478" s="2" t="str">
        <f>IFERROR(__xludf.DUMMYFUNCTION("""COMPUTED_VALUE"""),"O-18878-00")</f>
        <v>O-18878-00</v>
      </c>
      <c r="B478" s="2" t="str">
        <f>IFERROR(__xludf.DUMMYFUNCTION("""COMPUTED_VALUE"""),"Filling VFM100 - Load Cell Bridge Holder; ; ;")</f>
        <v>Filling VFM100 - Load Cell Bridge Holder; ; ;</v>
      </c>
      <c r="C478" s="2" t="str">
        <f>IFERROR(__xludf.DUMMYFUNCTION("""COMPUTED_VALUE"""),"O-18878-00")</f>
        <v>O-18878-00</v>
      </c>
      <c r="D478" s="2" t="str">
        <f>if(isna(vlookup(C478,'On Hand'!A:C,3,0)),"",vlookup(C478,'On Hand'!A:C,3,0))</f>
        <v/>
      </c>
    </row>
    <row r="479">
      <c r="A479" s="2" t="str">
        <f>IFERROR(__xludf.DUMMYFUNCTION("""COMPUTED_VALUE"""),"O-18890-00")</f>
        <v>O-18890-00</v>
      </c>
      <c r="B479" s="2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79" s="2" t="str">
        <f>IFERROR(__xludf.DUMMYFUNCTION("""COMPUTED_VALUE"""),"O-18890-00")</f>
        <v>O-18890-00</v>
      </c>
      <c r="D479" s="2" t="str">
        <f>if(isna(vlookup(C479,'On Hand'!A:C,3,0)),"",vlookup(C479,'On Hand'!A:C,3,0))</f>
        <v>pc</v>
      </c>
    </row>
    <row r="480">
      <c r="A480" s="2" t="str">
        <f>IFERROR(__xludf.DUMMYFUNCTION("""COMPUTED_VALUE"""),"O-18891-00")</f>
        <v>O-18891-00</v>
      </c>
      <c r="B480" s="2" t="str">
        <f>IFERROR(__xludf.DUMMYFUNCTION("""COMPUTED_VALUE"""),"Freeze Dryer MBE1207 - SV102 Coil 018F6857 DC24V p/n: EB15-00306; DANFOSS; ;")</f>
        <v>Freeze Dryer MBE1207 - SV102 Coil 018F6857 DC24V p/n: EB15-00306; DANFOSS; ;</v>
      </c>
      <c r="C480" s="2" t="str">
        <f>IFERROR(__xludf.DUMMYFUNCTION("""COMPUTED_VALUE"""),"O-18891-00")</f>
        <v>O-18891-00</v>
      </c>
      <c r="D480" s="2" t="str">
        <f>if(isna(vlookup(C480,'On Hand'!A:C,3,0)),"",vlookup(C480,'On Hand'!A:C,3,0))</f>
        <v>pc</v>
      </c>
    </row>
    <row r="481">
      <c r="A481" s="2" t="str">
        <f>IFERROR(__xludf.DUMMYFUNCTION("""COMPUTED_VALUE"""),"O-18892-00")</f>
        <v>O-18892-00</v>
      </c>
      <c r="B481" s="2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1" s="2" t="str">
        <f>IFERROR(__xludf.DUMMYFUNCTION("""COMPUTED_VALUE"""),"O-18892-00")</f>
        <v>O-18892-00</v>
      </c>
      <c r="D481" s="2" t="str">
        <f>if(isna(vlookup(C481,'On Hand'!A:C,3,0)),"",vlookup(C481,'On Hand'!A:C,3,0))</f>
        <v>pc</v>
      </c>
    </row>
    <row r="482">
      <c r="A482" s="2" t="str">
        <f>IFERROR(__xludf.DUMMYFUNCTION("""COMPUTED_VALUE"""),"O-18893-00")</f>
        <v>O-18893-00</v>
      </c>
      <c r="B482" s="2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2" s="2" t="str">
        <f>IFERROR(__xludf.DUMMYFUNCTION("""COMPUTED_VALUE"""),"O-18893-00")</f>
        <v>O-18893-00</v>
      </c>
      <c r="D482" s="2" t="str">
        <f>if(isna(vlookup(C482,'On Hand'!A:C,3,0)),"",vlookup(C482,'On Hand'!A:C,3,0))</f>
        <v>pc</v>
      </c>
    </row>
    <row r="483">
      <c r="A483" s="2" t="str">
        <f>IFERROR(__xludf.DUMMYFUNCTION("""COMPUTED_VALUE"""),"O-18897-00")</f>
        <v>O-18897-00</v>
      </c>
      <c r="B483" s="2" t="str">
        <f>IFERROR(__xludf.DUMMYFUNCTION("""COMPUTED_VALUE"""),"Oring Silicone 50x39.4x5.3 mm; ; ;")</f>
        <v>Oring Silicone 50x39.4x5.3 mm; ; ;</v>
      </c>
      <c r="C483" s="2" t="str">
        <f>IFERROR(__xludf.DUMMYFUNCTION("""COMPUTED_VALUE"""),"O-18897-00")</f>
        <v>O-18897-00</v>
      </c>
      <c r="D483" s="2" t="str">
        <f>if(isna(vlookup(C483,'On Hand'!A:C,3,0)),"",vlookup(C483,'On Hand'!A:C,3,0))</f>
        <v>pc</v>
      </c>
    </row>
    <row r="484">
      <c r="A484" s="2" t="str">
        <f>IFERROR(__xludf.DUMMYFUNCTION("""COMPUTED_VALUE"""),"O-18912-00")</f>
        <v>O-18912-00</v>
      </c>
      <c r="B484" s="2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4" s="2" t="str">
        <f>IFERROR(__xludf.DUMMYFUNCTION("""COMPUTED_VALUE"""),"O-18912-00")</f>
        <v>O-18912-00</v>
      </c>
      <c r="D484" s="2" t="str">
        <f>if(isna(vlookup(C484,'On Hand'!A:C,3,0)),"",vlookup(C484,'On Hand'!A:C,3,0))</f>
        <v>pc</v>
      </c>
    </row>
    <row r="485">
      <c r="A485" s="2" t="str">
        <f>IFERROR(__xludf.DUMMYFUNCTION("""COMPUTED_VALUE"""),"O-18913-00")</f>
        <v>O-18913-00</v>
      </c>
      <c r="B485" s="2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5" s="2" t="str">
        <f>IFERROR(__xludf.DUMMYFUNCTION("""COMPUTED_VALUE"""),"O-18913-00")</f>
        <v>O-18913-00</v>
      </c>
      <c r="D485" s="2" t="str">
        <f>if(isna(vlookup(C485,'On Hand'!A:C,3,0)),"",vlookup(C485,'On Hand'!A:C,3,0))</f>
        <v>pc</v>
      </c>
    </row>
    <row r="486">
      <c r="A486" s="2" t="str">
        <f>IFERROR(__xludf.DUMMYFUNCTION("""COMPUTED_VALUE"""),"O-18914-00")</f>
        <v>O-18914-00</v>
      </c>
      <c r="B486" s="2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6" s="2" t="str">
        <f>IFERROR(__xludf.DUMMYFUNCTION("""COMPUTED_VALUE"""),"O-18914-00")</f>
        <v>O-18914-00</v>
      </c>
      <c r="D486" s="2" t="str">
        <f>if(isna(vlookup(C486,'On Hand'!A:C,3,0)),"",vlookup(C486,'On Hand'!A:C,3,0))</f>
        <v>pc</v>
      </c>
    </row>
    <row r="487">
      <c r="A487" s="2" t="str">
        <f>IFERROR(__xludf.DUMMYFUNCTION("""COMPUTED_VALUE"""),"O-18915-00")</f>
        <v>O-18915-00</v>
      </c>
      <c r="B487" s="2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7" s="2" t="str">
        <f>IFERROR(__xludf.DUMMYFUNCTION("""COMPUTED_VALUE"""),"O-18915-00")</f>
        <v>O-18915-00</v>
      </c>
      <c r="D487" s="2" t="str">
        <f>if(isna(vlookup(C487,'On Hand'!A:C,3,0)),"",vlookup(C487,'On Hand'!A:C,3,0))</f>
        <v>pc</v>
      </c>
    </row>
    <row r="488">
      <c r="A488" s="2" t="str">
        <f>IFERROR(__xludf.DUMMYFUNCTION("""COMPUTED_VALUE"""),"O-18916-00")</f>
        <v>O-18916-00</v>
      </c>
      <c r="B488" s="2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8" s="2" t="str">
        <f>IFERROR(__xludf.DUMMYFUNCTION("""COMPUTED_VALUE"""),"O-18916-00")</f>
        <v>O-18916-00</v>
      </c>
      <c r="D488" s="2" t="str">
        <f>if(isna(vlookup(C488,'On Hand'!A:C,3,0)),"",vlookup(C488,'On Hand'!A:C,3,0))</f>
        <v>pc</v>
      </c>
    </row>
    <row r="489">
      <c r="A489" s="2" t="str">
        <f>IFERROR(__xludf.DUMMYFUNCTION("""COMPUTED_VALUE"""),"O-18917-00")</f>
        <v>O-18917-00</v>
      </c>
      <c r="B489" s="2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89" s="2" t="str">
        <f>IFERROR(__xludf.DUMMYFUNCTION("""COMPUTED_VALUE"""),"O-18917-00")</f>
        <v>O-18917-00</v>
      </c>
      <c r="D489" s="2" t="str">
        <f>if(isna(vlookup(C489,'On Hand'!A:C,3,0)),"",vlookup(C489,'On Hand'!A:C,3,0))</f>
        <v>pc</v>
      </c>
    </row>
    <row r="490">
      <c r="A490" s="2" t="str">
        <f>IFERROR(__xludf.DUMMYFUNCTION("""COMPUTED_VALUE"""),"O-18918-00")</f>
        <v>O-18918-00</v>
      </c>
      <c r="B490" s="2" t="str">
        <f>IFERROR(__xludf.DUMMYFUNCTION("""COMPUTED_VALUE"""),"Freeze Dryer MBE1207 - Oil Cooling Heat Exchanger B25THx20/1P-SC-S; SWEP; ;")</f>
        <v>Freeze Dryer MBE1207 - Oil Cooling Heat Exchanger B25THx20/1P-SC-S; SWEP; ;</v>
      </c>
      <c r="C490" s="2" t="str">
        <f>IFERROR(__xludf.DUMMYFUNCTION("""COMPUTED_VALUE"""),"O-18918-00")</f>
        <v>O-18918-00</v>
      </c>
      <c r="D490" s="2" t="str">
        <f>if(isna(vlookup(C490,'On Hand'!A:C,3,0)),"",vlookup(C490,'On Hand'!A:C,3,0))</f>
        <v>unt</v>
      </c>
    </row>
    <row r="491">
      <c r="A491" s="2" t="str">
        <f>IFERROR(__xludf.DUMMYFUNCTION("""COMPUTED_VALUE"""),"O-18929-00")</f>
        <v>O-18929-00</v>
      </c>
      <c r="B491" s="2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1" s="2" t="str">
        <f>IFERROR(__xludf.DUMMYFUNCTION("""COMPUTED_VALUE"""),"O-18929-00")</f>
        <v>O-18929-00</v>
      </c>
      <c r="D491" s="2" t="str">
        <f>if(isna(vlookup(C491,'On Hand'!A:C,3,0)),"",vlookup(C491,'On Hand'!A:C,3,0))</f>
        <v>pc</v>
      </c>
    </row>
    <row r="492">
      <c r="A492" s="2" t="str">
        <f>IFERROR(__xludf.DUMMYFUNCTION("""COMPUTED_VALUE"""),"O-18961-00")</f>
        <v>O-18961-00</v>
      </c>
      <c r="B492" s="2" t="str">
        <f>IFERROR(__xludf.DUMMYFUNCTION("""COMPUTED_VALUE"""),"Capping VCM200 - Blade; ; ;")</f>
        <v>Capping VCM200 - Blade; ; ;</v>
      </c>
      <c r="C492" s="2" t="str">
        <f>IFERROR(__xludf.DUMMYFUNCTION("""COMPUTED_VALUE"""),"O-18961-00")</f>
        <v>O-18961-00</v>
      </c>
      <c r="D492" s="2" t="str">
        <f>if(isna(vlookup(C492,'On Hand'!A:C,3,0)),"",vlookup(C492,'On Hand'!A:C,3,0))</f>
        <v/>
      </c>
    </row>
    <row r="493">
      <c r="A493" s="2" t="str">
        <f>IFERROR(__xludf.DUMMYFUNCTION("""COMPUTED_VALUE"""),"O-18962-00")</f>
        <v>O-18962-00</v>
      </c>
      <c r="B493" s="2" t="str">
        <f>IFERROR(__xludf.DUMMYFUNCTION("""COMPUTED_VALUE"""),"Capping VCM200 - Adjuster Screw Blade; ; ;")</f>
        <v>Capping VCM200 - Adjuster Screw Blade; ; ;</v>
      </c>
      <c r="C493" s="2" t="str">
        <f>IFERROR(__xludf.DUMMYFUNCTION("""COMPUTED_VALUE"""),"O-18962-00")</f>
        <v>O-18962-00</v>
      </c>
      <c r="D493" s="2" t="str">
        <f>if(isna(vlookup(C493,'On Hand'!A:C,3,0)),"",vlookup(C493,'On Hand'!A:C,3,0))</f>
        <v>pc</v>
      </c>
    </row>
    <row r="494">
      <c r="A494" s="2" t="str">
        <f>IFERROR(__xludf.DUMMYFUNCTION("""COMPUTED_VALUE"""),"O-18963-00")</f>
        <v>O-18963-00</v>
      </c>
      <c r="B494" s="2" t="str">
        <f>IFERROR(__xludf.DUMMYFUNCTION("""COMPUTED_VALUE"""),"Capping VCM200 - Clamp Holder; ; ;")</f>
        <v>Capping VCM200 - Clamp Holder; ; ;</v>
      </c>
      <c r="C494" s="2" t="str">
        <f>IFERROR(__xludf.DUMMYFUNCTION("""COMPUTED_VALUE"""),"O-18963-00")</f>
        <v>O-18963-00</v>
      </c>
      <c r="D494" s="2" t="str">
        <f>if(isna(vlookup(C494,'On Hand'!A:C,3,0)),"",vlookup(C494,'On Hand'!A:C,3,0))</f>
        <v>pc</v>
      </c>
    </row>
    <row r="495">
      <c r="A495" s="2" t="str">
        <f>IFERROR(__xludf.DUMMYFUNCTION("""COMPUTED_VALUE"""),"O-18964-00")</f>
        <v>O-18964-00</v>
      </c>
      <c r="B495" s="2" t="str">
        <f>IFERROR(__xludf.DUMMYFUNCTION("""COMPUTED_VALUE"""),"Capping VCM200 - Holder; ; ;")</f>
        <v>Capping VCM200 - Holder; ; ;</v>
      </c>
      <c r="C495" s="2" t="str">
        <f>IFERROR(__xludf.DUMMYFUNCTION("""COMPUTED_VALUE"""),"O-18964-00")</f>
        <v>O-18964-00</v>
      </c>
      <c r="D495" s="2" t="str">
        <f>if(isna(vlookup(C495,'On Hand'!A:C,3,0)),"",vlookup(C495,'On Hand'!A:C,3,0))</f>
        <v>pc</v>
      </c>
    </row>
    <row r="496">
      <c r="A496" s="2" t="str">
        <f>IFERROR(__xludf.DUMMYFUNCTION("""COMPUTED_VALUE"""),"O-18965-00")</f>
        <v>O-18965-00</v>
      </c>
      <c r="B496" s="2" t="str">
        <f>IFERROR(__xludf.DUMMYFUNCTION("""COMPUTED_VALUE"""),"Capping VCM200 - Spring Head; ; ;")</f>
        <v>Capping VCM200 - Spring Head; ; ;</v>
      </c>
      <c r="C496" s="2" t="str">
        <f>IFERROR(__xludf.DUMMYFUNCTION("""COMPUTED_VALUE"""),"O-18965-00")</f>
        <v>O-18965-00</v>
      </c>
      <c r="D496" s="2" t="str">
        <f>if(isna(vlookup(C496,'On Hand'!A:C,3,0)),"",vlookup(C496,'On Hand'!A:C,3,0))</f>
        <v>pc</v>
      </c>
    </row>
    <row r="497">
      <c r="A497" s="2" t="str">
        <f>IFERROR(__xludf.DUMMYFUNCTION("""COMPUTED_VALUE"""),"O-18966-00")</f>
        <v>O-18966-00</v>
      </c>
      <c r="B497" s="2" t="str">
        <f>IFERROR(__xludf.DUMMYFUNCTION("""COMPUTED_VALUE"""),"Capping VCM200 -  Ring Washer; ; ;")</f>
        <v>Capping VCM200 -  Ring Washer; ; ;</v>
      </c>
      <c r="C497" s="2" t="str">
        <f>IFERROR(__xludf.DUMMYFUNCTION("""COMPUTED_VALUE"""),"O-18966-00")</f>
        <v>O-18966-00</v>
      </c>
      <c r="D497" s="2" t="str">
        <f>if(isna(vlookup(C497,'On Hand'!A:C,3,0)),"",vlookup(C497,'On Hand'!A:C,3,0))</f>
        <v>pc</v>
      </c>
    </row>
    <row r="498">
      <c r="A498" s="2" t="str">
        <f>IFERROR(__xludf.DUMMYFUNCTION("""COMPUTED_VALUE"""),"O-18967-00")</f>
        <v>O-18967-00</v>
      </c>
      <c r="B498" s="2" t="str">
        <f>IFERROR(__xludf.DUMMYFUNCTION("""COMPUTED_VALUE"""),"Capping VCM200 - Washer A; ; ;")</f>
        <v>Capping VCM200 - Washer A; ; ;</v>
      </c>
      <c r="C498" s="2" t="str">
        <f>IFERROR(__xludf.DUMMYFUNCTION("""COMPUTED_VALUE"""),"O-18967-00")</f>
        <v>O-18967-00</v>
      </c>
      <c r="D498" s="2" t="str">
        <f>if(isna(vlookup(C498,'On Hand'!A:C,3,0)),"",vlookup(C498,'On Hand'!A:C,3,0))</f>
        <v>pc</v>
      </c>
    </row>
    <row r="499">
      <c r="A499" s="2" t="str">
        <f>IFERROR(__xludf.DUMMYFUNCTION("""COMPUTED_VALUE"""),"O-18968-00")</f>
        <v>O-18968-00</v>
      </c>
      <c r="B499" s="2" t="str">
        <f>IFERROR(__xludf.DUMMYFUNCTION("""COMPUTED_VALUE"""),"Capping VCM200 - Washer B; ; ;")</f>
        <v>Capping VCM200 - Washer B; ; ;</v>
      </c>
      <c r="C499" s="2" t="str">
        <f>IFERROR(__xludf.DUMMYFUNCTION("""COMPUTED_VALUE"""),"O-18968-00")</f>
        <v>O-18968-00</v>
      </c>
      <c r="D499" s="2" t="str">
        <f>if(isna(vlookup(C499,'On Hand'!A:C,3,0)),"",vlookup(C499,'On Hand'!A:C,3,0))</f>
        <v>pc</v>
      </c>
    </row>
    <row r="500">
      <c r="A500" s="2" t="str">
        <f>IFERROR(__xludf.DUMMYFUNCTION("""COMPUTED_VALUE"""),"O-18987-00")</f>
        <v>O-18987-00</v>
      </c>
      <c r="B500" s="2" t="str">
        <f>IFERROR(__xludf.DUMMYFUNCTION("""COMPUTED_VALUE"""),"Freeze Dryer MBE1207 - Oil Compressor RL 46H @5 Liter; EMKARATE; ;")</f>
        <v>Freeze Dryer MBE1207 - Oil Compressor RL 46H @5 Liter; EMKARATE; ;</v>
      </c>
      <c r="C500" s="2" t="str">
        <f>IFERROR(__xludf.DUMMYFUNCTION("""COMPUTED_VALUE"""),"O-18987-00")</f>
        <v>O-18987-00</v>
      </c>
      <c r="D500" s="2" t="str">
        <f>if(isna(vlookup(C500,'On Hand'!A:C,3,0)),"",vlookup(C500,'On Hand'!A:C,3,0))</f>
        <v/>
      </c>
    </row>
    <row r="501">
      <c r="A501" s="2" t="str">
        <f>IFERROR(__xludf.DUMMYFUNCTION("""COMPUTED_VALUE"""),"O-19003-00")</f>
        <v>O-19003-00</v>
      </c>
      <c r="B501" s="2" t="str">
        <f>IFERROR(__xludf.DUMMYFUNCTION("""COMPUTED_VALUE"""),"Misumi - Oil Free Bush JZF8-6; ; ;")</f>
        <v>Misumi - Oil Free Bush JZF8-6; ; ;</v>
      </c>
      <c r="C501" s="2" t="str">
        <f>IFERROR(__xludf.DUMMYFUNCTION("""COMPUTED_VALUE"""),"O-19003-00")</f>
        <v>O-19003-00</v>
      </c>
      <c r="D501" s="2" t="str">
        <f>if(isna(vlookup(C501,'On Hand'!A:C,3,0)),"",vlookup(C501,'On Hand'!A:C,3,0))</f>
        <v/>
      </c>
    </row>
    <row r="502">
      <c r="A502" s="2" t="str">
        <f>IFERROR(__xludf.DUMMYFUNCTION("""COMPUTED_VALUE"""),"O-19005-00")</f>
        <v>O-19005-00</v>
      </c>
      <c r="B502" s="2" t="str">
        <f>IFERROR(__xludf.DUMMYFUNCTION("""COMPUTED_VALUE"""),"Misumi - Linear Shaft PSFAA8-46-F11-P6-M3-N3; ; ;")</f>
        <v>Misumi - Linear Shaft PSFAA8-46-F11-P6-M3-N3; ; ;</v>
      </c>
      <c r="C502" s="2" t="str">
        <f>IFERROR(__xludf.DUMMYFUNCTION("""COMPUTED_VALUE"""),"O-19005-00")</f>
        <v>O-19005-00</v>
      </c>
      <c r="D502" s="2" t="str">
        <f>if(isna(vlookup(C502,'On Hand'!A:C,3,0)),"",vlookup(C502,'On Hand'!A:C,3,0))</f>
        <v>pc</v>
      </c>
    </row>
    <row r="503">
      <c r="A503" s="2" t="str">
        <f>IFERROR(__xludf.DUMMYFUNCTION("""COMPUTED_VALUE"""),"O-19039-00")</f>
        <v>O-19039-00</v>
      </c>
      <c r="B503" s="2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3" s="2" t="str">
        <f>IFERROR(__xludf.DUMMYFUNCTION("""COMPUTED_VALUE"""),"O-19039-00")</f>
        <v>O-19039-00</v>
      </c>
      <c r="D503" s="2" t="str">
        <f>if(isna(vlookup(C503,'On Hand'!A:C,3,0)),"",vlookup(C503,'On Hand'!A:C,3,0))</f>
        <v>pc</v>
      </c>
    </row>
    <row r="504">
      <c r="A504" s="2" t="str">
        <f>IFERROR(__xludf.DUMMYFUNCTION("""COMPUTED_VALUE"""),"O-19072-00")</f>
        <v>O-19072-00</v>
      </c>
      <c r="B504" s="2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4" s="2" t="str">
        <f>IFERROR(__xludf.DUMMYFUNCTION("""COMPUTED_VALUE"""),"O-19072-00")</f>
        <v>O-19072-00</v>
      </c>
      <c r="D504" s="2" t="str">
        <f>if(isna(vlookup(C504,'On Hand'!A:C,3,0)),"",vlookup(C504,'On Hand'!A:C,3,0))</f>
        <v/>
      </c>
    </row>
    <row r="505">
      <c r="A505" s="2" t="str">
        <f>IFERROR(__xludf.DUMMYFUNCTION("""COMPUTED_VALUE"""),"O-19073-00")</f>
        <v>O-19073-00</v>
      </c>
      <c r="B505" s="2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5" s="2" t="str">
        <f>IFERROR(__xludf.DUMMYFUNCTION("""COMPUTED_VALUE"""),"O-19073-00")</f>
        <v>O-19073-00</v>
      </c>
      <c r="D505" s="2" t="str">
        <f>if(isna(vlookup(C505,'On Hand'!A:C,3,0)),"",vlookup(C505,'On Hand'!A:C,3,0))</f>
        <v/>
      </c>
    </row>
    <row r="506">
      <c r="A506" s="2" t="str">
        <f>IFERROR(__xludf.DUMMYFUNCTION("""COMPUTED_VALUE"""),"O-19074-00")</f>
        <v>O-19074-00</v>
      </c>
      <c r="B506" s="2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6" s="2" t="str">
        <f>IFERROR(__xludf.DUMMYFUNCTION("""COMPUTED_VALUE"""),"O-19074-00")</f>
        <v>O-19074-00</v>
      </c>
      <c r="D506" s="2" t="str">
        <f>if(isna(vlookup(C506,'On Hand'!A:C,3,0)),"",vlookup(C506,'On Hand'!A:C,3,0))</f>
        <v/>
      </c>
    </row>
    <row r="507">
      <c r="A507" s="2" t="str">
        <f>IFERROR(__xludf.DUMMYFUNCTION("""COMPUTED_VALUE"""),"O-19075-00")</f>
        <v>O-19075-00</v>
      </c>
      <c r="B507" s="2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7" s="2" t="str">
        <f>IFERROR(__xludf.DUMMYFUNCTION("""COMPUTED_VALUE"""),"O-19075-00")</f>
        <v>O-19075-00</v>
      </c>
      <c r="D507" s="2" t="str">
        <f>if(isna(vlookup(C507,'On Hand'!A:C,3,0)),"",vlookup(C507,'On Hand'!A:C,3,0))</f>
        <v/>
      </c>
    </row>
    <row r="508">
      <c r="A508" s="2" t="str">
        <f>IFERROR(__xludf.DUMMYFUNCTION("""COMPUTED_VALUE"""),"O-19076-00")</f>
        <v>O-19076-00</v>
      </c>
      <c r="B508" s="2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8" s="2" t="str">
        <f>IFERROR(__xludf.DUMMYFUNCTION("""COMPUTED_VALUE"""),"O-19076-00")</f>
        <v>O-19076-00</v>
      </c>
      <c r="D508" s="2" t="str">
        <f>if(isna(vlookup(C508,'On Hand'!A:C,3,0)),"",vlookup(C508,'On Hand'!A:C,3,0))</f>
        <v/>
      </c>
    </row>
    <row r="509">
      <c r="A509" s="2" t="str">
        <f>IFERROR(__xludf.DUMMYFUNCTION("""COMPUTED_VALUE"""),"O-19077-00")</f>
        <v>O-19077-00</v>
      </c>
      <c r="B509" s="2" t="str">
        <f>IFERROR(__xludf.DUMMYFUNCTION("""COMPUTED_VALUE"""),"Autoclave Fedegari FVA2/A1 NB2963AT - Gasket Safety Valve; ; ;")</f>
        <v>Autoclave Fedegari FVA2/A1 NB2963AT - Gasket Safety Valve; ; ;</v>
      </c>
      <c r="C509" s="2" t="str">
        <f>IFERROR(__xludf.DUMMYFUNCTION("""COMPUTED_VALUE"""),"O-19077-00")</f>
        <v>O-19077-00</v>
      </c>
      <c r="D509" s="2" t="str">
        <f>if(isna(vlookup(C509,'On Hand'!A:C,3,0)),"",vlookup(C509,'On Hand'!A:C,3,0))</f>
        <v>pc</v>
      </c>
    </row>
    <row r="510">
      <c r="A510" s="2" t="str">
        <f>IFERROR(__xludf.DUMMYFUNCTION("""COMPUTED_VALUE"""),"O-19141-00")</f>
        <v>O-19141-00</v>
      </c>
      <c r="B510" s="2" t="str">
        <f>IFERROR(__xludf.DUMMYFUNCTION("""COMPUTED_VALUE"""),"Fitting Pneumatic QS 6mm x 1/8 inch Female; ; ;")</f>
        <v>Fitting Pneumatic QS 6mm x 1/8 inch Female; ; ;</v>
      </c>
      <c r="C510" s="2" t="str">
        <f>IFERROR(__xludf.DUMMYFUNCTION("""COMPUTED_VALUE"""),"O-19141-00")</f>
        <v>O-19141-00</v>
      </c>
      <c r="D510" s="2" t="str">
        <f>if(isna(vlookup(C510,'On Hand'!A:C,3,0)),"",vlookup(C510,'On Hand'!A:C,3,0))</f>
        <v/>
      </c>
    </row>
    <row r="511">
      <c r="A511" s="2" t="str">
        <f>IFERROR(__xludf.DUMMYFUNCTION("""COMPUTED_VALUE"""),"O-19145-00")</f>
        <v>O-19145-00</v>
      </c>
      <c r="B511" s="2" t="str">
        <f>IFERROR(__xludf.DUMMYFUNCTION("""COMPUTED_VALUE"""),"UPS Riello - Type Sentinel Pro SEP2200 Capacity : 2.2 KVA; ; ;")</f>
        <v>UPS Riello - Type Sentinel Pro SEP2200 Capacity : 2.2 KVA; ; ;</v>
      </c>
      <c r="C511" s="2" t="str">
        <f>IFERROR(__xludf.DUMMYFUNCTION("""COMPUTED_VALUE"""),"O-19145-00")</f>
        <v>O-19145-00</v>
      </c>
      <c r="D511" s="2" t="str">
        <f>if(isna(vlookup(C511,'On Hand'!A:C,3,0)),"",vlookup(C511,'On Hand'!A:C,3,0))</f>
        <v/>
      </c>
    </row>
    <row r="512">
      <c r="A512" s="2" t="str">
        <f>IFERROR(__xludf.DUMMYFUNCTION("""COMPUTED_VALUE"""),"O-19162-00")</f>
        <v>O-19162-00</v>
      </c>
      <c r="B512" s="2" t="str">
        <f>IFERROR(__xludf.DUMMYFUNCTION("""COMPUTED_VALUE"""),"Shaft Pengunci AlphaPort; Lokal; ;")</f>
        <v>Shaft Pengunci AlphaPort; Lokal; ;</v>
      </c>
      <c r="C512" s="2" t="str">
        <f>IFERROR(__xludf.DUMMYFUNCTION("""COMPUTED_VALUE"""),"O-19162-00")</f>
        <v>O-19162-00</v>
      </c>
      <c r="D512" s="2" t="str">
        <f>if(isna(vlookup(C512,'On Hand'!A:C,3,0)),"",vlookup(C512,'On Hand'!A:C,3,0))</f>
        <v/>
      </c>
    </row>
    <row r="513">
      <c r="A513" s="2" t="str">
        <f>IFERROR(__xludf.DUMMYFUNCTION("""COMPUTED_VALUE"""),"O-19164-00")</f>
        <v>O-19164-00</v>
      </c>
      <c r="B513" s="2" t="str">
        <f>IFERROR(__xludf.DUMMYFUNCTION("""COMPUTED_VALUE"""),"LINEAR SHAFT PSSFG12-306; Misumi; ;")</f>
        <v>LINEAR SHAFT PSSFG12-306; Misumi; ;</v>
      </c>
      <c r="C513" s="2" t="str">
        <f>IFERROR(__xludf.DUMMYFUNCTION("""COMPUTED_VALUE"""),"O-19164-00")</f>
        <v>O-19164-00</v>
      </c>
      <c r="D513" s="2" t="str">
        <f>if(isna(vlookup(C513,'On Hand'!A:C,3,0)),"",vlookup(C513,'On Hand'!A:C,3,0))</f>
        <v/>
      </c>
    </row>
    <row r="514">
      <c r="A514" s="2" t="str">
        <f>IFERROR(__xludf.DUMMYFUNCTION("""COMPUTED_VALUE"""),"O-19211-00")</f>
        <v>O-19211-00</v>
      </c>
      <c r="B514" s="2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4" s="2" t="str">
        <f>IFERROR(__xludf.DUMMYFUNCTION("""COMPUTED_VALUE"""),"O-19211-00")</f>
        <v>O-19211-00</v>
      </c>
      <c r="D514" s="2" t="str">
        <f>if(isna(vlookup(C514,'On Hand'!A:C,3,0)),"",vlookup(C514,'On Hand'!A:C,3,0))</f>
        <v>pc</v>
      </c>
    </row>
    <row r="515">
      <c r="A515" s="2" t="str">
        <f>IFERROR(__xludf.DUMMYFUNCTION("""COMPUTED_VALUE"""),"O-19212-00")</f>
        <v>O-19212-00</v>
      </c>
      <c r="B515" s="2" t="str">
        <f>IFERROR(__xludf.DUMMYFUNCTION("""COMPUTED_VALUE"""),"Freeze Dryer MBE1207 -  Orifice No. 03 068-2006; Danfoss; ;")</f>
        <v>Freeze Dryer MBE1207 -  Orifice No. 03 068-2006; Danfoss; ;</v>
      </c>
      <c r="C515" s="2" t="str">
        <f>IFERROR(__xludf.DUMMYFUNCTION("""COMPUTED_VALUE"""),"O-19212-00")</f>
        <v>O-19212-00</v>
      </c>
      <c r="D515" s="2" t="str">
        <f>if(isna(vlookup(C515,'On Hand'!A:C,3,0)),"",vlookup(C515,'On Hand'!A:C,3,0))</f>
        <v>pc</v>
      </c>
    </row>
    <row r="516">
      <c r="A516" s="2" t="str">
        <f>IFERROR(__xludf.DUMMYFUNCTION("""COMPUTED_VALUE"""),"O-19213-00")</f>
        <v>O-19213-00</v>
      </c>
      <c r="B516" s="2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6" s="2" t="str">
        <f>IFERROR(__xludf.DUMMYFUNCTION("""COMPUTED_VALUE"""),"O-19213-00")</f>
        <v>O-19213-00</v>
      </c>
      <c r="D516" s="2" t="str">
        <f>if(isna(vlookup(C516,'On Hand'!A:C,3,0)),"",vlookup(C516,'On Hand'!A:C,3,0))</f>
        <v>pc</v>
      </c>
    </row>
    <row r="517">
      <c r="A517" s="2" t="str">
        <f>IFERROR(__xludf.DUMMYFUNCTION("""COMPUTED_VALUE"""),"O-19214-00")</f>
        <v>O-19214-00</v>
      </c>
      <c r="B517" s="2" t="str">
        <f>IFERROR(__xludf.DUMMYFUNCTION("""COMPUTED_VALUE"""),"Freeze Dryer MBE1207 - Expansi Valve TE 5 067B3343 R404A/R507; Danfoss; ;")</f>
        <v>Freeze Dryer MBE1207 - Expansi Valve TE 5 067B3343 R404A/R507; Danfoss; ;</v>
      </c>
      <c r="C517" s="2" t="str">
        <f>IFERROR(__xludf.DUMMYFUNCTION("""COMPUTED_VALUE"""),"O-19214-00")</f>
        <v>O-19214-00</v>
      </c>
      <c r="D517" s="2" t="str">
        <f>if(isna(vlookup(C517,'On Hand'!A:C,3,0)),"",vlookup(C517,'On Hand'!A:C,3,0))</f>
        <v>pc</v>
      </c>
    </row>
    <row r="518">
      <c r="A518" s="2" t="str">
        <f>IFERROR(__xludf.DUMMYFUNCTION("""COMPUTED_VALUE"""),"O-19255-00")</f>
        <v>O-19255-00</v>
      </c>
      <c r="B518" s="2" t="str">
        <f>IFERROR(__xludf.DUMMYFUNCTION("""COMPUTED_VALUE"""),"Spring Tekan SS304 ID 10mm, OD 16mm, Tebal 3mm, Panjang 71.35mm; ; ;")</f>
        <v>Spring Tekan SS304 ID 10mm, OD 16mm, Tebal 3mm, Panjang 71.35mm; ; ;</v>
      </c>
      <c r="C518" s="2" t="str">
        <f>IFERROR(__xludf.DUMMYFUNCTION("""COMPUTED_VALUE"""),"O-19255-00")</f>
        <v>O-19255-00</v>
      </c>
      <c r="D518" s="2" t="str">
        <f>if(isna(vlookup(C518,'On Hand'!A:C,3,0)),"",vlookup(C518,'On Hand'!A:C,3,0))</f>
        <v/>
      </c>
    </row>
    <row r="519">
      <c r="A519" s="2" t="str">
        <f>IFERROR(__xludf.DUMMYFUNCTION("""COMPUTED_VALUE"""),"O-19256-00")</f>
        <v>O-19256-00</v>
      </c>
      <c r="B519" s="2" t="str">
        <f>IFERROR(__xludf.DUMMYFUNCTION("""COMPUTED_VALUE"""),"Grendel Pintu Sliding Stanless Steel; ; ;")</f>
        <v>Grendel Pintu Sliding Stanless Steel; ; ;</v>
      </c>
      <c r="C519" s="2" t="str">
        <f>IFERROR(__xludf.DUMMYFUNCTION("""COMPUTED_VALUE"""),"O-19256-00")</f>
        <v>O-19256-00</v>
      </c>
      <c r="D519" s="2" t="str">
        <f>if(isna(vlookup(C519,'On Hand'!A:C,3,0)),"",vlookup(C519,'On Hand'!A:C,3,0))</f>
        <v/>
      </c>
    </row>
    <row r="520">
      <c r="A520" s="2" t="str">
        <f>IFERROR(__xludf.DUMMYFUNCTION("""COMPUTED_VALUE"""),"O-19287-00")</f>
        <v>O-19287-00</v>
      </c>
      <c r="B520" s="2" t="str">
        <f>IFERROR(__xludf.DUMMYFUNCTION("""COMPUTED_VALUE"""),"Minihelic Differensial Pressure Gauge Model 2-5000-2KPA; Dwyer; ;")</f>
        <v>Minihelic Differensial Pressure Gauge Model 2-5000-2KPA; Dwyer; ;</v>
      </c>
      <c r="C520" s="2" t="str">
        <f>IFERROR(__xludf.DUMMYFUNCTION("""COMPUTED_VALUE"""),"O-19287-00")</f>
        <v>O-19287-00</v>
      </c>
      <c r="D520" s="2" t="str">
        <f>if(isna(vlookup(C520,'On Hand'!A:C,3,0)),"",vlookup(C520,'On Hand'!A:C,3,0))</f>
        <v/>
      </c>
    </row>
    <row r="521">
      <c r="A521" s="2" t="str">
        <f>IFERROR(__xludf.DUMMYFUNCTION("""COMPUTED_VALUE"""),"O-19288-00")</f>
        <v>O-19288-00</v>
      </c>
      <c r="B521" s="2" t="str">
        <f>IFERROR(__xludf.DUMMYFUNCTION("""COMPUTED_VALUE"""),"Gasket Gloves Leak Tester Port Mixing; GEMA; ;")</f>
        <v>Gasket Gloves Leak Tester Port Mixing; GEMA; ;</v>
      </c>
      <c r="C521" s="2" t="str">
        <f>IFERROR(__xludf.DUMMYFUNCTION("""COMPUTED_VALUE"""),"O-19288-00")</f>
        <v>O-19288-00</v>
      </c>
      <c r="D521" s="2" t="str">
        <f>if(isna(vlookup(C521,'On Hand'!A:C,3,0)),"",vlookup(C521,'On Hand'!A:C,3,0))</f>
        <v>pc</v>
      </c>
    </row>
    <row r="522">
      <c r="A522" s="2" t="str">
        <f>IFERROR(__xludf.DUMMYFUNCTION("""COMPUTED_VALUE"""),"O-19339-00")</f>
        <v>O-19339-00</v>
      </c>
      <c r="B522" s="2" t="str">
        <f>IFERROR(__xludf.DUMMYFUNCTION("""COMPUTED_VALUE"""),"Oring 2,5x6x11 mm, Material EPDM; ; ;")</f>
        <v>Oring 2,5x6x11 mm, Material EPDM; ; ;</v>
      </c>
      <c r="C522" s="2" t="str">
        <f>IFERROR(__xludf.DUMMYFUNCTION("""COMPUTED_VALUE"""),"O-19339-00")</f>
        <v>O-19339-00</v>
      </c>
      <c r="D522" s="2" t="str">
        <f>if(isna(vlookup(C522,'On Hand'!A:C,3,0)),"",vlookup(C522,'On Hand'!A:C,3,0))</f>
        <v>pc</v>
      </c>
    </row>
    <row r="523">
      <c r="A523" s="2" t="str">
        <f>IFERROR(__xludf.DUMMYFUNCTION("""COMPUTED_VALUE"""),"O-19340-00")</f>
        <v>O-19340-00</v>
      </c>
      <c r="B523" s="2" t="str">
        <f>IFERROR(__xludf.DUMMYFUNCTION("""COMPUTED_VALUE"""),"Washing RAR4 - Guide Rell Outfeed, Machining Plate Material Pom Putih; ; ;")</f>
        <v>Washing RAR4 - Guide Rell Outfeed, Machining Plate Material Pom Putih; ; ;</v>
      </c>
      <c r="C523" s="2" t="str">
        <f>IFERROR(__xludf.DUMMYFUNCTION("""COMPUTED_VALUE"""),"O-19340-00")</f>
        <v>O-19340-00</v>
      </c>
      <c r="D523" s="2" t="str">
        <f>if(isna(vlookup(C523,'On Hand'!A:C,3,0)),"",vlookup(C523,'On Hand'!A:C,3,0))</f>
        <v>pc</v>
      </c>
    </row>
    <row r="524">
      <c r="A524" s="2" t="str">
        <f>IFERROR(__xludf.DUMMYFUNCTION("""COMPUTED_VALUE"""),"O-19341-00")</f>
        <v>O-19341-00</v>
      </c>
      <c r="B524" s="2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4" s="2" t="str">
        <f>IFERROR(__xludf.DUMMYFUNCTION("""COMPUTED_VALUE"""),"O-19341-00")</f>
        <v>O-19341-00</v>
      </c>
      <c r="D524" s="2" t="str">
        <f>if(isna(vlookup(C524,'On Hand'!A:C,3,0)),"",vlookup(C524,'On Hand'!A:C,3,0))</f>
        <v>ST</v>
      </c>
    </row>
    <row r="525">
      <c r="A525" s="2" t="str">
        <f>IFERROR(__xludf.DUMMYFUNCTION("""COMPUTED_VALUE"""),"O-19342-00")</f>
        <v>O-19342-00</v>
      </c>
      <c r="B525" s="2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5" s="2" t="str">
        <f>IFERROR(__xludf.DUMMYFUNCTION("""COMPUTED_VALUE"""),"O-19342-00")</f>
        <v>O-19342-00</v>
      </c>
      <c r="D525" s="2" t="str">
        <f>if(isna(vlookup(C525,'On Hand'!A:C,3,0)),"",vlookup(C525,'On Hand'!A:C,3,0))</f>
        <v>pc</v>
      </c>
    </row>
    <row r="526">
      <c r="A526" s="2" t="str">
        <f>IFERROR(__xludf.DUMMYFUNCTION("""COMPUTED_VALUE"""),"O-19343-00")</f>
        <v>O-19343-00</v>
      </c>
      <c r="B526" s="2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6" s="2" t="str">
        <f>IFERROR(__xludf.DUMMYFUNCTION("""COMPUTED_VALUE"""),"O-19343-00")</f>
        <v>O-19343-00</v>
      </c>
      <c r="D526" s="2" t="str">
        <f>if(isna(vlookup(C526,'On Hand'!A:C,3,0)),"",vlookup(C526,'On Hand'!A:C,3,0))</f>
        <v>pc</v>
      </c>
    </row>
    <row r="527">
      <c r="A527" s="2" t="str">
        <f>IFERROR(__xludf.DUMMYFUNCTION("""COMPUTED_VALUE"""),"O-19344-00")</f>
        <v>O-19344-00</v>
      </c>
      <c r="B527" s="2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7" s="2" t="str">
        <f>IFERROR(__xludf.DUMMYFUNCTION("""COMPUTED_VALUE"""),"O-19344-00")</f>
        <v>O-19344-00</v>
      </c>
      <c r="D527" s="2" t="str">
        <f>if(isna(vlookup(C527,'On Hand'!A:C,3,0)),"",vlookup(C527,'On Hand'!A:C,3,0))</f>
        <v>pc</v>
      </c>
    </row>
    <row r="528">
      <c r="A528" s="2" t="str">
        <f>IFERROR(__xludf.DUMMYFUNCTION("""COMPUTED_VALUE"""),"O-19345-00")</f>
        <v>O-19345-00</v>
      </c>
      <c r="B528" s="2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8" s="2" t="str">
        <f>IFERROR(__xludf.DUMMYFUNCTION("""COMPUTED_VALUE"""),"O-19345-00")</f>
        <v>O-19345-00</v>
      </c>
      <c r="D528" s="2" t="str">
        <f>if(isna(vlookup(C528,'On Hand'!A:C,3,0)),"",vlookup(C528,'On Hand'!A:C,3,0))</f>
        <v>pc</v>
      </c>
    </row>
    <row r="529">
      <c r="A529" s="2" t="str">
        <f>IFERROR(__xludf.DUMMYFUNCTION("""COMPUTED_VALUE"""),"O-19346-00")</f>
        <v>O-19346-00</v>
      </c>
      <c r="B529" s="2" t="str">
        <f>IFERROR(__xludf.DUMMYFUNCTION("""COMPUTED_VALUE"""),"HEPA filter minipleat, size: 1220X610X93 H14; ; ;")</f>
        <v>HEPA filter minipleat, size: 1220X610X93 H14; ; ;</v>
      </c>
      <c r="C529" s="2" t="str">
        <f>IFERROR(__xludf.DUMMYFUNCTION("""COMPUTED_VALUE"""),"O-19346-00")</f>
        <v>O-19346-00</v>
      </c>
      <c r="D529" s="2" t="str">
        <f>if(isna(vlookup(C529,'On Hand'!A:C,3,0)),"",vlookup(C529,'On Hand'!A:C,3,0))</f>
        <v>pc</v>
      </c>
    </row>
    <row r="530">
      <c r="A530" s="2" t="str">
        <f>IFERROR(__xludf.DUMMYFUNCTION("""COMPUTED_VALUE"""),"O-19347-00")</f>
        <v>O-19347-00</v>
      </c>
      <c r="B530" s="2" t="str">
        <f>IFERROR(__xludf.DUMMYFUNCTION("""COMPUTED_VALUE"""),"HEPA filter minipleat, size: 1220X610X93 H13; ; ;")</f>
        <v>HEPA filter minipleat, size: 1220X610X93 H13; ; ;</v>
      </c>
      <c r="C530" s="2" t="str">
        <f>IFERROR(__xludf.DUMMYFUNCTION("""COMPUTED_VALUE"""),"O-19347-00")</f>
        <v>O-19347-00</v>
      </c>
      <c r="D530" s="2" t="str">
        <f>if(isna(vlookup(C530,'On Hand'!A:C,3,0)),"",vlookup(C530,'On Hand'!A:C,3,0))</f>
        <v>pc</v>
      </c>
    </row>
    <row r="531">
      <c r="A531" s="2" t="str">
        <f>IFERROR(__xludf.DUMMYFUNCTION("""COMPUTED_VALUE"""),"O-19348-00")</f>
        <v>O-19348-00</v>
      </c>
      <c r="B531" s="2" t="str">
        <f>IFERROR(__xludf.DUMMYFUNCTION("""COMPUTED_VALUE"""),"Flow Sensor for Aerosol Photometer ATI 2i PN: 5300167; ; ;")</f>
        <v>Flow Sensor for Aerosol Photometer ATI 2i PN: 5300167; ; ;</v>
      </c>
      <c r="C531" s="2" t="str">
        <f>IFERROR(__xludf.DUMMYFUNCTION("""COMPUTED_VALUE"""),"O-19348-00")</f>
        <v>O-19348-00</v>
      </c>
      <c r="D531" s="2" t="str">
        <f>if(isna(vlookup(C531,'On Hand'!A:C,3,0)),"",vlookup(C531,'On Hand'!A:C,3,0))</f>
        <v/>
      </c>
    </row>
    <row r="532">
      <c r="A532" s="2" t="str">
        <f>IFERROR(__xludf.DUMMYFUNCTION("""COMPUTED_VALUE"""),"O-19350-00")</f>
        <v>O-19350-00</v>
      </c>
      <c r="B532" s="2" t="str">
        <f>IFERROR(__xludf.DUMMYFUNCTION("""COMPUTED_VALUE"""),"Filter LSC For Aerosol Photometer ATI 2i PN: 5500180; ; ;")</f>
        <v>Filter LSC For Aerosol Photometer ATI 2i PN: 5500180; ; ;</v>
      </c>
      <c r="C532" s="2" t="str">
        <f>IFERROR(__xludf.DUMMYFUNCTION("""COMPUTED_VALUE"""),"O-19350-00")</f>
        <v>O-19350-00</v>
      </c>
      <c r="D532" s="2" t="str">
        <f>if(isna(vlookup(C532,'On Hand'!A:C,3,0)),"",vlookup(C532,'On Hand'!A:C,3,0))</f>
        <v/>
      </c>
    </row>
    <row r="533">
      <c r="A533" s="2" t="str">
        <f>IFERROR(__xludf.DUMMYFUNCTION("""COMPUTED_VALUE"""),"O-19372-00")</f>
        <v>O-19372-00</v>
      </c>
      <c r="B533" s="2" t="str">
        <f>IFERROR(__xludf.DUMMYFUNCTION("""COMPUTED_VALUE"""),"Washing RAR4 - Needle PW, OD.15mmx123mm, Material SS 319; ; ;")</f>
        <v>Washing RAR4 - Needle PW, OD.15mmx123mm, Material SS 319; ; ;</v>
      </c>
      <c r="C533" s="2" t="str">
        <f>IFERROR(__xludf.DUMMYFUNCTION("""COMPUTED_VALUE"""),"O-19372-00")</f>
        <v>O-19372-00</v>
      </c>
      <c r="D533" s="2" t="str">
        <f>if(isna(vlookup(C533,'On Hand'!A:C,3,0)),"",vlookup(C533,'On Hand'!A:C,3,0))</f>
        <v/>
      </c>
    </row>
    <row r="534">
      <c r="A534" s="2" t="str">
        <f>IFERROR(__xludf.DUMMYFUNCTION("""COMPUTED_VALUE"""),"O-19372-00")</f>
        <v>O-19372-00</v>
      </c>
      <c r="B534" s="2" t="str">
        <f>IFERROR(__xludf.DUMMYFUNCTION("""COMPUTED_VALUE"""),"Washing RAR4 - Needle PW, OD.15mmx123mm, Material SS 319; ; ;")</f>
        <v>Washing RAR4 - Needle PW, OD.15mmx123mm, Material SS 319; ; ;</v>
      </c>
      <c r="C534" s="2" t="str">
        <f>IFERROR(__xludf.DUMMYFUNCTION("""COMPUTED_VALUE"""),"O-19372-00")</f>
        <v>O-19372-00</v>
      </c>
      <c r="D534" s="2" t="str">
        <f>if(isna(vlookup(C534,'On Hand'!A:C,3,0)),"",vlookup(C534,'On Hand'!A:C,3,0))</f>
        <v/>
      </c>
    </row>
    <row r="535">
      <c r="A535" s="2" t="str">
        <f>IFERROR(__xludf.DUMMYFUNCTION("""COMPUTED_VALUE"""),"O-19373-00")</f>
        <v>O-19373-00</v>
      </c>
      <c r="B535" s="2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5" s="2" t="str">
        <f>IFERROR(__xludf.DUMMYFUNCTION("""COMPUTED_VALUE"""),"O-19373-00")</f>
        <v>O-19373-00</v>
      </c>
      <c r="D535" s="2" t="str">
        <f>if(isna(vlookup(C535,'On Hand'!A:C,3,0)),"",vlookup(C535,'On Hand'!A:C,3,0))</f>
        <v>pc</v>
      </c>
    </row>
    <row r="536">
      <c r="A536" s="2" t="str">
        <f>IFERROR(__xludf.DUMMYFUNCTION("""COMPUTED_VALUE"""),"O-19379-00")</f>
        <v>O-19379-00</v>
      </c>
      <c r="B536" s="2" t="str">
        <f>IFERROR(__xludf.DUMMYFUNCTION("""COMPUTED_VALUE"""),"Oli Refrigeration; Xaerus; XR 534-46;")</f>
        <v>Oli Refrigeration; Xaerus; XR 534-46;</v>
      </c>
      <c r="C536" s="2" t="str">
        <f>IFERROR(__xludf.DUMMYFUNCTION("""COMPUTED_VALUE"""),"O-19379-00")</f>
        <v>O-19379-00</v>
      </c>
      <c r="D536" s="2" t="str">
        <f>if(isna(vlookup(C536,'On Hand'!A:C,3,0)),"",vlookup(C536,'On Hand'!A:C,3,0))</f>
        <v>Can</v>
      </c>
    </row>
    <row r="537">
      <c r="A537" s="2" t="str">
        <f>IFERROR(__xludf.DUMMYFUNCTION("""COMPUTED_VALUE"""),"O-19380-00")</f>
        <v>O-19380-00</v>
      </c>
      <c r="B537" s="2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7" s="2" t="str">
        <f>IFERROR(__xludf.DUMMYFUNCTION("""COMPUTED_VALUE"""),"O-19380-00")</f>
        <v>O-19380-00</v>
      </c>
      <c r="D537" s="2" t="str">
        <f>if(isna(vlookup(C537,'On Hand'!A:C,3,0)),"",vlookup(C537,'On Hand'!A:C,3,0))</f>
        <v>pc</v>
      </c>
    </row>
    <row r="538">
      <c r="A538" s="2" t="str">
        <f>IFERROR(__xludf.DUMMYFUNCTION("""COMPUTED_VALUE"""),"O-19381-00")</f>
        <v>O-19381-00</v>
      </c>
      <c r="B538" s="2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8" s="2" t="str">
        <f>IFERROR(__xludf.DUMMYFUNCTION("""COMPUTED_VALUE"""),"O-19381-00")</f>
        <v>O-19381-00</v>
      </c>
      <c r="D538" s="2" t="str">
        <f>if(isna(vlookup(C538,'On Hand'!A:C,3,0)),"",vlookup(C538,'On Hand'!A:C,3,0))</f>
        <v>pc</v>
      </c>
    </row>
    <row r="539">
      <c r="A539" s="2" t="str">
        <f>IFERROR(__xludf.DUMMYFUNCTION("""COMPUTED_VALUE"""),"O-19382-00")</f>
        <v>O-19382-00</v>
      </c>
      <c r="B539" s="2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39" s="2" t="str">
        <f>IFERROR(__xludf.DUMMYFUNCTION("""COMPUTED_VALUE"""),"O-19382-00")</f>
        <v>O-19382-00</v>
      </c>
      <c r="D539" s="2" t="str">
        <f>if(isna(vlookup(C539,'On Hand'!A:C,3,0)),"",vlookup(C539,'On Hand'!A:C,3,0))</f>
        <v>pc</v>
      </c>
    </row>
    <row r="540">
      <c r="A540" s="2" t="str">
        <f>IFERROR(__xludf.DUMMYFUNCTION("""COMPUTED_VALUE"""),"O-19383-00")</f>
        <v>O-19383-00</v>
      </c>
      <c r="B540" s="2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0" s="2" t="str">
        <f>IFERROR(__xludf.DUMMYFUNCTION("""COMPUTED_VALUE"""),"O-19383-00")</f>
        <v>O-19383-00</v>
      </c>
      <c r="D540" s="2" t="str">
        <f>if(isna(vlookup(C540,'On Hand'!A:C,3,0)),"",vlookup(C540,'On Hand'!A:C,3,0))</f>
        <v>pc</v>
      </c>
    </row>
    <row r="541">
      <c r="A541" s="2" t="str">
        <f>IFERROR(__xludf.DUMMYFUNCTION("""COMPUTED_VALUE"""),"O-19384-00")</f>
        <v>O-19384-00</v>
      </c>
      <c r="B541" s="2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1" s="2" t="str">
        <f>IFERROR(__xludf.DUMMYFUNCTION("""COMPUTED_VALUE"""),"O-19384-00")</f>
        <v>O-19384-00</v>
      </c>
      <c r="D541" s="2" t="str">
        <f>if(isna(vlookup(C541,'On Hand'!A:C,3,0)),"",vlookup(C541,'On Hand'!A:C,3,0))</f>
        <v>pc</v>
      </c>
    </row>
    <row r="542">
      <c r="A542" s="2" t="str">
        <f>IFERROR(__xludf.DUMMYFUNCTION("""COMPUTED_VALUE"""),"O-19385-00")</f>
        <v>O-19385-00</v>
      </c>
      <c r="B542" s="2" t="str">
        <f>IFERROR(__xludf.DUMMYFUNCTION("""COMPUTED_VALUE"""),"HEPA FILTER 610 x 610 x 305 Class: F9 - 90-95%; Hencolin; ;")</f>
        <v>HEPA FILTER 610 x 610 x 305 Class: F9 - 90-95%; Hencolin; ;</v>
      </c>
      <c r="C542" s="2" t="str">
        <f>IFERROR(__xludf.DUMMYFUNCTION("""COMPUTED_VALUE"""),"O-19385-00")</f>
        <v>O-19385-00</v>
      </c>
      <c r="D542" s="2" t="str">
        <f>if(isna(vlookup(C542,'On Hand'!A:C,3,0)),"",vlookup(C542,'On Hand'!A:C,3,0))</f>
        <v/>
      </c>
    </row>
    <row r="543">
      <c r="A543" s="2" t="str">
        <f>IFERROR(__xludf.DUMMYFUNCTION("""COMPUTED_VALUE"""),"O-19386-00")</f>
        <v>O-19386-00</v>
      </c>
      <c r="B543" s="2" t="str">
        <f>IFERROR(__xludf.DUMMYFUNCTION("""COMPUTED_VALUE"""),"HEPA FILTER 610 x 610 x 305 Class: H14 - 99,999%; Hencolin; ;")</f>
        <v>HEPA FILTER 610 x 610 x 305 Class: H14 - 99,999%; Hencolin; ;</v>
      </c>
      <c r="C543" s="2" t="str">
        <f>IFERROR(__xludf.DUMMYFUNCTION("""COMPUTED_VALUE"""),"O-19386-00")</f>
        <v>O-19386-00</v>
      </c>
      <c r="D543" s="2" t="str">
        <f>if(isna(vlookup(C543,'On Hand'!A:C,3,0)),"",vlookup(C543,'On Hand'!A:C,3,0))</f>
        <v>pc</v>
      </c>
    </row>
    <row r="544">
      <c r="A544" s="2" t="str">
        <f>IFERROR(__xludf.DUMMYFUNCTION("""COMPUTED_VALUE"""),"O-19387-00")</f>
        <v>O-19387-00</v>
      </c>
      <c r="B544" s="2" t="str">
        <f>IFERROR(__xludf.DUMMYFUNCTION("""COMPUTED_VALUE"""),"HEPA filter minipleat, size: 610X610X69 H14; Hencolin; ;")</f>
        <v>HEPA filter minipleat, size: 610X610X69 H14; Hencolin; ;</v>
      </c>
      <c r="C544" s="2" t="str">
        <f>IFERROR(__xludf.DUMMYFUNCTION("""COMPUTED_VALUE"""),"O-19387-00")</f>
        <v>O-19387-00</v>
      </c>
      <c r="D544" s="2" t="str">
        <f>if(isna(vlookup(C544,'On Hand'!A:C,3,0)),"",vlookup(C544,'On Hand'!A:C,3,0))</f>
        <v/>
      </c>
    </row>
    <row r="545">
      <c r="A545" s="2" t="str">
        <f>IFERROR(__xludf.DUMMYFUNCTION("""COMPUTED_VALUE"""),"O-19388-00")</f>
        <v>O-19388-00</v>
      </c>
      <c r="B545" s="2" t="str">
        <f>IFERROR(__xludf.DUMMYFUNCTION("""COMPUTED_VALUE"""),"HEPA filter minipleat, size: 610X610X93 H14; Hencolin; ;")</f>
        <v>HEPA filter minipleat, size: 610X610X93 H14; Hencolin; ;</v>
      </c>
      <c r="C545" s="2" t="str">
        <f>IFERROR(__xludf.DUMMYFUNCTION("""COMPUTED_VALUE"""),"O-19388-00")</f>
        <v>O-19388-00</v>
      </c>
      <c r="D545" s="2" t="str">
        <f>if(isna(vlookup(C545,'On Hand'!A:C,3,0)),"",vlookup(C545,'On Hand'!A:C,3,0))</f>
        <v>pc</v>
      </c>
    </row>
    <row r="546">
      <c r="A546" s="2" t="str">
        <f>IFERROR(__xludf.DUMMYFUNCTION("""COMPUTED_VALUE"""),"O-19389-00")</f>
        <v>O-19389-00</v>
      </c>
      <c r="B546" s="2" t="str">
        <f>IFERROR(__xludf.DUMMYFUNCTION("""COMPUTED_VALUE"""),"HEPA filter minipleat, size: 610X305X93 H14; Hencolin; ;")</f>
        <v>HEPA filter minipleat, size: 610X305X93 H14; Hencolin; ;</v>
      </c>
      <c r="C546" s="2" t="str">
        <f>IFERROR(__xludf.DUMMYFUNCTION("""COMPUTED_VALUE"""),"O-19389-00")</f>
        <v>O-19389-00</v>
      </c>
      <c r="D546" s="2" t="str">
        <f>if(isna(vlookup(C546,'On Hand'!A:C,3,0)),"",vlookup(C546,'On Hand'!A:C,3,0))</f>
        <v>pc</v>
      </c>
    </row>
    <row r="547">
      <c r="A547" s="2" t="str">
        <f>IFERROR(__xludf.DUMMYFUNCTION("""COMPUTED_VALUE"""),"O-19390-00")</f>
        <v>O-19390-00</v>
      </c>
      <c r="B547" s="2" t="str">
        <f>IFERROR(__xludf.DUMMYFUNCTION("""COMPUTED_VALUE"""),"HEPA filter minipleat, size: 610X610X93 H13; Hencolin; ;")</f>
        <v>HEPA filter minipleat, size: 610X610X93 H13; Hencolin; ;</v>
      </c>
      <c r="C547" s="2" t="str">
        <f>IFERROR(__xludf.DUMMYFUNCTION("""COMPUTED_VALUE"""),"O-19390-00")</f>
        <v>O-19390-00</v>
      </c>
      <c r="D547" s="2" t="str">
        <f>if(isna(vlookup(C547,'On Hand'!A:C,3,0)),"",vlookup(C547,'On Hand'!A:C,3,0))</f>
        <v>pc</v>
      </c>
    </row>
    <row r="548">
      <c r="A548" s="2" t="str">
        <f>IFERROR(__xludf.DUMMYFUNCTION("""COMPUTED_VALUE"""),"O-19391-00")</f>
        <v>O-19391-00</v>
      </c>
      <c r="B548" s="2" t="str">
        <f>IFERROR(__xludf.DUMMYFUNCTION("""COMPUTED_VALUE"""),"HEPA filter minipleat, size: 610X305X93 H13; Hencolin; ;")</f>
        <v>HEPA filter minipleat, size: 610X305X93 H13; Hencolin; ;</v>
      </c>
      <c r="C548" s="2" t="str">
        <f>IFERROR(__xludf.DUMMYFUNCTION("""COMPUTED_VALUE"""),"O-19391-00")</f>
        <v>O-19391-00</v>
      </c>
      <c r="D548" s="2" t="str">
        <f>if(isna(vlookup(C548,'On Hand'!A:C,3,0)),"",vlookup(C548,'On Hand'!A:C,3,0))</f>
        <v>pc</v>
      </c>
    </row>
    <row r="549">
      <c r="A549" s="2" t="str">
        <f>IFERROR(__xludf.DUMMYFUNCTION("""COMPUTED_VALUE"""),"O-19392-00")</f>
        <v>O-19392-00</v>
      </c>
      <c r="B549" s="2" t="str">
        <f>IFERROR(__xludf.DUMMYFUNCTION("""COMPUTED_VALUE"""),"HEPA filter minipleat, size: 305X305X93 H13; Hencolin; ;")</f>
        <v>HEPA filter minipleat, size: 305X305X93 H13; Hencolin; ;</v>
      </c>
      <c r="C549" s="2" t="str">
        <f>IFERROR(__xludf.DUMMYFUNCTION("""COMPUTED_VALUE"""),"O-19392-00")</f>
        <v>O-19392-00</v>
      </c>
      <c r="D549" s="2" t="str">
        <f>if(isna(vlookup(C549,'On Hand'!A:C,3,0)),"",vlookup(C549,'On Hand'!A:C,3,0))</f>
        <v>pc</v>
      </c>
    </row>
    <row r="550">
      <c r="A550" s="2" t="str">
        <f>IFERROR(__xludf.DUMMYFUNCTION("""COMPUTED_VALUE"""),"O-19393-00")</f>
        <v>O-19393-00</v>
      </c>
      <c r="B550" s="2" t="str">
        <f>IFERROR(__xludf.DUMMYFUNCTION("""COMPUTED_VALUE"""),"Marchesini MA155 - BOCC. Scorrim. Antirotaz. D. 12 Bushing; ; A108121820;")</f>
        <v>Marchesini MA155 - BOCC. Scorrim. Antirotaz. D. 12 Bushing; ; A108121820;</v>
      </c>
      <c r="C550" s="2" t="str">
        <f>IFERROR(__xludf.DUMMYFUNCTION("""COMPUTED_VALUE"""),"O-19393-00")</f>
        <v>O-19393-00</v>
      </c>
      <c r="D550" s="2" t="str">
        <f>if(isna(vlookup(C550,'On Hand'!A:C,3,0)),"",vlookup(C550,'On Hand'!A:C,3,0))</f>
        <v>pc</v>
      </c>
    </row>
    <row r="551">
      <c r="A551" s="2" t="str">
        <f>IFERROR(__xludf.DUMMYFUNCTION("""COMPUTED_VALUE"""),"O-19394-00")</f>
        <v>O-19394-00</v>
      </c>
      <c r="B551" s="2" t="str">
        <f>IFERROR(__xludf.DUMMYFUNCTION("""COMPUTED_VALUE"""),"Marchesini MA155 - Testina Spingitore Head at Size; ; 3M0YI010003;")</f>
        <v>Marchesini MA155 - Testina Spingitore Head at Size; ; 3M0YI010003;</v>
      </c>
      <c r="C551" s="2" t="str">
        <f>IFERROR(__xludf.DUMMYFUNCTION("""COMPUTED_VALUE"""),"O-19394-00")</f>
        <v>O-19394-00</v>
      </c>
      <c r="D551" s="2" t="str">
        <f>if(isna(vlookup(C551,'On Hand'!A:C,3,0)),"",vlookup(C551,'On Hand'!A:C,3,0))</f>
        <v>pc</v>
      </c>
    </row>
    <row r="552">
      <c r="A552" s="2" t="str">
        <f>IFERROR(__xludf.DUMMYFUNCTION("""COMPUTED_VALUE"""),"O-19395-00")</f>
        <v>O-19395-00</v>
      </c>
      <c r="B552" s="2" t="str">
        <f>IFERROR(__xludf.DUMMYFUNCTION("""COMPUTED_VALUE"""),"Marchesini MA155 - STGM. Lama-Portalama Pusher Blade; ; 3M0YI040010;")</f>
        <v>Marchesini MA155 - STGM. Lama-Portalama Pusher Blade; ; 3M0YI040010;</v>
      </c>
      <c r="C552" s="2" t="str">
        <f>IFERROR(__xludf.DUMMYFUNCTION("""COMPUTED_VALUE"""),"O-19395-00")</f>
        <v>O-19395-00</v>
      </c>
      <c r="D552" s="2" t="str">
        <f>if(isna(vlookup(C552,'On Hand'!A:C,3,0)),"",vlookup(C552,'On Hand'!A:C,3,0))</f>
        <v/>
      </c>
    </row>
    <row r="553">
      <c r="A553" s="2" t="str">
        <f>IFERROR(__xludf.DUMMYFUNCTION("""COMPUTED_VALUE"""),"O-19396-00")</f>
        <v>O-19396-00</v>
      </c>
      <c r="B553" s="2" t="str">
        <f>IFERROR(__xludf.DUMMYFUNCTION("""COMPUTED_VALUE"""),"Capping VCM200 - Bracket Dudukan Sensor; ; ;")</f>
        <v>Capping VCM200 - Bracket Dudukan Sensor; ; ;</v>
      </c>
      <c r="C553" s="2" t="str">
        <f>IFERROR(__xludf.DUMMYFUNCTION("""COMPUTED_VALUE"""),"O-19396-00")</f>
        <v>O-19396-00</v>
      </c>
      <c r="D553" s="2" t="str">
        <f>if(isna(vlookup(C553,'On Hand'!A:C,3,0)),"",vlookup(C553,'On Hand'!A:C,3,0))</f>
        <v/>
      </c>
    </row>
    <row r="554">
      <c r="A554" s="2" t="str">
        <f>IFERROR(__xludf.DUMMYFUNCTION("""COMPUTED_VALUE"""),"O-19419-00")</f>
        <v>O-19419-00</v>
      </c>
      <c r="B554" s="2" t="str">
        <f>IFERROR(__xludf.DUMMYFUNCTION("""COMPUTED_VALUE"""),"Oli Vacuum Pump 330ml; Value; ;")</f>
        <v>Oli Vacuum Pump 330ml; Value; ;</v>
      </c>
      <c r="C554" s="2" t="str">
        <f>IFERROR(__xludf.DUMMYFUNCTION("""COMPUTED_VALUE"""),"O-19419-00")</f>
        <v>O-19419-00</v>
      </c>
      <c r="D554" s="2" t="str">
        <f>if(isna(vlookup(C554,'On Hand'!A:C,3,0)),"",vlookup(C554,'On Hand'!A:C,3,0))</f>
        <v>Can</v>
      </c>
    </row>
    <row r="555">
      <c r="A555" s="2" t="str">
        <f>IFERROR(__xludf.DUMMYFUNCTION("""COMPUTED_VALUE"""),"O-19422-00")</f>
        <v>O-19422-00</v>
      </c>
      <c r="B555" s="2" t="str">
        <f>IFERROR(__xludf.DUMMYFUNCTION("""COMPUTED_VALUE"""),"Baut Hexagonal SS304 M4 X 30mm+Mur+Ring; ; ;")</f>
        <v>Baut Hexagonal SS304 M4 X 30mm+Mur+Ring; ; ;</v>
      </c>
      <c r="C555" s="2" t="str">
        <f>IFERROR(__xludf.DUMMYFUNCTION("""COMPUTED_VALUE"""),"O-19422-00")</f>
        <v>O-19422-00</v>
      </c>
      <c r="D555" s="2" t="str">
        <f>if(isna(vlookup(C555,'On Hand'!A:C,3,0)),"",vlookup(C555,'On Hand'!A:C,3,0))</f>
        <v/>
      </c>
    </row>
    <row r="556">
      <c r="A556" s="2" t="str">
        <f>IFERROR(__xludf.DUMMYFUNCTION("""COMPUTED_VALUE"""),"O-19423-00")</f>
        <v>O-19423-00</v>
      </c>
      <c r="B556" s="2" t="str">
        <f>IFERROR(__xludf.DUMMYFUNCTION("""COMPUTED_VALUE"""),"Baut Hexagonal SS304 M6 X 30mm+Mur+Ring; ; ;; ; ;")</f>
        <v>Baut Hexagonal SS304 M6 X 30mm+Mur+Ring; ; ;; ; ;</v>
      </c>
      <c r="C556" s="2" t="str">
        <f>IFERROR(__xludf.DUMMYFUNCTION("""COMPUTED_VALUE"""),"O-19423-00")</f>
        <v>O-19423-00</v>
      </c>
      <c r="D556" s="2" t="str">
        <f>if(isna(vlookup(C556,'On Hand'!A:C,3,0)),"",vlookup(C556,'On Hand'!A:C,3,0))</f>
        <v/>
      </c>
    </row>
    <row r="557">
      <c r="A557" s="2" t="str">
        <f>IFERROR(__xludf.DUMMYFUNCTION("""COMPUTED_VALUE"""),"O-19424-00")</f>
        <v>O-19424-00</v>
      </c>
      <c r="B557" s="2" t="str">
        <f>IFERROR(__xludf.DUMMYFUNCTION("""COMPUTED_VALUE"""),"General - Baut Hexagonal, SS 304, M6 x 20 mm + Mur + Ring; No Brand; -; 1 pcs")</f>
        <v>General - Baut Hexagonal, SS 304, M6 x 20 mm + Mur + Ring; No Brand; -; 1 pcs</v>
      </c>
      <c r="C557" s="2" t="str">
        <f>IFERROR(__xludf.DUMMYFUNCTION("""COMPUTED_VALUE"""),"O-19424-00")</f>
        <v>O-19424-00</v>
      </c>
      <c r="D557" s="2" t="str">
        <f>if(isna(vlookup(C557,'On Hand'!A:C,3,0)),"",vlookup(C557,'On Hand'!A:C,3,0))</f>
        <v>pc</v>
      </c>
    </row>
    <row r="558">
      <c r="A558" s="2" t="str">
        <f>IFERROR(__xludf.DUMMYFUNCTION("""COMPUTED_VALUE"""),"O-19425-00")</f>
        <v>O-19425-00</v>
      </c>
      <c r="B558" s="2" t="str">
        <f>IFERROR(__xludf.DUMMYFUNCTION("""COMPUTED_VALUE"""),"Baut SS L M6 x 30 mm + Mur + Ring; ; ;; ; ;")</f>
        <v>Baut SS L M6 x 30 mm + Mur + Ring; ; ;; ; ;</v>
      </c>
      <c r="C558" s="2" t="str">
        <f>IFERROR(__xludf.DUMMYFUNCTION("""COMPUTED_VALUE"""),"O-19425-00")</f>
        <v>O-19425-00</v>
      </c>
      <c r="D558" s="2" t="str">
        <f>if(isna(vlookup(C558,'On Hand'!A:C,3,0)),"",vlookup(C558,'On Hand'!A:C,3,0))</f>
        <v/>
      </c>
    </row>
    <row r="559">
      <c r="A559" s="2" t="str">
        <f>IFERROR(__xludf.DUMMYFUNCTION("""COMPUTED_VALUE"""),"O-19426-00")</f>
        <v>O-19426-00</v>
      </c>
      <c r="B559" s="2" t="str">
        <f>IFERROR(__xludf.DUMMYFUNCTION("""COMPUTED_VALUE"""),"Baut SS L M3 x 20 mm + Mur + Ring; ; ;; ; ;")</f>
        <v>Baut SS L M3 x 20 mm + Mur + Ring; ; ;; ; ;</v>
      </c>
      <c r="C559" s="2" t="str">
        <f>IFERROR(__xludf.DUMMYFUNCTION("""COMPUTED_VALUE"""),"O-19426-00")</f>
        <v>O-19426-00</v>
      </c>
      <c r="D559" s="2" t="str">
        <f>if(isna(vlookup(C559,'On Hand'!A:C,3,0)),"",vlookup(C559,'On Hand'!A:C,3,0))</f>
        <v/>
      </c>
    </row>
    <row r="560">
      <c r="A560" s="2" t="str">
        <f>IFERROR(__xludf.DUMMYFUNCTION("""COMPUTED_VALUE"""),"O-19427-00")</f>
        <v>O-19427-00</v>
      </c>
      <c r="B560" s="2" t="str">
        <f>IFERROR(__xludf.DUMMYFUNCTION("""COMPUTED_VALUE"""),"General - Baut L, SS, M3 x 30 mm + Mur + Ring; No Brand; -; 1 pcs")</f>
        <v>General - Baut L, SS, M3 x 30 mm + Mur + Ring; No Brand; -; 1 pcs</v>
      </c>
      <c r="C560" s="2" t="str">
        <f>IFERROR(__xludf.DUMMYFUNCTION("""COMPUTED_VALUE"""),"O-19427-00")</f>
        <v>O-19427-00</v>
      </c>
      <c r="D560" s="2" t="str">
        <f>if(isna(vlookup(C560,'On Hand'!A:C,3,0)),"",vlookup(C560,'On Hand'!A:C,3,0))</f>
        <v/>
      </c>
    </row>
    <row r="561">
      <c r="A561" s="2" t="str">
        <f>IFERROR(__xludf.DUMMYFUNCTION("""COMPUTED_VALUE"""),"O-19428-00")</f>
        <v>O-19428-00</v>
      </c>
      <c r="B561" s="2" t="str">
        <f>IFERROR(__xludf.DUMMYFUNCTION("""COMPUTED_VALUE"""),"Baut SS L M4 x 20 mm + Mur + Ring; ; ;; ; ;; ; ;")</f>
        <v>Baut SS L M4 x 20 mm + Mur + Ring; ; ;; ; ;; ; ;</v>
      </c>
      <c r="C561" s="2" t="str">
        <f>IFERROR(__xludf.DUMMYFUNCTION("""COMPUTED_VALUE"""),"O-19428-00")</f>
        <v>O-19428-00</v>
      </c>
      <c r="D561" s="2" t="str">
        <f>if(isna(vlookup(C561,'On Hand'!A:C,3,0)),"",vlookup(C561,'On Hand'!A:C,3,0))</f>
        <v/>
      </c>
    </row>
    <row r="562">
      <c r="A562" s="2" t="str">
        <f>IFERROR(__xludf.DUMMYFUNCTION("""COMPUTED_VALUE"""),"O-19429-00")</f>
        <v>O-19429-00</v>
      </c>
      <c r="B562" s="2" t="str">
        <f>IFERROR(__xludf.DUMMYFUNCTION("""COMPUTED_VALUE"""),"General - Baut L, SS, M4 x 10 mm + Mur + Ring; No Brand; -; 1 pcs")</f>
        <v>General - Baut L, SS, M4 x 10 mm + Mur + Ring; No Brand; -; 1 pcs</v>
      </c>
      <c r="C562" s="2" t="str">
        <f>IFERROR(__xludf.DUMMYFUNCTION("""COMPUTED_VALUE"""),"O-19429-00")</f>
        <v>O-19429-00</v>
      </c>
      <c r="D562" s="2" t="str">
        <f>if(isna(vlookup(C562,'On Hand'!A:C,3,0)),"",vlookup(C562,'On Hand'!A:C,3,0))</f>
        <v>pc</v>
      </c>
    </row>
    <row r="563">
      <c r="A563" s="2" t="str">
        <f>IFERROR(__xludf.DUMMYFUNCTION("""COMPUTED_VALUE"""),"O-19430-00")</f>
        <v>O-19430-00</v>
      </c>
      <c r="B563" s="2" t="str">
        <f>IFERROR(__xludf.DUMMYFUNCTION("""COMPUTED_VALUE"""),"General - Baut L, SS, M5 x 20 mm + Mur + Ring; No Brand; -; 1 pcs")</f>
        <v>General - Baut L, SS, M5 x 20 mm + Mur + Ring; No Brand; -; 1 pcs</v>
      </c>
      <c r="C563" s="2" t="str">
        <f>IFERROR(__xludf.DUMMYFUNCTION("""COMPUTED_VALUE"""),"O-19430-00")</f>
        <v>O-19430-00</v>
      </c>
      <c r="D563" s="2" t="str">
        <f>if(isna(vlookup(C563,'On Hand'!A:C,3,0)),"",vlookup(C563,'On Hand'!A:C,3,0))</f>
        <v>pc</v>
      </c>
    </row>
    <row r="564">
      <c r="A564" s="2" t="str">
        <f>IFERROR(__xludf.DUMMYFUNCTION("""COMPUTED_VALUE"""),"O-19431-00")</f>
        <v>O-19431-00</v>
      </c>
      <c r="B564" s="2" t="str">
        <f>IFERROR(__xludf.DUMMYFUNCTION("""COMPUTED_VALUE"""),"General - Baut L, SS, M8 x 30 mm + Mur + Ring; No Brand; -; 1 pcs")</f>
        <v>General - Baut L, SS, M8 x 30 mm + Mur + Ring; No Brand; -; 1 pcs</v>
      </c>
      <c r="C564" s="2" t="str">
        <f>IFERROR(__xludf.DUMMYFUNCTION("""COMPUTED_VALUE"""),"O-19431-00")</f>
        <v>O-19431-00</v>
      </c>
      <c r="D564" s="2" t="str">
        <f>if(isna(vlookup(C564,'On Hand'!A:C,3,0)),"",vlookup(C564,'On Hand'!A:C,3,0))</f>
        <v>pc</v>
      </c>
    </row>
    <row r="565">
      <c r="A565" s="2" t="str">
        <f>IFERROR(__xludf.DUMMYFUNCTION("""COMPUTED_VALUE"""),"O-19432-00")</f>
        <v>O-19432-00</v>
      </c>
      <c r="B565" s="2" t="str">
        <f>IFERROR(__xludf.DUMMYFUNCTION("""COMPUTED_VALUE"""),"Baut SS L M8 x 20 mm + Mur + Ring; ; ;; ; ;; ; ;")</f>
        <v>Baut SS L M8 x 20 mm + Mur + Ring; ; ;; ; ;; ; ;</v>
      </c>
      <c r="C565" s="2" t="str">
        <f>IFERROR(__xludf.DUMMYFUNCTION("""COMPUTED_VALUE"""),"O-19432-00")</f>
        <v>O-19432-00</v>
      </c>
      <c r="D565" s="2" t="str">
        <f>if(isna(vlookup(C565,'On Hand'!A:C,3,0)),"",vlookup(C565,'On Hand'!A:C,3,0))</f>
        <v/>
      </c>
    </row>
    <row r="566">
      <c r="A566" s="2" t="str">
        <f>IFERROR(__xludf.DUMMYFUNCTION("""COMPUTED_VALUE"""),"O-19510-00")</f>
        <v>O-19510-00</v>
      </c>
      <c r="B566" s="2" t="str">
        <f>IFERROR(__xludf.DUMMYFUNCTION("""COMPUTED_VALUE"""),"Reducer Tembaga 1 5/8 Inch x 1 3/8 Inch; Lokal; ; 1 Pcs")</f>
        <v>Reducer Tembaga 1 5/8 Inch x 1 3/8 Inch; Lokal; ; 1 Pcs</v>
      </c>
      <c r="C566" s="2" t="str">
        <f>IFERROR(__xludf.DUMMYFUNCTION("""COMPUTED_VALUE"""),"O-19510-00")</f>
        <v>O-19510-00</v>
      </c>
      <c r="D566" s="2" t="str">
        <f>if(isna(vlookup(C566,'On Hand'!A:C,3,0)),"",vlookup(C566,'On Hand'!A:C,3,0))</f>
        <v>pc</v>
      </c>
    </row>
    <row r="567">
      <c r="A567" s="2" t="str">
        <f>IFERROR(__xludf.DUMMYFUNCTION("""COMPUTED_VALUE"""),"O-19511-00")</f>
        <v>O-19511-00</v>
      </c>
      <c r="B567" s="2" t="str">
        <f>IFERROR(__xludf.DUMMYFUNCTION("""COMPUTED_VALUE"""),"Reducer Tembaga 1 3/8 Inch x 7/8 Inch; Lokal; ; 1 Pcs")</f>
        <v>Reducer Tembaga 1 3/8 Inch x 7/8 Inch; Lokal; ; 1 Pcs</v>
      </c>
      <c r="C567" s="2" t="str">
        <f>IFERROR(__xludf.DUMMYFUNCTION("""COMPUTED_VALUE"""),"O-19511-00")</f>
        <v>O-19511-00</v>
      </c>
      <c r="D567" s="2" t="str">
        <f>if(isna(vlookup(C567,'On Hand'!A:C,3,0)),"",vlookup(C567,'On Hand'!A:C,3,0))</f>
        <v>pc</v>
      </c>
    </row>
    <row r="568">
      <c r="A568" s="2" t="str">
        <f>IFERROR(__xludf.DUMMYFUNCTION("""COMPUTED_VALUE"""),"O-19512-00")</f>
        <v>O-19512-00</v>
      </c>
      <c r="B568" s="2" t="str">
        <f>IFERROR(__xludf.DUMMYFUNCTION("""COMPUTED_VALUE"""),"Gasket Uk. 1,5 mm x 100 cm x 100 cm; Klingersil; C-4400;")</f>
        <v>Gasket Uk. 1,5 mm x 100 cm x 100 cm; Klingersil; C-4400;</v>
      </c>
      <c r="C568" s="2" t="str">
        <f>IFERROR(__xludf.DUMMYFUNCTION("""COMPUTED_VALUE"""),"O-19512-00")</f>
        <v>O-19512-00</v>
      </c>
      <c r="D568" s="2" t="str">
        <f>if(isna(vlookup(C568,'On Hand'!A:C,3,0)),"",vlookup(C568,'On Hand'!A:C,3,0))</f>
        <v/>
      </c>
    </row>
    <row r="569">
      <c r="A569" s="2" t="str">
        <f>IFERROR(__xludf.DUMMYFUNCTION("""COMPUTED_VALUE"""),"O-19521-00")</f>
        <v>O-19521-00</v>
      </c>
      <c r="B569" s="2" t="str">
        <f>IFERROR(__xludf.DUMMYFUNCTION("""COMPUTED_VALUE"""),"Ball Valve 7/8 inch; Castel; ;")</f>
        <v>Ball Valve 7/8 inch; Castel; ;</v>
      </c>
      <c r="C569" s="2" t="str">
        <f>IFERROR(__xludf.DUMMYFUNCTION("""COMPUTED_VALUE"""),"O-19521-00")</f>
        <v>O-19521-00</v>
      </c>
      <c r="D569" s="2" t="str">
        <f>if(isna(vlookup(C569,'On Hand'!A:C,3,0)),"",vlookup(C569,'On Hand'!A:C,3,0))</f>
        <v>pc</v>
      </c>
    </row>
    <row r="570">
      <c r="A570" s="2" t="str">
        <f>IFERROR(__xludf.DUMMYFUNCTION("""COMPUTED_VALUE"""),"O-19588-00")</f>
        <v>O-19588-00</v>
      </c>
      <c r="B570" s="2" t="str">
        <f>IFERROR(__xludf.DUMMYFUNCTION("""COMPUTED_VALUE"""),"Press Gauge 0-250 psi, Dia 2,5 inch, Drat 1/4 inch; No Brand; ;")</f>
        <v>Press Gauge 0-250 psi, Dia 2,5 inch, Drat 1/4 inch; No Brand; ;</v>
      </c>
      <c r="C570" s="2" t="str">
        <f>IFERROR(__xludf.DUMMYFUNCTION("""COMPUTED_VALUE"""),"O-19588-00")</f>
        <v>O-19588-00</v>
      </c>
      <c r="D570" s="2" t="str">
        <f>if(isna(vlookup(C570,'On Hand'!A:C,3,0)),"",vlookup(C570,'On Hand'!A:C,3,0))</f>
        <v>pc</v>
      </c>
    </row>
    <row r="571">
      <c r="A571" s="2" t="str">
        <f>IFERROR(__xludf.DUMMYFUNCTION("""COMPUTED_VALUE"""),"O-19589-00")</f>
        <v>O-19589-00</v>
      </c>
      <c r="B571" s="2" t="str">
        <f>IFERROR(__xludf.DUMMYFUNCTION("""COMPUTED_VALUE"""),"Press Gauge 0-500 Psi, Dia 2.5 Inch, Drat 1/4 Inch; No Brand; ;")</f>
        <v>Press Gauge 0-500 Psi, Dia 2.5 Inch, Drat 1/4 Inch; No Brand; ;</v>
      </c>
      <c r="C571" s="2" t="str">
        <f>IFERROR(__xludf.DUMMYFUNCTION("""COMPUTED_VALUE"""),"O-19589-00")</f>
        <v>O-19589-00</v>
      </c>
      <c r="D571" s="2" t="str">
        <f>if(isna(vlookup(C571,'On Hand'!A:C,3,0)),"",vlookup(C571,'On Hand'!A:C,3,0))</f>
        <v>pc</v>
      </c>
    </row>
    <row r="572">
      <c r="A572" s="2" t="str">
        <f>IFERROR(__xludf.DUMMYFUNCTION("""COMPUTED_VALUE"""),"O-19590-00")</f>
        <v>O-19590-00</v>
      </c>
      <c r="B572" s="2" t="str">
        <f>IFERROR(__xludf.DUMMYFUNCTION("""COMPUTED_VALUE"""),"Manifold Gauge, Hose 1.5 mtr; Tasco; ;")</f>
        <v>Manifold Gauge, Hose 1.5 mtr; Tasco; ;</v>
      </c>
      <c r="C572" s="2" t="str">
        <f>IFERROR(__xludf.DUMMYFUNCTION("""COMPUTED_VALUE"""),"O-19590-00")</f>
        <v>O-19590-00</v>
      </c>
      <c r="D572" s="2" t="str">
        <f>if(isna(vlookup(C572,'On Hand'!A:C,3,0)),"",vlookup(C572,'On Hand'!A:C,3,0))</f>
        <v/>
      </c>
    </row>
    <row r="573">
      <c r="A573" s="2" t="str">
        <f>IFERROR(__xludf.DUMMYFUNCTION("""COMPUTED_VALUE"""),"O-19591-00")</f>
        <v>O-19591-00</v>
      </c>
      <c r="B573" s="2" t="str">
        <f>IFERROR(__xludf.DUMMYFUNCTION("""COMPUTED_VALUE"""),"Grease for High Vacuum GR AR555; Kluber; ;")</f>
        <v>Grease for High Vacuum GR AR555; Kluber; ;</v>
      </c>
      <c r="C573" s="2" t="str">
        <f>IFERROR(__xludf.DUMMYFUNCTION("""COMPUTED_VALUE"""),"O-19591-00")</f>
        <v>O-19591-00</v>
      </c>
      <c r="D573" s="2" t="str">
        <f>if(isna(vlookup(C573,'On Hand'!A:C,3,0)),"",vlookup(C573,'On Hand'!A:C,3,0))</f>
        <v/>
      </c>
    </row>
    <row r="574">
      <c r="A574" s="2" t="str">
        <f>IFERROR(__xludf.DUMMYFUNCTION("""COMPUTED_VALUE"""),"O-19678-00")</f>
        <v>O-19678-00</v>
      </c>
      <c r="B574" s="2" t="str">
        <f>IFERROR(__xludf.DUMMYFUNCTION("""COMPUTED_VALUE"""),"Printhead Engine 60 Micron; ; P/N : 399-422;")</f>
        <v>Printhead Engine 60 Micron; ; P/N : 399-422;</v>
      </c>
      <c r="C574" s="2" t="str">
        <f>IFERROR(__xludf.DUMMYFUNCTION("""COMPUTED_VALUE"""),"O-19678-00")</f>
        <v>O-19678-00</v>
      </c>
      <c r="D574" s="2" t="str">
        <f>if(isna(vlookup(C574,'On Hand'!A:C,3,0)),"",vlookup(C574,'On Hand'!A:C,3,0))</f>
        <v/>
      </c>
    </row>
    <row r="575">
      <c r="A575" s="2" t="str">
        <f>IFERROR(__xludf.DUMMYFUNCTION("""COMPUTED_VALUE"""),"O-19679-00")</f>
        <v>O-19679-00</v>
      </c>
      <c r="B575" s="2" t="str">
        <f>IFERROR(__xludf.DUMMYFUNCTION("""COMPUTED_VALUE"""),"Part Lock Autoclave OD dia 12, p 55, material kuningan; Custom; ;")</f>
        <v>Part Lock Autoclave OD dia 12, p 55, material kuningan; Custom; ;</v>
      </c>
      <c r="C575" s="2" t="str">
        <f>IFERROR(__xludf.DUMMYFUNCTION("""COMPUTED_VALUE"""),"O-19679-00")</f>
        <v>O-19679-00</v>
      </c>
      <c r="D575" s="2" t="str">
        <f>if(isna(vlookup(C575,'On Hand'!A:C,3,0)),"",vlookup(C575,'On Hand'!A:C,3,0))</f>
        <v/>
      </c>
    </row>
    <row r="576">
      <c r="A576" s="2" t="str">
        <f>IFERROR(__xludf.DUMMYFUNCTION("""COMPUTED_VALUE"""),"O-19680-00")</f>
        <v>O-19680-00</v>
      </c>
      <c r="B576" s="2" t="str">
        <f>IFERROR(__xludf.DUMMYFUNCTION("""COMPUTED_VALUE"""),"Oring EPDM 5,02 x 19,58 x 29,51 mm; Custom; ;")</f>
        <v>Oring EPDM 5,02 x 19,58 x 29,51 mm; Custom; ;</v>
      </c>
      <c r="C576" s="2" t="str">
        <f>IFERROR(__xludf.DUMMYFUNCTION("""COMPUTED_VALUE"""),"O-19680-00")</f>
        <v>O-19680-00</v>
      </c>
      <c r="D576" s="2" t="str">
        <f>if(isna(vlookup(C576,'On Hand'!A:C,3,0)),"",vlookup(C576,'On Hand'!A:C,3,0))</f>
        <v/>
      </c>
    </row>
    <row r="577">
      <c r="A577" s="2" t="str">
        <f>IFERROR(__xludf.DUMMYFUNCTION("""COMPUTED_VALUE"""),"O-19685-00")</f>
        <v>O-19685-00</v>
      </c>
      <c r="B577" s="2" t="str">
        <f>IFERROR(__xludf.DUMMYFUNCTION("""COMPUTED_VALUE"""),"Coupling HRC Complete; STARKZ; 090FF;")</f>
        <v>Coupling HRC Complete; STARKZ; 090FF;</v>
      </c>
      <c r="C577" s="2" t="str">
        <f>IFERROR(__xludf.DUMMYFUNCTION("""COMPUTED_VALUE"""),"O-19685-00")</f>
        <v>O-19685-00</v>
      </c>
      <c r="D577" s="2" t="str">
        <f>if(isna(vlookup(C577,'On Hand'!A:C,3,0)),"",vlookup(C577,'On Hand'!A:C,3,0))</f>
        <v/>
      </c>
    </row>
    <row r="578">
      <c r="A578" s="2" t="str">
        <f>IFERROR(__xludf.DUMMYFUNCTION("""COMPUTED_VALUE"""),"O-19686-00")</f>
        <v>O-19686-00</v>
      </c>
      <c r="B578" s="2" t="str">
        <f>IFERROR(__xludf.DUMMYFUNCTION("""COMPUTED_VALUE"""),"Rubber Coupling HRC; Lokal; ;")</f>
        <v>Rubber Coupling HRC; Lokal; ;</v>
      </c>
      <c r="C578" s="2" t="str">
        <f>IFERROR(__xludf.DUMMYFUNCTION("""COMPUTED_VALUE"""),"O-19686-00")</f>
        <v>O-19686-00</v>
      </c>
      <c r="D578" s="2" t="str">
        <f>if(isna(vlookup(C578,'On Hand'!A:C,3,0)),"",vlookup(C578,'On Hand'!A:C,3,0))</f>
        <v/>
      </c>
    </row>
    <row r="579">
      <c r="A579" s="2" t="str">
        <f>IFERROR(__xludf.DUMMYFUNCTION("""COMPUTED_VALUE"""),"O-19687-00")</f>
        <v>O-19687-00</v>
      </c>
      <c r="B579" s="2" t="str">
        <f>IFERROR(__xludf.DUMMYFUNCTION("""COMPUTED_VALUE"""),"Tapper Bush Uk. 1108x16 mm; Lokal; ;")</f>
        <v>Tapper Bush Uk. 1108x16 mm; Lokal; ;</v>
      </c>
      <c r="C579" s="2" t="str">
        <f>IFERROR(__xludf.DUMMYFUNCTION("""COMPUTED_VALUE"""),"O-19687-00")</f>
        <v>O-19687-00</v>
      </c>
      <c r="D579" s="2" t="str">
        <f>if(isna(vlookup(C579,'On Hand'!A:C,3,0)),"",vlookup(C579,'On Hand'!A:C,3,0))</f>
        <v/>
      </c>
    </row>
    <row r="580">
      <c r="A580" s="2" t="str">
        <f>IFERROR(__xludf.DUMMYFUNCTION("""COMPUTED_VALUE"""),"O-19688-00")</f>
        <v>O-19688-00</v>
      </c>
      <c r="B580" s="2" t="str">
        <f>IFERROR(__xludf.DUMMYFUNCTION("""COMPUTED_VALUE"""),"Spares Kit Motor Replacement GV80; Edwards; P/N : A70212805;")</f>
        <v>Spares Kit Motor Replacement GV80; Edwards; P/N : A70212805;</v>
      </c>
      <c r="C580" s="2" t="str">
        <f>IFERROR(__xludf.DUMMYFUNCTION("""COMPUTED_VALUE"""),"O-19688-00")</f>
        <v>O-19688-00</v>
      </c>
      <c r="D580" s="2" t="str">
        <f>if(isna(vlookup(C580,'On Hand'!A:C,3,0)),"",vlookup(C580,'On Hand'!A:C,3,0))</f>
        <v/>
      </c>
    </row>
    <row r="581">
      <c r="A581" s="2" t="str">
        <f>IFERROR(__xludf.DUMMYFUNCTION("""COMPUTED_VALUE"""),"O-19689-00")</f>
        <v>O-19689-00</v>
      </c>
      <c r="B581" s="2" t="str">
        <f>IFERROR(__xludf.DUMMYFUNCTION("""COMPUTED_VALUE"""),"Routine Maintenance Kit GV80; Edwards; P/N : A70212825;")</f>
        <v>Routine Maintenance Kit GV80; Edwards; P/N : A70212825;</v>
      </c>
      <c r="C581" s="2" t="str">
        <f>IFERROR(__xludf.DUMMYFUNCTION("""COMPUTED_VALUE"""),"O-19689-00")</f>
        <v>O-19689-00</v>
      </c>
      <c r="D581" s="2" t="str">
        <f>if(isna(vlookup(C581,'On Hand'!A:C,3,0)),"",vlookup(C581,'On Hand'!A:C,3,0))</f>
        <v/>
      </c>
    </row>
    <row r="582">
      <c r="A582" s="2" t="str">
        <f>IFERROR(__xludf.DUMMYFUNCTION("""COMPUTED_VALUE"""),"O-19690-00")</f>
        <v>O-19690-00</v>
      </c>
      <c r="B582" s="2" t="str">
        <f>IFERROR(__xludf.DUMMYFUNCTION("""COMPUTED_VALUE"""),"Per Tekan SS304 ID 3,5 x OD 4,5 x P 53,5 mm; Lokal; ;")</f>
        <v>Per Tekan SS304 ID 3,5 x OD 4,5 x P 53,5 mm; Lokal; ;</v>
      </c>
      <c r="C582" s="2" t="str">
        <f>IFERROR(__xludf.DUMMYFUNCTION("""COMPUTED_VALUE"""),"O-19690-00")</f>
        <v>O-19690-00</v>
      </c>
      <c r="D582" s="2" t="str">
        <f>if(isna(vlookup(C582,'On Hand'!A:C,3,0)),"",vlookup(C582,'On Hand'!A:C,3,0))</f>
        <v>pc</v>
      </c>
    </row>
    <row r="583">
      <c r="A583" s="2" t="str">
        <f>IFERROR(__xludf.DUMMYFUNCTION("""COMPUTED_VALUE"""),"O-19691-00")</f>
        <v>O-19691-00</v>
      </c>
      <c r="B583" s="2" t="str">
        <f>IFERROR(__xludf.DUMMYFUNCTION("""COMPUTED_VALUE"""),"Capping VCM200 - Dudukan Sensor Counter 105 x 85 x 20 mm; Custom; ;")</f>
        <v>Capping VCM200 - Dudukan Sensor Counter 105 x 85 x 20 mm; Custom; ;</v>
      </c>
      <c r="C583" s="2" t="str">
        <f>IFERROR(__xludf.DUMMYFUNCTION("""COMPUTED_VALUE"""),"O-19691-00")</f>
        <v>O-19691-00</v>
      </c>
      <c r="D583" s="2" t="str">
        <f>if(isna(vlookup(C583,'On Hand'!A:C,3,0)),"",vlookup(C583,'On Hand'!A:C,3,0))</f>
        <v/>
      </c>
    </row>
    <row r="584">
      <c r="A584" s="2" t="str">
        <f>IFERROR(__xludf.DUMMYFUNCTION("""COMPUTED_VALUE"""),"O-19692-00")</f>
        <v>O-19692-00</v>
      </c>
      <c r="B584" s="2" t="str">
        <f>IFERROR(__xludf.DUMMYFUNCTION("""COMPUTED_VALUE"""),"Capping VCM200 - Box Counter SS 304 130 x 150 x 165 mm; Custom; ;")</f>
        <v>Capping VCM200 - Box Counter SS 304 130 x 150 x 165 mm; Custom; ;</v>
      </c>
      <c r="C584" s="2" t="str">
        <f>IFERROR(__xludf.DUMMYFUNCTION("""COMPUTED_VALUE"""),"O-19692-00")</f>
        <v>O-19692-00</v>
      </c>
      <c r="D584" s="2" t="str">
        <f>if(isna(vlookup(C584,'On Hand'!A:C,3,0)),"",vlookup(C584,'On Hand'!A:C,3,0))</f>
        <v>pc</v>
      </c>
    </row>
    <row r="585">
      <c r="A585" s="2" t="str">
        <f>IFERROR(__xludf.DUMMYFUNCTION("""COMPUTED_VALUE"""),"O-19693-00")</f>
        <v>O-19693-00</v>
      </c>
      <c r="B585" s="2" t="str">
        <f>IFERROR(__xludf.DUMMYFUNCTION("""COMPUTED_VALUE"""),"Bracket Dudukan Sensor Zometa 20 x 20 x 42 mm; Custom; ;")</f>
        <v>Bracket Dudukan Sensor Zometa 20 x 20 x 42 mm; Custom; ;</v>
      </c>
      <c r="C585" s="2" t="str">
        <f>IFERROR(__xludf.DUMMYFUNCTION("""COMPUTED_VALUE"""),"O-19693-00")</f>
        <v>O-19693-00</v>
      </c>
      <c r="D585" s="2" t="str">
        <f>if(isna(vlookup(C585,'On Hand'!A:C,3,0)),"",vlookup(C585,'On Hand'!A:C,3,0))</f>
        <v/>
      </c>
    </row>
    <row r="586">
      <c r="A586" s="2" t="str">
        <f>IFERROR(__xludf.DUMMYFUNCTION("""COMPUTED_VALUE"""),"O-19740-00")</f>
        <v>O-19740-00</v>
      </c>
      <c r="B586" s="2" t="str">
        <f>IFERROR(__xludf.DUMMYFUNCTION("""COMPUTED_VALUE"""),"HB Series H13 99,99%, on 0.3 Micron, Size 592 x 592 x 292 mm; IAF; ;")</f>
        <v>HB Series H13 99,99%, on 0.3 Micron, Size 592 x 592 x 292 mm; IAF; ;</v>
      </c>
      <c r="C586" s="2" t="str">
        <f>IFERROR(__xludf.DUMMYFUNCTION("""COMPUTED_VALUE"""),"O-19740-00")</f>
        <v>O-19740-00</v>
      </c>
      <c r="D586" s="2" t="str">
        <f>if(isna(vlookup(C586,'On Hand'!A:C,3,0)),"",vlookup(C586,'On Hand'!A:C,3,0))</f>
        <v/>
      </c>
    </row>
    <row r="587">
      <c r="A587" s="2" t="str">
        <f>IFERROR(__xludf.DUMMYFUNCTION("""COMPUTED_VALUE"""),"O-19777-00")</f>
        <v>O-19777-00</v>
      </c>
      <c r="B587" s="2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7" s="2" t="str">
        <f>IFERROR(__xludf.DUMMYFUNCTION("""COMPUTED_VALUE"""),"O-19777-00")</f>
        <v>O-19777-00</v>
      </c>
      <c r="D587" s="2" t="str">
        <f>if(isna(vlookup(C587,'On Hand'!A:C,3,0)),"",vlookup(C587,'On Hand'!A:C,3,0))</f>
        <v>pc</v>
      </c>
    </row>
    <row r="588">
      <c r="A588" s="2" t="str">
        <f>IFERROR(__xludf.DUMMYFUNCTION("""COMPUTED_VALUE"""),"O-19779-00")</f>
        <v>O-19779-00</v>
      </c>
      <c r="B588" s="2" t="str">
        <f>IFERROR(__xludf.DUMMYFUNCTION("""COMPUTED_VALUE"""),"Part Tunnel Qualifikasi Uk. 735x 450x 245, Material SUS 304; Custom; ;")</f>
        <v>Part Tunnel Qualifikasi Uk. 735x 450x 245, Material SUS 304; Custom; ;</v>
      </c>
      <c r="C588" s="2" t="str">
        <f>IFERROR(__xludf.DUMMYFUNCTION("""COMPUTED_VALUE"""),"O-19779-00")</f>
        <v>O-19779-00</v>
      </c>
      <c r="D588" s="2" t="str">
        <f>if(isna(vlookup(C588,'On Hand'!A:C,3,0)),"",vlookup(C588,'On Hand'!A:C,3,0))</f>
        <v/>
      </c>
    </row>
    <row r="589">
      <c r="A589" s="2" t="str">
        <f>IFERROR(__xludf.DUMMYFUNCTION("""COMPUTED_VALUE"""),"O-19780-00")</f>
        <v>O-19780-00</v>
      </c>
      <c r="B589" s="2" t="str">
        <f>IFERROR(__xludf.DUMMYFUNCTION("""COMPUTED_VALUE"""),"Stand Print Head Video Jet Uk. 1248 x 1165 mm Material SUS 304; Custom; ;")</f>
        <v>Stand Print Head Video Jet Uk. 1248 x 1165 mm Material SUS 304; Custom; ;</v>
      </c>
      <c r="C589" s="2" t="str">
        <f>IFERROR(__xludf.DUMMYFUNCTION("""COMPUTED_VALUE"""),"O-19780-00")</f>
        <v>O-19780-00</v>
      </c>
      <c r="D589" s="2" t="str">
        <f>if(isna(vlookup(C589,'On Hand'!A:C,3,0)),"",vlookup(C589,'On Hand'!A:C,3,0))</f>
        <v/>
      </c>
    </row>
    <row r="590">
      <c r="A590" s="2" t="str">
        <f>IFERROR(__xludf.DUMMYFUNCTION("""COMPUTED_VALUE"""),"O-19781-00")</f>
        <v>O-19781-00</v>
      </c>
      <c r="B590" s="2" t="str">
        <f>IFERROR(__xludf.DUMMYFUNCTION("""COMPUTED_VALUE"""),"Shaft Bearing Rod End Pusher Cartoning M6 x 110 Material SUS 304; Custom; ;")</f>
        <v>Shaft Bearing Rod End Pusher Cartoning M6 x 110 Material SUS 304; Custom; ;</v>
      </c>
      <c r="C590" s="2" t="str">
        <f>IFERROR(__xludf.DUMMYFUNCTION("""COMPUTED_VALUE"""),"O-19781-00")</f>
        <v>O-19781-00</v>
      </c>
      <c r="D590" s="2" t="str">
        <f>if(isna(vlookup(C590,'On Hand'!A:C,3,0)),"",vlookup(C590,'On Hand'!A:C,3,0))</f>
        <v>pc</v>
      </c>
    </row>
    <row r="591">
      <c r="A591" s="2" t="str">
        <f>IFERROR(__xludf.DUMMYFUNCTION("""COMPUTED_VALUE"""),"O-19782-00")</f>
        <v>O-19782-00</v>
      </c>
      <c r="B591" s="2" t="str">
        <f>IFERROR(__xludf.DUMMYFUNCTION("""COMPUTED_VALUE"""),"Shaft Pusher Cartoning Marchesini Uk. 16 x 530; Custom; ;")</f>
        <v>Shaft Pusher Cartoning Marchesini Uk. 16 x 530; Custom; ;</v>
      </c>
      <c r="C591" s="2" t="str">
        <f>IFERROR(__xludf.DUMMYFUNCTION("""COMPUTED_VALUE"""),"O-19782-00")</f>
        <v>O-19782-00</v>
      </c>
      <c r="D591" s="2" t="str">
        <f>if(isna(vlookup(C591,'On Hand'!A:C,3,0)),"",vlookup(C591,'On Hand'!A:C,3,0))</f>
        <v/>
      </c>
    </row>
    <row r="592">
      <c r="A592" s="2" t="str">
        <f>IFERROR(__xludf.DUMMYFUNCTION("""COMPUTED_VALUE"""),"O-19783-00")</f>
        <v>O-19783-00</v>
      </c>
      <c r="B592" s="2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2" s="2" t="str">
        <f>IFERROR(__xludf.DUMMYFUNCTION("""COMPUTED_VALUE"""),"O-19783-00")</f>
        <v>O-19783-00</v>
      </c>
      <c r="D592" s="2" t="str">
        <f>if(isna(vlookup(C592,'On Hand'!A:C,3,0)),"",vlookup(C592,'On Hand'!A:C,3,0))</f>
        <v>pc</v>
      </c>
    </row>
    <row r="593">
      <c r="A593" s="2" t="str">
        <f>IFERROR(__xludf.DUMMYFUNCTION("""COMPUTED_VALUE"""),"O-19784-00")</f>
        <v>O-19784-00</v>
      </c>
      <c r="B593" s="2" t="str">
        <f>IFERROR(__xludf.DUMMYFUNCTION("""COMPUTED_VALUE"""),"Wadah Vial 6 R Uk. 48x 115x 285 Material Akrilik; Custom; ;")</f>
        <v>Wadah Vial 6 R Uk. 48x 115x 285 Material Akrilik; Custom; ;</v>
      </c>
      <c r="C593" s="2" t="str">
        <f>IFERROR(__xludf.DUMMYFUNCTION("""COMPUTED_VALUE"""),"O-19784-00")</f>
        <v>O-19784-00</v>
      </c>
      <c r="D593" s="2" t="str">
        <f>if(isna(vlookup(C593,'On Hand'!A:C,3,0)),"",vlookup(C593,'On Hand'!A:C,3,0))</f>
        <v/>
      </c>
    </row>
    <row r="594">
      <c r="A594" s="2" t="str">
        <f>IFERROR(__xludf.DUMMYFUNCTION("""COMPUTED_VALUE"""),"O-19785-00")</f>
        <v>O-19785-00</v>
      </c>
      <c r="B594" s="2" t="str">
        <f>IFERROR(__xludf.DUMMYFUNCTION("""COMPUTED_VALUE"""),"Roda Trolley Autoclave Uk. 152,2 x 30 mm; Custom; ;")</f>
        <v>Roda Trolley Autoclave Uk. 152,2 x 30 mm; Custom; ;</v>
      </c>
      <c r="C594" s="2" t="str">
        <f>IFERROR(__xludf.DUMMYFUNCTION("""COMPUTED_VALUE"""),"O-19785-00")</f>
        <v>O-19785-00</v>
      </c>
      <c r="D594" s="2" t="str">
        <f>if(isna(vlookup(C594,'On Hand'!A:C,3,0)),"",vlookup(C594,'On Hand'!A:C,3,0))</f>
        <v/>
      </c>
    </row>
    <row r="595">
      <c r="A595" s="2" t="str">
        <f>IFERROR(__xludf.DUMMYFUNCTION("""COMPUTED_VALUE"""),"O-19786-00")</f>
        <v>O-19786-00</v>
      </c>
      <c r="B595" s="2" t="str">
        <f>IFERROR(__xludf.DUMMYFUNCTION("""COMPUTED_VALUE"""),"Head Pusher Cartoning Uk. 15x 22x 51 mm Material SUS 304; Custom; ;")</f>
        <v>Head Pusher Cartoning Uk. 15x 22x 51 mm Material SUS 304; Custom; ;</v>
      </c>
      <c r="C595" s="2" t="str">
        <f>IFERROR(__xludf.DUMMYFUNCTION("""COMPUTED_VALUE"""),"O-19786-00")</f>
        <v>O-19786-00</v>
      </c>
      <c r="D595" s="2" t="str">
        <f>if(isna(vlookup(C595,'On Hand'!A:C,3,0)),"",vlookup(C595,'On Hand'!A:C,3,0))</f>
        <v/>
      </c>
    </row>
    <row r="596">
      <c r="A596" s="2" t="str">
        <f>IFERROR(__xludf.DUMMYFUNCTION("""COMPUTED_VALUE"""),"O-19796-00")</f>
        <v>O-19796-00</v>
      </c>
      <c r="B596" s="2" t="str">
        <f>IFERROR(__xludf.DUMMYFUNCTION("""COMPUTED_VALUE"""),"Blind Plate for Clamp KF16 SS304; ; ;")</f>
        <v>Blind Plate for Clamp KF16 SS304; ; ;</v>
      </c>
      <c r="C596" s="2" t="str">
        <f>IFERROR(__xludf.DUMMYFUNCTION("""COMPUTED_VALUE"""),"O-19796-00")</f>
        <v>O-19796-00</v>
      </c>
      <c r="D596" s="2" t="str">
        <f>if(isna(vlookup(C596,'On Hand'!A:C,3,0)),"",vlookup(C596,'On Hand'!A:C,3,0))</f>
        <v>pc</v>
      </c>
    </row>
    <row r="597">
      <c r="A597" s="2" t="str">
        <f>IFERROR(__xludf.DUMMYFUNCTION("""COMPUTED_VALUE"""),"O-19797-00")</f>
        <v>O-19797-00</v>
      </c>
      <c r="B597" s="2" t="str">
        <f>IFERROR(__xludf.DUMMYFUNCTION("""COMPUTED_VALUE"""),"Dudukan Sensor Autoclave Material SUS 316L; Custom; ;")</f>
        <v>Dudukan Sensor Autoclave Material SUS 316L; Custom; ;</v>
      </c>
      <c r="C597" s="2" t="str">
        <f>IFERROR(__xludf.DUMMYFUNCTION("""COMPUTED_VALUE"""),"O-19797-00")</f>
        <v>O-19797-00</v>
      </c>
      <c r="D597" s="2" t="str">
        <f>if(isna(vlookup(C597,'On Hand'!A:C,3,0)),"",vlookup(C597,'On Hand'!A:C,3,0))</f>
        <v/>
      </c>
    </row>
    <row r="598">
      <c r="A598" s="2" t="str">
        <f>IFERROR(__xludf.DUMMYFUNCTION("""COMPUTED_VALUE"""),"O-19798-00")</f>
        <v>O-19798-00</v>
      </c>
      <c r="B598" s="2" t="str">
        <f>IFERROR(__xludf.DUMMYFUNCTION("""COMPUTED_VALUE"""),"Clamp Vacuum KF16 Alumunium; ; ;")</f>
        <v>Clamp Vacuum KF16 Alumunium; ; ;</v>
      </c>
      <c r="C598" s="2" t="str">
        <f>IFERROR(__xludf.DUMMYFUNCTION("""COMPUTED_VALUE"""),"O-19798-00")</f>
        <v>O-19798-00</v>
      </c>
      <c r="D598" s="2" t="str">
        <f>if(isna(vlookup(C598,'On Hand'!A:C,3,0)),"",vlookup(C598,'On Hand'!A:C,3,0))</f>
        <v>pc</v>
      </c>
    </row>
    <row r="599">
      <c r="A599" s="2" t="str">
        <f>IFERROR(__xludf.DUMMYFUNCTION("""COMPUTED_VALUE"""),"O-19810-00")</f>
        <v>O-19810-00</v>
      </c>
      <c r="B599" s="2" t="str">
        <f>IFERROR(__xludf.DUMMYFUNCTION("""COMPUTED_VALUE"""),"Freeze Dryer MBE1207 - Gasket Teflon Uk. 45x41x1.5; Custom; ;")</f>
        <v>Freeze Dryer MBE1207 - Gasket Teflon Uk. 45x41x1.5; Custom; ;</v>
      </c>
      <c r="C599" s="2" t="str">
        <f>IFERROR(__xludf.DUMMYFUNCTION("""COMPUTED_VALUE"""),"O-19810-00")</f>
        <v>O-19810-00</v>
      </c>
      <c r="D599" s="2" t="str">
        <f>if(isna(vlookup(C599,'On Hand'!A:C,3,0)),"",vlookup(C599,'On Hand'!A:C,3,0))</f>
        <v>ST</v>
      </c>
    </row>
    <row r="600">
      <c r="A600" s="2" t="str">
        <f>IFERROR(__xludf.DUMMYFUNCTION("""COMPUTED_VALUE"""),"O-19822-00")</f>
        <v>O-19822-00</v>
      </c>
      <c r="B600" s="2" t="str">
        <f>IFERROR(__xludf.DUMMYFUNCTION("""COMPUTED_VALUE"""),"Flexible Front End 916 - (125.0 - 125.0)")</f>
        <v>Flexible Front End 916 - (125.0 - 125.0)</v>
      </c>
      <c r="C600" s="2" t="str">
        <f>IFERROR(__xludf.DUMMYFUNCTION("""COMPUTED_VALUE"""),"O-19822-00")</f>
        <v>O-19822-00</v>
      </c>
      <c r="D600" s="2" t="str">
        <f>if(isna(vlookup(C600,'On Hand'!A:C,3,0)),"",vlookup(C600,'On Hand'!A:C,3,0))</f>
        <v>pc</v>
      </c>
    </row>
    <row r="601">
      <c r="A601" s="2" t="str">
        <f>IFERROR(__xludf.DUMMYFUNCTION("""COMPUTED_VALUE"""),"O-19829-00")</f>
        <v>O-19829-00</v>
      </c>
      <c r="B601" s="2" t="str">
        <f>IFERROR(__xludf.DUMMYFUNCTION("""COMPUTED_VALUE"""),"Pusher 50 H Cartoning")</f>
        <v>Pusher 50 H Cartoning</v>
      </c>
      <c r="C601" s="2" t="str">
        <f>IFERROR(__xludf.DUMMYFUNCTION("""COMPUTED_VALUE"""),"O-19829-00")</f>
        <v>O-19829-00</v>
      </c>
      <c r="D601" s="2" t="str">
        <f>if(isna(vlookup(C601,'On Hand'!A:C,3,0)),"",vlookup(C601,'On Hand'!A:C,3,0))</f>
        <v>Lot</v>
      </c>
    </row>
    <row r="602">
      <c r="A602" s="2" t="str">
        <f>IFERROR(__xludf.DUMMYFUNCTION("""COMPUTED_VALUE"""),"O-19848-00")</f>
        <v>O-19848-00</v>
      </c>
      <c r="B602" s="2" t="str">
        <f>IFERROR(__xludf.DUMMYFUNCTION("""COMPUTED_VALUE"""),"Pneumatic ball valve_1 inch weldedWORCESTEREDF50-00196")</f>
        <v>Pneumatic ball valve_1 inch weldedWORCESTEREDF50-00196</v>
      </c>
      <c r="C602" s="2" t="str">
        <f>IFERROR(__xludf.DUMMYFUNCTION("""COMPUTED_VALUE"""),"O-19848-00")</f>
        <v>O-19848-00</v>
      </c>
      <c r="D602" s="2" t="str">
        <f>if(isna(vlookup(C602,'On Hand'!A:C,3,0)),"",vlookup(C602,'On Hand'!A:C,3,0))</f>
        <v>pc</v>
      </c>
    </row>
    <row r="603">
      <c r="A603" s="2" t="str">
        <f>IFERROR(__xludf.DUMMYFUNCTION("""COMPUTED_VALUE"""),"O-19849-00")</f>
        <v>O-19849-00</v>
      </c>
      <c r="B603" s="2" t="str">
        <f>IFERROR(__xludf.DUMMYFUNCTION("""COMPUTED_VALUE"""),"Sabuk Tangki MixingCustom")</f>
        <v>Sabuk Tangki MixingCustom</v>
      </c>
      <c r="C603" s="2" t="str">
        <f>IFERROR(__xludf.DUMMYFUNCTION("""COMPUTED_VALUE"""),"O-19849-00")</f>
        <v>O-19849-00</v>
      </c>
      <c r="D603" s="2" t="str">
        <f>if(isna(vlookup(C603,'On Hand'!A:C,3,0)),"",vlookup(C603,'On Hand'!A:C,3,0))</f>
        <v>pc</v>
      </c>
    </row>
    <row r="604">
      <c r="A604" s="2" t="str">
        <f>IFERROR(__xludf.DUMMYFUNCTION("""COMPUTED_VALUE"""),"O-19861-00")</f>
        <v>O-19861-00</v>
      </c>
      <c r="B604" s="2" t="str">
        <f>IFERROR(__xludf.DUMMYFUNCTION("""COMPUTED_VALUE"""),"Bearing Cam Follower KR16-PP-AINA")</f>
        <v>Bearing Cam Follower KR16-PP-AINA</v>
      </c>
      <c r="C604" s="2" t="str">
        <f>IFERROR(__xludf.DUMMYFUNCTION("""COMPUTED_VALUE"""),"O-19861-00")</f>
        <v>O-19861-00</v>
      </c>
      <c r="D604" s="2" t="str">
        <f>if(isna(vlookup(C604,'On Hand'!A:C,3,0)),"",vlookup(C604,'On Hand'!A:C,3,0))</f>
        <v/>
      </c>
    </row>
    <row r="605">
      <c r="A605" s="2" t="str">
        <f>IFERROR(__xludf.DUMMYFUNCTION("""COMPUTED_VALUE"""),"O-19862-00")</f>
        <v>O-19862-00</v>
      </c>
      <c r="B605" s="2" t="str">
        <f>IFERROR(__xludf.DUMMYFUNCTION("""COMPUTED_VALUE"""),"Capping VCM200 - Transfer Plate material SS304Custom")</f>
        <v>Capping VCM200 - Transfer Plate material SS304Custom</v>
      </c>
      <c r="C605" s="2" t="str">
        <f>IFERROR(__xludf.DUMMYFUNCTION("""COMPUTED_VALUE"""),"O-19862-00")</f>
        <v>O-19862-00</v>
      </c>
      <c r="D605" s="2" t="str">
        <f>if(isna(vlookup(C605,'On Hand'!A:C,3,0)),"",vlookup(C605,'On Hand'!A:C,3,0))</f>
        <v>pc</v>
      </c>
    </row>
    <row r="606">
      <c r="A606" s="2" t="str">
        <f>IFERROR(__xludf.DUMMYFUNCTION("""COMPUTED_VALUE"""),"O-19866-00")</f>
        <v>O-19866-00</v>
      </c>
      <c r="B606" s="2" t="str">
        <f>IFERROR(__xludf.DUMMYFUNCTION("""COMPUTED_VALUE"""),"Grill Fan (cover kipas) 12x12 cm")</f>
        <v>Grill Fan (cover kipas) 12x12 cm</v>
      </c>
      <c r="C606" s="2" t="str">
        <f>IFERROR(__xludf.DUMMYFUNCTION("""COMPUTED_VALUE"""),"O-19866-00")</f>
        <v>O-19866-00</v>
      </c>
      <c r="D606" s="2" t="str">
        <f>if(isna(vlookup(C606,'On Hand'!A:C,3,0)),"",vlookup(C606,'On Hand'!A:C,3,0))</f>
        <v>pc</v>
      </c>
    </row>
    <row r="607">
      <c r="A607" s="2" t="str">
        <f>IFERROR(__xludf.DUMMYFUNCTION("""COMPUTED_VALUE"""),"O-19894-00")</f>
        <v>O-19894-00</v>
      </c>
      <c r="B607" s="2" t="str">
        <f>IFERROR(__xludf.DUMMYFUNCTION("""COMPUTED_VALUE"""),"Capping VCM200 - Guide Starwheel Vial Pom hitam 319x329x17 mm; Custom; ;")</f>
        <v>Capping VCM200 - Guide Starwheel Vial Pom hitam 319x329x17 mm; Custom; ;</v>
      </c>
      <c r="C607" s="2" t="str">
        <f>IFERROR(__xludf.DUMMYFUNCTION("""COMPUTED_VALUE"""),"O-19894-00")</f>
        <v>O-19894-00</v>
      </c>
      <c r="D607" s="2" t="str">
        <f>if(isna(vlookup(C607,'On Hand'!A:C,3,0)),"",vlookup(C607,'On Hand'!A:C,3,0))</f>
        <v>pc</v>
      </c>
    </row>
    <row r="608">
      <c r="A608" s="2" t="str">
        <f>IFERROR(__xludf.DUMMYFUNCTION("""COMPUTED_VALUE"""),"O-19901-00")</f>
        <v>O-19901-00</v>
      </c>
      <c r="B608" s="2" t="str">
        <f>IFERROR(__xludf.DUMMYFUNCTION("""COMPUTED_VALUE"""),"Freeze Dryer MBE1207 - New Seat Valve Dia 36x22x7; Custom/Lokal; -; 1 pc")</f>
        <v>Freeze Dryer MBE1207 - New Seat Valve Dia 36x22x7; Custom/Lokal; -; 1 pc</v>
      </c>
      <c r="C608" s="2" t="str">
        <f>IFERROR(__xludf.DUMMYFUNCTION("""COMPUTED_VALUE"""),"O-19901-00")</f>
        <v>O-19901-00</v>
      </c>
      <c r="D608" s="2" t="str">
        <f>if(isna(vlookup(C608,'On Hand'!A:C,3,0)),"",vlookup(C608,'On Hand'!A:C,3,0))</f>
        <v>ST</v>
      </c>
    </row>
    <row r="609">
      <c r="A609" s="2" t="str">
        <f>IFERROR(__xludf.DUMMYFUNCTION("""COMPUTED_VALUE"""),"O-19911-00")</f>
        <v>O-19911-00</v>
      </c>
      <c r="B609" s="2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09" s="2" t="str">
        <f>IFERROR(__xludf.DUMMYFUNCTION("""COMPUTED_VALUE"""),"O-19911-00")</f>
        <v>O-19911-00</v>
      </c>
      <c r="D609" s="2" t="str">
        <f>if(isna(vlookup(C609,'On Hand'!A:C,3,0)),"",vlookup(C609,'On Hand'!A:C,3,0))</f>
        <v/>
      </c>
    </row>
    <row r="610">
      <c r="A610" s="2" t="str">
        <f>IFERROR(__xludf.DUMMYFUNCTION("""COMPUTED_VALUE"""),"O-19912-00")</f>
        <v>O-19912-00</v>
      </c>
      <c r="B610" s="2" t="str">
        <f>IFERROR(__xludf.DUMMYFUNCTION("""COMPUTED_VALUE"""),"Pipa N2 Mixing SUS 316 dia 1/2 &amp; 1 inch, uk 248x50 mm; Custom; ;")</f>
        <v>Pipa N2 Mixing SUS 316 dia 1/2 &amp; 1 inch, uk 248x50 mm; Custom; ;</v>
      </c>
      <c r="C610" s="2" t="str">
        <f>IFERROR(__xludf.DUMMYFUNCTION("""COMPUTED_VALUE"""),"O-19912-00")</f>
        <v>O-19912-00</v>
      </c>
      <c r="D610" s="2" t="str">
        <f>if(isna(vlookup(C610,'On Hand'!A:C,3,0)),"",vlookup(C610,'On Hand'!A:C,3,0))</f>
        <v>pc</v>
      </c>
    </row>
    <row r="611">
      <c r="A611" s="2" t="str">
        <f>IFERROR(__xludf.DUMMYFUNCTION("""COMPUTED_VALUE"""),"O-19953-00")</f>
        <v>O-19953-00</v>
      </c>
      <c r="B611" s="2" t="str">
        <f>IFERROR(__xludf.DUMMYFUNCTION("""COMPUTED_VALUE"""),"Dudukan Cover Motor 243x320x550 mm, Mat SUS 304; Custom; ;")</f>
        <v>Dudukan Cover Motor 243x320x550 mm, Mat SUS 304; Custom; ;</v>
      </c>
      <c r="C611" s="2" t="str">
        <f>IFERROR(__xludf.DUMMYFUNCTION("""COMPUTED_VALUE"""),"O-19953-00")</f>
        <v>O-19953-00</v>
      </c>
      <c r="D611" s="2" t="str">
        <f>if(isna(vlookup(C611,'On Hand'!A:C,3,0)),"",vlookup(C611,'On Hand'!A:C,3,0))</f>
        <v/>
      </c>
    </row>
    <row r="612">
      <c r="A612" s="2" t="str">
        <f>IFERROR(__xludf.DUMMYFUNCTION("""COMPUTED_VALUE"""),"O-19954-00")</f>
        <v>O-19954-00</v>
      </c>
      <c r="B612" s="2" t="str">
        <f>IFERROR(__xludf.DUMMYFUNCTION("""COMPUTED_VALUE"""),"Dudukan Sensor Counter 2x100x100 mm, Mat. SUS 304; Custom; ;")</f>
        <v>Dudukan Sensor Counter 2x100x100 mm, Mat. SUS 304; Custom; ;</v>
      </c>
      <c r="C612" s="2" t="str">
        <f>IFERROR(__xludf.DUMMYFUNCTION("""COMPUTED_VALUE"""),"O-19954-00")</f>
        <v>O-19954-00</v>
      </c>
      <c r="D612" s="2" t="str">
        <f>if(isna(vlookup(C612,'On Hand'!A:C,3,0)),"",vlookup(C612,'On Hand'!A:C,3,0))</f>
        <v/>
      </c>
    </row>
    <row r="613">
      <c r="A613" s="2" t="str">
        <f>IFERROR(__xludf.DUMMYFUNCTION("""COMPUTED_VALUE"""),"O-19981-00")</f>
        <v>O-19981-00</v>
      </c>
      <c r="B613" s="2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3" s="2" t="str">
        <f>IFERROR(__xludf.DUMMYFUNCTION("""COMPUTED_VALUE"""),"O-19981-00")</f>
        <v>O-19981-00</v>
      </c>
      <c r="D613" s="2" t="str">
        <f>if(isna(vlookup(C613,'On Hand'!A:C,3,0)),"",vlookup(C613,'On Hand'!A:C,3,0))</f>
        <v/>
      </c>
    </row>
    <row r="614">
      <c r="A614" s="2" t="str">
        <f>IFERROR(__xludf.DUMMYFUNCTION("""COMPUTED_VALUE"""),"O-19982-00")</f>
        <v>O-19982-00</v>
      </c>
      <c r="B614" s="2" t="str">
        <f>IFERROR(__xludf.DUMMYFUNCTION("""COMPUTED_VALUE"""),"FD S/N MBE1207 - Directional Valve XDC3C03N1FS42; Aron; ;")</f>
        <v>FD S/N MBE1207 - Directional Valve XDC3C03N1FS42; Aron; ;</v>
      </c>
      <c r="C614" s="2" t="str">
        <f>IFERROR(__xludf.DUMMYFUNCTION("""COMPUTED_VALUE"""),"O-19982-00")</f>
        <v>O-19982-00</v>
      </c>
      <c r="D614" s="2" t="str">
        <f>if(isna(vlookup(C614,'On Hand'!A:C,3,0)),"",vlookup(C614,'On Hand'!A:C,3,0))</f>
        <v>pc</v>
      </c>
    </row>
    <row r="615">
      <c r="A615" s="2" t="str">
        <f>IFERROR(__xludf.DUMMYFUNCTION("""COMPUTED_VALUE"""),"O-19983-00")</f>
        <v>O-19983-00</v>
      </c>
      <c r="B615" s="2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5" s="2" t="str">
        <f>IFERROR(__xludf.DUMMYFUNCTION("""COMPUTED_VALUE"""),"O-19983-00")</f>
        <v>O-19983-00</v>
      </c>
      <c r="D615" s="2" t="str">
        <f>if(isna(vlookup(C615,'On Hand'!A:C,3,0)),"",vlookup(C615,'On Hand'!A:C,3,0))</f>
        <v/>
      </c>
    </row>
    <row r="616">
      <c r="A616" s="2" t="str">
        <f>IFERROR(__xludf.DUMMYFUNCTION("""COMPUTED_VALUE"""),"O-20026-00")</f>
        <v>O-20026-00</v>
      </c>
      <c r="B616" s="2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6" s="2" t="str">
        <f>IFERROR(__xludf.DUMMYFUNCTION("""COMPUTED_VALUE"""),"O-20026-00")</f>
        <v>O-20026-00</v>
      </c>
      <c r="D616" s="2" t="str">
        <f>if(isna(vlookup(C616,'On Hand'!A:C,3,0)),"",vlookup(C616,'On Hand'!A:C,3,0))</f>
        <v/>
      </c>
    </row>
    <row r="617">
      <c r="A617" s="2" t="str">
        <f>IFERROR(__xludf.DUMMYFUNCTION("""COMPUTED_VALUE"""),"O-20040-00")</f>
        <v>O-20040-00</v>
      </c>
      <c r="B617" s="2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7" s="2" t="str">
        <f>IFERROR(__xludf.DUMMYFUNCTION("""COMPUTED_VALUE"""),"O-20040-00")</f>
        <v>O-20040-00</v>
      </c>
      <c r="D617" s="2" t="str">
        <f>if(isna(vlookup(C617,'On Hand'!A:C,3,0)),"",vlookup(C617,'On Hand'!A:C,3,0))</f>
        <v/>
      </c>
    </row>
    <row r="618">
      <c r="A618" s="2" t="str">
        <f>IFERROR(__xludf.DUMMYFUNCTION("""COMPUTED_VALUE"""),"O-20041-00")</f>
        <v>O-20041-00</v>
      </c>
      <c r="B618" s="2" t="str">
        <f>IFERROR(__xludf.DUMMYFUNCTION("""COMPUTED_VALUE"""),"Capping VCM200 - Bearing NKIA5902; INA; ;")</f>
        <v>Capping VCM200 - Bearing NKIA5902; INA; ;</v>
      </c>
      <c r="C618" s="2" t="str">
        <f>IFERROR(__xludf.DUMMYFUNCTION("""COMPUTED_VALUE"""),"O-20041-00")</f>
        <v>O-20041-00</v>
      </c>
      <c r="D618" s="2" t="str">
        <f>if(isna(vlookup(C618,'On Hand'!A:C,3,0)),"",vlookup(C618,'On Hand'!A:C,3,0))</f>
        <v>pc</v>
      </c>
    </row>
    <row r="619">
      <c r="A619" s="2" t="str">
        <f>IFERROR(__xludf.DUMMYFUNCTION("""COMPUTED_VALUE"""),"O-20093-00")</f>
        <v>O-20093-00</v>
      </c>
      <c r="B619" s="2" t="str">
        <f>IFERROR(__xludf.DUMMYFUNCTION("""COMPUTED_VALUE"""),"Washing RAR4 - Dudukan Selang WFI Washing 20x45x35; Custom/Lokal; ; 1 Pc")</f>
        <v>Washing RAR4 - Dudukan Selang WFI Washing 20x45x35; Custom/Lokal; ; 1 Pc</v>
      </c>
      <c r="C619" s="2" t="str">
        <f>IFERROR(__xludf.DUMMYFUNCTION("""COMPUTED_VALUE"""),"O-20093-00")</f>
        <v>O-20093-00</v>
      </c>
      <c r="D619" s="2" t="str">
        <f>if(isna(vlookup(C619,'On Hand'!A:C,3,0)),"",vlookup(C619,'On Hand'!A:C,3,0))</f>
        <v/>
      </c>
    </row>
    <row r="620">
      <c r="A620" s="2" t="str">
        <f>IFERROR(__xludf.DUMMYFUNCTION("""COMPUTED_VALUE"""),"O-20094-00")</f>
        <v>O-20094-00</v>
      </c>
      <c r="B620" s="2" t="str">
        <f>IFERROR(__xludf.DUMMYFUNCTION("""COMPUTED_VALUE"""),"Washing RAR4 - Plate Washing Spraying 166x20mm,; Custom/Lokal; ; 1 Pc")</f>
        <v>Washing RAR4 - Plate Washing Spraying 166x20mm,; Custom/Lokal; ; 1 Pc</v>
      </c>
      <c r="C620" s="2" t="str">
        <f>IFERROR(__xludf.DUMMYFUNCTION("""COMPUTED_VALUE"""),"O-20094-00")</f>
        <v>O-20094-00</v>
      </c>
      <c r="D620" s="2" t="str">
        <f>if(isna(vlookup(C620,'On Hand'!A:C,3,0)),"",vlookup(C620,'On Hand'!A:C,3,0))</f>
        <v>pc</v>
      </c>
    </row>
    <row r="621">
      <c r="A621" s="2" t="str">
        <f>IFERROR(__xludf.DUMMYFUNCTION("""COMPUTED_VALUE"""),"O-20104-00")</f>
        <v>O-20104-00</v>
      </c>
      <c r="B621" s="2" t="str">
        <f>IFERROR(__xludf.DUMMYFUNCTION("""COMPUTED_VALUE"""),"General - Bearing 61926; SKF; ; 1 Pc")</f>
        <v>General - Bearing 61926; SKF; ; 1 Pc</v>
      </c>
      <c r="C621" s="2" t="str">
        <f>IFERROR(__xludf.DUMMYFUNCTION("""COMPUTED_VALUE"""),"O-20104-00")</f>
        <v>O-20104-00</v>
      </c>
      <c r="D621" s="2" t="str">
        <f>if(isna(vlookup(C621,'On Hand'!A:C,3,0)),"",vlookup(C621,'On Hand'!A:C,3,0))</f>
        <v>pc</v>
      </c>
    </row>
    <row r="622">
      <c r="A622" s="2" t="str">
        <f>IFERROR(__xludf.DUMMYFUNCTION("""COMPUTED_VALUE"""),"O-20105-00")</f>
        <v>O-20105-00</v>
      </c>
      <c r="B622" s="2" t="str">
        <f>IFERROR(__xludf.DUMMYFUNCTION("""COMPUTED_VALUE"""),"General - Bearing 51104; SKF; ; 1 Pc")</f>
        <v>General - Bearing 51104; SKF; ; 1 Pc</v>
      </c>
      <c r="C622" s="2" t="str">
        <f>IFERROR(__xludf.DUMMYFUNCTION("""COMPUTED_VALUE"""),"O-20105-00")</f>
        <v>O-20105-00</v>
      </c>
      <c r="D622" s="2" t="str">
        <f>if(isna(vlookup(C622,'On Hand'!A:C,3,0)),"",vlookup(C622,'On Hand'!A:C,3,0))</f>
        <v>pc</v>
      </c>
    </row>
    <row r="623">
      <c r="A623" s="2" t="str">
        <f>IFERROR(__xludf.DUMMYFUNCTION("""COMPUTED_VALUE"""),"O-20106-00")</f>
        <v>O-20106-00</v>
      </c>
      <c r="B623" s="2" t="str">
        <f>IFERROR(__xludf.DUMMYFUNCTION("""COMPUTED_VALUE"""),"General - Bearing 32011 X; SKF; ; 1 Pc")</f>
        <v>General - Bearing 32011 X; SKF; ; 1 Pc</v>
      </c>
      <c r="C623" s="2" t="str">
        <f>IFERROR(__xludf.DUMMYFUNCTION("""COMPUTED_VALUE"""),"O-20106-00")</f>
        <v>O-20106-00</v>
      </c>
      <c r="D623" s="2" t="str">
        <f>if(isna(vlookup(C623,'On Hand'!A:C,3,0)),"",vlookup(C623,'On Hand'!A:C,3,0))</f>
        <v>pc</v>
      </c>
    </row>
    <row r="624">
      <c r="A624" s="2" t="str">
        <f>IFERROR(__xludf.DUMMYFUNCTION("""COMPUTED_VALUE"""),"O-20117-00")</f>
        <v>O-20117-00</v>
      </c>
      <c r="B624" s="2" t="str">
        <f>IFERROR(__xludf.DUMMYFUNCTION("""COMPUTED_VALUE"""),"General - Oil Seal TC 140x170x12; No Brand; ; 1 Pc")</f>
        <v>General - Oil Seal TC 140x170x12; No Brand; ; 1 Pc</v>
      </c>
      <c r="C624" s="2" t="str">
        <f>IFERROR(__xludf.DUMMYFUNCTION("""COMPUTED_VALUE"""),"O-20117-00")</f>
        <v>O-20117-00</v>
      </c>
      <c r="D624" s="2" t="str">
        <f>if(isna(vlookup(C624,'On Hand'!A:C,3,0)),"",vlookup(C624,'On Hand'!A:C,3,0))</f>
        <v>pc</v>
      </c>
    </row>
    <row r="625">
      <c r="A625" s="2" t="str">
        <f>IFERROR(__xludf.DUMMYFUNCTION("""COMPUTED_VALUE"""),"O-20118-00")</f>
        <v>O-20118-00</v>
      </c>
      <c r="B625" s="2" t="str">
        <f>IFERROR(__xludf.DUMMYFUNCTION("""COMPUTED_VALUE"""),"General - Oil Seal TC 150x180x12; No Brand; ; 1 Pc")</f>
        <v>General - Oil Seal TC 150x180x12; No Brand; ; 1 Pc</v>
      </c>
      <c r="C625" s="2" t="str">
        <f>IFERROR(__xludf.DUMMYFUNCTION("""COMPUTED_VALUE"""),"O-20118-00")</f>
        <v>O-20118-00</v>
      </c>
      <c r="D625" s="2" t="str">
        <f>if(isna(vlookup(C625,'On Hand'!A:C,3,0)),"",vlookup(C625,'On Hand'!A:C,3,0))</f>
        <v>pc</v>
      </c>
    </row>
    <row r="626">
      <c r="A626" s="2" t="str">
        <f>IFERROR(__xludf.DUMMYFUNCTION("""COMPUTED_VALUE"""),"O-20119-00")</f>
        <v>O-20119-00</v>
      </c>
      <c r="B626" s="2" t="str">
        <f>IFERROR(__xludf.DUMMYFUNCTION("""COMPUTED_VALUE"""),"General - Oil Seal TC 70x90x10; No Brand; ; 1 Pc")</f>
        <v>General - Oil Seal TC 70x90x10; No Brand; ; 1 Pc</v>
      </c>
      <c r="C626" s="2" t="str">
        <f>IFERROR(__xludf.DUMMYFUNCTION("""COMPUTED_VALUE"""),"O-20119-00")</f>
        <v>O-20119-00</v>
      </c>
      <c r="D626" s="2" t="str">
        <f>if(isna(vlookup(C626,'On Hand'!A:C,3,0)),"",vlookup(C626,'On Hand'!A:C,3,0))</f>
        <v>pc</v>
      </c>
    </row>
    <row r="627">
      <c r="A627" s="2" t="str">
        <f>IFERROR(__xludf.DUMMYFUNCTION("""COMPUTED_VALUE"""),"O-20120-00")</f>
        <v>O-20120-00</v>
      </c>
      <c r="B627" s="2" t="str">
        <f>IFERROR(__xludf.DUMMYFUNCTION("""COMPUTED_VALUE"""),"General - Belt T10 840 25 MM; Optibelt; ; 1 Pc")</f>
        <v>General - Belt T10 840 25 MM; Optibelt; ; 1 Pc</v>
      </c>
      <c r="C627" s="2" t="str">
        <f>IFERROR(__xludf.DUMMYFUNCTION("""COMPUTED_VALUE"""),"O-20120-00")</f>
        <v>O-20120-00</v>
      </c>
      <c r="D627" s="2" t="str">
        <f>if(isna(vlookup(C627,'On Hand'!A:C,3,0)),"",vlookup(C627,'On Hand'!A:C,3,0))</f>
        <v>pc</v>
      </c>
    </row>
    <row r="628">
      <c r="A628" s="2" t="str">
        <f>IFERROR(__xludf.DUMMYFUNCTION("""COMPUTED_VALUE"""),"O-20211-00")</f>
        <v>O-20211-00</v>
      </c>
      <c r="B628" s="2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8" s="2" t="str">
        <f>IFERROR(__xludf.DUMMYFUNCTION("""COMPUTED_VALUE"""),"O-20211-00")</f>
        <v>O-20211-00</v>
      </c>
      <c r="D628" s="2" t="str">
        <f>if(isna(vlookup(C628,'On Hand'!A:C,3,0)),"",vlookup(C628,'On Hand'!A:C,3,0))</f>
        <v>pc</v>
      </c>
    </row>
    <row r="629">
      <c r="A629" s="2" t="str">
        <f>IFERROR(__xludf.DUMMYFUNCTION("""COMPUTED_VALUE"""),"O-20230-00")</f>
        <v>O-20230-00</v>
      </c>
      <c r="B629" s="2" t="str">
        <f>IFERROR(__xludf.DUMMYFUNCTION("""COMPUTED_VALUE"""),"Washing RAV4 - Black Arm Mat. SUS 304; Custom/Lokal; -; 1 Pc")</f>
        <v>Washing RAV4 - Black Arm Mat. SUS 304; Custom/Lokal; -; 1 Pc</v>
      </c>
      <c r="C629" s="2" t="str">
        <f>IFERROR(__xludf.DUMMYFUNCTION("""COMPUTED_VALUE"""),"O-20230-00")</f>
        <v>O-20230-00</v>
      </c>
      <c r="D629" s="2" t="str">
        <f>if(isna(vlookup(C629,'On Hand'!A:C,3,0)),"",vlookup(C629,'On Hand'!A:C,3,0))</f>
        <v>pc</v>
      </c>
    </row>
    <row r="630">
      <c r="A630" s="2" t="str">
        <f>IFERROR(__xludf.DUMMYFUNCTION("""COMPUTED_VALUE"""),"O-20231-00")</f>
        <v>O-20231-00</v>
      </c>
      <c r="B630" s="2" t="str">
        <f>IFERROR(__xludf.DUMMYFUNCTION("""COMPUTED_VALUE"""),"Washing RAV4 - Base Black Arm Mat. VCN; Custom/Lokal; -; 1 Pc")</f>
        <v>Washing RAV4 - Base Black Arm Mat. VCN; Custom/Lokal; -; 1 Pc</v>
      </c>
      <c r="C630" s="2" t="str">
        <f>IFERROR(__xludf.DUMMYFUNCTION("""COMPUTED_VALUE"""),"O-20231-00")</f>
        <v>O-20231-00</v>
      </c>
      <c r="D630" s="2" t="str">
        <f>if(isna(vlookup(C630,'On Hand'!A:C,3,0)),"",vlookup(C630,'On Hand'!A:C,3,0))</f>
        <v>pc</v>
      </c>
    </row>
    <row r="631">
      <c r="A631" s="2" t="str">
        <f>IFERROR(__xludf.DUMMYFUNCTION("""COMPUTED_VALUE"""),"O-20289-00")</f>
        <v>O-20289-00</v>
      </c>
      <c r="B631" s="2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1" s="2" t="str">
        <f>IFERROR(__xludf.DUMMYFUNCTION("""COMPUTED_VALUE"""),"O-20289-00")</f>
        <v>O-20289-00</v>
      </c>
      <c r="D631" s="2" t="str">
        <f>if(isna(vlookup(C631,'On Hand'!A:C,3,0)),"",vlookup(C631,'On Hand'!A:C,3,0))</f>
        <v/>
      </c>
    </row>
    <row r="632">
      <c r="A632" s="2" t="str">
        <f>IFERROR(__xludf.DUMMYFUNCTION("""COMPUTED_VALUE"""),"O-20292-00")</f>
        <v>O-20292-00</v>
      </c>
      <c r="B632" s="2" t="str">
        <f>IFERROR(__xludf.DUMMYFUNCTION("""COMPUTED_VALUE"""),"Strainer Machine - Strainer Crabs CR4 Capping 18X20 mm Custom/Lokal")</f>
        <v>Strainer Machine - Strainer Crabs CR4 Capping 18X20 mm Custom/Lokal</v>
      </c>
      <c r="C632" s="2" t="str">
        <f>IFERROR(__xludf.DUMMYFUNCTION("""COMPUTED_VALUE"""),"O-20292-00")</f>
        <v>O-20292-00</v>
      </c>
      <c r="D632" s="2" t="str">
        <f>if(isna(vlookup(C632,'On Hand'!A:C,3,0)),"",vlookup(C632,'On Hand'!A:C,3,0))</f>
        <v/>
      </c>
    </row>
    <row r="633">
      <c r="A633" s="2" t="str">
        <f>IFERROR(__xludf.DUMMYFUNCTION("""COMPUTED_VALUE"""),"O-20294-00")</f>
        <v>O-20294-00</v>
      </c>
      <c r="B633" s="2" t="str">
        <f>IFERROR(__xludf.DUMMYFUNCTION("""COMPUTED_VALUE"""),"Autoclave - Oring 70 x 59 x 5.5 mm Viton Custom/Lokal  -")</f>
        <v>Autoclave - Oring 70 x 59 x 5.5 mm Viton Custom/Lokal  -</v>
      </c>
      <c r="C633" s="2" t="str">
        <f>IFERROR(__xludf.DUMMYFUNCTION("""COMPUTED_VALUE"""),"O-20294-00")</f>
        <v>O-20294-00</v>
      </c>
      <c r="D633" s="2" t="str">
        <f>if(isna(vlookup(C633,'On Hand'!A:C,3,0)),"",vlookup(C633,'On Hand'!A:C,3,0))</f>
        <v/>
      </c>
    </row>
    <row r="634">
      <c r="A634" s="2" t="str">
        <f>IFERROR(__xludf.DUMMYFUNCTION("""COMPUTED_VALUE"""),"O-20296-00")</f>
        <v>O-20296-00</v>
      </c>
      <c r="B634" s="2" t="str">
        <f>IFERROR(__xludf.DUMMYFUNCTION("""COMPUTED_VALUE"""),"General - Rotating Pincer Pneumatik  SMC MRHQ20D-180S-DIN00358")</f>
        <v>General - Rotating Pincer Pneumatik  SMC MRHQ20D-180S-DIN00358</v>
      </c>
      <c r="C634" s="2" t="str">
        <f>IFERROR(__xludf.DUMMYFUNCTION("""COMPUTED_VALUE"""),"O-20296-00")</f>
        <v>O-20296-00</v>
      </c>
      <c r="D634" s="2" t="str">
        <f>if(isna(vlookup(C634,'On Hand'!A:C,3,0)),"",vlookup(C634,'On Hand'!A:C,3,0))</f>
        <v>pc</v>
      </c>
    </row>
    <row r="635">
      <c r="A635" s="2" t="str">
        <f>IFERROR(__xludf.DUMMYFUNCTION("""COMPUTED_VALUE"""),"O-20297-00")</f>
        <v>O-20297-00</v>
      </c>
      <c r="B635" s="2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5" s="2" t="str">
        <f>IFERROR(__xludf.DUMMYFUNCTION("""COMPUTED_VALUE"""),"O-20297-00")</f>
        <v>O-20297-00</v>
      </c>
      <c r="D635" s="2" t="str">
        <f>if(isna(vlookup(C635,'On Hand'!A:C,3,0)),"",vlookup(C635,'On Hand'!A:C,3,0))</f>
        <v>pc</v>
      </c>
    </row>
    <row r="636">
      <c r="A636" s="2" t="str">
        <f>IFERROR(__xludf.DUMMYFUNCTION("""COMPUTED_VALUE"""),"O-20298-00")</f>
        <v>O-20298-00</v>
      </c>
      <c r="B636" s="2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6" s="2" t="str">
        <f>IFERROR(__xludf.DUMMYFUNCTION("""COMPUTED_VALUE"""),"O-20298-00")</f>
        <v>O-20298-00</v>
      </c>
      <c r="D636" s="2" t="str">
        <f>if(isna(vlookup(C636,'On Hand'!A:C,3,0)),"",vlookup(C636,'On Hand'!A:C,3,0))</f>
        <v>pc</v>
      </c>
    </row>
    <row r="637">
      <c r="A637" s="2" t="str">
        <f>IFERROR(__xludf.DUMMYFUNCTION("""COMPUTED_VALUE"""),"O-20299-00")</f>
        <v>O-20299-00</v>
      </c>
      <c r="B637" s="2" t="str">
        <f>IFERROR(__xludf.DUMMYFUNCTION("""COMPUTED_VALUE"""),"Mixing Tank - Tatakan Sampling Duran 100 57 x 101,6 x 155 mm Custom/Lokal  -")</f>
        <v>Mixing Tank - Tatakan Sampling Duran 100 57 x 101,6 x 155 mm Custom/Lokal  -</v>
      </c>
      <c r="C637" s="2" t="str">
        <f>IFERROR(__xludf.DUMMYFUNCTION("""COMPUTED_VALUE"""),"O-20299-00")</f>
        <v>O-20299-00</v>
      </c>
      <c r="D637" s="2" t="str">
        <f>if(isna(vlookup(C637,'On Hand'!A:C,3,0)),"",vlookup(C637,'On Hand'!A:C,3,0))</f>
        <v/>
      </c>
    </row>
    <row r="638">
      <c r="A638" s="2" t="str">
        <f>IFERROR(__xludf.DUMMYFUNCTION("""COMPUTED_VALUE"""),"O-20300-00")</f>
        <v>O-20300-00</v>
      </c>
      <c r="B638" s="2" t="str">
        <f>IFERROR(__xludf.DUMMYFUNCTION("""COMPUTED_VALUE"""),"Mixing Tank - Tatakan Sampling Duran 200 70 x 110 x 40 mm Custom/Lokal  -")</f>
        <v>Mixing Tank - Tatakan Sampling Duran 200 70 x 110 x 40 mm Custom/Lokal  -</v>
      </c>
      <c r="C638" s="2" t="str">
        <f>IFERROR(__xludf.DUMMYFUNCTION("""COMPUTED_VALUE"""),"O-20300-00")</f>
        <v>O-20300-00</v>
      </c>
      <c r="D638" s="2" t="str">
        <f>if(isna(vlookup(C638,'On Hand'!A:C,3,0)),"",vlookup(C638,'On Hand'!A:C,3,0))</f>
        <v/>
      </c>
    </row>
    <row r="639">
      <c r="A639" s="2" t="str">
        <f>IFERROR(__xludf.DUMMYFUNCTION("""COMPUTED_VALUE"""),"O-20357-00")</f>
        <v>O-20357-00</v>
      </c>
      <c r="B639" s="2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39" s="2" t="str">
        <f>IFERROR(__xludf.DUMMYFUNCTION("""COMPUTED_VALUE"""),"O-20357-00")</f>
        <v>O-20357-00</v>
      </c>
      <c r="D639" s="2" t="str">
        <f>if(isna(vlookup(C639,'On Hand'!A:C,3,0)),"",vlookup(C639,'On Hand'!A:C,3,0))</f>
        <v/>
      </c>
    </row>
    <row r="640">
      <c r="A640" s="2" t="str">
        <f>IFERROR(__xludf.DUMMYFUNCTION("""COMPUTED_VALUE"""),"O-20396-00")</f>
        <v>O-20396-00</v>
      </c>
      <c r="B640" s="2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0" s="2" t="str">
        <f>IFERROR(__xludf.DUMMYFUNCTION("""COMPUTED_VALUE"""),"O-20396-00")</f>
        <v>O-20396-00</v>
      </c>
      <c r="D640" s="2" t="str">
        <f>if(isna(vlookup(C640,'On Hand'!A:C,3,0)),"",vlookup(C640,'On Hand'!A:C,3,0))</f>
        <v/>
      </c>
    </row>
    <row r="641">
      <c r="A641" s="2" t="str">
        <f>IFERROR(__xludf.DUMMYFUNCTION("""COMPUTED_VALUE"""),"O-20475-00")</f>
        <v>O-20475-00</v>
      </c>
      <c r="B641" s="2" t="str">
        <f>IFERROR(__xludf.DUMMYFUNCTION("""COMPUTED_VALUE"""),"Freeze Dryer MBE1207 - Oring Silicone 5x39x49 mm LPRV; Custom/Lokal; -; 1 pc")</f>
        <v>Freeze Dryer MBE1207 - Oring Silicone 5x39x49 mm LPRV; Custom/Lokal; -; 1 pc</v>
      </c>
      <c r="C641" s="2" t="str">
        <f>IFERROR(__xludf.DUMMYFUNCTION("""COMPUTED_VALUE"""),"O-20475-00")</f>
        <v>O-20475-00</v>
      </c>
      <c r="D641" s="2" t="str">
        <f>if(isna(vlookup(C641,'On Hand'!A:C,3,0)),"",vlookup(C641,'On Hand'!A:C,3,0))</f>
        <v>pc</v>
      </c>
    </row>
    <row r="642">
      <c r="A642" s="2" t="str">
        <f>IFERROR(__xludf.DUMMYFUNCTION("""COMPUTED_VALUE"""),"O-20484-00")</f>
        <v>O-20484-00</v>
      </c>
      <c r="B642" s="2" t="str">
        <f>IFERROR(__xludf.DUMMYFUNCTION("""COMPUTED_VALUE"""),"Mixing Tank Adam - Tray Kabel 30x50x1000 mm; Custom/Lokal; -; 1 Pc")</f>
        <v>Mixing Tank Adam - Tray Kabel 30x50x1000 mm; Custom/Lokal; -; 1 Pc</v>
      </c>
      <c r="C642" s="2" t="str">
        <f>IFERROR(__xludf.DUMMYFUNCTION("""COMPUTED_VALUE"""),"O-20484-00")</f>
        <v>O-20484-00</v>
      </c>
      <c r="D642" s="2" t="str">
        <f>if(isna(vlookup(C642,'On Hand'!A:C,3,0)),"",vlookup(C642,'On Hand'!A:C,3,0))</f>
        <v/>
      </c>
    </row>
    <row r="643">
      <c r="A643" s="2" t="str">
        <f>IFERROR(__xludf.DUMMYFUNCTION("""COMPUTED_VALUE"""),"O-20487-00")</f>
        <v>O-20487-00</v>
      </c>
      <c r="B643" s="2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3" s="2" t="str">
        <f>IFERROR(__xludf.DUMMYFUNCTION("""COMPUTED_VALUE"""),"O-20487-00")</f>
        <v>O-20487-00</v>
      </c>
      <c r="D643" s="2" t="str">
        <f>if(isna(vlookup(C643,'On Hand'!A:C,3,0)),"",vlookup(C643,'On Hand'!A:C,3,0))</f>
        <v>pc</v>
      </c>
    </row>
    <row r="644">
      <c r="A644" s="2" t="str">
        <f>IFERROR(__xludf.DUMMYFUNCTION("""COMPUTED_VALUE"""),"O-20489-00")</f>
        <v>O-20489-00</v>
      </c>
      <c r="B644" s="2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4" s="2" t="str">
        <f>IFERROR(__xludf.DUMMYFUNCTION("""COMPUTED_VALUE"""),"O-20489-00")</f>
        <v>O-20489-00</v>
      </c>
      <c r="D644" s="2" t="str">
        <f>if(isna(vlookup(C644,'On Hand'!A:C,3,0)),"",vlookup(C644,'On Hand'!A:C,3,0))</f>
        <v/>
      </c>
    </row>
    <row r="645">
      <c r="A645" s="2" t="str">
        <f>IFERROR(__xludf.DUMMYFUNCTION("""COMPUTED_VALUE"""),"O-20496-00")</f>
        <v>O-20496-00</v>
      </c>
      <c r="B645" s="2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5" s="2" t="str">
        <f>IFERROR(__xludf.DUMMYFUNCTION("""COMPUTED_VALUE"""),"O-20496-00")</f>
        <v>O-20496-00</v>
      </c>
      <c r="D645" s="2" t="str">
        <f>if(isna(vlookup(C645,'On Hand'!A:C,3,0)),"",vlookup(C645,'On Hand'!A:C,3,0))</f>
        <v>pc</v>
      </c>
    </row>
    <row r="646">
      <c r="A646" s="2" t="str">
        <f>IFERROR(__xludf.DUMMYFUNCTION("""COMPUTED_VALUE"""),"O-20498-00")</f>
        <v>O-20498-00</v>
      </c>
      <c r="B646" s="2" t="str">
        <f>IFERROR(__xludf.DUMMYFUNCTION("""COMPUTED_VALUE"""),"General - Gearbox Naik Turun Turet; Bonfiglioli; VF30 P 7 B3; 1 Pc")</f>
        <v>General - Gearbox Naik Turun Turet; Bonfiglioli; VF30 P 7 B3; 1 Pc</v>
      </c>
      <c r="C646" s="2" t="str">
        <f>IFERROR(__xludf.DUMMYFUNCTION("""COMPUTED_VALUE"""),"O-20498-00")</f>
        <v>O-20498-00</v>
      </c>
      <c r="D646" s="2" t="str">
        <f>if(isna(vlookup(C646,'On Hand'!A:C,3,0)),"",vlookup(C646,'On Hand'!A:C,3,0))</f>
        <v>pc</v>
      </c>
    </row>
    <row r="647">
      <c r="A647" s="2" t="str">
        <f>IFERROR(__xludf.DUMMYFUNCTION("""COMPUTED_VALUE"""),"O-20499-00")</f>
        <v>O-20499-00</v>
      </c>
      <c r="B647" s="2" t="str">
        <f>IFERROR(__xludf.DUMMYFUNCTION("""COMPUTED_VALUE"""),"General - Gearbox Caps Chute; Bonfiglioli; VF44 P 7 B3; 1 Pc")</f>
        <v>General - Gearbox Caps Chute; Bonfiglioli; VF44 P 7 B3; 1 Pc</v>
      </c>
      <c r="C647" s="2" t="str">
        <f>IFERROR(__xludf.DUMMYFUNCTION("""COMPUTED_VALUE"""),"O-20499-00")</f>
        <v>O-20499-00</v>
      </c>
      <c r="D647" s="2" t="str">
        <f>if(isna(vlookup(C647,'On Hand'!A:C,3,0)),"",vlookup(C647,'On Hand'!A:C,3,0))</f>
        <v>pc</v>
      </c>
    </row>
    <row r="648">
      <c r="A648" s="2" t="str">
        <f>IFERROR(__xludf.DUMMYFUNCTION("""COMPUTED_VALUE"""),"O-20500-00")</f>
        <v>O-20500-00</v>
      </c>
      <c r="B648" s="2" t="str">
        <f>IFERROR(__xludf.DUMMYFUNCTION("""COMPUTED_VALUE"""),"General - Main Motor Caping; Bonfiglioli; BE80B4; 1 Unit")</f>
        <v>General - Main Motor Caping; Bonfiglioli; BE80B4; 1 Unit</v>
      </c>
      <c r="C648" s="2" t="str">
        <f>IFERROR(__xludf.DUMMYFUNCTION("""COMPUTED_VALUE"""),"O-20500-00")</f>
        <v>O-20500-00</v>
      </c>
      <c r="D648" s="2" t="str">
        <f>if(isna(vlookup(C648,'On Hand'!A:C,3,0)),"",vlookup(C648,'On Hand'!A:C,3,0))</f>
        <v>unt</v>
      </c>
    </row>
    <row r="649">
      <c r="A649" s="2" t="str">
        <f>IFERROR(__xludf.DUMMYFUNCTION("""COMPUTED_VALUE"""),"O-20501-00")</f>
        <v>O-20501-00</v>
      </c>
      <c r="B649" s="2" t="str">
        <f>IFERROR(__xludf.DUMMYFUNCTION("""COMPUTED_VALUE"""),"General - Gearbox Washing; Bonfiglioli; VF44 A 60 B5 B3; 1 Unit")</f>
        <v>General - Gearbox Washing; Bonfiglioli; VF44 A 60 B5 B3; 1 Unit</v>
      </c>
      <c r="C649" s="2" t="str">
        <f>IFERROR(__xludf.DUMMYFUNCTION("""COMPUTED_VALUE"""),"O-20501-00")</f>
        <v>O-20501-00</v>
      </c>
      <c r="D649" s="2" t="str">
        <f>if(isna(vlookup(C649,'On Hand'!A:C,3,0)),"",vlookup(C649,'On Hand'!A:C,3,0))</f>
        <v>unt</v>
      </c>
    </row>
    <row r="650">
      <c r="A650" s="2" t="str">
        <f>IFERROR(__xludf.DUMMYFUNCTION("""COMPUTED_VALUE"""),"O-20502-00")</f>
        <v>O-20502-00</v>
      </c>
      <c r="B650" s="2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0" s="2" t="str">
        <f>IFERROR(__xludf.DUMMYFUNCTION("""COMPUTED_VALUE"""),"O-20502-00")</f>
        <v>O-20502-00</v>
      </c>
      <c r="D650" s="2" t="str">
        <f>if(isna(vlookup(C650,'On Hand'!A:C,3,0)),"",vlookup(C650,'On Hand'!A:C,3,0))</f>
        <v>unt</v>
      </c>
    </row>
    <row r="651">
      <c r="A651" s="2" t="str">
        <f>IFERROR(__xludf.DUMMYFUNCTION("""COMPUTED_VALUE"""),"O-20503-00")</f>
        <v>O-20503-00</v>
      </c>
      <c r="B651" s="2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1" s="2" t="str">
        <f>IFERROR(__xludf.DUMMYFUNCTION("""COMPUTED_VALUE"""),"O-20503-00")</f>
        <v>O-20503-00</v>
      </c>
      <c r="D651" s="2" t="str">
        <f>if(isna(vlookup(C651,'On Hand'!A:C,3,0)),"",vlookup(C651,'On Hand'!A:C,3,0))</f>
        <v>unt</v>
      </c>
    </row>
    <row r="652">
      <c r="A652" s="2" t="str">
        <f>IFERROR(__xludf.DUMMYFUNCTION("""COMPUTED_VALUE"""),"O-20504-00")</f>
        <v>O-20504-00</v>
      </c>
      <c r="B652" s="2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2" s="2" t="str">
        <f>IFERROR(__xludf.DUMMYFUNCTION("""COMPUTED_VALUE"""),"O-20504-00")</f>
        <v>O-20504-00</v>
      </c>
      <c r="D652" s="2" t="str">
        <f>if(isna(vlookup(C652,'On Hand'!A:C,3,0)),"",vlookup(C652,'On Hand'!A:C,3,0))</f>
        <v/>
      </c>
    </row>
    <row r="653">
      <c r="A653" s="2" t="str">
        <f>IFERROR(__xludf.DUMMYFUNCTION("""COMPUTED_VALUE"""),"O-20505-00")</f>
        <v>O-20505-00</v>
      </c>
      <c r="B653" s="2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3" s="2" t="str">
        <f>IFERROR(__xludf.DUMMYFUNCTION("""COMPUTED_VALUE"""),"O-20505-00")</f>
        <v>O-20505-00</v>
      </c>
      <c r="D653" s="2" t="str">
        <f>if(isna(vlookup(C653,'On Hand'!A:C,3,0)),"",vlookup(C653,'On Hand'!A:C,3,0))</f>
        <v>pc</v>
      </c>
    </row>
    <row r="654">
      <c r="A654" s="2" t="str">
        <f>IFERROR(__xludf.DUMMYFUNCTION("""COMPUTED_VALUE"""),"O-20506-00")</f>
        <v>O-20506-00</v>
      </c>
      <c r="B654" s="2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4" s="2" t="str">
        <f>IFERROR(__xludf.DUMMYFUNCTION("""COMPUTED_VALUE"""),"O-20506-00")</f>
        <v>O-20506-00</v>
      </c>
      <c r="D654" s="2" t="str">
        <f>if(isna(vlookup(C654,'On Hand'!A:C,3,0)),"",vlookup(C654,'On Hand'!A:C,3,0))</f>
        <v>pc</v>
      </c>
    </row>
    <row r="655">
      <c r="A655" s="2" t="str">
        <f>IFERROR(__xludf.DUMMYFUNCTION("""COMPUTED_VALUE"""),"O-20552-00")</f>
        <v>O-20552-00</v>
      </c>
      <c r="B655" s="2" t="str">
        <f>IFERROR(__xludf.DUMMYFUNCTION("""COMPUTED_VALUE"""),"Marchesini MA155 - Toothed Belt 240 L 075 GUK; -; M660010218; 1 Pc")</f>
        <v>Marchesini MA155 - Toothed Belt 240 L 075 GUK; -; M660010218; 1 Pc</v>
      </c>
      <c r="C655" s="2" t="str">
        <f>IFERROR(__xludf.DUMMYFUNCTION("""COMPUTED_VALUE"""),"O-20552-00")</f>
        <v>O-20552-00</v>
      </c>
      <c r="D655" s="2" t="str">
        <f>if(isna(vlookup(C655,'On Hand'!A:C,3,0)),"",vlookup(C655,'On Hand'!A:C,3,0))</f>
        <v>pc</v>
      </c>
    </row>
    <row r="656">
      <c r="A656" s="2" t="str">
        <f>IFERROR(__xludf.DUMMYFUNCTION("""COMPUTED_VALUE"""),"O-20553-00")</f>
        <v>O-20553-00</v>
      </c>
      <c r="B656" s="2" t="str">
        <f>IFERROR(__xludf.DUMMYFUNCTION("""COMPUTED_VALUE"""),"Marchesini MA155 - Toothed Belt 390 L 050; -; C261390050; 1 Pc")</f>
        <v>Marchesini MA155 - Toothed Belt 390 L 050; -; C261390050; 1 Pc</v>
      </c>
      <c r="C656" s="2" t="str">
        <f>IFERROR(__xludf.DUMMYFUNCTION("""COMPUTED_VALUE"""),"O-20553-00")</f>
        <v>O-20553-00</v>
      </c>
      <c r="D656" s="2" t="str">
        <f>if(isna(vlookup(C656,'On Hand'!A:C,3,0)),"",vlookup(C656,'On Hand'!A:C,3,0))</f>
        <v>pc</v>
      </c>
    </row>
    <row r="657">
      <c r="A657" s="2" t="str">
        <f>IFERROR(__xludf.DUMMYFUNCTION("""COMPUTED_VALUE"""),"O-20554-00")</f>
        <v>O-20554-00</v>
      </c>
      <c r="B657" s="2" t="str">
        <f>IFERROR(__xludf.DUMMYFUNCTION("""COMPUTED_VALUE"""),"Marchesini MA155 - Spring Plate 21.4.0.1/0.368; -; M660010070; 1 Pc")</f>
        <v>Marchesini MA155 - Spring Plate 21.4.0.1/0.368; -; M660010070; 1 Pc</v>
      </c>
      <c r="C657" s="2" t="str">
        <f>IFERROR(__xludf.DUMMYFUNCTION("""COMPUTED_VALUE"""),"O-20554-00")</f>
        <v>O-20554-00</v>
      </c>
      <c r="D657" s="2" t="str">
        <f>if(isna(vlookup(C657,'On Hand'!A:C,3,0)),"",vlookup(C657,'On Hand'!A:C,3,0))</f>
        <v>pc</v>
      </c>
    </row>
    <row r="658">
      <c r="A658" s="2" t="str">
        <f>IFERROR(__xludf.DUMMYFUNCTION("""COMPUTED_VALUE"""),"O-20555-00")</f>
        <v>O-20555-00</v>
      </c>
      <c r="B658" s="2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8" s="2" t="str">
        <f>IFERROR(__xludf.DUMMYFUNCTION("""COMPUTED_VALUE"""),"O-20555-00")</f>
        <v>O-20555-00</v>
      </c>
      <c r="D658" s="2" t="str">
        <f>if(isna(vlookup(C658,'On Hand'!A:C,3,0)),"",vlookup(C658,'On Hand'!A:C,3,0))</f>
        <v>pc</v>
      </c>
    </row>
    <row r="659">
      <c r="A659" s="2" t="str">
        <f>IFERROR(__xludf.DUMMYFUNCTION("""COMPUTED_VALUE"""),"O-20556-00")</f>
        <v>O-20556-00</v>
      </c>
      <c r="B659" s="2" t="str">
        <f>IFERROR(__xludf.DUMMYFUNCTION("""COMPUTED_VALUE"""),"Marchesini MA155 - Upper Belt Shaft, 21. 4. 0. 1/0. 394K; -; M660010002; 1 Pc")</f>
        <v>Marchesini MA155 - Upper Belt Shaft, 21. 4. 0. 1/0. 394K; -; M660010002; 1 Pc</v>
      </c>
      <c r="C659" s="2" t="str">
        <f>IFERROR(__xludf.DUMMYFUNCTION("""COMPUTED_VALUE"""),"O-20556-00")</f>
        <v>O-20556-00</v>
      </c>
      <c r="D659" s="2" t="str">
        <f>if(isna(vlookup(C659,'On Hand'!A:C,3,0)),"",vlookup(C659,'On Hand'!A:C,3,0))</f>
        <v>pc</v>
      </c>
    </row>
    <row r="660">
      <c r="A660" s="2" t="str">
        <f>IFERROR(__xludf.DUMMYFUNCTION("""COMPUTED_VALUE"""),"O-20557-00")</f>
        <v>O-20557-00</v>
      </c>
      <c r="B660" s="2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0" s="2" t="str">
        <f>IFERROR(__xludf.DUMMYFUNCTION("""COMPUTED_VALUE"""),"O-20557-00")</f>
        <v>O-20557-00</v>
      </c>
      <c r="D660" s="2" t="str">
        <f>if(isna(vlookup(C660,'On Hand'!A:C,3,0)),"",vlookup(C660,'On Hand'!A:C,3,0))</f>
        <v/>
      </c>
    </row>
    <row r="661">
      <c r="A661" s="2" t="str">
        <f>IFERROR(__xludf.DUMMYFUNCTION("""COMPUTED_VALUE"""),"O-20558-00")</f>
        <v>O-20558-00</v>
      </c>
      <c r="B661" s="2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1" s="2" t="str">
        <f>IFERROR(__xludf.DUMMYFUNCTION("""COMPUTED_VALUE"""),"O-20558-00")</f>
        <v>O-20558-00</v>
      </c>
      <c r="D661" s="2" t="str">
        <f>if(isna(vlookup(C661,'On Hand'!A:C,3,0)),"",vlookup(C661,'On Hand'!A:C,3,0))</f>
        <v>pc</v>
      </c>
    </row>
    <row r="662">
      <c r="A662" s="2" t="str">
        <f>IFERROR(__xludf.DUMMYFUNCTION("""COMPUTED_VALUE"""),"O-20559-00")</f>
        <v>O-20559-00</v>
      </c>
      <c r="B662" s="2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2" s="2" t="str">
        <f>IFERROR(__xludf.DUMMYFUNCTION("""COMPUTED_VALUE"""),"O-20559-00")</f>
        <v>O-20559-00</v>
      </c>
      <c r="D662" s="2" t="str">
        <f>if(isna(vlookup(C662,'On Hand'!A:C,3,0)),"",vlookup(C662,'On Hand'!A:C,3,0))</f>
        <v>pc</v>
      </c>
    </row>
    <row r="663">
      <c r="A663" s="2" t="str">
        <f>IFERROR(__xludf.DUMMYFUNCTION("""COMPUTED_VALUE"""),"O-20624-00")</f>
        <v>O-20624-00</v>
      </c>
      <c r="B663" s="2" t="str">
        <f>IFERROR(__xludf.DUMMYFUNCTION("""COMPUTED_VALUE"""),"Baut L SS304 M6x10mm + Nut; ; ;")</f>
        <v>Baut L SS304 M6x10mm + Nut; ; ;</v>
      </c>
      <c r="C663" s="2" t="str">
        <f>IFERROR(__xludf.DUMMYFUNCTION("""COMPUTED_VALUE"""),"O-20624-00")</f>
        <v>O-20624-00</v>
      </c>
      <c r="D663" s="2" t="str">
        <f>if(isna(vlookup(C663,'On Hand'!A:C,3,0)),"",vlookup(C663,'On Hand'!A:C,3,0))</f>
        <v>pc</v>
      </c>
    </row>
    <row r="664">
      <c r="A664" s="2" t="str">
        <f>IFERROR(__xludf.DUMMYFUNCTION("""COMPUTED_VALUE"""),"O-20626-00")</f>
        <v>O-20626-00</v>
      </c>
      <c r="B664" s="2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4" s="2" t="str">
        <f>IFERROR(__xludf.DUMMYFUNCTION("""COMPUTED_VALUE"""),"O-20626-00")</f>
        <v>O-20626-00</v>
      </c>
      <c r="D664" s="2" t="str">
        <f>if(isna(vlookup(C664,'On Hand'!A:C,3,0)),"",vlookup(C664,'On Hand'!A:C,3,0))</f>
        <v>pc</v>
      </c>
    </row>
    <row r="665">
      <c r="A665" s="2" t="str">
        <f>IFERROR(__xludf.DUMMYFUNCTION("""COMPUTED_VALUE"""),"O-20645-00")</f>
        <v>O-20645-00</v>
      </c>
      <c r="B665" s="2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5" s="2" t="str">
        <f>IFERROR(__xludf.DUMMYFUNCTION("""COMPUTED_VALUE"""),"O-20645-00")</f>
        <v>O-20645-00</v>
      </c>
      <c r="D665" s="2" t="str">
        <f>if(isna(vlookup(C665,'On Hand'!A:C,3,0)),"",vlookup(C665,'On Hand'!A:C,3,0))</f>
        <v>pc</v>
      </c>
    </row>
    <row r="666">
      <c r="A666" s="2" t="str">
        <f>IFERROR(__xludf.DUMMYFUNCTION("""COMPUTED_VALUE"""),"O-20646-00")</f>
        <v>O-20646-00</v>
      </c>
      <c r="B666" s="2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6" s="2" t="str">
        <f>IFERROR(__xludf.DUMMYFUNCTION("""COMPUTED_VALUE"""),"O-20646-00")</f>
        <v>O-20646-00</v>
      </c>
      <c r="D666" s="2" t="str">
        <f>if(isna(vlookup(C666,'On Hand'!A:C,3,0)),"",vlookup(C666,'On Hand'!A:C,3,0))</f>
        <v>pc</v>
      </c>
    </row>
    <row r="667">
      <c r="A667" s="2" t="str">
        <f>IFERROR(__xludf.DUMMYFUNCTION("""COMPUTED_VALUE"""),"O-20647-00")</f>
        <v>O-20647-00</v>
      </c>
      <c r="B667" s="2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7" s="2" t="str">
        <f>IFERROR(__xludf.DUMMYFUNCTION("""COMPUTED_VALUE"""),"O-20647-00")</f>
        <v>O-20647-00</v>
      </c>
      <c r="D667" s="2" t="str">
        <f>if(isna(vlookup(C667,'On Hand'!A:C,3,0)),"",vlookup(C667,'On Hand'!A:C,3,0))</f>
        <v>pc</v>
      </c>
    </row>
    <row r="668">
      <c r="A668" s="2" t="str">
        <f>IFERROR(__xludf.DUMMYFUNCTION("""COMPUTED_VALUE"""),"O-20648-00")</f>
        <v>O-20648-00</v>
      </c>
      <c r="B668" s="2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8" s="2" t="str">
        <f>IFERROR(__xludf.DUMMYFUNCTION("""COMPUTED_VALUE"""),"O-20648-00")</f>
        <v>O-20648-00</v>
      </c>
      <c r="D668" s="2" t="str">
        <f>if(isna(vlookup(C668,'On Hand'!A:C,3,0)),"",vlookup(C668,'On Hand'!A:C,3,0))</f>
        <v>pc</v>
      </c>
    </row>
    <row r="669">
      <c r="A669" s="2" t="str">
        <f>IFERROR(__xludf.DUMMYFUNCTION("""COMPUTED_VALUE"""),"O-20649-00")</f>
        <v>O-20649-00</v>
      </c>
      <c r="B669" s="2" t="str">
        <f>IFERROR(__xludf.DUMMYFUNCTION("""COMPUTED_VALUE"""),"Integrated Granulation Line - Housing Seal MC DN 100")</f>
        <v>Integrated Granulation Line - Housing Seal MC DN 100</v>
      </c>
      <c r="C669" s="2" t="str">
        <f>IFERROR(__xludf.DUMMYFUNCTION("""COMPUTED_VALUE"""),"O-20649-00")</f>
        <v>O-20649-00</v>
      </c>
      <c r="D669" s="2" t="str">
        <f>if(isna(vlookup(C669,'On Hand'!A:C,3,0)),"",vlookup(C669,'On Hand'!A:C,3,0))</f>
        <v>pc</v>
      </c>
    </row>
    <row r="670">
      <c r="A670" s="2" t="str">
        <f>IFERROR(__xludf.DUMMYFUNCTION("""COMPUTED_VALUE"""),"O-20650-00")</f>
        <v>O-20650-00</v>
      </c>
      <c r="B670" s="2" t="str">
        <f>IFERROR(__xludf.DUMMYFUNCTION("""COMPUTED_VALUE"""),"Integrated Granulation Line - Flap Disc Seal MC DN100 (2.M10.0110X)")</f>
        <v>Integrated Granulation Line - Flap Disc Seal MC DN100 (2.M10.0110X)</v>
      </c>
      <c r="C670" s="2" t="str">
        <f>IFERROR(__xludf.DUMMYFUNCTION("""COMPUTED_VALUE"""),"O-20650-00")</f>
        <v>O-20650-00</v>
      </c>
      <c r="D670" s="2" t="str">
        <f>if(isna(vlookup(C670,'On Hand'!A:C,3,0)),"",vlookup(C670,'On Hand'!A:C,3,0))</f>
        <v>pc</v>
      </c>
    </row>
    <row r="671">
      <c r="A671" s="2" t="str">
        <f>IFERROR(__xludf.DUMMYFUNCTION("""COMPUTED_VALUE"""),"O-20651-00")</f>
        <v>O-20651-00</v>
      </c>
      <c r="B671" s="2" t="str">
        <f>IFERROR(__xludf.DUMMYFUNCTION("""COMPUTED_VALUE"""),"Integrated Granulation Line - Collar HC100")</f>
        <v>Integrated Granulation Line - Collar HC100</v>
      </c>
      <c r="C671" s="2" t="str">
        <f>IFERROR(__xludf.DUMMYFUNCTION("""COMPUTED_VALUE"""),"O-20651-00")</f>
        <v>O-20651-00</v>
      </c>
      <c r="D671" s="2" t="str">
        <f>if(isna(vlookup(C671,'On Hand'!A:C,3,0)),"",vlookup(C671,'On Hand'!A:C,3,0))</f>
        <v>pc</v>
      </c>
    </row>
    <row r="672">
      <c r="A672" s="2" t="str">
        <f>IFERROR(__xludf.DUMMYFUNCTION("""COMPUTED_VALUE"""),"O-20652-00")</f>
        <v>O-20652-00</v>
      </c>
      <c r="B672" s="2" t="str">
        <f>IFERROR(__xludf.DUMMYFUNCTION("""COMPUTED_VALUE"""),"Integrated Granulation Line - Blowback Cone Seal PTFE")</f>
        <v>Integrated Granulation Line - Blowback Cone Seal PTFE</v>
      </c>
      <c r="C672" s="2" t="str">
        <f>IFERROR(__xludf.DUMMYFUNCTION("""COMPUTED_VALUE"""),"O-20652-00")</f>
        <v>O-20652-00</v>
      </c>
      <c r="D672" s="2" t="str">
        <f>if(isna(vlookup(C672,'On Hand'!A:C,3,0)),"",vlookup(C672,'On Hand'!A:C,3,0))</f>
        <v>pc</v>
      </c>
    </row>
    <row r="673">
      <c r="A673" s="2" t="str">
        <f>IFERROR(__xludf.DUMMYFUNCTION("""COMPUTED_VALUE"""),"O-20726-00")</f>
        <v>O-20726-00</v>
      </c>
      <c r="B673" s="2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3" s="2" t="str">
        <f>IFERROR(__xludf.DUMMYFUNCTION("""COMPUTED_VALUE"""),"O-20726-00")</f>
        <v>O-20726-00</v>
      </c>
      <c r="D673" s="2" t="str">
        <f>if(isna(vlookup(C673,'On Hand'!A:C,3,0)),"",vlookup(C673,'On Hand'!A:C,3,0))</f>
        <v>ST</v>
      </c>
    </row>
    <row r="674">
      <c r="A674" s="2" t="str">
        <f>IFERROR(__xludf.DUMMYFUNCTION("""COMPUTED_VALUE"""),"O-20727-00")</f>
        <v>O-20727-00</v>
      </c>
      <c r="B674" s="2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4" s="2" t="str">
        <f>IFERROR(__xludf.DUMMYFUNCTION("""COMPUTED_VALUE"""),"O-20727-00")</f>
        <v>O-20727-00</v>
      </c>
      <c r="D674" s="2" t="str">
        <f>if(isna(vlookup(C674,'On Hand'!A:C,3,0)),"",vlookup(C674,'On Hand'!A:C,3,0))</f>
        <v>ST</v>
      </c>
    </row>
    <row r="675">
      <c r="A675" s="2" t="str">
        <f>IFERROR(__xludf.DUMMYFUNCTION("""COMPUTED_VALUE"""),"O-20728-00")</f>
        <v>O-20728-00</v>
      </c>
      <c r="B675" s="2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5" s="2" t="str">
        <f>IFERROR(__xludf.DUMMYFUNCTION("""COMPUTED_VALUE"""),"O-20728-00")</f>
        <v>O-20728-00</v>
      </c>
      <c r="D675" s="2" t="str">
        <f>if(isna(vlookup(C675,'On Hand'!A:C,3,0)),"",vlookup(C675,'On Hand'!A:C,3,0))</f>
        <v>ST</v>
      </c>
    </row>
    <row r="676">
      <c r="A676" s="2" t="str">
        <f>IFERROR(__xludf.DUMMYFUNCTION("""COMPUTED_VALUE"""),"O-20746-00")</f>
        <v>O-20746-00</v>
      </c>
      <c r="B676" s="2" t="str">
        <f>IFERROR(__xludf.DUMMYFUNCTION("""COMPUTED_VALUE"""),"Autoclave FOF5/9A - Oring Silicone 1.7x11x15 mm; Custom/Lokal; -; 1 Pc")</f>
        <v>Autoclave FOF5/9A - Oring Silicone 1.7x11x15 mm; Custom/Lokal; -; 1 Pc</v>
      </c>
      <c r="C676" s="2" t="str">
        <f>IFERROR(__xludf.DUMMYFUNCTION("""COMPUTED_VALUE"""),"O-20746-00")</f>
        <v>O-20746-00</v>
      </c>
      <c r="D676" s="2" t="str">
        <f>if(isna(vlookup(C676,'On Hand'!A:C,3,0)),"",vlookup(C676,'On Hand'!A:C,3,0))</f>
        <v>pc</v>
      </c>
    </row>
    <row r="677">
      <c r="A677" s="2" t="str">
        <f>IFERROR(__xludf.DUMMYFUNCTION("""COMPUTED_VALUE"""),"O-20747-00")</f>
        <v>O-20747-00</v>
      </c>
      <c r="B677" s="2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7" s="2" t="str">
        <f>IFERROR(__xludf.DUMMYFUNCTION("""COMPUTED_VALUE"""),"O-20747-00")</f>
        <v>O-20747-00</v>
      </c>
      <c r="D677" s="2" t="str">
        <f>if(isna(vlookup(C677,'On Hand'!A:C,3,0)),"",vlookup(C677,'On Hand'!A:C,3,0))</f>
        <v>pc</v>
      </c>
    </row>
    <row r="678">
      <c r="A678" s="2" t="str">
        <f>IFERROR(__xludf.DUMMYFUNCTION("""COMPUTED_VALUE"""),"O-20748-00")</f>
        <v>O-20748-00</v>
      </c>
      <c r="B678" s="2" t="str">
        <f>IFERROR(__xludf.DUMMYFUNCTION("""COMPUTED_VALUE"""),"cRABS Z064CR - Cabinet Handle ENUX RAL 9005; Steriline; 1135571; 1 Pc")</f>
        <v>cRABS Z064CR - Cabinet Handle ENUX RAL 9005; Steriline; 1135571; 1 Pc</v>
      </c>
      <c r="C678" s="2" t="str">
        <f>IFERROR(__xludf.DUMMYFUNCTION("""COMPUTED_VALUE"""),"O-20748-00")</f>
        <v>O-20748-00</v>
      </c>
      <c r="D678" s="2" t="str">
        <f>if(isna(vlookup(C678,'On Hand'!A:C,3,0)),"",vlookup(C678,'On Hand'!A:C,3,0))</f>
        <v>pc</v>
      </c>
    </row>
    <row r="679">
      <c r="A679" s="2" t="str">
        <f>IFERROR(__xludf.DUMMYFUNCTION("""COMPUTED_VALUE"""),"O-20749-00")</f>
        <v>O-20749-00</v>
      </c>
      <c r="B679" s="2" t="str">
        <f>IFERROR(__xludf.DUMMYFUNCTION("""COMPUTED_VALUE"""),"General - Grease EP2 16 KG; Mobilux; -; 1 Pail = 16 Kg")</f>
        <v>General - Grease EP2 16 KG; Mobilux; -; 1 Pail = 16 Kg</v>
      </c>
      <c r="C679" s="2" t="str">
        <f>IFERROR(__xludf.DUMMYFUNCTION("""COMPUTED_VALUE"""),"O-20749-00")</f>
        <v>O-20749-00</v>
      </c>
      <c r="D679" s="2" t="str">
        <f>if(isna(vlookup(C679,'On Hand'!A:C,3,0)),"",vlookup(C679,'On Hand'!A:C,3,0))</f>
        <v>PL</v>
      </c>
    </row>
    <row r="680">
      <c r="A680" s="2" t="str">
        <f>IFERROR(__xludf.DUMMYFUNCTION("""COMPUTED_VALUE"""),"O-20750-00")</f>
        <v>O-20750-00</v>
      </c>
      <c r="B680" s="2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0" s="2" t="str">
        <f>IFERROR(__xludf.DUMMYFUNCTION("""COMPUTED_VALUE"""),"O-20750-00")</f>
        <v>O-20750-00</v>
      </c>
      <c r="D680" s="2" t="str">
        <f>if(isna(vlookup(C680,'On Hand'!A:C,3,0)),"",vlookup(C680,'On Hand'!A:C,3,0))</f>
        <v>pc</v>
      </c>
    </row>
    <row r="681">
      <c r="A681" s="2" t="str">
        <f>IFERROR(__xludf.DUMMYFUNCTION("""COMPUTED_VALUE"""),"O-20751-00")</f>
        <v>O-20751-00</v>
      </c>
      <c r="B681" s="2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1" s="2" t="str">
        <f>IFERROR(__xludf.DUMMYFUNCTION("""COMPUTED_VALUE"""),"O-20751-00")</f>
        <v>O-20751-00</v>
      </c>
      <c r="D681" s="2" t="str">
        <f>if(isna(vlookup(C681,'On Hand'!A:C,3,0)),"",vlookup(C681,'On Hand'!A:C,3,0))</f>
        <v>pc</v>
      </c>
    </row>
    <row r="682">
      <c r="A682" s="2" t="str">
        <f>IFERROR(__xludf.DUMMYFUNCTION("""COMPUTED_VALUE"""),"O-20814-00")</f>
        <v>O-20814-00</v>
      </c>
      <c r="B682" s="2" t="str">
        <f>IFERROR(__xludf.DUMMYFUNCTION("""COMPUTED_VALUE"""),"General - Spring Tekan Dia 2.5 x 15.5 x 71.3 mm, Mat. Steel; -; -; 1 Pc")</f>
        <v>General - Spring Tekan Dia 2.5 x 15.5 x 71.3 mm, Mat. Steel; -; -; 1 Pc</v>
      </c>
      <c r="C682" s="2" t="str">
        <f>IFERROR(__xludf.DUMMYFUNCTION("""COMPUTED_VALUE"""),"O-20814-00")</f>
        <v>O-20814-00</v>
      </c>
      <c r="D682" s="2" t="str">
        <f>if(isna(vlookup(C682,'On Hand'!A:C,3,0)),"",vlookup(C682,'On Hand'!A:C,3,0))</f>
        <v>pc</v>
      </c>
    </row>
    <row r="683">
      <c r="A683" s="2" t="str">
        <f>IFERROR(__xludf.DUMMYFUNCTION("""COMPUTED_VALUE"""),"O-20841-00")</f>
        <v>O-20841-00</v>
      </c>
      <c r="B683" s="2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3" s="2" t="str">
        <f>IFERROR(__xludf.DUMMYFUNCTION("""COMPUTED_VALUE"""),"O-20841-00")</f>
        <v>O-20841-00</v>
      </c>
      <c r="D683" s="2" t="str">
        <f>if(isna(vlookup(C683,'On Hand'!A:C,3,0)),"",vlookup(C683,'On Hand'!A:C,3,0))</f>
        <v/>
      </c>
    </row>
    <row r="684">
      <c r="A684" s="2" t="str">
        <f>IFERROR(__xludf.DUMMYFUNCTION("""COMPUTED_VALUE"""),"O-20842-00")</f>
        <v>O-20842-00</v>
      </c>
      <c r="B684" s="2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4" s="2" t="str">
        <f>IFERROR(__xludf.DUMMYFUNCTION("""COMPUTED_VALUE"""),"O-20842-00")</f>
        <v>O-20842-00</v>
      </c>
      <c r="D684" s="2" t="str">
        <f>if(isna(vlookup(C684,'On Hand'!A:C,3,0)),"",vlookup(C684,'On Hand'!A:C,3,0))</f>
        <v/>
      </c>
    </row>
    <row r="685">
      <c r="A685" s="2" t="str">
        <f>IFERROR(__xludf.DUMMYFUNCTION("""COMPUTED_VALUE"""),"O-20843-00")</f>
        <v>O-20843-00</v>
      </c>
      <c r="B685" s="2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5" s="2" t="str">
        <f>IFERROR(__xludf.DUMMYFUNCTION("""COMPUTED_VALUE"""),"O-20843-00")</f>
        <v>O-20843-00</v>
      </c>
      <c r="D685" s="2" t="str">
        <f>if(isna(vlookup(C685,'On Hand'!A:C,3,0)),"",vlookup(C685,'On Hand'!A:C,3,0))</f>
        <v/>
      </c>
    </row>
    <row r="686">
      <c r="A686" s="2" t="str">
        <f>IFERROR(__xludf.DUMMYFUNCTION("""COMPUTED_VALUE"""),"O-20857-00")</f>
        <v>O-20857-00</v>
      </c>
      <c r="B686" s="2" t="str">
        <f>IFERROR(__xludf.DUMMYFUNCTION("""COMPUTED_VALUE"""),"Washing RAR4 - Needle CA, OD 15 x 168 mm, Mat. SS316; Custom/Lokal; -; 1 Pc")</f>
        <v>Washing RAR4 - Needle CA, OD 15 x 168 mm, Mat. SS316; Custom/Lokal; -; 1 Pc</v>
      </c>
      <c r="C686" s="2" t="str">
        <f>IFERROR(__xludf.DUMMYFUNCTION("""COMPUTED_VALUE"""),"O-20857-00")</f>
        <v>O-20857-00</v>
      </c>
      <c r="D686" s="2" t="str">
        <f>if(isna(vlookup(C686,'On Hand'!A:C,3,0)),"",vlookup(C686,'On Hand'!A:C,3,0))</f>
        <v>pc</v>
      </c>
    </row>
    <row r="687">
      <c r="A687" s="2" t="str">
        <f>IFERROR(__xludf.DUMMYFUNCTION("""COMPUTED_VALUE"""),"O-20859-00")</f>
        <v>O-20859-00</v>
      </c>
      <c r="B687" s="2" t="str">
        <f>IFERROR(__xludf.DUMMYFUNCTION("""COMPUTED_VALUE"""),"Marchesini MA155 - Leaflet Gripper; Marchesini; A920000005; 1 Pc")</f>
        <v>Marchesini MA155 - Leaflet Gripper; Marchesini; A920000005; 1 Pc</v>
      </c>
      <c r="C687" s="2" t="str">
        <f>IFERROR(__xludf.DUMMYFUNCTION("""COMPUTED_VALUE"""),"O-20859-00")</f>
        <v>O-20859-00</v>
      </c>
      <c r="D687" s="2" t="str">
        <f>if(isna(vlookup(C687,'On Hand'!A:C,3,0)),"",vlookup(C687,'On Hand'!A:C,3,0))</f>
        <v>pc</v>
      </c>
    </row>
    <row r="688">
      <c r="A688" s="2" t="str">
        <f>IFERROR(__xludf.DUMMYFUNCTION("""COMPUTED_VALUE"""),"O-20895-00")</f>
        <v>O-20895-00</v>
      </c>
      <c r="B688" s="2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8" s="2" t="str">
        <f>IFERROR(__xludf.DUMMYFUNCTION("""COMPUTED_VALUE"""),"O-20895-00")</f>
        <v>O-20895-00</v>
      </c>
      <c r="D688" s="2" t="str">
        <f>if(isna(vlookup(C688,'On Hand'!A:C,3,0)),"",vlookup(C688,'On Hand'!A:C,3,0))</f>
        <v>pc</v>
      </c>
    </row>
    <row r="689">
      <c r="A689" s="2" t="str">
        <f>IFERROR(__xludf.DUMMYFUNCTION("""COMPUTED_VALUE"""),"O-20896-00")</f>
        <v>O-20896-00</v>
      </c>
      <c r="B689" s="2" t="str">
        <f>IFERROR(__xludf.DUMMYFUNCTION("""COMPUTED_VALUE"""),"Isolator - Silicon Tube Pump 913.A016.016; SKAN; 1002902; 1 Pc")</f>
        <v>Isolator - Silicon Tube Pump 913.A016.016; SKAN; 1002902; 1 Pc</v>
      </c>
      <c r="C689" s="2" t="str">
        <f>IFERROR(__xludf.DUMMYFUNCTION("""COMPUTED_VALUE"""),"O-20896-00")</f>
        <v>O-20896-00</v>
      </c>
      <c r="D689" s="2" t="str">
        <f>if(isna(vlookup(C689,'On Hand'!A:C,3,0)),"",vlookup(C689,'On Hand'!A:C,3,0))</f>
        <v>pc</v>
      </c>
    </row>
    <row r="690">
      <c r="A690" s="2" t="str">
        <f>IFERROR(__xludf.DUMMYFUNCTION("""COMPUTED_VALUE"""),"O-20897-00")</f>
        <v>O-20897-00</v>
      </c>
      <c r="B690" s="2" t="str">
        <f>IFERROR(__xludf.DUMMYFUNCTION("""COMPUTED_VALUE"""),"Capping VCM200 - Oring Silicone 2.5 x 30.50 x 30.50; Custom/Lokal; -; 1 Pc")</f>
        <v>Capping VCM200 - Oring Silicone 2.5 x 30.50 x 30.50; Custom/Lokal; -; 1 Pc</v>
      </c>
      <c r="C690" s="2" t="str">
        <f>IFERROR(__xludf.DUMMYFUNCTION("""COMPUTED_VALUE"""),"O-20897-00")</f>
        <v>O-20897-00</v>
      </c>
      <c r="D690" s="2" t="str">
        <f>if(isna(vlookup(C690,'On Hand'!A:C,3,0)),"",vlookup(C690,'On Hand'!A:C,3,0))</f>
        <v>pc</v>
      </c>
    </row>
    <row r="691">
      <c r="A691" s="2" t="str">
        <f>IFERROR(__xludf.DUMMYFUNCTION("""COMPUTED_VALUE"""),"O-20903-00")</f>
        <v>O-20903-00</v>
      </c>
      <c r="B691" s="2" t="str">
        <f>IFERROR(__xludf.DUMMYFUNCTION("""COMPUTED_VALUE"""),"Filling VFM100 - Base Plate Loadcell 163.5x28x4mm; Custom/Lokal; -; 1 Pc")</f>
        <v>Filling VFM100 - Base Plate Loadcell 163.5x28x4mm; Custom/Lokal; -; 1 Pc</v>
      </c>
      <c r="C691" s="2" t="str">
        <f>IFERROR(__xludf.DUMMYFUNCTION("""COMPUTED_VALUE"""),"O-20903-00")</f>
        <v>O-20903-00</v>
      </c>
      <c r="D691" s="2" t="str">
        <f>if(isna(vlookup(C691,'On Hand'!A:C,3,0)),"",vlookup(C691,'On Hand'!A:C,3,0))</f>
        <v>pc</v>
      </c>
    </row>
    <row r="692">
      <c r="A692" s="2" t="str">
        <f>IFERROR(__xludf.DUMMYFUNCTION("""COMPUTED_VALUE"""),"O-20904-00")</f>
        <v>O-20904-00</v>
      </c>
      <c r="B692" s="2" t="str">
        <f>IFERROR(__xludf.DUMMYFUNCTION("""COMPUTED_VALUE"""),"Filling VFM100 - Adapter Loadcell 30x30x4mm; Custom/Lokal; -; 1 Pc")</f>
        <v>Filling VFM100 - Adapter Loadcell 30x30x4mm; Custom/Lokal; -; 1 Pc</v>
      </c>
      <c r="C692" s="2" t="str">
        <f>IFERROR(__xludf.DUMMYFUNCTION("""COMPUTED_VALUE"""),"O-20904-00")</f>
        <v>O-20904-00</v>
      </c>
      <c r="D692" s="2" t="str">
        <f>if(isna(vlookup(C692,'On Hand'!A:C,3,0)),"",vlookup(C692,'On Hand'!A:C,3,0))</f>
        <v>pc</v>
      </c>
    </row>
    <row r="693">
      <c r="A693" s="2" t="str">
        <f>IFERROR(__xludf.DUMMYFUNCTION("""COMPUTED_VALUE"""),"O-20905-00")</f>
        <v>O-20905-00</v>
      </c>
      <c r="B693" s="2" t="str">
        <f>IFERROR(__xludf.DUMMYFUNCTION("""COMPUTED_VALUE"""),"Filling VFM100 - Dudukan Piringan 30x14x9mm; Custom/Lokal; -; 1 Pc")</f>
        <v>Filling VFM100 - Dudukan Piringan 30x14x9mm; Custom/Lokal; -; 1 Pc</v>
      </c>
      <c r="C693" s="2" t="str">
        <f>IFERROR(__xludf.DUMMYFUNCTION("""COMPUTED_VALUE"""),"O-20905-00")</f>
        <v>O-20905-00</v>
      </c>
      <c r="D693" s="2" t="str">
        <f>if(isna(vlookup(C693,'On Hand'!A:C,3,0)),"",vlookup(C693,'On Hand'!A:C,3,0))</f>
        <v>pc</v>
      </c>
    </row>
    <row r="694">
      <c r="A694" s="2" t="str">
        <f>IFERROR(__xludf.DUMMYFUNCTION("""COMPUTED_VALUE"""),"O-20910-00")</f>
        <v>O-20910-00</v>
      </c>
      <c r="B694" s="2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4" s="2" t="str">
        <f>IFERROR(__xludf.DUMMYFUNCTION("""COMPUTED_VALUE"""),"O-20910-00")</f>
        <v>O-20910-00</v>
      </c>
      <c r="D694" s="2" t="str">
        <f>if(isna(vlookup(C694,'On Hand'!A:C,3,0)),"",vlookup(C694,'On Hand'!A:C,3,0))</f>
        <v>pc</v>
      </c>
    </row>
    <row r="695">
      <c r="A695" s="2" t="str">
        <f>IFERROR(__xludf.DUMMYFUNCTION("""COMPUTED_VALUE"""),"O-20911-00")</f>
        <v>O-20911-00</v>
      </c>
      <c r="B695" s="2" t="str">
        <f>IFERROR(__xludf.DUMMYFUNCTION("""COMPUTED_VALUE"""),"Capping VCM200 - Format Part 6R Uk 15x275x478; Custom/Lokal; -; 1 Pc")</f>
        <v>Capping VCM200 - Format Part 6R Uk 15x275x478; Custom/Lokal; -; 1 Pc</v>
      </c>
      <c r="C695" s="2" t="str">
        <f>IFERROR(__xludf.DUMMYFUNCTION("""COMPUTED_VALUE"""),"O-20911-00")</f>
        <v>O-20911-00</v>
      </c>
      <c r="D695" s="2" t="str">
        <f>if(isna(vlookup(C695,'On Hand'!A:C,3,0)),"",vlookup(C695,'On Hand'!A:C,3,0))</f>
        <v/>
      </c>
    </row>
    <row r="696">
      <c r="A696" s="2" t="str">
        <f>IFERROR(__xludf.DUMMYFUNCTION("""COMPUTED_VALUE"""),"O-20912-00")</f>
        <v>O-20912-00</v>
      </c>
      <c r="B696" s="2" t="str">
        <f>IFERROR(__xludf.DUMMYFUNCTION("""COMPUTED_VALUE"""),"Capping VCM200 - Format Part 10R Uk 20x275x478; Custom/Lokal; -; 1 Pc")</f>
        <v>Capping VCM200 - Format Part 10R Uk 20x275x478; Custom/Lokal; -; 1 Pc</v>
      </c>
      <c r="C696" s="2" t="str">
        <f>IFERROR(__xludf.DUMMYFUNCTION("""COMPUTED_VALUE"""),"O-20912-00")</f>
        <v>O-20912-00</v>
      </c>
      <c r="D696" s="2" t="str">
        <f>if(isna(vlookup(C696,'On Hand'!A:C,3,0)),"",vlookup(C696,'On Hand'!A:C,3,0))</f>
        <v/>
      </c>
    </row>
    <row r="697">
      <c r="A697" s="2" t="str">
        <f>IFERROR(__xludf.DUMMYFUNCTION("""COMPUTED_VALUE"""),"O-20913-00")</f>
        <v>O-20913-00</v>
      </c>
      <c r="B697" s="2" t="str">
        <f>IFERROR(__xludf.DUMMYFUNCTION("""COMPUTED_VALUE"""),"General - Air Gripper; SMC; MHZJ2 20DS X43 X81B; 1 Pc")</f>
        <v>General - Air Gripper; SMC; MHZJ2 20DS X43 X81B; 1 Pc</v>
      </c>
      <c r="C697" s="2" t="str">
        <f>IFERROR(__xludf.DUMMYFUNCTION("""COMPUTED_VALUE"""),"O-20913-00")</f>
        <v>O-20913-00</v>
      </c>
      <c r="D697" s="2" t="str">
        <f>if(isna(vlookup(C697,'On Hand'!A:C,3,0)),"",vlookup(C697,'On Hand'!A:C,3,0))</f>
        <v>pc</v>
      </c>
    </row>
    <row r="698">
      <c r="A698" s="2" t="str">
        <f>IFERROR(__xludf.DUMMYFUNCTION("""COMPUTED_VALUE"""),"O-20918-00")</f>
        <v>O-20918-00</v>
      </c>
      <c r="B698" s="2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8" s="2" t="str">
        <f>IFERROR(__xludf.DUMMYFUNCTION("""COMPUTED_VALUE"""),"O-20918-00")</f>
        <v>O-20918-00</v>
      </c>
      <c r="D698" s="2" t="str">
        <f>if(isna(vlookup(C698,'On Hand'!A:C,3,0)),"",vlookup(C698,'On Hand'!A:C,3,0))</f>
        <v/>
      </c>
    </row>
    <row r="699">
      <c r="A699" s="2" t="str">
        <f>IFERROR(__xludf.DUMMYFUNCTION("""COMPUTED_VALUE"""),"O-20950-00")</f>
        <v>O-20950-00</v>
      </c>
      <c r="B699" s="2" t="str">
        <f>IFERROR(__xludf.DUMMYFUNCTION("""COMPUTED_VALUE"""),"Capping VCM200 - Silicone Sucker 01.10.10; Steriline; 201119; 1 Pc")</f>
        <v>Capping VCM200 - Silicone Sucker 01.10.10; Steriline; 201119; 1 Pc</v>
      </c>
      <c r="C699" s="2" t="str">
        <f>IFERROR(__xludf.DUMMYFUNCTION("""COMPUTED_VALUE"""),"O-20950-00")</f>
        <v>O-20950-00</v>
      </c>
      <c r="D699" s="2" t="str">
        <f>if(isna(vlookup(C699,'On Hand'!A:C,3,0)),"",vlookup(C699,'On Hand'!A:C,3,0))</f>
        <v/>
      </c>
    </row>
    <row r="700">
      <c r="A700" s="2" t="str">
        <f>IFERROR(__xludf.DUMMYFUNCTION("""COMPUTED_VALUE"""),"O-20951-00")</f>
        <v>O-20951-00</v>
      </c>
      <c r="B700" s="2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0" s="2" t="str">
        <f>IFERROR(__xludf.DUMMYFUNCTION("""COMPUTED_VALUE"""),"O-20951-00")</f>
        <v>O-20951-00</v>
      </c>
      <c r="D700" s="2" t="str">
        <f>if(isna(vlookup(C700,'On Hand'!A:C,3,0)),"",vlookup(C700,'On Hand'!A:C,3,0))</f>
        <v/>
      </c>
    </row>
    <row r="701">
      <c r="A701" s="2" t="str">
        <f>IFERROR(__xludf.DUMMYFUNCTION("""COMPUTED_VALUE"""),"O-20952-00")</f>
        <v>O-20952-00</v>
      </c>
      <c r="B701" s="2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1" s="2" t="str">
        <f>IFERROR(__xludf.DUMMYFUNCTION("""COMPUTED_VALUE"""),"O-20952-00")</f>
        <v>O-20952-00</v>
      </c>
      <c r="D701" s="2" t="str">
        <f>if(isna(vlookup(C701,'On Hand'!A:C,3,0)),"",vlookup(C701,'On Hand'!A:C,3,0))</f>
        <v/>
      </c>
    </row>
    <row r="702">
      <c r="A702" s="2" t="str">
        <f>IFERROR(__xludf.DUMMYFUNCTION("""COMPUTED_VALUE"""),"O-20953-00")</f>
        <v>O-20953-00</v>
      </c>
      <c r="B702" s="2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2" s="2" t="str">
        <f>IFERROR(__xludf.DUMMYFUNCTION("""COMPUTED_VALUE"""),"O-20953-00")</f>
        <v>O-20953-00</v>
      </c>
      <c r="D702" s="2" t="str">
        <f>if(isna(vlookup(C702,'On Hand'!A:C,3,0)),"",vlookup(C702,'On Hand'!A:C,3,0))</f>
        <v/>
      </c>
    </row>
    <row r="703">
      <c r="A703" s="2" t="str">
        <f>IFERROR(__xludf.DUMMYFUNCTION("""COMPUTED_VALUE"""),"O-20982-00")</f>
        <v>O-20982-00</v>
      </c>
      <c r="B703" s="2" t="str">
        <f>IFERROR(__xludf.DUMMYFUNCTION("""COMPUTED_VALUE"""),"Autoclave FVA2/A1 - SILICONE GASKET FO-5 900X1300; Fedegari; PP600076; 1 Pc")</f>
        <v>Autoclave FVA2/A1 - SILICONE GASKET FO-5 900X1300; Fedegari; PP600076; 1 Pc</v>
      </c>
      <c r="C703" s="2" t="str">
        <f>IFERROR(__xludf.DUMMYFUNCTION("""COMPUTED_VALUE"""),"O-20982-00")</f>
        <v>O-20982-00</v>
      </c>
      <c r="D703" s="2" t="str">
        <f>if(isna(vlookup(C703,'On Hand'!A:C,3,0)),"",vlookup(C703,'On Hand'!A:C,3,0))</f>
        <v>pc</v>
      </c>
    </row>
    <row r="704">
      <c r="A704" s="2" t="str">
        <f>IFERROR(__xludf.DUMMYFUNCTION("""COMPUTED_VALUE"""),"O-20983-00")</f>
        <v>O-20983-00</v>
      </c>
      <c r="B704" s="2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4" s="2" t="str">
        <f>IFERROR(__xludf.DUMMYFUNCTION("""COMPUTED_VALUE"""),"O-20983-00")</f>
        <v>O-20983-00</v>
      </c>
      <c r="D704" s="2" t="str">
        <f>if(isna(vlookup(C704,'On Hand'!A:C,3,0)),"",vlookup(C704,'On Hand'!A:C,3,0))</f>
        <v/>
      </c>
    </row>
    <row r="705">
      <c r="A705" s="2" t="str">
        <f>IFERROR(__xludf.DUMMYFUNCTION("""COMPUTED_VALUE"""),"O-20992-00")</f>
        <v>O-20992-00</v>
      </c>
      <c r="B705" s="2" t="str">
        <f>IFERROR(__xludf.DUMMYFUNCTION("""COMPUTED_VALUE"""),"General - Spare Membrane diaphragm MA8 PTFE/EPDM; SED; 00210.190.508.51; 1 Pc")</f>
        <v>General - Spare Membrane diaphragm MA8 PTFE/EPDM; SED; 00210.190.508.51; 1 Pc</v>
      </c>
      <c r="C705" s="2" t="str">
        <f>IFERROR(__xludf.DUMMYFUNCTION("""COMPUTED_VALUE"""),"O-20992-00")</f>
        <v>O-20992-00</v>
      </c>
      <c r="D705" s="2" t="str">
        <f>if(isna(vlookup(C705,'On Hand'!A:C,3,0)),"",vlookup(C705,'On Hand'!A:C,3,0))</f>
        <v>pc</v>
      </c>
    </row>
    <row r="706">
      <c r="A706" s="2" t="str">
        <f>IFERROR(__xludf.DUMMYFUNCTION("""COMPUTED_VALUE"""),"O-20993-00")</f>
        <v>O-20993-00</v>
      </c>
      <c r="B706" s="2" t="str">
        <f>IFERROR(__xludf.DUMMYFUNCTION("""COMPUTED_VALUE"""),"Capping VCM200 - Base Starwheel Uk. 413 x 185 x T :15; Custom/Lokal; -; 1 Pc")</f>
        <v>Capping VCM200 - Base Starwheel Uk. 413 x 185 x T :15; Custom/Lokal; -; 1 Pc</v>
      </c>
      <c r="C706" s="2" t="str">
        <f>IFERROR(__xludf.DUMMYFUNCTION("""COMPUTED_VALUE"""),"O-20993-00")</f>
        <v>O-20993-00</v>
      </c>
      <c r="D706" s="2" t="str">
        <f>if(isna(vlookup(C706,'On Hand'!A:C,3,0)),"",vlookup(C706,'On Hand'!A:C,3,0))</f>
        <v>pc</v>
      </c>
    </row>
    <row r="707">
      <c r="A707" s="2" t="str">
        <f>IFERROR(__xludf.DUMMYFUNCTION("""COMPUTED_VALUE"""),"O-21007-00")</f>
        <v>O-21007-00</v>
      </c>
      <c r="B707" s="2" t="str">
        <f>IFERROR(__xludf.DUMMYFUNCTION("""COMPUTED_VALUE"""),"Filling VFM100 - Handle Manual Valve Hexagon 60x27; Custom/Lokal; -; 1 Pc")</f>
        <v>Filling VFM100 - Handle Manual Valve Hexagon 60x27; Custom/Lokal; -; 1 Pc</v>
      </c>
      <c r="C707" s="2" t="str">
        <f>IFERROR(__xludf.DUMMYFUNCTION("""COMPUTED_VALUE"""),"O-21007-00")</f>
        <v>O-21007-00</v>
      </c>
      <c r="D707" s="2" t="str">
        <f>if(isna(vlookup(C707,'On Hand'!A:C,3,0)),"",vlookup(C707,'On Hand'!A:C,3,0))</f>
        <v>pc</v>
      </c>
    </row>
    <row r="708">
      <c r="A708" s="2" t="str">
        <f>IFERROR(__xludf.DUMMYFUNCTION("""COMPUTED_VALUE"""),"O-21031-00")</f>
        <v>O-21031-00</v>
      </c>
      <c r="B708" s="2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8" s="2" t="str">
        <f>IFERROR(__xludf.DUMMYFUNCTION("""COMPUTED_VALUE"""),"O-21031-00")</f>
        <v>O-21031-00</v>
      </c>
      <c r="D708" s="2" t="str">
        <f>if(isna(vlookup(C708,'On Hand'!A:C,3,0)),"",vlookup(C708,'On Hand'!A:C,3,0))</f>
        <v>pc</v>
      </c>
    </row>
    <row r="709">
      <c r="A709" s="2" t="str">
        <f>IFERROR(__xludf.DUMMYFUNCTION("""COMPUTED_VALUE"""),"O-21032-00")</f>
        <v>O-21032-00</v>
      </c>
      <c r="B709" s="2" t="str">
        <f>IFERROR(__xludf.DUMMYFUNCTION("""COMPUTED_VALUE"""),"Washing RAR4 - Steel Ball / Gotri 2.5mm; -; -; 1 pck = 100pc")</f>
        <v>Washing RAR4 - Steel Ball / Gotri 2.5mm; -; -; 1 pck = 100pc</v>
      </c>
      <c r="C709" s="2" t="str">
        <f>IFERROR(__xludf.DUMMYFUNCTION("""COMPUTED_VALUE"""),"O-21032-00")</f>
        <v>O-21032-00</v>
      </c>
      <c r="D709" s="2" t="str">
        <f>if(isna(vlookup(C709,'On Hand'!A:C,3,0)),"",vlookup(C709,'On Hand'!A:C,3,0))</f>
        <v>Pck</v>
      </c>
    </row>
    <row r="710">
      <c r="A710" s="2" t="str">
        <f>IFERROR(__xludf.DUMMYFUNCTION("""COMPUTED_VALUE"""),"O-21063-00")</f>
        <v>O-21063-00</v>
      </c>
      <c r="B710" s="2" t="str">
        <f>IFERROR(__xludf.DUMMYFUNCTION("""COMPUTED_VALUE"""),"General - POS10 Rod End Bearing Ulir kanan; -; -; 1 Pc")</f>
        <v>General - POS10 Rod End Bearing Ulir kanan; -; -; 1 Pc</v>
      </c>
      <c r="C710" s="2" t="str">
        <f>IFERROR(__xludf.DUMMYFUNCTION("""COMPUTED_VALUE"""),"O-21063-00")</f>
        <v>O-21063-00</v>
      </c>
      <c r="D710" s="2" t="str">
        <f>if(isna(vlookup(C710,'On Hand'!A:C,3,0)),"",vlookup(C710,'On Hand'!A:C,3,0))</f>
        <v/>
      </c>
    </row>
    <row r="711">
      <c r="A711" s="2" t="str">
        <f>IFERROR(__xludf.DUMMYFUNCTION("""COMPUTED_VALUE"""),"O-21064-00")</f>
        <v>O-21064-00</v>
      </c>
      <c r="B711" s="2" t="str">
        <f>IFERROR(__xludf.DUMMYFUNCTION("""COMPUTED_VALUE"""),"General - POS10 Rod End Bearing Ulir kiri; -; -; 1 Pc")</f>
        <v>General - POS10 Rod End Bearing Ulir kiri; -; -; 1 Pc</v>
      </c>
      <c r="C711" s="2" t="str">
        <f>IFERROR(__xludf.DUMMYFUNCTION("""COMPUTED_VALUE"""),"O-21064-00")</f>
        <v>O-21064-00</v>
      </c>
      <c r="D711" s="2" t="str">
        <f>if(isna(vlookup(C711,'On Hand'!A:C,3,0)),"",vlookup(C711,'On Hand'!A:C,3,0))</f>
        <v>pc</v>
      </c>
    </row>
    <row r="712">
      <c r="A712" s="2" t="str">
        <f>IFERROR(__xludf.DUMMYFUNCTION("""COMPUTED_VALUE"""),"O-21067-00")</f>
        <v>O-21067-00</v>
      </c>
      <c r="B712" s="2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2" s="2" t="str">
        <f>IFERROR(__xludf.DUMMYFUNCTION("""COMPUTED_VALUE"""),"O-21067-00")</f>
        <v>O-21067-00</v>
      </c>
      <c r="D712" s="2" t="str">
        <f>if(isna(vlookup(C712,'On Hand'!A:C,3,0)),"",vlookup(C712,'On Hand'!A:C,3,0))</f>
        <v/>
      </c>
    </row>
    <row r="713">
      <c r="A713" s="2" t="str">
        <f>IFERROR(__xludf.DUMMYFUNCTION("""COMPUTED_VALUE"""),"O-21068-00")</f>
        <v>O-21068-00</v>
      </c>
      <c r="B713" s="2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3" s="2" t="str">
        <f>IFERROR(__xludf.DUMMYFUNCTION("""COMPUTED_VALUE"""),"O-21068-00")</f>
        <v>O-21068-00</v>
      </c>
      <c r="D713" s="2" t="str">
        <f>if(isna(vlookup(C713,'On Hand'!A:C,3,0)),"",vlookup(C713,'On Hand'!A:C,3,0))</f>
        <v>pc</v>
      </c>
    </row>
    <row r="714">
      <c r="A714" s="2" t="str">
        <f>IFERROR(__xludf.DUMMYFUNCTION("""COMPUTED_VALUE"""),"O-21089-00")</f>
        <v>O-21089-00</v>
      </c>
      <c r="B714" s="2" t="str">
        <f>IFERROR(__xludf.DUMMYFUNCTION("""COMPUTED_VALUE"""),"Capping VCM200 - Oil Seal 20x28x4mm; NBR; -; 1 Pc")</f>
        <v>Capping VCM200 - Oil Seal 20x28x4mm; NBR; -; 1 Pc</v>
      </c>
      <c r="C714" s="2" t="str">
        <f>IFERROR(__xludf.DUMMYFUNCTION("""COMPUTED_VALUE"""),"O-21089-00")</f>
        <v>O-21089-00</v>
      </c>
      <c r="D714" s="2" t="str">
        <f>if(isna(vlookup(C714,'On Hand'!A:C,3,0)),"",vlookup(C714,'On Hand'!A:C,3,0))</f>
        <v>pc</v>
      </c>
    </row>
    <row r="715">
      <c r="A715" s="2" t="str">
        <f>IFERROR(__xludf.DUMMYFUNCTION("""COMPUTED_VALUE"""),"O-21092-00")</f>
        <v>O-21092-00</v>
      </c>
      <c r="B715" s="2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5" s="2" t="str">
        <f>IFERROR(__xludf.DUMMYFUNCTION("""COMPUTED_VALUE"""),"O-21092-00")</f>
        <v>O-21092-00</v>
      </c>
      <c r="D715" s="2" t="str">
        <f>if(isna(vlookup(C715,'On Hand'!A:C,3,0)),"",vlookup(C715,'On Hand'!A:C,3,0))</f>
        <v/>
      </c>
    </row>
    <row r="716">
      <c r="A716" s="2" t="str">
        <f>IFERROR(__xludf.DUMMYFUNCTION("""COMPUTED_VALUE"""),"O-21124-00")</f>
        <v>O-21124-00</v>
      </c>
      <c r="B716" s="2" t="str">
        <f>IFERROR(__xludf.DUMMYFUNCTION("""COMPUTED_VALUE"""),"Autoclave Service NA2247AU - O ring 15.47x3.53; Fedegari; CC150170; 1 Pc")</f>
        <v>Autoclave Service NA2247AU - O ring 15.47x3.53; Fedegari; CC150170; 1 Pc</v>
      </c>
      <c r="C716" s="2" t="str">
        <f>IFERROR(__xludf.DUMMYFUNCTION("""COMPUTED_VALUE"""),"O-21124-00")</f>
        <v>O-21124-00</v>
      </c>
      <c r="D716" s="2" t="str">
        <f>if(isna(vlookup(C716,'On Hand'!A:C,3,0)),"",vlookup(C716,'On Hand'!A:C,3,0))</f>
        <v>pc</v>
      </c>
    </row>
    <row r="717">
      <c r="A717" s="2" t="str">
        <f>IFERROR(__xludf.DUMMYFUNCTION("""COMPUTED_VALUE"""),"O-21125-00")</f>
        <v>O-21125-00</v>
      </c>
      <c r="B717" s="2" t="str">
        <f>IFERROR(__xludf.DUMMYFUNCTION("""COMPUTED_VALUE"""),"Autoclave Service NA2247AU - O ring 34.52x3.53; Fedegari; CC150171; 1 Pc")</f>
        <v>Autoclave Service NA2247AU - O ring 34.52x3.53; Fedegari; CC150171; 1 Pc</v>
      </c>
      <c r="C717" s="2" t="str">
        <f>IFERROR(__xludf.DUMMYFUNCTION("""COMPUTED_VALUE"""),"O-21125-00")</f>
        <v>O-21125-00</v>
      </c>
      <c r="D717" s="2" t="str">
        <f>if(isna(vlookup(C717,'On Hand'!A:C,3,0)),"",vlookup(C717,'On Hand'!A:C,3,0))</f>
        <v>pc</v>
      </c>
    </row>
    <row r="718">
      <c r="A718" s="2" t="str">
        <f>IFERROR(__xludf.DUMMYFUNCTION("""COMPUTED_VALUE"""),"O-21126-00")</f>
        <v>O-21126-00</v>
      </c>
      <c r="B718" s="2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8" s="2" t="str">
        <f>IFERROR(__xludf.DUMMYFUNCTION("""COMPUTED_VALUE"""),"O-21126-00")</f>
        <v>O-21126-00</v>
      </c>
      <c r="D718" s="2" t="str">
        <f>if(isna(vlookup(C718,'On Hand'!A:C,3,0)),"",vlookup(C718,'On Hand'!A:C,3,0))</f>
        <v/>
      </c>
    </row>
    <row r="719">
      <c r="A719" s="2" t="str">
        <f>IFERROR(__xludf.DUMMYFUNCTION("""COMPUTED_VALUE"""),"O-21127-00")</f>
        <v>O-21127-00</v>
      </c>
      <c r="B719" s="2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19" s="2" t="str">
        <f>IFERROR(__xludf.DUMMYFUNCTION("""COMPUTED_VALUE"""),"O-21127-00")</f>
        <v>O-21127-00</v>
      </c>
      <c r="D719" s="2" t="str">
        <f>if(isna(vlookup(C719,'On Hand'!A:C,3,0)),"",vlookup(C719,'On Hand'!A:C,3,0))</f>
        <v>pc</v>
      </c>
    </row>
    <row r="720">
      <c r="A720" s="2" t="str">
        <f>IFERROR(__xludf.DUMMYFUNCTION("""COMPUTED_VALUE"""),"O-21151-00")</f>
        <v>O-21151-00</v>
      </c>
      <c r="B720" s="2" t="str">
        <f>IFERROR(__xludf.DUMMYFUNCTION("""COMPUTED_VALUE"""),"Washing RAR4 - Compact Cylinder ADN-20-25-I-P-A; Festo; 536246; 1 Pc")</f>
        <v>Washing RAR4 - Compact Cylinder ADN-20-25-I-P-A; Festo; 536246; 1 Pc</v>
      </c>
      <c r="C720" s="2" t="str">
        <f>IFERROR(__xludf.DUMMYFUNCTION("""COMPUTED_VALUE"""),"O-21151-00")</f>
        <v>O-21151-00</v>
      </c>
      <c r="D720" s="2" t="str">
        <f>if(isna(vlookup(C720,'On Hand'!A:C,3,0)),"",vlookup(C720,'On Hand'!A:C,3,0))</f>
        <v>pc</v>
      </c>
    </row>
    <row r="721">
      <c r="A721" s="2" t="str">
        <f>IFERROR(__xludf.DUMMYFUNCTION("""COMPUTED_VALUE"""),"O-21152-00")</f>
        <v>O-21152-00</v>
      </c>
      <c r="B721" s="2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1" s="2" t="str">
        <f>IFERROR(__xludf.DUMMYFUNCTION("""COMPUTED_VALUE"""),"O-21152-00")</f>
        <v>O-21152-00</v>
      </c>
      <c r="D721" s="2" t="str">
        <f>if(isna(vlookup(C721,'On Hand'!A:C,3,0)),"",vlookup(C721,'On Hand'!A:C,3,0))</f>
        <v/>
      </c>
    </row>
    <row r="722">
      <c r="A722" s="2" t="str">
        <f>IFERROR(__xludf.DUMMYFUNCTION("""COMPUTED_VALUE"""),"O-21153-00")</f>
        <v>O-21153-00</v>
      </c>
      <c r="B722" s="2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2" s="2" t="str">
        <f>IFERROR(__xludf.DUMMYFUNCTION("""COMPUTED_VALUE"""),"O-21153-00")</f>
        <v>O-21153-00</v>
      </c>
      <c r="D722" s="2" t="str">
        <f>if(isna(vlookup(C722,'On Hand'!A:C,3,0)),"",vlookup(C722,'On Hand'!A:C,3,0))</f>
        <v>pc</v>
      </c>
    </row>
    <row r="723">
      <c r="A723" s="2" t="str">
        <f>IFERROR(__xludf.DUMMYFUNCTION("""COMPUTED_VALUE"""),"O-21154-00")</f>
        <v>O-21154-00</v>
      </c>
      <c r="B723" s="2" t="str">
        <f>IFERROR(__xludf.DUMMYFUNCTION("""COMPUTED_VALUE"""),"Blister TR100LT - Dudukan Forming 40x10 mm, Mat. VCN; Custom /Lokal; -; 1 Pc")</f>
        <v>Blister TR100LT - Dudukan Forming 40x10 mm, Mat. VCN; Custom /Lokal; -; 1 Pc</v>
      </c>
      <c r="C723" s="2" t="str">
        <f>IFERROR(__xludf.DUMMYFUNCTION("""COMPUTED_VALUE"""),"O-21154-00")</f>
        <v>O-21154-00</v>
      </c>
      <c r="D723" s="2" t="str">
        <f>if(isna(vlookup(C723,'On Hand'!A:C,3,0)),"",vlookup(C723,'On Hand'!A:C,3,0))</f>
        <v>pc</v>
      </c>
    </row>
    <row r="724">
      <c r="A724" s="2" t="str">
        <f>IFERROR(__xludf.DUMMYFUNCTION("""COMPUTED_VALUE"""),"O-21155-00")</f>
        <v>O-21155-00</v>
      </c>
      <c r="B724" s="2" t="str">
        <f>IFERROR(__xludf.DUMMYFUNCTION("""COMPUTED_VALUE"""),"Videojet - Gutter Pump; Videojet; 399-171; 1 Pc")</f>
        <v>Videojet - Gutter Pump; Videojet; 399-171; 1 Pc</v>
      </c>
      <c r="C724" s="2" t="str">
        <f>IFERROR(__xludf.DUMMYFUNCTION("""COMPUTED_VALUE"""),"O-21155-00")</f>
        <v>O-21155-00</v>
      </c>
      <c r="D724" s="2" t="str">
        <f>if(isna(vlookup(C724,'On Hand'!A:C,3,0)),"",vlookup(C724,'On Hand'!A:C,3,0))</f>
        <v>pc</v>
      </c>
    </row>
    <row r="725">
      <c r="A725" s="2" t="str">
        <f>IFERROR(__xludf.DUMMYFUNCTION("""COMPUTED_VALUE"""),"O-21157-00")</f>
        <v>O-21157-00</v>
      </c>
      <c r="B725" s="2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5" s="2" t="str">
        <f>IFERROR(__xludf.DUMMYFUNCTION("""COMPUTED_VALUE"""),"O-21157-00")</f>
        <v>O-21157-00</v>
      </c>
      <c r="D725" s="2" t="str">
        <f>if(isna(vlookup(C725,'On Hand'!A:C,3,0)),"",vlookup(C725,'On Hand'!A:C,3,0))</f>
        <v/>
      </c>
    </row>
    <row r="726">
      <c r="A726" s="2" t="str">
        <f>IFERROR(__xludf.DUMMYFUNCTION("""COMPUTED_VALUE"""),"O-21265-00")</f>
        <v>O-21265-00</v>
      </c>
      <c r="B726" s="2" t="str">
        <f>IFERROR(__xludf.DUMMYFUNCTION("""COMPUTED_VALUE"""),"Autoclave Service NA2247AU - Oring EPDM 3.5x69.7x76.8; Custom/Lokal; -; 1 Pc")</f>
        <v>Autoclave Service NA2247AU - Oring EPDM 3.5x69.7x76.8; Custom/Lokal; -; 1 Pc</v>
      </c>
      <c r="C726" s="2" t="str">
        <f>IFERROR(__xludf.DUMMYFUNCTION("""COMPUTED_VALUE"""),"O-21265-00")</f>
        <v>O-21265-00</v>
      </c>
      <c r="D726" s="2" t="str">
        <f>if(isna(vlookup(C726,'On Hand'!A:C,3,0)),"",vlookup(C726,'On Hand'!A:C,3,0))</f>
        <v>pc</v>
      </c>
    </row>
    <row r="727">
      <c r="A727" s="2" t="str">
        <f>IFERROR(__xludf.DUMMYFUNCTION("""COMPUTED_VALUE"""),"O-21275-00")</f>
        <v>O-21275-00</v>
      </c>
      <c r="B727" s="2" t="str">
        <f>IFERROR(__xludf.DUMMYFUNCTION("""COMPUTED_VALUE"""),"General - Tray Kabel Isolator Ukuran 35x35x700; Custom/Lokal; -; 1 Pc")</f>
        <v>General - Tray Kabel Isolator Ukuran 35x35x700; Custom/Lokal; -; 1 Pc</v>
      </c>
      <c r="C727" s="2" t="str">
        <f>IFERROR(__xludf.DUMMYFUNCTION("""COMPUTED_VALUE"""),"O-21275-00")</f>
        <v>O-21275-00</v>
      </c>
      <c r="D727" s="2" t="str">
        <f>if(isna(vlookup(C727,'On Hand'!A:C,3,0)),"",vlookup(C727,'On Hand'!A:C,3,0))</f>
        <v>pc</v>
      </c>
    </row>
    <row r="728">
      <c r="A728" s="2" t="str">
        <f>IFERROR(__xludf.DUMMYFUNCTION("""COMPUTED_VALUE"""),"O-21284-00")</f>
        <v>O-21284-00</v>
      </c>
      <c r="B728" s="2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8" s="2" t="str">
        <f>IFERROR(__xludf.DUMMYFUNCTION("""COMPUTED_VALUE"""),"O-21284-00")</f>
        <v>O-21284-00</v>
      </c>
      <c r="D728" s="2" t="str">
        <f>if(isna(vlookup(C728,'On Hand'!A:C,3,0)),"",vlookup(C728,'On Hand'!A:C,3,0))</f>
        <v>pc</v>
      </c>
    </row>
    <row r="729">
      <c r="A729" s="2" t="str">
        <f>IFERROR(__xludf.DUMMYFUNCTION("""COMPUTED_VALUE"""),"O-21300-00")</f>
        <v>O-21300-00</v>
      </c>
      <c r="B729" s="2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29" s="2" t="str">
        <f>IFERROR(__xludf.DUMMYFUNCTION("""COMPUTED_VALUE"""),"O-21300-00")</f>
        <v>O-21300-00</v>
      </c>
      <c r="D729" s="2" t="str">
        <f>if(isna(vlookup(C729,'On Hand'!A:C,3,0)),"",vlookup(C729,'On Hand'!A:C,3,0))</f>
        <v>pc</v>
      </c>
    </row>
    <row r="730">
      <c r="A730" s="2" t="str">
        <f>IFERROR(__xludf.DUMMYFUNCTION("""COMPUTED_VALUE"""),"O-21304-00")</f>
        <v>O-21304-00</v>
      </c>
      <c r="B730" s="2" t="str">
        <f>IFERROR(__xludf.DUMMYFUNCTION("""COMPUTED_VALUE"""),"Coating PLAB - Inflatable Silicone Sealing Ring; ; GDA040193; 1 Pc")</f>
        <v>Coating PLAB - Inflatable Silicone Sealing Ring; ; GDA040193; 1 Pc</v>
      </c>
      <c r="C730" s="2" t="str">
        <f>IFERROR(__xludf.DUMMYFUNCTION("""COMPUTED_VALUE"""),"O-21304-00")</f>
        <v>O-21304-00</v>
      </c>
      <c r="D730" s="2" t="str">
        <f>if(isna(vlookup(C730,'On Hand'!A:C,3,0)),"",vlookup(C730,'On Hand'!A:C,3,0))</f>
        <v>pc</v>
      </c>
    </row>
    <row r="731">
      <c r="A731" s="2" t="str">
        <f>IFERROR(__xludf.DUMMYFUNCTION("""COMPUTED_VALUE"""),"O-21305-00")</f>
        <v>O-21305-00</v>
      </c>
      <c r="B731" s="2" t="str">
        <f>IFERROR(__xludf.DUMMYFUNCTION("""COMPUTED_VALUE"""),"Coating PLAB - Directional Control Valve; SMC; VNA101A-F6A; 1 Pc")</f>
        <v>Coating PLAB - Directional Control Valve; SMC; VNA101A-F6A; 1 Pc</v>
      </c>
      <c r="C731" s="2" t="str">
        <f>IFERROR(__xludf.DUMMYFUNCTION("""COMPUTED_VALUE"""),"O-21305-00")</f>
        <v>O-21305-00</v>
      </c>
      <c r="D731" s="2" t="str">
        <f>if(isna(vlookup(C731,'On Hand'!A:C,3,0)),"",vlookup(C731,'On Hand'!A:C,3,0))</f>
        <v>pc</v>
      </c>
    </row>
    <row r="732">
      <c r="A732" s="2" t="str">
        <f>IFERROR(__xludf.DUMMYFUNCTION("""COMPUTED_VALUE"""),"O-21306-00")</f>
        <v>O-21306-00</v>
      </c>
      <c r="B732" s="2" t="str">
        <f>IFERROR(__xludf.DUMMYFUNCTION("""COMPUTED_VALUE"""),"Coating PLAB - Spare Kit; SMC; VN1-A3AA; ; ; 1 Pc")</f>
        <v>Coating PLAB - Spare Kit; SMC; VN1-A3AA; ; ; 1 Pc</v>
      </c>
      <c r="C732" s="2" t="str">
        <f>IFERROR(__xludf.DUMMYFUNCTION("""COMPUTED_VALUE"""),"O-21306-00")</f>
        <v>O-21306-00</v>
      </c>
      <c r="D732" s="2" t="str">
        <f>if(isna(vlookup(C732,'On Hand'!A:C,3,0)),"",vlookup(C732,'On Hand'!A:C,3,0))</f>
        <v>pc</v>
      </c>
    </row>
    <row r="733">
      <c r="A733" s="2" t="str">
        <f>IFERROR(__xludf.DUMMYFUNCTION("""COMPUTED_VALUE"""),"O-21307-00")</f>
        <v>O-21307-00</v>
      </c>
      <c r="B733" s="2" t="str">
        <f>IFERROR(__xludf.DUMMYFUNCTION("""COMPUTED_VALUE"""),"Coating PLAB - Spare Kit; SMC; VN1-4AA; ; ; 1 Pc")</f>
        <v>Coating PLAB - Spare Kit; SMC; VN1-4AA; ; ; 1 Pc</v>
      </c>
      <c r="C733" s="2" t="str">
        <f>IFERROR(__xludf.DUMMYFUNCTION("""COMPUTED_VALUE"""),"O-21307-00")</f>
        <v>O-21307-00</v>
      </c>
      <c r="D733" s="2" t="str">
        <f>if(isna(vlookup(C733,'On Hand'!A:C,3,0)),"",vlookup(C733,'On Hand'!A:C,3,0))</f>
        <v>pc</v>
      </c>
    </row>
    <row r="734">
      <c r="A734" s="2" t="str">
        <f>IFERROR(__xludf.DUMMYFUNCTION("""COMPUTED_VALUE"""),"O-21308-00")</f>
        <v>O-21308-00</v>
      </c>
      <c r="B734" s="2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4" s="2" t="str">
        <f>IFERROR(__xludf.DUMMYFUNCTION("""COMPUTED_VALUE"""),"O-21308-00")</f>
        <v>O-21308-00</v>
      </c>
      <c r="D734" s="2" t="str">
        <f>if(isna(vlookup(C734,'On Hand'!A:C,3,0)),"",vlookup(C734,'On Hand'!A:C,3,0))</f>
        <v>pc</v>
      </c>
    </row>
    <row r="735">
      <c r="A735" s="2" t="str">
        <f>IFERROR(__xludf.DUMMYFUNCTION("""COMPUTED_VALUE"""),"O-21327-00")</f>
        <v>O-21327-00</v>
      </c>
      <c r="B735" s="2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5" s="2" t="str">
        <f>IFERROR(__xludf.DUMMYFUNCTION("""COMPUTED_VALUE"""),"O-21327-00")</f>
        <v>O-21327-00</v>
      </c>
      <c r="D735" s="2" t="str">
        <f>if(isna(vlookup(C735,'On Hand'!A:C,3,0)),"",vlookup(C735,'On Hand'!A:C,3,0))</f>
        <v/>
      </c>
    </row>
    <row r="736">
      <c r="A736" s="2" t="str">
        <f>IFERROR(__xludf.DUMMYFUNCTION("""COMPUTED_VALUE"""),"O-21372-00")</f>
        <v>O-21372-00</v>
      </c>
      <c r="B736" s="2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6" s="2" t="str">
        <f>IFERROR(__xludf.DUMMYFUNCTION("""COMPUTED_VALUE"""),"O-21372-00")</f>
        <v>O-21372-00</v>
      </c>
      <c r="D736" s="2" t="str">
        <f>if(isna(vlookup(C736,'On Hand'!A:C,3,0)),"",vlookup(C736,'On Hand'!A:C,3,0))</f>
        <v/>
      </c>
    </row>
    <row r="737">
      <c r="A737" s="2" t="str">
        <f>IFERROR(__xludf.DUMMYFUNCTION("""COMPUTED_VALUE"""),"O-21374-00")</f>
        <v>O-21374-00</v>
      </c>
      <c r="B737" s="2" t="str">
        <f>IFERROR(__xludf.DUMMYFUNCTION("""COMPUTED_VALUE"""),"Tunnel ST1L - Socket Star Aktuator 14x11; -; -;")</f>
        <v>Tunnel ST1L - Socket Star Aktuator 14x11; -; -;</v>
      </c>
      <c r="C737" s="2" t="str">
        <f>IFERROR(__xludf.DUMMYFUNCTION("""COMPUTED_VALUE"""),"O-21374-00")</f>
        <v>O-21374-00</v>
      </c>
      <c r="D737" s="2" t="str">
        <f>if(isna(vlookup(C737,'On Hand'!A:C,3,0)),"",vlookup(C737,'On Hand'!A:C,3,0))</f>
        <v>pc</v>
      </c>
    </row>
    <row r="738">
      <c r="A738" s="2" t="str">
        <f>IFERROR(__xludf.DUMMYFUNCTION("""COMPUTED_VALUE"""),"O-21378-00")</f>
        <v>O-21378-00</v>
      </c>
      <c r="B738" s="2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8" s="2" t="str">
        <f>IFERROR(__xludf.DUMMYFUNCTION("""COMPUTED_VALUE"""),"O-21378-00")</f>
        <v>O-21378-00</v>
      </c>
      <c r="D738" s="2" t="str">
        <f>if(isna(vlookup(C738,'On Hand'!A:C,3,0)),"",vlookup(C738,'On Hand'!A:C,3,0))</f>
        <v>pc</v>
      </c>
    </row>
    <row r="739">
      <c r="A739" s="2" t="str">
        <f>IFERROR(__xludf.DUMMYFUNCTION("""COMPUTED_VALUE"""),"O-21404-00")</f>
        <v>O-21404-00</v>
      </c>
      <c r="B739" s="2" t="str">
        <f>IFERROR(__xludf.DUMMYFUNCTION("""COMPUTED_VALUE"""),"General - Capstan Roller V Series EAS001201SP 32mm; Domino; SP-0069; 1 Unit")</f>
        <v>General - Capstan Roller V Series EAS001201SP 32mm; Domino; SP-0069; 1 Unit</v>
      </c>
      <c r="C739" s="2" t="str">
        <f>IFERROR(__xludf.DUMMYFUNCTION("""COMPUTED_VALUE"""),"O-21404-00")</f>
        <v>O-21404-00</v>
      </c>
      <c r="D739" s="2" t="str">
        <f>if(isna(vlookup(C739,'On Hand'!A:C,3,0)),"",vlookup(C739,'On Hand'!A:C,3,0))</f>
        <v>unt</v>
      </c>
    </row>
    <row r="740">
      <c r="A740" s="2" t="str">
        <f>IFERROR(__xludf.DUMMYFUNCTION("""COMPUTED_VALUE"""),"O-21428-00")</f>
        <v>O-21428-00</v>
      </c>
      <c r="B740" s="2" t="str">
        <f>IFERROR(__xludf.DUMMYFUNCTION("""COMPUTED_VALUE"""),"PLAB Coating - Oring ID 51 OD 56 Tebal 2,5 EPDM; Custom/Lokal; -; 1 Pc")</f>
        <v>PLAB Coating - Oring ID 51 OD 56 Tebal 2,5 EPDM; Custom/Lokal; -; 1 Pc</v>
      </c>
      <c r="C740" s="2" t="str">
        <f>IFERROR(__xludf.DUMMYFUNCTION("""COMPUTED_VALUE"""),"O-21428-00")</f>
        <v>O-21428-00</v>
      </c>
      <c r="D740" s="2" t="str">
        <f>if(isna(vlookup(C740,'On Hand'!A:C,3,0)),"",vlookup(C740,'On Hand'!A:C,3,0))</f>
        <v>pc</v>
      </c>
    </row>
    <row r="741">
      <c r="A741" s="2" t="str">
        <f>IFERROR(__xludf.DUMMYFUNCTION("""COMPUTED_VALUE"""),"O-21429-00")</f>
        <v>O-21429-00</v>
      </c>
      <c r="B741" s="2" t="str">
        <f>IFERROR(__xludf.DUMMYFUNCTION("""COMPUTED_VALUE"""),"Blister TR100LT - Teflon Forming 5689 ukuran 9.5x19; Custom/Lokal; -; 1 Pc")</f>
        <v>Blister TR100LT - Teflon Forming 5689 ukuran 9.5x19; Custom/Lokal; -; 1 Pc</v>
      </c>
      <c r="C741" s="2" t="str">
        <f>IFERROR(__xludf.DUMMYFUNCTION("""COMPUTED_VALUE"""),"O-21429-00")</f>
        <v>O-21429-00</v>
      </c>
      <c r="D741" s="2" t="str">
        <f>if(isna(vlookup(C741,'On Hand'!A:C,3,0)),"",vlookup(C741,'On Hand'!A:C,3,0))</f>
        <v>pc</v>
      </c>
    </row>
    <row r="742">
      <c r="A742" s="2" t="str">
        <f>IFERROR(__xludf.DUMMYFUNCTION("""COMPUTED_VALUE"""),"O-21430-00")</f>
        <v>O-21430-00</v>
      </c>
      <c r="B742" s="2" t="str">
        <f>IFERROR(__xludf.DUMMYFUNCTION("""COMPUTED_VALUE"""),"Blister TR100LT - Teflon Forming 568 ukuran 11.5x19; Custom/Lokal; ; 1 Pc")</f>
        <v>Blister TR100LT - Teflon Forming 568 ukuran 11.5x19; Custom/Lokal; ; 1 Pc</v>
      </c>
      <c r="C742" s="2" t="str">
        <f>IFERROR(__xludf.DUMMYFUNCTION("""COMPUTED_VALUE"""),"O-21430-00")</f>
        <v>O-21430-00</v>
      </c>
      <c r="D742" s="2" t="str">
        <f>if(isna(vlookup(C742,'On Hand'!A:C,3,0)),"",vlookup(C742,'On Hand'!A:C,3,0))</f>
        <v>pc</v>
      </c>
    </row>
    <row r="743">
      <c r="A743" s="2" t="str">
        <f>IFERROR(__xludf.DUMMYFUNCTION("""COMPUTED_VALUE"""),"O-21433-00")</f>
        <v>O-21433-00</v>
      </c>
      <c r="B743" s="2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3" s="2" t="str">
        <f>IFERROR(__xludf.DUMMYFUNCTION("""COMPUTED_VALUE"""),"O-21433-00")</f>
        <v>O-21433-00</v>
      </c>
      <c r="D743" s="2" t="str">
        <f>if(isna(vlookup(C743,'On Hand'!A:C,3,0)),"",vlookup(C743,'On Hand'!A:C,3,0))</f>
        <v>pc</v>
      </c>
    </row>
    <row r="744">
      <c r="A744" s="2" t="str">
        <f>IFERROR(__xludf.DUMMYFUNCTION("""COMPUTED_VALUE"""),"O-21434-00")</f>
        <v>O-21434-00</v>
      </c>
      <c r="B744" s="2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4" s="2" t="str">
        <f>IFERROR(__xludf.DUMMYFUNCTION("""COMPUTED_VALUE"""),"O-21434-00")</f>
        <v>O-21434-00</v>
      </c>
      <c r="D744" s="2" t="str">
        <f>if(isna(vlookup(C744,'On Hand'!A:C,3,0)),"",vlookup(C744,'On Hand'!A:C,3,0))</f>
        <v>pc</v>
      </c>
    </row>
    <row r="745">
      <c r="A745" s="2" t="str">
        <f>IFERROR(__xludf.DUMMYFUNCTION("""COMPUTED_VALUE"""),"O-21435-00")</f>
        <v>O-21435-00</v>
      </c>
      <c r="B745" s="2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5" s="2" t="str">
        <f>IFERROR(__xludf.DUMMYFUNCTION("""COMPUTED_VALUE"""),"O-21435-00")</f>
        <v>O-21435-00</v>
      </c>
      <c r="D745" s="2" t="str">
        <f>if(isna(vlookup(C745,'On Hand'!A:C,3,0)),"",vlookup(C745,'On Hand'!A:C,3,0))</f>
        <v>pc</v>
      </c>
    </row>
    <row r="746">
      <c r="A746" s="2" t="str">
        <f>IFERROR(__xludf.DUMMYFUNCTION("""COMPUTED_VALUE"""),"O-21436-00")</f>
        <v>O-21436-00</v>
      </c>
      <c r="B746" s="2" t="str">
        <f>IFERROR(__xludf.DUMMYFUNCTION("""COMPUTED_VALUE"""),"General - Roller Chain RS35-1 (Single) 3 meter; -; 0; 1 Pc")</f>
        <v>General - Roller Chain RS35-1 (Single) 3 meter; -; 0; 1 Pc</v>
      </c>
      <c r="C746" s="2" t="str">
        <f>IFERROR(__xludf.DUMMYFUNCTION("""COMPUTED_VALUE"""),"O-21436-00")</f>
        <v>O-21436-00</v>
      </c>
      <c r="D746" s="2" t="str">
        <f>if(isna(vlookup(C746,'On Hand'!A:C,3,0)),"",vlookup(C746,'On Hand'!A:C,3,0))</f>
        <v/>
      </c>
    </row>
    <row r="747">
      <c r="A747" s="2" t="str">
        <f>IFERROR(__xludf.DUMMYFUNCTION("""COMPUTED_VALUE"""),"O-21437-00")</f>
        <v>O-21437-00</v>
      </c>
      <c r="B747" s="2" t="str">
        <f>IFERROR(__xludf.DUMMYFUNCTION("""COMPUTED_VALUE"""),"Marchesini MA155 - Gas Spring; Misumi; FGSS15050B; 1 Pc")</f>
        <v>Marchesini MA155 - Gas Spring; Misumi; FGSS15050B; 1 Pc</v>
      </c>
      <c r="C747" s="2" t="str">
        <f>IFERROR(__xludf.DUMMYFUNCTION("""COMPUTED_VALUE"""),"O-21437-00")</f>
        <v>O-21437-00</v>
      </c>
      <c r="D747" s="2" t="str">
        <f>if(isna(vlookup(C747,'On Hand'!A:C,3,0)),"",vlookup(C747,'On Hand'!A:C,3,0))</f>
        <v>pc</v>
      </c>
    </row>
    <row r="748">
      <c r="A748" s="2" t="str">
        <f>IFERROR(__xludf.DUMMYFUNCTION("""COMPUTED_VALUE"""),"O-21438-00")</f>
        <v>O-21438-00</v>
      </c>
      <c r="B748" s="2" t="str">
        <f>IFERROR(__xludf.DUMMYFUNCTION("""COMPUTED_VALUE"""),"Blister TR100LT - Filter Regulator; SMC; AW30-03G-D; 1 Pc")</f>
        <v>Blister TR100LT - Filter Regulator; SMC; AW30-03G-D; 1 Pc</v>
      </c>
      <c r="C748" s="2" t="str">
        <f>IFERROR(__xludf.DUMMYFUNCTION("""COMPUTED_VALUE"""),"O-21438-00")</f>
        <v>O-21438-00</v>
      </c>
      <c r="D748" s="2" t="str">
        <f>if(isna(vlookup(C748,'On Hand'!A:C,3,0)),"",vlookup(C748,'On Hand'!A:C,3,0))</f>
        <v/>
      </c>
    </row>
    <row r="749">
      <c r="A749" s="2" t="str">
        <f>IFERROR(__xludf.DUMMYFUNCTION("""COMPUTED_VALUE"""),"O-21443-00")</f>
        <v>O-21443-00</v>
      </c>
      <c r="B749" s="2" t="str">
        <f>IFERROR(__xludf.DUMMYFUNCTION("""COMPUTED_VALUE"""),"Washing RAR4 - Ball Valve SS304 Ferrule End Size 1 Inch; -; -; 1 Pc")</f>
        <v>Washing RAR4 - Ball Valve SS304 Ferrule End Size 1 Inch; -; -; 1 Pc</v>
      </c>
      <c r="C749" s="2" t="str">
        <f>IFERROR(__xludf.DUMMYFUNCTION("""COMPUTED_VALUE"""),"O-21443-00")</f>
        <v>O-21443-00</v>
      </c>
      <c r="D749" s="2" t="str">
        <f>if(isna(vlookup(C749,'On Hand'!A:C,3,0)),"",vlookup(C749,'On Hand'!A:C,3,0))</f>
        <v>pc</v>
      </c>
    </row>
    <row r="750">
      <c r="A750" s="2" t="str">
        <f>IFERROR(__xludf.DUMMYFUNCTION("""COMPUTED_VALUE"""),"O-21455-00")</f>
        <v>O-21455-00</v>
      </c>
      <c r="B750" s="2" t="str">
        <f>IFERROR(__xludf.DUMMYFUNCTION("""COMPUTED_VALUE"""),"Washing RAR4 - Ball Valve SS304 Ferrule End Size 3/4 Inch; -; -; 1 Pc")</f>
        <v>Washing RAR4 - Ball Valve SS304 Ferrule End Size 3/4 Inch; -; -; 1 Pc</v>
      </c>
      <c r="C750" s="2" t="str">
        <f>IFERROR(__xludf.DUMMYFUNCTION("""COMPUTED_VALUE"""),"O-21455-00")</f>
        <v>O-21455-00</v>
      </c>
      <c r="D750" s="2" t="str">
        <f>if(isna(vlookup(C750,'On Hand'!A:C,3,0)),"",vlookup(C750,'On Hand'!A:C,3,0))</f>
        <v>pc</v>
      </c>
    </row>
    <row r="751">
      <c r="A751" s="2" t="str">
        <f>IFERROR(__xludf.DUMMYFUNCTION("""COMPUTED_VALUE"""),"O-21458-00")</f>
        <v>O-21458-00</v>
      </c>
      <c r="B751" s="2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1" s="2" t="str">
        <f>IFERROR(__xludf.DUMMYFUNCTION("""COMPUTED_VALUE"""),"O-21458-00")</f>
        <v>O-21458-00</v>
      </c>
      <c r="D751" s="2" t="str">
        <f>if(isna(vlookup(C751,'On Hand'!A:C,3,0)),"",vlookup(C751,'On Hand'!A:C,3,0))</f>
        <v>pc</v>
      </c>
    </row>
    <row r="752">
      <c r="A752" s="2" t="str">
        <f>IFERROR(__xludf.DUMMYFUNCTION("""COMPUTED_VALUE"""),"O-21471-00")</f>
        <v>O-21471-00</v>
      </c>
      <c r="B752" s="2" t="str">
        <f>IFERROR(__xludf.DUMMYFUNCTION("""COMPUTED_VALUE"""),"Colamark - Spares Full Mechanism EAS00 1023SP; Domino; SP-0078; 1 Pc")</f>
        <v>Colamark - Spares Full Mechanism EAS00 1023SP; Domino; SP-0078; 1 Pc</v>
      </c>
      <c r="C752" s="2" t="str">
        <f>IFERROR(__xludf.DUMMYFUNCTION("""COMPUTED_VALUE"""),"O-21471-00")</f>
        <v>O-21471-00</v>
      </c>
      <c r="D752" s="2" t="str">
        <f>if(isna(vlookup(C752,'On Hand'!A:C,3,0)),"",vlookup(C752,'On Hand'!A:C,3,0))</f>
        <v>pc</v>
      </c>
    </row>
    <row r="753">
      <c r="A753" s="2" t="str">
        <f>IFERROR(__xludf.DUMMYFUNCTION("""COMPUTED_VALUE"""),"O-21473-00")</f>
        <v>O-21473-00</v>
      </c>
      <c r="B753" s="2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3" s="2" t="str">
        <f>IFERROR(__xludf.DUMMYFUNCTION("""COMPUTED_VALUE"""),"O-21473-00")</f>
        <v>O-21473-00</v>
      </c>
      <c r="D753" s="2" t="str">
        <f>if(isna(vlookup(C753,'On Hand'!A:C,3,0)),"",vlookup(C753,'On Hand'!A:C,3,0))</f>
        <v/>
      </c>
    </row>
    <row r="754">
      <c r="A754" s="2" t="str">
        <f>IFERROR(__xludf.DUMMYFUNCTION("""COMPUTED_VALUE"""),"O-21475-00")</f>
        <v>O-21475-00</v>
      </c>
      <c r="B754" s="2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4" s="2" t="str">
        <f>IFERROR(__xludf.DUMMYFUNCTION("""COMPUTED_VALUE"""),"O-21475-00")</f>
        <v>O-21475-00</v>
      </c>
      <c r="D754" s="2" t="str">
        <f>if(isna(vlookup(C754,'On Hand'!A:C,3,0)),"",vlookup(C754,'On Hand'!A:C,3,0))</f>
        <v/>
      </c>
    </row>
    <row r="755">
      <c r="A755" s="2" t="str">
        <f>IFERROR(__xludf.DUMMYFUNCTION("""COMPUTED_VALUE"""),"O-21484-00")</f>
        <v>O-21484-00</v>
      </c>
      <c r="B755" s="2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5" s="2" t="str">
        <f>IFERROR(__xludf.DUMMYFUNCTION("""COMPUTED_VALUE"""),"O-21484-00")</f>
        <v>O-21484-00</v>
      </c>
      <c r="D755" s="2" t="str">
        <f>if(isna(vlookup(C755,'On Hand'!A:C,3,0)),"",vlookup(C755,'On Hand'!A:C,3,0))</f>
        <v>pc</v>
      </c>
    </row>
    <row r="756">
      <c r="A756" s="2" t="str">
        <f>IFERROR(__xludf.DUMMYFUNCTION("""COMPUTED_VALUE"""),"O-21485-00")</f>
        <v>O-21485-00</v>
      </c>
      <c r="B756" s="2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6" s="2" t="str">
        <f>IFERROR(__xludf.DUMMYFUNCTION("""COMPUTED_VALUE"""),"O-21485-00")</f>
        <v>O-21485-00</v>
      </c>
      <c r="D756" s="2" t="str">
        <f>if(isna(vlookup(C756,'On Hand'!A:C,3,0)),"",vlookup(C756,'On Hand'!A:C,3,0))</f>
        <v>pc</v>
      </c>
    </row>
    <row r="757">
      <c r="A757" s="2" t="str">
        <f>IFERROR(__xludf.DUMMYFUNCTION("""COMPUTED_VALUE"""),"O-21486-00")</f>
        <v>O-21486-00</v>
      </c>
      <c r="B757" s="2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7" s="2" t="str">
        <f>IFERROR(__xludf.DUMMYFUNCTION("""COMPUTED_VALUE"""),"O-21486-00")</f>
        <v>O-21486-00</v>
      </c>
      <c r="D757" s="2" t="str">
        <f>if(isna(vlookup(C757,'On Hand'!A:C,3,0)),"",vlookup(C757,'On Hand'!A:C,3,0))</f>
        <v>pc</v>
      </c>
    </row>
    <row r="758">
      <c r="A758" s="2" t="str">
        <f>IFERROR(__xludf.DUMMYFUNCTION("""COMPUTED_VALUE"""),"O-21487-00")</f>
        <v>O-21487-00</v>
      </c>
      <c r="B758" s="2" t="str">
        <f>IFERROR(__xludf.DUMMYFUNCTION("""COMPUTED_VALUE"""),"Colamark - Bracket/Dudukan Monitor Ukuran 3x100x410 mm; Custom/Lokal; -; 1 pc")</f>
        <v>Colamark - Bracket/Dudukan Monitor Ukuran 3x100x410 mm; Custom/Lokal; -; 1 pc</v>
      </c>
      <c r="C758" s="2" t="str">
        <f>IFERROR(__xludf.DUMMYFUNCTION("""COMPUTED_VALUE"""),"O-21487-00")</f>
        <v>O-21487-00</v>
      </c>
      <c r="D758" s="2" t="str">
        <f>if(isna(vlookup(C758,'On Hand'!A:C,3,0)),"",vlookup(C758,'On Hand'!A:C,3,0))</f>
        <v>pc</v>
      </c>
    </row>
    <row r="759">
      <c r="A759" s="2" t="str">
        <f>IFERROR(__xludf.DUMMYFUNCTION("""COMPUTED_VALUE"""),"O-21488-00")</f>
        <v>O-21488-00</v>
      </c>
      <c r="B759" s="2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59" s="2" t="str">
        <f>IFERROR(__xludf.DUMMYFUNCTION("""COMPUTED_VALUE"""),"O-21488-00")</f>
        <v>O-21488-00</v>
      </c>
      <c r="D759" s="2" t="str">
        <f>if(isna(vlookup(C759,'On Hand'!A:C,3,0)),"",vlookup(C759,'On Hand'!A:C,3,0))</f>
        <v>pc</v>
      </c>
    </row>
    <row r="760">
      <c r="A760" s="2" t="str">
        <f>IFERROR(__xludf.DUMMYFUNCTION("""COMPUTED_VALUE"""),"O-21592-00")</f>
        <v>O-21592-00</v>
      </c>
      <c r="B760" s="2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0" s="2" t="str">
        <f>IFERROR(__xludf.DUMMYFUNCTION("""COMPUTED_VALUE"""),"O-21592-00")</f>
        <v>O-21592-00</v>
      </c>
      <c r="D760" s="2" t="str">
        <f>if(isna(vlookup(C760,'On Hand'!A:C,3,0)),"",vlookup(C760,'On Hand'!A:C,3,0))</f>
        <v/>
      </c>
    </row>
    <row r="761">
      <c r="A761" s="2" t="str">
        <f>IFERROR(__xludf.DUMMYFUNCTION("""COMPUTED_VALUE"""),"O-21611-00")</f>
        <v>O-21611-00</v>
      </c>
      <c r="B761" s="2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1" s="2" t="str">
        <f>IFERROR(__xludf.DUMMYFUNCTION("""COMPUTED_VALUE"""),"O-21611-00")</f>
        <v>O-21611-00</v>
      </c>
      <c r="D761" s="2" t="str">
        <f>if(isna(vlookup(C761,'On Hand'!A:C,3,0)),"",vlookup(C761,'On Hand'!A:C,3,0))</f>
        <v/>
      </c>
    </row>
    <row r="762">
      <c r="A762" s="2" t="str">
        <f>IFERROR(__xludf.DUMMYFUNCTION("""COMPUTED_VALUE"""),"O-21648-00")</f>
        <v>O-21648-00</v>
      </c>
      <c r="B762" s="2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2" s="2" t="str">
        <f>IFERROR(__xludf.DUMMYFUNCTION("""COMPUTED_VALUE"""),"O-21648-00")</f>
        <v>O-21648-00</v>
      </c>
      <c r="D762" s="2" t="str">
        <f>if(isna(vlookup(C762,'On Hand'!A:C,3,0)),"",vlookup(C762,'On Hand'!A:C,3,0))</f>
        <v/>
      </c>
    </row>
    <row r="763">
      <c r="A763" s="2" t="str">
        <f>IFERROR(__xludf.DUMMYFUNCTION("""COMPUTED_VALUE"""),"O-21649-00")</f>
        <v>O-21649-00</v>
      </c>
      <c r="B763" s="2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3" s="2" t="str">
        <f>IFERROR(__xludf.DUMMYFUNCTION("""COMPUTED_VALUE"""),"O-21649-00")</f>
        <v>O-21649-00</v>
      </c>
      <c r="D763" s="2" t="str">
        <f>if(isna(vlookup(C763,'On Hand'!A:C,3,0)),"",vlookup(C763,'On Hand'!A:C,3,0))</f>
        <v/>
      </c>
    </row>
    <row r="764">
      <c r="A764" s="2" t="str">
        <f>IFERROR(__xludf.DUMMYFUNCTION("""COMPUTED_VALUE"""),"O-21650-00")</f>
        <v>O-21650-00</v>
      </c>
      <c r="B764" s="2" t="str">
        <f>IFERROR(__xludf.DUMMYFUNCTION("""COMPUTED_VALUE"""),"Mixing Tank Adam - Oring EPDM OD 25,4mm Tebal 3mm; Custom/Lokal; -; 1 Pc")</f>
        <v>Mixing Tank Adam - Oring EPDM OD 25,4mm Tebal 3mm; Custom/Lokal; -; 1 Pc</v>
      </c>
      <c r="C764" s="2" t="str">
        <f>IFERROR(__xludf.DUMMYFUNCTION("""COMPUTED_VALUE"""),"O-21650-00")</f>
        <v>O-21650-00</v>
      </c>
      <c r="D764" s="2" t="str">
        <f>if(isna(vlookup(C764,'On Hand'!A:C,3,0)),"",vlookup(C764,'On Hand'!A:C,3,0))</f>
        <v/>
      </c>
    </row>
    <row r="765">
      <c r="A765" s="2" t="str">
        <f>IFERROR(__xludf.DUMMYFUNCTION("""COMPUTED_VALUE"""),"O-21703-00")</f>
        <v>O-21703-00</v>
      </c>
      <c r="B765" s="2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5" s="2" t="str">
        <f>IFERROR(__xludf.DUMMYFUNCTION("""COMPUTED_VALUE"""),"O-21703-00")</f>
        <v>O-21703-00</v>
      </c>
      <c r="D765" s="2" t="str">
        <f>if(isna(vlookup(C765,'On Hand'!A:C,3,0)),"",vlookup(C765,'On Hand'!A:C,3,0))</f>
        <v/>
      </c>
    </row>
    <row r="766">
      <c r="A766" s="2" t="str">
        <f>IFERROR(__xludf.DUMMYFUNCTION("""COMPUTED_VALUE"""),"O-21720-00")</f>
        <v>O-21720-00</v>
      </c>
      <c r="B766" s="2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6" s="2" t="str">
        <f>IFERROR(__xludf.DUMMYFUNCTION("""COMPUTED_VALUE"""),"O-21720-00")</f>
        <v>O-21720-00</v>
      </c>
      <c r="D766" s="2" t="str">
        <f>if(isna(vlookup(C766,'On Hand'!A:C,3,0)),"",vlookup(C766,'On Hand'!A:C,3,0))</f>
        <v/>
      </c>
    </row>
    <row r="767">
      <c r="A767" s="2" t="str">
        <f>IFERROR(__xludf.DUMMYFUNCTION("""COMPUTED_VALUE"""),"O-50000-00")</f>
        <v>O-50000-00</v>
      </c>
      <c r="B767" s="2" t="str">
        <f>IFERROR(__xludf.DUMMYFUNCTION("""COMPUTED_VALUE"""),"Lampu G4 20W 12 V Warm White Philips")</f>
        <v>Lampu G4 20W 12 V Warm White Philips</v>
      </c>
      <c r="C767" s="2" t="str">
        <f>IFERROR(__xludf.DUMMYFUNCTION("""COMPUTED_VALUE"""),"O-50000-00")</f>
        <v>O-50000-00</v>
      </c>
      <c r="D767" s="2" t="str">
        <f>if(isna(vlookup(C767,'On Hand'!A:C,3,0)),"",vlookup(C767,'On Hand'!A:C,3,0))</f>
        <v/>
      </c>
    </row>
    <row r="768">
      <c r="A768" s="2" t="str">
        <f>IFERROR(__xludf.DUMMYFUNCTION("""COMPUTED_VALUE"""),"O-50578-00")</f>
        <v>O-50578-00</v>
      </c>
      <c r="B768" s="2" t="str">
        <f>IFERROR(__xludf.DUMMYFUNCTION("""COMPUTED_VALUE"""),"MARCHESINI ML616/MA155 - E32022021230 FOTOC.SSP/AP/1H (EX SSC/AP/1H); ; ; pc")</f>
        <v>MARCHESINI ML616/MA155 - E32022021230 FOTOC.SSP/AP/1H (EX SSC/AP/1H); ; ; pc</v>
      </c>
      <c r="C768" s="2" t="str">
        <f>IFERROR(__xludf.DUMMYFUNCTION("""COMPUTED_VALUE"""),"O-50578-00")</f>
        <v>O-50578-00</v>
      </c>
      <c r="D768" s="2" t="str">
        <f>if(isna(vlookup(C768,'On Hand'!A:C,3,0)),"",vlookup(C768,'On Hand'!A:C,3,0))</f>
        <v>pc</v>
      </c>
    </row>
    <row r="769">
      <c r="A769" s="2" t="str">
        <f>IFERROR(__xludf.DUMMYFUNCTION("""COMPUTED_VALUE"""),"O-50697-00")</f>
        <v>O-50697-00</v>
      </c>
      <c r="B769" s="2" t="str">
        <f>IFERROR(__xludf.DUMMYFUNCTION("""COMPUTED_VALUE"""),"Autoclave Fedegari FOF / 6 AC - P/N. KK000304-KIT RICAMBI VALV.DN16 ON-OFF")</f>
        <v>Autoclave Fedegari FOF / 6 AC - P/N. KK000304-KIT RICAMBI VALV.DN16 ON-OFF</v>
      </c>
      <c r="C769" s="2" t="str">
        <f>IFERROR(__xludf.DUMMYFUNCTION("""COMPUTED_VALUE"""),"O-50697-00")</f>
        <v>O-50697-00</v>
      </c>
      <c r="D769" s="2" t="str">
        <f>if(isna(vlookup(C769,'On Hand'!A:C,3,0)),"",vlookup(C769,'On Hand'!A:C,3,0))</f>
        <v>pc</v>
      </c>
    </row>
    <row r="770">
      <c r="A770" s="2" t="str">
        <f>IFERROR(__xludf.DUMMYFUNCTION("""COMPUTED_VALUE"""),"O-50698-00")</f>
        <v>O-50698-00</v>
      </c>
      <c r="B770" s="2" t="str">
        <f>IFERROR(__xludf.DUMMYFUNCTION("""COMPUTED_VALUE"""),"Autoclave Fedegari FOF / 6 AC - P/N. KK000301-KIT Ricambi Valv. DN10 ON-OFF")</f>
        <v>Autoclave Fedegari FOF / 6 AC - P/N. KK000301-KIT Ricambi Valv. DN10 ON-OFF</v>
      </c>
      <c r="C770" s="2" t="str">
        <f>IFERROR(__xludf.DUMMYFUNCTION("""COMPUTED_VALUE"""),"O-50698-00")</f>
        <v>O-50698-00</v>
      </c>
      <c r="D770" s="2" t="str">
        <f>if(isna(vlookup(C770,'On Hand'!A:C,3,0)),"",vlookup(C770,'On Hand'!A:C,3,0))</f>
        <v/>
      </c>
    </row>
    <row r="771">
      <c r="A771" s="2" t="str">
        <f>IFERROR(__xludf.DUMMYFUNCTION("""COMPUTED_VALUE"""),"O-50710-00")</f>
        <v>O-50710-00</v>
      </c>
      <c r="B771" s="2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1" s="2" t="str">
        <f>IFERROR(__xludf.DUMMYFUNCTION("""COMPUTED_VALUE"""),"O-50710-00")</f>
        <v>O-50710-00</v>
      </c>
      <c r="D771" s="2" t="str">
        <f>if(isna(vlookup(C771,'On Hand'!A:C,3,0)),"",vlookup(C771,'On Hand'!A:C,3,0))</f>
        <v>pc</v>
      </c>
    </row>
    <row r="772">
      <c r="A772" s="2" t="str">
        <f>IFERROR(__xludf.DUMMYFUNCTION("""COMPUTED_VALUE"""),"O-50826-00")</f>
        <v>O-50826-00</v>
      </c>
      <c r="B772" s="2" t="str">
        <f>IFERROR(__xludf.DUMMYFUNCTION("""COMPUTED_VALUE"""),"PCB, R, Detector, Airnet II P/N : 1000013676; ; ;")</f>
        <v>PCB, R, Detector, Airnet II P/N : 1000013676; ; ;</v>
      </c>
      <c r="C772" s="2" t="str">
        <f>IFERROR(__xludf.DUMMYFUNCTION("""COMPUTED_VALUE"""),"O-50826-00")</f>
        <v>O-50826-00</v>
      </c>
      <c r="D772" s="2" t="str">
        <f>if(isna(vlookup(C772,'On Hand'!A:C,3,0)),"",vlookup(C772,'On Hand'!A:C,3,0))</f>
        <v/>
      </c>
    </row>
    <row r="773">
      <c r="A773" s="2" t="str">
        <f>IFERROR(__xludf.DUMMYFUNCTION("""COMPUTED_VALUE"""),"O-50827-00")</f>
        <v>O-50827-00</v>
      </c>
      <c r="B773" s="2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3" s="2" t="str">
        <f>IFERROR(__xludf.DUMMYFUNCTION("""COMPUTED_VALUE"""),"O-50827-00")</f>
        <v>O-50827-00</v>
      </c>
      <c r="D773" s="2" t="str">
        <f>if(isna(vlookup(C773,'On Hand'!A:C,3,0)),"",vlookup(C773,'On Hand'!A:C,3,0))</f>
        <v>unt</v>
      </c>
    </row>
    <row r="774">
      <c r="A774" s="2" t="str">
        <f>IFERROR(__xludf.DUMMYFUNCTION("""COMPUTED_VALUE"""),"O-50831-00")</f>
        <v>O-50831-00</v>
      </c>
      <c r="B774" s="2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4" s="2" t="str">
        <f>IFERROR(__xludf.DUMMYFUNCTION("""COMPUTED_VALUE"""),"O-50831-00")</f>
        <v>O-50831-00</v>
      </c>
      <c r="D774" s="2" t="str">
        <f>if(isna(vlookup(C774,'On Hand'!A:C,3,0)),"",vlookup(C774,'On Hand'!A:C,3,0))</f>
        <v>pc</v>
      </c>
    </row>
    <row r="775">
      <c r="A775" s="2" t="str">
        <f>IFERROR(__xludf.DUMMYFUNCTION("""COMPUTED_VALUE"""),"O-50834-00")</f>
        <v>O-50834-00</v>
      </c>
      <c r="B775" s="2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5" s="2" t="str">
        <f>IFERROR(__xludf.DUMMYFUNCTION("""COMPUTED_VALUE"""),"O-50834-00")</f>
        <v>O-50834-00</v>
      </c>
      <c r="D775" s="2" t="str">
        <f>if(isna(vlookup(C775,'On Hand'!A:C,3,0)),"",vlookup(C775,'On Hand'!A:C,3,0))</f>
        <v/>
      </c>
    </row>
    <row r="776">
      <c r="A776" s="2" t="str">
        <f>IFERROR(__xludf.DUMMYFUNCTION("""COMPUTED_VALUE"""),"O-50854-00")</f>
        <v>O-50854-00</v>
      </c>
      <c r="B776" s="2" t="str">
        <f>IFERROR(__xludf.DUMMYFUNCTION("""COMPUTED_VALUE"""),"Overload Relay / LRD10 / 4-6A/Schneider; ; ;")</f>
        <v>Overload Relay / LRD10 / 4-6A/Schneider; ; ;</v>
      </c>
      <c r="C776" s="2" t="str">
        <f>IFERROR(__xludf.DUMMYFUNCTION("""COMPUTED_VALUE"""),"O-50854-00")</f>
        <v>O-50854-00</v>
      </c>
      <c r="D776" s="2" t="str">
        <f>if(isna(vlookup(C776,'On Hand'!A:C,3,0)),"",vlookup(C776,'On Hand'!A:C,3,0))</f>
        <v>pc</v>
      </c>
    </row>
    <row r="777">
      <c r="A777" s="2" t="str">
        <f>IFERROR(__xludf.DUMMYFUNCTION("""COMPUTED_VALUE"""),"O-50863-00")</f>
        <v>O-50863-00</v>
      </c>
      <c r="B777" s="2" t="str">
        <f>IFERROR(__xludf.DUMMYFUNCTION("""COMPUTED_VALUE"""),"General - Relay 220-240 VAC; Omron; MY4N; 1 Pc")</f>
        <v>General - Relay 220-240 VAC; Omron; MY4N; 1 Pc</v>
      </c>
      <c r="C777" s="2" t="str">
        <f>IFERROR(__xludf.DUMMYFUNCTION("""COMPUTED_VALUE"""),"O-50863-00")</f>
        <v>O-50863-00</v>
      </c>
      <c r="D777" s="2" t="str">
        <f>if(isna(vlookup(C777,'On Hand'!A:C,3,0)),"",vlookup(C777,'On Hand'!A:C,3,0))</f>
        <v>pc</v>
      </c>
    </row>
    <row r="778">
      <c r="A778" s="2" t="str">
        <f>IFERROR(__xludf.DUMMYFUNCTION("""COMPUTED_VALUE"""),"O-50964-00")</f>
        <v>O-50964-00</v>
      </c>
      <c r="B778" s="2" t="str">
        <f>IFERROR(__xludf.DUMMYFUNCTION("""COMPUTED_VALUE"""),"General - Safety Relay PNOZ X3 24 VAC 24VDC 3n/o 1n/c 1so; PILZ; 774310; 1 Pc")</f>
        <v>General - Safety Relay PNOZ X3 24 VAC 24VDC 3n/o 1n/c 1so; PILZ; 774310; 1 Pc</v>
      </c>
      <c r="C778" s="2" t="str">
        <f>IFERROR(__xludf.DUMMYFUNCTION("""COMPUTED_VALUE"""),"O-50964-00")</f>
        <v>O-50964-00</v>
      </c>
      <c r="D778" s="2" t="str">
        <f>if(isna(vlookup(C778,'On Hand'!A:C,3,0)),"",vlookup(C778,'On Hand'!A:C,3,0))</f>
        <v>pc</v>
      </c>
    </row>
    <row r="779">
      <c r="A779" s="2" t="str">
        <f>IFERROR(__xludf.DUMMYFUNCTION("""COMPUTED_VALUE"""),"O-50994-00")</f>
        <v>O-50994-00</v>
      </c>
      <c r="B779" s="2" t="str">
        <f>IFERROR(__xludf.DUMMYFUNCTION("""COMPUTED_VALUE"""),"Battery kering 12V 7,2AH; ; ;")</f>
        <v>Battery kering 12V 7,2AH; ; ;</v>
      </c>
      <c r="C779" s="2" t="str">
        <f>IFERROR(__xludf.DUMMYFUNCTION("""COMPUTED_VALUE"""),"O-50994-00")</f>
        <v>O-50994-00</v>
      </c>
      <c r="D779" s="2" t="str">
        <f>if(isna(vlookup(C779,'On Hand'!A:C,3,0)),"",vlookup(C779,'On Hand'!A:C,3,0))</f>
        <v>pc</v>
      </c>
    </row>
    <row r="780">
      <c r="A780" s="2" t="str">
        <f>IFERROR(__xludf.DUMMYFUNCTION("""COMPUTED_VALUE"""),"O-51000-00")</f>
        <v>O-51000-00</v>
      </c>
      <c r="B780" s="2" t="str">
        <f>IFERROR(__xludf.DUMMYFUNCTION("""COMPUTED_VALUE"""),"Colamark - Print Head; Domino; EPP001359 SP; 1 Pc")</f>
        <v>Colamark - Print Head; Domino; EPP001359 SP; 1 Pc</v>
      </c>
      <c r="C780" s="2" t="str">
        <f>IFERROR(__xludf.DUMMYFUNCTION("""COMPUTED_VALUE"""),"O-51000-00")</f>
        <v>O-51000-00</v>
      </c>
      <c r="D780" s="2" t="str">
        <f>if(isna(vlookup(C780,'On Hand'!A:C,3,0)),"",vlookup(C780,'On Hand'!A:C,3,0))</f>
        <v/>
      </c>
    </row>
    <row r="781">
      <c r="A781" s="2" t="str">
        <f>IFERROR(__xludf.DUMMYFUNCTION("""COMPUTED_VALUE"""),"O-51071-00")</f>
        <v>O-51071-00</v>
      </c>
      <c r="B781" s="2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1" s="2" t="str">
        <f>IFERROR(__xludf.DUMMYFUNCTION("""COMPUTED_VALUE"""),"O-51071-00")</f>
        <v>O-51071-00</v>
      </c>
      <c r="D781" s="2" t="str">
        <f>if(isna(vlookup(C781,'On Hand'!A:C,3,0)),"",vlookup(C781,'On Hand'!A:C,3,0))</f>
        <v>pc</v>
      </c>
    </row>
    <row r="782">
      <c r="A782" s="2" t="str">
        <f>IFERROR(__xludf.DUMMYFUNCTION("""COMPUTED_VALUE"""),"O-51157-00")</f>
        <v>O-51157-00</v>
      </c>
      <c r="B782" s="2" t="str">
        <f>IFERROR(__xludf.DUMMYFUNCTION("""COMPUTED_VALUE"""),"Fuse Keramik 6A 10x38; ; ;")</f>
        <v>Fuse Keramik 6A 10x38; ; ;</v>
      </c>
      <c r="C782" s="2" t="str">
        <f>IFERROR(__xludf.DUMMYFUNCTION("""COMPUTED_VALUE"""),"O-51157-00")</f>
        <v>O-51157-00</v>
      </c>
      <c r="D782" s="2" t="str">
        <f>if(isna(vlookup(C782,'On Hand'!A:C,3,0)),"",vlookup(C782,'On Hand'!A:C,3,0))</f>
        <v>pc</v>
      </c>
    </row>
    <row r="783">
      <c r="A783" s="2" t="str">
        <f>IFERROR(__xludf.DUMMYFUNCTION("""COMPUTED_VALUE"""),"O-51177-00")</f>
        <v>O-51177-00</v>
      </c>
      <c r="B783" s="2" t="str">
        <f>IFERROR(__xludf.DUMMYFUNCTION("""COMPUTED_VALUE"""),"General - Pressure Switch type KP35 G1/4; Danfoss; -; 1 Pc")</f>
        <v>General - Pressure Switch type KP35 G1/4; Danfoss; -; 1 Pc</v>
      </c>
      <c r="C783" s="2" t="str">
        <f>IFERROR(__xludf.DUMMYFUNCTION("""COMPUTED_VALUE"""),"O-51177-00")</f>
        <v>O-51177-00</v>
      </c>
      <c r="D783" s="2" t="str">
        <f>if(isna(vlookup(C783,'On Hand'!A:C,3,0)),"",vlookup(C783,'On Hand'!A:C,3,0))</f>
        <v>pc</v>
      </c>
    </row>
    <row r="784">
      <c r="A784" s="2" t="str">
        <f>IFERROR(__xludf.DUMMYFUNCTION("""COMPUTED_VALUE"""),"O-51307-00")</f>
        <v>O-51307-00</v>
      </c>
      <c r="B784" s="2" t="str">
        <f>IFERROR(__xludf.DUMMYFUNCTION("""COMPUTED_VALUE"""),"Selector Switch 22mm On-Off XPB22-22A Fort; ; ;")</f>
        <v>Selector Switch 22mm On-Off XPB22-22A Fort; ; ;</v>
      </c>
      <c r="C784" s="2" t="str">
        <f>IFERROR(__xludf.DUMMYFUNCTION("""COMPUTED_VALUE"""),"O-51307-00")</f>
        <v>O-51307-00</v>
      </c>
      <c r="D784" s="2" t="str">
        <f>if(isna(vlookup(C784,'On Hand'!A:C,3,0)),"",vlookup(C784,'On Hand'!A:C,3,0))</f>
        <v/>
      </c>
    </row>
    <row r="785">
      <c r="A785" s="2" t="str">
        <f>IFERROR(__xludf.DUMMYFUNCTION("""COMPUTED_VALUE"""),"O-51308-00")</f>
        <v>O-51308-00</v>
      </c>
      <c r="B785" s="2" t="str">
        <f>IFERROR(__xludf.DUMMYFUNCTION("""COMPUTED_VALUE"""),"Push Button 22mm Green ABW111EP Fort; ; ;")</f>
        <v>Push Button 22mm Green ABW111EP Fort; ; ;</v>
      </c>
      <c r="C785" s="2" t="str">
        <f>IFERROR(__xludf.DUMMYFUNCTION("""COMPUTED_VALUE"""),"O-51308-00")</f>
        <v>O-51308-00</v>
      </c>
      <c r="D785" s="2" t="str">
        <f>if(isna(vlookup(C785,'On Hand'!A:C,3,0)),"",vlookup(C785,'On Hand'!A:C,3,0))</f>
        <v/>
      </c>
    </row>
    <row r="786">
      <c r="A786" s="2" t="str">
        <f>IFERROR(__xludf.DUMMYFUNCTION("""COMPUTED_VALUE"""),"O-51309-00")</f>
        <v>O-51309-00</v>
      </c>
      <c r="B786" s="2" t="str">
        <f>IFERROR(__xludf.DUMMYFUNCTION("""COMPUTED_VALUE"""),"WAGO 750-333 I/O SYSTEM PROFIBUS DP/FMS-12 MBAUD-DPV1-COUPL")</f>
        <v>WAGO 750-333 I/O SYSTEM PROFIBUS DP/FMS-12 MBAUD-DPV1-COUPL</v>
      </c>
      <c r="C786" s="2" t="str">
        <f>IFERROR(__xludf.DUMMYFUNCTION("""COMPUTED_VALUE"""),"O-51309-00")</f>
        <v>O-51309-00</v>
      </c>
      <c r="D786" s="2" t="str">
        <f>if(isna(vlookup(C786,'On Hand'!A:C,3,0)),"",vlookup(C786,'On Hand'!A:C,3,0))</f>
        <v>unt</v>
      </c>
    </row>
    <row r="787">
      <c r="A787" s="2" t="str">
        <f>IFERROR(__xludf.DUMMYFUNCTION("""COMPUTED_VALUE"""),"O-51652-00")</f>
        <v>O-51652-00</v>
      </c>
      <c r="B787" s="2" t="str">
        <f>IFERROR(__xludf.DUMMYFUNCTION("""COMPUTED_VALUE"""),"Safety Sensor, Type : BNS 120-11z, 250mA, 3VA/W,100 VAC/DC,M12 x 1 K-ST; ; ;")</f>
        <v>Safety Sensor, Type : BNS 120-11z, 250mA, 3VA/W,100 VAC/DC,M12 x 1 K-ST; ; ;</v>
      </c>
      <c r="C787" s="2" t="str">
        <f>IFERROR(__xludf.DUMMYFUNCTION("""COMPUTED_VALUE"""),"O-51652-00")</f>
        <v>O-51652-00</v>
      </c>
      <c r="D787" s="2" t="str">
        <f>if(isna(vlookup(C787,'On Hand'!A:C,3,0)),"",vlookup(C787,'On Hand'!A:C,3,0))</f>
        <v/>
      </c>
    </row>
    <row r="788">
      <c r="A788" s="2" t="str">
        <f>IFERROR(__xludf.DUMMYFUNCTION("""COMPUTED_VALUE"""),"O-51653-00")</f>
        <v>O-51653-00</v>
      </c>
      <c r="B788" s="2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8" s="2" t="str">
        <f>IFERROR(__xludf.DUMMYFUNCTION("""COMPUTED_VALUE"""),"O-51653-00")</f>
        <v>O-51653-00</v>
      </c>
      <c r="D788" s="2" t="str">
        <f>if(isna(vlookup(C788,'On Hand'!A:C,3,0)),"",vlookup(C788,'On Hand'!A:C,3,0))</f>
        <v/>
      </c>
    </row>
    <row r="789">
      <c r="A789" s="2" t="str">
        <f>IFERROR(__xludf.DUMMYFUNCTION("""COMPUTED_VALUE"""),"O-51675-00")</f>
        <v>O-51675-00</v>
      </c>
      <c r="B789" s="2" t="str">
        <f>IFERROR(__xludf.DUMMYFUNCTION("""COMPUTED_VALUE"""),"General - Pilz PNOZ X2.1 24 VAC/DC 2 n/o; Pilz; ID774306; 1 pc")</f>
        <v>General - Pilz PNOZ X2.1 24 VAC/DC 2 n/o; Pilz; ID774306; 1 pc</v>
      </c>
      <c r="C789" s="2" t="str">
        <f>IFERROR(__xludf.DUMMYFUNCTION("""COMPUTED_VALUE"""),"O-51675-00")</f>
        <v>O-51675-00</v>
      </c>
      <c r="D789" s="2" t="str">
        <f>if(isna(vlookup(C789,'On Hand'!A:C,3,0)),"",vlookup(C789,'On Hand'!A:C,3,0))</f>
        <v>pc</v>
      </c>
    </row>
    <row r="790">
      <c r="A790" s="2" t="str">
        <f>IFERROR(__xludf.DUMMYFUNCTION("""COMPUTED_VALUE"""),"O-51677-00")</f>
        <v>O-51677-00</v>
      </c>
      <c r="B790" s="2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0" s="2" t="str">
        <f>IFERROR(__xludf.DUMMYFUNCTION("""COMPUTED_VALUE"""),"O-51677-00")</f>
        <v>O-51677-00</v>
      </c>
      <c r="D790" s="2" t="str">
        <f>if(isna(vlookup(C790,'On Hand'!A:C,3,0)),"",vlookup(C790,'On Hand'!A:C,3,0))</f>
        <v>unt</v>
      </c>
    </row>
    <row r="791">
      <c r="A791" s="2" t="str">
        <f>IFERROR(__xludf.DUMMYFUNCTION("""COMPUTED_VALUE"""),"O-51678-00")</f>
        <v>O-51678-00</v>
      </c>
      <c r="B791" s="2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1" s="2" t="str">
        <f>IFERROR(__xludf.DUMMYFUNCTION("""COMPUTED_VALUE"""),"O-51678-00")</f>
        <v>O-51678-00</v>
      </c>
      <c r="D791" s="2" t="str">
        <f>if(isna(vlookup(C791,'On Hand'!A:C,3,0)),"",vlookup(C791,'On Hand'!A:C,3,0))</f>
        <v>unt</v>
      </c>
    </row>
    <row r="792">
      <c r="A792" s="2" t="str">
        <f>IFERROR(__xludf.DUMMYFUNCTION("""COMPUTED_VALUE"""),"O-51687-00")</f>
        <v>O-51687-00</v>
      </c>
      <c r="B792" s="2" t="str">
        <f>IFERROR(__xludf.DUMMYFUNCTION("""COMPUTED_VALUE"""),"Relay OMRON G2A-432A-N DC + socket Omron")</f>
        <v>Relay OMRON G2A-432A-N DC + socket Omron</v>
      </c>
      <c r="C792" s="2" t="str">
        <f>IFERROR(__xludf.DUMMYFUNCTION("""COMPUTED_VALUE"""),"O-51687-00")</f>
        <v>O-51687-00</v>
      </c>
      <c r="D792" s="2" t="str">
        <f>if(isna(vlookup(C792,'On Hand'!A:C,3,0)),"",vlookup(C792,'On Hand'!A:C,3,0))</f>
        <v/>
      </c>
    </row>
    <row r="793">
      <c r="A793" s="2" t="str">
        <f>IFERROR(__xludf.DUMMYFUNCTION("""COMPUTED_VALUE"""),"O-51698-00")</f>
        <v>O-51698-00</v>
      </c>
      <c r="B793" s="2" t="str">
        <f>IFERROR(__xludf.DUMMYFUNCTION("""COMPUTED_VALUE"""),"OMRON - Relay MY4Z 24VDC; ; ;")</f>
        <v>OMRON - Relay MY4Z 24VDC; ; ;</v>
      </c>
      <c r="C793" s="2" t="str">
        <f>IFERROR(__xludf.DUMMYFUNCTION("""COMPUTED_VALUE"""),"O-51698-00")</f>
        <v>O-51698-00</v>
      </c>
      <c r="D793" s="2" t="str">
        <f>if(isna(vlookup(C793,'On Hand'!A:C,3,0)),"",vlookup(C793,'On Hand'!A:C,3,0))</f>
        <v>pc</v>
      </c>
    </row>
    <row r="794">
      <c r="A794" s="2" t="str">
        <f>IFERROR(__xludf.DUMMYFUNCTION("""COMPUTED_VALUE"""),"O-51700-00")</f>
        <v>O-51700-00</v>
      </c>
      <c r="B794" s="2" t="str">
        <f>IFERROR(__xludf.DUMMYFUNCTION("""COMPUTED_VALUE"""),"KEYENCE AMPLIFIER SENSOR OPTICAL FIBER PNP, OUTPUT CONNECTOR M8")</f>
        <v>KEYENCE AMPLIFIER SENSOR OPTICAL FIBER PNP, OUTPUT CONNECTOR M8</v>
      </c>
      <c r="C794" s="2" t="str">
        <f>IFERROR(__xludf.DUMMYFUNCTION("""COMPUTED_VALUE"""),"O-51700-00")</f>
        <v>O-51700-00</v>
      </c>
      <c r="D794" s="2" t="str">
        <f>if(isna(vlookup(C794,'On Hand'!A:C,3,0)),"",vlookup(C794,'On Hand'!A:C,3,0))</f>
        <v/>
      </c>
    </row>
    <row r="795">
      <c r="A795" s="2" t="str">
        <f>IFERROR(__xludf.DUMMYFUNCTION("""COMPUTED_VALUE"""),"O-51701-00")</f>
        <v>O-51701-00</v>
      </c>
      <c r="B795" s="2" t="str">
        <f>IFERROR(__xludf.DUMMYFUNCTION("""COMPUTED_VALUE"""),"COIL FOR REFRIGERATION SOLENOID VALVES(DC24V)")</f>
        <v>COIL FOR REFRIGERATION SOLENOID VALVES(DC24V)</v>
      </c>
      <c r="C795" s="2" t="str">
        <f>IFERROR(__xludf.DUMMYFUNCTION("""COMPUTED_VALUE"""),"O-51701-00")</f>
        <v>O-51701-00</v>
      </c>
      <c r="D795" s="2" t="str">
        <f>if(isna(vlookup(C795,'On Hand'!A:C,3,0)),"",vlookup(C795,'On Hand'!A:C,3,0))</f>
        <v/>
      </c>
    </row>
    <row r="796">
      <c r="A796" s="2" t="str">
        <f>IFERROR(__xludf.DUMMYFUNCTION("""COMPUTED_VALUE"""),"O-51702-00")</f>
        <v>O-51702-00</v>
      </c>
      <c r="B796" s="2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6" s="2" t="str">
        <f>IFERROR(__xludf.DUMMYFUNCTION("""COMPUTED_VALUE"""),"O-51702-00")</f>
        <v>O-51702-00</v>
      </c>
      <c r="D796" s="2" t="str">
        <f>if(isna(vlookup(C796,'On Hand'!A:C,3,0)),"",vlookup(C796,'On Hand'!A:C,3,0))</f>
        <v/>
      </c>
    </row>
    <row r="797">
      <c r="A797" s="2" t="str">
        <f>IFERROR(__xludf.DUMMYFUNCTION("""COMPUTED_VALUE"""),"O-51703-00")</f>
        <v>O-51703-00</v>
      </c>
      <c r="B797" s="2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7" s="2" t="str">
        <f>IFERROR(__xludf.DUMMYFUNCTION("""COMPUTED_VALUE"""),"O-51703-00")</f>
        <v>O-51703-00</v>
      </c>
      <c r="D797" s="2" t="str">
        <f>if(isna(vlookup(C797,'On Hand'!A:C,3,0)),"",vlookup(C797,'On Hand'!A:C,3,0))</f>
        <v/>
      </c>
    </row>
    <row r="798">
      <c r="A798" s="2" t="str">
        <f>IFERROR(__xludf.DUMMYFUNCTION("""COMPUTED_VALUE"""),"O-51704-00")</f>
        <v>O-51704-00</v>
      </c>
      <c r="B798" s="2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8" s="2" t="str">
        <f>IFERROR(__xludf.DUMMYFUNCTION("""COMPUTED_VALUE"""),"O-51704-00")</f>
        <v>O-51704-00</v>
      </c>
      <c r="D798" s="2" t="str">
        <f>if(isna(vlookup(C798,'On Hand'!A:C,3,0)),"",vlookup(C798,'On Hand'!A:C,3,0))</f>
        <v/>
      </c>
    </row>
    <row r="799">
      <c r="A799" s="2" t="str">
        <f>IFERROR(__xludf.DUMMYFUNCTION("""COMPUTED_VALUE"""),"O-51705-00")</f>
        <v>O-51705-00</v>
      </c>
      <c r="B799" s="2" t="str">
        <f>IFERROR(__xludf.DUMMYFUNCTION("""COMPUTED_VALUE"""),"DOOR CLOSED MICROSWITCH SIDE 1; F2.1 ;")</f>
        <v>DOOR CLOSED MICROSWITCH SIDE 1; F2.1 ;</v>
      </c>
      <c r="C799" s="2" t="str">
        <f>IFERROR(__xludf.DUMMYFUNCTION("""COMPUTED_VALUE"""),"O-51705-00")</f>
        <v>O-51705-00</v>
      </c>
      <c r="D799" s="2" t="str">
        <f>if(isna(vlookup(C799,'On Hand'!A:C,3,0)),"",vlookup(C799,'On Hand'!A:C,3,0))</f>
        <v/>
      </c>
    </row>
    <row r="800">
      <c r="A800" s="2" t="str">
        <f>IFERROR(__xludf.DUMMYFUNCTION("""COMPUTED_VALUE"""),"O-51706-00")</f>
        <v>O-51706-00</v>
      </c>
      <c r="B800" s="2" t="str">
        <f>IFERROR(__xludf.DUMMYFUNCTION("""COMPUTED_VALUE"""),"DRAIN TEMPERATURE PROBE ; TE1/TE1R ;")</f>
        <v>DRAIN TEMPERATURE PROBE ; TE1/TE1R ;</v>
      </c>
      <c r="C800" s="2" t="str">
        <f>IFERROR(__xludf.DUMMYFUNCTION("""COMPUTED_VALUE"""),"O-51706-00")</f>
        <v>O-51706-00</v>
      </c>
      <c r="D800" s="2" t="str">
        <f>if(isna(vlookup(C800,'On Hand'!A:C,3,0)),"",vlookup(C800,'On Hand'!A:C,3,0))</f>
        <v/>
      </c>
    </row>
    <row r="801">
      <c r="A801" s="2" t="str">
        <f>IFERROR(__xludf.DUMMYFUNCTION("""COMPUTED_VALUE"""),"O-51707-00")</f>
        <v>O-51707-00</v>
      </c>
      <c r="B801" s="2" t="str">
        <f>IFERROR(__xludf.DUMMYFUNCTION("""COMPUTED_VALUE"""),"ELECTROPNEUMATIC PRESSURE CONVERTER; COP")</f>
        <v>ELECTROPNEUMATIC PRESSURE CONVERTER; COP</v>
      </c>
      <c r="C801" s="2" t="str">
        <f>IFERROR(__xludf.DUMMYFUNCTION("""COMPUTED_VALUE"""),"O-51707-00")</f>
        <v>O-51707-00</v>
      </c>
      <c r="D801" s="2" t="str">
        <f>if(isna(vlookup(C801,'On Hand'!A:C,3,0)),"",vlookup(C801,'On Hand'!A:C,3,0))</f>
        <v/>
      </c>
    </row>
    <row r="802">
      <c r="A802" s="2" t="str">
        <f>IFERROR(__xludf.DUMMYFUNCTION("""COMPUTED_VALUE"""),"O-51708-00")</f>
        <v>O-51708-00</v>
      </c>
      <c r="B802" s="2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2" s="2" t="str">
        <f>IFERROR(__xludf.DUMMYFUNCTION("""COMPUTED_VALUE"""),"O-51708-00")</f>
        <v>O-51708-00</v>
      </c>
      <c r="D802" s="2" t="str">
        <f>if(isna(vlookup(C802,'On Hand'!A:C,3,0)),"",vlookup(C802,'On Hand'!A:C,3,0))</f>
        <v/>
      </c>
    </row>
    <row r="803">
      <c r="A803" s="2" t="str">
        <f>IFERROR(__xludf.DUMMYFUNCTION("""COMPUTED_VALUE"""),"O-51709-00")</f>
        <v>O-51709-00</v>
      </c>
      <c r="B803" s="2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3" s="2" t="str">
        <f>IFERROR(__xludf.DUMMYFUNCTION("""COMPUTED_VALUE"""),"O-51709-00")</f>
        <v>O-51709-00</v>
      </c>
      <c r="D803" s="2" t="str">
        <f>if(isna(vlookup(C803,'On Hand'!A:C,3,0)),"",vlookup(C803,'On Hand'!A:C,3,0))</f>
        <v/>
      </c>
    </row>
    <row r="804">
      <c r="A804" s="2" t="str">
        <f>IFERROR(__xludf.DUMMYFUNCTION("""COMPUTED_VALUE"""),"O-51710-00")</f>
        <v>O-51710-00</v>
      </c>
      <c r="B804" s="2" t="str">
        <f>IFERROR(__xludf.DUMMYFUNCTION("""COMPUTED_VALUE"""),"ELECTRO-VALVE FOR DOOR LOCK/UNLOCK SIDE 1; EV30 ;")</f>
        <v>ELECTRO-VALVE FOR DOOR LOCK/UNLOCK SIDE 1; EV30 ;</v>
      </c>
      <c r="C804" s="2" t="str">
        <f>IFERROR(__xludf.DUMMYFUNCTION("""COMPUTED_VALUE"""),"O-51710-00")</f>
        <v>O-51710-00</v>
      </c>
      <c r="D804" s="2" t="str">
        <f>if(isna(vlookup(C804,'On Hand'!A:C,3,0)),"",vlookup(C804,'On Hand'!A:C,3,0))</f>
        <v/>
      </c>
    </row>
    <row r="805">
      <c r="A805" s="2" t="str">
        <f>IFERROR(__xludf.DUMMYFUNCTION("""COMPUTED_VALUE"""),"O-51711-00")</f>
        <v>O-51711-00</v>
      </c>
      <c r="B805" s="2" t="str">
        <f>IFERROR(__xludf.DUMMYFUNCTION("""COMPUTED_VALUE"""),"ELECTRO-VALVE FOR PV WATER ; E21 ;")</f>
        <v>ELECTRO-VALVE FOR PV WATER ; E21 ;</v>
      </c>
      <c r="C805" s="2" t="str">
        <f>IFERROR(__xludf.DUMMYFUNCTION("""COMPUTED_VALUE"""),"O-51711-00")</f>
        <v>O-51711-00</v>
      </c>
      <c r="D805" s="2" t="str">
        <f>if(isna(vlookup(C805,'On Hand'!A:C,3,0)),"",vlookup(C805,'On Hand'!A:C,3,0))</f>
        <v/>
      </c>
    </row>
    <row r="806">
      <c r="A806" s="2" t="str">
        <f>IFERROR(__xludf.DUMMYFUNCTION("""COMPUTED_VALUE"""),"O-51712-00")</f>
        <v>O-51712-00</v>
      </c>
      <c r="B806" s="2" t="str">
        <f>IFERROR(__xludf.DUMMYFUNCTION("""COMPUTED_VALUE"""),"ELECTRO-VALVE FOR VP1 ; E1 ;")</f>
        <v>ELECTRO-VALVE FOR VP1 ; E1 ;</v>
      </c>
      <c r="C806" s="2" t="str">
        <f>IFERROR(__xludf.DUMMYFUNCTION("""COMPUTED_VALUE"""),"O-51712-00")</f>
        <v>O-51712-00</v>
      </c>
      <c r="D806" s="2" t="str">
        <f>if(isna(vlookup(C806,'On Hand'!A:C,3,0)),"",vlookup(C806,'On Hand'!A:C,3,0))</f>
        <v/>
      </c>
    </row>
    <row r="807">
      <c r="A807" s="2" t="str">
        <f>IFERROR(__xludf.DUMMYFUNCTION("""COMPUTED_VALUE"""),"O-51713-00")</f>
        <v>O-51713-00</v>
      </c>
      <c r="B807" s="2" t="str">
        <f>IFERROR(__xludf.DUMMYFUNCTION("""COMPUTED_VALUE"""),"ELECTRO-VALVE FOR VP10 ; E10 ;")</f>
        <v>ELECTRO-VALVE FOR VP10 ; E10 ;</v>
      </c>
      <c r="C807" s="2" t="str">
        <f>IFERROR(__xludf.DUMMYFUNCTION("""COMPUTED_VALUE"""),"O-51713-00")</f>
        <v>O-51713-00</v>
      </c>
      <c r="D807" s="2" t="str">
        <f>if(isna(vlookup(C807,'On Hand'!A:C,3,0)),"",vlookup(C807,'On Hand'!A:C,3,0))</f>
        <v/>
      </c>
    </row>
    <row r="808">
      <c r="A808" s="2" t="str">
        <f>IFERROR(__xludf.DUMMYFUNCTION("""COMPUTED_VALUE"""),"O-51714-00")</f>
        <v>O-51714-00</v>
      </c>
      <c r="B808" s="2" t="str">
        <f>IFERROR(__xludf.DUMMYFUNCTION("""COMPUTED_VALUE"""),"ELECTRO-VALVE FOR VPX; EX ;")</f>
        <v>ELECTRO-VALVE FOR VPX; EX ;</v>
      </c>
      <c r="C808" s="2" t="str">
        <f>IFERROR(__xludf.DUMMYFUNCTION("""COMPUTED_VALUE"""),"O-51714-00")</f>
        <v>O-51714-00</v>
      </c>
      <c r="D808" s="2" t="str">
        <f>if(isna(vlookup(C808,'On Hand'!A:C,3,0)),"",vlookup(C808,'On Hand'!A:C,3,0))</f>
        <v/>
      </c>
    </row>
    <row r="809">
      <c r="A809" s="2" t="str">
        <f>IFERROR(__xludf.DUMMYFUNCTION("""COMPUTED_VALUE"""),"O-51715-00")</f>
        <v>O-51715-00</v>
      </c>
      <c r="B809" s="2" t="str">
        <f>IFERROR(__xludf.DUMMYFUNCTION("""COMPUTED_VALUE"""),"ELECTRO-VALVE FOR VPZ; EZ ;")</f>
        <v>ELECTRO-VALVE FOR VPZ; EZ ;</v>
      </c>
      <c r="C809" s="2" t="str">
        <f>IFERROR(__xludf.DUMMYFUNCTION("""COMPUTED_VALUE"""),"O-51715-00")</f>
        <v>O-51715-00</v>
      </c>
      <c r="D809" s="2" t="str">
        <f>if(isna(vlookup(C809,'On Hand'!A:C,3,0)),"",vlookup(C809,'On Hand'!A:C,3,0))</f>
        <v/>
      </c>
    </row>
    <row r="810">
      <c r="A810" s="2" t="str">
        <f>IFERROR(__xludf.DUMMYFUNCTION("""COMPUTED_VALUE"""),"O-51716-00")</f>
        <v>O-51716-00</v>
      </c>
      <c r="B810" s="2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0" s="2" t="str">
        <f>IFERROR(__xludf.DUMMYFUNCTION("""COMPUTED_VALUE"""),"O-51716-00")</f>
        <v>O-51716-00</v>
      </c>
      <c r="D810" s="2" t="str">
        <f>if(isna(vlookup(C810,'On Hand'!A:C,3,0)),"",vlookup(C810,'On Hand'!A:C,3,0))</f>
        <v/>
      </c>
    </row>
    <row r="811">
      <c r="A811" s="2" t="str">
        <f>IFERROR(__xludf.DUMMYFUNCTION("""COMPUTED_VALUE"""),"O-51717-00")</f>
        <v>O-51717-00</v>
      </c>
      <c r="B811" s="2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1" s="2" t="str">
        <f>IFERROR(__xludf.DUMMYFUNCTION("""COMPUTED_VALUE"""),"O-51717-00")</f>
        <v>O-51717-00</v>
      </c>
      <c r="D811" s="2" t="str">
        <f>if(isna(vlookup(C811,'On Hand'!A:C,3,0)),"",vlookup(C811,'On Hand'!A:C,3,0))</f>
        <v/>
      </c>
    </row>
    <row r="812">
      <c r="A812" s="2" t="str">
        <f>IFERROR(__xludf.DUMMYFUNCTION("""COMPUTED_VALUE"""),"O-51718-00")</f>
        <v>O-51718-00</v>
      </c>
      <c r="B812" s="2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2" s="2" t="str">
        <f>IFERROR(__xludf.DUMMYFUNCTION("""COMPUTED_VALUE"""),"O-51718-00")</f>
        <v>O-51718-00</v>
      </c>
      <c r="D812" s="2" t="str">
        <f>if(isna(vlookup(C812,'On Hand'!A:C,3,0)),"",vlookup(C812,'On Hand'!A:C,3,0))</f>
        <v/>
      </c>
    </row>
    <row r="813">
      <c r="A813" s="2" t="str">
        <f>IFERROR(__xludf.DUMMYFUNCTION("""COMPUTED_VALUE"""),"O-51719-00")</f>
        <v>O-51719-00</v>
      </c>
      <c r="B813" s="2" t="str">
        <f>IFERROR(__xludf.DUMMYFUNCTION("""COMPUTED_VALUE"""),"FUSES(250V,2A,VDE CERTIFICATE)")</f>
        <v>FUSES(250V,2A,VDE CERTIFICATE)</v>
      </c>
      <c r="C813" s="2" t="str">
        <f>IFERROR(__xludf.DUMMYFUNCTION("""COMPUTED_VALUE"""),"O-51719-00")</f>
        <v>O-51719-00</v>
      </c>
      <c r="D813" s="2" t="str">
        <f>if(isna(vlookup(C813,'On Hand'!A:C,3,0)),"",vlookup(C813,'On Hand'!A:C,3,0))</f>
        <v/>
      </c>
    </row>
    <row r="814">
      <c r="A814" s="2" t="str">
        <f>IFERROR(__xludf.DUMMYFUNCTION("""COMPUTED_VALUE"""),"O-51720-00")</f>
        <v>O-51720-00</v>
      </c>
      <c r="B814" s="2" t="str">
        <f>IFERROR(__xludf.DUMMYFUNCTION("""COMPUTED_VALUE"""),"I/P CONVERTER TYPE 6126; PART NO :CJ030010")</f>
        <v>I/P CONVERTER TYPE 6126; PART NO :CJ030010</v>
      </c>
      <c r="C814" s="2" t="str">
        <f>IFERROR(__xludf.DUMMYFUNCTION("""COMPUTED_VALUE"""),"O-51720-00")</f>
        <v>O-51720-00</v>
      </c>
      <c r="D814" s="2" t="str">
        <f>if(isna(vlookup(C814,'On Hand'!A:C,3,0)),"",vlookup(C814,'On Hand'!A:C,3,0))</f>
        <v/>
      </c>
    </row>
    <row r="815">
      <c r="A815" s="2" t="str">
        <f>IFERROR(__xludf.DUMMYFUNCTION("""COMPUTED_VALUE"""),"O-51721-00")</f>
        <v>O-51721-00</v>
      </c>
      <c r="B815" s="2" t="str">
        <f>IFERROR(__xludf.DUMMYFUNCTION("""COMPUTED_VALUE"""),"PROXIMITY SENSOR, DATALOGIC M8 FLUSH 2X PNP NC IS-08-G2-S1")</f>
        <v>PROXIMITY SENSOR, DATALOGIC M8 FLUSH 2X PNP NC IS-08-G2-S1</v>
      </c>
      <c r="C815" s="2" t="str">
        <f>IFERROR(__xludf.DUMMYFUNCTION("""COMPUTED_VALUE"""),"O-51721-00")</f>
        <v>O-51721-00</v>
      </c>
      <c r="D815" s="2" t="str">
        <f>if(isna(vlookup(C815,'On Hand'!A:C,3,0)),"",vlookup(C815,'On Hand'!A:C,3,0))</f>
        <v/>
      </c>
    </row>
    <row r="816">
      <c r="A816" s="2" t="str">
        <f>IFERROR(__xludf.DUMMYFUNCTION("""COMPUTED_VALUE"""),"O-51722-00")</f>
        <v>O-51722-00</v>
      </c>
      <c r="B816" s="2" t="str">
        <f>IFERROR(__xludf.DUMMYFUNCTION("""COMPUTED_VALUE"""),"PROXIMITY SENSOR, DATALOGIC M12 NON FLUSH SHORT PNP NO IS-12-D1-S2")</f>
        <v>PROXIMITY SENSOR, DATALOGIC M12 NON FLUSH SHORT PNP NO IS-12-D1-S2</v>
      </c>
      <c r="C816" s="2" t="str">
        <f>IFERROR(__xludf.DUMMYFUNCTION("""COMPUTED_VALUE"""),"O-51722-00")</f>
        <v>O-51722-00</v>
      </c>
      <c r="D816" s="2" t="str">
        <f>if(isna(vlookup(C816,'On Hand'!A:C,3,0)),"",vlookup(C816,'On Hand'!A:C,3,0))</f>
        <v/>
      </c>
    </row>
    <row r="817">
      <c r="A817" s="2" t="str">
        <f>IFERROR(__xludf.DUMMYFUNCTION("""COMPUTED_VALUE"""),"O-51723-00")</f>
        <v>O-51723-00</v>
      </c>
      <c r="B817" s="2" t="str">
        <f>IFERROR(__xludf.DUMMYFUNCTION("""COMPUTED_VALUE"""),"PROXIMITY SENSOR, DATALOGIC M12 FLUSH SHORT 2X PNP NO IS-12-G1-S2")</f>
        <v>PROXIMITY SENSOR, DATALOGIC M12 FLUSH SHORT 2X PNP NO IS-12-G1-S2</v>
      </c>
      <c r="C817" s="2" t="str">
        <f>IFERROR(__xludf.DUMMYFUNCTION("""COMPUTED_VALUE"""),"O-51723-00")</f>
        <v>O-51723-00</v>
      </c>
      <c r="D817" s="2" t="str">
        <f>if(isna(vlookup(C817,'On Hand'!A:C,3,0)),"",vlookup(C817,'On Hand'!A:C,3,0))</f>
        <v/>
      </c>
    </row>
    <row r="818">
      <c r="A818" s="2" t="str">
        <f>IFERROR(__xludf.DUMMYFUNCTION("""COMPUTED_VALUE"""),"O-51724-00")</f>
        <v>O-51724-00</v>
      </c>
      <c r="B818" s="2" t="str">
        <f>IFERROR(__xludf.DUMMYFUNCTION("""COMPUTED_VALUE"""),"PROXIMITY SENSOR, DATALOGIC M12 NON FLUSH SHORT")</f>
        <v>PROXIMITY SENSOR, DATALOGIC M12 NON FLUSH SHORT</v>
      </c>
      <c r="C818" s="2" t="str">
        <f>IFERROR(__xludf.DUMMYFUNCTION("""COMPUTED_VALUE"""),"O-51724-00")</f>
        <v>O-51724-00</v>
      </c>
      <c r="D818" s="2" t="str">
        <f>if(isna(vlookup(C818,'On Hand'!A:C,3,0)),"",vlookup(C818,'On Hand'!A:C,3,0))</f>
        <v/>
      </c>
    </row>
    <row r="819">
      <c r="A819" s="2" t="str">
        <f>IFERROR(__xludf.DUMMYFUNCTION("""COMPUTED_VALUE"""),"O-51725-00")</f>
        <v>O-51725-00</v>
      </c>
      <c r="B819" s="2" t="str">
        <f>IFERROR(__xludf.DUMMYFUNCTION("""COMPUTED_VALUE"""),"INVERTER MICROMASTER 3 PHASE PART NO :6008")</f>
        <v>INVERTER MICROMASTER 3 PHASE PART NO :6008</v>
      </c>
      <c r="C819" s="2" t="str">
        <f>IFERROR(__xludf.DUMMYFUNCTION("""COMPUTED_VALUE"""),"O-51725-00")</f>
        <v>O-51725-00</v>
      </c>
      <c r="D819" s="2" t="str">
        <f>if(isna(vlookup(C819,'On Hand'!A:C,3,0)),"",vlookup(C819,'On Hand'!A:C,3,0))</f>
        <v/>
      </c>
    </row>
    <row r="820">
      <c r="A820" s="2" t="str">
        <f>IFERROR(__xludf.DUMMYFUNCTION("""COMPUTED_VALUE"""),"O-51726-00")</f>
        <v>O-51726-00</v>
      </c>
      <c r="B820" s="2" t="str">
        <f>IFERROR(__xludf.DUMMYFUNCTION("""COMPUTED_VALUE"""),"PROXIMITY SENSORS, DATALOGIC M8, CONNECTOR M12 PNP-NO, WORKING DISTANCE 2MM")</f>
        <v>PROXIMITY SENSORS, DATALOGIC M8, CONNECTOR M12 PNP-NO, WORKING DISTANCE 2MM</v>
      </c>
      <c r="C820" s="2" t="str">
        <f>IFERROR(__xludf.DUMMYFUNCTION("""COMPUTED_VALUE"""),"O-51726-00")</f>
        <v>O-51726-00</v>
      </c>
      <c r="D820" s="2" t="str">
        <f>if(isna(vlookup(C820,'On Hand'!A:C,3,0)),"",vlookup(C820,'On Hand'!A:C,3,0))</f>
        <v/>
      </c>
    </row>
    <row r="821">
      <c r="A821" s="2" t="str">
        <f>IFERROR(__xludf.DUMMYFUNCTION("""COMPUTED_VALUE"""),"O-51727-00")</f>
        <v>O-51727-00</v>
      </c>
      <c r="B821" s="2" t="str">
        <f>IFERROR(__xludf.DUMMYFUNCTION("""COMPUTED_VALUE"""),"MINIATUR RELAY 24VDC : PHOENIX (24VDC : PHOENIX)")</f>
        <v>MINIATUR RELAY 24VDC : PHOENIX (24VDC : PHOENIX)</v>
      </c>
      <c r="C821" s="2" t="str">
        <f>IFERROR(__xludf.DUMMYFUNCTION("""COMPUTED_VALUE"""),"O-51727-00")</f>
        <v>O-51727-00</v>
      </c>
      <c r="D821" s="2" t="str">
        <f>if(isna(vlookup(C821,'On Hand'!A:C,3,0)),"",vlookup(C821,'On Hand'!A:C,3,0))</f>
        <v/>
      </c>
    </row>
    <row r="822">
      <c r="A822" s="2" t="str">
        <f>IFERROR(__xludf.DUMMYFUNCTION("""COMPUTED_VALUE"""),"O-51728-00")</f>
        <v>O-51728-00</v>
      </c>
      <c r="B822" s="2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2" s="2" t="str">
        <f>IFERROR(__xludf.DUMMYFUNCTION("""COMPUTED_VALUE"""),"O-51728-00")</f>
        <v>O-51728-00</v>
      </c>
      <c r="D822" s="2" t="str">
        <f>if(isna(vlookup(C822,'On Hand'!A:C,3,0)),"",vlookup(C822,'On Hand'!A:C,3,0))</f>
        <v/>
      </c>
    </row>
    <row r="823">
      <c r="A823" s="2" t="str">
        <f>IFERROR(__xludf.DUMMYFUNCTION("""COMPUTED_VALUE"""),"O-51729-00")</f>
        <v>O-51729-00</v>
      </c>
      <c r="B823" s="2" t="str">
        <f>IFERROR(__xludf.DUMMYFUNCTION("""COMPUTED_VALUE"""),"PHOTOCELL SIDE 1; FCE1 ;")</f>
        <v>PHOTOCELL SIDE 1; FCE1 ;</v>
      </c>
      <c r="C823" s="2" t="str">
        <f>IFERROR(__xludf.DUMMYFUNCTION("""COMPUTED_VALUE"""),"O-51729-00")</f>
        <v>O-51729-00</v>
      </c>
      <c r="D823" s="2" t="str">
        <f>if(isna(vlookup(C823,'On Hand'!A:C,3,0)),"",vlookup(C823,'On Hand'!A:C,3,0))</f>
        <v/>
      </c>
    </row>
    <row r="824">
      <c r="A824" s="2" t="str">
        <f>IFERROR(__xludf.DUMMYFUNCTION("""COMPUTED_VALUE"""),"O-51730-00")</f>
        <v>O-51730-00</v>
      </c>
      <c r="B824" s="2" t="str">
        <f>IFERROR(__xludf.DUMMYFUNCTION("""COMPUTED_VALUE"""),"POWER SUPPLY MODULE BASE X20BM01(100-240 AC/24DC)")</f>
        <v>POWER SUPPLY MODULE BASE X20BM01(100-240 AC/24DC)</v>
      </c>
      <c r="C824" s="2" t="str">
        <f>IFERROR(__xludf.DUMMYFUNCTION("""COMPUTED_VALUE"""),"O-51730-00")</f>
        <v>O-51730-00</v>
      </c>
      <c r="D824" s="2" t="str">
        <f>if(isna(vlookup(C824,'On Hand'!A:C,3,0)),"",vlookup(C824,'On Hand'!A:C,3,0))</f>
        <v/>
      </c>
    </row>
    <row r="825">
      <c r="A825" s="2" t="str">
        <f>IFERROR(__xludf.DUMMYFUNCTION("""COMPUTED_VALUE"""),"O-51731-00")</f>
        <v>O-51731-00</v>
      </c>
      <c r="B825" s="2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5" s="2" t="str">
        <f>IFERROR(__xludf.DUMMYFUNCTION("""COMPUTED_VALUE"""),"O-51731-00")</f>
        <v>O-51731-00</v>
      </c>
      <c r="D825" s="2" t="str">
        <f>if(isna(vlookup(C825,'On Hand'!A:C,3,0)),"",vlookup(C825,'On Hand'!A:C,3,0))</f>
        <v/>
      </c>
    </row>
    <row r="826">
      <c r="A826" s="2" t="str">
        <f>IFERROR(__xludf.DUMMYFUNCTION("""COMPUTED_VALUE"""),"O-51732-00")</f>
        <v>O-51732-00</v>
      </c>
      <c r="B826" s="2" t="str">
        <f>IFERROR(__xludf.DUMMYFUNCTION("""COMPUTED_VALUE"""),"PROXIMITY SENSOR OMRON TYPE: E2E-X5F1-M1")</f>
        <v>PROXIMITY SENSOR OMRON TYPE: E2E-X5F1-M1</v>
      </c>
      <c r="C826" s="2" t="str">
        <f>IFERROR(__xludf.DUMMYFUNCTION("""COMPUTED_VALUE"""),"O-51732-00")</f>
        <v>O-51732-00</v>
      </c>
      <c r="D826" s="2" t="str">
        <f>if(isna(vlookup(C826,'On Hand'!A:C,3,0)),"",vlookup(C826,'On Hand'!A:C,3,0))</f>
        <v/>
      </c>
    </row>
    <row r="827">
      <c r="A827" s="2" t="str">
        <f>IFERROR(__xludf.DUMMYFUNCTION("""COMPUTED_VALUE"""),"O-51733-00")</f>
        <v>O-51733-00</v>
      </c>
      <c r="B827" s="2" t="str">
        <f>IFERROR(__xludf.DUMMYFUNCTION("""COMPUTED_VALUE"""),"PROXIMITY SENSOR; DATALOGIC M8 FLUSH 2X PNP NC;")</f>
        <v>PROXIMITY SENSOR; DATALOGIC M8 FLUSH 2X PNP NC;</v>
      </c>
      <c r="C827" s="2" t="str">
        <f>IFERROR(__xludf.DUMMYFUNCTION("""COMPUTED_VALUE"""),"O-51733-00")</f>
        <v>O-51733-00</v>
      </c>
      <c r="D827" s="2" t="str">
        <f>if(isna(vlookup(C827,'On Hand'!A:C,3,0)),"",vlookup(C827,'On Hand'!A:C,3,0))</f>
        <v/>
      </c>
    </row>
    <row r="828">
      <c r="A828" s="2" t="str">
        <f>IFERROR(__xludf.DUMMYFUNCTION("""COMPUTED_VALUE"""),"O-51734-00")</f>
        <v>O-51734-00</v>
      </c>
      <c r="B828" s="2" t="str">
        <f>IFERROR(__xludf.DUMMYFUNCTION("""COMPUTED_VALUE"""),"PROXIMITY SENSOR, DATALOGIC M12 FLUSH SHORT 2X PNP")</f>
        <v>PROXIMITY SENSOR, DATALOGIC M12 FLUSH SHORT 2X PNP</v>
      </c>
      <c r="C828" s="2" t="str">
        <f>IFERROR(__xludf.DUMMYFUNCTION("""COMPUTED_VALUE"""),"O-51734-00")</f>
        <v>O-51734-00</v>
      </c>
      <c r="D828" s="2" t="str">
        <f>if(isna(vlookup(C828,'On Hand'!A:C,3,0)),"",vlookup(C828,'On Hand'!A:C,3,0))</f>
        <v/>
      </c>
    </row>
    <row r="829">
      <c r="A829" s="2" t="str">
        <f>IFERROR(__xludf.DUMMYFUNCTION("""COMPUTED_VALUE"""),"O-51735-00")</f>
        <v>O-51735-00</v>
      </c>
      <c r="B829" s="2" t="str">
        <f>IFERROR(__xludf.DUMMYFUNCTION("""COMPUTED_VALUE"""),"SENSOR OPTICAL FIBER, KEYENCE PNP OUTPUT CONNECTOR M8 FS-V31CP AMPLIFIER ;")</f>
        <v>SENSOR OPTICAL FIBER, KEYENCE PNP OUTPUT CONNECTOR M8 FS-V31CP AMPLIFIER ;</v>
      </c>
      <c r="C829" s="2" t="str">
        <f>IFERROR(__xludf.DUMMYFUNCTION("""COMPUTED_VALUE"""),"O-51735-00")</f>
        <v>O-51735-00</v>
      </c>
      <c r="D829" s="2" t="str">
        <f>if(isna(vlookup(C829,'On Hand'!A:C,3,0)),"",vlookup(C829,'On Hand'!A:C,3,0))</f>
        <v/>
      </c>
    </row>
    <row r="830">
      <c r="A830" s="2" t="str">
        <f>IFERROR(__xludf.DUMMYFUNCTION("""COMPUTED_VALUE"""),"O-51736-00")</f>
        <v>O-51736-00</v>
      </c>
      <c r="B830" s="2" t="str">
        <f>IFERROR(__xludf.DUMMYFUNCTION("""COMPUTED_VALUE"""),"SENSOR PROXIMITY M12 FLUSH SHORT PNP")</f>
        <v>SENSOR PROXIMITY M12 FLUSH SHORT PNP</v>
      </c>
      <c r="C830" s="2" t="str">
        <f>IFERROR(__xludf.DUMMYFUNCTION("""COMPUTED_VALUE"""),"O-51736-00")</f>
        <v>O-51736-00</v>
      </c>
      <c r="D830" s="2" t="str">
        <f>if(isna(vlookup(C830,'On Hand'!A:C,3,0)),"",vlookup(C830,'On Hand'!A:C,3,0))</f>
        <v/>
      </c>
    </row>
    <row r="831">
      <c r="A831" s="2" t="str">
        <f>IFERROR(__xludf.DUMMYFUNCTION("""COMPUTED_VALUE"""),"O-51737-00")</f>
        <v>O-51737-00</v>
      </c>
      <c r="B831" s="2" t="str">
        <f>IFERROR(__xludf.DUMMYFUNCTION("""COMPUTED_VALUE"""),"SENSOR PROXIMITY M12 FLUSH SHORT PNP NO ; DATA LOGIC")</f>
        <v>SENSOR PROXIMITY M12 FLUSH SHORT PNP NO ; DATA LOGIC</v>
      </c>
      <c r="C831" s="2" t="str">
        <f>IFERROR(__xludf.DUMMYFUNCTION("""COMPUTED_VALUE"""),"O-51737-00")</f>
        <v>O-51737-00</v>
      </c>
      <c r="D831" s="2" t="str">
        <f>if(isna(vlookup(C831,'On Hand'!A:C,3,0)),"",vlookup(C831,'On Hand'!A:C,3,0))</f>
        <v/>
      </c>
    </row>
    <row r="832">
      <c r="A832" s="2" t="str">
        <f>IFERROR(__xludf.DUMMYFUNCTION("""COMPUTED_VALUE"""),"O-51738-00")</f>
        <v>O-51738-00</v>
      </c>
      <c r="B832" s="2" t="str">
        <f>IFERROR(__xludf.DUMMYFUNCTION("""COMPUTED_VALUE"""),"SENSOR PROXIMITY ,SCHMERSAL ; BNS-260 FOR DOOR PART NO 14056")</f>
        <v>SENSOR PROXIMITY ,SCHMERSAL ; BNS-260 FOR DOOR PART NO 14056</v>
      </c>
      <c r="C832" s="2" t="str">
        <f>IFERROR(__xludf.DUMMYFUNCTION("""COMPUTED_VALUE"""),"O-51738-00")</f>
        <v>O-51738-00</v>
      </c>
      <c r="D832" s="2" t="str">
        <f>if(isna(vlookup(C832,'On Hand'!A:C,3,0)),"",vlookup(C832,'On Hand'!A:C,3,0))</f>
        <v/>
      </c>
    </row>
    <row r="833">
      <c r="A833" s="2" t="str">
        <f>IFERROR(__xludf.DUMMYFUNCTION("""COMPUTED_VALUE"""),"O-51739-00")</f>
        <v>O-51739-00</v>
      </c>
      <c r="B833" s="2" t="str">
        <f>IFERROR(__xludf.DUMMYFUNCTION("""COMPUTED_VALUE"""),"SENSOR PROXIMITY M12 NON FLUSH SHORT PNP")</f>
        <v>SENSOR PROXIMITY M12 NON FLUSH SHORT PNP</v>
      </c>
      <c r="C833" s="2" t="str">
        <f>IFERROR(__xludf.DUMMYFUNCTION("""COMPUTED_VALUE"""),"O-51739-00")</f>
        <v>O-51739-00</v>
      </c>
      <c r="D833" s="2" t="str">
        <f>if(isna(vlookup(C833,'On Hand'!A:C,3,0)),"",vlookup(C833,'On Hand'!A:C,3,0))</f>
        <v/>
      </c>
    </row>
    <row r="834">
      <c r="A834" s="2" t="str">
        <f>IFERROR(__xludf.DUMMYFUNCTION("""COMPUTED_VALUE"""),"O-51740-00")</f>
        <v>O-51740-00</v>
      </c>
      <c r="B834" s="2" t="str">
        <f>IFERROR(__xludf.DUMMYFUNCTION("""COMPUTED_VALUE"""),"SENSOR PROXIMITY M12 NON FLUSH SHORT PNP NO ; DATA LOGIC")</f>
        <v>SENSOR PROXIMITY M12 NON FLUSH SHORT PNP NO ; DATA LOGIC</v>
      </c>
      <c r="C834" s="2" t="str">
        <f>IFERROR(__xludf.DUMMYFUNCTION("""COMPUTED_VALUE"""),"O-51740-00")</f>
        <v>O-51740-00</v>
      </c>
      <c r="D834" s="2" t="str">
        <f>if(isna(vlookup(C834,'On Hand'!A:C,3,0)),"",vlookup(C834,'On Hand'!A:C,3,0))</f>
        <v/>
      </c>
    </row>
    <row r="835">
      <c r="A835" s="2" t="str">
        <f>IFERROR(__xludf.DUMMYFUNCTION("""COMPUTED_VALUE"""),"O-51741-00")</f>
        <v>O-51741-00</v>
      </c>
      <c r="B835" s="2" t="str">
        <f>IFERROR(__xludf.DUMMYFUNCTION("""COMPUTED_VALUE"""),"SENSOR SUHU PT100 4 M")</f>
        <v>SENSOR SUHU PT100 4 M</v>
      </c>
      <c r="C835" s="2" t="str">
        <f>IFERROR(__xludf.DUMMYFUNCTION("""COMPUTED_VALUE"""),"O-51741-00")</f>
        <v>O-51741-00</v>
      </c>
      <c r="D835" s="2" t="str">
        <f>if(isna(vlookup(C835,'On Hand'!A:C,3,0)),"",vlookup(C835,'On Hand'!A:C,3,0))</f>
        <v/>
      </c>
    </row>
    <row r="836">
      <c r="A836" s="2" t="str">
        <f>IFERROR(__xludf.DUMMYFUNCTION("""COMPUTED_VALUE"""),"O-51742-00")</f>
        <v>O-51742-00</v>
      </c>
      <c r="B836" s="2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6" s="2" t="str">
        <f>IFERROR(__xludf.DUMMYFUNCTION("""COMPUTED_VALUE"""),"O-51742-00")</f>
        <v>O-51742-00</v>
      </c>
      <c r="D836" s="2" t="str">
        <f>if(isna(vlookup(C836,'On Hand'!A:C,3,0)),"",vlookup(C836,'On Hand'!A:C,3,0))</f>
        <v>unt</v>
      </c>
    </row>
    <row r="837">
      <c r="A837" s="2" t="str">
        <f>IFERROR(__xludf.DUMMYFUNCTION("""COMPUTED_VALUE"""),"O-51743-00")</f>
        <v>O-51743-00</v>
      </c>
      <c r="B837" s="2" t="str">
        <f>IFERROR(__xludf.DUMMYFUNCTION("""COMPUTED_VALUE"""),"SENSOR TEMPERATUR PT100 7 METER 4 WIRE PART NO :PM600083")</f>
        <v>SENSOR TEMPERATUR PT100 7 METER 4 WIRE PART NO :PM600083</v>
      </c>
      <c r="C837" s="2" t="str">
        <f>IFERROR(__xludf.DUMMYFUNCTION("""COMPUTED_VALUE"""),"O-51743-00")</f>
        <v>O-51743-00</v>
      </c>
      <c r="D837" s="2" t="str">
        <f>if(isna(vlookup(C837,'On Hand'!A:C,3,0)),"",vlookup(C837,'On Hand'!A:C,3,0))</f>
        <v/>
      </c>
    </row>
    <row r="838">
      <c r="A838" s="2" t="str">
        <f>IFERROR(__xludf.DUMMYFUNCTION("""COMPUTED_VALUE"""),"O-51744-00")</f>
        <v>O-51744-00</v>
      </c>
      <c r="B838" s="2" t="str">
        <f>IFERROR(__xludf.DUMMYFUNCTION("""COMPUTED_VALUE"""),"SENSOR TEMPERATUR PT100 7 METER 8 WIRE; PART NO :PM600084")</f>
        <v>SENSOR TEMPERATUR PT100 7 METER 8 WIRE; PART NO :PM600084</v>
      </c>
      <c r="C838" s="2" t="str">
        <f>IFERROR(__xludf.DUMMYFUNCTION("""COMPUTED_VALUE"""),"O-51744-00")</f>
        <v>O-51744-00</v>
      </c>
      <c r="D838" s="2" t="str">
        <f>if(isna(vlookup(C838,'On Hand'!A:C,3,0)),"",vlookup(C838,'On Hand'!A:C,3,0))</f>
        <v/>
      </c>
    </row>
    <row r="839">
      <c r="A839" s="2" t="str">
        <f>IFERROR(__xludf.DUMMYFUNCTION("""COMPUTED_VALUE"""),"O-51746-00")</f>
        <v>O-51746-00</v>
      </c>
      <c r="B839" s="2" t="str">
        <f>IFERROR(__xludf.DUMMYFUNCTION("""COMPUTED_VALUE"""),"SENSOR NO 10-30 VDC, 200MA; NITROGEN POST-GAS FLOW CHECK SENSOR ;")</f>
        <v>SENSOR NO 10-30 VDC, 200MA; NITROGEN POST-GAS FLOW CHECK SENSOR ;</v>
      </c>
      <c r="C839" s="2" t="str">
        <f>IFERROR(__xludf.DUMMYFUNCTION("""COMPUTED_VALUE"""),"O-51746-00")</f>
        <v>O-51746-00</v>
      </c>
      <c r="D839" s="2" t="str">
        <f>if(isna(vlookup(C839,'On Hand'!A:C,3,0)),"",vlookup(C839,'On Hand'!A:C,3,0))</f>
        <v/>
      </c>
    </row>
    <row r="840">
      <c r="A840" s="2" t="str">
        <f>IFERROR(__xludf.DUMMYFUNCTION("""COMPUTED_VALUE"""),"O-51747-00")</f>
        <v>O-51747-00</v>
      </c>
      <c r="B840" s="2" t="str">
        <f>IFERROR(__xludf.DUMMYFUNCTION("""COMPUTED_VALUE"""),"TEMPERATURE PROBE ;PRODUCT ; TE2/TE2R ;")</f>
        <v>TEMPERATURE PROBE ;PRODUCT ; TE2/TE2R ;</v>
      </c>
      <c r="C840" s="2" t="str">
        <f>IFERROR(__xludf.DUMMYFUNCTION("""COMPUTED_VALUE"""),"O-51747-00")</f>
        <v>O-51747-00</v>
      </c>
      <c r="D840" s="2" t="str">
        <f>if(isna(vlookup(C840,'On Hand'!A:C,3,0)),"",vlookup(C840,'On Hand'!A:C,3,0))</f>
        <v/>
      </c>
    </row>
    <row r="841">
      <c r="A841" s="2" t="str">
        <f>IFERROR(__xludf.DUMMYFUNCTION("""COMPUTED_VALUE"""),"O-51748-00")</f>
        <v>O-51748-00</v>
      </c>
      <c r="B841" s="2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1" s="2" t="str">
        <f>IFERROR(__xludf.DUMMYFUNCTION("""COMPUTED_VALUE"""),"O-51748-00")</f>
        <v>O-51748-00</v>
      </c>
      <c r="D841" s="2" t="str">
        <f>if(isna(vlookup(C841,'On Hand'!A:C,3,0)),"",vlookup(C841,'On Hand'!A:C,3,0))</f>
        <v/>
      </c>
    </row>
    <row r="842">
      <c r="A842" s="2" t="str">
        <f>IFERROR(__xludf.DUMMYFUNCTION("""COMPUTED_VALUE"""),"O-51749-00")</f>
        <v>O-51749-00</v>
      </c>
      <c r="B842" s="2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2" s="2" t="str">
        <f>IFERROR(__xludf.DUMMYFUNCTION("""COMPUTED_VALUE"""),"O-51749-00")</f>
        <v>O-51749-00</v>
      </c>
      <c r="D842" s="2" t="str">
        <f>if(isna(vlookup(C842,'On Hand'!A:C,3,0)),"",vlookup(C842,'On Hand'!A:C,3,0))</f>
        <v/>
      </c>
    </row>
    <row r="843">
      <c r="A843" s="2" t="str">
        <f>IFERROR(__xludf.DUMMYFUNCTION("""COMPUTED_VALUE"""),"O-51750-00")</f>
        <v>O-51750-00</v>
      </c>
      <c r="B843" s="2" t="str">
        <f>IFERROR(__xludf.DUMMYFUNCTION("""COMPUTED_VALUE"""),"PHOTOCELL SENSOR WITH REFLECTOR PZ-G62CP WITH R-5 Code: PZ-G62CP+R-5")</f>
        <v>PHOTOCELL SENSOR WITH REFLECTOR PZ-G62CP WITH R-5 Code: PZ-G62CP+R-5</v>
      </c>
      <c r="C843" s="2" t="str">
        <f>IFERROR(__xludf.DUMMYFUNCTION("""COMPUTED_VALUE"""),"O-51750-00")</f>
        <v>O-51750-00</v>
      </c>
      <c r="D843" s="2" t="str">
        <f>if(isna(vlookup(C843,'On Hand'!A:C,3,0)),"",vlookup(C843,'On Hand'!A:C,3,0))</f>
        <v>unt</v>
      </c>
    </row>
    <row r="844">
      <c r="A844" s="2" t="str">
        <f>IFERROR(__xludf.DUMMYFUNCTION("""COMPUTED_VALUE"""),"O-51755-00")</f>
        <v>O-51755-00</v>
      </c>
      <c r="B844" s="2" t="str">
        <f>IFERROR(__xludf.DUMMYFUNCTION("""COMPUTED_VALUE"""),"Connector VGA male plug breakout terminal connector 15 Pin Socket VGA; ; ;")</f>
        <v>Connector VGA male plug breakout terminal connector 15 Pin Socket VGA; ; ;</v>
      </c>
      <c r="C844" s="2" t="str">
        <f>IFERROR(__xludf.DUMMYFUNCTION("""COMPUTED_VALUE"""),"O-51755-00")</f>
        <v>O-51755-00</v>
      </c>
      <c r="D844" s="2" t="str">
        <f>if(isna(vlookup(C844,'On Hand'!A:C,3,0)),"",vlookup(C844,'On Hand'!A:C,3,0))</f>
        <v/>
      </c>
    </row>
    <row r="845">
      <c r="A845" s="2" t="str">
        <f>IFERROR(__xludf.DUMMYFUNCTION("""COMPUTED_VALUE"""),"O-51767-00")</f>
        <v>O-51767-00</v>
      </c>
      <c r="B845" s="2" t="str">
        <f>IFERROR(__xludf.DUMMYFUNCTION("""COMPUTED_VALUE"""),"WAGO 750-530 8-CHANNEL DIGITAL OUTPUT MODULE STD PACK; ; ;")</f>
        <v>WAGO 750-530 8-CHANNEL DIGITAL OUTPUT MODULE STD PACK; ; ;</v>
      </c>
      <c r="C845" s="2" t="str">
        <f>IFERROR(__xludf.DUMMYFUNCTION("""COMPUTED_VALUE"""),"O-51767-00")</f>
        <v>O-51767-00</v>
      </c>
      <c r="D845" s="2" t="str">
        <f>if(isna(vlookup(C845,'On Hand'!A:C,3,0)),"",vlookup(C845,'On Hand'!A:C,3,0))</f>
        <v>unt</v>
      </c>
    </row>
    <row r="846">
      <c r="A846" s="2" t="str">
        <f>IFERROR(__xludf.DUMMYFUNCTION("""COMPUTED_VALUE"""),"O-51768-00")</f>
        <v>O-51768-00</v>
      </c>
      <c r="B846" s="2" t="str">
        <f>IFERROR(__xludf.DUMMYFUNCTION("""COMPUTED_VALUE"""),"WAGO 750-513 2-CHANNEL RELAY OUTPUT MODULE STD PACK; ; ;")</f>
        <v>WAGO 750-513 2-CHANNEL RELAY OUTPUT MODULE STD PACK; ; ;</v>
      </c>
      <c r="C846" s="2" t="str">
        <f>IFERROR(__xludf.DUMMYFUNCTION("""COMPUTED_VALUE"""),"O-51768-00")</f>
        <v>O-51768-00</v>
      </c>
      <c r="D846" s="2" t="str">
        <f>if(isna(vlookup(C846,'On Hand'!A:C,3,0)),"",vlookup(C846,'On Hand'!A:C,3,0))</f>
        <v>unt</v>
      </c>
    </row>
    <row r="847">
      <c r="A847" s="2" t="str">
        <f>IFERROR(__xludf.DUMMYFUNCTION("""COMPUTED_VALUE"""),"O-51769-00")</f>
        <v>O-51769-00</v>
      </c>
      <c r="B847" s="2" t="str">
        <f>IFERROR(__xludf.DUMMYFUNCTION("""COMPUTED_VALUE"""),"WAGO 750-430 8-CHANNEL DIGITAL INPUT MODULE STD PACK; ; ;")</f>
        <v>WAGO 750-430 8-CHANNEL DIGITAL INPUT MODULE STD PACK; ; ;</v>
      </c>
      <c r="C847" s="2" t="str">
        <f>IFERROR(__xludf.DUMMYFUNCTION("""COMPUTED_VALUE"""),"O-51769-00")</f>
        <v>O-51769-00</v>
      </c>
      <c r="D847" s="2" t="str">
        <f>if(isna(vlookup(C847,'On Hand'!A:C,3,0)),"",vlookup(C847,'On Hand'!A:C,3,0))</f>
        <v>unt</v>
      </c>
    </row>
    <row r="848">
      <c r="A848" s="2" t="str">
        <f>IFERROR(__xludf.DUMMYFUNCTION("""COMPUTED_VALUE"""),"O-51770-00")</f>
        <v>O-51770-00</v>
      </c>
      <c r="B848" s="2" t="str">
        <f>IFERROR(__xludf.DUMMYFUNCTION("""COMPUTED_VALUE"""),"WAGO 750-602 SUPPLY MODULE STD PACK; ; ;")</f>
        <v>WAGO 750-602 SUPPLY MODULE STD PACK; ; ;</v>
      </c>
      <c r="C848" s="2" t="str">
        <f>IFERROR(__xludf.DUMMYFUNCTION("""COMPUTED_VALUE"""),"O-51770-00")</f>
        <v>O-51770-00</v>
      </c>
      <c r="D848" s="2" t="str">
        <f>if(isna(vlookup(C848,'On Hand'!A:C,3,0)),"",vlookup(C848,'On Hand'!A:C,3,0))</f>
        <v>unt</v>
      </c>
    </row>
    <row r="849">
      <c r="A849" s="2" t="str">
        <f>IFERROR(__xludf.DUMMYFUNCTION("""COMPUTED_VALUE"""),"O-51771-00")</f>
        <v>O-51771-00</v>
      </c>
      <c r="B849" s="2" t="str">
        <f>IFERROR(__xludf.DUMMYFUNCTION("""COMPUTED_VALUE"""),"WAGO 750-501 2-CHANNEL DIGITAL OUTPUT MODULE STD PACK")</f>
        <v>WAGO 750-501 2-CHANNEL DIGITAL OUTPUT MODULE STD PACK</v>
      </c>
      <c r="C849" s="2" t="str">
        <f>IFERROR(__xludf.DUMMYFUNCTION("""COMPUTED_VALUE"""),"O-51771-00")</f>
        <v>O-51771-00</v>
      </c>
      <c r="D849" s="2" t="str">
        <f>if(isna(vlookup(C849,'On Hand'!A:C,3,0)),"",vlookup(C849,'On Hand'!A:C,3,0))</f>
        <v>unt</v>
      </c>
    </row>
    <row r="850">
      <c r="A850" s="2" t="str">
        <f>IFERROR(__xludf.DUMMYFUNCTION("""COMPUTED_VALUE"""),"O-51772-00")</f>
        <v>O-51772-00</v>
      </c>
      <c r="B850" s="2" t="str">
        <f>IFERROR(__xludf.DUMMYFUNCTION("""COMPUTED_VALUE"""),"WAGO 750-402 4-CHANNEL DIGITAL INPUT MODULE STD PACK")</f>
        <v>WAGO 750-402 4-CHANNEL DIGITAL INPUT MODULE STD PACK</v>
      </c>
      <c r="C850" s="2" t="str">
        <f>IFERROR(__xludf.DUMMYFUNCTION("""COMPUTED_VALUE"""),"O-51772-00")</f>
        <v>O-51772-00</v>
      </c>
      <c r="D850" s="2" t="str">
        <f>if(isna(vlookup(C850,'On Hand'!A:C,3,0)),"",vlookup(C850,'On Hand'!A:C,3,0))</f>
        <v>unt</v>
      </c>
    </row>
    <row r="851">
      <c r="A851" s="2" t="str">
        <f>IFERROR(__xludf.DUMMYFUNCTION("""COMPUTED_VALUE"""),"O-51773-00")</f>
        <v>O-51773-00</v>
      </c>
      <c r="B851" s="2" t="str">
        <f>IFERROR(__xludf.DUMMYFUNCTION("""COMPUTED_VALUE"""),"WAGO 750-550 2-CHANNEL ANALOG OUTPUT MODULE STD PACK; ; ;")</f>
        <v>WAGO 750-550 2-CHANNEL ANALOG OUTPUT MODULE STD PACK; ; ;</v>
      </c>
      <c r="C851" s="2" t="str">
        <f>IFERROR(__xludf.DUMMYFUNCTION("""COMPUTED_VALUE"""),"O-51773-00")</f>
        <v>O-51773-00</v>
      </c>
      <c r="D851" s="2" t="str">
        <f>if(isna(vlookup(C851,'On Hand'!A:C,3,0)),"",vlookup(C851,'On Hand'!A:C,3,0))</f>
        <v>unt</v>
      </c>
    </row>
    <row r="852">
      <c r="A852" s="2" t="str">
        <f>IFERROR(__xludf.DUMMYFUNCTION("""COMPUTED_VALUE"""),"O-51774-00")</f>
        <v>O-51774-00</v>
      </c>
      <c r="B852" s="2" t="str">
        <f>IFERROR(__xludf.DUMMYFUNCTION("""COMPUTED_VALUE"""),"WAGO 750-472 2-CHANNEL ANALOG INPUT MODULE STD PACK")</f>
        <v>WAGO 750-472 2-CHANNEL ANALOG INPUT MODULE STD PACK</v>
      </c>
      <c r="C852" s="2" t="str">
        <f>IFERROR(__xludf.DUMMYFUNCTION("""COMPUTED_VALUE"""),"O-51774-00")</f>
        <v>O-51774-00</v>
      </c>
      <c r="D852" s="2" t="str">
        <f>if(isna(vlookup(C852,'On Hand'!A:C,3,0)),"",vlookup(C852,'On Hand'!A:C,3,0))</f>
        <v>unt</v>
      </c>
    </row>
    <row r="853">
      <c r="A853" s="2" t="str">
        <f>IFERROR(__xludf.DUMMYFUNCTION("""COMPUTED_VALUE"""),"O-51775-00")</f>
        <v>O-51775-00</v>
      </c>
      <c r="B853" s="2" t="str">
        <f>IFERROR(__xludf.DUMMYFUNCTION("""COMPUTED_VALUE"""),"WAGO 750-461 2-CHANNEL ANALOG INPUT MODULE STD PACK: 1EA; ; ;")</f>
        <v>WAGO 750-461 2-CHANNEL ANALOG INPUT MODULE STD PACK: 1EA; ; ;</v>
      </c>
      <c r="C853" s="2" t="str">
        <f>IFERROR(__xludf.DUMMYFUNCTION("""COMPUTED_VALUE"""),"O-51775-00")</f>
        <v>O-51775-00</v>
      </c>
      <c r="D853" s="2" t="str">
        <f>if(isna(vlookup(C853,'On Hand'!A:C,3,0)),"",vlookup(C853,'On Hand'!A:C,3,0))</f>
        <v/>
      </c>
    </row>
    <row r="854">
      <c r="A854" s="2" t="str">
        <f>IFERROR(__xludf.DUMMYFUNCTION("""COMPUTED_VALUE"""),"O-51777-00")</f>
        <v>O-51777-00</v>
      </c>
      <c r="B854" s="2" t="str">
        <f>IFERROR(__xludf.DUMMYFUNCTION("""COMPUTED_VALUE"""),"Isoloator glove code: M200/90 Y 550 E4; ; ;")</f>
        <v>Isoloator glove code: M200/90 Y 550 E4; ; ;</v>
      </c>
      <c r="C854" s="2" t="str">
        <f>IFERROR(__xludf.DUMMYFUNCTION("""COMPUTED_VALUE"""),"O-51777-00")</f>
        <v>O-51777-00</v>
      </c>
      <c r="D854" s="2" t="str">
        <f>if(isna(vlookup(C854,'On Hand'!A:C,3,0)),"",vlookup(C854,'On Hand'!A:C,3,0))</f>
        <v/>
      </c>
    </row>
    <row r="855">
      <c r="A855" s="2" t="str">
        <f>IFERROR(__xludf.DUMMYFUNCTION("""COMPUTED_VALUE"""),"O-51793-00")</f>
        <v>O-51793-00</v>
      </c>
      <c r="B855" s="2" t="str">
        <f>IFERROR(__xludf.DUMMYFUNCTION("""COMPUTED_VALUE"""),"Pneumatic Actuator Double Acting-063 Festork; ; ;")</f>
        <v>Pneumatic Actuator Double Acting-063 Festork; ; ;</v>
      </c>
      <c r="C855" s="2" t="str">
        <f>IFERROR(__xludf.DUMMYFUNCTION("""COMPUTED_VALUE"""),"O-51793-00")</f>
        <v>O-51793-00</v>
      </c>
      <c r="D855" s="2" t="str">
        <f>if(isna(vlookup(C855,'On Hand'!A:C,3,0)),"",vlookup(C855,'On Hand'!A:C,3,0))</f>
        <v>pc</v>
      </c>
    </row>
    <row r="856">
      <c r="A856" s="2" t="str">
        <f>IFERROR(__xludf.DUMMYFUNCTION("""COMPUTED_VALUE"""),"O-51793-00")</f>
        <v>O-51793-00</v>
      </c>
      <c r="B856" s="2" t="str">
        <f>IFERROR(__xludf.DUMMYFUNCTION("""COMPUTED_VALUE"""),"Pneumatic Actuator Double Acting-063 Festork; ; ;")</f>
        <v>Pneumatic Actuator Double Acting-063 Festork; ; ;</v>
      </c>
      <c r="C856" s="2" t="str">
        <f>IFERROR(__xludf.DUMMYFUNCTION("""COMPUTED_VALUE"""),"O-51793-00")</f>
        <v>O-51793-00</v>
      </c>
      <c r="D856" s="2" t="str">
        <f>if(isna(vlookup(C856,'On Hand'!A:C,3,0)),"",vlookup(C856,'On Hand'!A:C,3,0))</f>
        <v>pc</v>
      </c>
    </row>
    <row r="857">
      <c r="A857" s="2" t="str">
        <f>IFERROR(__xludf.DUMMYFUNCTION("""COMPUTED_VALUE"""),"O-51794-00")</f>
        <v>O-51794-00</v>
      </c>
      <c r="B857" s="2" t="str">
        <f>IFERROR(__xludf.DUMMYFUNCTION("""COMPUTED_VALUE"""),"Recorder Type KRN1000-0801-0S Autonics; ; ;")</f>
        <v>Recorder Type KRN1000-0801-0S Autonics; ; ;</v>
      </c>
      <c r="C857" s="2" t="str">
        <f>IFERROR(__xludf.DUMMYFUNCTION("""COMPUTED_VALUE"""),"O-51794-00")</f>
        <v>O-51794-00</v>
      </c>
      <c r="D857" s="2" t="str">
        <f>if(isna(vlookup(C857,'On Hand'!A:C,3,0)),"",vlookup(C857,'On Hand'!A:C,3,0))</f>
        <v/>
      </c>
    </row>
    <row r="858">
      <c r="A858" s="2" t="str">
        <f>IFERROR(__xludf.DUMMYFUNCTION("""COMPUTED_VALUE"""),"O-51813-00")</f>
        <v>O-51813-00</v>
      </c>
      <c r="B858" s="2" t="str">
        <f>IFERROR(__xludf.DUMMYFUNCTION("""COMPUTED_VALUE"""),"Digital Timer Switch Simplexa 601 Theben Germany; ; ;")</f>
        <v>Digital Timer Switch Simplexa 601 Theben Germany; ; ;</v>
      </c>
      <c r="C858" s="2" t="str">
        <f>IFERROR(__xludf.DUMMYFUNCTION("""COMPUTED_VALUE"""),"O-51813-00")</f>
        <v>O-51813-00</v>
      </c>
      <c r="D858" s="2" t="str">
        <f>if(isna(vlookup(C858,'On Hand'!A:C,3,0)),"",vlookup(C858,'On Hand'!A:C,3,0))</f>
        <v/>
      </c>
    </row>
    <row r="859">
      <c r="A859" s="2" t="str">
        <f>IFERROR(__xludf.DUMMYFUNCTION("""COMPUTED_VALUE"""),"O-51814-00")</f>
        <v>O-51814-00</v>
      </c>
      <c r="B859" s="2" t="str">
        <f>IFERROR(__xludf.DUMMYFUNCTION("""COMPUTED_VALUE"""),"Cable gland for temperature probe with D15mm; 64940; ; ;")</f>
        <v>Cable gland for temperature probe with D15mm; 64940; ; ;</v>
      </c>
      <c r="C859" s="2" t="str">
        <f>IFERROR(__xludf.DUMMYFUNCTION("""COMPUTED_VALUE"""),"O-51814-00")</f>
        <v>O-51814-00</v>
      </c>
      <c r="D859" s="2" t="str">
        <f>if(isna(vlookup(C859,'On Hand'!A:C,3,0)),"",vlookup(C859,'On Hand'!A:C,3,0))</f>
        <v>unt</v>
      </c>
    </row>
    <row r="860">
      <c r="A860" s="2" t="str">
        <f>IFERROR(__xludf.DUMMYFUNCTION("""COMPUTED_VALUE"""),"O-51815-00")</f>
        <v>O-51815-00</v>
      </c>
      <c r="B860" s="2" t="str">
        <f>IFERROR(__xludf.DUMMYFUNCTION("""COMPUTED_VALUE"""),"Digital probe for humidity and temperature; 64939; ; ;")</f>
        <v>Digital probe for humidity and temperature; 64939; ; ;</v>
      </c>
      <c r="C860" s="2" t="str">
        <f>IFERROR(__xludf.DUMMYFUNCTION("""COMPUTED_VALUE"""),"O-51815-00")</f>
        <v>O-51815-00</v>
      </c>
      <c r="D860" s="2" t="str">
        <f>if(isna(vlookup(C860,'On Hand'!A:C,3,0)),"",vlookup(C860,'On Hand'!A:C,3,0))</f>
        <v/>
      </c>
    </row>
    <row r="861">
      <c r="A861" s="2" t="str">
        <f>IFERROR(__xludf.DUMMYFUNCTION("""COMPUTED_VALUE"""),"O-51816-00")</f>
        <v>O-51816-00</v>
      </c>
      <c r="B861" s="2" t="str">
        <f>IFERROR(__xludf.DUMMYFUNCTION("""COMPUTED_VALUE"""),"Trasmitter for temperature probe HC2-xxx-EX; 64938; ; ;")</f>
        <v>Trasmitter for temperature probe HC2-xxx-EX; 64938; ; ;</v>
      </c>
      <c r="C861" s="2" t="str">
        <f>IFERROR(__xludf.DUMMYFUNCTION("""COMPUTED_VALUE"""),"O-51816-00")</f>
        <v>O-51816-00</v>
      </c>
      <c r="D861" s="2" t="str">
        <f>if(isna(vlookup(C861,'On Hand'!A:C,3,0)),"",vlookup(C861,'On Hand'!A:C,3,0))</f>
        <v/>
      </c>
    </row>
    <row r="862">
      <c r="A862" s="2" t="str">
        <f>IFERROR(__xludf.DUMMYFUNCTION("""COMPUTED_VALUE"""),"O-51817-00")</f>
        <v>O-51817-00</v>
      </c>
      <c r="B862" s="2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2" s="2" t="str">
        <f>IFERROR(__xludf.DUMMYFUNCTION("""COMPUTED_VALUE"""),"O-51817-00")</f>
        <v>O-51817-00</v>
      </c>
      <c r="D862" s="2" t="str">
        <f>if(isna(vlookup(C862,'On Hand'!A:C,3,0)),"",vlookup(C862,'On Hand'!A:C,3,0))</f>
        <v>unt</v>
      </c>
    </row>
    <row r="863">
      <c r="A863" s="2" t="str">
        <f>IFERROR(__xludf.DUMMYFUNCTION("""COMPUTED_VALUE"""),"O-51818-00")</f>
        <v>O-51818-00</v>
      </c>
      <c r="B863" s="2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3" s="2" t="str">
        <f>IFERROR(__xludf.DUMMYFUNCTION("""COMPUTED_VALUE"""),"O-51818-00")</f>
        <v>O-51818-00</v>
      </c>
      <c r="D863" s="2" t="str">
        <f>if(isna(vlookup(C863,'On Hand'!A:C,3,0)),"",vlookup(C863,'On Hand'!A:C,3,0))</f>
        <v>unt</v>
      </c>
    </row>
    <row r="864">
      <c r="A864" s="2" t="str">
        <f>IFERROR(__xludf.DUMMYFUNCTION("""COMPUTED_VALUE"""),"O-51819-00")</f>
        <v>O-51819-00</v>
      </c>
      <c r="B864" s="2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4" s="2" t="str">
        <f>IFERROR(__xludf.DUMMYFUNCTION("""COMPUTED_VALUE"""),"O-51819-00")</f>
        <v>O-51819-00</v>
      </c>
      <c r="D864" s="2" t="str">
        <f>if(isna(vlookup(C864,'On Hand'!A:C,3,0)),"",vlookup(C864,'On Hand'!A:C,3,0))</f>
        <v/>
      </c>
    </row>
    <row r="865">
      <c r="A865" s="2" t="str">
        <f>IFERROR(__xludf.DUMMYFUNCTION("""COMPUTED_VALUE"""),"O-51820-00")</f>
        <v>O-51820-00</v>
      </c>
      <c r="B865" s="2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5" s="2" t="str">
        <f>IFERROR(__xludf.DUMMYFUNCTION("""COMPUTED_VALUE"""),"O-51820-00")</f>
        <v>O-51820-00</v>
      </c>
      <c r="D865" s="2" t="str">
        <f>if(isna(vlookup(C865,'On Hand'!A:C,3,0)),"",vlookup(C865,'On Hand'!A:C,3,0))</f>
        <v/>
      </c>
    </row>
    <row r="866">
      <c r="A866" s="2" t="str">
        <f>IFERROR(__xludf.DUMMYFUNCTION("""COMPUTED_VALUE"""),"O-51821-00")</f>
        <v>O-51821-00</v>
      </c>
      <c r="B866" s="2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6" s="2" t="str">
        <f>IFERROR(__xludf.DUMMYFUNCTION("""COMPUTED_VALUE"""),"O-51821-00")</f>
        <v>O-51821-00</v>
      </c>
      <c r="D866" s="2" t="str">
        <f>if(isna(vlookup(C866,'On Hand'!A:C,3,0)),"",vlookup(C866,'On Hand'!A:C,3,0))</f>
        <v/>
      </c>
    </row>
    <row r="867">
      <c r="A867" s="2" t="str">
        <f>IFERROR(__xludf.DUMMYFUNCTION("""COMPUTED_VALUE"""),"O-51822-00")</f>
        <v>O-51822-00</v>
      </c>
      <c r="B867" s="2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7" s="2" t="str">
        <f>IFERROR(__xludf.DUMMYFUNCTION("""COMPUTED_VALUE"""),"O-51822-00")</f>
        <v>O-51822-00</v>
      </c>
      <c r="D867" s="2" t="str">
        <f>if(isna(vlookup(C867,'On Hand'!A:C,3,0)),"",vlookup(C867,'On Hand'!A:C,3,0))</f>
        <v>unt</v>
      </c>
    </row>
    <row r="868">
      <c r="A868" s="2" t="str">
        <f>IFERROR(__xludf.DUMMYFUNCTION("""COMPUTED_VALUE"""),"O-51827-00")</f>
        <v>O-51827-00</v>
      </c>
      <c r="B868" s="2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8" s="2" t="str">
        <f>IFERROR(__xludf.DUMMYFUNCTION("""COMPUTED_VALUE"""),"O-51827-00")</f>
        <v>O-51827-00</v>
      </c>
      <c r="D868" s="2" t="str">
        <f>if(isna(vlookup(C868,'On Hand'!A:C,3,0)),"",vlookup(C868,'On Hand'!A:C,3,0))</f>
        <v/>
      </c>
    </row>
    <row r="869">
      <c r="A869" s="2" t="str">
        <f>IFERROR(__xludf.DUMMYFUNCTION("""COMPUTED_VALUE"""),"O-51837-00")</f>
        <v>O-51837-00</v>
      </c>
      <c r="B869" s="2" t="str">
        <f>IFERROR(__xludf.DUMMYFUNCTION("""COMPUTED_VALUE"""),"REED SWITCH WITH CONNECTOR M08; UNIVER; TYPE : DF 220 M08; ; ;")</f>
        <v>REED SWITCH WITH CONNECTOR M08; UNIVER; TYPE : DF 220 M08; ; ;</v>
      </c>
      <c r="C869" s="2" t="str">
        <f>IFERROR(__xludf.DUMMYFUNCTION("""COMPUTED_VALUE"""),"O-51837-00")</f>
        <v>O-51837-00</v>
      </c>
      <c r="D869" s="2" t="str">
        <f>if(isna(vlookup(C869,'On Hand'!A:C,3,0)),"",vlookup(C869,'On Hand'!A:C,3,0))</f>
        <v/>
      </c>
    </row>
    <row r="870">
      <c r="A870" s="2" t="str">
        <f>IFERROR(__xludf.DUMMYFUNCTION("""COMPUTED_VALUE"""),"O-51838-00")</f>
        <v>O-51838-00</v>
      </c>
      <c r="B870" s="2" t="str">
        <f>IFERROR(__xludf.DUMMYFUNCTION("""COMPUTED_VALUE"""),"Compact Cylinder (w/o Non Rotating); TYPE : RP 200 016 0015; ; ;")</f>
        <v>Compact Cylinder (w/o Non Rotating); TYPE : RP 200 016 0015; ; ;</v>
      </c>
      <c r="C870" s="2" t="str">
        <f>IFERROR(__xludf.DUMMYFUNCTION("""COMPUTED_VALUE"""),"O-51838-00")</f>
        <v>O-51838-00</v>
      </c>
      <c r="D870" s="2" t="str">
        <f>if(isna(vlookup(C870,'On Hand'!A:C,3,0)),"",vlookup(C870,'On Hand'!A:C,3,0))</f>
        <v/>
      </c>
    </row>
    <row r="871">
      <c r="A871" s="2" t="str">
        <f>IFERROR(__xludf.DUMMYFUNCTION("""COMPUTED_VALUE"""),"O-51850-00")</f>
        <v>O-51850-00</v>
      </c>
      <c r="B871" s="2" t="str">
        <f>IFERROR(__xludf.DUMMYFUNCTION("""COMPUTED_VALUE"""),"General - Power Supply 220 VAC 12 VDC, 3 Ampere; -; -; 1 Pc")</f>
        <v>General - Power Supply 220 VAC 12 VDC, 3 Ampere; -; -; 1 Pc</v>
      </c>
      <c r="C871" s="2" t="str">
        <f>IFERROR(__xludf.DUMMYFUNCTION("""COMPUTED_VALUE"""),"O-51850-00")</f>
        <v>O-51850-00</v>
      </c>
      <c r="D871" s="2" t="str">
        <f>if(isna(vlookup(C871,'On Hand'!A:C,3,0)),"",vlookup(C871,'On Hand'!A:C,3,0))</f>
        <v>pc</v>
      </c>
    </row>
    <row r="872">
      <c r="A872" s="2" t="str">
        <f>IFERROR(__xludf.DUMMYFUNCTION("""COMPUTED_VALUE"""),"O-51851-00")</f>
        <v>O-51851-00</v>
      </c>
      <c r="B872" s="2" t="str">
        <f>IFERROR(__xludf.DUMMYFUNCTION("""COMPUTED_VALUE"""),"Proximity Sensor Omron Type: E2E-X5F1-M1; ; ;")</f>
        <v>Proximity Sensor Omron Type: E2E-X5F1-M1; ; ;</v>
      </c>
      <c r="C872" s="2" t="str">
        <f>IFERROR(__xludf.DUMMYFUNCTION("""COMPUTED_VALUE"""),"O-51851-00")</f>
        <v>O-51851-00</v>
      </c>
      <c r="D872" s="2" t="str">
        <f>if(isna(vlookup(C872,'On Hand'!A:C,3,0)),"",vlookup(C872,'On Hand'!A:C,3,0))</f>
        <v/>
      </c>
    </row>
    <row r="873">
      <c r="A873" s="2" t="str">
        <f>IFERROR(__xludf.DUMMYFUNCTION("""COMPUTED_VALUE"""),"O-51871-00")</f>
        <v>O-51871-00</v>
      </c>
      <c r="B873" s="2" t="str">
        <f>IFERROR(__xludf.DUMMYFUNCTION("""COMPUTED_VALUE"""),"Zenner Barier Pepperl + Fuchs Type Z788.H P/N : 71972; ; ;")</f>
        <v>Zenner Barier Pepperl + Fuchs Type Z788.H P/N : 71972; ; ;</v>
      </c>
      <c r="C873" s="2" t="str">
        <f>IFERROR(__xludf.DUMMYFUNCTION("""COMPUTED_VALUE"""),"O-51871-00")</f>
        <v>O-51871-00</v>
      </c>
      <c r="D873" s="2" t="str">
        <f>if(isna(vlookup(C873,'On Hand'!A:C,3,0)),"",vlookup(C873,'On Hand'!A:C,3,0))</f>
        <v/>
      </c>
    </row>
    <row r="874">
      <c r="A874" s="2" t="str">
        <f>IFERROR(__xludf.DUMMYFUNCTION("""COMPUTED_VALUE"""),"O-51873-00")</f>
        <v>O-51873-00</v>
      </c>
      <c r="B874" s="2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4" s="2" t="str">
        <f>IFERROR(__xludf.DUMMYFUNCTION("""COMPUTED_VALUE"""),"O-51873-00")</f>
        <v>O-51873-00</v>
      </c>
      <c r="D874" s="2" t="str">
        <f>if(isna(vlookup(C874,'On Hand'!A:C,3,0)),"",vlookup(C874,'On Hand'!A:C,3,0))</f>
        <v/>
      </c>
    </row>
    <row r="875">
      <c r="A875" s="2" t="str">
        <f>IFERROR(__xludf.DUMMYFUNCTION("""COMPUTED_VALUE"""),"O-51874-00")</f>
        <v>O-51874-00</v>
      </c>
      <c r="B875" s="2" t="str">
        <f>IFERROR(__xludf.DUMMYFUNCTION("""COMPUTED_VALUE"""),"Wall Mount Probe With 140 mm Probe Length, Model : HC2-SM-EX; ; ;")</f>
        <v>Wall Mount Probe With 140 mm Probe Length, Model : HC2-SM-EX; ; ;</v>
      </c>
      <c r="C875" s="2" t="str">
        <f>IFERROR(__xludf.DUMMYFUNCTION("""COMPUTED_VALUE"""),"O-51874-00")</f>
        <v>O-51874-00</v>
      </c>
      <c r="D875" s="2" t="str">
        <f>if(isna(vlookup(C875,'On Hand'!A:C,3,0)),"",vlookup(C875,'On Hand'!A:C,3,0))</f>
        <v/>
      </c>
    </row>
    <row r="876">
      <c r="A876" s="2" t="str">
        <f>IFERROR(__xludf.DUMMYFUNCTION("""COMPUTED_VALUE"""),"O-51875-00")</f>
        <v>O-51875-00</v>
      </c>
      <c r="B876" s="2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6" s="2" t="str">
        <f>IFERROR(__xludf.DUMMYFUNCTION("""COMPUTED_VALUE"""),"O-51875-00")</f>
        <v>O-51875-00</v>
      </c>
      <c r="D876" s="2" t="str">
        <f>if(isna(vlookup(C876,'On Hand'!A:C,3,0)),"",vlookup(C876,'On Hand'!A:C,3,0))</f>
        <v>unt</v>
      </c>
    </row>
    <row r="877">
      <c r="A877" s="2" t="str">
        <f>IFERROR(__xludf.DUMMYFUNCTION("""COMPUTED_VALUE"""),"O-51904-00")</f>
        <v>O-51904-00</v>
      </c>
      <c r="B877" s="2" t="str">
        <f>IFERROR(__xludf.DUMMYFUNCTION("""COMPUTED_VALUE"""),"Capasitor 50 mf 400 V; ; ;")</f>
        <v>Capasitor 50 mf 400 V; ; ;</v>
      </c>
      <c r="C877" s="2" t="str">
        <f>IFERROR(__xludf.DUMMYFUNCTION("""COMPUTED_VALUE"""),"O-51904-00")</f>
        <v>O-51904-00</v>
      </c>
      <c r="D877" s="2" t="str">
        <f>if(isna(vlookup(C877,'On Hand'!A:C,3,0)),"",vlookup(C877,'On Hand'!A:C,3,0))</f>
        <v/>
      </c>
    </row>
    <row r="878">
      <c r="A878" s="2" t="str">
        <f>IFERROR(__xludf.DUMMYFUNCTION("""COMPUTED_VALUE"""),"O-51911-00")</f>
        <v>O-51911-00</v>
      </c>
      <c r="B878" s="2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8" s="2" t="str">
        <f>IFERROR(__xludf.DUMMYFUNCTION("""COMPUTED_VALUE"""),"O-51911-00")</f>
        <v>O-51911-00</v>
      </c>
      <c r="D878" s="2" t="str">
        <f>if(isna(vlookup(C878,'On Hand'!A:C,3,0)),"",vlookup(C878,'On Hand'!A:C,3,0))</f>
        <v/>
      </c>
    </row>
    <row r="879">
      <c r="A879" s="2" t="str">
        <f>IFERROR(__xludf.DUMMYFUNCTION("""COMPUTED_VALUE"""),"O-51912-00")</f>
        <v>O-51912-00</v>
      </c>
      <c r="B879" s="2" t="str">
        <f>IFERROR(__xludf.DUMMYFUNCTION("""COMPUTED_VALUE"""),"UHI RTD PT100 OHM Dia. 4,5X135mm, Duplex 2x4 wire, SS316L,PT100 Class A; ; ;")</f>
        <v>UHI RTD PT100 OHM Dia. 4,5X135mm, Duplex 2x4 wire, SS316L,PT100 Class A; ; ;</v>
      </c>
      <c r="C879" s="2" t="str">
        <f>IFERROR(__xludf.DUMMYFUNCTION("""COMPUTED_VALUE"""),"O-51912-00")</f>
        <v>O-51912-00</v>
      </c>
      <c r="D879" s="2" t="str">
        <f>if(isna(vlookup(C879,'On Hand'!A:C,3,0)),"",vlookup(C879,'On Hand'!A:C,3,0))</f>
        <v/>
      </c>
    </row>
    <row r="880">
      <c r="A880" s="2" t="str">
        <f>IFERROR(__xludf.DUMMYFUNCTION("""COMPUTED_VALUE"""),"O-51920-00")</f>
        <v>O-51920-00</v>
      </c>
      <c r="B880" s="2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0" s="2" t="str">
        <f>IFERROR(__xludf.DUMMYFUNCTION("""COMPUTED_VALUE"""),"O-51920-00")</f>
        <v>O-51920-00</v>
      </c>
      <c r="D880" s="2" t="str">
        <f>if(isna(vlookup(C880,'On Hand'!A:C,3,0)),"",vlookup(C880,'On Hand'!A:C,3,0))</f>
        <v/>
      </c>
    </row>
    <row r="881">
      <c r="A881" s="2" t="str">
        <f>IFERROR(__xludf.DUMMYFUNCTION("""COMPUTED_VALUE"""),"O-51942-00")</f>
        <v>O-51942-00</v>
      </c>
      <c r="B881" s="2" t="str">
        <f>IFERROR(__xludf.DUMMYFUNCTION("""COMPUTED_VALUE"""),"Inverter Sinamics 1,1 kw 6SL3224-0BE21-1UA0; Siemens; ;")</f>
        <v>Inverter Sinamics 1,1 kw 6SL3224-0BE21-1UA0; Siemens; ;</v>
      </c>
      <c r="C881" s="2" t="str">
        <f>IFERROR(__xludf.DUMMYFUNCTION("""COMPUTED_VALUE"""),"O-51942-00")</f>
        <v>O-51942-00</v>
      </c>
      <c r="D881" s="2" t="str">
        <f>if(isna(vlookup(C881,'On Hand'!A:C,3,0)),"",vlookup(C881,'On Hand'!A:C,3,0))</f>
        <v/>
      </c>
    </row>
    <row r="882">
      <c r="A882" s="2" t="str">
        <f>IFERROR(__xludf.DUMMYFUNCTION("""COMPUTED_VALUE"""),"O-51943-00")</f>
        <v>O-51943-00</v>
      </c>
      <c r="B882" s="2" t="str">
        <f>IFERROR(__xludf.DUMMYFUNCTION("""COMPUTED_VALUE"""),"Inverter Sinamics 1,5 kw 6SL3210-1PE16-1UL1; Siemens; ;")</f>
        <v>Inverter Sinamics 1,5 kw 6SL3210-1PE16-1UL1; Siemens; ;</v>
      </c>
      <c r="C882" s="2" t="str">
        <f>IFERROR(__xludf.DUMMYFUNCTION("""COMPUTED_VALUE"""),"O-51943-00")</f>
        <v>O-51943-00</v>
      </c>
      <c r="D882" s="2" t="str">
        <f>if(isna(vlookup(C882,'On Hand'!A:C,3,0)),"",vlookup(C882,'On Hand'!A:C,3,0))</f>
        <v/>
      </c>
    </row>
    <row r="883">
      <c r="A883" s="2" t="str">
        <f>IFERROR(__xludf.DUMMYFUNCTION("""COMPUTED_VALUE"""),"O-51944-00")</f>
        <v>O-51944-00</v>
      </c>
      <c r="B883" s="2" t="str">
        <f>IFERROR(__xludf.DUMMYFUNCTION("""COMPUTED_VALUE"""),"Connector Plug for Profibus,Simatic DP 6ES7972-0BB12-0XA0; Siemens; ;")</f>
        <v>Connector Plug for Profibus,Simatic DP 6ES7972-0BB12-0XA0; Siemens; ;</v>
      </c>
      <c r="C883" s="2" t="str">
        <f>IFERROR(__xludf.DUMMYFUNCTION("""COMPUTED_VALUE"""),"O-51944-00")</f>
        <v>O-51944-00</v>
      </c>
      <c r="D883" s="2" t="str">
        <f>if(isna(vlookup(C883,'On Hand'!A:C,3,0)),"",vlookup(C883,'On Hand'!A:C,3,0))</f>
        <v/>
      </c>
    </row>
    <row r="884">
      <c r="A884" s="2" t="str">
        <f>IFERROR(__xludf.DUMMYFUNCTION("""COMPUTED_VALUE"""),"O-51945-00")</f>
        <v>O-51945-00</v>
      </c>
      <c r="B884" s="2" t="str">
        <f>IFERROR(__xludf.DUMMYFUNCTION("""COMPUTED_VALUE"""),"Photo Sensor BRP3M-MDT Autonics")</f>
        <v>Photo Sensor BRP3M-MDT Autonics</v>
      </c>
      <c r="C884" s="2" t="str">
        <f>IFERROR(__xludf.DUMMYFUNCTION("""COMPUTED_VALUE"""),"O-51945-00")</f>
        <v>O-51945-00</v>
      </c>
      <c r="D884" s="2" t="str">
        <f>if(isna(vlookup(C884,'On Hand'!A:C,3,0)),"",vlookup(C884,'On Hand'!A:C,3,0))</f>
        <v/>
      </c>
    </row>
    <row r="885">
      <c r="A885" s="2" t="str">
        <f>IFERROR(__xludf.DUMMYFUNCTION("""COMPUTED_VALUE"""),"O-51946-00")</f>
        <v>O-51946-00</v>
      </c>
      <c r="B885" s="2" t="str">
        <f>IFERROR(__xludf.DUMMYFUNCTION("""COMPUTED_VALUE"""),"Pressure Sensor Autonics Model PSAN-V01CPV-RC1/8 1unit")</f>
        <v>Pressure Sensor Autonics Model PSAN-V01CPV-RC1/8 1unit</v>
      </c>
      <c r="C885" s="2" t="str">
        <f>IFERROR(__xludf.DUMMYFUNCTION("""COMPUTED_VALUE"""),"O-51946-00")</f>
        <v>O-51946-00</v>
      </c>
      <c r="D885" s="2" t="str">
        <f>if(isna(vlookup(C885,'On Hand'!A:C,3,0)),"",vlookup(C885,'On Hand'!A:C,3,0))</f>
        <v/>
      </c>
    </row>
    <row r="886">
      <c r="A886" s="2" t="str">
        <f>IFERROR(__xludf.DUMMYFUNCTION("""COMPUTED_VALUE"""),"O-51965-00")</f>
        <v>O-51965-00</v>
      </c>
      <c r="B886" s="2" t="str">
        <f>IFERROR(__xludf.DUMMYFUNCTION("""COMPUTED_VALUE"""),"IMA CLU EK2046 - Module MOXA IO Logic-E1214 p/n:6822921")</f>
        <v>IMA CLU EK2046 - Module MOXA IO Logic-E1214 p/n:6822921</v>
      </c>
      <c r="C886" s="2" t="str">
        <f>IFERROR(__xludf.DUMMYFUNCTION("""COMPUTED_VALUE"""),"O-51965-00")</f>
        <v>O-51965-00</v>
      </c>
      <c r="D886" s="2" t="str">
        <f>if(isna(vlookup(C886,'On Hand'!A:C,3,0)),"",vlookup(C886,'On Hand'!A:C,3,0))</f>
        <v>pc</v>
      </c>
    </row>
    <row r="887">
      <c r="A887" s="2" t="str">
        <f>IFERROR(__xludf.DUMMYFUNCTION("""COMPUTED_VALUE"""),"O-51966-00")</f>
        <v>O-51966-00</v>
      </c>
      <c r="B887" s="2" t="str">
        <f>IFERROR(__xludf.DUMMYFUNCTION("""COMPUTED_VALUE"""),"Memory Card Compact Flash 16GB")</f>
        <v>Memory Card Compact Flash 16GB</v>
      </c>
      <c r="C887" s="2" t="str">
        <f>IFERROR(__xludf.DUMMYFUNCTION("""COMPUTED_VALUE"""),"O-51966-00")</f>
        <v>O-51966-00</v>
      </c>
      <c r="D887" s="2" t="str">
        <f>if(isna(vlookup(C887,'On Hand'!A:C,3,0)),"",vlookup(C887,'On Hand'!A:C,3,0))</f>
        <v/>
      </c>
    </row>
    <row r="888">
      <c r="A888" s="2" t="str">
        <f>IFERROR(__xludf.DUMMYFUNCTION("""COMPUTED_VALUE"""),"O-51967-00")</f>
        <v>O-51967-00</v>
      </c>
      <c r="B888" s="2" t="str">
        <f>IFERROR(__xludf.DUMMYFUNCTION("""COMPUTED_VALUE"""),"General - Solid State Relay 3-32 VDC - 330 VAC 25 A; Fotek; SSR 3-32; 1 Pc")</f>
        <v>General - Solid State Relay 3-32 VDC - 330 VAC 25 A; Fotek; SSR 3-32; 1 Pc</v>
      </c>
      <c r="C888" s="2" t="str">
        <f>IFERROR(__xludf.DUMMYFUNCTION("""COMPUTED_VALUE"""),"O-51967-00")</f>
        <v>O-51967-00</v>
      </c>
      <c r="D888" s="2" t="str">
        <f>if(isna(vlookup(C888,'On Hand'!A:C,3,0)),"",vlookup(C888,'On Hand'!A:C,3,0))</f>
        <v>pc</v>
      </c>
    </row>
    <row r="889">
      <c r="A889" s="2" t="str">
        <f>IFERROR(__xludf.DUMMYFUNCTION("""COMPUTED_VALUE"""),"O-51986-00")</f>
        <v>O-51986-00</v>
      </c>
      <c r="B889" s="2" t="str">
        <f>IFERROR(__xludf.DUMMYFUNCTION("""COMPUTED_VALUE"""),"Flow Switch 1inch 220V; ; ;")</f>
        <v>Flow Switch 1inch 220V; ; ;</v>
      </c>
      <c r="C889" s="2" t="str">
        <f>IFERROR(__xludf.DUMMYFUNCTION("""COMPUTED_VALUE"""),"O-51986-00")</f>
        <v>O-51986-00</v>
      </c>
      <c r="D889" s="2" t="str">
        <f>if(isna(vlookup(C889,'On Hand'!A:C,3,0)),"",vlookup(C889,'On Hand'!A:C,3,0))</f>
        <v>pc</v>
      </c>
    </row>
    <row r="890">
      <c r="A890" s="2" t="str">
        <f>IFERROR(__xludf.DUMMYFUNCTION("""COMPUTED_VALUE"""),"O-51996-00")</f>
        <v>O-51996-00</v>
      </c>
      <c r="B890" s="2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0" s="2" t="str">
        <f>IFERROR(__xludf.DUMMYFUNCTION("""COMPUTED_VALUE"""),"O-51996-00")</f>
        <v>O-51996-00</v>
      </c>
      <c r="D890" s="2" t="str">
        <f>if(isna(vlookup(C890,'On Hand'!A:C,3,0)),"",vlookup(C890,'On Hand'!A:C,3,0))</f>
        <v>pc</v>
      </c>
    </row>
    <row r="891">
      <c r="A891" s="2" t="str">
        <f>IFERROR(__xludf.DUMMYFUNCTION("""COMPUTED_VALUE"""),"O-51996-00")</f>
        <v>O-51996-00</v>
      </c>
      <c r="B891" s="2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2" t="str">
        <f>IFERROR(__xludf.DUMMYFUNCTION("""COMPUTED_VALUE"""),"O-51996-00")</f>
        <v>O-51996-00</v>
      </c>
      <c r="D891" s="2" t="str">
        <f>if(isna(vlookup(C891,'On Hand'!A:C,3,0)),"",vlookup(C891,'On Hand'!A:C,3,0))</f>
        <v>pc</v>
      </c>
    </row>
    <row r="892">
      <c r="A892" s="2" t="str">
        <f>IFERROR(__xludf.DUMMYFUNCTION("""COMPUTED_VALUE"""),"O-52001-00")</f>
        <v>O-52001-00</v>
      </c>
      <c r="B892" s="2" t="str">
        <f>IFERROR(__xludf.DUMMYFUNCTION("""COMPUTED_VALUE"""),"Contactor Merk. Schneider LC1D40A 220 V")</f>
        <v>Contactor Merk. Schneider LC1D40A 220 V</v>
      </c>
      <c r="C892" s="2" t="str">
        <f>IFERROR(__xludf.DUMMYFUNCTION("""COMPUTED_VALUE"""),"O-52001-00")</f>
        <v>O-52001-00</v>
      </c>
      <c r="D892" s="2" t="str">
        <f>if(isna(vlookup(C892,'On Hand'!A:C,3,0)),"",vlookup(C892,'On Hand'!A:C,3,0))</f>
        <v>pc</v>
      </c>
    </row>
    <row r="893">
      <c r="A893" s="2" t="str">
        <f>IFERROR(__xludf.DUMMYFUNCTION("""COMPUTED_VALUE"""),"O-52050-00")</f>
        <v>O-52050-00</v>
      </c>
      <c r="B893" s="2" t="str">
        <f>IFERROR(__xludf.DUMMYFUNCTION("""COMPUTED_VALUE"""),"Seidenader MS30 - Reflection Light Scanner p/n:41-057703-00")</f>
        <v>Seidenader MS30 - Reflection Light Scanner p/n:41-057703-00</v>
      </c>
      <c r="C893" s="2" t="str">
        <f>IFERROR(__xludf.DUMMYFUNCTION("""COMPUTED_VALUE"""),"O-52050-00")</f>
        <v>O-52050-00</v>
      </c>
      <c r="D893" s="2" t="str">
        <f>if(isna(vlookup(C893,'On Hand'!A:C,3,0)),"",vlookup(C893,'On Hand'!A:C,3,0))</f>
        <v/>
      </c>
    </row>
    <row r="894">
      <c r="A894" s="2" t="str">
        <f>IFERROR(__xludf.DUMMYFUNCTION("""COMPUTED_VALUE"""),"O-52051-00")</f>
        <v>O-52051-00</v>
      </c>
      <c r="B894" s="2" t="str">
        <f>IFERROR(__xludf.DUMMYFUNCTION("""COMPUTED_VALUE"""),"Seidenader MS30 - Inductive Proximity Switch p/n:41-060180-00")</f>
        <v>Seidenader MS30 - Inductive Proximity Switch p/n:41-060180-00</v>
      </c>
      <c r="C894" s="2" t="str">
        <f>IFERROR(__xludf.DUMMYFUNCTION("""COMPUTED_VALUE"""),"O-52051-00")</f>
        <v>O-52051-00</v>
      </c>
      <c r="D894" s="2" t="str">
        <f>if(isna(vlookup(C894,'On Hand'!A:C,3,0)),"",vlookup(C894,'On Hand'!A:C,3,0))</f>
        <v/>
      </c>
    </row>
    <row r="895">
      <c r="A895" s="2" t="str">
        <f>IFERROR(__xludf.DUMMYFUNCTION("""COMPUTED_VALUE"""),"O-52052-00")</f>
        <v>O-52052-00</v>
      </c>
      <c r="B895" s="2" t="str">
        <f>IFERROR(__xludf.DUMMYFUNCTION("""COMPUTED_VALUE"""),"Seidenader MS30 - Fiber Unit p/n:41-029961-00")</f>
        <v>Seidenader MS30 - Fiber Unit p/n:41-029961-00</v>
      </c>
      <c r="C895" s="2" t="str">
        <f>IFERROR(__xludf.DUMMYFUNCTION("""COMPUTED_VALUE"""),"O-52052-00")</f>
        <v>O-52052-00</v>
      </c>
      <c r="D895" s="2" t="str">
        <f>if(isna(vlookup(C895,'On Hand'!A:C,3,0)),"",vlookup(C895,'On Hand'!A:C,3,0))</f>
        <v/>
      </c>
    </row>
    <row r="896">
      <c r="A896" s="2" t="str">
        <f>IFERROR(__xludf.DUMMYFUNCTION("""COMPUTED_VALUE"""),"O-52053-00")</f>
        <v>O-52053-00</v>
      </c>
      <c r="B896" s="2" t="str">
        <f>IFERROR(__xludf.DUMMYFUNCTION("""COMPUTED_VALUE"""),"Seidenader MS30 - Fiber Optic Receiver p/n:41-049166-00")</f>
        <v>Seidenader MS30 - Fiber Optic Receiver p/n:41-049166-00</v>
      </c>
      <c r="C896" s="2" t="str">
        <f>IFERROR(__xludf.DUMMYFUNCTION("""COMPUTED_VALUE"""),"O-52053-00")</f>
        <v>O-52053-00</v>
      </c>
      <c r="D896" s="2" t="str">
        <f>if(isna(vlookup(C896,'On Hand'!A:C,3,0)),"",vlookup(C896,'On Hand'!A:C,3,0))</f>
        <v/>
      </c>
    </row>
    <row r="897">
      <c r="A897" s="2" t="str">
        <f>IFERROR(__xludf.DUMMYFUNCTION("""COMPUTED_VALUE"""),"O-52054-00")</f>
        <v>O-52054-00</v>
      </c>
      <c r="B897" s="2" t="str">
        <f>IFERROR(__xludf.DUMMYFUNCTION("""COMPUTED_VALUE"""),"Seidenader MS30 - Vwrm 8.8A p/n:41-062095-00")</f>
        <v>Seidenader MS30 - Vwrm 8.8A p/n:41-062095-00</v>
      </c>
      <c r="C897" s="2" t="str">
        <f>IFERROR(__xludf.DUMMYFUNCTION("""COMPUTED_VALUE"""),"O-52054-00")</f>
        <v>O-52054-00</v>
      </c>
      <c r="D897" s="2" t="str">
        <f>if(isna(vlookup(C897,'On Hand'!A:C,3,0)),"",vlookup(C897,'On Hand'!A:C,3,0))</f>
        <v/>
      </c>
    </row>
    <row r="898">
      <c r="A898" s="2" t="str">
        <f>IFERROR(__xludf.DUMMYFUNCTION("""COMPUTED_VALUE"""),"O-52055-00")</f>
        <v>O-52055-00</v>
      </c>
      <c r="B898" s="2" t="str">
        <f>IFERROR(__xludf.DUMMYFUNCTION("""COMPUTED_VALUE"""),"Seidenader MS30 - Laser Sensor p/n:41-044188-00")</f>
        <v>Seidenader MS30 - Laser Sensor p/n:41-044188-00</v>
      </c>
      <c r="C898" s="2" t="str">
        <f>IFERROR(__xludf.DUMMYFUNCTION("""COMPUTED_VALUE"""),"O-52055-00")</f>
        <v>O-52055-00</v>
      </c>
      <c r="D898" s="2" t="str">
        <f>if(isna(vlookup(C898,'On Hand'!A:C,3,0)),"",vlookup(C898,'On Hand'!A:C,3,0))</f>
        <v/>
      </c>
    </row>
    <row r="899">
      <c r="A899" s="2" t="str">
        <f>IFERROR(__xludf.DUMMYFUNCTION("""COMPUTED_VALUE"""),"O-52056-00")</f>
        <v>O-52056-00</v>
      </c>
      <c r="B899" s="2" t="str">
        <f>IFERROR(__xludf.DUMMYFUNCTION("""COMPUTED_VALUE"""),"Seidenader MS30 - Laser Receiver p/n:41-052633-00")</f>
        <v>Seidenader MS30 - Laser Receiver p/n:41-052633-00</v>
      </c>
      <c r="C899" s="2" t="str">
        <f>IFERROR(__xludf.DUMMYFUNCTION("""COMPUTED_VALUE"""),"O-52056-00")</f>
        <v>O-52056-00</v>
      </c>
      <c r="D899" s="2" t="str">
        <f>if(isna(vlookup(C899,'On Hand'!A:C,3,0)),"",vlookup(C899,'On Hand'!A:C,3,0))</f>
        <v/>
      </c>
    </row>
    <row r="900">
      <c r="A900" s="2" t="str">
        <f>IFERROR(__xludf.DUMMYFUNCTION("""COMPUTED_VALUE"""),"O-52057-00")</f>
        <v>O-52057-00</v>
      </c>
      <c r="B900" s="2" t="str">
        <f>IFERROR(__xludf.DUMMYFUNCTION("""COMPUTED_VALUE"""),"Seidenader MS30 - Vwrm 6.5A p/n:41-053926-00")</f>
        <v>Seidenader MS30 - Vwrm 6.5A p/n:41-053926-00</v>
      </c>
      <c r="C900" s="2" t="str">
        <f>IFERROR(__xludf.DUMMYFUNCTION("""COMPUTED_VALUE"""),"O-52057-00")</f>
        <v>O-52057-00</v>
      </c>
      <c r="D900" s="2" t="str">
        <f>if(isna(vlookup(C900,'On Hand'!A:C,3,0)),"",vlookup(C900,'On Hand'!A:C,3,0))</f>
        <v/>
      </c>
    </row>
    <row r="901">
      <c r="A901" s="2" t="str">
        <f>IFERROR(__xludf.DUMMYFUNCTION("""COMPUTED_VALUE"""),"O-52058-00")</f>
        <v>O-52058-00</v>
      </c>
      <c r="B901" s="2" t="str">
        <f>IFERROR(__xludf.DUMMYFUNCTION("""COMPUTED_VALUE"""),"Seidenader MS30 - Filter Pad p/n:41-027751-00")</f>
        <v>Seidenader MS30 - Filter Pad p/n:41-027751-00</v>
      </c>
      <c r="C901" s="2" t="str">
        <f>IFERROR(__xludf.DUMMYFUNCTION("""COMPUTED_VALUE"""),"O-52058-00")</f>
        <v>O-52058-00</v>
      </c>
      <c r="D901" s="2" t="str">
        <f>if(isna(vlookup(C901,'On Hand'!A:C,3,0)),"",vlookup(C901,'On Hand'!A:C,3,0))</f>
        <v/>
      </c>
    </row>
    <row r="902">
      <c r="A902" s="2" t="str">
        <f>IFERROR(__xludf.DUMMYFUNCTION("""COMPUTED_VALUE"""),"O-52059-00")</f>
        <v>O-52059-00</v>
      </c>
      <c r="B902" s="2" t="str">
        <f>IFERROR(__xludf.DUMMYFUNCTION("""COMPUTED_VALUE"""),"Seidenader MS30 - Servo Amplifier p/n:41-055670-00")</f>
        <v>Seidenader MS30 - Servo Amplifier p/n:41-055670-00</v>
      </c>
      <c r="C902" s="2" t="str">
        <f>IFERROR(__xludf.DUMMYFUNCTION("""COMPUTED_VALUE"""),"O-52059-00")</f>
        <v>O-52059-00</v>
      </c>
      <c r="D902" s="2" t="str">
        <f>if(isna(vlookup(C902,'On Hand'!A:C,3,0)),"",vlookup(C902,'On Hand'!A:C,3,0))</f>
        <v/>
      </c>
    </row>
    <row r="903">
      <c r="A903" s="2" t="str">
        <f>IFERROR(__xludf.DUMMYFUNCTION("""COMPUTED_VALUE"""),"O-52060-00")</f>
        <v>O-52060-00</v>
      </c>
      <c r="B903" s="2" t="str">
        <f>IFERROR(__xludf.DUMMYFUNCTION("""COMPUTED_VALUE"""),"Seidenader MS30 - Pressure Transducer 02-000416-71 SPTW-B2R-G14-A-M12 Festo")</f>
        <v>Seidenader MS30 - Pressure Transducer 02-000416-71 SPTW-B2R-G14-A-M12 Festo</v>
      </c>
      <c r="C903" s="2" t="str">
        <f>IFERROR(__xludf.DUMMYFUNCTION("""COMPUTED_VALUE"""),"O-52060-00")</f>
        <v>O-52060-00</v>
      </c>
      <c r="D903" s="2" t="str">
        <f>if(isna(vlookup(C903,'On Hand'!A:C,3,0)),"",vlookup(C903,'On Hand'!A:C,3,0))</f>
        <v/>
      </c>
    </row>
    <row r="904">
      <c r="A904" s="2" t="str">
        <f>IFERROR(__xludf.DUMMYFUNCTION("""COMPUTED_VALUE"""),"O-52061-00")</f>
        <v>O-52061-00</v>
      </c>
      <c r="B904" s="2" t="str">
        <f>IFERROR(__xludf.DUMMYFUNCTION("""COMPUTED_VALUE"""),"Seidenader MS30 - Valve Terminal 12-000418-08 10P-10-8A-MP-R-Z-3NL3NL+U Festo")</f>
        <v>Seidenader MS30 - Valve Terminal 12-000418-08 10P-10-8A-MP-R-Z-3NL3NL+U Festo</v>
      </c>
      <c r="C904" s="2" t="str">
        <f>IFERROR(__xludf.DUMMYFUNCTION("""COMPUTED_VALUE"""),"O-52061-00")</f>
        <v>O-52061-00</v>
      </c>
      <c r="D904" s="2" t="str">
        <f>if(isna(vlookup(C904,'On Hand'!A:C,3,0)),"",vlookup(C904,'On Hand'!A:C,3,0))</f>
        <v/>
      </c>
    </row>
    <row r="905">
      <c r="A905" s="2" t="str">
        <f>IFERROR(__xludf.DUMMYFUNCTION("""COMPUTED_VALUE"""),"O-52062-00")</f>
        <v>O-52062-00</v>
      </c>
      <c r="B905" s="2" t="str">
        <f>IFERROR(__xludf.DUMMYFUNCTION("""COMPUTED_VALUE"""),"Seidenader MS30 - Vaccumfilter 02-000418-28 VAF-PK-4 Festo")</f>
        <v>Seidenader MS30 - Vaccumfilter 02-000418-28 VAF-PK-4 Festo</v>
      </c>
      <c r="C905" s="2" t="str">
        <f>IFERROR(__xludf.DUMMYFUNCTION("""COMPUTED_VALUE"""),"O-52062-00")</f>
        <v>O-52062-00</v>
      </c>
      <c r="D905" s="2" t="str">
        <f>if(isna(vlookup(C905,'On Hand'!A:C,3,0)),"",vlookup(C905,'On Hand'!A:C,3,0))</f>
        <v/>
      </c>
    </row>
    <row r="906">
      <c r="A906" s="2" t="str">
        <f>IFERROR(__xludf.DUMMYFUNCTION("""COMPUTED_VALUE"""),"O-52063-00")</f>
        <v>O-52063-00</v>
      </c>
      <c r="B906" s="2" t="str">
        <f>IFERROR(__xludf.DUMMYFUNCTION("""COMPUTED_VALUE"""),"Marchesini MA155 - Complete Remote Control Push Button p/n:E679519246")</f>
        <v>Marchesini MA155 - Complete Remote Control Push Button p/n:E679519246</v>
      </c>
      <c r="C906" s="2" t="str">
        <f>IFERROR(__xludf.DUMMYFUNCTION("""COMPUTED_VALUE"""),"O-52063-00")</f>
        <v>O-52063-00</v>
      </c>
      <c r="D906" s="2" t="str">
        <f>if(isna(vlookup(C906,'On Hand'!A:C,3,0)),"",vlookup(C906,'On Hand'!A:C,3,0))</f>
        <v/>
      </c>
    </row>
    <row r="907">
      <c r="A907" s="2" t="str">
        <f>IFERROR(__xludf.DUMMYFUNCTION("""COMPUTED_VALUE"""),"O-52064-00")</f>
        <v>O-52064-00</v>
      </c>
      <c r="B907" s="2" t="str">
        <f>IFERROR(__xludf.DUMMYFUNCTION("""COMPUTED_VALUE"""),"Marchesini MA155 - Contac Block for Open Contac ZB4 BZ101 Schneider")</f>
        <v>Marchesini MA155 - Contac Block for Open Contac ZB4 BZ101 Schneider</v>
      </c>
      <c r="C907" s="2" t="str">
        <f>IFERROR(__xludf.DUMMYFUNCTION("""COMPUTED_VALUE"""),"O-52064-00")</f>
        <v>O-52064-00</v>
      </c>
      <c r="D907" s="2" t="str">
        <f>if(isna(vlookup(C907,'On Hand'!A:C,3,0)),"",vlookup(C907,'On Hand'!A:C,3,0))</f>
        <v/>
      </c>
    </row>
    <row r="908">
      <c r="A908" s="2" t="str">
        <f>IFERROR(__xludf.DUMMYFUNCTION("""COMPUTED_VALUE"""),"O-52065-00")</f>
        <v>O-52065-00</v>
      </c>
      <c r="B908" s="2" t="str">
        <f>IFERROR(__xludf.DUMMYFUNCTION("""COMPUTED_VALUE"""),"Marchesini MA155 - Microswitch AZ 16-02 ZVK-M20-1762+B1 Schimersal")</f>
        <v>Marchesini MA155 - Microswitch AZ 16-02 ZVK-M20-1762+B1 Schimersal</v>
      </c>
      <c r="C908" s="2" t="str">
        <f>IFERROR(__xludf.DUMMYFUNCTION("""COMPUTED_VALUE"""),"O-52065-00")</f>
        <v>O-52065-00</v>
      </c>
      <c r="D908" s="2" t="str">
        <f>if(isna(vlookup(C908,'On Hand'!A:C,3,0)),"",vlookup(C908,'On Hand'!A:C,3,0))</f>
        <v/>
      </c>
    </row>
    <row r="909">
      <c r="A909" s="2" t="str">
        <f>IFERROR(__xludf.DUMMYFUNCTION("""COMPUTED_VALUE"""),"O-52066-00")</f>
        <v>O-52066-00</v>
      </c>
      <c r="B909" s="2" t="str">
        <f>IFERROR(__xludf.DUMMYFUNCTION("""COMPUTED_VALUE"""),"Marchesini MA155 - Close Contact ZBE102 Schneider")</f>
        <v>Marchesini MA155 - Close Contact ZBE102 Schneider</v>
      </c>
      <c r="C909" s="2" t="str">
        <f>IFERROR(__xludf.DUMMYFUNCTION("""COMPUTED_VALUE"""),"O-52066-00")</f>
        <v>O-52066-00</v>
      </c>
      <c r="D909" s="2" t="str">
        <f>if(isna(vlookup(C909,'On Hand'!A:C,3,0)),"",vlookup(C909,'On Hand'!A:C,3,0))</f>
        <v/>
      </c>
    </row>
    <row r="910">
      <c r="A910" s="2" t="str">
        <f>IFERROR(__xludf.DUMMYFUNCTION("""COMPUTED_VALUE"""),"O-52067-00")</f>
        <v>O-52067-00</v>
      </c>
      <c r="B910" s="2" t="str">
        <f>IFERROR(__xludf.DUMMYFUNCTION("""COMPUTED_VALUE"""),"Marchesini MA155 - Contac Block for Closed Contac ZB4 BZ102 Schneider")</f>
        <v>Marchesini MA155 - Contac Block for Closed Contac ZB4 BZ102 Schneider</v>
      </c>
      <c r="C910" s="2" t="str">
        <f>IFERROR(__xludf.DUMMYFUNCTION("""COMPUTED_VALUE"""),"O-52067-00")</f>
        <v>O-52067-00</v>
      </c>
      <c r="D910" s="2" t="str">
        <f>if(isna(vlookup(C910,'On Hand'!A:C,3,0)),"",vlookup(C910,'On Hand'!A:C,3,0))</f>
        <v/>
      </c>
    </row>
    <row r="911">
      <c r="A911" s="2" t="str">
        <f>IFERROR(__xludf.DUMMYFUNCTION("""COMPUTED_VALUE"""),"O-52068-00")</f>
        <v>O-52068-00</v>
      </c>
      <c r="B911" s="2" t="str">
        <f>IFERROR(__xludf.DUMMYFUNCTION("""COMPUTED_VALUE"""),"Marchesini MA155 - Additive Contact 3RV 2901-1E Siemens")</f>
        <v>Marchesini MA155 - Additive Contact 3RV 2901-1E Siemens</v>
      </c>
      <c r="C911" s="2" t="str">
        <f>IFERROR(__xludf.DUMMYFUNCTION("""COMPUTED_VALUE"""),"O-52068-00")</f>
        <v>O-52068-00</v>
      </c>
      <c r="D911" s="2" t="str">
        <f>if(isna(vlookup(C911,'On Hand'!A:C,3,0)),"",vlookup(C911,'On Hand'!A:C,3,0))</f>
        <v/>
      </c>
    </row>
    <row r="912">
      <c r="A912" s="2" t="str">
        <f>IFERROR(__xludf.DUMMYFUNCTION("""COMPUTED_VALUE"""),"O-52069-00")</f>
        <v>O-52069-00</v>
      </c>
      <c r="B912" s="2" t="str">
        <f>IFERROR(__xludf.DUMMYFUNCTION("""COMPUTED_VALUE"""),"Marchesini MA155 - Magnet Thermal Switch 3RV20 11-1JA10 (7-10A) Siemens")</f>
        <v>Marchesini MA155 - Magnet Thermal Switch 3RV20 11-1JA10 (7-10A) Siemens</v>
      </c>
      <c r="C912" s="2" t="str">
        <f>IFERROR(__xludf.DUMMYFUNCTION("""COMPUTED_VALUE"""),"O-52069-00")</f>
        <v>O-52069-00</v>
      </c>
      <c r="D912" s="2" t="str">
        <f>if(isna(vlookup(C912,'On Hand'!A:C,3,0)),"",vlookup(C912,'On Hand'!A:C,3,0))</f>
        <v/>
      </c>
    </row>
    <row r="913">
      <c r="A913" s="2" t="str">
        <f>IFERROR(__xludf.DUMMYFUNCTION("""COMPUTED_VALUE"""),"O-52070-00")</f>
        <v>O-52070-00</v>
      </c>
      <c r="B913" s="2" t="str">
        <f>IFERROR(__xludf.DUMMYFUNCTION("""COMPUTED_VALUE"""),"Marchesini MA155 - General Switch 3LD2 203-1TL51 32A Siemens")</f>
        <v>Marchesini MA155 - General Switch 3LD2 203-1TL51 32A Siemens</v>
      </c>
      <c r="C913" s="2" t="str">
        <f>IFERROR(__xludf.DUMMYFUNCTION("""COMPUTED_VALUE"""),"O-52070-00")</f>
        <v>O-52070-00</v>
      </c>
      <c r="D913" s="2" t="str">
        <f>if(isna(vlookup(C913,'On Hand'!A:C,3,0)),"",vlookup(C913,'On Hand'!A:C,3,0))</f>
        <v/>
      </c>
    </row>
    <row r="914">
      <c r="A914" s="2" t="str">
        <f>IFERROR(__xludf.DUMMYFUNCTION("""COMPUTED_VALUE"""),"O-52071-00")</f>
        <v>O-52071-00</v>
      </c>
      <c r="B914" s="2" t="str">
        <f>IFERROR(__xludf.DUMMYFUNCTION("""COMPUTED_VALUE"""),"Marchesini MA155 - DIioda 3RT2926-1ER00 Siemens")</f>
        <v>Marchesini MA155 - DIioda 3RT2926-1ER00 Siemens</v>
      </c>
      <c r="C914" s="2" t="str">
        <f>IFERROR(__xludf.DUMMYFUNCTION("""COMPUTED_VALUE"""),"O-52071-00")</f>
        <v>O-52071-00</v>
      </c>
      <c r="D914" s="2" t="str">
        <f>if(isna(vlookup(C914,'On Hand'!A:C,3,0)),"",vlookup(C914,'On Hand'!A:C,3,0))</f>
        <v/>
      </c>
    </row>
    <row r="915">
      <c r="A915" s="2" t="str">
        <f>IFERROR(__xludf.DUMMYFUNCTION("""COMPUTED_VALUE"""),"O-52072-00")</f>
        <v>O-52072-00</v>
      </c>
      <c r="B915" s="2" t="str">
        <f>IFERROR(__xludf.DUMMYFUNCTION("""COMPUTED_VALUE"""),"Marchesini MA155 - Contactor 3RT 2326-1BB40 Siemens")</f>
        <v>Marchesini MA155 - Contactor 3RT 2326-1BB40 Siemens</v>
      </c>
      <c r="C915" s="2" t="str">
        <f>IFERROR(__xludf.DUMMYFUNCTION("""COMPUTED_VALUE"""),"O-52072-00")</f>
        <v>O-52072-00</v>
      </c>
      <c r="D915" s="2" t="str">
        <f>if(isna(vlookup(C915,'On Hand'!A:C,3,0)),"",vlookup(C915,'On Hand'!A:C,3,0))</f>
        <v/>
      </c>
    </row>
    <row r="916">
      <c r="A916" s="2" t="str">
        <f>IFERROR(__xludf.DUMMYFUNCTION("""COMPUTED_VALUE"""),"O-52073-00")</f>
        <v>O-52073-00</v>
      </c>
      <c r="B916" s="2" t="str">
        <f>IFERROR(__xludf.DUMMYFUNCTION("""COMPUTED_VALUE"""),"Marchesini MA155 - Relay MY2N-D2 Omron")</f>
        <v>Marchesini MA155 - Relay MY2N-D2 Omron</v>
      </c>
      <c r="C916" s="2" t="str">
        <f>IFERROR(__xludf.DUMMYFUNCTION("""COMPUTED_VALUE"""),"O-52073-00")</f>
        <v>O-52073-00</v>
      </c>
      <c r="D916" s="2" t="str">
        <f>if(isna(vlookup(C916,'On Hand'!A:C,3,0)),"",vlookup(C916,'On Hand'!A:C,3,0))</f>
        <v/>
      </c>
    </row>
    <row r="917">
      <c r="A917" s="2" t="str">
        <f>IFERROR(__xludf.DUMMYFUNCTION("""COMPUTED_VALUE"""),"O-52074-00")</f>
        <v>O-52074-00</v>
      </c>
      <c r="B917" s="2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7" s="2" t="str">
        <f>IFERROR(__xludf.DUMMYFUNCTION("""COMPUTED_VALUE"""),"O-52074-00")</f>
        <v>O-52074-00</v>
      </c>
      <c r="D917" s="2" t="str">
        <f>if(isna(vlookup(C917,'On Hand'!A:C,3,0)),"",vlookup(C917,'On Hand'!A:C,3,0))</f>
        <v/>
      </c>
    </row>
    <row r="918">
      <c r="A918" s="2" t="str">
        <f>IFERROR(__xludf.DUMMYFUNCTION("""COMPUTED_VALUE"""),"O-52075-00")</f>
        <v>O-52075-00</v>
      </c>
      <c r="B918" s="2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8" s="2" t="str">
        <f>IFERROR(__xludf.DUMMYFUNCTION("""COMPUTED_VALUE"""),"O-52075-00")</f>
        <v>O-52075-00</v>
      </c>
      <c r="D918" s="2" t="str">
        <f>if(isna(vlookup(C918,'On Hand'!A:C,3,0)),"",vlookup(C918,'On Hand'!A:C,3,0))</f>
        <v/>
      </c>
    </row>
    <row r="919">
      <c r="A919" s="2" t="str">
        <f>IFERROR(__xludf.DUMMYFUNCTION("""COMPUTED_VALUE"""),"O-52076-00")</f>
        <v>O-52076-00</v>
      </c>
      <c r="B919" s="2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19" s="2" t="str">
        <f>IFERROR(__xludf.DUMMYFUNCTION("""COMPUTED_VALUE"""),"O-52076-00")</f>
        <v>O-52076-00</v>
      </c>
      <c r="D919" s="2" t="str">
        <f>if(isna(vlookup(C919,'On Hand'!A:C,3,0)),"",vlookup(C919,'On Hand'!A:C,3,0))</f>
        <v/>
      </c>
    </row>
    <row r="920">
      <c r="A920" s="2" t="str">
        <f>IFERROR(__xludf.DUMMYFUNCTION("""COMPUTED_VALUE"""),"O-52077-00")</f>
        <v>O-52077-00</v>
      </c>
      <c r="B920" s="2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0" s="2" t="str">
        <f>IFERROR(__xludf.DUMMYFUNCTION("""COMPUTED_VALUE"""),"O-52077-00")</f>
        <v>O-52077-00</v>
      </c>
      <c r="D920" s="2" t="str">
        <f>if(isna(vlookup(C920,'On Hand'!A:C,3,0)),"",vlookup(C920,'On Hand'!A:C,3,0))</f>
        <v/>
      </c>
    </row>
    <row r="921">
      <c r="A921" s="2" t="str">
        <f>IFERROR(__xludf.DUMMYFUNCTION("""COMPUTED_VALUE"""),"O-52078-00")</f>
        <v>O-52078-00</v>
      </c>
      <c r="B921" s="2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1" s="2" t="str">
        <f>IFERROR(__xludf.DUMMYFUNCTION("""COMPUTED_VALUE"""),"O-52078-00")</f>
        <v>O-52078-00</v>
      </c>
      <c r="D921" s="2" t="str">
        <f>if(isna(vlookup(C921,'On Hand'!A:C,3,0)),"",vlookup(C921,'On Hand'!A:C,3,0))</f>
        <v/>
      </c>
    </row>
    <row r="922">
      <c r="A922" s="2" t="str">
        <f>IFERROR(__xludf.DUMMYFUNCTION("""COMPUTED_VALUE"""),"O-52079-00")</f>
        <v>O-52079-00</v>
      </c>
      <c r="B922" s="2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2" s="2" t="str">
        <f>IFERROR(__xludf.DUMMYFUNCTION("""COMPUTED_VALUE"""),"O-52079-00")</f>
        <v>O-52079-00</v>
      </c>
      <c r="D922" s="2" t="str">
        <f>if(isna(vlookup(C922,'On Hand'!A:C,3,0)),"",vlookup(C922,'On Hand'!A:C,3,0))</f>
        <v/>
      </c>
    </row>
    <row r="923">
      <c r="A923" s="2" t="str">
        <f>IFERROR(__xludf.DUMMYFUNCTION("""COMPUTED_VALUE"""),"O-52080-00")</f>
        <v>O-52080-00</v>
      </c>
      <c r="B923" s="2" t="str">
        <f>IFERROR(__xludf.DUMMYFUNCTION("""COMPUTED_VALUE"""),"Marchesini MA155 - Module 4 out EL1904-0000 Beckhoff p/n:E500Z0704000")</f>
        <v>Marchesini MA155 - Module 4 out EL1904-0000 Beckhoff p/n:E500Z0704000</v>
      </c>
      <c r="C923" s="2" t="str">
        <f>IFERROR(__xludf.DUMMYFUNCTION("""COMPUTED_VALUE"""),"O-52080-00")</f>
        <v>O-52080-00</v>
      </c>
      <c r="D923" s="2" t="str">
        <f>if(isna(vlookup(C923,'On Hand'!A:C,3,0)),"",vlookup(C923,'On Hand'!A:C,3,0))</f>
        <v/>
      </c>
    </row>
    <row r="924">
      <c r="A924" s="2" t="str">
        <f>IFERROR(__xludf.DUMMYFUNCTION("""COMPUTED_VALUE"""),"O-52081-00")</f>
        <v>O-52081-00</v>
      </c>
      <c r="B924" s="2" t="str">
        <f>IFERROR(__xludf.DUMMYFUNCTION("""COMPUTED_VALUE"""),"Marchesini MA155 - Module 4 In EL1904-0000 Beckhoff p/n:E500Z0703001")</f>
        <v>Marchesini MA155 - Module 4 In EL1904-0000 Beckhoff p/n:E500Z0703001</v>
      </c>
      <c r="C924" s="2" t="str">
        <f>IFERROR(__xludf.DUMMYFUNCTION("""COMPUTED_VALUE"""),"O-52081-00")</f>
        <v>O-52081-00</v>
      </c>
      <c r="D924" s="2" t="str">
        <f>if(isna(vlookup(C924,'On Hand'!A:C,3,0)),"",vlookup(C924,'On Hand'!A:C,3,0))</f>
        <v/>
      </c>
    </row>
    <row r="925">
      <c r="A925" s="2" t="str">
        <f>IFERROR(__xludf.DUMMYFUNCTION("""COMPUTED_VALUE"""),"O-52082-00")</f>
        <v>O-52082-00</v>
      </c>
      <c r="B925" s="2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5" s="2" t="str">
        <f>IFERROR(__xludf.DUMMYFUNCTION("""COMPUTED_VALUE"""),"O-52082-00")</f>
        <v>O-52082-00</v>
      </c>
      <c r="D925" s="2" t="str">
        <f>if(isna(vlookup(C925,'On Hand'!A:C,3,0)),"",vlookup(C925,'On Hand'!A:C,3,0))</f>
        <v/>
      </c>
    </row>
    <row r="926">
      <c r="A926" s="2" t="str">
        <f>IFERROR(__xludf.DUMMYFUNCTION("""COMPUTED_VALUE"""),"O-52083-00")</f>
        <v>O-52083-00</v>
      </c>
      <c r="B926" s="2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6" s="2" t="str">
        <f>IFERROR(__xludf.DUMMYFUNCTION("""COMPUTED_VALUE"""),"O-52083-00")</f>
        <v>O-52083-00</v>
      </c>
      <c r="D926" s="2" t="str">
        <f>if(isna(vlookup(C926,'On Hand'!A:C,3,0)),"",vlookup(C926,'On Hand'!A:C,3,0))</f>
        <v/>
      </c>
    </row>
    <row r="927">
      <c r="A927" s="2" t="str">
        <f>IFERROR(__xludf.DUMMYFUNCTION("""COMPUTED_VALUE"""),"O-52084-00")</f>
        <v>O-52084-00</v>
      </c>
      <c r="B927" s="2" t="str">
        <f>IFERROR(__xludf.DUMMYFUNCTION("""COMPUTED_VALUE"""),"Marchesini MA155 - Photocel YM22PA2 PNP Wenglor p/n:E32099824230")</f>
        <v>Marchesini MA155 - Photocel YM22PA2 PNP Wenglor p/n:E32099824230</v>
      </c>
      <c r="C927" s="2" t="str">
        <f>IFERROR(__xludf.DUMMYFUNCTION("""COMPUTED_VALUE"""),"O-52084-00")</f>
        <v>O-52084-00</v>
      </c>
      <c r="D927" s="2" t="str">
        <f>if(isna(vlookup(C927,'On Hand'!A:C,3,0)),"",vlookup(C927,'On Hand'!A:C,3,0))</f>
        <v/>
      </c>
    </row>
    <row r="928">
      <c r="A928" s="2" t="str">
        <f>IFERROR(__xludf.DUMMYFUNCTION("""COMPUTED_VALUE"""),"O-52085-00")</f>
        <v>O-52085-00</v>
      </c>
      <c r="B928" s="2" t="str">
        <f>IFERROR(__xludf.DUMMYFUNCTION("""COMPUTED_VALUE"""),"Marchesini MA155 - Optical Fibre CF/CB1-10 Diell p/n:E32982000003")</f>
        <v>Marchesini MA155 - Optical Fibre CF/CB1-10 Diell p/n:E32982000003</v>
      </c>
      <c r="C928" s="2" t="str">
        <f>IFERROR(__xludf.DUMMYFUNCTION("""COMPUTED_VALUE"""),"O-52085-00")</f>
        <v>O-52085-00</v>
      </c>
      <c r="D928" s="2" t="str">
        <f>if(isna(vlookup(C928,'On Hand'!A:C,3,0)),"",vlookup(C928,'On Hand'!A:C,3,0))</f>
        <v/>
      </c>
    </row>
    <row r="929">
      <c r="A929" s="2" t="str">
        <f>IFERROR(__xludf.DUMMYFUNCTION("""COMPUTED_VALUE"""),"O-52086-00")</f>
        <v>O-52086-00</v>
      </c>
      <c r="B929" s="2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29" s="2" t="str">
        <f>IFERROR(__xludf.DUMMYFUNCTION("""COMPUTED_VALUE"""),"O-52086-00")</f>
        <v>O-52086-00</v>
      </c>
      <c r="D929" s="2" t="str">
        <f>if(isna(vlookup(C929,'On Hand'!A:C,3,0)),"",vlookup(C929,'On Hand'!A:C,3,0))</f>
        <v/>
      </c>
    </row>
    <row r="930">
      <c r="A930" s="2" t="str">
        <f>IFERROR(__xludf.DUMMYFUNCTION("""COMPUTED_VALUE"""),"O-52087-00")</f>
        <v>O-52087-00</v>
      </c>
      <c r="B930" s="2" t="str">
        <f>IFERROR(__xludf.DUMMYFUNCTION("""COMPUTED_VALUE"""),"Marchesini MA155 - Photocell SS2/AP/1H Diell p/n:E32022022230")</f>
        <v>Marchesini MA155 - Photocell SS2/AP/1H Diell p/n:E32022022230</v>
      </c>
      <c r="C930" s="2" t="str">
        <f>IFERROR(__xludf.DUMMYFUNCTION("""COMPUTED_VALUE"""),"O-52087-00")</f>
        <v>O-52087-00</v>
      </c>
      <c r="D930" s="2" t="str">
        <f>if(isna(vlookup(C930,'On Hand'!A:C,3,0)),"",vlookup(C930,'On Hand'!A:C,3,0))</f>
        <v/>
      </c>
    </row>
    <row r="931">
      <c r="A931" s="2" t="str">
        <f>IFERROR(__xludf.DUMMYFUNCTION("""COMPUTED_VALUE"""),"O-52088-00")</f>
        <v>O-52088-00</v>
      </c>
      <c r="B931" s="2" t="str">
        <f>IFERROR(__xludf.DUMMYFUNCTION("""COMPUTED_VALUE"""),"Marchesini MA155 - Photocell SSP/CP 1H NC (EX SSC/CP) Diell p/n: E32022022230")</f>
        <v>Marchesini MA155 - Photocell SSP/CP 1H NC (EX SSC/CP) Diell p/n: E32022022230</v>
      </c>
      <c r="C931" s="2" t="str">
        <f>IFERROR(__xludf.DUMMYFUNCTION("""COMPUTED_VALUE"""),"O-52088-00")</f>
        <v>O-52088-00</v>
      </c>
      <c r="D931" s="2" t="str">
        <f>if(isna(vlookup(C931,'On Hand'!A:C,3,0)),"",vlookup(C931,'On Hand'!A:C,3,0))</f>
        <v/>
      </c>
    </row>
    <row r="932">
      <c r="A932" s="2" t="str">
        <f>IFERROR(__xludf.DUMMYFUNCTION("""COMPUTED_VALUE"""),"O-52089-00")</f>
        <v>O-52089-00</v>
      </c>
      <c r="B932" s="2" t="str">
        <f>IFERROR(__xludf.DUMMYFUNCTION("""COMPUTED_VALUE"""),"Marchesini MA155 - Photocell SSP/AP 1H NO Diell p/n:32022021230")</f>
        <v>Marchesini MA155 - Photocell SSP/AP 1H NO Diell p/n:32022021230</v>
      </c>
      <c r="C932" s="2" t="str">
        <f>IFERROR(__xludf.DUMMYFUNCTION("""COMPUTED_VALUE"""),"O-52089-00")</f>
        <v>O-52089-00</v>
      </c>
      <c r="D932" s="2" t="str">
        <f>if(isna(vlookup(C932,'On Hand'!A:C,3,0)),"",vlookup(C932,'On Hand'!A:C,3,0))</f>
        <v/>
      </c>
    </row>
    <row r="933">
      <c r="A933" s="2" t="str">
        <f>IFERROR(__xludf.DUMMYFUNCTION("""COMPUTED_VALUE"""),"O-52090-00")</f>
        <v>O-52090-00</v>
      </c>
      <c r="B933" s="2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3" s="2" t="str">
        <f>IFERROR(__xludf.DUMMYFUNCTION("""COMPUTED_VALUE"""),"O-52090-00")</f>
        <v>O-52090-00</v>
      </c>
      <c r="D933" s="2" t="str">
        <f>if(isna(vlookup(C933,'On Hand'!A:C,3,0)),"",vlookup(C933,'On Hand'!A:C,3,0))</f>
        <v/>
      </c>
    </row>
    <row r="934">
      <c r="A934" s="2" t="str">
        <f>IFERROR(__xludf.DUMMYFUNCTION("""COMPUTED_VALUE"""),"O-52091-00")</f>
        <v>O-52091-00</v>
      </c>
      <c r="B934" s="2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4" s="2" t="str">
        <f>IFERROR(__xludf.DUMMYFUNCTION("""COMPUTED_VALUE"""),"O-52091-00")</f>
        <v>O-52091-00</v>
      </c>
      <c r="D934" s="2" t="str">
        <f>if(isna(vlookup(C934,'On Hand'!A:C,3,0)),"",vlookup(C934,'On Hand'!A:C,3,0))</f>
        <v/>
      </c>
    </row>
    <row r="935">
      <c r="A935" s="2" t="str">
        <f>IFERROR(__xludf.DUMMYFUNCTION("""COMPUTED_VALUE"""),"O-52092-00")</f>
        <v>O-52092-00</v>
      </c>
      <c r="B935" s="2" t="str">
        <f>IFERROR(__xludf.DUMMYFUNCTION("""COMPUTED_VALUE"""),"Marchesini MA155 - Proximity B60122POC5 B12 PNP-UL Selet p/n:E66075212523")</f>
        <v>Marchesini MA155 - Proximity B60122POC5 B12 PNP-UL Selet p/n:E66075212523</v>
      </c>
      <c r="C935" s="2" t="str">
        <f>IFERROR(__xludf.DUMMYFUNCTION("""COMPUTED_VALUE"""),"O-52092-00")</f>
        <v>O-52092-00</v>
      </c>
      <c r="D935" s="2" t="str">
        <f>if(isna(vlookup(C935,'On Hand'!A:C,3,0)),"",vlookup(C935,'On Hand'!A:C,3,0))</f>
        <v/>
      </c>
    </row>
    <row r="936">
      <c r="A936" s="2" t="str">
        <f>IFERROR(__xludf.DUMMYFUNCTION("""COMPUTED_VALUE"""),"O-52093-00")</f>
        <v>O-52093-00</v>
      </c>
      <c r="B936" s="2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6" s="2" t="str">
        <f>IFERROR(__xludf.DUMMYFUNCTION("""COMPUTED_VALUE"""),"O-52093-00")</f>
        <v>O-52093-00</v>
      </c>
      <c r="D936" s="2" t="str">
        <f>if(isna(vlookup(C936,'On Hand'!A:C,3,0)),"",vlookup(C936,'On Hand'!A:C,3,0))</f>
        <v/>
      </c>
    </row>
    <row r="937">
      <c r="A937" s="2" t="str">
        <f>IFERROR(__xludf.DUMMYFUNCTION("""COMPUTED_VALUE"""),"O-52094-00")</f>
        <v>O-52094-00</v>
      </c>
      <c r="B937" s="2" t="str">
        <f>IFERROR(__xludf.DUMMYFUNCTION("""COMPUTED_VALUE"""),"Marchesini MA155 - Driving Board SPD8NSE5 Ulethercat SBC p/n:E79667262931")</f>
        <v>Marchesini MA155 - Driving Board SPD8NSE5 Ulethercat SBC p/n:E79667262931</v>
      </c>
      <c r="C937" s="2" t="str">
        <f>IFERROR(__xludf.DUMMYFUNCTION("""COMPUTED_VALUE"""),"O-52094-00")</f>
        <v>O-52094-00</v>
      </c>
      <c r="D937" s="2" t="str">
        <f>if(isna(vlookup(C937,'On Hand'!A:C,3,0)),"",vlookup(C937,'On Hand'!A:C,3,0))</f>
        <v/>
      </c>
    </row>
    <row r="938">
      <c r="A938" s="2" t="str">
        <f>IFERROR(__xludf.DUMMYFUNCTION("""COMPUTED_VALUE"""),"O-52095-00")</f>
        <v>O-52095-00</v>
      </c>
      <c r="B938" s="2" t="str">
        <f>IFERROR(__xludf.DUMMYFUNCTION("""COMPUTED_VALUE"""),"Marchesini MA155 - Feeder Module EL9410-0000 Beckhoff p/n:E500Z0201000")</f>
        <v>Marchesini MA155 - Feeder Module EL9410-0000 Beckhoff p/n:E500Z0201000</v>
      </c>
      <c r="C938" s="2" t="str">
        <f>IFERROR(__xludf.DUMMYFUNCTION("""COMPUTED_VALUE"""),"O-52095-00")</f>
        <v>O-52095-00</v>
      </c>
      <c r="D938" s="2" t="str">
        <f>if(isna(vlookup(C938,'On Hand'!A:C,3,0)),"",vlookup(C938,'On Hand'!A:C,3,0))</f>
        <v/>
      </c>
    </row>
    <row r="939">
      <c r="A939" s="2" t="str">
        <f>IFERROR(__xludf.DUMMYFUNCTION("""COMPUTED_VALUE"""),"O-52096-00")</f>
        <v>O-52096-00</v>
      </c>
      <c r="B939" s="2" t="str">
        <f>IFERROR(__xludf.DUMMYFUNCTION("""COMPUTED_VALUE"""),"Marchesini MA155 - Expansion Module EK1122-0000 Beckhoff p/n:E500Z0208002")</f>
        <v>Marchesini MA155 - Expansion Module EK1122-0000 Beckhoff p/n:E500Z0208002</v>
      </c>
      <c r="C939" s="2" t="str">
        <f>IFERROR(__xludf.DUMMYFUNCTION("""COMPUTED_VALUE"""),"O-52096-00")</f>
        <v>O-52096-00</v>
      </c>
      <c r="D939" s="2" t="str">
        <f>if(isna(vlookup(C939,'On Hand'!A:C,3,0)),"",vlookup(C939,'On Hand'!A:C,3,0))</f>
        <v/>
      </c>
    </row>
    <row r="940">
      <c r="A940" s="2" t="str">
        <f>IFERROR(__xludf.DUMMYFUNCTION("""COMPUTED_VALUE"""),"O-52097-00")</f>
        <v>O-52097-00</v>
      </c>
      <c r="B940" s="2" t="str">
        <f>IFERROR(__xludf.DUMMYFUNCTION("""COMPUTED_VALUE"""),"Marchesini MA155 - Safety Logic Module EL6900-0000 Beckhoff p/n:E500Z0708000")</f>
        <v>Marchesini MA155 - Safety Logic Module EL6900-0000 Beckhoff p/n:E500Z0708000</v>
      </c>
      <c r="C940" s="2" t="str">
        <f>IFERROR(__xludf.DUMMYFUNCTION("""COMPUTED_VALUE"""),"O-52097-00")</f>
        <v>O-52097-00</v>
      </c>
      <c r="D940" s="2" t="str">
        <f>if(isna(vlookup(C940,'On Hand'!A:C,3,0)),"",vlookup(C940,'On Hand'!A:C,3,0))</f>
        <v/>
      </c>
    </row>
    <row r="941">
      <c r="A941" s="2" t="str">
        <f>IFERROR(__xludf.DUMMYFUNCTION("""COMPUTED_VALUE"""),"O-52098-00")</f>
        <v>O-52098-00</v>
      </c>
      <c r="B941" s="2" t="str">
        <f>IFERROR(__xludf.DUMMYFUNCTION("""COMPUTED_VALUE"""),"Marchesini MA155 - Bus Module EK1100-0000 Beckhoff p/n:E500Z0208000")</f>
        <v>Marchesini MA155 - Bus Module EK1100-0000 Beckhoff p/n:E500Z0208000</v>
      </c>
      <c r="C941" s="2" t="str">
        <f>IFERROR(__xludf.DUMMYFUNCTION("""COMPUTED_VALUE"""),"O-52098-00")</f>
        <v>O-52098-00</v>
      </c>
      <c r="D941" s="2" t="str">
        <f>if(isna(vlookup(C941,'On Hand'!A:C,3,0)),"",vlookup(C941,'On Hand'!A:C,3,0))</f>
        <v/>
      </c>
    </row>
    <row r="942">
      <c r="A942" s="2" t="str">
        <f>IFERROR(__xludf.DUMMYFUNCTION("""COMPUTED_VALUE"""),"O-52099-00")</f>
        <v>O-52099-00</v>
      </c>
      <c r="B942" s="2" t="str">
        <f>IFERROR(__xludf.DUMMYFUNCTION("""COMPUTED_VALUE"""),"Seidenader MS30 - X2X Bus Transmitter B&amp;R p/n:X20BT9400")</f>
        <v>Seidenader MS30 - X2X Bus Transmitter B&amp;R p/n:X20BT9400</v>
      </c>
      <c r="C942" s="2" t="str">
        <f>IFERROR(__xludf.DUMMYFUNCTION("""COMPUTED_VALUE"""),"O-52099-00")</f>
        <v>O-52099-00</v>
      </c>
      <c r="D942" s="2" t="str">
        <f>if(isna(vlookup(C942,'On Hand'!A:C,3,0)),"",vlookup(C942,'On Hand'!A:C,3,0))</f>
        <v/>
      </c>
    </row>
    <row r="943">
      <c r="A943" s="2" t="str">
        <f>IFERROR(__xludf.DUMMYFUNCTION("""COMPUTED_VALUE"""),"O-52100-00")</f>
        <v>O-52100-00</v>
      </c>
      <c r="B943" s="2" t="str">
        <f>IFERROR(__xludf.DUMMYFUNCTION("""COMPUTED_VALUE"""),"Seidenader MS30 - Digital I/O Module B&amp;R; X20DM9324")</f>
        <v>Seidenader MS30 - Digital I/O Module B&amp;R; X20DM9324</v>
      </c>
      <c r="C943" s="2" t="str">
        <f>IFERROR(__xludf.DUMMYFUNCTION("""COMPUTED_VALUE"""),"O-52100-00")</f>
        <v>O-52100-00</v>
      </c>
      <c r="D943" s="2" t="str">
        <f>if(isna(vlookup(C943,'On Hand'!A:C,3,0)),"",vlookup(C943,'On Hand'!A:C,3,0))</f>
        <v/>
      </c>
    </row>
    <row r="944">
      <c r="A944" s="2" t="str">
        <f>IFERROR(__xludf.DUMMYFUNCTION("""COMPUTED_VALUE"""),"O-52101-00")</f>
        <v>O-52101-00</v>
      </c>
      <c r="B944" s="2" t="str">
        <f>IFERROR(__xludf.DUMMYFUNCTION("""COMPUTED_VALUE"""),"Seidenader MS30 - Power Supply Module B&amp;R p/n:X20PS2100")</f>
        <v>Seidenader MS30 - Power Supply Module B&amp;R p/n:X20PS2100</v>
      </c>
      <c r="C944" s="2" t="str">
        <f>IFERROR(__xludf.DUMMYFUNCTION("""COMPUTED_VALUE"""),"O-52101-00")</f>
        <v>O-52101-00</v>
      </c>
      <c r="D944" s="2" t="str">
        <f>if(isna(vlookup(C944,'On Hand'!A:C,3,0)),"",vlookup(C944,'On Hand'!A:C,3,0))</f>
        <v/>
      </c>
    </row>
    <row r="945">
      <c r="A945" s="2" t="str">
        <f>IFERROR(__xludf.DUMMYFUNCTION("""COMPUTED_VALUE"""),"O-52102-00")</f>
        <v>O-52102-00</v>
      </c>
      <c r="B945" s="2" t="str">
        <f>IFERROR(__xludf.DUMMYFUNCTION("""COMPUTED_VALUE"""),"Seidenader MS30 - Power Supply Module B&amp;R p/n:X20PS9400")</f>
        <v>Seidenader MS30 - Power Supply Module B&amp;R p/n:X20PS9400</v>
      </c>
      <c r="C945" s="2" t="str">
        <f>IFERROR(__xludf.DUMMYFUNCTION("""COMPUTED_VALUE"""),"O-52102-00")</f>
        <v>O-52102-00</v>
      </c>
      <c r="D945" s="2" t="str">
        <f>if(isna(vlookup(C945,'On Hand'!A:C,3,0)),"",vlookup(C945,'On Hand'!A:C,3,0))</f>
        <v/>
      </c>
    </row>
    <row r="946">
      <c r="A946" s="2" t="str">
        <f>IFERROR(__xludf.DUMMYFUNCTION("""COMPUTED_VALUE"""),"O-52103-00")</f>
        <v>O-52103-00</v>
      </c>
      <c r="B946" s="2" t="str">
        <f>IFERROR(__xludf.DUMMYFUNCTION("""COMPUTED_VALUE"""),"Seidenader MS30 - X20 Bus Controller B&amp;R p/n:X20BC0083")</f>
        <v>Seidenader MS30 - X20 Bus Controller B&amp;R p/n:X20BC0083</v>
      </c>
      <c r="C946" s="2" t="str">
        <f>IFERROR(__xludf.DUMMYFUNCTION("""COMPUTED_VALUE"""),"O-52103-00")</f>
        <v>O-52103-00</v>
      </c>
      <c r="D946" s="2" t="str">
        <f>if(isna(vlookup(C946,'On Hand'!A:C,3,0)),"",vlookup(C946,'On Hand'!A:C,3,0))</f>
        <v/>
      </c>
    </row>
    <row r="947">
      <c r="A947" s="2" t="str">
        <f>IFERROR(__xludf.DUMMYFUNCTION("""COMPUTED_VALUE"""),"O-52104-00")</f>
        <v>O-52104-00</v>
      </c>
      <c r="B947" s="2" t="str">
        <f>IFERROR(__xludf.DUMMYFUNCTION("""COMPUTED_VALUE"""),"Seidenader MS30 - Valve Terminal B&amp;R p/n:7XV116.50-51")</f>
        <v>Seidenader MS30 - Valve Terminal B&amp;R p/n:7XV116.50-51</v>
      </c>
      <c r="C947" s="2" t="str">
        <f>IFERROR(__xludf.DUMMYFUNCTION("""COMPUTED_VALUE"""),"O-52104-00")</f>
        <v>O-52104-00</v>
      </c>
      <c r="D947" s="2" t="str">
        <f>if(isna(vlookup(C947,'On Hand'!A:C,3,0)),"",vlookup(C947,'On Hand'!A:C,3,0))</f>
        <v/>
      </c>
    </row>
    <row r="948">
      <c r="A948" s="2" t="str">
        <f>IFERROR(__xludf.DUMMYFUNCTION("""COMPUTED_VALUE"""),"O-52105-00")</f>
        <v>O-52105-00</v>
      </c>
      <c r="B948" s="2" t="str">
        <f>IFERROR(__xludf.DUMMYFUNCTION("""COMPUTED_VALUE"""),"Seidenader MS30 - Analog Input Module B&amp;R p/n:X20AI4632")</f>
        <v>Seidenader MS30 - Analog Input Module B&amp;R p/n:X20AI4632</v>
      </c>
      <c r="C948" s="2" t="str">
        <f>IFERROR(__xludf.DUMMYFUNCTION("""COMPUTED_VALUE"""),"O-52105-00")</f>
        <v>O-52105-00</v>
      </c>
      <c r="D948" s="2" t="str">
        <f>if(isna(vlookup(C948,'On Hand'!A:C,3,0)),"",vlookup(C948,'On Hand'!A:C,3,0))</f>
        <v/>
      </c>
    </row>
    <row r="949">
      <c r="A949" s="2" t="str">
        <f>IFERROR(__xludf.DUMMYFUNCTION("""COMPUTED_VALUE"""),"O-52106-00")</f>
        <v>O-52106-00</v>
      </c>
      <c r="B949" s="2" t="str">
        <f>IFERROR(__xludf.DUMMYFUNCTION("""COMPUTED_VALUE"""),"Seidenader MS30 - Digital Output Module B&amp;R p/n:X20DO9322")</f>
        <v>Seidenader MS30 - Digital Output Module B&amp;R p/n:X20DO9322</v>
      </c>
      <c r="C949" s="2" t="str">
        <f>IFERROR(__xludf.DUMMYFUNCTION("""COMPUTED_VALUE"""),"O-52106-00")</f>
        <v>O-52106-00</v>
      </c>
      <c r="D949" s="2" t="str">
        <f>if(isna(vlookup(C949,'On Hand'!A:C,3,0)),"",vlookup(C949,'On Hand'!A:C,3,0))</f>
        <v/>
      </c>
    </row>
    <row r="950">
      <c r="A950" s="2" t="str">
        <f>IFERROR(__xludf.DUMMYFUNCTION("""COMPUTED_VALUE"""),"O-52107-00")</f>
        <v>O-52107-00</v>
      </c>
      <c r="B950" s="2" t="str">
        <f>IFERROR(__xludf.DUMMYFUNCTION("""COMPUTED_VALUE"""),"Seidenader MS30 - Digital Input Module B&amp;R p/n:X20DI9371")</f>
        <v>Seidenader MS30 - Digital Input Module B&amp;R p/n:X20DI9371</v>
      </c>
      <c r="C950" s="2" t="str">
        <f>IFERROR(__xludf.DUMMYFUNCTION("""COMPUTED_VALUE"""),"O-52107-00")</f>
        <v>O-52107-00</v>
      </c>
      <c r="D950" s="2" t="str">
        <f>if(isna(vlookup(C950,'On Hand'!A:C,3,0)),"",vlookup(C950,'On Hand'!A:C,3,0))</f>
        <v/>
      </c>
    </row>
    <row r="951">
      <c r="A951" s="2" t="str">
        <f>IFERROR(__xludf.DUMMYFUNCTION("""COMPUTED_VALUE"""),"O-52108-00")</f>
        <v>O-52108-00</v>
      </c>
      <c r="B951" s="2" t="str">
        <f>IFERROR(__xludf.DUMMYFUNCTION("""COMPUTED_VALUE"""),"Seidenader MS30 - Safety Output Module B&amp;R p/n:X20SO2110")</f>
        <v>Seidenader MS30 - Safety Output Module B&amp;R p/n:X20SO2110</v>
      </c>
      <c r="C951" s="2" t="str">
        <f>IFERROR(__xludf.DUMMYFUNCTION("""COMPUTED_VALUE"""),"O-52108-00")</f>
        <v>O-52108-00</v>
      </c>
      <c r="D951" s="2" t="str">
        <f>if(isna(vlookup(C951,'On Hand'!A:C,3,0)),"",vlookup(C951,'On Hand'!A:C,3,0))</f>
        <v/>
      </c>
    </row>
    <row r="952">
      <c r="A952" s="2" t="str">
        <f>IFERROR(__xludf.DUMMYFUNCTION("""COMPUTED_VALUE"""),"O-52109-00")</f>
        <v>O-52109-00</v>
      </c>
      <c r="B952" s="2" t="str">
        <f>IFERROR(__xludf.DUMMYFUNCTION("""COMPUTED_VALUE"""),"Seidenader MS30 - Acopos Multi 65 B&amp;R p/n:8CVI088E1HCS0.00-1")</f>
        <v>Seidenader MS30 - Acopos Multi 65 B&amp;R p/n:8CVI088E1HCS0.00-1</v>
      </c>
      <c r="C952" s="2" t="str">
        <f>IFERROR(__xludf.DUMMYFUNCTION("""COMPUTED_VALUE"""),"O-52109-00")</f>
        <v>O-52109-00</v>
      </c>
      <c r="D952" s="2" t="str">
        <f>if(isna(vlookup(C952,'On Hand'!A:C,3,0)),"",vlookup(C952,'On Hand'!A:C,3,0))</f>
        <v/>
      </c>
    </row>
    <row r="953">
      <c r="A953" s="2" t="str">
        <f>IFERROR(__xludf.DUMMYFUNCTION("""COMPUTED_VALUE"""),"O-52110-00")</f>
        <v>O-52110-00</v>
      </c>
      <c r="B953" s="2" t="str">
        <f>IFERROR(__xludf.DUMMYFUNCTION("""COMPUTED_VALUE"""),"Seidenader MS30 - Acopos Multi 65 B&amp;R p/n:8CVI045E1HCS0.00-1")</f>
        <v>Seidenader MS30 - Acopos Multi 65 B&amp;R p/n:8CVI045E1HCS0.00-1</v>
      </c>
      <c r="C953" s="2" t="str">
        <f>IFERROR(__xludf.DUMMYFUNCTION("""COMPUTED_VALUE"""),"O-52110-00")</f>
        <v>O-52110-00</v>
      </c>
      <c r="D953" s="2" t="str">
        <f>if(isna(vlookup(C953,'On Hand'!A:C,3,0)),"",vlookup(C953,'On Hand'!A:C,3,0))</f>
        <v/>
      </c>
    </row>
    <row r="954">
      <c r="A954" s="2" t="str">
        <f>IFERROR(__xludf.DUMMYFUNCTION("""COMPUTED_VALUE"""),"O-52111-00")</f>
        <v>O-52111-00</v>
      </c>
      <c r="B954" s="2" t="str">
        <f>IFERROR(__xludf.DUMMYFUNCTION("""COMPUTED_VALUE"""),"Seidenader MS30 - Connection Box B&amp;R p/n:8CVE28000HC00.00-1")</f>
        <v>Seidenader MS30 - Connection Box B&amp;R p/n:8CVE28000HC00.00-1</v>
      </c>
      <c r="C954" s="2" t="str">
        <f>IFERROR(__xludf.DUMMYFUNCTION("""COMPUTED_VALUE"""),"O-52111-00")</f>
        <v>O-52111-00</v>
      </c>
      <c r="D954" s="2" t="str">
        <f>if(isna(vlookup(C954,'On Hand'!A:C,3,0)),"",vlookup(C954,'On Hand'!A:C,3,0))</f>
        <v/>
      </c>
    </row>
    <row r="955">
      <c r="A955" s="2" t="str">
        <f>IFERROR(__xludf.DUMMYFUNCTION("""COMPUTED_VALUE"""),"O-52112-00")</f>
        <v>O-52112-00</v>
      </c>
      <c r="B955" s="2" t="str">
        <f>IFERROR(__xludf.DUMMYFUNCTION("""COMPUTED_VALUE"""),"Seidenader MS30 - Power Ink V1/V2 Bus Controller B&amp;R p/n:X67BC8321.L12")</f>
        <v>Seidenader MS30 - Power Ink V1/V2 Bus Controller B&amp;R p/n:X67BC8321.L12</v>
      </c>
      <c r="C955" s="2" t="str">
        <f>IFERROR(__xludf.DUMMYFUNCTION("""COMPUTED_VALUE"""),"O-52112-00")</f>
        <v>O-52112-00</v>
      </c>
      <c r="D955" s="2" t="str">
        <f>if(isna(vlookup(C955,'On Hand'!A:C,3,0)),"",vlookup(C955,'On Hand'!A:C,3,0))</f>
        <v/>
      </c>
    </row>
    <row r="956">
      <c r="A956" s="2" t="str">
        <f>IFERROR(__xludf.DUMMYFUNCTION("""COMPUTED_VALUE"""),"O-52113-00")</f>
        <v>O-52113-00</v>
      </c>
      <c r="B956" s="2" t="str">
        <f>IFERROR(__xludf.DUMMYFUNCTION("""COMPUTED_VALUE"""),"Seidenader MS30 - Safe Digital Mixed Module B&amp;R p/n:X67SI8103")</f>
        <v>Seidenader MS30 - Safe Digital Mixed Module B&amp;R p/n:X67SI8103</v>
      </c>
      <c r="C956" s="2" t="str">
        <f>IFERROR(__xludf.DUMMYFUNCTION("""COMPUTED_VALUE"""),"O-52113-00")</f>
        <v>O-52113-00</v>
      </c>
      <c r="D956" s="2" t="str">
        <f>if(isna(vlookup(C956,'On Hand'!A:C,3,0)),"",vlookup(C956,'On Hand'!A:C,3,0))</f>
        <v/>
      </c>
    </row>
    <row r="957">
      <c r="A957" s="2" t="str">
        <f>IFERROR(__xludf.DUMMYFUNCTION("""COMPUTED_VALUE"""),"O-52114-00")</f>
        <v>O-52114-00</v>
      </c>
      <c r="B957" s="2" t="str">
        <f>IFERROR(__xludf.DUMMYFUNCTION("""COMPUTED_VALUE"""),"Seidenader MS30 - X20 Potential Distributor GND B&amp;R p/n:X20PD0011")</f>
        <v>Seidenader MS30 - X20 Potential Distributor GND B&amp;R p/n:X20PD0011</v>
      </c>
      <c r="C957" s="2" t="str">
        <f>IFERROR(__xludf.DUMMYFUNCTION("""COMPUTED_VALUE"""),"O-52114-00")</f>
        <v>O-52114-00</v>
      </c>
      <c r="D957" s="2" t="str">
        <f>if(isna(vlookup(C957,'On Hand'!A:C,3,0)),"",vlookup(C957,'On Hand'!A:C,3,0))</f>
        <v/>
      </c>
    </row>
    <row r="958">
      <c r="A958" s="2" t="str">
        <f>IFERROR(__xludf.DUMMYFUNCTION("""COMPUTED_VALUE"""),"O-52115-00")</f>
        <v>O-52115-00</v>
      </c>
      <c r="B958" s="2" t="str">
        <f>IFERROR(__xludf.DUMMYFUNCTION("""COMPUTED_VALUE"""),"Seidenader MS30 - X20 Potential Distributor 24VDC B&amp;R p/n:X20PD0012")</f>
        <v>Seidenader MS30 - X20 Potential Distributor 24VDC B&amp;R p/n:X20PD0012</v>
      </c>
      <c r="C958" s="2" t="str">
        <f>IFERROR(__xludf.DUMMYFUNCTION("""COMPUTED_VALUE"""),"O-52115-00")</f>
        <v>O-52115-00</v>
      </c>
      <c r="D958" s="2" t="str">
        <f>if(isna(vlookup(C958,'On Hand'!A:C,3,0)),"",vlookup(C958,'On Hand'!A:C,3,0))</f>
        <v/>
      </c>
    </row>
    <row r="959">
      <c r="A959" s="2" t="str">
        <f>IFERROR(__xludf.DUMMYFUNCTION("""COMPUTED_VALUE"""),"O-52116-00")</f>
        <v>O-52116-00</v>
      </c>
      <c r="B959" s="2" t="str">
        <f>IFERROR(__xludf.DUMMYFUNCTION("""COMPUTED_VALUE"""),"Seidenader MS30 - Safety Input Module B&amp;R p/n: X20SI9100")</f>
        <v>Seidenader MS30 - Safety Input Module B&amp;R p/n: X20SI9100</v>
      </c>
      <c r="C959" s="2" t="str">
        <f>IFERROR(__xludf.DUMMYFUNCTION("""COMPUTED_VALUE"""),"O-52116-00")</f>
        <v>O-52116-00</v>
      </c>
      <c r="D959" s="2" t="str">
        <f>if(isna(vlookup(C959,'On Hand'!A:C,3,0)),"",vlookup(C959,'On Hand'!A:C,3,0))</f>
        <v/>
      </c>
    </row>
    <row r="960">
      <c r="A960" s="2" t="str">
        <f>IFERROR(__xludf.DUMMYFUNCTION("""COMPUTED_VALUE"""),"O-52117-00")</f>
        <v>O-52117-00</v>
      </c>
      <c r="B960" s="2" t="str">
        <f>IFERROR(__xludf.DUMMYFUNCTION("""COMPUTED_VALUE"""),"Seidenader MS30 - Acopos Multi 65 B&amp;R p/n:80VD100PD.C000-01")</f>
        <v>Seidenader MS30 - Acopos Multi 65 B&amp;R p/n:80VD100PD.C000-01</v>
      </c>
      <c r="C960" s="2" t="str">
        <f>IFERROR(__xludf.DUMMYFUNCTION("""COMPUTED_VALUE"""),"O-52117-00")</f>
        <v>O-52117-00</v>
      </c>
      <c r="D960" s="2" t="str">
        <f>if(isna(vlookup(C960,'On Hand'!A:C,3,0)),"",vlookup(C960,'On Hand'!A:C,3,0))</f>
        <v/>
      </c>
    </row>
    <row r="961">
      <c r="A961" s="2" t="str">
        <f>IFERROR(__xludf.DUMMYFUNCTION("""COMPUTED_VALUE"""),"O-52118-00")</f>
        <v>O-52118-00</v>
      </c>
      <c r="B961" s="2" t="str">
        <f>IFERROR(__xludf.DUMMYFUNCTION("""COMPUTED_VALUE"""),"Seidenader MS30 - Servo Amplifier B&amp;R p/n:80VD100PD.C000-0")</f>
        <v>Seidenader MS30 - Servo Amplifier B&amp;R p/n:80VD100PD.C000-0</v>
      </c>
      <c r="C961" s="2" t="str">
        <f>IFERROR(__xludf.DUMMYFUNCTION("""COMPUTED_VALUE"""),"O-52118-00")</f>
        <v>O-52118-00</v>
      </c>
      <c r="D961" s="2" t="str">
        <f>if(isna(vlookup(C961,'On Hand'!A:C,3,0)),"",vlookup(C961,'On Hand'!A:C,3,0))</f>
        <v/>
      </c>
    </row>
    <row r="962">
      <c r="A962" s="2" t="str">
        <f>IFERROR(__xludf.DUMMYFUNCTION("""COMPUTED_VALUE"""),"O-52119-00")</f>
        <v>O-52119-00</v>
      </c>
      <c r="B962" s="2" t="str">
        <f>IFERROR(__xludf.DUMMYFUNCTION("""COMPUTED_VALUE"""),"Seidenader MS30 - Digital Input Module B&amp;R p/n:X20DI8371")</f>
        <v>Seidenader MS30 - Digital Input Module B&amp;R p/n:X20DI8371</v>
      </c>
      <c r="C962" s="2" t="str">
        <f>IFERROR(__xludf.DUMMYFUNCTION("""COMPUTED_VALUE"""),"O-52119-00")</f>
        <v>O-52119-00</v>
      </c>
      <c r="D962" s="2" t="str">
        <f>if(isna(vlookup(C962,'On Hand'!A:C,3,0)),"",vlookup(C962,'On Hand'!A:C,3,0))</f>
        <v/>
      </c>
    </row>
    <row r="963">
      <c r="A963" s="2" t="str">
        <f>IFERROR(__xludf.DUMMYFUNCTION("""COMPUTED_VALUE"""),"O-52120-00")</f>
        <v>O-52120-00</v>
      </c>
      <c r="B963" s="2" t="str">
        <f>IFERROR(__xludf.DUMMYFUNCTION("""COMPUTED_VALUE"""),"Seidenader MS30 - Digital Signal Module B&amp;R p/n:X20DS4389")</f>
        <v>Seidenader MS30 - Digital Signal Module B&amp;R p/n:X20DS4389</v>
      </c>
      <c r="C963" s="2" t="str">
        <f>IFERROR(__xludf.DUMMYFUNCTION("""COMPUTED_VALUE"""),"O-52120-00")</f>
        <v>O-52120-00</v>
      </c>
      <c r="D963" s="2" t="str">
        <f>if(isna(vlookup(C963,'On Hand'!A:C,3,0)),"",vlookup(C963,'On Hand'!A:C,3,0))</f>
        <v/>
      </c>
    </row>
    <row r="964">
      <c r="A964" s="2" t="str">
        <f>IFERROR(__xludf.DUMMYFUNCTION("""COMPUTED_VALUE"""),"O-52121-00")</f>
        <v>O-52121-00</v>
      </c>
      <c r="B964" s="2" t="str">
        <f>IFERROR(__xludf.DUMMYFUNCTION("""COMPUTED_VALUE"""),"Seidenader MS30 - Adder View Catx Switch 8 Port ADDER p/n:AVX1008IP")</f>
        <v>Seidenader MS30 - Adder View Catx Switch 8 Port ADDER p/n:AVX1008IP</v>
      </c>
      <c r="C964" s="2" t="str">
        <f>IFERROR(__xludf.DUMMYFUNCTION("""COMPUTED_VALUE"""),"O-52121-00")</f>
        <v>O-52121-00</v>
      </c>
      <c r="D964" s="2" t="str">
        <f>if(isna(vlookup(C964,'On Hand'!A:C,3,0)),"",vlookup(C964,'On Hand'!A:C,3,0))</f>
        <v/>
      </c>
    </row>
    <row r="965">
      <c r="A965" s="2" t="str">
        <f>IFERROR(__xludf.DUMMYFUNCTION("""COMPUTED_VALUE"""),"O-52122-00")</f>
        <v>O-52122-00</v>
      </c>
      <c r="B965" s="2" t="str">
        <f>IFERROR(__xludf.DUMMYFUNCTION("""COMPUTED_VALUE"""),"Seidenader MS30 - Industrial Router 4 Port Switch MBConnect Line MDH816")</f>
        <v>Seidenader MS30 - Industrial Router 4 Port Switch MBConnect Line MDH816</v>
      </c>
      <c r="C965" s="2" t="str">
        <f>IFERROR(__xludf.DUMMYFUNCTION("""COMPUTED_VALUE"""),"O-52122-00")</f>
        <v>O-52122-00</v>
      </c>
      <c r="D965" s="2" t="str">
        <f>if(isna(vlookup(C965,'On Hand'!A:C,3,0)),"",vlookup(C965,'On Hand'!A:C,3,0))</f>
        <v/>
      </c>
    </row>
    <row r="966">
      <c r="A966" s="2" t="str">
        <f>IFERROR(__xludf.DUMMYFUNCTION("""COMPUTED_VALUE"""),"O-52123-00")</f>
        <v>O-52123-00</v>
      </c>
      <c r="B966" s="2" t="str">
        <f>IFERROR(__xludf.DUMMYFUNCTION("""COMPUTED_VALUE"""),"Seidenader MS30 - Ethernet Swicht Etherwan p/n:EX95160-00B")</f>
        <v>Seidenader MS30 - Ethernet Swicht Etherwan p/n:EX95160-00B</v>
      </c>
      <c r="C966" s="2" t="str">
        <f>IFERROR(__xludf.DUMMYFUNCTION("""COMPUTED_VALUE"""),"O-52123-00")</f>
        <v>O-52123-00</v>
      </c>
      <c r="D966" s="2" t="str">
        <f>if(isna(vlookup(C966,'On Hand'!A:C,3,0)),"",vlookup(C966,'On Hand'!A:C,3,0))</f>
        <v/>
      </c>
    </row>
    <row r="967">
      <c r="A967" s="2" t="str">
        <f>IFERROR(__xludf.DUMMYFUNCTION("""COMPUTED_VALUE"""),"O-52124-00")</f>
        <v>O-52124-00</v>
      </c>
      <c r="B967" s="2" t="str">
        <f>IFERROR(__xludf.DUMMYFUNCTION("""COMPUTED_VALUE"""),"Seidenader MS30 - X2X Bus Transmitter B&amp;R X20BT9100")</f>
        <v>Seidenader MS30 - X2X Bus Transmitter B&amp;R X20BT9100</v>
      </c>
      <c r="C967" s="2" t="str">
        <f>IFERROR(__xludf.DUMMYFUNCTION("""COMPUTED_VALUE"""),"O-52124-00")</f>
        <v>O-52124-00</v>
      </c>
      <c r="D967" s="2" t="str">
        <f>if(isna(vlookup(C967,'On Hand'!A:C,3,0)),"",vlookup(C967,'On Hand'!A:C,3,0))</f>
        <v/>
      </c>
    </row>
    <row r="968">
      <c r="A968" s="2" t="str">
        <f>IFERROR(__xludf.DUMMYFUNCTION("""COMPUTED_VALUE"""),"O-52125-00")</f>
        <v>O-52125-00</v>
      </c>
      <c r="B968" s="2" t="str">
        <f>IFERROR(__xludf.DUMMYFUNCTION("""COMPUTED_VALUE"""),"Seidenader MS30 - Temperature Input Module B&amp;R X20AT222")</f>
        <v>Seidenader MS30 - Temperature Input Module B&amp;R X20AT222</v>
      </c>
      <c r="C968" s="2" t="str">
        <f>IFERROR(__xludf.DUMMYFUNCTION("""COMPUTED_VALUE"""),"O-52125-00")</f>
        <v>O-52125-00</v>
      </c>
      <c r="D968" s="2" t="str">
        <f>if(isna(vlookup(C968,'On Hand'!A:C,3,0)),"",vlookup(C968,'On Hand'!A:C,3,0))</f>
        <v/>
      </c>
    </row>
    <row r="969">
      <c r="A969" s="2" t="str">
        <f>IFERROR(__xludf.DUMMYFUNCTION("""COMPUTED_VALUE"""),"O-52126-00")</f>
        <v>O-52126-00</v>
      </c>
      <c r="B969" s="2" t="str">
        <f>IFERROR(__xludf.DUMMYFUNCTION("""COMPUTED_VALUE"""),"Seidenader MS30 - Safe Digital Mixed Module B&amp;R X20SC2432;")</f>
        <v>Seidenader MS30 - Safe Digital Mixed Module B&amp;R X20SC2432;</v>
      </c>
      <c r="C969" s="2" t="str">
        <f>IFERROR(__xludf.DUMMYFUNCTION("""COMPUTED_VALUE"""),"O-52126-00")</f>
        <v>O-52126-00</v>
      </c>
      <c r="D969" s="2" t="str">
        <f>if(isna(vlookup(C969,'On Hand'!A:C,3,0)),"",vlookup(C969,'On Hand'!A:C,3,0))</f>
        <v/>
      </c>
    </row>
    <row r="970">
      <c r="A970" s="2" t="str">
        <f>IFERROR(__xludf.DUMMYFUNCTION("""COMPUTED_VALUE"""),"O-52127-00")</f>
        <v>O-52127-00</v>
      </c>
      <c r="B970" s="2" t="str">
        <f>IFERROR(__xludf.DUMMYFUNCTION("""COMPUTED_VALUE"""),"Seidenader MS30 - X20 Bus Contrroller B&amp;R X20HB2880")</f>
        <v>Seidenader MS30 - X20 Bus Contrroller B&amp;R X20HB2880</v>
      </c>
      <c r="C970" s="2" t="str">
        <f>IFERROR(__xludf.DUMMYFUNCTION("""COMPUTED_VALUE"""),"O-52127-00")</f>
        <v>O-52127-00</v>
      </c>
      <c r="D970" s="2" t="str">
        <f>if(isna(vlookup(C970,'On Hand'!A:C,3,0)),"",vlookup(C970,'On Hand'!A:C,3,0))</f>
        <v/>
      </c>
    </row>
    <row r="971">
      <c r="A971" s="2" t="str">
        <f>IFERROR(__xludf.DUMMYFUNCTION("""COMPUTED_VALUE"""),"O-52128-00")</f>
        <v>O-52128-00</v>
      </c>
      <c r="B971" s="2" t="str">
        <f>IFERROR(__xludf.DUMMYFUNCTION("""COMPUTED_VALUE"""),"Seidenader MS30 - Industrial PC B&amp;R 5P91 p/n:401671.002-01")</f>
        <v>Seidenader MS30 - Industrial PC B&amp;R 5P91 p/n:401671.002-01</v>
      </c>
      <c r="C971" s="2" t="str">
        <f>IFERROR(__xludf.DUMMYFUNCTION("""COMPUTED_VALUE"""),"O-52128-00")</f>
        <v>O-52128-00</v>
      </c>
      <c r="D971" s="2" t="str">
        <f>if(isna(vlookup(C971,'On Hand'!A:C,3,0)),"",vlookup(C971,'On Hand'!A:C,3,0))</f>
        <v/>
      </c>
    </row>
    <row r="972">
      <c r="A972" s="2" t="str">
        <f>IFERROR(__xludf.DUMMYFUNCTION("""COMPUTED_VALUE"""),"O-52129-00")</f>
        <v>O-52129-00</v>
      </c>
      <c r="B972" s="2" t="str">
        <f>IFERROR(__xludf.DUMMYFUNCTION("""COMPUTED_VALUE"""),"Seidenader MS30 - Power Supply B&amp;R p/n:0PS080X3.10-01")</f>
        <v>Seidenader MS30 - Power Supply B&amp;R p/n:0PS080X3.10-01</v>
      </c>
      <c r="C972" s="2" t="str">
        <f>IFERROR(__xludf.DUMMYFUNCTION("""COMPUTED_VALUE"""),"O-52129-00")</f>
        <v>O-52129-00</v>
      </c>
      <c r="D972" s="2" t="str">
        <f>if(isna(vlookup(C972,'On Hand'!A:C,3,0)),"",vlookup(C972,'On Hand'!A:C,3,0))</f>
        <v/>
      </c>
    </row>
    <row r="973">
      <c r="A973" s="2" t="str">
        <f>IFERROR(__xludf.DUMMYFUNCTION("""COMPUTED_VALUE"""),"O-52130-00")</f>
        <v>O-52130-00</v>
      </c>
      <c r="B973" s="2" t="str">
        <f>IFERROR(__xludf.DUMMYFUNCTION("""COMPUTED_VALUE"""),"Seidenader MS30 - Expansion Module B&amp;R p/n:8BVE0500HW00.000-1")</f>
        <v>Seidenader MS30 - Expansion Module B&amp;R p/n:8BVE0500HW00.000-1</v>
      </c>
      <c r="C973" s="2" t="str">
        <f>IFERROR(__xludf.DUMMYFUNCTION("""COMPUTED_VALUE"""),"O-52130-00")</f>
        <v>O-52130-00</v>
      </c>
      <c r="D973" s="2" t="str">
        <f>if(isna(vlookup(C973,'On Hand'!A:C,3,0)),"",vlookup(C973,'On Hand'!A:C,3,0))</f>
        <v/>
      </c>
    </row>
    <row r="974">
      <c r="A974" s="2" t="str">
        <f>IFERROR(__xludf.DUMMYFUNCTION("""COMPUTED_VALUE"""),"O-52131-00")</f>
        <v>O-52131-00</v>
      </c>
      <c r="B974" s="2" t="str">
        <f>IFERROR(__xludf.DUMMYFUNCTION("""COMPUTED_VALUE"""),"Seidenader MS30 - Power Supply Module B&amp;R p/n:8B0C0320HW00.002-1")</f>
        <v>Seidenader MS30 - Power Supply Module B&amp;R p/n:8B0C0320HW00.002-1</v>
      </c>
      <c r="C974" s="2" t="str">
        <f>IFERROR(__xludf.DUMMYFUNCTION("""COMPUTED_VALUE"""),"O-52131-00")</f>
        <v>O-52131-00</v>
      </c>
      <c r="D974" s="2" t="str">
        <f>if(isna(vlookup(C974,'On Hand'!A:C,3,0)),"",vlookup(C974,'On Hand'!A:C,3,0))</f>
        <v/>
      </c>
    </row>
    <row r="975">
      <c r="A975" s="2" t="str">
        <f>IFERROR(__xludf.DUMMYFUNCTION("""COMPUTED_VALUE"""),"O-52132-00")</f>
        <v>O-52132-00</v>
      </c>
      <c r="B975" s="2" t="str">
        <f>IFERROR(__xludf.DUMMYFUNCTION("""COMPUTED_VALUE"""),"Seidenader MS30 - Power Supply Module B&amp;R p/n:8BVP0220HW00.000-1")</f>
        <v>Seidenader MS30 - Power Supply Module B&amp;R p/n:8BVP0220HW00.000-1</v>
      </c>
      <c r="C975" s="2" t="str">
        <f>IFERROR(__xludf.DUMMYFUNCTION("""COMPUTED_VALUE"""),"O-52132-00")</f>
        <v>O-52132-00</v>
      </c>
      <c r="D975" s="2" t="str">
        <f>if(isna(vlookup(C975,'On Hand'!A:C,3,0)),"",vlookup(C975,'On Hand'!A:C,3,0))</f>
        <v/>
      </c>
    </row>
    <row r="976">
      <c r="A976" s="2" t="str">
        <f>IFERROR(__xludf.DUMMYFUNCTION("""COMPUTED_VALUE"""),"O-52133-00")</f>
        <v>O-52133-00</v>
      </c>
      <c r="B976" s="2" t="str">
        <f>IFERROR(__xludf.DUMMYFUNCTION("""COMPUTED_VALUE"""),"Seidenader MS30 - Back Feeding Throttle B&amp;R p/n:8BVR0220H000.100-1")</f>
        <v>Seidenader MS30 - Back Feeding Throttle B&amp;R p/n:8BVR0220H000.100-1</v>
      </c>
      <c r="C976" s="2" t="str">
        <f>IFERROR(__xludf.DUMMYFUNCTION("""COMPUTED_VALUE"""),"O-52133-00")</f>
        <v>O-52133-00</v>
      </c>
      <c r="D976" s="2" t="str">
        <f>if(isna(vlookup(C976,'On Hand'!A:C,3,0)),"",vlookup(C976,'On Hand'!A:C,3,0))</f>
        <v/>
      </c>
    </row>
    <row r="977">
      <c r="A977" s="2" t="str">
        <f>IFERROR(__xludf.DUMMYFUNCTION("""COMPUTED_VALUE"""),"O-52134-00")</f>
        <v>O-52134-00</v>
      </c>
      <c r="B977" s="2" t="str">
        <f>IFERROR(__xludf.DUMMYFUNCTION("""COMPUTED_VALUE"""),"Seidenader MS30 - Hum Eliminator B&amp;R p/n:8BVF0220H000.000-1")</f>
        <v>Seidenader MS30 - Hum Eliminator B&amp;R p/n:8BVF0220H000.000-1</v>
      </c>
      <c r="C977" s="2" t="str">
        <f>IFERROR(__xludf.DUMMYFUNCTION("""COMPUTED_VALUE"""),"O-52134-00")</f>
        <v>O-52134-00</v>
      </c>
      <c r="D977" s="2" t="str">
        <f>if(isna(vlookup(C977,'On Hand'!A:C,3,0)),"",vlookup(C977,'On Hand'!A:C,3,0))</f>
        <v/>
      </c>
    </row>
    <row r="978">
      <c r="A978" s="2" t="str">
        <f>IFERROR(__xludf.DUMMYFUNCTION("""COMPUTED_VALUE"""),"O-52135-00")</f>
        <v>O-52135-00</v>
      </c>
      <c r="B978" s="2" t="str">
        <f>IFERROR(__xludf.DUMMYFUNCTION("""COMPUTED_VALUE"""),"GMP Washer - Buzzer 24 VAC/DC 80 DB IP65 Werma p/n:10701075;013489")</f>
        <v>GMP Washer - Buzzer 24 VAC/DC 80 DB IP65 Werma p/n:10701075;013489</v>
      </c>
      <c r="C978" s="2" t="str">
        <f>IFERROR(__xludf.DUMMYFUNCTION("""COMPUTED_VALUE"""),"O-52135-00")</f>
        <v>O-52135-00</v>
      </c>
      <c r="D978" s="2" t="str">
        <f>if(isna(vlookup(C978,'On Hand'!A:C,3,0)),"",vlookup(C978,'On Hand'!A:C,3,0))</f>
        <v/>
      </c>
    </row>
    <row r="979">
      <c r="A979" s="2" t="str">
        <f>IFERROR(__xludf.DUMMYFUNCTION("""COMPUTED_VALUE"""),"O-52136-00")</f>
        <v>O-52136-00</v>
      </c>
      <c r="B979" s="2" t="str">
        <f>IFERROR(__xludf.DUMMYFUNCTION("""COMPUTED_VALUE"""),"GMP Washer - Linear Actuator 24 VDC 50MM, AO-01/MR p/n:010458")</f>
        <v>GMP Washer - Linear Actuator 24 VDC 50MM, AO-01/MR p/n:010458</v>
      </c>
      <c r="C979" s="2" t="str">
        <f>IFERROR(__xludf.DUMMYFUNCTION("""COMPUTED_VALUE"""),"O-52136-00")</f>
        <v>O-52136-00</v>
      </c>
      <c r="D979" s="2" t="str">
        <f>if(isna(vlookup(C979,'On Hand'!A:C,3,0)),"",vlookup(C979,'On Hand'!A:C,3,0))</f>
        <v/>
      </c>
    </row>
    <row r="980">
      <c r="A980" s="2" t="str">
        <f>IFERROR(__xludf.DUMMYFUNCTION("""COMPUTED_VALUE"""),"O-52137-00")</f>
        <v>O-52137-00</v>
      </c>
      <c r="B980" s="2" t="str">
        <f>IFERROR(__xludf.DUMMYFUNCTION("""COMPUTED_VALUE"""),"GMP Washer - Limit Switch 1NO+1NC KME3S11 Lovato Electric p/n:010540")</f>
        <v>GMP Washer - Limit Switch 1NO+1NC KME3S11 Lovato Electric p/n:010540</v>
      </c>
      <c r="C980" s="2" t="str">
        <f>IFERROR(__xludf.DUMMYFUNCTION("""COMPUTED_VALUE"""),"O-52137-00")</f>
        <v>O-52137-00</v>
      </c>
      <c r="D980" s="2" t="str">
        <f>if(isna(vlookup(C980,'On Hand'!A:C,3,0)),"",vlookup(C980,'On Hand'!A:C,3,0))</f>
        <v/>
      </c>
    </row>
    <row r="981">
      <c r="A981" s="2" t="str">
        <f>IFERROR(__xludf.DUMMYFUNCTION("""COMPUTED_VALUE"""),"O-52138-00")</f>
        <v>O-52138-00</v>
      </c>
      <c r="B981" s="2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1" s="2" t="str">
        <f>IFERROR(__xludf.DUMMYFUNCTION("""COMPUTED_VALUE"""),"O-52138-00")</f>
        <v>O-52138-00</v>
      </c>
      <c r="D981" s="2" t="str">
        <f>if(isna(vlookup(C981,'On Hand'!A:C,3,0)),"",vlookup(C981,'On Hand'!A:C,3,0))</f>
        <v/>
      </c>
    </row>
    <row r="982">
      <c r="A982" s="2" t="str">
        <f>IFERROR(__xludf.DUMMYFUNCTION("""COMPUTED_VALUE"""),"O-52139-00")</f>
        <v>O-52139-00</v>
      </c>
      <c r="B982" s="2" t="str">
        <f>IFERROR(__xludf.DUMMYFUNCTION("""COMPUTED_VALUE"""),"GMP Washer - Adjustable Themostat IMIT 70/210? C TR2540140/B p/n:012099")</f>
        <v>GMP Washer - Adjustable Themostat IMIT 70/210? C TR2540140/B p/n:012099</v>
      </c>
      <c r="C982" s="2" t="str">
        <f>IFERROR(__xludf.DUMMYFUNCTION("""COMPUTED_VALUE"""),"O-52139-00")</f>
        <v>O-52139-00</v>
      </c>
      <c r="D982" s="2" t="str">
        <f>if(isna(vlookup(C982,'On Hand'!A:C,3,0)),"",vlookup(C982,'On Hand'!A:C,3,0))</f>
        <v/>
      </c>
    </row>
    <row r="983">
      <c r="A983" s="2" t="str">
        <f>IFERROR(__xludf.DUMMYFUNCTION("""COMPUTED_VALUE"""),"O-52140-00")</f>
        <v>O-52140-00</v>
      </c>
      <c r="B983" s="2" t="str">
        <f>IFERROR(__xludf.DUMMYFUNCTION("""COMPUTED_VALUE"""),"GMP Washer - Magnetic Sensor STEM S.R.L DIAM. 6, A0611AUEZ197L p/n:010297")</f>
        <v>GMP Washer - Magnetic Sensor STEM S.R.L DIAM. 6, A0611AUEZ197L p/n:010297</v>
      </c>
      <c r="C983" s="2" t="str">
        <f>IFERROR(__xludf.DUMMYFUNCTION("""COMPUTED_VALUE"""),"O-52140-00")</f>
        <v>O-52140-00</v>
      </c>
      <c r="D983" s="2" t="str">
        <f>if(isna(vlookup(C983,'On Hand'!A:C,3,0)),"",vlookup(C983,'On Hand'!A:C,3,0))</f>
        <v/>
      </c>
    </row>
    <row r="984">
      <c r="A984" s="2" t="str">
        <f>IFERROR(__xludf.DUMMYFUNCTION("""COMPUTED_VALUE"""),"O-52141-00")</f>
        <v>O-52141-00</v>
      </c>
      <c r="B984" s="2" t="str">
        <f>IFERROR(__xludf.DUMMYFUNCTION("""COMPUTED_VALUE"""),"GMP Washer - Pressure Switch MA-TER GP6-- +3/+5MB, SP7PY631.005 p/n:011371")</f>
        <v>GMP Washer - Pressure Switch MA-TER GP6-- +3/+5MB, SP7PY631.005 p/n:011371</v>
      </c>
      <c r="C984" s="2" t="str">
        <f>IFERROR(__xludf.DUMMYFUNCTION("""COMPUTED_VALUE"""),"O-52141-00")</f>
        <v>O-52141-00</v>
      </c>
      <c r="D984" s="2" t="str">
        <f>if(isna(vlookup(C984,'On Hand'!A:C,3,0)),"",vlookup(C984,'On Hand'!A:C,3,0))</f>
        <v/>
      </c>
    </row>
    <row r="985">
      <c r="A985" s="2" t="str">
        <f>IFERROR(__xludf.DUMMYFUNCTION("""COMPUTED_VALUE"""),"O-52142-00")</f>
        <v>O-52142-00</v>
      </c>
      <c r="B985" s="2" t="str">
        <f>IFERROR(__xludf.DUMMYFUNCTION("""COMPUTED_VALUE"""),"GMP Washer - Depressure Switch MA-TER GV600-13/-20MB SP7PY6N1.010 p/n:011372")</f>
        <v>GMP Washer - Depressure Switch MA-TER GV600-13/-20MB SP7PY6N1.010 p/n:011372</v>
      </c>
      <c r="C985" s="2" t="str">
        <f>IFERROR(__xludf.DUMMYFUNCTION("""COMPUTED_VALUE"""),"O-52142-00")</f>
        <v>O-52142-00</v>
      </c>
      <c r="D985" s="2" t="str">
        <f>if(isna(vlookup(C985,'On Hand'!A:C,3,0)),"",vlookup(C985,'On Hand'!A:C,3,0))</f>
        <v/>
      </c>
    </row>
    <row r="986">
      <c r="A986" s="2" t="str">
        <f>IFERROR(__xludf.DUMMYFUNCTION("""COMPUTED_VALUE"""),"O-52143-00")</f>
        <v>O-52143-00</v>
      </c>
      <c r="B986" s="2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6" s="2" t="str">
        <f>IFERROR(__xludf.DUMMYFUNCTION("""COMPUTED_VALUE"""),"O-52143-00")</f>
        <v>O-52143-00</v>
      </c>
      <c r="D986" s="2" t="str">
        <f>if(isna(vlookup(C986,'On Hand'!A:C,3,0)),"",vlookup(C986,'On Hand'!A:C,3,0))</f>
        <v/>
      </c>
    </row>
    <row r="987">
      <c r="A987" s="2" t="str">
        <f>IFERROR(__xludf.DUMMYFUNCTION("""COMPUTED_VALUE"""),"O-52144-00")</f>
        <v>O-52144-00</v>
      </c>
      <c r="B987" s="2" t="str">
        <f>IFERROR(__xludf.DUMMYFUNCTION("""COMPUTED_VALUE"""),"GMP Washer - Proximity Switch PNP M8 N.OSS3N203-G GIMATIC p/n:045006")</f>
        <v>GMP Washer - Proximity Switch PNP M8 N.OSS3N203-G GIMATIC p/n:045006</v>
      </c>
      <c r="C987" s="2" t="str">
        <f>IFERROR(__xludf.DUMMYFUNCTION("""COMPUTED_VALUE"""),"O-52144-00")</f>
        <v>O-52144-00</v>
      </c>
      <c r="D987" s="2" t="str">
        <f>if(isna(vlookup(C987,'On Hand'!A:C,3,0)),"",vlookup(C987,'On Hand'!A:C,3,0))</f>
        <v/>
      </c>
    </row>
    <row r="988">
      <c r="A988" s="2" t="str">
        <f>IFERROR(__xludf.DUMMYFUNCTION("""COMPUTED_VALUE"""),"O-52145-00")</f>
        <v>O-52145-00</v>
      </c>
      <c r="B988" s="2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8" s="2" t="str">
        <f>IFERROR(__xludf.DUMMYFUNCTION("""COMPUTED_VALUE"""),"O-52145-00")</f>
        <v>O-52145-00</v>
      </c>
      <c r="D988" s="2" t="str">
        <f>if(isna(vlookup(C988,'On Hand'!A:C,3,0)),"",vlookup(C988,'On Hand'!A:C,3,0))</f>
        <v/>
      </c>
    </row>
    <row r="989">
      <c r="A989" s="2" t="str">
        <f>IFERROR(__xludf.DUMMYFUNCTION("""COMPUTED_VALUE"""),"O-52146-00")</f>
        <v>O-52146-00</v>
      </c>
      <c r="B989" s="2" t="str">
        <f>IFERROR(__xludf.DUMMYFUNCTION("""COMPUTED_VALUE"""),"GMP Washer - Magnetic Sensor M12 D12PMPTB196LA STEMS.R.L p/n:011830")</f>
        <v>GMP Washer - Magnetic Sensor M12 D12PMPTB196LA STEMS.R.L p/n:011830</v>
      </c>
      <c r="C989" s="2" t="str">
        <f>IFERROR(__xludf.DUMMYFUNCTION("""COMPUTED_VALUE"""),"O-52146-00")</f>
        <v>O-52146-00</v>
      </c>
      <c r="D989" s="2" t="str">
        <f>if(isna(vlookup(C989,'On Hand'!A:C,3,0)),"",vlookup(C989,'On Hand'!A:C,3,0))</f>
        <v/>
      </c>
    </row>
    <row r="990">
      <c r="A990" s="2" t="str">
        <f>IFERROR(__xludf.DUMMYFUNCTION("""COMPUTED_VALUE"""),"O-52147-00")</f>
        <v>O-52147-00</v>
      </c>
      <c r="B990" s="2" t="str">
        <f>IFERROR(__xludf.DUMMYFUNCTION("""COMPUTED_VALUE"""),"GMP Washer - Differential Pressure Transmitter MS-111-LCD Dwyer p/n:012732")</f>
        <v>GMP Washer - Differential Pressure Transmitter MS-111-LCD Dwyer p/n:012732</v>
      </c>
      <c r="C990" s="2" t="str">
        <f>IFERROR(__xludf.DUMMYFUNCTION("""COMPUTED_VALUE"""),"O-52147-00")</f>
        <v>O-52147-00</v>
      </c>
      <c r="D990" s="2" t="str">
        <f>if(isna(vlookup(C990,'On Hand'!A:C,3,0)),"",vlookup(C990,'On Hand'!A:C,3,0))</f>
        <v/>
      </c>
    </row>
    <row r="991">
      <c r="A991" s="2" t="str">
        <f>IFERROR(__xludf.DUMMYFUNCTION("""COMPUTED_VALUE"""),"O-52148-00")</f>
        <v>O-52148-00</v>
      </c>
      <c r="B991" s="2" t="str">
        <f>IFERROR(__xludf.DUMMYFUNCTION("""COMPUTED_VALUE"""),"GMP Washer - Conductivity Sensor CLS54-ACS1022 E+H p/n:011983")</f>
        <v>GMP Washer - Conductivity Sensor CLS54-ACS1022 E+H p/n:011983</v>
      </c>
      <c r="C991" s="2" t="str">
        <f>IFERROR(__xludf.DUMMYFUNCTION("""COMPUTED_VALUE"""),"O-52148-00")</f>
        <v>O-52148-00</v>
      </c>
      <c r="D991" s="2" t="str">
        <f>if(isna(vlookup(C991,'On Hand'!A:C,3,0)),"",vlookup(C991,'On Hand'!A:C,3,0))</f>
        <v/>
      </c>
    </row>
    <row r="992">
      <c r="A992" s="2" t="str">
        <f>IFERROR(__xludf.DUMMYFUNCTION("""COMPUTED_VALUE"""),"O-52149-00")</f>
        <v>O-52149-00</v>
      </c>
      <c r="B992" s="2" t="str">
        <f>IFERROR(__xludf.DUMMYFUNCTION("""COMPUTED_VALUE"""),"GMP Washer - Conductivity Sensor CLS16-4C3A1R E+H p/n:010580")</f>
        <v>GMP Washer - Conductivity Sensor CLS16-4C3A1R E+H p/n:010580</v>
      </c>
      <c r="C992" s="2" t="str">
        <f>IFERROR(__xludf.DUMMYFUNCTION("""COMPUTED_VALUE"""),"O-52149-00")</f>
        <v>O-52149-00</v>
      </c>
      <c r="D992" s="2" t="str">
        <f>if(isna(vlookup(C992,'On Hand'!A:C,3,0)),"",vlookup(C992,'On Hand'!A:C,3,0))</f>
        <v/>
      </c>
    </row>
    <row r="993">
      <c r="A993" s="2" t="str">
        <f>IFERROR(__xludf.DUMMYFUNCTION("""COMPUTED_VALUE"""),"O-52150-00")</f>
        <v>O-52150-00</v>
      </c>
      <c r="B993" s="2" t="str">
        <f>IFERROR(__xludf.DUMMYFUNCTION("""COMPUTED_VALUE"""),"GMP Washer - Conductivity Transmitter CLM253-CS7110 24VAC/DC IP65 p/n:014078")</f>
        <v>GMP Washer - Conductivity Transmitter CLM253-CS7110 24VAC/DC IP65 p/n:014078</v>
      </c>
      <c r="C993" s="2" t="str">
        <f>IFERROR(__xludf.DUMMYFUNCTION("""COMPUTED_VALUE"""),"O-52150-00")</f>
        <v>O-52150-00</v>
      </c>
      <c r="D993" s="2" t="str">
        <f>if(isna(vlookup(C993,'On Hand'!A:C,3,0)),"",vlookup(C993,'On Hand'!A:C,3,0))</f>
        <v/>
      </c>
    </row>
    <row r="994">
      <c r="A994" s="2" t="str">
        <f>IFERROR(__xludf.DUMMYFUNCTION("""COMPUTED_VALUE"""),"O-52151-00")</f>
        <v>O-52151-00</v>
      </c>
      <c r="B994" s="2" t="str">
        <f>IFERROR(__xludf.DUMMYFUNCTION("""COMPUTED_VALUE"""),"GMP Washer - Pressure Transmitter 0-0.25 Bar SA-11 Wika p/n:010849")</f>
        <v>GMP Washer - Pressure Transmitter 0-0.25 Bar SA-11 Wika p/n:010849</v>
      </c>
      <c r="C994" s="2" t="str">
        <f>IFERROR(__xludf.DUMMYFUNCTION("""COMPUTED_VALUE"""),"O-52151-00")</f>
        <v>O-52151-00</v>
      </c>
      <c r="D994" s="2" t="str">
        <f>if(isna(vlookup(C994,'On Hand'!A:C,3,0)),"",vlookup(C994,'On Hand'!A:C,3,0))</f>
        <v/>
      </c>
    </row>
    <row r="995">
      <c r="A995" s="2" t="str">
        <f>IFERROR(__xludf.DUMMYFUNCTION("""COMPUTED_VALUE"""),"O-52152-00")</f>
        <v>O-52152-00</v>
      </c>
      <c r="B995" s="2" t="str">
        <f>IFERROR(__xludf.DUMMYFUNCTION("""COMPUTED_VALUE"""),"GMP Washer - Pressure Transmitter 0-6 Bar SA-11 Wika p/n: 012226")</f>
        <v>GMP Washer - Pressure Transmitter 0-6 Bar SA-11 Wika p/n: 012226</v>
      </c>
      <c r="C995" s="2" t="str">
        <f>IFERROR(__xludf.DUMMYFUNCTION("""COMPUTED_VALUE"""),"O-52152-00")</f>
        <v>O-52152-00</v>
      </c>
      <c r="D995" s="2" t="str">
        <f>if(isna(vlookup(C995,'On Hand'!A:C,3,0)),"",vlookup(C995,'On Hand'!A:C,3,0))</f>
        <v/>
      </c>
    </row>
    <row r="996">
      <c r="A996" s="2" t="str">
        <f>IFERROR(__xludf.DUMMYFUNCTION("""COMPUTED_VALUE"""),"O-52153-00")</f>
        <v>O-52153-00</v>
      </c>
      <c r="B996" s="2" t="str">
        <f>IFERROR(__xludf.DUMMYFUNCTION("""COMPUTED_VALUE"""),"GMP Washer - Temperatur sensor TM411-1F2H4/125 E+H p/n:0110762")</f>
        <v>GMP Washer - Temperatur sensor TM411-1F2H4/125 E+H p/n:0110762</v>
      </c>
      <c r="C996" s="2" t="str">
        <f>IFERROR(__xludf.DUMMYFUNCTION("""COMPUTED_VALUE"""),"O-52153-00")</f>
        <v>O-52153-00</v>
      </c>
      <c r="D996" s="2" t="str">
        <f>if(isna(vlookup(C996,'On Hand'!A:C,3,0)),"",vlookup(C996,'On Hand'!A:C,3,0))</f>
        <v/>
      </c>
    </row>
    <row r="997">
      <c r="A997" s="2" t="str">
        <f>IFERROR(__xludf.DUMMYFUNCTION("""COMPUTED_VALUE"""),"O-52154-00")</f>
        <v>O-52154-00</v>
      </c>
      <c r="B997" s="2" t="str">
        <f>IFERROR(__xludf.DUMMYFUNCTION("""COMPUTED_VALUE"""),"GMP Washer - I/O Module Intergratio PCD2.K520 Saia Burgess p/n:010762")</f>
        <v>GMP Washer - I/O Module Intergratio PCD2.K520 Saia Burgess p/n:010762</v>
      </c>
      <c r="C997" s="2" t="str">
        <f>IFERROR(__xludf.DUMMYFUNCTION("""COMPUTED_VALUE"""),"O-52154-00")</f>
        <v>O-52154-00</v>
      </c>
      <c r="D997" s="2" t="str">
        <f>if(isna(vlookup(C997,'On Hand'!A:C,3,0)),"",vlookup(C997,'On Hand'!A:C,3,0))</f>
        <v/>
      </c>
    </row>
    <row r="998">
      <c r="A998" s="2" t="str">
        <f>IFERROR(__xludf.DUMMYFUNCTION("""COMPUTED_VALUE"""),"O-52155-00")</f>
        <v>O-52155-00</v>
      </c>
      <c r="B998" s="2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8" s="2" t="str">
        <f>IFERROR(__xludf.DUMMYFUNCTION("""COMPUTED_VALUE"""),"O-52155-00")</f>
        <v>O-52155-00</v>
      </c>
      <c r="D998" s="2" t="str">
        <f>if(isna(vlookup(C998,'On Hand'!A:C,3,0)),"",vlookup(C998,'On Hand'!A:C,3,0))</f>
        <v/>
      </c>
    </row>
    <row r="999">
      <c r="A999" s="2" t="str">
        <f>IFERROR(__xludf.DUMMYFUNCTION("""COMPUTED_VALUE"""),"O-52156-00")</f>
        <v>O-52156-00</v>
      </c>
      <c r="B999" s="2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999" s="2" t="str">
        <f>IFERROR(__xludf.DUMMYFUNCTION("""COMPUTED_VALUE"""),"O-52156-00")</f>
        <v>O-52156-00</v>
      </c>
      <c r="D999" s="2" t="str">
        <f>if(isna(vlookup(C999,'On Hand'!A:C,3,0)),"",vlookup(C999,'On Hand'!A:C,3,0))</f>
        <v/>
      </c>
    </row>
    <row r="1000">
      <c r="A1000" s="2" t="str">
        <f>IFERROR(__xludf.DUMMYFUNCTION("""COMPUTED_VALUE"""),"O-52157-00")</f>
        <v>O-52157-00</v>
      </c>
      <c r="B1000" s="2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0" s="2" t="str">
        <f>IFERROR(__xludf.DUMMYFUNCTION("""COMPUTED_VALUE"""),"O-52157-00")</f>
        <v>O-52157-00</v>
      </c>
      <c r="D1000" s="2" t="str">
        <f>if(isna(vlookup(C1000,'On Hand'!A:C,3,0)),"",vlookup(C1000,'On Hand'!A:C,3,0))</f>
        <v/>
      </c>
    </row>
    <row r="1001">
      <c r="A1001" s="2" t="str">
        <f>IFERROR(__xludf.DUMMYFUNCTION("""COMPUTED_VALUE"""),"O-52158-00")</f>
        <v>O-52158-00</v>
      </c>
      <c r="B1001" s="2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1" s="2" t="str">
        <f>IFERROR(__xludf.DUMMYFUNCTION("""COMPUTED_VALUE"""),"O-52158-00")</f>
        <v>O-52158-00</v>
      </c>
      <c r="D1001" s="2" t="str">
        <f>if(isna(vlookup(C1001,'On Hand'!A:C,3,0)),"",vlookup(C1001,'On Hand'!A:C,3,0))</f>
        <v/>
      </c>
    </row>
    <row r="1002">
      <c r="A1002" s="2" t="str">
        <f>IFERROR(__xludf.DUMMYFUNCTION("""COMPUTED_VALUE"""),"O-52159-00")</f>
        <v>O-52159-00</v>
      </c>
      <c r="B1002" s="2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2" s="2" t="str">
        <f>IFERROR(__xludf.DUMMYFUNCTION("""COMPUTED_VALUE"""),"O-52159-00")</f>
        <v>O-52159-00</v>
      </c>
      <c r="D1002" s="2" t="str">
        <f>if(isna(vlookup(C1002,'On Hand'!A:C,3,0)),"",vlookup(C1002,'On Hand'!A:C,3,0))</f>
        <v/>
      </c>
    </row>
    <row r="1003">
      <c r="A1003" s="2" t="str">
        <f>IFERROR(__xludf.DUMMYFUNCTION("""COMPUTED_VALUE"""),"O-52160-00")</f>
        <v>O-52160-00</v>
      </c>
      <c r="B1003" s="2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3" s="2" t="str">
        <f>IFERROR(__xludf.DUMMYFUNCTION("""COMPUTED_VALUE"""),"O-52160-00")</f>
        <v>O-52160-00</v>
      </c>
      <c r="D1003" s="2" t="str">
        <f>if(isna(vlookup(C1003,'On Hand'!A:C,3,0)),"",vlookup(C1003,'On Hand'!A:C,3,0))</f>
        <v/>
      </c>
    </row>
    <row r="1004">
      <c r="A1004" s="2" t="str">
        <f>IFERROR(__xludf.DUMMYFUNCTION("""COMPUTED_VALUE"""),"O-52161-00")</f>
        <v>O-52161-00</v>
      </c>
      <c r="B1004" s="2" t="str">
        <f>IFERROR(__xludf.DUMMYFUNCTION("""COMPUTED_VALUE"""),"GMP Washer - Relay 2 Contact PRSU2G 1/24V AC/DC 15233.2 Contaclip p/n:013069")</f>
        <v>GMP Washer - Relay 2 Contact PRSU2G 1/24V AC/DC 15233.2 Contaclip p/n:013069</v>
      </c>
      <c r="C1004" s="2" t="str">
        <f>IFERROR(__xludf.DUMMYFUNCTION("""COMPUTED_VALUE"""),"O-52161-00")</f>
        <v>O-52161-00</v>
      </c>
      <c r="D1004" s="2" t="str">
        <f>if(isna(vlookup(C1004,'On Hand'!A:C,3,0)),"",vlookup(C1004,'On Hand'!A:C,3,0))</f>
        <v/>
      </c>
    </row>
    <row r="1005">
      <c r="A1005" s="2" t="str">
        <f>IFERROR(__xludf.DUMMYFUNCTION("""COMPUTED_VALUE"""),"O-52162-00")</f>
        <v>O-52162-00</v>
      </c>
      <c r="B1005" s="2" t="str">
        <f>IFERROR(__xludf.DUMMYFUNCTION("""COMPUTED_VALUE"""),"GMP Washer - Relay 1 Contact PRCU 1/24V AC/DC 15508.2 Contaclip p/n:013070")</f>
        <v>GMP Washer - Relay 1 Contact PRCU 1/24V AC/DC 15508.2 Contaclip p/n:013070</v>
      </c>
      <c r="C1005" s="2" t="str">
        <f>IFERROR(__xludf.DUMMYFUNCTION("""COMPUTED_VALUE"""),"O-52162-00")</f>
        <v>O-52162-00</v>
      </c>
      <c r="D1005" s="2" t="str">
        <f>if(isna(vlookup(C1005,'On Hand'!A:C,3,0)),"",vlookup(C1005,'On Hand'!A:C,3,0))</f>
        <v/>
      </c>
    </row>
    <row r="1006">
      <c r="A1006" s="2" t="str">
        <f>IFERROR(__xludf.DUMMYFUNCTION("""COMPUTED_VALUE"""),"O-52163-00")</f>
        <v>O-52163-00</v>
      </c>
      <c r="B1006" s="2" t="str">
        <f>IFERROR(__xludf.DUMMYFUNCTION("""COMPUTED_VALUE"""),"GMP Washer - Thermostat 168? C 1NT08L-4288 KLIXON p/n:010144")</f>
        <v>GMP Washer - Thermostat 168? C 1NT08L-4288 KLIXON p/n:010144</v>
      </c>
      <c r="C1006" s="2" t="str">
        <f>IFERROR(__xludf.DUMMYFUNCTION("""COMPUTED_VALUE"""),"O-52163-00")</f>
        <v>O-52163-00</v>
      </c>
      <c r="D1006" s="2" t="str">
        <f>if(isna(vlookup(C1006,'On Hand'!A:C,3,0)),"",vlookup(C1006,'On Hand'!A:C,3,0))</f>
        <v/>
      </c>
    </row>
    <row r="1007">
      <c r="A1007" s="2" t="str">
        <f>IFERROR(__xludf.DUMMYFUNCTION("""COMPUTED_VALUE"""),"O-52164-00")</f>
        <v>O-52164-00</v>
      </c>
      <c r="B1007" s="2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7" s="2" t="str">
        <f>IFERROR(__xludf.DUMMYFUNCTION("""COMPUTED_VALUE"""),"O-52164-00")</f>
        <v>O-52164-00</v>
      </c>
      <c r="D1007" s="2" t="str">
        <f>if(isna(vlookup(C1007,'On Hand'!A:C,3,0)),"",vlookup(C1007,'On Hand'!A:C,3,0))</f>
        <v/>
      </c>
    </row>
    <row r="1008">
      <c r="A1008" s="2" t="str">
        <f>IFERROR(__xludf.DUMMYFUNCTION("""COMPUTED_VALUE"""),"O-52165-00")</f>
        <v>O-52165-00</v>
      </c>
      <c r="B1008" s="2" t="str">
        <f>IFERROR(__xludf.DUMMYFUNCTION("""COMPUTED_VALUE"""),"GMP Washer - Emergency Stop Module XPSAF5130 24VAC/DC Schneider p/n:012133")</f>
        <v>GMP Washer - Emergency Stop Module XPSAF5130 24VAC/DC Schneider p/n:012133</v>
      </c>
      <c r="C1008" s="2" t="str">
        <f>IFERROR(__xludf.DUMMYFUNCTION("""COMPUTED_VALUE"""),"O-52165-00")</f>
        <v>O-52165-00</v>
      </c>
      <c r="D1008" s="2" t="str">
        <f>if(isna(vlookup(C1008,'On Hand'!A:C,3,0)),"",vlookup(C1008,'On Hand'!A:C,3,0))</f>
        <v/>
      </c>
    </row>
    <row r="1009">
      <c r="A1009" s="2" t="str">
        <f>IFERROR(__xludf.DUMMYFUNCTION("""COMPUTED_VALUE"""),"O-52166-00")</f>
        <v>O-52166-00</v>
      </c>
      <c r="B1009" s="2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09" s="2" t="str">
        <f>IFERROR(__xludf.DUMMYFUNCTION("""COMPUTED_VALUE"""),"O-52166-00")</f>
        <v>O-52166-00</v>
      </c>
      <c r="D1009" s="2" t="str">
        <f>if(isna(vlookup(C1009,'On Hand'!A:C,3,0)),"",vlookup(C1009,'On Hand'!A:C,3,0))</f>
        <v/>
      </c>
    </row>
    <row r="1010">
      <c r="A1010" s="2" t="str">
        <f>IFERROR(__xludf.DUMMYFUNCTION("""COMPUTED_VALUE"""),"O-52167-00")</f>
        <v>O-52167-00</v>
      </c>
      <c r="B1010" s="2" t="str">
        <f>IFERROR(__xludf.DUMMYFUNCTION("""COMPUTED_VALUE"""),"GMP Washer - Air Heating Element 230V 1300W DHEp/n:010459")</f>
        <v>GMP Washer - Air Heating Element 230V 1300W DHEp/n:010459</v>
      </c>
      <c r="C1010" s="2" t="str">
        <f>IFERROR(__xludf.DUMMYFUNCTION("""COMPUTED_VALUE"""),"O-52167-00")</f>
        <v>O-52167-00</v>
      </c>
      <c r="D1010" s="2" t="str">
        <f>if(isna(vlookup(C1010,'On Hand'!A:C,3,0)),"",vlookup(C1010,'On Hand'!A:C,3,0))</f>
        <v/>
      </c>
    </row>
    <row r="1011">
      <c r="A1011" s="2" t="str">
        <f>IFERROR(__xludf.DUMMYFUNCTION("""COMPUTED_VALUE"""),"O-52168-00")</f>
        <v>O-52168-00</v>
      </c>
      <c r="B1011" s="2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1" s="2" t="str">
        <f>IFERROR(__xludf.DUMMYFUNCTION("""COMPUTED_VALUE"""),"O-52168-00")</f>
        <v>O-52168-00</v>
      </c>
      <c r="D1011" s="2" t="str">
        <f>if(isna(vlookup(C1011,'On Hand'!A:C,3,0)),"",vlookup(C1011,'On Hand'!A:C,3,0))</f>
        <v/>
      </c>
    </row>
    <row r="1012">
      <c r="A1012" s="2" t="str">
        <f>IFERROR(__xludf.DUMMYFUNCTION("""COMPUTED_VALUE"""),"O-52169-00")</f>
        <v>O-52169-00</v>
      </c>
      <c r="B1012" s="2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2" s="2" t="str">
        <f>IFERROR(__xludf.DUMMYFUNCTION("""COMPUTED_VALUE"""),"O-52169-00")</f>
        <v>O-52169-00</v>
      </c>
      <c r="D1012" s="2" t="str">
        <f>if(isna(vlookup(C1012,'On Hand'!A:C,3,0)),"",vlookup(C1012,'On Hand'!A:C,3,0))</f>
        <v>pc</v>
      </c>
    </row>
    <row r="1013">
      <c r="A1013" s="2" t="str">
        <f>IFERROR(__xludf.DUMMYFUNCTION("""COMPUTED_VALUE"""),"O-52170-00")</f>
        <v>O-52170-00</v>
      </c>
      <c r="B1013" s="2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3" s="2" t="str">
        <f>IFERROR(__xludf.DUMMYFUNCTION("""COMPUTED_VALUE"""),"O-52170-00")</f>
        <v>O-52170-00</v>
      </c>
      <c r="D1013" s="2" t="str">
        <f>if(isna(vlookup(C1013,'On Hand'!A:C,3,0)),"",vlookup(C1013,'On Hand'!A:C,3,0))</f>
        <v/>
      </c>
    </row>
    <row r="1014">
      <c r="A1014" s="2" t="str">
        <f>IFERROR(__xludf.DUMMYFUNCTION("""COMPUTED_VALUE"""),"O-52171-00")</f>
        <v>O-52171-00</v>
      </c>
      <c r="B1014" s="2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4" s="2" t="str">
        <f>IFERROR(__xludf.DUMMYFUNCTION("""COMPUTED_VALUE"""),"O-52171-00")</f>
        <v>O-52171-00</v>
      </c>
      <c r="D1014" s="2" t="str">
        <f>if(isna(vlookup(C1014,'On Hand'!A:C,3,0)),"",vlookup(C1014,'On Hand'!A:C,3,0))</f>
        <v/>
      </c>
    </row>
    <row r="1015">
      <c r="A1015" s="2" t="str">
        <f>IFERROR(__xludf.DUMMYFUNCTION("""COMPUTED_VALUE"""),"O-52172-00")</f>
        <v>O-52172-00</v>
      </c>
      <c r="B1015" s="2" t="str">
        <f>IFERROR(__xludf.DUMMYFUNCTION("""COMPUTED_VALUE"""),"GMP Washer - Frontal Auxilari Contact 1NO/1NC GVAE1 Schneider p/n:010268")</f>
        <v>GMP Washer - Frontal Auxilari Contact 1NO/1NC GVAE1 Schneider p/n:010268</v>
      </c>
      <c r="C1015" s="2" t="str">
        <f>IFERROR(__xludf.DUMMYFUNCTION("""COMPUTED_VALUE"""),"O-52172-00")</f>
        <v>O-52172-00</v>
      </c>
      <c r="D1015" s="2" t="str">
        <f>if(isna(vlookup(C1015,'On Hand'!A:C,3,0)),"",vlookup(C1015,'On Hand'!A:C,3,0))</f>
        <v/>
      </c>
    </row>
    <row r="1016">
      <c r="A1016" s="2" t="str">
        <f>IFERROR(__xludf.DUMMYFUNCTION("""COMPUTED_VALUE"""),"O-52173-00")</f>
        <v>O-52173-00</v>
      </c>
      <c r="B1016" s="2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6" s="2" t="str">
        <f>IFERROR(__xludf.DUMMYFUNCTION("""COMPUTED_VALUE"""),"O-52173-00")</f>
        <v>O-52173-00</v>
      </c>
      <c r="D1016" s="2" t="str">
        <f>if(isna(vlookup(C1016,'On Hand'!A:C,3,0)),"",vlookup(C1016,'On Hand'!A:C,3,0))</f>
        <v/>
      </c>
    </row>
    <row r="1017">
      <c r="A1017" s="2" t="str">
        <f>IFERROR(__xludf.DUMMYFUNCTION("""COMPUTED_VALUE"""),"O-52174-00")</f>
        <v>O-52174-00</v>
      </c>
      <c r="B1017" s="2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7" s="2" t="str">
        <f>IFERROR(__xludf.DUMMYFUNCTION("""COMPUTED_VALUE"""),"O-52174-00")</f>
        <v>O-52174-00</v>
      </c>
      <c r="D1017" s="2" t="str">
        <f>if(isna(vlookup(C1017,'On Hand'!A:C,3,0)),"",vlookup(C1017,'On Hand'!A:C,3,0))</f>
        <v/>
      </c>
    </row>
    <row r="1018">
      <c r="A1018" s="2" t="str">
        <f>IFERROR(__xludf.DUMMYFUNCTION("""COMPUTED_VALUE"""),"O-52175-00")</f>
        <v>O-52175-00</v>
      </c>
      <c r="B1018" s="2" t="str">
        <f>IFERROR(__xludf.DUMMYFUNCTION("""COMPUTED_VALUE"""),"GMP Washer - Adjustable Thermostat; 0/+60?C 1-NO KTS011 STEGO p/n:013565")</f>
        <v>GMP Washer - Adjustable Thermostat; 0/+60?C 1-NO KTS011 STEGO p/n:013565</v>
      </c>
      <c r="C1018" s="2" t="str">
        <f>IFERROR(__xludf.DUMMYFUNCTION("""COMPUTED_VALUE"""),"O-52175-00")</f>
        <v>O-52175-00</v>
      </c>
      <c r="D1018" s="2" t="str">
        <f>if(isna(vlookup(C1018,'On Hand'!A:C,3,0)),"",vlookup(C1018,'On Hand'!A:C,3,0))</f>
        <v/>
      </c>
    </row>
    <row r="1019">
      <c r="A1019" s="2" t="str">
        <f>IFERROR(__xludf.DUMMYFUNCTION("""COMPUTED_VALUE"""),"O-52176-00")</f>
        <v>O-52176-00</v>
      </c>
      <c r="B1019" s="2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19" s="2" t="str">
        <f>IFERROR(__xludf.DUMMYFUNCTION("""COMPUTED_VALUE"""),"O-52176-00")</f>
        <v>O-52176-00</v>
      </c>
      <c r="D1019" s="2" t="str">
        <f>if(isna(vlookup(C1019,'On Hand'!A:C,3,0)),"",vlookup(C1019,'On Hand'!A:C,3,0))</f>
        <v/>
      </c>
    </row>
    <row r="1020">
      <c r="A1020" s="2" t="str">
        <f>IFERROR(__xludf.DUMMYFUNCTION("""COMPUTED_VALUE"""),"O-52177-00")</f>
        <v>O-52177-00</v>
      </c>
      <c r="B1020" s="2" t="str">
        <f>IFERROR(__xludf.DUMMYFUNCTION("""COMPUTED_VALUE"""),"GMP Washer - Relay 208/480V PMV10A440 Lavato Electic SPA p/n:011152")</f>
        <v>GMP Washer - Relay 208/480V PMV10A440 Lavato Electic SPA p/n:011152</v>
      </c>
      <c r="C1020" s="2" t="str">
        <f>IFERROR(__xludf.DUMMYFUNCTION("""COMPUTED_VALUE"""),"O-52177-00")</f>
        <v>O-52177-00</v>
      </c>
      <c r="D1020" s="2" t="str">
        <f>if(isna(vlookup(C1020,'On Hand'!A:C,3,0)),"",vlookup(C1020,'On Hand'!A:C,3,0))</f>
        <v/>
      </c>
    </row>
    <row r="1021">
      <c r="A1021" s="2" t="str">
        <f>IFERROR(__xludf.DUMMYFUNCTION("""COMPUTED_VALUE"""),"O-52178-00")</f>
        <v>O-52178-00</v>
      </c>
      <c r="B1021" s="2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1" s="2" t="str">
        <f>IFERROR(__xludf.DUMMYFUNCTION("""COMPUTED_VALUE"""),"O-52178-00")</f>
        <v>O-52178-00</v>
      </c>
      <c r="D1021" s="2" t="str">
        <f>if(isna(vlookup(C1021,'On Hand'!A:C,3,0)),"",vlookup(C1021,'On Hand'!A:C,3,0))</f>
        <v/>
      </c>
    </row>
    <row r="1022">
      <c r="A1022" s="2" t="str">
        <f>IFERROR(__xludf.DUMMYFUNCTION("""COMPUTED_VALUE"""),"O-52179-00")</f>
        <v>O-52179-00</v>
      </c>
      <c r="B1022" s="2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2" s="2" t="str">
        <f>IFERROR(__xludf.DUMMYFUNCTION("""COMPUTED_VALUE"""),"O-52179-00")</f>
        <v>O-52179-00</v>
      </c>
      <c r="D1022" s="2" t="str">
        <f>if(isna(vlookup(C1022,'On Hand'!A:C,3,0)),"",vlookup(C1022,'On Hand'!A:C,3,0))</f>
        <v/>
      </c>
    </row>
    <row r="1023">
      <c r="A1023" s="2" t="str">
        <f>IFERROR(__xludf.DUMMYFUNCTION("""COMPUTED_VALUE"""),"O-52180-00")</f>
        <v>O-52180-00</v>
      </c>
      <c r="B1023" s="2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3" s="2" t="str">
        <f>IFERROR(__xludf.DUMMYFUNCTION("""COMPUTED_VALUE"""),"O-52180-00")</f>
        <v>O-52180-00</v>
      </c>
      <c r="D1023" s="2" t="str">
        <f>if(isna(vlookup(C1023,'On Hand'!A:C,3,0)),"",vlookup(C1023,'On Hand'!A:C,3,0))</f>
        <v/>
      </c>
    </row>
    <row r="1024">
      <c r="A1024" s="2" t="str">
        <f>IFERROR(__xludf.DUMMYFUNCTION("""COMPUTED_VALUE"""),"O-52181-00")</f>
        <v>O-52181-00</v>
      </c>
      <c r="B1024" s="2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4" s="2" t="str">
        <f>IFERROR(__xludf.DUMMYFUNCTION("""COMPUTED_VALUE"""),"O-52181-00")</f>
        <v>O-52181-00</v>
      </c>
      <c r="D1024" s="2" t="str">
        <f>if(isna(vlookup(C1024,'On Hand'!A:C,3,0)),"",vlookup(C1024,'On Hand'!A:C,3,0))</f>
        <v/>
      </c>
    </row>
    <row r="1025">
      <c r="A1025" s="2" t="str">
        <f>IFERROR(__xludf.DUMMYFUNCTION("""COMPUTED_VALUE"""),"O-52182-00")</f>
        <v>O-52182-00</v>
      </c>
      <c r="B1025" s="2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5" s="2" t="str">
        <f>IFERROR(__xludf.DUMMYFUNCTION("""COMPUTED_VALUE"""),"O-52182-00")</f>
        <v>O-52182-00</v>
      </c>
      <c r="D1025" s="2" t="str">
        <f>if(isna(vlookup(C1025,'On Hand'!A:C,3,0)),"",vlookup(C1025,'On Hand'!A:C,3,0))</f>
        <v/>
      </c>
    </row>
    <row r="1026">
      <c r="A1026" s="2" t="str">
        <f>IFERROR(__xludf.DUMMYFUNCTION("""COMPUTED_VALUE"""),"O-52183-00")</f>
        <v>O-52183-00</v>
      </c>
      <c r="B1026" s="2" t="str">
        <f>IFERROR(__xludf.DUMMYFUNCTION("""COMPUTED_VALUE"""),"Carton Sealer - Fuse 10A p/n:2890043")</f>
        <v>Carton Sealer - Fuse 10A p/n:2890043</v>
      </c>
      <c r="C1026" s="2" t="str">
        <f>IFERROR(__xludf.DUMMYFUNCTION("""COMPUTED_VALUE"""),"O-52183-00")</f>
        <v>O-52183-00</v>
      </c>
      <c r="D1026" s="2" t="str">
        <f>if(isna(vlookup(C1026,'On Hand'!A:C,3,0)),"",vlookup(C1026,'On Hand'!A:C,3,0))</f>
        <v/>
      </c>
    </row>
    <row r="1027">
      <c r="A1027" s="2" t="str">
        <f>IFERROR(__xludf.DUMMYFUNCTION("""COMPUTED_VALUE"""),"O-52184-00")</f>
        <v>O-52184-00</v>
      </c>
      <c r="B1027" s="2" t="str">
        <f>IFERROR(__xludf.DUMMYFUNCTION("""COMPUTED_VALUE"""),"Conveyor System - Hub Switch TP-LINK TL-SF-1008D")</f>
        <v>Conveyor System - Hub Switch TP-LINK TL-SF-1008D</v>
      </c>
      <c r="C1027" s="2" t="str">
        <f>IFERROR(__xludf.DUMMYFUNCTION("""COMPUTED_VALUE"""),"O-52184-00")</f>
        <v>O-52184-00</v>
      </c>
      <c r="D1027" s="2" t="str">
        <f>if(isna(vlookup(C1027,'On Hand'!A:C,3,0)),"",vlookup(C1027,'On Hand'!A:C,3,0))</f>
        <v/>
      </c>
    </row>
    <row r="1028">
      <c r="A1028" s="2" t="str">
        <f>IFERROR(__xludf.DUMMYFUNCTION("""COMPUTED_VALUE"""),"O-52185-00")</f>
        <v>O-52185-00</v>
      </c>
      <c r="B1028" s="2" t="str">
        <f>IFERROR(__xludf.DUMMYFUNCTION("""COMPUTED_VALUE"""),"Conveyor System - Inverter ATV12H075M2 0.75KW 220V Scheider")</f>
        <v>Conveyor System - Inverter ATV12H075M2 0.75KW 220V Scheider</v>
      </c>
      <c r="C1028" s="2" t="str">
        <f>IFERROR(__xludf.DUMMYFUNCTION("""COMPUTED_VALUE"""),"O-52185-00")</f>
        <v>O-52185-00</v>
      </c>
      <c r="D1028" s="2" t="str">
        <f>if(isna(vlookup(C1028,'On Hand'!A:C,3,0)),"",vlookup(C1028,'On Hand'!A:C,3,0))</f>
        <v/>
      </c>
    </row>
    <row r="1029">
      <c r="A1029" s="2" t="str">
        <f>IFERROR(__xludf.DUMMYFUNCTION("""COMPUTED_VALUE"""),"O-52186-00")</f>
        <v>O-52186-00</v>
      </c>
      <c r="B1029" s="2" t="str">
        <f>IFERROR(__xludf.DUMMYFUNCTION("""COMPUTED_VALUE"""),"Conveyor System - Photoelectric Sensor E3FA-DN12 Omron")</f>
        <v>Conveyor System - Photoelectric Sensor E3FA-DN12 Omron</v>
      </c>
      <c r="C1029" s="2" t="str">
        <f>IFERROR(__xludf.DUMMYFUNCTION("""COMPUTED_VALUE"""),"O-52186-00")</f>
        <v>O-52186-00</v>
      </c>
      <c r="D1029" s="2" t="str">
        <f>if(isna(vlookup(C1029,'On Hand'!A:C,3,0)),"",vlookup(C1029,'On Hand'!A:C,3,0))</f>
        <v/>
      </c>
    </row>
    <row r="1030">
      <c r="A1030" s="2" t="str">
        <f>IFERROR(__xludf.DUMMYFUNCTION("""COMPUTED_VALUE"""),"O-52187-00")</f>
        <v>O-52187-00</v>
      </c>
      <c r="B1030" s="2" t="str">
        <f>IFERROR(__xludf.DUMMYFUNCTION("""COMPUTED_VALUE"""),"Conveyor System - Amplifier E3X-HD11 Omron")</f>
        <v>Conveyor System - Amplifier E3X-HD11 Omron</v>
      </c>
      <c r="C1030" s="2" t="str">
        <f>IFERROR(__xludf.DUMMYFUNCTION("""COMPUTED_VALUE"""),"O-52187-00")</f>
        <v>O-52187-00</v>
      </c>
      <c r="D1030" s="2" t="str">
        <f>if(isna(vlookup(C1030,'On Hand'!A:C,3,0)),"",vlookup(C1030,'On Hand'!A:C,3,0))</f>
        <v/>
      </c>
    </row>
    <row r="1031">
      <c r="A1031" s="2" t="str">
        <f>IFERROR(__xludf.DUMMYFUNCTION("""COMPUTED_VALUE"""),"O-52188-00")</f>
        <v>O-52188-00</v>
      </c>
      <c r="B1031" s="2" t="str">
        <f>IFERROR(__xludf.DUMMYFUNCTION("""COMPUTED_VALUE"""),"Conveyor System - Optical Sensor E32-CC200 Omron")</f>
        <v>Conveyor System - Optical Sensor E32-CC200 Omron</v>
      </c>
      <c r="C1031" s="2" t="str">
        <f>IFERROR(__xludf.DUMMYFUNCTION("""COMPUTED_VALUE"""),"O-52188-00")</f>
        <v>O-52188-00</v>
      </c>
      <c r="D1031" s="2" t="str">
        <f>if(isna(vlookup(C1031,'On Hand'!A:C,3,0)),"",vlookup(C1031,'On Hand'!A:C,3,0))</f>
        <v/>
      </c>
    </row>
    <row r="1032">
      <c r="A1032" s="2" t="str">
        <f>IFERROR(__xludf.DUMMYFUNCTION("""COMPUTED_VALUE"""),"O-52189-00")</f>
        <v>O-52189-00</v>
      </c>
      <c r="B1032" s="2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2" s="2" t="str">
        <f>IFERROR(__xludf.DUMMYFUNCTION("""COMPUTED_VALUE"""),"O-52189-00")</f>
        <v>O-52189-00</v>
      </c>
      <c r="D1032" s="2" t="str">
        <f>if(isna(vlookup(C1032,'On Hand'!A:C,3,0)),"",vlookup(C1032,'On Hand'!A:C,3,0))</f>
        <v/>
      </c>
    </row>
    <row r="1033">
      <c r="A1033" s="2" t="str">
        <f>IFERROR(__xludf.DUMMYFUNCTION("""COMPUTED_VALUE"""),"O-52199-00")</f>
        <v>O-52199-00</v>
      </c>
      <c r="B1033" s="2" t="str">
        <f>IFERROR(__xludf.DUMMYFUNCTION("""COMPUTED_VALUE"""),"AC Semiconductor Controller RSC-AAM60 Carlo Gavazzi")</f>
        <v>AC Semiconductor Controller RSC-AAM60 Carlo Gavazzi</v>
      </c>
      <c r="C1033" s="2" t="str">
        <f>IFERROR(__xludf.DUMMYFUNCTION("""COMPUTED_VALUE"""),"O-52199-00")</f>
        <v>O-52199-00</v>
      </c>
      <c r="D1033" s="2" t="str">
        <f>if(isna(vlookup(C1033,'On Hand'!A:C,3,0)),"",vlookup(C1033,'On Hand'!A:C,3,0))</f>
        <v/>
      </c>
    </row>
    <row r="1034">
      <c r="A1034" s="2" t="str">
        <f>IFERROR(__xludf.DUMMYFUNCTION("""COMPUTED_VALUE"""),"O-52200-00")</f>
        <v>O-52200-00</v>
      </c>
      <c r="B1034" s="2" t="str">
        <f>IFERROR(__xludf.DUMMYFUNCTION("""COMPUTED_VALUE"""),"FESTO -  Proximity Sensor SME-8M-DS-24V-K-0,3-M8D p/n: 543861; ; ;")</f>
        <v>FESTO -  Proximity Sensor SME-8M-DS-24V-K-0,3-M8D p/n: 543861; ; ;</v>
      </c>
      <c r="C1034" s="2" t="str">
        <f>IFERROR(__xludf.DUMMYFUNCTION("""COMPUTED_VALUE"""),"O-52200-00")</f>
        <v>O-52200-00</v>
      </c>
      <c r="D1034" s="2" t="str">
        <f>if(isna(vlookup(C1034,'On Hand'!A:C,3,0)),"",vlookup(C1034,'On Hand'!A:C,3,0))</f>
        <v>pc</v>
      </c>
    </row>
    <row r="1035">
      <c r="A1035" s="2" t="str">
        <f>IFERROR(__xludf.DUMMYFUNCTION("""COMPUTED_VALUE"""),"O-52207-00")</f>
        <v>O-52207-00</v>
      </c>
      <c r="B1035" s="2" t="str">
        <f>IFERROR(__xludf.DUMMYFUNCTION("""COMPUTED_VALUE"""),"Filling VFM100 - Laser Photoelectric Sensor Head LV-S62 Keyence; ; ;")</f>
        <v>Filling VFM100 - Laser Photoelectric Sensor Head LV-S62 Keyence; ; ;</v>
      </c>
      <c r="C1035" s="2" t="str">
        <f>IFERROR(__xludf.DUMMYFUNCTION("""COMPUTED_VALUE"""),"O-52207-00")</f>
        <v>O-52207-00</v>
      </c>
      <c r="D1035" s="2" t="str">
        <f>if(isna(vlookup(C1035,'On Hand'!A:C,3,0)),"",vlookup(C1035,'On Hand'!A:C,3,0))</f>
        <v>pc</v>
      </c>
    </row>
    <row r="1036">
      <c r="A1036" s="2" t="str">
        <f>IFERROR(__xludf.DUMMYFUNCTION("""COMPUTED_VALUE"""),"O-52208-00")</f>
        <v>O-52208-00</v>
      </c>
      <c r="B1036" s="2" t="str">
        <f>IFERROR(__xludf.DUMMYFUNCTION("""COMPUTED_VALUE"""),"Filling VFM100 - Laser Photoelectric Sensor (Amplifier) LV-N11CP Keyence")</f>
        <v>Filling VFM100 - Laser Photoelectric Sensor (Amplifier) LV-N11CP Keyence</v>
      </c>
      <c r="C1036" s="2" t="str">
        <f>IFERROR(__xludf.DUMMYFUNCTION("""COMPUTED_VALUE"""),"O-52208-00")</f>
        <v>O-52208-00</v>
      </c>
      <c r="D1036" s="2" t="str">
        <f>if(isna(vlookup(C1036,'On Hand'!A:C,3,0)),"",vlookup(C1036,'On Hand'!A:C,3,0))</f>
        <v/>
      </c>
    </row>
    <row r="1037">
      <c r="A1037" s="2" t="str">
        <f>IFERROR(__xludf.DUMMYFUNCTION("""COMPUTED_VALUE"""),"O-52209-00")</f>
        <v>O-52209-00</v>
      </c>
      <c r="B1037" s="2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7" s="2" t="str">
        <f>IFERROR(__xludf.DUMMYFUNCTION("""COMPUTED_VALUE"""),"O-52209-00")</f>
        <v>O-52209-00</v>
      </c>
      <c r="D1037" s="2" t="str">
        <f>if(isna(vlookup(C1037,'On Hand'!A:C,3,0)),"",vlookup(C1037,'On Hand'!A:C,3,0))</f>
        <v/>
      </c>
    </row>
    <row r="1038">
      <c r="A1038" s="2" t="str">
        <f>IFERROR(__xludf.DUMMYFUNCTION("""COMPUTED_VALUE"""),"O-52210-00")</f>
        <v>O-52210-00</v>
      </c>
      <c r="B1038" s="2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8" s="2" t="str">
        <f>IFERROR(__xludf.DUMMYFUNCTION("""COMPUTED_VALUE"""),"O-52210-00")</f>
        <v>O-52210-00</v>
      </c>
      <c r="D1038" s="2" t="str">
        <f>if(isna(vlookup(C1038,'On Hand'!A:C,3,0)),"",vlookup(C1038,'On Hand'!A:C,3,0))</f>
        <v/>
      </c>
    </row>
    <row r="1039">
      <c r="A1039" s="2" t="str">
        <f>IFERROR(__xludf.DUMMYFUNCTION("""COMPUTED_VALUE"""),"O-52211-00")</f>
        <v>O-52211-00</v>
      </c>
      <c r="B1039" s="2" t="str">
        <f>IFERROR(__xludf.DUMMYFUNCTION("""COMPUTED_VALUE"""),"Autoclave Fedegari FVA2/A1 NB2963AT - Valve Actuator 1/2 inch p/n: GM200563")</f>
        <v>Autoclave Fedegari FVA2/A1 NB2963AT - Valve Actuator 1/2 inch p/n: GM200563</v>
      </c>
      <c r="C1039" s="2" t="str">
        <f>IFERROR(__xludf.DUMMYFUNCTION("""COMPUTED_VALUE"""),"O-52211-00")</f>
        <v>O-52211-00</v>
      </c>
      <c r="D1039" s="2" t="str">
        <f>if(isna(vlookup(C1039,'On Hand'!A:C,3,0)),"",vlookup(C1039,'On Hand'!A:C,3,0))</f>
        <v/>
      </c>
    </row>
    <row r="1040">
      <c r="A1040" s="2" t="str">
        <f>IFERROR(__xludf.DUMMYFUNCTION("""COMPUTED_VALUE"""),"O-52213-00")</f>
        <v>O-52213-00</v>
      </c>
      <c r="B1040" s="2" t="str">
        <f>IFERROR(__xludf.DUMMYFUNCTION("""COMPUTED_VALUE"""),"Speed Controller GUA-C-90-A 220-240VAC CGM GUA SERIES")</f>
        <v>Speed Controller GUA-C-90-A 220-240VAC CGM GUA SERIES</v>
      </c>
      <c r="C1040" s="2" t="str">
        <f>IFERROR(__xludf.DUMMYFUNCTION("""COMPUTED_VALUE"""),"O-52213-00")</f>
        <v>O-52213-00</v>
      </c>
      <c r="D1040" s="2" t="str">
        <f>if(isna(vlookup(C1040,'On Hand'!A:C,3,0)),"",vlookup(C1040,'On Hand'!A:C,3,0))</f>
        <v/>
      </c>
    </row>
    <row r="1041">
      <c r="A1041" s="2" t="str">
        <f>IFERROR(__xludf.DUMMYFUNCTION("""COMPUTED_VALUE"""),"O-52224-00")</f>
        <v>O-52224-00</v>
      </c>
      <c r="B1041" s="2" t="str">
        <f>IFERROR(__xludf.DUMMYFUNCTION("""COMPUTED_VALUE"""),"Tunnel ST1L - Fuse Keramik 22x58 40A 200kA; ; ;")</f>
        <v>Tunnel ST1L - Fuse Keramik 22x58 40A 200kA; ; ;</v>
      </c>
      <c r="C1041" s="2" t="str">
        <f>IFERROR(__xludf.DUMMYFUNCTION("""COMPUTED_VALUE"""),"O-52224-00")</f>
        <v>O-52224-00</v>
      </c>
      <c r="D1041" s="2" t="str">
        <f>if(isna(vlookup(C1041,'On Hand'!A:C,3,0)),"",vlookup(C1041,'On Hand'!A:C,3,0))</f>
        <v>pc</v>
      </c>
    </row>
    <row r="1042">
      <c r="A1042" s="2" t="str">
        <f>IFERROR(__xludf.DUMMYFUNCTION("""COMPUTED_VALUE"""),"O-52225-00")</f>
        <v>O-52225-00</v>
      </c>
      <c r="B1042" s="2" t="str">
        <f>IFERROR(__xludf.DUMMYFUNCTION("""COMPUTED_VALUE"""),"Tunnel ST1L - Fuse Keramik 25A")</f>
        <v>Tunnel ST1L - Fuse Keramik 25A</v>
      </c>
      <c r="C1042" s="2" t="str">
        <f>IFERROR(__xludf.DUMMYFUNCTION("""COMPUTED_VALUE"""),"O-52225-00")</f>
        <v>O-52225-00</v>
      </c>
      <c r="D1042" s="2" t="str">
        <f>if(isna(vlookup(C1042,'On Hand'!A:C,3,0)),"",vlookup(C1042,'On Hand'!A:C,3,0))</f>
        <v>pc</v>
      </c>
    </row>
    <row r="1043">
      <c r="A1043" s="2" t="str">
        <f>IFERROR(__xludf.DUMMYFUNCTION("""COMPUTED_VALUE"""),"O-52229-00")</f>
        <v>O-52229-00</v>
      </c>
      <c r="B1043" s="2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3" s="2" t="str">
        <f>IFERROR(__xludf.DUMMYFUNCTION("""COMPUTED_VALUE"""),"O-52229-00")</f>
        <v>O-52229-00</v>
      </c>
      <c r="D1043" s="2" t="str">
        <f>if(isna(vlookup(C1043,'On Hand'!A:C,3,0)),"",vlookup(C1043,'On Hand'!A:C,3,0))</f>
        <v>pc</v>
      </c>
    </row>
    <row r="1044">
      <c r="A1044" s="2" t="str">
        <f>IFERROR(__xludf.DUMMYFUNCTION("""COMPUTED_VALUE"""),"O-52234-00")</f>
        <v>O-52234-00</v>
      </c>
      <c r="B1044" s="2" t="str">
        <f>IFERROR(__xludf.DUMMYFUNCTION("""COMPUTED_VALUE"""),"Sensor Amplifier OBF502 IFM")</f>
        <v>Sensor Amplifier OBF502 IFM</v>
      </c>
      <c r="C1044" s="2" t="str">
        <f>IFERROR(__xludf.DUMMYFUNCTION("""COMPUTED_VALUE"""),"O-52234-00")</f>
        <v>O-52234-00</v>
      </c>
      <c r="D1044" s="2" t="str">
        <f>if(isna(vlookup(C1044,'On Hand'!A:C,3,0)),"",vlookup(C1044,'On Hand'!A:C,3,0))</f>
        <v/>
      </c>
    </row>
    <row r="1045">
      <c r="A1045" s="2" t="str">
        <f>IFERROR(__xludf.DUMMYFUNCTION("""COMPUTED_VALUE"""),"O-52240-00")</f>
        <v>O-52240-00</v>
      </c>
      <c r="B1045" s="2" t="str">
        <f>IFERROR(__xludf.DUMMYFUNCTION("""COMPUTED_VALUE"""),"WAGO 750-623 Supply Modul Input 5-15 V")</f>
        <v>WAGO 750-623 Supply Modul Input 5-15 V</v>
      </c>
      <c r="C1045" s="2" t="str">
        <f>IFERROR(__xludf.DUMMYFUNCTION("""COMPUTED_VALUE"""),"O-52240-00")</f>
        <v>O-52240-00</v>
      </c>
      <c r="D1045" s="2" t="str">
        <f>if(isna(vlookup(C1045,'On Hand'!A:C,3,0)),"",vlookup(C1045,'On Hand'!A:C,3,0))</f>
        <v>pc</v>
      </c>
    </row>
    <row r="1046">
      <c r="A1046" s="2" t="str">
        <f>IFERROR(__xludf.DUMMYFUNCTION("""COMPUTED_VALUE"""),"O-52241-00")</f>
        <v>O-52241-00</v>
      </c>
      <c r="B1046" s="2" t="str">
        <f>IFERROR(__xludf.DUMMYFUNCTION("""COMPUTED_VALUE"""),"Tunnel ST1L - Potensio 10K; ; ;")</f>
        <v>Tunnel ST1L - Potensio 10K; ; ;</v>
      </c>
      <c r="C1046" s="2" t="str">
        <f>IFERROR(__xludf.DUMMYFUNCTION("""COMPUTED_VALUE"""),"O-52241-00")</f>
        <v>O-52241-00</v>
      </c>
      <c r="D1046" s="2" t="str">
        <f>if(isna(vlookup(C1046,'On Hand'!A:C,3,0)),"",vlookup(C1046,'On Hand'!A:C,3,0))</f>
        <v>pc</v>
      </c>
    </row>
    <row r="1047">
      <c r="A1047" s="2" t="str">
        <f>IFERROR(__xludf.DUMMYFUNCTION("""COMPUTED_VALUE"""),"O-52250-00")</f>
        <v>O-52250-00</v>
      </c>
      <c r="B1047" s="2" t="str">
        <f>IFERROR(__xludf.DUMMYFUNCTION("""COMPUTED_VALUE"""),"Tunnel ST1L - END Module 750-600 Wago")</f>
        <v>Tunnel ST1L - END Module 750-600 Wago</v>
      </c>
      <c r="C1047" s="2" t="str">
        <f>IFERROR(__xludf.DUMMYFUNCTION("""COMPUTED_VALUE"""),"O-52250-00")</f>
        <v>O-52250-00</v>
      </c>
      <c r="D1047" s="2" t="str">
        <f>if(isna(vlookup(C1047,'On Hand'!A:C,3,0)),"",vlookup(C1047,'On Hand'!A:C,3,0))</f>
        <v>pc</v>
      </c>
    </row>
    <row r="1048">
      <c r="A1048" s="2" t="str">
        <f>IFERROR(__xludf.DUMMYFUNCTION("""COMPUTED_VALUE"""),"O-52263-00")</f>
        <v>O-52263-00</v>
      </c>
      <c r="B1048" s="2" t="str">
        <f>IFERROR(__xludf.DUMMYFUNCTION("""COMPUTED_VALUE"""),"Thermostate Analog 30-110C 220VAC")</f>
        <v>Thermostate Analog 30-110C 220VAC</v>
      </c>
      <c r="C1048" s="2" t="str">
        <f>IFERROR(__xludf.DUMMYFUNCTION("""COMPUTED_VALUE"""),"O-52263-00")</f>
        <v>O-52263-00</v>
      </c>
      <c r="D1048" s="2" t="str">
        <f>if(isna(vlookup(C1048,'On Hand'!A:C,3,0)),"",vlookup(C1048,'On Hand'!A:C,3,0))</f>
        <v/>
      </c>
    </row>
    <row r="1049">
      <c r="A1049" s="2" t="str">
        <f>IFERROR(__xludf.DUMMYFUNCTION("""COMPUTED_VALUE"""),"O-52268-00")</f>
        <v>O-52268-00</v>
      </c>
      <c r="B1049" s="2" t="str">
        <f>IFERROR(__xludf.DUMMYFUNCTION("""COMPUTED_VALUE"""),"cRABS Z064CR - Proximity Sensor BNS260-11ZG-ST-L Schmersal")</f>
        <v>cRABS Z064CR - Proximity Sensor BNS260-11ZG-ST-L Schmersal</v>
      </c>
      <c r="C1049" s="2" t="str">
        <f>IFERROR(__xludf.DUMMYFUNCTION("""COMPUTED_VALUE"""),"O-52268-00")</f>
        <v>O-52268-00</v>
      </c>
      <c r="D1049" s="2" t="str">
        <f>if(isna(vlookup(C1049,'On Hand'!A:C,3,0)),"",vlookup(C1049,'On Hand'!A:C,3,0))</f>
        <v/>
      </c>
    </row>
    <row r="1050">
      <c r="A1050" s="2" t="str">
        <f>IFERROR(__xludf.DUMMYFUNCTION("""COMPUTED_VALUE"""),"O-52269-00")</f>
        <v>O-52269-00</v>
      </c>
      <c r="B1050" s="2" t="str">
        <f>IFERROR(__xludf.DUMMYFUNCTION("""COMPUTED_VALUE"""),"Selenoid Valve 2 Way Brass, 24VDC, 1/2 inch; ; ;")</f>
        <v>Selenoid Valve 2 Way Brass, 24VDC, 1/2 inch; ; ;</v>
      </c>
      <c r="C1050" s="2" t="str">
        <f>IFERROR(__xludf.DUMMYFUNCTION("""COMPUTED_VALUE"""),"O-52269-00")</f>
        <v>O-52269-00</v>
      </c>
      <c r="D1050" s="2" t="str">
        <f>if(isna(vlookup(C1050,'On Hand'!A:C,3,0)),"",vlookup(C1050,'On Hand'!A:C,3,0))</f>
        <v>pc</v>
      </c>
    </row>
    <row r="1051">
      <c r="A1051" s="2" t="str">
        <f>IFERROR(__xludf.DUMMYFUNCTION("""COMPUTED_VALUE"""),"O-52271-00")</f>
        <v>O-52271-00</v>
      </c>
      <c r="B1051" s="2" t="str">
        <f>IFERROR(__xludf.DUMMYFUNCTION("""COMPUTED_VALUE"""),"Freeze Dryer MBE1207 - Flow Switch SMC Part No. IFW550-N04-00")</f>
        <v>Freeze Dryer MBE1207 - Flow Switch SMC Part No. IFW550-N04-00</v>
      </c>
      <c r="C1051" s="2" t="str">
        <f>IFERROR(__xludf.DUMMYFUNCTION("""COMPUTED_VALUE"""),"O-52271-00")</f>
        <v>O-52271-00</v>
      </c>
      <c r="D1051" s="2" t="str">
        <f>if(isna(vlookup(C1051,'On Hand'!A:C,3,0)),"",vlookup(C1051,'On Hand'!A:C,3,0))</f>
        <v>pc</v>
      </c>
    </row>
    <row r="1052">
      <c r="A1052" s="2" t="str">
        <f>IFERROR(__xludf.DUMMYFUNCTION("""COMPUTED_VALUE"""),"O-52277-00")</f>
        <v>O-52277-00</v>
      </c>
      <c r="B1052" s="2" t="str">
        <f>IFERROR(__xludf.DUMMYFUNCTION("""COMPUTED_VALUE"""),"Chin Yen CY-1300S-N - Label Sensor; SICK; Part No. WF2-40B410;")</f>
        <v>Chin Yen CY-1300S-N - Label Sensor; SICK; Part No. WF2-40B410;</v>
      </c>
      <c r="C1052" s="2" t="str">
        <f>IFERROR(__xludf.DUMMYFUNCTION("""COMPUTED_VALUE"""),"O-52277-00")</f>
        <v>O-52277-00</v>
      </c>
      <c r="D1052" s="2" t="str">
        <f>if(isna(vlookup(C1052,'On Hand'!A:C,3,0)),"",vlookup(C1052,'On Hand'!A:C,3,0))</f>
        <v>pc</v>
      </c>
    </row>
    <row r="1053">
      <c r="A1053" s="2" t="str">
        <f>IFERROR(__xludf.DUMMYFUNCTION("""COMPUTED_VALUE"""),"O-52278-00")</f>
        <v>O-52278-00</v>
      </c>
      <c r="B1053" s="2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3" s="2" t="str">
        <f>IFERROR(__xludf.DUMMYFUNCTION("""COMPUTED_VALUE"""),"O-52278-00")</f>
        <v>O-52278-00</v>
      </c>
      <c r="D1053" s="2" t="str">
        <f>if(isna(vlookup(C1053,'On Hand'!A:C,3,0)),"",vlookup(C1053,'On Hand'!A:C,3,0))</f>
        <v/>
      </c>
    </row>
    <row r="1054">
      <c r="A1054" s="2" t="str">
        <f>IFERROR(__xludf.DUMMYFUNCTION("""COMPUTED_VALUE"""),"O-52313-00")</f>
        <v>O-52313-00</v>
      </c>
      <c r="B1054" s="2" t="str">
        <f>IFERROR(__xludf.DUMMYFUNCTION("""COMPUTED_VALUE"""),"Selenoid Valve VZWD-L-M22C-M-G14-10-V-1P4-50 Festo P/n: 1491828")</f>
        <v>Selenoid Valve VZWD-L-M22C-M-G14-10-V-1P4-50 Festo P/n: 1491828</v>
      </c>
      <c r="C1054" s="2" t="str">
        <f>IFERROR(__xludf.DUMMYFUNCTION("""COMPUTED_VALUE"""),"O-52313-00")</f>
        <v>O-52313-00</v>
      </c>
      <c r="D1054" s="2" t="str">
        <f>if(isna(vlookup(C1054,'On Hand'!A:C,3,0)),"",vlookup(C1054,'On Hand'!A:C,3,0))</f>
        <v>pc</v>
      </c>
    </row>
    <row r="1055">
      <c r="A1055" s="2" t="str">
        <f>IFERROR(__xludf.DUMMYFUNCTION("""COMPUTED_VALUE"""),"O-52314-00")</f>
        <v>O-52314-00</v>
      </c>
      <c r="B1055" s="2" t="str">
        <f>IFERROR(__xludf.DUMMYFUNCTION("""COMPUTED_VALUE"""),"Selenoid Valve VSNC-FC-M52-MD-G14-F8-1B2; Festo; P/n: 577295;")</f>
        <v>Selenoid Valve VSNC-FC-M52-MD-G14-F8-1B2; Festo; P/n: 577295;</v>
      </c>
      <c r="C1055" s="2" t="str">
        <f>IFERROR(__xludf.DUMMYFUNCTION("""COMPUTED_VALUE"""),"O-52314-00")</f>
        <v>O-52314-00</v>
      </c>
      <c r="D1055" s="2" t="str">
        <f>if(isna(vlookup(C1055,'On Hand'!A:C,3,0)),"",vlookup(C1055,'On Hand'!A:C,3,0))</f>
        <v>pc</v>
      </c>
    </row>
    <row r="1056">
      <c r="A1056" s="2" t="str">
        <f>IFERROR(__xludf.DUMMYFUNCTION("""COMPUTED_VALUE"""),"O-52316-00")</f>
        <v>O-52316-00</v>
      </c>
      <c r="B1056" s="2" t="str">
        <f>IFERROR(__xludf.DUMMYFUNCTION("""COMPUTED_VALUE"""),"Socket Sensor 4 Pin Drat M8 DOS-0804-G; Sick; ;")</f>
        <v>Socket Sensor 4 Pin Drat M8 DOS-0804-G; Sick; ;</v>
      </c>
      <c r="C1056" s="2" t="str">
        <f>IFERROR(__xludf.DUMMYFUNCTION("""COMPUTED_VALUE"""),"O-52316-00")</f>
        <v>O-52316-00</v>
      </c>
      <c r="D1056" s="2" t="str">
        <f>if(isna(vlookup(C1056,'On Hand'!A:C,3,0)),"",vlookup(C1056,'On Hand'!A:C,3,0))</f>
        <v>unt</v>
      </c>
    </row>
    <row r="1057">
      <c r="A1057" s="2" t="str">
        <f>IFERROR(__xludf.DUMMYFUNCTION("""COMPUTED_VALUE"""),"O-52317-00")</f>
        <v>O-52317-00</v>
      </c>
      <c r="B1057" s="2" t="str">
        <f>IFERROR(__xludf.DUMMYFUNCTION("""COMPUTED_VALUE"""),"Safety Relay F3SP-U3P-TGR; Omron; ;")</f>
        <v>Safety Relay F3SP-U3P-TGR; Omron; ;</v>
      </c>
      <c r="C1057" s="2" t="str">
        <f>IFERROR(__xludf.DUMMYFUNCTION("""COMPUTED_VALUE"""),"O-52317-00")</f>
        <v>O-52317-00</v>
      </c>
      <c r="D1057" s="2" t="str">
        <f>if(isna(vlookup(C1057,'On Hand'!A:C,3,0)),"",vlookup(C1057,'On Hand'!A:C,3,0))</f>
        <v/>
      </c>
    </row>
    <row r="1058">
      <c r="A1058" s="2" t="str">
        <f>IFERROR(__xludf.DUMMYFUNCTION("""COMPUTED_VALUE"""),"O-52318-00")</f>
        <v>O-52318-00</v>
      </c>
      <c r="B1058" s="2" t="str">
        <f>IFERROR(__xludf.DUMMYFUNCTION("""COMPUTED_VALUE"""),"Kabel pelangi 10 pin + socket")</f>
        <v>Kabel pelangi 10 pin + socket</v>
      </c>
      <c r="C1058" s="2" t="str">
        <f>IFERROR(__xludf.DUMMYFUNCTION("""COMPUTED_VALUE"""),"O-52318-00")</f>
        <v>O-52318-00</v>
      </c>
      <c r="D1058" s="2" t="str">
        <f>if(isna(vlookup(C1058,'On Hand'!A:C,3,0)),"",vlookup(C1058,'On Hand'!A:C,3,0))</f>
        <v/>
      </c>
    </row>
    <row r="1059">
      <c r="A1059" s="2" t="str">
        <f>IFERROR(__xludf.DUMMYFUNCTION("""COMPUTED_VALUE"""),"O-52323-00")</f>
        <v>O-52323-00</v>
      </c>
      <c r="B1059" s="2" t="str">
        <f>IFERROR(__xludf.DUMMYFUNCTION("""COMPUTED_VALUE"""),"Blower 12VDC P/n: 119494-00 AMETEK")</f>
        <v>Blower 12VDC P/n: 119494-00 AMETEK</v>
      </c>
      <c r="C1059" s="2" t="str">
        <f>IFERROR(__xludf.DUMMYFUNCTION("""COMPUTED_VALUE"""),"O-52323-00")</f>
        <v>O-52323-00</v>
      </c>
      <c r="D1059" s="2" t="str">
        <f>if(isna(vlookup(C1059,'On Hand'!A:C,3,0)),"",vlookup(C1059,'On Hand'!A:C,3,0))</f>
        <v/>
      </c>
    </row>
    <row r="1060">
      <c r="A1060" s="2" t="str">
        <f>IFERROR(__xludf.DUMMYFUNCTION("""COMPUTED_VALUE"""),"O-52326-00")</f>
        <v>O-52326-00</v>
      </c>
      <c r="B1060" s="2" t="str">
        <f>IFERROR(__xludf.DUMMYFUNCTION("""COMPUTED_VALUE"""),"Marchesini MA155 - Power Supply cV5_DC A5E30947477-H3 Siemens")</f>
        <v>Marchesini MA155 - Power Supply cV5_DC A5E30947477-H3 Siemens</v>
      </c>
      <c r="C1060" s="2" t="str">
        <f>IFERROR(__xludf.DUMMYFUNCTION("""COMPUTED_VALUE"""),"O-52326-00")</f>
        <v>O-52326-00</v>
      </c>
      <c r="D1060" s="2" t="str">
        <f>if(isna(vlookup(C1060,'On Hand'!A:C,3,0)),"",vlookup(C1060,'On Hand'!A:C,3,0))</f>
        <v>pc</v>
      </c>
    </row>
    <row r="1061">
      <c r="A1061" s="2" t="str">
        <f>IFERROR(__xludf.DUMMYFUNCTION("""COMPUTED_VALUE"""),"O-52336-00")</f>
        <v>O-52336-00</v>
      </c>
      <c r="B1061" s="2" t="str">
        <f>IFERROR(__xludf.DUMMYFUNCTION("""COMPUTED_VALUE"""),"Capping VCM200 - Encoder ARS60-A4A08192 10-32 VDC SICK")</f>
        <v>Capping VCM200 - Encoder ARS60-A4A08192 10-32 VDC SICK</v>
      </c>
      <c r="C1061" s="2" t="str">
        <f>IFERROR(__xludf.DUMMYFUNCTION("""COMPUTED_VALUE"""),"O-52336-00")</f>
        <v>O-52336-00</v>
      </c>
      <c r="D1061" s="2" t="str">
        <f>if(isna(vlookup(C1061,'On Hand'!A:C,3,0)),"",vlookup(C1061,'On Hand'!A:C,3,0))</f>
        <v>pc</v>
      </c>
    </row>
    <row r="1062">
      <c r="A1062" s="2" t="str">
        <f>IFERROR(__xludf.DUMMYFUNCTION("""COMPUTED_VALUE"""),"O-52355-00")</f>
        <v>O-52355-00</v>
      </c>
      <c r="B1062" s="2" t="str">
        <f>IFERROR(__xludf.DUMMYFUNCTION("""COMPUTED_VALUE"""),"Solenoid Valve type 55B-24-PE-611JB MAC")</f>
        <v>Solenoid Valve type 55B-24-PE-611JB MAC</v>
      </c>
      <c r="C1062" s="2" t="str">
        <f>IFERROR(__xludf.DUMMYFUNCTION("""COMPUTED_VALUE"""),"O-52355-00")</f>
        <v>O-52355-00</v>
      </c>
      <c r="D1062" s="2" t="str">
        <f>if(isna(vlookup(C1062,'On Hand'!A:C,3,0)),"",vlookup(C1062,'On Hand'!A:C,3,0))</f>
        <v>unt</v>
      </c>
    </row>
    <row r="1063">
      <c r="A1063" s="2" t="str">
        <f>IFERROR(__xludf.DUMMYFUNCTION("""COMPUTED_VALUE"""),"O-52381-00")</f>
        <v>O-52381-00</v>
      </c>
      <c r="B1063" s="2" t="str">
        <f>IFERROR(__xludf.DUMMYFUNCTION("""COMPUTED_VALUE"""),"Flowmeter P/n: 9193142 Miele")</f>
        <v>Flowmeter P/n: 9193142 Miele</v>
      </c>
      <c r="C1063" s="2" t="str">
        <f>IFERROR(__xludf.DUMMYFUNCTION("""COMPUTED_VALUE"""),"O-52381-00")</f>
        <v>O-52381-00</v>
      </c>
      <c r="D1063" s="2" t="str">
        <f>if(isna(vlookup(C1063,'On Hand'!A:C,3,0)),"",vlookup(C1063,'On Hand'!A:C,3,0))</f>
        <v/>
      </c>
    </row>
    <row r="1064">
      <c r="A1064" s="2" t="str">
        <f>IFERROR(__xludf.DUMMYFUNCTION("""COMPUTED_VALUE"""),"O-52387-00")</f>
        <v>O-52387-00</v>
      </c>
      <c r="B1064" s="2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4" s="2" t="str">
        <f>IFERROR(__xludf.DUMMYFUNCTION("""COMPUTED_VALUE"""),"O-52387-00")</f>
        <v>O-52387-00</v>
      </c>
      <c r="D1064" s="2" t="str">
        <f>if(isna(vlookup(C1064,'On Hand'!A:C,3,0)),"",vlookup(C1064,'On Hand'!A:C,3,0))</f>
        <v/>
      </c>
    </row>
    <row r="1065">
      <c r="A1065" s="2" t="str">
        <f>IFERROR(__xludf.DUMMYFUNCTION("""COMPUTED_VALUE"""),"O-52398-00")</f>
        <v>O-52398-00</v>
      </c>
      <c r="B1065" s="2" t="str">
        <f>IFERROR(__xludf.DUMMYFUNCTION("""COMPUTED_VALUE"""),"Kabel Fiber Optic FD-620-10; Autonics; ;")</f>
        <v>Kabel Fiber Optic FD-620-10; Autonics; ;</v>
      </c>
      <c r="C1065" s="2" t="str">
        <f>IFERROR(__xludf.DUMMYFUNCTION("""COMPUTED_VALUE"""),"O-52398-00")</f>
        <v>O-52398-00</v>
      </c>
      <c r="D1065" s="2" t="str">
        <f>if(isna(vlookup(C1065,'On Hand'!A:C,3,0)),"",vlookup(C1065,'On Hand'!A:C,3,0))</f>
        <v>unt</v>
      </c>
    </row>
    <row r="1066">
      <c r="A1066" s="2" t="str">
        <f>IFERROR(__xludf.DUMMYFUNCTION("""COMPUTED_VALUE"""),"O-52430-00")</f>
        <v>O-52430-00</v>
      </c>
      <c r="B1066" s="2" t="str">
        <f>IFERROR(__xludf.DUMMYFUNCTION("""COMPUTED_VALUE"""),"Fan KDE2405PFB1-8; SUNON; ;")</f>
        <v>Fan KDE2405PFB1-8; SUNON; ;</v>
      </c>
      <c r="C1066" s="2" t="str">
        <f>IFERROR(__xludf.DUMMYFUNCTION("""COMPUTED_VALUE"""),"O-52430-00")</f>
        <v>O-52430-00</v>
      </c>
      <c r="D1066" s="2" t="str">
        <f>if(isna(vlookup(C1066,'On Hand'!A:C,3,0)),"",vlookup(C1066,'On Hand'!A:C,3,0))</f>
        <v>pc</v>
      </c>
    </row>
    <row r="1067">
      <c r="A1067" s="2" t="str">
        <f>IFERROR(__xludf.DUMMYFUNCTION("""COMPUTED_VALUE"""),"O-52431-00")</f>
        <v>O-52431-00</v>
      </c>
      <c r="B1067" s="2" t="str">
        <f>IFERROR(__xludf.DUMMYFUNCTION("""COMPUTED_VALUE"""),"Sensor Alcohol PIR 7000 Type:334 M25 HART Drager")</f>
        <v>Sensor Alcohol PIR 7000 Type:334 M25 HART Drager</v>
      </c>
      <c r="C1067" s="2" t="str">
        <f>IFERROR(__xludf.DUMMYFUNCTION("""COMPUTED_VALUE"""),"O-52431-00")</f>
        <v>O-52431-00</v>
      </c>
      <c r="D1067" s="2" t="str">
        <f>if(isna(vlookup(C1067,'On Hand'!A:C,3,0)),"",vlookup(C1067,'On Hand'!A:C,3,0))</f>
        <v/>
      </c>
    </row>
    <row r="1068">
      <c r="A1068" s="2" t="str">
        <f>IFERROR(__xludf.DUMMYFUNCTION("""COMPUTED_VALUE"""),"O-52443-00")</f>
        <v>O-52443-00</v>
      </c>
      <c r="B1068" s="2" t="str">
        <f>IFERROR(__xludf.DUMMYFUNCTION("""COMPUTED_VALUE"""),"Analog Input 8 Channel 331-7KF02-0AB0; Siemens; ;")</f>
        <v>Analog Input 8 Channel 331-7KF02-0AB0; Siemens; ;</v>
      </c>
      <c r="C1068" s="2" t="str">
        <f>IFERROR(__xludf.DUMMYFUNCTION("""COMPUTED_VALUE"""),"O-52443-00")</f>
        <v>O-52443-00</v>
      </c>
      <c r="D1068" s="2" t="str">
        <f>if(isna(vlookup(C1068,'On Hand'!A:C,3,0)),"",vlookup(C1068,'On Hand'!A:C,3,0))</f>
        <v>pc</v>
      </c>
    </row>
    <row r="1069">
      <c r="A1069" s="2" t="str">
        <f>IFERROR(__xludf.DUMMYFUNCTION("""COMPUTED_VALUE"""),"O-52467-00")</f>
        <v>O-52467-00</v>
      </c>
      <c r="B1069" s="2" t="str">
        <f>IFERROR(__xludf.DUMMYFUNCTION("""COMPUTED_VALUE"""),"PMS Airnet - P/N. 1000013870 FRU,R,ANII,PROCESSOR PCB; ; ;")</f>
        <v>PMS Airnet - P/N. 1000013870 FRU,R,ANII,PROCESSOR PCB; ; ;</v>
      </c>
      <c r="C1069" s="2" t="str">
        <f>IFERROR(__xludf.DUMMYFUNCTION("""COMPUTED_VALUE"""),"O-52467-00")</f>
        <v>O-52467-00</v>
      </c>
      <c r="D1069" s="2" t="str">
        <f>if(isna(vlookup(C1069,'On Hand'!A:C,3,0)),"",vlookup(C1069,'On Hand'!A:C,3,0))</f>
        <v/>
      </c>
    </row>
    <row r="1070">
      <c r="A1070" s="2" t="str">
        <f>IFERROR(__xludf.DUMMYFUNCTION("""COMPUTED_VALUE"""),"O-52478-00")</f>
        <v>O-52478-00</v>
      </c>
      <c r="B1070" s="2" t="str">
        <f>IFERROR(__xludf.DUMMYFUNCTION("""COMPUTED_VALUE"""),"General - Proximity Sensor; Schmersal; BNS260-11ZG-ST-R; 1 Pc")</f>
        <v>General - Proximity Sensor; Schmersal; BNS260-11ZG-ST-R; 1 Pc</v>
      </c>
      <c r="C1070" s="2" t="str">
        <f>IFERROR(__xludf.DUMMYFUNCTION("""COMPUTED_VALUE"""),"O-52478-00")</f>
        <v>O-52478-00</v>
      </c>
      <c r="D1070" s="2" t="str">
        <f>if(isna(vlookup(C1070,'On Hand'!A:C,3,0)),"",vlookup(C1070,'On Hand'!A:C,3,0))</f>
        <v>pc</v>
      </c>
    </row>
    <row r="1071">
      <c r="A1071" s="2" t="str">
        <f>IFERROR(__xludf.DUMMYFUNCTION("""COMPUTED_VALUE"""),"O-52496-00")</f>
        <v>O-52496-00</v>
      </c>
      <c r="B1071" s="2" t="str">
        <f>IFERROR(__xludf.DUMMYFUNCTION("""COMPUTED_VALUE"""),"Selenoid Valve SMC P/N : VF5220-5DZ1-03")</f>
        <v>Selenoid Valve SMC P/N : VF5220-5DZ1-03</v>
      </c>
      <c r="C1071" s="2" t="str">
        <f>IFERROR(__xludf.DUMMYFUNCTION("""COMPUTED_VALUE"""),"O-52496-00")</f>
        <v>O-52496-00</v>
      </c>
      <c r="D1071" s="2" t="str">
        <f>if(isna(vlookup(C1071,'On Hand'!A:C,3,0)),"",vlookup(C1071,'On Hand'!A:C,3,0))</f>
        <v>pc</v>
      </c>
    </row>
    <row r="1072">
      <c r="A1072" s="2" t="str">
        <f>IFERROR(__xludf.DUMMYFUNCTION("""COMPUTED_VALUE"""),"O-52497-00")</f>
        <v>O-52497-00</v>
      </c>
      <c r="B1072" s="2" t="str">
        <f>IFERROR(__xludf.DUMMYFUNCTION("""COMPUTED_VALUE"""),"UV Lamp SUEZ P/N: CARK 35010-01")</f>
        <v>UV Lamp SUEZ P/N: CARK 35010-01</v>
      </c>
      <c r="C1072" s="2" t="str">
        <f>IFERROR(__xludf.DUMMYFUNCTION("""COMPUTED_VALUE"""),"O-52497-00")</f>
        <v>O-52497-00</v>
      </c>
      <c r="D1072" s="2" t="str">
        <f>if(isna(vlookup(C1072,'On Hand'!A:C,3,0)),"",vlookup(C1072,'On Hand'!A:C,3,0))</f>
        <v/>
      </c>
    </row>
    <row r="1073">
      <c r="A1073" s="2" t="str">
        <f>IFERROR(__xludf.DUMMYFUNCTION("""COMPUTED_VALUE"""),"O-52530-00")</f>
        <v>O-52530-00</v>
      </c>
      <c r="B1073" s="2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3" s="2" t="str">
        <f>IFERROR(__xludf.DUMMYFUNCTION("""COMPUTED_VALUE"""),"O-52530-00")</f>
        <v>O-52530-00</v>
      </c>
      <c r="D1073" s="2" t="str">
        <f>if(isna(vlookup(C1073,'On Hand'!A:C,3,0)),"",vlookup(C1073,'On Hand'!A:C,3,0))</f>
        <v/>
      </c>
    </row>
    <row r="1074">
      <c r="A1074" s="2" t="str">
        <f>IFERROR(__xludf.DUMMYFUNCTION("""COMPUTED_VALUE"""),"O-52561-00")</f>
        <v>O-52561-00</v>
      </c>
      <c r="B1074" s="2" t="str">
        <f>IFERROR(__xludf.DUMMYFUNCTION("""COMPUTED_VALUE"""),"UPS Type I Plug IPG800, Capacity 800 VA; Riello; ;")</f>
        <v>UPS Type I Plug IPG800, Capacity 800 VA; Riello; ;</v>
      </c>
      <c r="C1074" s="2" t="str">
        <f>IFERROR(__xludf.DUMMYFUNCTION("""COMPUTED_VALUE"""),"O-52561-00")</f>
        <v>O-52561-00</v>
      </c>
      <c r="D1074" s="2" t="str">
        <f>if(isna(vlookup(C1074,'On Hand'!A:C,3,0)),"",vlookup(C1074,'On Hand'!A:C,3,0))</f>
        <v/>
      </c>
    </row>
    <row r="1075">
      <c r="A1075" s="2" t="str">
        <f>IFERROR(__xludf.DUMMYFUNCTION("""COMPUTED_VALUE"""),"O-52596-00")</f>
        <v>O-52596-00</v>
      </c>
      <c r="B1075" s="2" t="str">
        <f>IFERROR(__xludf.DUMMYFUNCTION("""COMPUTED_VALUE"""),"Autoclave Fedegari FVA2/A1 NB2966AT - Proface Printer GP401355")</f>
        <v>Autoclave Fedegari FVA2/A1 NB2966AT - Proface Printer GP401355</v>
      </c>
      <c r="C1075" s="2" t="str">
        <f>IFERROR(__xludf.DUMMYFUNCTION("""COMPUTED_VALUE"""),"O-52596-00")</f>
        <v>O-52596-00</v>
      </c>
      <c r="D1075" s="2" t="str">
        <f>if(isna(vlookup(C1075,'On Hand'!A:C,3,0)),"",vlookup(C1075,'On Hand'!A:C,3,0))</f>
        <v/>
      </c>
    </row>
    <row r="1076">
      <c r="A1076" s="2" t="str">
        <f>IFERROR(__xludf.DUMMYFUNCTION("""COMPUTED_VALUE"""),"O-52597-00")</f>
        <v>O-52597-00</v>
      </c>
      <c r="B1076" s="2" t="str">
        <f>IFERROR(__xludf.DUMMYFUNCTION("""COMPUTED_VALUE"""),"Selenoid Valve VZWD-L-M22C-M-G12-135-1P4-10 Festo")</f>
        <v>Selenoid Valve VZWD-L-M22C-M-G12-135-1P4-10 Festo</v>
      </c>
      <c r="C1076" s="2" t="str">
        <f>IFERROR(__xludf.DUMMYFUNCTION("""COMPUTED_VALUE"""),"O-52597-00")</f>
        <v>O-52597-00</v>
      </c>
      <c r="D1076" s="2" t="str">
        <f>if(isna(vlookup(C1076,'On Hand'!A:C,3,0)),"",vlookup(C1076,'On Hand'!A:C,3,0))</f>
        <v/>
      </c>
    </row>
    <row r="1077">
      <c r="A1077" s="2" t="str">
        <f>IFERROR(__xludf.DUMMYFUNCTION("""COMPUTED_VALUE"""),"O-52621-00")</f>
        <v>O-52621-00</v>
      </c>
      <c r="B1077" s="2" t="str">
        <f>IFERROR(__xludf.DUMMYFUNCTION("""COMPUTED_VALUE"""),"Printing Mechanism MT2460 CUT+HORIS SUPP p/n : 917EF051700000 CUSTOM")</f>
        <v>Printing Mechanism MT2460 CUT+HORIS SUPP p/n : 917EF051700000 CUSTOM</v>
      </c>
      <c r="C1077" s="2" t="str">
        <f>IFERROR(__xludf.DUMMYFUNCTION("""COMPUTED_VALUE"""),"O-52621-00")</f>
        <v>O-52621-00</v>
      </c>
      <c r="D1077" s="2" t="str">
        <f>if(isna(vlookup(C1077,'On Hand'!A:C,3,0)),"",vlookup(C1077,'On Hand'!A:C,3,0))</f>
        <v/>
      </c>
    </row>
    <row r="1078">
      <c r="A1078" s="2" t="str">
        <f>IFERROR(__xludf.DUMMYFUNCTION("""COMPUTED_VALUE"""),"O-52635-00")</f>
        <v>O-52635-00</v>
      </c>
      <c r="B1078" s="2" t="str">
        <f>IFERROR(__xludf.DUMMYFUNCTION("""COMPUTED_VALUE"""),"Danube 45587 - Electrovalvula 230V AC")</f>
        <v>Danube 45587 - Electrovalvula 230V AC</v>
      </c>
      <c r="C1078" s="2" t="str">
        <f>IFERROR(__xludf.DUMMYFUNCTION("""COMPUTED_VALUE"""),"O-52635-00")</f>
        <v>O-52635-00</v>
      </c>
      <c r="D1078" s="2" t="str">
        <f>if(isna(vlookup(C1078,'On Hand'!A:C,3,0)),"",vlookup(C1078,'On Hand'!A:C,3,0))</f>
        <v>pc</v>
      </c>
    </row>
    <row r="1079">
      <c r="A1079" s="2" t="str">
        <f>IFERROR(__xludf.DUMMYFUNCTION("""COMPUTED_VALUE"""),"O-52656-00")</f>
        <v>O-52656-00</v>
      </c>
      <c r="B1079" s="2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79" s="2" t="str">
        <f>IFERROR(__xludf.DUMMYFUNCTION("""COMPUTED_VALUE"""),"O-52656-00")</f>
        <v>O-52656-00</v>
      </c>
      <c r="D1079" s="2" t="str">
        <f>if(isna(vlookup(C1079,'On Hand'!A:C,3,0)),"",vlookup(C1079,'On Hand'!A:C,3,0))</f>
        <v/>
      </c>
    </row>
    <row r="1080">
      <c r="A1080" s="2" t="str">
        <f>IFERROR(__xludf.DUMMYFUNCTION("""COMPUTED_VALUE"""),"O-52701-00")</f>
        <v>O-52701-00</v>
      </c>
      <c r="B1080" s="2" t="str">
        <f>IFERROR(__xludf.DUMMYFUNCTION("""COMPUTED_VALUE"""),"IMA CLU EK2046 - Router VPN Secomea P/n: 84229090; ; ;")</f>
        <v>IMA CLU EK2046 - Router VPN Secomea P/n: 84229090; ; ;</v>
      </c>
      <c r="C1080" s="2" t="str">
        <f>IFERROR(__xludf.DUMMYFUNCTION("""COMPUTED_VALUE"""),"O-52701-00")</f>
        <v>O-52701-00</v>
      </c>
      <c r="D1080" s="2" t="str">
        <f>if(isna(vlookup(C1080,'On Hand'!A:C,3,0)),"",vlookup(C1080,'On Hand'!A:C,3,0))</f>
        <v/>
      </c>
    </row>
    <row r="1081">
      <c r="A1081" s="2" t="str">
        <f>IFERROR(__xludf.DUMMYFUNCTION("""COMPUTED_VALUE"""),"O-52702-00")</f>
        <v>O-52702-00</v>
      </c>
      <c r="B1081" s="2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1" s="2" t="str">
        <f>IFERROR(__xludf.DUMMYFUNCTION("""COMPUTED_VALUE"""),"O-52702-00")</f>
        <v>O-52702-00</v>
      </c>
      <c r="D1081" s="2" t="str">
        <f>if(isna(vlookup(C1081,'On Hand'!A:C,3,0)),"",vlookup(C1081,'On Hand'!A:C,3,0))</f>
        <v>pc</v>
      </c>
    </row>
    <row r="1082">
      <c r="A1082" s="2" t="str">
        <f>IFERROR(__xludf.DUMMYFUNCTION("""COMPUTED_VALUE"""),"O-52820-00")</f>
        <v>O-52820-00</v>
      </c>
      <c r="B1082" s="2" t="str">
        <f>IFERROR(__xludf.DUMMYFUNCTION("""COMPUTED_VALUE"""),"Basic Operation Panel SINAMICS G120 6SL3255-0AA00-4CA1; Siemens; ;")</f>
        <v>Basic Operation Panel SINAMICS G120 6SL3255-0AA00-4CA1; Siemens; ;</v>
      </c>
      <c r="C1082" s="2" t="str">
        <f>IFERROR(__xludf.DUMMYFUNCTION("""COMPUTED_VALUE"""),"O-52820-00")</f>
        <v>O-52820-00</v>
      </c>
      <c r="D1082" s="2" t="str">
        <f>if(isna(vlookup(C1082,'On Hand'!A:C,3,0)),"",vlookup(C1082,'On Hand'!A:C,3,0))</f>
        <v>pc</v>
      </c>
    </row>
    <row r="1083">
      <c r="A1083" s="2" t="str">
        <f>IFERROR(__xludf.DUMMYFUNCTION("""COMPUTED_VALUE"""),"O-52825-00")</f>
        <v>O-52825-00</v>
      </c>
      <c r="B1083" s="2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3" s="2" t="str">
        <f>IFERROR(__xludf.DUMMYFUNCTION("""COMPUTED_VALUE"""),"O-52825-00")</f>
        <v>O-52825-00</v>
      </c>
      <c r="D1083" s="2" t="str">
        <f>if(isna(vlookup(C1083,'On Hand'!A:C,3,0)),"",vlookup(C1083,'On Hand'!A:C,3,0))</f>
        <v>pc</v>
      </c>
    </row>
    <row r="1084">
      <c r="A1084" s="2" t="str">
        <f>IFERROR(__xludf.DUMMYFUNCTION("""COMPUTED_VALUE"""),"O-52826-00")</f>
        <v>O-52826-00</v>
      </c>
      <c r="B1084" s="2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4" s="2" t="str">
        <f>IFERROR(__xludf.DUMMYFUNCTION("""COMPUTED_VALUE"""),"O-52826-00")</f>
        <v>O-52826-00</v>
      </c>
      <c r="D1084" s="2" t="str">
        <f>if(isna(vlookup(C1084,'On Hand'!A:C,3,0)),"",vlookup(C1084,'On Hand'!A:C,3,0))</f>
        <v/>
      </c>
    </row>
    <row r="1085">
      <c r="A1085" s="2" t="str">
        <f>IFERROR(__xludf.DUMMYFUNCTION("""COMPUTED_VALUE"""),"O-52830-00")</f>
        <v>O-52830-00</v>
      </c>
      <c r="B1085" s="2" t="str">
        <f>IFERROR(__xludf.DUMMYFUNCTION("""COMPUTED_VALUE"""),"GMP Washer - Chemical Flowmeter 932-9301/P2 FHKSC DIGMESA; ; ;")</f>
        <v>GMP Washer - Chemical Flowmeter 932-9301/P2 FHKSC DIGMESA; ; ;</v>
      </c>
      <c r="C1085" s="2" t="str">
        <f>IFERROR(__xludf.DUMMYFUNCTION("""COMPUTED_VALUE"""),"O-52830-00")</f>
        <v>O-52830-00</v>
      </c>
      <c r="D1085" s="2" t="str">
        <f>if(isna(vlookup(C1085,'On Hand'!A:C,3,0)),"",vlookup(C1085,'On Hand'!A:C,3,0))</f>
        <v/>
      </c>
    </row>
    <row r="1086">
      <c r="A1086" s="2" t="str">
        <f>IFERROR(__xludf.DUMMYFUNCTION("""COMPUTED_VALUE"""),"O-52831-00")</f>
        <v>O-52831-00</v>
      </c>
      <c r="B1086" s="2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6" s="2" t="str">
        <f>IFERROR(__xludf.DUMMYFUNCTION("""COMPUTED_VALUE"""),"O-52831-00")</f>
        <v>O-52831-00</v>
      </c>
      <c r="D1086" s="2" t="str">
        <f>if(isna(vlookup(C1086,'On Hand'!A:C,3,0)),"",vlookup(C1086,'On Hand'!A:C,3,0))</f>
        <v>unt</v>
      </c>
    </row>
    <row r="1087">
      <c r="A1087" s="2" t="str">
        <f>IFERROR(__xludf.DUMMYFUNCTION("""COMPUTED_VALUE"""),"O-52841-00")</f>
        <v>O-52841-00</v>
      </c>
      <c r="B1087" s="2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7" s="2" t="str">
        <f>IFERROR(__xludf.DUMMYFUNCTION("""COMPUTED_VALUE"""),"O-52841-00")</f>
        <v>O-52841-00</v>
      </c>
      <c r="D1087" s="2" t="str">
        <f>if(isna(vlookup(C1087,'On Hand'!A:C,3,0)),"",vlookup(C1087,'On Hand'!A:C,3,0))</f>
        <v>pc</v>
      </c>
    </row>
    <row r="1088">
      <c r="A1088" s="2" t="str">
        <f>IFERROR(__xludf.DUMMYFUNCTION("""COMPUTED_VALUE"""),"O-52841-00")</f>
        <v>O-52841-00</v>
      </c>
      <c r="B1088" s="2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2" t="str">
        <f>IFERROR(__xludf.DUMMYFUNCTION("""COMPUTED_VALUE"""),"O-52841-00")</f>
        <v>O-52841-00</v>
      </c>
      <c r="D1088" s="2" t="str">
        <f>if(isna(vlookup(C1088,'On Hand'!A:C,3,0)),"",vlookup(C1088,'On Hand'!A:C,3,0))</f>
        <v>pc</v>
      </c>
    </row>
    <row r="1089">
      <c r="A1089" s="2" t="str">
        <f>IFERROR(__xludf.DUMMYFUNCTION("""COMPUTED_VALUE"""),"O-52845-00")</f>
        <v>O-52845-00</v>
      </c>
      <c r="B1089" s="2" t="str">
        <f>IFERROR(__xludf.DUMMYFUNCTION("""COMPUTED_VALUE"""),"Freeze Dryer MBE1207 - SV169 Coil MKC-1 AC220V P/n: EB15-00507; MYCOM; ;")</f>
        <v>Freeze Dryer MBE1207 - SV169 Coil MKC-1 AC220V P/n: EB15-00507; MYCOM; ;</v>
      </c>
      <c r="C1089" s="2" t="str">
        <f>IFERROR(__xludf.DUMMYFUNCTION("""COMPUTED_VALUE"""),"O-52845-00")</f>
        <v>O-52845-00</v>
      </c>
      <c r="D1089" s="2" t="str">
        <f>if(isna(vlookup(C1089,'On Hand'!A:C,3,0)),"",vlookup(C1089,'On Hand'!A:C,3,0))</f>
        <v>pc</v>
      </c>
    </row>
    <row r="1090">
      <c r="A1090" s="2" t="str">
        <f>IFERROR(__xludf.DUMMYFUNCTION("""COMPUTED_VALUE"""),"O-52854-00")</f>
        <v>O-52854-00</v>
      </c>
      <c r="B1090" s="2" t="str">
        <f>IFERROR(__xludf.DUMMYFUNCTION("""COMPUTED_VALUE"""),"Safety Sensor GG505S GIGA-4015-US; IFM; ;")</f>
        <v>Safety Sensor GG505S GIGA-4015-US; IFM; ;</v>
      </c>
      <c r="C1090" s="2" t="str">
        <f>IFERROR(__xludf.DUMMYFUNCTION("""COMPUTED_VALUE"""),"O-52854-00")</f>
        <v>O-52854-00</v>
      </c>
      <c r="D1090" s="2" t="str">
        <f>if(isna(vlookup(C1090,'On Hand'!A:C,3,0)),"",vlookup(C1090,'On Hand'!A:C,3,0))</f>
        <v>pc</v>
      </c>
    </row>
    <row r="1091">
      <c r="A1091" s="2" t="str">
        <f>IFERROR(__xludf.DUMMYFUNCTION("""COMPUTED_VALUE"""),"O-52859-00")</f>
        <v>O-52859-00</v>
      </c>
      <c r="B1091" s="2" t="str">
        <f>IFERROR(__xludf.DUMMYFUNCTION("""COMPUTED_VALUE"""),"Temperature Controller - TK4S- 24RN 100-240 VAC AUTONICS; ; ;")</f>
        <v>Temperature Controller - TK4S- 24RN 100-240 VAC AUTONICS; ; ;</v>
      </c>
      <c r="C1091" s="2" t="str">
        <f>IFERROR(__xludf.DUMMYFUNCTION("""COMPUTED_VALUE"""),"O-52859-00")</f>
        <v>O-52859-00</v>
      </c>
      <c r="D1091" s="2" t="str">
        <f>if(isna(vlookup(C1091,'On Hand'!A:C,3,0)),"",vlookup(C1091,'On Hand'!A:C,3,0))</f>
        <v>pc</v>
      </c>
    </row>
    <row r="1092">
      <c r="A1092" s="2" t="str">
        <f>IFERROR(__xludf.DUMMYFUNCTION("""COMPUTED_VALUE"""),"O-52868-00")</f>
        <v>O-52868-00</v>
      </c>
      <c r="B1092" s="2" t="str">
        <f>IFERROR(__xludf.DUMMYFUNCTION("""COMPUTED_VALUE"""),"Auto Switch D-A93L SMC; ; ;")</f>
        <v>Auto Switch D-A93L SMC; ; ;</v>
      </c>
      <c r="C1092" s="2" t="str">
        <f>IFERROR(__xludf.DUMMYFUNCTION("""COMPUTED_VALUE"""),"O-52868-00")</f>
        <v>O-52868-00</v>
      </c>
      <c r="D1092" s="2" t="str">
        <f>if(isna(vlookup(C1092,'On Hand'!A:C,3,0)),"",vlookup(C1092,'On Hand'!A:C,3,0))</f>
        <v>pc</v>
      </c>
    </row>
    <row r="1093">
      <c r="A1093" s="2" t="str">
        <f>IFERROR(__xludf.DUMMYFUNCTION("""COMPUTED_VALUE"""),"O-52869-00")</f>
        <v>O-52869-00</v>
      </c>
      <c r="B1093" s="2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3" s="2" t="str">
        <f>IFERROR(__xludf.DUMMYFUNCTION("""COMPUTED_VALUE"""),"O-52869-00")</f>
        <v>O-52869-00</v>
      </c>
      <c r="D1093" s="2" t="str">
        <f>if(isna(vlookup(C1093,'On Hand'!A:C,3,0)),"",vlookup(C1093,'On Hand'!A:C,3,0))</f>
        <v/>
      </c>
    </row>
    <row r="1094">
      <c r="A1094" s="2" t="str">
        <f>IFERROR(__xludf.DUMMYFUNCTION("""COMPUTED_VALUE"""),"O-52878-00")</f>
        <v>O-52878-00</v>
      </c>
      <c r="B1094" s="2" t="str">
        <f>IFERROR(__xludf.DUMMYFUNCTION("""COMPUTED_VALUE"""),"General - Heat Sink untuk SSR; Fotex; -; 1 Pc")</f>
        <v>General - Heat Sink untuk SSR; Fotex; -; 1 Pc</v>
      </c>
      <c r="C1094" s="2" t="str">
        <f>IFERROR(__xludf.DUMMYFUNCTION("""COMPUTED_VALUE"""),"O-52878-00")</f>
        <v>O-52878-00</v>
      </c>
      <c r="D1094" s="2" t="str">
        <f>if(isna(vlookup(C1094,'On Hand'!A:C,3,0)),"",vlookup(C1094,'On Hand'!A:C,3,0))</f>
        <v>pc</v>
      </c>
    </row>
    <row r="1095">
      <c r="A1095" s="2" t="str">
        <f>IFERROR(__xludf.DUMMYFUNCTION("""COMPUTED_VALUE"""),"O-52882-00")</f>
        <v>O-52882-00</v>
      </c>
      <c r="B1095" s="2" t="str">
        <f>IFERROR(__xludf.DUMMYFUNCTION("""COMPUTED_VALUE"""),"Video Jet - Sensor C2DM-11N; ; ;")</f>
        <v>Video Jet - Sensor C2DM-11N; ; ;</v>
      </c>
      <c r="C1095" s="2" t="str">
        <f>IFERROR(__xludf.DUMMYFUNCTION("""COMPUTED_VALUE"""),"O-52882-00")</f>
        <v>O-52882-00</v>
      </c>
      <c r="D1095" s="2" t="str">
        <f>if(isna(vlookup(C1095,'On Hand'!A:C,3,0)),"",vlookup(C1095,'On Hand'!A:C,3,0))</f>
        <v>pc</v>
      </c>
    </row>
    <row r="1096">
      <c r="A1096" s="2" t="str">
        <f>IFERROR(__xludf.DUMMYFUNCTION("""COMPUTED_VALUE"""),"O-52884-00")</f>
        <v>O-52884-00</v>
      </c>
      <c r="B1096" s="2" t="str">
        <f>IFERROR(__xludf.DUMMYFUNCTION("""COMPUTED_VALUE"""),"Filling VFM100 - Laser Sensor World beam QS18VP6LAF250Q5 10-30 VDC; Banner; ;")</f>
        <v>Filling VFM100 - Laser Sensor World beam QS18VP6LAF250Q5 10-30 VDC; Banner; ;</v>
      </c>
      <c r="C1096" s="2" t="str">
        <f>IFERROR(__xludf.DUMMYFUNCTION("""COMPUTED_VALUE"""),"O-52884-00")</f>
        <v>O-52884-00</v>
      </c>
      <c r="D1096" s="2" t="str">
        <f>if(isna(vlookup(C1096,'On Hand'!A:C,3,0)),"",vlookup(C1096,'On Hand'!A:C,3,0))</f>
        <v>pc</v>
      </c>
    </row>
    <row r="1097">
      <c r="A1097" s="2" t="str">
        <f>IFERROR(__xludf.DUMMYFUNCTION("""COMPUTED_VALUE"""),"O-52888-00")</f>
        <v>O-52888-00</v>
      </c>
      <c r="B1097" s="2" t="str">
        <f>IFERROR(__xludf.DUMMYFUNCTION("""COMPUTED_VALUE"""),"AUTONICS - Sensor Capacitive NPN CR18-8DN; ; ;")</f>
        <v>AUTONICS - Sensor Capacitive NPN CR18-8DN; ; ;</v>
      </c>
      <c r="C1097" s="2" t="str">
        <f>IFERROR(__xludf.DUMMYFUNCTION("""COMPUTED_VALUE"""),"O-52888-00")</f>
        <v>O-52888-00</v>
      </c>
      <c r="D1097" s="2" t="str">
        <f>if(isna(vlookup(C1097,'On Hand'!A:C,3,0)),"",vlookup(C1097,'On Hand'!A:C,3,0))</f>
        <v>pc</v>
      </c>
    </row>
    <row r="1098">
      <c r="A1098" s="2" t="str">
        <f>IFERROR(__xludf.DUMMYFUNCTION("""COMPUTED_VALUE"""),"O-52920-00")</f>
        <v>O-52920-00</v>
      </c>
      <c r="B1098" s="2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8" s="2" t="str">
        <f>IFERROR(__xludf.DUMMYFUNCTION("""COMPUTED_VALUE"""),"O-52920-00")</f>
        <v>O-52920-00</v>
      </c>
      <c r="D1098" s="2" t="str">
        <f>if(isna(vlookup(C1098,'On Hand'!A:C,3,0)),"",vlookup(C1098,'On Hand'!A:C,3,0))</f>
        <v/>
      </c>
    </row>
    <row r="1099">
      <c r="A1099" s="2" t="str">
        <f>IFERROR(__xludf.DUMMYFUNCTION("""COMPUTED_VALUE"""),"O-52941-00")</f>
        <v>O-52941-00</v>
      </c>
      <c r="B1099" s="2" t="str">
        <f>IFERROR(__xludf.DUMMYFUNCTION("""COMPUTED_VALUE"""),"PRINTER/PC INTERFACE-TEMPERATURE-G01A01-NEW (298/08/13-14) 0202PPCT02; ; ;")</f>
        <v>PRINTER/PC INTERFACE-TEMPERATURE-G01A01-NEW (298/08/13-14) 0202PPCT02; ; ;</v>
      </c>
      <c r="C1099" s="2" t="str">
        <f>IFERROR(__xludf.DUMMYFUNCTION("""COMPUTED_VALUE"""),"O-52941-00")</f>
        <v>O-52941-00</v>
      </c>
      <c r="D1099" s="2" t="str">
        <f>if(isna(vlookup(C1099,'On Hand'!A:C,3,0)),"",vlookup(C1099,'On Hand'!A:C,3,0))</f>
        <v>pc</v>
      </c>
    </row>
    <row r="1100">
      <c r="A1100" s="2" t="str">
        <f>IFERROR(__xludf.DUMMYFUNCTION("""COMPUTED_VALUE"""),"O-52942-00")</f>
        <v>O-52942-00</v>
      </c>
      <c r="B1100" s="2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0" s="2" t="str">
        <f>IFERROR(__xludf.DUMMYFUNCTION("""COMPUTED_VALUE"""),"O-52942-00")</f>
        <v>O-52942-00</v>
      </c>
      <c r="D1100" s="2" t="str">
        <f>if(isna(vlookup(C1100,'On Hand'!A:C,3,0)),"",vlookup(C1100,'On Hand'!A:C,3,0))</f>
        <v>pc</v>
      </c>
    </row>
    <row r="1101">
      <c r="A1101" s="2" t="str">
        <f>IFERROR(__xludf.DUMMYFUNCTION("""COMPUTED_VALUE"""),"O-52983-00")</f>
        <v>O-52983-00</v>
      </c>
      <c r="B1101" s="2" t="str">
        <f>IFERROR(__xludf.DUMMYFUNCTION("""COMPUTED_VALUE"""),"Inverter Power Module PM240-2 0,37KW Sinamic; Siemens; ;")</f>
        <v>Inverter Power Module PM240-2 0,37KW Sinamic; Siemens; ;</v>
      </c>
      <c r="C1101" s="2" t="str">
        <f>IFERROR(__xludf.DUMMYFUNCTION("""COMPUTED_VALUE"""),"O-52983-00")</f>
        <v>O-52983-00</v>
      </c>
      <c r="D1101" s="2" t="str">
        <f>if(isna(vlookup(C1101,'On Hand'!A:C,3,0)),"",vlookup(C1101,'On Hand'!A:C,3,0))</f>
        <v/>
      </c>
    </row>
    <row r="1102">
      <c r="A1102" s="2" t="str">
        <f>IFERROR(__xludf.DUMMYFUNCTION("""COMPUTED_VALUE"""),"O-52984-00")</f>
        <v>O-52984-00</v>
      </c>
      <c r="B1102" s="2" t="str">
        <f>IFERROR(__xludf.DUMMYFUNCTION("""COMPUTED_VALUE"""),"Inverter Power Module PM240-2 2,2KW Sinamic; Siemens; ;")</f>
        <v>Inverter Power Module PM240-2 2,2KW Sinamic; Siemens; ;</v>
      </c>
      <c r="C1102" s="2" t="str">
        <f>IFERROR(__xludf.DUMMYFUNCTION("""COMPUTED_VALUE"""),"O-52984-00")</f>
        <v>O-52984-00</v>
      </c>
      <c r="D1102" s="2" t="str">
        <f>if(isna(vlookup(C1102,'On Hand'!A:C,3,0)),"",vlookup(C1102,'On Hand'!A:C,3,0))</f>
        <v/>
      </c>
    </row>
    <row r="1103">
      <c r="A1103" s="2" t="str">
        <f>IFERROR(__xludf.DUMMYFUNCTION("""COMPUTED_VALUE"""),"O-52985-00")</f>
        <v>O-52985-00</v>
      </c>
      <c r="B1103" s="2" t="str">
        <f>IFERROR(__xludf.DUMMYFUNCTION("""COMPUTED_VALUE"""),"Inverter Power Module PM240-2 7,5KW Sinamic; Siemens; ;")</f>
        <v>Inverter Power Module PM240-2 7,5KW Sinamic; Siemens; ;</v>
      </c>
      <c r="C1103" s="2" t="str">
        <f>IFERROR(__xludf.DUMMYFUNCTION("""COMPUTED_VALUE"""),"O-52985-00")</f>
        <v>O-52985-00</v>
      </c>
      <c r="D1103" s="2" t="str">
        <f>if(isna(vlookup(C1103,'On Hand'!A:C,3,0)),"",vlookup(C1103,'On Hand'!A:C,3,0))</f>
        <v/>
      </c>
    </row>
    <row r="1104">
      <c r="A1104" s="2" t="str">
        <f>IFERROR(__xludf.DUMMYFUNCTION("""COMPUTED_VALUE"""),"O-53011-00")</f>
        <v>O-53011-00</v>
      </c>
      <c r="B1104" s="2" t="str">
        <f>IFERROR(__xludf.DUMMYFUNCTION("""COMPUTED_VALUE"""),"General - Timer Digital LE8B-BF; Autonics; A01761; 1 Pc")</f>
        <v>General - Timer Digital LE8B-BF; Autonics; A01761; 1 Pc</v>
      </c>
      <c r="C1104" s="2" t="str">
        <f>IFERROR(__xludf.DUMMYFUNCTION("""COMPUTED_VALUE"""),"O-53011-00")</f>
        <v>O-53011-00</v>
      </c>
      <c r="D1104" s="2" t="str">
        <f>if(isna(vlookup(C1104,'On Hand'!A:C,3,0)),"",vlookup(C1104,'On Hand'!A:C,3,0))</f>
        <v>pc</v>
      </c>
    </row>
    <row r="1105">
      <c r="A1105" s="2" t="str">
        <f>IFERROR(__xludf.DUMMYFUNCTION("""COMPUTED_VALUE"""),"O-53013-00")</f>
        <v>O-53013-00</v>
      </c>
      <c r="B1105" s="2" t="str">
        <f>IFERROR(__xludf.DUMMYFUNCTION("""COMPUTED_VALUE"""),"Heavy Duty Connector 4Pin (Male + Female); Lokal; ;")</f>
        <v>Heavy Duty Connector 4Pin (Male + Female); Lokal; ;</v>
      </c>
      <c r="C1105" s="2" t="str">
        <f>IFERROR(__xludf.DUMMYFUNCTION("""COMPUTED_VALUE"""),"O-53013-00")</f>
        <v>O-53013-00</v>
      </c>
      <c r="D1105" s="2" t="str">
        <f>if(isna(vlookup(C1105,'On Hand'!A:C,3,0)),"",vlookup(C1105,'On Hand'!A:C,3,0))</f>
        <v>ST</v>
      </c>
    </row>
    <row r="1106">
      <c r="A1106" s="2" t="str">
        <f>IFERROR(__xludf.DUMMYFUNCTION("""COMPUTED_VALUE"""),"O-53022-00")</f>
        <v>O-53022-00</v>
      </c>
      <c r="B1106" s="2" t="str">
        <f>IFERROR(__xludf.DUMMYFUNCTION("""COMPUTED_VALUE"""),"Thermocouple Type K Model Ring Dia 5mm Panjang 1 Meter0621043003")</f>
        <v>Thermocouple Type K Model Ring Dia 5mm Panjang 1 Meter0621043003</v>
      </c>
      <c r="C1106" s="2" t="str">
        <f>IFERROR(__xludf.DUMMYFUNCTION("""COMPUTED_VALUE"""),"O-53022-00")</f>
        <v>O-53022-00</v>
      </c>
      <c r="D1106" s="2" t="str">
        <f>if(isna(vlookup(C1106,'On Hand'!A:C,3,0)),"",vlookup(C1106,'On Hand'!A:C,3,0))</f>
        <v/>
      </c>
    </row>
    <row r="1107">
      <c r="A1107" s="2" t="str">
        <f>IFERROR(__xludf.DUMMYFUNCTION("""COMPUTED_VALUE"""),"O-53026-00")</f>
        <v>O-53026-00</v>
      </c>
      <c r="B1107" s="2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7" s="2" t="str">
        <f>IFERROR(__xludf.DUMMYFUNCTION("""COMPUTED_VALUE"""),"O-53026-00")</f>
        <v>O-53026-00</v>
      </c>
      <c r="D1107" s="2" t="str">
        <f>if(isna(vlookup(C1107,'On Hand'!A:C,3,0)),"",vlookup(C1107,'On Hand'!A:C,3,0))</f>
        <v>pc</v>
      </c>
    </row>
    <row r="1108">
      <c r="A1108" s="2" t="str">
        <f>IFERROR(__xludf.DUMMYFUNCTION("""COMPUTED_VALUE"""),"O-53032-00")</f>
        <v>O-53032-00</v>
      </c>
      <c r="B1108" s="2" t="str">
        <f>IFERROR(__xludf.DUMMYFUNCTION("""COMPUTED_VALUE"""),"Cable Temperature Sensor Silicone 1,5m PT1000 QAP2012.150")</f>
        <v>Cable Temperature Sensor Silicone 1,5m PT1000 QAP2012.150</v>
      </c>
      <c r="C1108" s="2" t="str">
        <f>IFERROR(__xludf.DUMMYFUNCTION("""COMPUTED_VALUE"""),"O-53032-00")</f>
        <v>O-53032-00</v>
      </c>
      <c r="D1108" s="2" t="str">
        <f>if(isna(vlookup(C1108,'On Hand'!A:C,3,0)),"",vlookup(C1108,'On Hand'!A:C,3,0))</f>
        <v>pc</v>
      </c>
    </row>
    <row r="1109">
      <c r="A1109" s="2" t="str">
        <f>IFERROR(__xludf.DUMMYFUNCTION("""COMPUTED_VALUE"""),"O-53033-00")</f>
        <v>O-53033-00</v>
      </c>
      <c r="B1109" s="2" t="str">
        <f>IFERROR(__xludf.DUMMYFUNCTION("""COMPUTED_VALUE"""),"Saklar Switch Lampu ZN On Off Kaki 4 Kaki Pin 15-20ALokal")</f>
        <v>Saklar Switch Lampu ZN On Off Kaki 4 Kaki Pin 15-20ALokal</v>
      </c>
      <c r="C1109" s="2" t="str">
        <f>IFERROR(__xludf.DUMMYFUNCTION("""COMPUTED_VALUE"""),"O-53033-00")</f>
        <v>O-53033-00</v>
      </c>
      <c r="D1109" s="2" t="str">
        <f>if(isna(vlookup(C1109,'On Hand'!A:C,3,0)),"",vlookup(C1109,'On Hand'!A:C,3,0))</f>
        <v>pc</v>
      </c>
    </row>
    <row r="1110">
      <c r="A1110" s="2" t="str">
        <f>IFERROR(__xludf.DUMMYFUNCTION("""COMPUTED_VALUE"""),"O-53037-00")</f>
        <v>O-53037-00</v>
      </c>
      <c r="B1110" s="2" t="str">
        <f>IFERROR(__xludf.DUMMYFUNCTION("""COMPUTED_VALUE"""),"Flow Transmitter 100Pa; 1/2 - 10Vac; 0-4-20mAMicatrone")</f>
        <v>Flow Transmitter 100Pa; 1/2 - 10Vac; 0-4-20mAMicatrone</v>
      </c>
      <c r="C1110" s="2" t="str">
        <f>IFERROR(__xludf.DUMMYFUNCTION("""COMPUTED_VALUE"""),"O-53037-00")</f>
        <v>O-53037-00</v>
      </c>
      <c r="D1110" s="2" t="str">
        <f>if(isna(vlookup(C1110,'On Hand'!A:C,3,0)),"",vlookup(C1110,'On Hand'!A:C,3,0))</f>
        <v/>
      </c>
    </row>
    <row r="1111">
      <c r="A1111" s="2" t="str">
        <f>IFERROR(__xludf.DUMMYFUNCTION("""COMPUTED_VALUE"""),"O-53041-00")</f>
        <v>O-53041-00</v>
      </c>
      <c r="B1111" s="2" t="str">
        <f>IFERROR(__xludf.DUMMYFUNCTION("""COMPUTED_VALUE"""),"Bola Lampu 24-30v 5-10W 16x28mm")</f>
        <v>Bola Lampu 24-30v 5-10W 16x28mm</v>
      </c>
      <c r="C1111" s="2" t="str">
        <f>IFERROR(__xludf.DUMMYFUNCTION("""COMPUTED_VALUE"""),"O-53041-00")</f>
        <v>O-53041-00</v>
      </c>
      <c r="D1111" s="2" t="str">
        <f>if(isna(vlookup(C1111,'On Hand'!A:C,3,0)),"",vlookup(C1111,'On Hand'!A:C,3,0))</f>
        <v>pc</v>
      </c>
    </row>
    <row r="1112">
      <c r="A1112" s="2" t="str">
        <f>IFERROR(__xludf.DUMMYFUNCTION("""COMPUTED_VALUE"""),"O-53045-00")</f>
        <v>O-53045-00</v>
      </c>
      <c r="B1112" s="2" t="str">
        <f>IFERROR(__xludf.DUMMYFUNCTION("""COMPUTED_VALUE"""),"Saklar Switch On Off DC 12V Lampu MerahLokal")</f>
        <v>Saklar Switch On Off DC 12V Lampu MerahLokal</v>
      </c>
      <c r="C1112" s="2" t="str">
        <f>IFERROR(__xludf.DUMMYFUNCTION("""COMPUTED_VALUE"""),"O-53045-00")</f>
        <v>O-53045-00</v>
      </c>
      <c r="D1112" s="2" t="str">
        <f>if(isna(vlookup(C1112,'On Hand'!A:C,3,0)),"",vlookup(C1112,'On Hand'!A:C,3,0))</f>
        <v>pc</v>
      </c>
    </row>
    <row r="1113">
      <c r="A1113" s="2" t="str">
        <f>IFERROR(__xludf.DUMMYFUNCTION("""COMPUTED_VALUE"""),"O-53047-00")</f>
        <v>O-53047-00</v>
      </c>
      <c r="B1113" s="2" t="str">
        <f>IFERROR(__xludf.DUMMYFUNCTION("""COMPUTED_VALUE"""),"MCB 400V 10kA 3Pole; Siemens; 5SL4304-7CC;")</f>
        <v>MCB 400V 10kA 3Pole; Siemens; 5SL4304-7CC;</v>
      </c>
      <c r="C1113" s="2" t="str">
        <f>IFERROR(__xludf.DUMMYFUNCTION("""COMPUTED_VALUE"""),"O-53047-00")</f>
        <v>O-53047-00</v>
      </c>
      <c r="D1113" s="2" t="str">
        <f>if(isna(vlookup(C1113,'On Hand'!A:C,3,0)),"",vlookup(C1113,'On Hand'!A:C,3,0))</f>
        <v>pc</v>
      </c>
    </row>
    <row r="1114">
      <c r="A1114" s="2" t="str">
        <f>IFERROR(__xludf.DUMMYFUNCTION("""COMPUTED_VALUE"""),"O-53093-00")</f>
        <v>O-53093-00</v>
      </c>
      <c r="B1114" s="2" t="str">
        <f>IFERROR(__xludf.DUMMYFUNCTION("""COMPUTED_VALUE"""),"FD S/N MBE1207 - Amplifier SE3AN21RS1603; Aron; ;")</f>
        <v>FD S/N MBE1207 - Amplifier SE3AN21RS1603; Aron; ;</v>
      </c>
      <c r="C1114" s="2" t="str">
        <f>IFERROR(__xludf.DUMMYFUNCTION("""COMPUTED_VALUE"""),"O-53093-00")</f>
        <v>O-53093-00</v>
      </c>
      <c r="D1114" s="2" t="str">
        <f>if(isna(vlookup(C1114,'On Hand'!A:C,3,0)),"",vlookup(C1114,'On Hand'!A:C,3,0))</f>
        <v/>
      </c>
    </row>
    <row r="1115">
      <c r="A1115" s="2" t="str">
        <f>IFERROR(__xludf.DUMMYFUNCTION("""COMPUTED_VALUE"""),"O-53094-00")</f>
        <v>O-53094-00</v>
      </c>
      <c r="B1115" s="2" t="str">
        <f>IFERROR(__xludf.DUMMYFUNCTION("""COMPUTED_VALUE"""),"FD S/N MBE1207 - Pressure Switch IPN-350 ISO; ; EB02-00063;")</f>
        <v>FD S/N MBE1207 - Pressure Switch IPN-350 ISO; ; EB02-00063;</v>
      </c>
      <c r="C1115" s="2" t="str">
        <f>IFERROR(__xludf.DUMMYFUNCTION("""COMPUTED_VALUE"""),"O-53094-00")</f>
        <v>O-53094-00</v>
      </c>
      <c r="D1115" s="2" t="str">
        <f>if(isna(vlookup(C1115,'On Hand'!A:C,3,0)),"",vlookup(C1115,'On Hand'!A:C,3,0))</f>
        <v>pc</v>
      </c>
    </row>
    <row r="1116">
      <c r="A1116" s="2" t="str">
        <f>IFERROR(__xludf.DUMMYFUNCTION("""COMPUTED_VALUE"""),"O-53095-00")</f>
        <v>O-53095-00</v>
      </c>
      <c r="B1116" s="2" t="str">
        <f>IFERROR(__xludf.DUMMYFUNCTION("""COMPUTED_VALUE"""),"FD S/N MBE1207 - Electric Control Lock DTDF MCN224; SUN; EB02-00535;")</f>
        <v>FD S/N MBE1207 - Electric Control Lock DTDF MCN224; SUN; EB02-00535;</v>
      </c>
      <c r="C1116" s="2" t="str">
        <f>IFERROR(__xludf.DUMMYFUNCTION("""COMPUTED_VALUE"""),"O-53095-00")</f>
        <v>O-53095-00</v>
      </c>
      <c r="D1116" s="2" t="str">
        <f>if(isna(vlookup(C1116,'On Hand'!A:C,3,0)),"",vlookup(C1116,'On Hand'!A:C,3,0))</f>
        <v>pc</v>
      </c>
    </row>
    <row r="1117">
      <c r="A1117" s="2" t="str">
        <f>IFERROR(__xludf.DUMMYFUNCTION("""COMPUTED_VALUE"""),"O-53096-00")</f>
        <v>O-53096-00</v>
      </c>
      <c r="B1117" s="2" t="str">
        <f>IFERROR(__xludf.DUMMYFUNCTION("""COMPUTED_VALUE"""),"FD S/N MBE1207 - Proximity Switch E2E-XB1D12 2M; Omron; EB22-00837;")</f>
        <v>FD S/N MBE1207 - Proximity Switch E2E-XB1D12 2M; Omron; EB22-00837;</v>
      </c>
      <c r="C1117" s="2" t="str">
        <f>IFERROR(__xludf.DUMMYFUNCTION("""COMPUTED_VALUE"""),"O-53096-00")</f>
        <v>O-53096-00</v>
      </c>
      <c r="D1117" s="2" t="str">
        <f>if(isna(vlookup(C1117,'On Hand'!A:C,3,0)),"",vlookup(C1117,'On Hand'!A:C,3,0))</f>
        <v>pc</v>
      </c>
    </row>
    <row r="1118">
      <c r="A1118" s="2" t="str">
        <f>IFERROR(__xludf.DUMMYFUNCTION("""COMPUTED_VALUE"""),"O-53133-00")</f>
        <v>O-53133-00</v>
      </c>
      <c r="B1118" s="2" t="str">
        <f>IFERROR(__xludf.DUMMYFUNCTION("""COMPUTED_VALUE"""),"Washing RAR4 - Cable; Steriline; EC RD1A M12F8; 1 Pc")</f>
        <v>Washing RAR4 - Cable; Steriline; EC RD1A M12F8; 1 Pc</v>
      </c>
      <c r="C1118" s="2" t="str">
        <f>IFERROR(__xludf.DUMMYFUNCTION("""COMPUTED_VALUE"""),"O-53133-00")</f>
        <v>O-53133-00</v>
      </c>
      <c r="D1118" s="2" t="str">
        <f>if(isna(vlookup(C1118,'On Hand'!A:C,3,0)),"",vlookup(C1118,'On Hand'!A:C,3,0))</f>
        <v/>
      </c>
    </row>
    <row r="1119">
      <c r="A1119" s="2" t="str">
        <f>IFERROR(__xludf.DUMMYFUNCTION("""COMPUTED_VALUE"""),"O-53134-00")</f>
        <v>O-53134-00</v>
      </c>
      <c r="B1119" s="2" t="str">
        <f>IFERROR(__xludf.DUMMYFUNCTION("""COMPUTED_VALUE"""),"Washing RAR4 - IF92 Programing box with USB connection; Steriline; ; 1 Pc")</f>
        <v>Washing RAR4 - IF92 Programing box with USB connection; Steriline; ; 1 Pc</v>
      </c>
      <c r="C1119" s="2" t="str">
        <f>IFERROR(__xludf.DUMMYFUNCTION("""COMPUTED_VALUE"""),"O-53134-00")</f>
        <v>O-53134-00</v>
      </c>
      <c r="D1119" s="2" t="str">
        <f>if(isna(vlookup(C1119,'On Hand'!A:C,3,0)),"",vlookup(C1119,'On Hand'!A:C,3,0))</f>
        <v/>
      </c>
    </row>
    <row r="1120">
      <c r="A1120" s="2" t="str">
        <f>IFERROR(__xludf.DUMMYFUNCTION("""COMPUTED_VALUE"""),"O-53144-00")</f>
        <v>O-53144-00</v>
      </c>
      <c r="B1120" s="2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0" s="2" t="str">
        <f>IFERROR(__xludf.DUMMYFUNCTION("""COMPUTED_VALUE"""),"O-53144-00")</f>
        <v>O-53144-00</v>
      </c>
      <c r="D1120" s="2" t="str">
        <f>if(isna(vlookup(C1120,'On Hand'!A:C,3,0)),"",vlookup(C1120,'On Hand'!A:C,3,0))</f>
        <v>pc</v>
      </c>
    </row>
    <row r="1121">
      <c r="A1121" s="2" t="str">
        <f>IFERROR(__xludf.DUMMYFUNCTION("""COMPUTED_VALUE"""),"O-53145-00")</f>
        <v>O-53145-00</v>
      </c>
      <c r="B1121" s="2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1" s="2" t="str">
        <f>IFERROR(__xludf.DUMMYFUNCTION("""COMPUTED_VALUE"""),"O-53145-00")</f>
        <v>O-53145-00</v>
      </c>
      <c r="D1121" s="2" t="str">
        <f>if(isna(vlookup(C1121,'On Hand'!A:C,3,0)),"",vlookup(C1121,'On Hand'!A:C,3,0))</f>
        <v/>
      </c>
    </row>
    <row r="1122">
      <c r="A1122" s="2" t="str">
        <f>IFERROR(__xludf.DUMMYFUNCTION("""COMPUTED_VALUE"""),"O-53146-00")</f>
        <v>O-53146-00</v>
      </c>
      <c r="B1122" s="2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2" s="2" t="str">
        <f>IFERROR(__xludf.DUMMYFUNCTION("""COMPUTED_VALUE"""),"O-53146-00")</f>
        <v>O-53146-00</v>
      </c>
      <c r="D1122" s="2" t="str">
        <f>if(isna(vlookup(C1122,'On Hand'!A:C,3,0)),"",vlookup(C1122,'On Hand'!A:C,3,0))</f>
        <v/>
      </c>
    </row>
    <row r="1123">
      <c r="A1123" s="2" t="str">
        <f>IFERROR(__xludf.DUMMYFUNCTION("""COMPUTED_VALUE"""),"O-53147-00")</f>
        <v>O-53147-00</v>
      </c>
      <c r="B1123" s="2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3" s="2" t="str">
        <f>IFERROR(__xludf.DUMMYFUNCTION("""COMPUTED_VALUE"""),"O-53147-00")</f>
        <v>O-53147-00</v>
      </c>
      <c r="D1123" s="2" t="str">
        <f>if(isna(vlookup(C1123,'On Hand'!A:C,3,0)),"",vlookup(C1123,'On Hand'!A:C,3,0))</f>
        <v/>
      </c>
    </row>
    <row r="1124">
      <c r="A1124" s="2" t="str">
        <f>IFERROR(__xludf.DUMMYFUNCTION("""COMPUTED_VALUE"""),"O-53150-00")</f>
        <v>O-53150-00</v>
      </c>
      <c r="B1124" s="2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4" s="2" t="str">
        <f>IFERROR(__xludf.DUMMYFUNCTION("""COMPUTED_VALUE"""),"O-53150-00")</f>
        <v>O-53150-00</v>
      </c>
      <c r="D1124" s="2" t="str">
        <f>if(isna(vlookup(C1124,'On Hand'!A:C,3,0)),"",vlookup(C1124,'On Hand'!A:C,3,0))</f>
        <v>pc</v>
      </c>
    </row>
    <row r="1125">
      <c r="A1125" s="2" t="str">
        <f>IFERROR(__xludf.DUMMYFUNCTION("""COMPUTED_VALUE"""),"O-53151-00")</f>
        <v>O-53151-00</v>
      </c>
      <c r="B1125" s="2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5" s="2" t="str">
        <f>IFERROR(__xludf.DUMMYFUNCTION("""COMPUTED_VALUE"""),"O-53151-00")</f>
        <v>O-53151-00</v>
      </c>
      <c r="D1125" s="2" t="str">
        <f>if(isna(vlookup(C1125,'On Hand'!A:C,3,0)),"",vlookup(C1125,'On Hand'!A:C,3,0))</f>
        <v>pc</v>
      </c>
    </row>
    <row r="1126">
      <c r="A1126" s="2" t="str">
        <f>IFERROR(__xludf.DUMMYFUNCTION("""COMPUTED_VALUE"""),"O-53155-00")</f>
        <v>O-53155-00</v>
      </c>
      <c r="B1126" s="2" t="str">
        <f>IFERROR(__xludf.DUMMYFUNCTION("""COMPUTED_VALUE"""),"General - Logoscreen 601; JUMO; 706521/08-114-23/000; 1 Pc")</f>
        <v>General - Logoscreen 601; JUMO; 706521/08-114-23/000; 1 Pc</v>
      </c>
      <c r="C1126" s="2" t="str">
        <f>IFERROR(__xludf.DUMMYFUNCTION("""COMPUTED_VALUE"""),"O-53155-00")</f>
        <v>O-53155-00</v>
      </c>
      <c r="D1126" s="2" t="str">
        <f>if(isna(vlookup(C1126,'On Hand'!A:C,3,0)),"",vlookup(C1126,'On Hand'!A:C,3,0))</f>
        <v/>
      </c>
    </row>
    <row r="1127">
      <c r="A1127" s="2" t="str">
        <f>IFERROR(__xludf.DUMMYFUNCTION("""COMPUTED_VALUE"""),"O-53165-00")</f>
        <v>O-53165-00</v>
      </c>
      <c r="B1127" s="2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7" s="2" t="str">
        <f>IFERROR(__xludf.DUMMYFUNCTION("""COMPUTED_VALUE"""),"O-53165-00")</f>
        <v>O-53165-00</v>
      </c>
      <c r="D1127" s="2" t="str">
        <f>if(isna(vlookup(C1127,'On Hand'!A:C,3,0)),"",vlookup(C1127,'On Hand'!A:C,3,0))</f>
        <v>pc</v>
      </c>
    </row>
    <row r="1128">
      <c r="A1128" s="2" t="str">
        <f>IFERROR(__xludf.DUMMYFUNCTION("""COMPUTED_VALUE"""),"O-53166-00")</f>
        <v>O-53166-00</v>
      </c>
      <c r="B1128" s="2" t="str">
        <f>IFERROR(__xludf.DUMMYFUNCTION("""COMPUTED_VALUE"""),"General - Contactor AX 12-30-10 220-230 Vac 50Hz ABB 1SBL911074R8010")</f>
        <v>General - Contactor AX 12-30-10 220-230 Vac 50Hz ABB 1SBL911074R8010</v>
      </c>
      <c r="C1128" s="2" t="str">
        <f>IFERROR(__xludf.DUMMYFUNCTION("""COMPUTED_VALUE"""),"O-53166-00")</f>
        <v>O-53166-00</v>
      </c>
      <c r="D1128" s="2" t="str">
        <f>if(isna(vlookup(C1128,'On Hand'!A:C,3,0)),"",vlookup(C1128,'On Hand'!A:C,3,0))</f>
        <v/>
      </c>
    </row>
    <row r="1129">
      <c r="A1129" s="2" t="str">
        <f>IFERROR(__xludf.DUMMYFUNCTION("""COMPUTED_VALUE"""),"O-53167-00")</f>
        <v>O-53167-00</v>
      </c>
      <c r="B1129" s="2" t="str">
        <f>IFERROR(__xludf.DUMMYFUNCTION("""COMPUTED_VALUE"""),"General - Manual Motor Starter 100 Ka MS 132-10 ABB 1SAM350000R1010")</f>
        <v>General - Manual Motor Starter 100 Ka MS 132-10 ABB 1SAM350000R1010</v>
      </c>
      <c r="C1129" s="2" t="str">
        <f>IFERROR(__xludf.DUMMYFUNCTION("""COMPUTED_VALUE"""),"O-53167-00")</f>
        <v>O-53167-00</v>
      </c>
      <c r="D1129" s="2" t="str">
        <f>if(isna(vlookup(C1129,'On Hand'!A:C,3,0)),"",vlookup(C1129,'On Hand'!A:C,3,0))</f>
        <v/>
      </c>
    </row>
    <row r="1130">
      <c r="A1130" s="2" t="str">
        <f>IFERROR(__xludf.DUMMYFUNCTION("""COMPUTED_VALUE"""),"O-53168-00")</f>
        <v>O-53168-00</v>
      </c>
      <c r="B1130" s="2" t="str">
        <f>IFERROR(__xludf.DUMMYFUNCTION("""COMPUTED_VALUE"""),"General - Manual Motor Starter 100 Ka MS 132-4.0 ABB 1SAM350000R1008")</f>
        <v>General - Manual Motor Starter 100 Ka MS 132-4.0 ABB 1SAM350000R1008</v>
      </c>
      <c r="C1130" s="2" t="str">
        <f>IFERROR(__xludf.DUMMYFUNCTION("""COMPUTED_VALUE"""),"O-53168-00")</f>
        <v>O-53168-00</v>
      </c>
      <c r="D1130" s="2" t="str">
        <f>if(isna(vlookup(C1130,'On Hand'!A:C,3,0)),"",vlookup(C1130,'On Hand'!A:C,3,0))</f>
        <v>pc</v>
      </c>
    </row>
    <row r="1131">
      <c r="A1131" s="2" t="str">
        <f>IFERROR(__xludf.DUMMYFUNCTION("""COMPUTED_VALUE"""),"O-53169-00")</f>
        <v>O-53169-00</v>
      </c>
      <c r="B1131" s="2" t="str">
        <f>IFERROR(__xludf.DUMMYFUNCTION("""COMPUTED_VALUE"""),"General - Manual Motor Starter 50 Ka MS 132-20 ABB 1SAM350000R1003")</f>
        <v>General - Manual Motor Starter 50 Ka MS 132-20 ABB 1SAM350000R1003</v>
      </c>
      <c r="C1131" s="2" t="str">
        <f>IFERROR(__xludf.DUMMYFUNCTION("""COMPUTED_VALUE"""),"O-53169-00")</f>
        <v>O-53169-00</v>
      </c>
      <c r="D1131" s="2" t="str">
        <f>if(isna(vlookup(C1131,'On Hand'!A:C,3,0)),"",vlookup(C1131,'On Hand'!A:C,3,0))</f>
        <v>pc</v>
      </c>
    </row>
    <row r="1132">
      <c r="A1132" s="2" t="str">
        <f>IFERROR(__xludf.DUMMYFUNCTION("""COMPUTED_VALUE"""),"O-53170-00")</f>
        <v>O-53170-00</v>
      </c>
      <c r="B1132" s="2" t="str">
        <f>IFERROR(__xludf.DUMMYFUNCTION("""COMPUTED_VALUE"""),"General - Mini Contactor B6-30-10-80 220...240 Vac ABB GJL1211001R8100")</f>
        <v>General - Mini Contactor B6-30-10-80 220...240 Vac ABB GJL1211001R8100</v>
      </c>
      <c r="C1132" s="2" t="str">
        <f>IFERROR(__xludf.DUMMYFUNCTION("""COMPUTED_VALUE"""),"O-53170-00")</f>
        <v>O-53170-00</v>
      </c>
      <c r="D1132" s="2" t="str">
        <f>if(isna(vlookup(C1132,'On Hand'!A:C,3,0)),"",vlookup(C1132,'On Hand'!A:C,3,0))</f>
        <v/>
      </c>
    </row>
    <row r="1133">
      <c r="A1133" s="2" t="str">
        <f>IFERROR(__xludf.DUMMYFUNCTION("""COMPUTED_VALUE"""),"O-53171-00")</f>
        <v>O-53171-00</v>
      </c>
      <c r="B1133" s="2" t="str">
        <f>IFERROR(__xludf.DUMMYFUNCTION("""COMPUTED_VALUE"""),"General - Three Phase Monitoring Cm-Pfs.S. ABB 1SVR730824R9300")</f>
        <v>General - Three Phase Monitoring Cm-Pfs.S. ABB 1SVR730824R9300</v>
      </c>
      <c r="C1133" s="2" t="str">
        <f>IFERROR(__xludf.DUMMYFUNCTION("""COMPUTED_VALUE"""),"O-53171-00")</f>
        <v>O-53171-00</v>
      </c>
      <c r="D1133" s="2" t="str">
        <f>if(isna(vlookup(C1133,'On Hand'!A:C,3,0)),"",vlookup(C1133,'On Hand'!A:C,3,0))</f>
        <v/>
      </c>
    </row>
    <row r="1134">
      <c r="A1134" s="2" t="str">
        <f>IFERROR(__xludf.DUMMYFUNCTION("""COMPUTED_VALUE"""),"O-53194-00")</f>
        <v>O-53194-00</v>
      </c>
      <c r="B1134" s="2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4" s="2" t="str">
        <f>IFERROR(__xludf.DUMMYFUNCTION("""COMPUTED_VALUE"""),"O-53194-00")</f>
        <v>O-53194-00</v>
      </c>
      <c r="D1134" s="2" t="str">
        <f>if(isna(vlookup(C1134,'On Hand'!A:C,3,0)),"",vlookup(C1134,'On Hand'!A:C,3,0))</f>
        <v>pc</v>
      </c>
    </row>
    <row r="1135">
      <c r="A1135" s="2" t="str">
        <f>IFERROR(__xludf.DUMMYFUNCTION("""COMPUTED_VALUE"""),"O-53195-00")</f>
        <v>O-53195-00</v>
      </c>
      <c r="B1135" s="2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5" s="2" t="str">
        <f>IFERROR(__xludf.DUMMYFUNCTION("""COMPUTED_VALUE"""),"O-53195-00")</f>
        <v>O-53195-00</v>
      </c>
      <c r="D1135" s="2" t="str">
        <f>if(isna(vlookup(C1135,'On Hand'!A:C,3,0)),"",vlookup(C1135,'On Hand'!A:C,3,0))</f>
        <v>pc</v>
      </c>
    </row>
    <row r="1136">
      <c r="A1136" s="2" t="str">
        <f>IFERROR(__xludf.DUMMYFUNCTION("""COMPUTED_VALUE"""),"O-53196-00")</f>
        <v>O-53196-00</v>
      </c>
      <c r="B1136" s="2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6" s="2" t="str">
        <f>IFERROR(__xludf.DUMMYFUNCTION("""COMPUTED_VALUE"""),"O-53196-00")</f>
        <v>O-53196-00</v>
      </c>
      <c r="D1136" s="2" t="str">
        <f>if(isna(vlookup(C1136,'On Hand'!A:C,3,0)),"",vlookup(C1136,'On Hand'!A:C,3,0))</f>
        <v>pc</v>
      </c>
    </row>
    <row r="1137">
      <c r="A1137" s="2" t="str">
        <f>IFERROR(__xludf.DUMMYFUNCTION("""COMPUTED_VALUE"""),"O-53197-00")</f>
        <v>O-53197-00</v>
      </c>
      <c r="B1137" s="2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7" s="2" t="str">
        <f>IFERROR(__xludf.DUMMYFUNCTION("""COMPUTED_VALUE"""),"O-53197-00")</f>
        <v>O-53197-00</v>
      </c>
      <c r="D1137" s="2" t="str">
        <f>if(isna(vlookup(C1137,'On Hand'!A:C,3,0)),"",vlookup(C1137,'On Hand'!A:C,3,0))</f>
        <v>pc</v>
      </c>
    </row>
    <row r="1138">
      <c r="A1138" s="2" t="str">
        <f>IFERROR(__xludf.DUMMYFUNCTION("""COMPUTED_VALUE"""),"O-53198-00")</f>
        <v>O-53198-00</v>
      </c>
      <c r="B1138" s="2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8" s="2" t="str">
        <f>IFERROR(__xludf.DUMMYFUNCTION("""COMPUTED_VALUE"""),"O-53198-00")</f>
        <v>O-53198-00</v>
      </c>
      <c r="D1138" s="2" t="str">
        <f>if(isna(vlookup(C1138,'On Hand'!A:C,3,0)),"",vlookup(C1138,'On Hand'!A:C,3,0))</f>
        <v>pc</v>
      </c>
    </row>
    <row r="1139">
      <c r="A1139" s="2" t="str">
        <f>IFERROR(__xludf.DUMMYFUNCTION("""COMPUTED_VALUE"""),"O-53199-00")</f>
        <v>O-53199-00</v>
      </c>
      <c r="B1139" s="2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39" s="2" t="str">
        <f>IFERROR(__xludf.DUMMYFUNCTION("""COMPUTED_VALUE"""),"O-53199-00")</f>
        <v>O-53199-00</v>
      </c>
      <c r="D1139" s="2" t="str">
        <f>if(isna(vlookup(C1139,'On Hand'!A:C,3,0)),"",vlookup(C1139,'On Hand'!A:C,3,0))</f>
        <v>pc</v>
      </c>
    </row>
    <row r="1140">
      <c r="A1140" s="2" t="str">
        <f>IFERROR(__xludf.DUMMYFUNCTION("""COMPUTED_VALUE"""),"O-53200-00")</f>
        <v>O-53200-00</v>
      </c>
      <c r="B1140" s="2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0" s="2" t="str">
        <f>IFERROR(__xludf.DUMMYFUNCTION("""COMPUTED_VALUE"""),"O-53200-00")</f>
        <v>O-53200-00</v>
      </c>
      <c r="D1140" s="2" t="str">
        <f>if(isna(vlookup(C1140,'On Hand'!A:C,3,0)),"",vlookup(C1140,'On Hand'!A:C,3,0))</f>
        <v>pc</v>
      </c>
    </row>
    <row r="1141">
      <c r="A1141" s="2" t="str">
        <f>IFERROR(__xludf.DUMMYFUNCTION("""COMPUTED_VALUE"""),"O-53208-00")</f>
        <v>O-53208-00</v>
      </c>
      <c r="B1141" s="2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1" s="2" t="str">
        <f>IFERROR(__xludf.DUMMYFUNCTION("""COMPUTED_VALUE"""),"O-53208-00")</f>
        <v>O-53208-00</v>
      </c>
      <c r="D1141" s="2" t="str">
        <f>if(isna(vlookup(C1141,'On Hand'!A:C,3,0)),"",vlookup(C1141,'On Hand'!A:C,3,0))</f>
        <v/>
      </c>
    </row>
    <row r="1142">
      <c r="A1142" s="2" t="str">
        <f>IFERROR(__xludf.DUMMYFUNCTION("""COMPUTED_VALUE"""),"O-53209-00")</f>
        <v>O-53209-00</v>
      </c>
      <c r="B1142" s="2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2" s="2" t="str">
        <f>IFERROR(__xludf.DUMMYFUNCTION("""COMPUTED_VALUE"""),"O-53209-00")</f>
        <v>O-53209-00</v>
      </c>
      <c r="D1142" s="2" t="str">
        <f>if(isna(vlookup(C1142,'On Hand'!A:C,3,0)),"",vlookup(C1142,'On Hand'!A:C,3,0))</f>
        <v/>
      </c>
    </row>
    <row r="1143">
      <c r="A1143" s="2" t="str">
        <f>IFERROR(__xludf.DUMMYFUNCTION("""COMPUTED_VALUE"""),"O-53210-00")</f>
        <v>O-53210-00</v>
      </c>
      <c r="B1143" s="2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3" s="2" t="str">
        <f>IFERROR(__xludf.DUMMYFUNCTION("""COMPUTED_VALUE"""),"O-53210-00")</f>
        <v>O-53210-00</v>
      </c>
      <c r="D1143" s="2" t="str">
        <f>if(isna(vlookup(C1143,'On Hand'!A:C,3,0)),"",vlookup(C1143,'On Hand'!A:C,3,0))</f>
        <v/>
      </c>
    </row>
    <row r="1144">
      <c r="A1144" s="2" t="str">
        <f>IFERROR(__xludf.DUMMYFUNCTION("""COMPUTED_VALUE"""),"O-53211-00")</f>
        <v>O-53211-00</v>
      </c>
      <c r="B1144" s="2" t="str">
        <f>IFERROR(__xludf.DUMMYFUNCTION("""COMPUTED_VALUE"""),"Filling VFM100 - Flow meter 40-500 NL/H (201787);INOX;Model 1900;")</f>
        <v>Filling VFM100 - Flow meter 40-500 NL/H (201787);INOX;Model 1900;</v>
      </c>
      <c r="C1144" s="2" t="str">
        <f>IFERROR(__xludf.DUMMYFUNCTION("""COMPUTED_VALUE"""),"O-53211-00")</f>
        <v>O-53211-00</v>
      </c>
      <c r="D1144" s="2" t="str">
        <f>if(isna(vlookup(C1144,'On Hand'!A:C,3,0)),"",vlookup(C1144,'On Hand'!A:C,3,0))</f>
        <v>pc</v>
      </c>
    </row>
    <row r="1145">
      <c r="A1145" s="2" t="str">
        <f>IFERROR(__xludf.DUMMYFUNCTION("""COMPUTED_VALUE"""),"O-53215-00")</f>
        <v>O-53215-00</v>
      </c>
      <c r="B1145" s="2" t="str">
        <f>IFERROR(__xludf.DUMMYFUNCTION("""COMPUTED_VALUE"""),"General - Exhaust Fan;Ebm-Papst;R3G190-RC05-03;")</f>
        <v>General - Exhaust Fan;Ebm-Papst;R3G190-RC05-03;</v>
      </c>
      <c r="C1145" s="2" t="str">
        <f>IFERROR(__xludf.DUMMYFUNCTION("""COMPUTED_VALUE"""),"O-53215-00")</f>
        <v>O-53215-00</v>
      </c>
      <c r="D1145" s="2" t="str">
        <f>if(isna(vlookup(C1145,'On Hand'!A:C,3,0)),"",vlookup(C1145,'On Hand'!A:C,3,0))</f>
        <v>pc</v>
      </c>
    </row>
    <row r="1146">
      <c r="A1146" s="2" t="str">
        <f>IFERROR(__xludf.DUMMYFUNCTION("""COMPUTED_VALUE"""),"O-53218-00")</f>
        <v>O-53218-00</v>
      </c>
      <c r="B1146" s="2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6" s="2" t="str">
        <f>IFERROR(__xludf.DUMMYFUNCTION("""COMPUTED_VALUE"""),"O-53218-00")</f>
        <v>O-53218-00</v>
      </c>
      <c r="D1146" s="2" t="str">
        <f>if(isna(vlookup(C1146,'On Hand'!A:C,3,0)),"",vlookup(C1146,'On Hand'!A:C,3,0))</f>
        <v/>
      </c>
    </row>
    <row r="1147">
      <c r="A1147" s="2" t="str">
        <f>IFERROR(__xludf.DUMMYFUNCTION("""COMPUTED_VALUE"""),"O-53236-00")</f>
        <v>O-53236-00</v>
      </c>
      <c r="B1147" s="2" t="str">
        <f>IFERROR(__xludf.DUMMYFUNCTION("""COMPUTED_VALUE"""),"General - Advanced Control Unit 24VDC 1.25-5A; Schneider; LUCB05BL; 1 Pc")</f>
        <v>General - Advanced Control Unit 24VDC 1.25-5A; Schneider; LUCB05BL; 1 Pc</v>
      </c>
      <c r="C1147" s="2" t="str">
        <f>IFERROR(__xludf.DUMMYFUNCTION("""COMPUTED_VALUE"""),"O-53236-00")</f>
        <v>O-53236-00</v>
      </c>
      <c r="D1147" s="2" t="str">
        <f>if(isna(vlookup(C1147,'On Hand'!A:C,3,0)),"",vlookup(C1147,'On Hand'!A:C,3,0))</f>
        <v>pc</v>
      </c>
    </row>
    <row r="1148">
      <c r="A1148" s="2" t="str">
        <f>IFERROR(__xludf.DUMMYFUNCTION("""COMPUTED_VALUE"""),"O-53237-00")</f>
        <v>O-53237-00</v>
      </c>
      <c r="B1148" s="2" t="str">
        <f>IFERROR(__xludf.DUMMYFUNCTION("""COMPUTED_VALUE"""),"General - Power Base TeSys 32A; Schneider; LUB32; 1 Pc")</f>
        <v>General - Power Base TeSys 32A; Schneider; LUB32; 1 Pc</v>
      </c>
      <c r="C1148" s="2" t="str">
        <f>IFERROR(__xludf.DUMMYFUNCTION("""COMPUTED_VALUE"""),"O-53237-00")</f>
        <v>O-53237-00</v>
      </c>
      <c r="D1148" s="2" t="str">
        <f>if(isna(vlookup(C1148,'On Hand'!A:C,3,0)),"",vlookup(C1148,'On Hand'!A:C,3,0))</f>
        <v>pc</v>
      </c>
    </row>
    <row r="1149">
      <c r="A1149" s="2" t="str">
        <f>IFERROR(__xludf.DUMMYFUNCTION("""COMPUTED_VALUE"""),"O-53238-00")</f>
        <v>O-53238-00</v>
      </c>
      <c r="B1149" s="2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49" s="2" t="str">
        <f>IFERROR(__xludf.DUMMYFUNCTION("""COMPUTED_VALUE"""),"O-53238-00")</f>
        <v>O-53238-00</v>
      </c>
      <c r="D1149" s="2" t="str">
        <f>if(isna(vlookup(C1149,'On Hand'!A:C,3,0)),"",vlookup(C1149,'On Hand'!A:C,3,0))</f>
        <v/>
      </c>
    </row>
    <row r="1150">
      <c r="A1150" s="2" t="str">
        <f>IFERROR(__xludf.DUMMYFUNCTION("""COMPUTED_VALUE"""),"O-53263-00")</f>
        <v>O-53263-00</v>
      </c>
      <c r="B1150" s="2" t="str">
        <f>IFERROR(__xludf.DUMMYFUNCTION("""COMPUTED_VALUE"""),"General - Kabel Sensor; Sick; YF8U14-020VA3XLEAX; 1 Pc")</f>
        <v>General - Kabel Sensor; Sick; YF8U14-020VA3XLEAX; 1 Pc</v>
      </c>
      <c r="C1150" s="2" t="str">
        <f>IFERROR(__xludf.DUMMYFUNCTION("""COMPUTED_VALUE"""),"O-53263-00")</f>
        <v>O-53263-00</v>
      </c>
      <c r="D1150" s="2" t="str">
        <f>if(isna(vlookup(C1150,'On Hand'!A:C,3,0)),"",vlookup(C1150,'On Hand'!A:C,3,0))</f>
        <v>pc</v>
      </c>
    </row>
    <row r="1151">
      <c r="A1151" s="2" t="str">
        <f>IFERROR(__xludf.DUMMYFUNCTION("""COMPUTED_VALUE"""),"O-53272-00")</f>
        <v>O-53272-00</v>
      </c>
      <c r="B1151" s="2" t="str">
        <f>IFERROR(__xludf.DUMMYFUNCTION("""COMPUTED_VALUE"""),"Integrated Granulation Line - Temperature Probe CIP 60mm MK3: 3 Wire")</f>
        <v>Integrated Granulation Line - Temperature Probe CIP 60mm MK3: 3 Wire</v>
      </c>
      <c r="C1151" s="2" t="str">
        <f>IFERROR(__xludf.DUMMYFUNCTION("""COMPUTED_VALUE"""),"O-53272-00")</f>
        <v>O-53272-00</v>
      </c>
      <c r="D1151" s="2" t="str">
        <f>if(isna(vlookup(C1151,'On Hand'!A:C,3,0)),"",vlookup(C1151,'On Hand'!A:C,3,0))</f>
        <v>pc</v>
      </c>
    </row>
    <row r="1152">
      <c r="A1152" s="2" t="str">
        <f>IFERROR(__xludf.DUMMYFUNCTION("""COMPUTED_VALUE"""),"O-53273-00")</f>
        <v>O-53273-00</v>
      </c>
      <c r="B1152" s="2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2" s="2" t="str">
        <f>IFERROR(__xludf.DUMMYFUNCTION("""COMPUTED_VALUE"""),"O-53273-00")</f>
        <v>O-53273-00</v>
      </c>
      <c r="D1152" s="2" t="str">
        <f>if(isna(vlookup(C1152,'On Hand'!A:C,3,0)),"",vlookup(C1152,'On Hand'!A:C,3,0))</f>
        <v>pc</v>
      </c>
    </row>
    <row r="1153">
      <c r="A1153" s="2" t="str">
        <f>IFERROR(__xludf.DUMMYFUNCTION("""COMPUTED_VALUE"""),"O-53274-00")</f>
        <v>O-53274-00</v>
      </c>
      <c r="B1153" s="2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2" t="str">
        <f>IFERROR(__xludf.DUMMYFUNCTION("""COMPUTED_VALUE"""),"O-53274-00")</f>
        <v>O-53274-00</v>
      </c>
      <c r="D1153" s="2" t="str">
        <f>if(isna(vlookup(C1153,'On Hand'!A:C,3,0)),"",vlookup(C1153,'On Hand'!A:C,3,0))</f>
        <v>pc</v>
      </c>
    </row>
    <row r="1154">
      <c r="A1154" s="2" t="str">
        <f>IFERROR(__xludf.DUMMYFUNCTION("""COMPUTED_VALUE"""),"O-53275-00")</f>
        <v>O-53275-00</v>
      </c>
      <c r="B1154" s="2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4" s="2" t="str">
        <f>IFERROR(__xludf.DUMMYFUNCTION("""COMPUTED_VALUE"""),"O-53275-00")</f>
        <v>O-53275-00</v>
      </c>
      <c r="D1154" s="2" t="str">
        <f>if(isna(vlookup(C1154,'On Hand'!A:C,3,0)),"",vlookup(C1154,'On Hand'!A:C,3,0))</f>
        <v>pc</v>
      </c>
    </row>
    <row r="1155">
      <c r="A1155" s="2" t="str">
        <f>IFERROR(__xludf.DUMMYFUNCTION("""COMPUTED_VALUE"""),"O-53319-00")</f>
        <v>O-53319-00</v>
      </c>
      <c r="B1155" s="2" t="str">
        <f>IFERROR(__xludf.DUMMYFUNCTION("""COMPUTED_VALUE"""),"Filling VFM100 - Cable 3g 1.5mq JZ-500; Steriline; 1111907; 1 Pc")</f>
        <v>Filling VFM100 - Cable 3g 1.5mq JZ-500; Steriline; 1111907; 1 Pc</v>
      </c>
      <c r="C1155" s="2" t="str">
        <f>IFERROR(__xludf.DUMMYFUNCTION("""COMPUTED_VALUE"""),"O-53319-00")</f>
        <v>O-53319-00</v>
      </c>
      <c r="D1155" s="2" t="str">
        <f>if(isna(vlookup(C1155,'On Hand'!A:C,3,0)),"",vlookup(C1155,'On Hand'!A:C,3,0))</f>
        <v>pc</v>
      </c>
    </row>
    <row r="1156">
      <c r="A1156" s="2" t="str">
        <f>IFERROR(__xludf.DUMMYFUNCTION("""COMPUTED_VALUE"""),"O-53331-00")</f>
        <v>O-53331-00</v>
      </c>
      <c r="B1156" s="2" t="str">
        <f>IFERROR(__xludf.DUMMYFUNCTION("""COMPUTED_VALUE"""),"General - Electrovalve Bloc MS M; Markem Imaje; ENM46408; 1 Pc")</f>
        <v>General - Electrovalve Bloc MS M; Markem Imaje; ENM46408; 1 Pc</v>
      </c>
      <c r="C1156" s="2" t="str">
        <f>IFERROR(__xludf.DUMMYFUNCTION("""COMPUTED_VALUE"""),"O-53331-00")</f>
        <v>O-53331-00</v>
      </c>
      <c r="D1156" s="2" t="str">
        <f>if(isna(vlookup(C1156,'On Hand'!A:C,3,0)),"",vlookup(C1156,'On Hand'!A:C,3,0))</f>
        <v/>
      </c>
    </row>
    <row r="1157">
      <c r="A1157" s="2" t="str">
        <f>IFERROR(__xludf.DUMMYFUNCTION("""COMPUTED_VALUE"""),"O-53332-00")</f>
        <v>O-53332-00</v>
      </c>
      <c r="B1157" s="2" t="str">
        <f>IFERROR(__xludf.DUMMYFUNCTION("""COMPUTED_VALUE"""),"General - Electrovalve 9232 Assy; Markem Imaje; ENM37928; 1 Pc")</f>
        <v>General - Electrovalve 9232 Assy; Markem Imaje; ENM37928; 1 Pc</v>
      </c>
      <c r="C1157" s="2" t="str">
        <f>IFERROR(__xludf.DUMMYFUNCTION("""COMPUTED_VALUE"""),"O-53332-00")</f>
        <v>O-53332-00</v>
      </c>
      <c r="D1157" s="2" t="str">
        <f>if(isna(vlookup(C1157,'On Hand'!A:C,3,0)),"",vlookup(C1157,'On Hand'!A:C,3,0))</f>
        <v/>
      </c>
    </row>
    <row r="1158">
      <c r="A1158" s="2" t="str">
        <f>IFERROR(__xludf.DUMMYFUNCTION("""COMPUTED_VALUE"""),"O-53333-00")</f>
        <v>O-53333-00</v>
      </c>
      <c r="B1158" s="2" t="str">
        <f>IFERROR(__xludf.DUMMYFUNCTION("""COMPUTED_VALUE"""),"General - Transfer Pump 9450 Spare; Markem Imaje; ENM54436; 1 Pc")</f>
        <v>General - Transfer Pump 9450 Spare; Markem Imaje; ENM54436; 1 Pc</v>
      </c>
      <c r="C1158" s="2" t="str">
        <f>IFERROR(__xludf.DUMMYFUNCTION("""COMPUTED_VALUE"""),"O-53333-00")</f>
        <v>O-53333-00</v>
      </c>
      <c r="D1158" s="2" t="str">
        <f>if(isna(vlookup(C1158,'On Hand'!A:C,3,0)),"",vlookup(C1158,'On Hand'!A:C,3,0))</f>
        <v/>
      </c>
    </row>
    <row r="1159">
      <c r="A1159" s="2" t="str">
        <f>IFERROR(__xludf.DUMMYFUNCTION("""COMPUTED_VALUE"""),"O-53334-00")</f>
        <v>O-53334-00</v>
      </c>
      <c r="B1159" s="2" t="str">
        <f>IFERROR(__xludf.DUMMYFUNCTION("""COMPUTED_VALUE"""),"Tunnel ST1L - RIBBED HEATERS RCU 1200W 230VAC 50/60HZ; Steriline; 4561; 1 Pc")</f>
        <v>Tunnel ST1L - RIBBED HEATERS RCU 1200W 230VAC 50/60HZ; Steriline; 4561; 1 Pc</v>
      </c>
      <c r="C1159" s="2" t="str">
        <f>IFERROR(__xludf.DUMMYFUNCTION("""COMPUTED_VALUE"""),"O-53334-00")</f>
        <v>O-53334-00</v>
      </c>
      <c r="D1159" s="2" t="str">
        <f>if(isna(vlookup(C1159,'On Hand'!A:C,3,0)),"",vlookup(C1159,'On Hand'!A:C,3,0))</f>
        <v/>
      </c>
    </row>
    <row r="1160">
      <c r="A1160" s="2" t="str">
        <f>IFERROR(__xludf.DUMMYFUNCTION("""COMPUTED_VALUE"""),"O-53335-00")</f>
        <v>O-53335-00</v>
      </c>
      <c r="B1160" s="2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0" s="2" t="str">
        <f>IFERROR(__xludf.DUMMYFUNCTION("""COMPUTED_VALUE"""),"O-53335-00")</f>
        <v>O-53335-00</v>
      </c>
      <c r="D1160" s="2" t="str">
        <f>if(isna(vlookup(C1160,'On Hand'!A:C,3,0)),"",vlookup(C1160,'On Hand'!A:C,3,0))</f>
        <v>pc</v>
      </c>
    </row>
    <row r="1161">
      <c r="A1161" s="2" t="str">
        <f>IFERROR(__xludf.DUMMYFUNCTION("""COMPUTED_VALUE"""),"O-53336-00")</f>
        <v>O-53336-00</v>
      </c>
      <c r="B1161" s="2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1" s="2" t="str">
        <f>IFERROR(__xludf.DUMMYFUNCTION("""COMPUTED_VALUE"""),"O-53336-00")</f>
        <v>O-53336-00</v>
      </c>
      <c r="D1161" s="2" t="str">
        <f>if(isna(vlookup(C1161,'On Hand'!A:C,3,0)),"",vlookup(C1161,'On Hand'!A:C,3,0))</f>
        <v>pc</v>
      </c>
    </row>
    <row r="1162">
      <c r="A1162" s="2" t="str">
        <f>IFERROR(__xludf.DUMMYFUNCTION("""COMPUTED_VALUE"""),"O-53337-00")</f>
        <v>O-53337-00</v>
      </c>
      <c r="B1162" s="2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2" s="2" t="str">
        <f>IFERROR(__xludf.DUMMYFUNCTION("""COMPUTED_VALUE"""),"O-53337-00")</f>
        <v>O-53337-00</v>
      </c>
      <c r="D1162" s="2" t="str">
        <f>if(isna(vlookup(C1162,'On Hand'!A:C,3,0)),"",vlookup(C1162,'On Hand'!A:C,3,0))</f>
        <v>pc</v>
      </c>
    </row>
    <row r="1163">
      <c r="A1163" s="2" t="str">
        <f>IFERROR(__xludf.DUMMYFUNCTION("""COMPUTED_VALUE"""),"O-53374-00")</f>
        <v>O-53374-00</v>
      </c>
      <c r="B1163" s="2" t="str">
        <f>IFERROR(__xludf.DUMMYFUNCTION("""COMPUTED_VALUE"""),"Isolator - Intake Air Fan G3G146AB540.1; SKAN; 1338289; 1 Pc")</f>
        <v>Isolator - Intake Air Fan G3G146AB540.1; SKAN; 1338289; 1 Pc</v>
      </c>
      <c r="C1163" s="2" t="str">
        <f>IFERROR(__xludf.DUMMYFUNCTION("""COMPUTED_VALUE"""),"O-53374-00")</f>
        <v>O-53374-00</v>
      </c>
      <c r="D1163" s="2" t="str">
        <f>if(isna(vlookup(C1163,'On Hand'!A:C,3,0)),"",vlookup(C1163,'On Hand'!A:C,3,0))</f>
        <v/>
      </c>
    </row>
    <row r="1164">
      <c r="A1164" s="2" t="str">
        <f>IFERROR(__xludf.DUMMYFUNCTION("""COMPUTED_VALUE"""),"O-53375-00")</f>
        <v>O-53375-00</v>
      </c>
      <c r="B1164" s="2" t="str">
        <f>IFERROR(__xludf.DUMMYFUNCTION("""COMPUTED_VALUE"""),"Isolator - Recirculation Air Fan R3G 355-AI56-01; SKAN; 1015729; 1 Pc")</f>
        <v>Isolator - Recirculation Air Fan R3G 355-AI56-01; SKAN; 1015729; 1 Pc</v>
      </c>
      <c r="C1164" s="2" t="str">
        <f>IFERROR(__xludf.DUMMYFUNCTION("""COMPUTED_VALUE"""),"O-53375-00")</f>
        <v>O-53375-00</v>
      </c>
      <c r="D1164" s="2" t="str">
        <f>if(isna(vlookup(C1164,'On Hand'!A:C,3,0)),"",vlookup(C1164,'On Hand'!A:C,3,0))</f>
        <v/>
      </c>
    </row>
    <row r="1165">
      <c r="A1165" s="2" t="str">
        <f>IFERROR(__xludf.DUMMYFUNCTION("""COMPUTED_VALUE"""),"O-53376-00")</f>
        <v>O-53376-00</v>
      </c>
      <c r="B1165" s="2" t="str">
        <f>IFERROR(__xludf.DUMMYFUNCTION("""COMPUTED_VALUE"""),"Isolator - Exhaust Air Fan G3G200-GN18-01; SKAN; 1016201; 1 Pc")</f>
        <v>Isolator - Exhaust Air Fan G3G200-GN18-01; SKAN; 1016201; 1 Pc</v>
      </c>
      <c r="C1165" s="2" t="str">
        <f>IFERROR(__xludf.DUMMYFUNCTION("""COMPUTED_VALUE"""),"O-53376-00")</f>
        <v>O-53376-00</v>
      </c>
      <c r="D1165" s="2" t="str">
        <f>if(isna(vlookup(C1165,'On Hand'!A:C,3,0)),"",vlookup(C1165,'On Hand'!A:C,3,0))</f>
        <v/>
      </c>
    </row>
    <row r="1166">
      <c r="A1166" s="2" t="str">
        <f>IFERROR(__xludf.DUMMYFUNCTION("""COMPUTED_VALUE"""),"O-53377-00")</f>
        <v>O-53377-00</v>
      </c>
      <c r="B1166" s="2" t="str">
        <f>IFERROR(__xludf.DUMMYFUNCTION("""COMPUTED_VALUE"""),"Isolator - Temperature Sensor R2106; SKAN; 1014964; 1 Pc")</f>
        <v>Isolator - Temperature Sensor R2106; SKAN; 1014964; 1 Pc</v>
      </c>
      <c r="C1166" s="2" t="str">
        <f>IFERROR(__xludf.DUMMYFUNCTION("""COMPUTED_VALUE"""),"O-53377-00")</f>
        <v>O-53377-00</v>
      </c>
      <c r="D1166" s="2" t="str">
        <f>if(isna(vlookup(C1166,'On Hand'!A:C,3,0)),"",vlookup(C1166,'On Hand'!A:C,3,0))</f>
        <v/>
      </c>
    </row>
    <row r="1167">
      <c r="A1167" s="2" t="str">
        <f>IFERROR(__xludf.DUMMYFUNCTION("""COMPUTED_VALUE"""),"O-53378-00")</f>
        <v>O-53378-00</v>
      </c>
      <c r="B1167" s="2" t="str">
        <f>IFERROR(__xludf.DUMMYFUNCTION("""COMPUTED_VALUE"""),"Isolator - Temperature Sensor TR11 kz-MU; SKAN; 1008546; 1 Pc")</f>
        <v>Isolator - Temperature Sensor TR11 kz-MU; SKAN; 1008546; 1 Pc</v>
      </c>
      <c r="C1167" s="2" t="str">
        <f>IFERROR(__xludf.DUMMYFUNCTION("""COMPUTED_VALUE"""),"O-53378-00")</f>
        <v>O-53378-00</v>
      </c>
      <c r="D1167" s="2" t="str">
        <f>if(isna(vlookup(C1167,'On Hand'!A:C,3,0)),"",vlookup(C1167,'On Hand'!A:C,3,0))</f>
        <v/>
      </c>
    </row>
    <row r="1168">
      <c r="A1168" s="2" t="str">
        <f>IFERROR(__xludf.DUMMYFUNCTION("""COMPUTED_VALUE"""),"O-53379-00")</f>
        <v>O-53379-00</v>
      </c>
      <c r="B1168" s="2" t="str">
        <f>IFERROR(__xludf.DUMMYFUNCTION("""COMPUTED_VALUE"""),"Isolator - Humidity Sensor HMT335; SKAN; 1008547; 1 Pc")</f>
        <v>Isolator - Humidity Sensor HMT335; SKAN; 1008547; 1 Pc</v>
      </c>
      <c r="C1168" s="2" t="str">
        <f>IFERROR(__xludf.DUMMYFUNCTION("""COMPUTED_VALUE"""),"O-53379-00")</f>
        <v>O-53379-00</v>
      </c>
      <c r="D1168" s="2" t="str">
        <f>if(isna(vlookup(C1168,'On Hand'!A:C,3,0)),"",vlookup(C1168,'On Hand'!A:C,3,0))</f>
        <v/>
      </c>
    </row>
    <row r="1169">
      <c r="A1169" s="2" t="str">
        <f>IFERROR(__xludf.DUMMYFUNCTION("""COMPUTED_VALUE"""),"O-53391-00")</f>
        <v>O-53391-00</v>
      </c>
      <c r="B1169" s="2" t="str">
        <f>IFERROR(__xludf.DUMMYFUNCTION("""COMPUTED_VALUE"""),"General - Profibus Connector Simatic; SIEMENS; 6ES7972-0BA52-0XA0; 1 Pc")</f>
        <v>General - Profibus Connector Simatic; SIEMENS; 6ES7972-0BA52-0XA0; 1 Pc</v>
      </c>
      <c r="C1169" s="2" t="str">
        <f>IFERROR(__xludf.DUMMYFUNCTION("""COMPUTED_VALUE"""),"O-53391-00")</f>
        <v>O-53391-00</v>
      </c>
      <c r="D1169" s="2" t="str">
        <f>if(isna(vlookup(C1169,'On Hand'!A:C,3,0)),"",vlookup(C1169,'On Hand'!A:C,3,0))</f>
        <v/>
      </c>
    </row>
    <row r="1170">
      <c r="A1170" s="2" t="str">
        <f>IFERROR(__xludf.DUMMYFUNCTION("""COMPUTED_VALUE"""),"O-53392-00")</f>
        <v>O-53392-00</v>
      </c>
      <c r="B1170" s="2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0" s="2" t="str">
        <f>IFERROR(__xludf.DUMMYFUNCTION("""COMPUTED_VALUE"""),"O-53392-00")</f>
        <v>O-53392-00</v>
      </c>
      <c r="D1170" s="2" t="str">
        <f>if(isna(vlookup(C1170,'On Hand'!A:C,3,0)),"",vlookup(C1170,'On Hand'!A:C,3,0))</f>
        <v>pc</v>
      </c>
    </row>
    <row r="1171">
      <c r="A1171" s="2" t="str">
        <f>IFERROR(__xludf.DUMMYFUNCTION("""COMPUTED_VALUE"""),"O-53398-00")</f>
        <v>O-53398-00</v>
      </c>
      <c r="B1171" s="2" t="str">
        <f>IFERROR(__xludf.DUMMYFUNCTION("""COMPUTED_VALUE"""),"Mixing Tank Adam - Cable VP8-ST/35m; Mettler Toledo; 52300359; 1 Pc")</f>
        <v>Mixing Tank Adam - Cable VP8-ST/35m; Mettler Toledo; 52300359; 1 Pc</v>
      </c>
      <c r="C1171" s="2" t="str">
        <f>IFERROR(__xludf.DUMMYFUNCTION("""COMPUTED_VALUE"""),"O-53398-00")</f>
        <v>O-53398-00</v>
      </c>
      <c r="D1171" s="2" t="str">
        <f>if(isna(vlookup(C1171,'On Hand'!A:C,3,0)),"",vlookup(C1171,'On Hand'!A:C,3,0))</f>
        <v/>
      </c>
    </row>
    <row r="1172">
      <c r="A1172" s="2" t="str">
        <f>IFERROR(__xludf.DUMMYFUNCTION("""COMPUTED_VALUE"""),"O-53414-00")</f>
        <v>O-53414-00</v>
      </c>
      <c r="B1172" s="2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2" s="2" t="str">
        <f>IFERROR(__xludf.DUMMYFUNCTION("""COMPUTED_VALUE"""),"O-53414-00")</f>
        <v>O-53414-00</v>
      </c>
      <c r="D1172" s="2" t="str">
        <f>if(isna(vlookup(C1172,'On Hand'!A:C,3,0)),"",vlookup(C1172,'On Hand'!A:C,3,0))</f>
        <v/>
      </c>
    </row>
    <row r="1173">
      <c r="A1173" s="2" t="str">
        <f>IFERROR(__xludf.DUMMYFUNCTION("""COMPUTED_VALUE"""),"O-53421-00")</f>
        <v>O-53421-00</v>
      </c>
      <c r="B1173" s="2" t="str">
        <f>IFERROR(__xludf.DUMMYFUNCTION("""COMPUTED_VALUE"""),"General - Analog Input Module 4AI 0-10 VDC, Light Gray; Wago; 750-468; 1 Pc")</f>
        <v>General - Analog Input Module 4AI 0-10 VDC, Light Gray; Wago; 750-468; 1 Pc</v>
      </c>
      <c r="C1173" s="2" t="str">
        <f>IFERROR(__xludf.DUMMYFUNCTION("""COMPUTED_VALUE"""),"O-53421-00")</f>
        <v>O-53421-00</v>
      </c>
      <c r="D1173" s="2" t="str">
        <f>if(isna(vlookup(C1173,'On Hand'!A:C,3,0)),"",vlookup(C1173,'On Hand'!A:C,3,0))</f>
        <v>pc</v>
      </c>
    </row>
    <row r="1174">
      <c r="A1174" s="2" t="str">
        <f>IFERROR(__xludf.DUMMYFUNCTION("""COMPUTED_VALUE"""),"O-53422-00")</f>
        <v>O-53422-00</v>
      </c>
      <c r="B1174" s="2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4" s="2" t="str">
        <f>IFERROR(__xludf.DUMMYFUNCTION("""COMPUTED_VALUE"""),"O-53422-00")</f>
        <v>O-53422-00</v>
      </c>
      <c r="D1174" s="2" t="str">
        <f>if(isna(vlookup(C1174,'On Hand'!A:C,3,0)),"",vlookup(C1174,'On Hand'!A:C,3,0))</f>
        <v>pc</v>
      </c>
    </row>
    <row r="1175">
      <c r="A1175" s="2" t="str">
        <f>IFERROR(__xludf.DUMMYFUNCTION("""COMPUTED_VALUE"""),"O-53423-00")</f>
        <v>O-53423-00</v>
      </c>
      <c r="B1175" s="2" t="str">
        <f>IFERROR(__xludf.DUMMYFUNCTION("""COMPUTED_VALUE"""),"General - Fiber Optic Sensor BF3RX; Autonics; A00291; 1 Pc")</f>
        <v>General - Fiber Optic Sensor BF3RX; Autonics; A00291; 1 Pc</v>
      </c>
      <c r="C1175" s="2" t="str">
        <f>IFERROR(__xludf.DUMMYFUNCTION("""COMPUTED_VALUE"""),"O-53423-00")</f>
        <v>O-53423-00</v>
      </c>
      <c r="D1175" s="2" t="str">
        <f>if(isna(vlookup(C1175,'On Hand'!A:C,3,0)),"",vlookup(C1175,'On Hand'!A:C,3,0))</f>
        <v>pc</v>
      </c>
    </row>
    <row r="1176">
      <c r="A1176" s="2" t="str">
        <f>IFERROR(__xludf.DUMMYFUNCTION("""COMPUTED_VALUE"""),"O-53439-00")</f>
        <v>O-53439-00</v>
      </c>
      <c r="B1176" s="2" t="str">
        <f>IFERROR(__xludf.DUMMYFUNCTION("""COMPUTED_VALUE"""),"General - Photoelectric Fiber Sensor Head; Keyence; FU-7F; 1 Pc")</f>
        <v>General - Photoelectric Fiber Sensor Head; Keyence; FU-7F; 1 Pc</v>
      </c>
      <c r="C1176" s="2" t="str">
        <f>IFERROR(__xludf.DUMMYFUNCTION("""COMPUTED_VALUE"""),"O-53439-00")</f>
        <v>O-53439-00</v>
      </c>
      <c r="D1176" s="2" t="str">
        <f>if(isna(vlookup(C1176,'On Hand'!A:C,3,0)),"",vlookup(C1176,'On Hand'!A:C,3,0))</f>
        <v>pc</v>
      </c>
    </row>
    <row r="1177">
      <c r="A1177" s="2" t="str">
        <f>IFERROR(__xludf.DUMMYFUNCTION("""COMPUTED_VALUE"""),"O-53441-00")</f>
        <v>O-53441-00</v>
      </c>
      <c r="B1177" s="2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7" s="2" t="str">
        <f>IFERROR(__xludf.DUMMYFUNCTION("""COMPUTED_VALUE"""),"O-53441-00")</f>
        <v>O-53441-00</v>
      </c>
      <c r="D1177" s="2" t="str">
        <f>if(isna(vlookup(C1177,'On Hand'!A:C,3,0)),"",vlookup(C1177,'On Hand'!A:C,3,0))</f>
        <v>pc</v>
      </c>
    </row>
    <row r="1178">
      <c r="A1178" s="2" t="str">
        <f>IFERROR(__xludf.DUMMYFUNCTION("""COMPUTED_VALUE"""),"O-53442-00")</f>
        <v>O-53442-00</v>
      </c>
      <c r="B1178" s="2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8" s="2" t="str">
        <f>IFERROR(__xludf.DUMMYFUNCTION("""COMPUTED_VALUE"""),"O-53442-00")</f>
        <v>O-53442-00</v>
      </c>
      <c r="D1178" s="2" t="str">
        <f>if(isna(vlookup(C1178,'On Hand'!A:C,3,0)),"",vlookup(C1178,'On Hand'!A:C,3,0))</f>
        <v>pc</v>
      </c>
    </row>
    <row r="1179">
      <c r="A1179" s="2" t="str">
        <f>IFERROR(__xludf.DUMMYFUNCTION("""COMPUTED_VALUE"""),"O-53447-00")</f>
        <v>O-53447-00</v>
      </c>
      <c r="B1179" s="2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79" s="2" t="str">
        <f>IFERROR(__xludf.DUMMYFUNCTION("""COMPUTED_VALUE"""),"O-53447-00")</f>
        <v>O-53447-00</v>
      </c>
      <c r="D1179" s="2" t="str">
        <f>if(isna(vlookup(C1179,'On Hand'!A:C,3,0)),"",vlookup(C1179,'On Hand'!A:C,3,0))</f>
        <v/>
      </c>
    </row>
    <row r="1180">
      <c r="A1180" s="2" t="str">
        <f>IFERROR(__xludf.DUMMYFUNCTION("""COMPUTED_VALUE"""),"O-53449-00")</f>
        <v>O-53449-00</v>
      </c>
      <c r="B1180" s="2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0" s="2" t="str">
        <f>IFERROR(__xludf.DUMMYFUNCTION("""COMPUTED_VALUE"""),"O-53449-00")</f>
        <v>O-53449-00</v>
      </c>
      <c r="D1180" s="2" t="str">
        <f>if(isna(vlookup(C1180,'On Hand'!A:C,3,0)),"",vlookup(C1180,'On Hand'!A:C,3,0))</f>
        <v/>
      </c>
    </row>
    <row r="1181">
      <c r="A1181" s="2" t="str">
        <f>IFERROR(__xludf.DUMMYFUNCTION("""COMPUTED_VALUE"""),"O-53451-00")</f>
        <v>O-53451-00</v>
      </c>
      <c r="B1181" s="2" t="str">
        <f>IFERROR(__xludf.DUMMYFUNCTION("""COMPUTED_VALUE"""),"Capping VCM200 - Eco Position Indicators; Misumi; E-DSNR1-14; 1 Pc")</f>
        <v>Capping VCM200 - Eco Position Indicators; Misumi; E-DSNR1-14; 1 Pc</v>
      </c>
      <c r="C1181" s="2" t="str">
        <f>IFERROR(__xludf.DUMMYFUNCTION("""COMPUTED_VALUE"""),"O-53451-00")</f>
        <v>O-53451-00</v>
      </c>
      <c r="D1181" s="2" t="str">
        <f>if(isna(vlookup(C1181,'On Hand'!A:C,3,0)),"",vlookup(C1181,'On Hand'!A:C,3,0))</f>
        <v>pc</v>
      </c>
    </row>
    <row r="1182">
      <c r="A1182" s="2" t="str">
        <f>IFERROR(__xludf.DUMMYFUNCTION("""COMPUTED_VALUE"""),"O-53454-00")</f>
        <v>O-53454-00</v>
      </c>
      <c r="B1182" s="2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2" s="2" t="str">
        <f>IFERROR(__xludf.DUMMYFUNCTION("""COMPUTED_VALUE"""),"O-53454-00")</f>
        <v>O-53454-00</v>
      </c>
      <c r="D1182" s="2" t="str">
        <f>if(isna(vlookup(C1182,'On Hand'!A:C,3,0)),"",vlookup(C1182,'On Hand'!A:C,3,0))</f>
        <v/>
      </c>
    </row>
    <row r="1183">
      <c r="A1183" s="2" t="str">
        <f>IFERROR(__xludf.DUMMYFUNCTION("""COMPUTED_VALUE"""),"O-53455-00")</f>
        <v>O-53455-00</v>
      </c>
      <c r="B1183" s="2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3" s="2" t="str">
        <f>IFERROR(__xludf.DUMMYFUNCTION("""COMPUTED_VALUE"""),"O-53455-00")</f>
        <v>O-53455-00</v>
      </c>
      <c r="D1183" s="2" t="str">
        <f>if(isna(vlookup(C1183,'On Hand'!A:C,3,0)),"",vlookup(C1183,'On Hand'!A:C,3,0))</f>
        <v/>
      </c>
    </row>
    <row r="1184">
      <c r="A1184" s="2" t="str">
        <f>IFERROR(__xludf.DUMMYFUNCTION("""COMPUTED_VALUE"""),"O-53456-00")</f>
        <v>O-53456-00</v>
      </c>
      <c r="B1184" s="2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4" s="2" t="str">
        <f>IFERROR(__xludf.DUMMYFUNCTION("""COMPUTED_VALUE"""),"O-53456-00")</f>
        <v>O-53456-00</v>
      </c>
      <c r="D1184" s="2" t="str">
        <f>if(isna(vlookup(C1184,'On Hand'!A:C,3,0)),"",vlookup(C1184,'On Hand'!A:C,3,0))</f>
        <v>pc</v>
      </c>
    </row>
    <row r="1185">
      <c r="A1185" s="2" t="str">
        <f>IFERROR(__xludf.DUMMYFUNCTION("""COMPUTED_VALUE"""),"O-53457-00")</f>
        <v>O-53457-00</v>
      </c>
      <c r="B1185" s="2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5" s="2" t="str">
        <f>IFERROR(__xludf.DUMMYFUNCTION("""COMPUTED_VALUE"""),"O-53457-00")</f>
        <v>O-53457-00</v>
      </c>
      <c r="D1185" s="2" t="str">
        <f>if(isna(vlookup(C1185,'On Hand'!A:C,3,0)),"",vlookup(C1185,'On Hand'!A:C,3,0))</f>
        <v/>
      </c>
    </row>
    <row r="1186">
      <c r="A1186" s="2" t="str">
        <f>IFERROR(__xludf.DUMMYFUNCTION("""COMPUTED_VALUE"""),"O-53460-00")</f>
        <v>O-53460-00</v>
      </c>
      <c r="B1186" s="2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6" s="2" t="str">
        <f>IFERROR(__xludf.DUMMYFUNCTION("""COMPUTED_VALUE"""),"O-53460-00")</f>
        <v>O-53460-00</v>
      </c>
      <c r="D1186" s="2" t="str">
        <f>if(isna(vlookup(C1186,'On Hand'!A:C,3,0)),"",vlookup(C1186,'On Hand'!A:C,3,0))</f>
        <v>pc</v>
      </c>
    </row>
    <row r="1187">
      <c r="A1187" s="2" t="str">
        <f>IFERROR(__xludf.DUMMYFUNCTION("""COMPUTED_VALUE"""),"O-53461-00")</f>
        <v>O-53461-00</v>
      </c>
      <c r="B1187" s="2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7" s="2" t="str">
        <f>IFERROR(__xludf.DUMMYFUNCTION("""COMPUTED_VALUE"""),"O-53461-00")</f>
        <v>O-53461-00</v>
      </c>
      <c r="D1187" s="2" t="str">
        <f>if(isna(vlookup(C1187,'On Hand'!A:C,3,0)),"",vlookup(C1187,'On Hand'!A:C,3,0))</f>
        <v/>
      </c>
    </row>
    <row r="1188">
      <c r="A1188" s="2" t="str">
        <f>IFERROR(__xludf.DUMMYFUNCTION("""COMPUTED_VALUE"""),"O-53462-00")</f>
        <v>O-53462-00</v>
      </c>
      <c r="B1188" s="2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8" s="2" t="str">
        <f>IFERROR(__xludf.DUMMYFUNCTION("""COMPUTED_VALUE"""),"O-53462-00")</f>
        <v>O-53462-00</v>
      </c>
      <c r="D1188" s="2" t="str">
        <f>if(isna(vlookup(C1188,'On Hand'!A:C,3,0)),"",vlookup(C1188,'On Hand'!A:C,3,0))</f>
        <v>pc</v>
      </c>
    </row>
    <row r="1189">
      <c r="A1189" s="2" t="str">
        <f>IFERROR(__xludf.DUMMYFUNCTION("""COMPUTED_VALUE"""),"O-53463-00")</f>
        <v>O-53463-00</v>
      </c>
      <c r="B1189" s="2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89" s="2" t="str">
        <f>IFERROR(__xludf.DUMMYFUNCTION("""COMPUTED_VALUE"""),"O-53463-00")</f>
        <v>O-53463-00</v>
      </c>
      <c r="D1189" s="2" t="str">
        <f>if(isna(vlookup(C1189,'On Hand'!A:C,3,0)),"",vlookup(C1189,'On Hand'!A:C,3,0))</f>
        <v/>
      </c>
    </row>
    <row r="1190">
      <c r="A1190" s="2" t="str">
        <f>IFERROR(__xludf.DUMMYFUNCTION("""COMPUTED_VALUE"""),"O-53464-00")</f>
        <v>O-53464-00</v>
      </c>
      <c r="B1190" s="2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0" s="2" t="str">
        <f>IFERROR(__xludf.DUMMYFUNCTION("""COMPUTED_VALUE"""),"O-53464-00")</f>
        <v>O-53464-00</v>
      </c>
      <c r="D1190" s="2" t="str">
        <f>if(isna(vlookup(C1190,'On Hand'!A:C,3,0)),"",vlookup(C1190,'On Hand'!A:C,3,0))</f>
        <v>pc</v>
      </c>
    </row>
    <row r="1191">
      <c r="A1191" s="2" t="str">
        <f>IFERROR(__xludf.DUMMYFUNCTION("""COMPUTED_VALUE"""),"O-53465-00")</f>
        <v>O-53465-00</v>
      </c>
      <c r="B1191" s="2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1" s="2" t="str">
        <f>IFERROR(__xludf.DUMMYFUNCTION("""COMPUTED_VALUE"""),"O-53465-00")</f>
        <v>O-53465-00</v>
      </c>
      <c r="D1191" s="2" t="str">
        <f>if(isna(vlookup(C1191,'On Hand'!A:C,3,0)),"",vlookup(C1191,'On Hand'!A:C,3,0))</f>
        <v>pc</v>
      </c>
    </row>
    <row r="1192">
      <c r="A1192" s="2" t="str">
        <f>IFERROR(__xludf.DUMMYFUNCTION("""COMPUTED_VALUE"""),"O-53466-00")</f>
        <v>O-53466-00</v>
      </c>
      <c r="B1192" s="2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2" s="2" t="str">
        <f>IFERROR(__xludf.DUMMYFUNCTION("""COMPUTED_VALUE"""),"O-53466-00")</f>
        <v>O-53466-00</v>
      </c>
      <c r="D1192" s="2" t="str">
        <f>if(isna(vlookup(C1192,'On Hand'!A:C,3,0)),"",vlookup(C1192,'On Hand'!A:C,3,0))</f>
        <v>pc</v>
      </c>
    </row>
    <row r="1193">
      <c r="A1193" s="2" t="str">
        <f>IFERROR(__xludf.DUMMYFUNCTION("""COMPUTED_VALUE"""),"O-53467-00")</f>
        <v>O-53467-00</v>
      </c>
      <c r="B1193" s="2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3" s="2" t="str">
        <f>IFERROR(__xludf.DUMMYFUNCTION("""COMPUTED_VALUE"""),"O-53467-00")</f>
        <v>O-53467-00</v>
      </c>
      <c r="D1193" s="2" t="str">
        <f>if(isna(vlookup(C1193,'On Hand'!A:C,3,0)),"",vlookup(C1193,'On Hand'!A:C,3,0))</f>
        <v/>
      </c>
    </row>
    <row r="1194">
      <c r="A1194" s="2" t="str">
        <f>IFERROR(__xludf.DUMMYFUNCTION("""COMPUTED_VALUE"""),"O-53473-00")</f>
        <v>O-53473-00</v>
      </c>
      <c r="B1194" s="2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4" s="2" t="str">
        <f>IFERROR(__xludf.DUMMYFUNCTION("""COMPUTED_VALUE"""),"O-53473-00")</f>
        <v>O-53473-00</v>
      </c>
      <c r="D1194" s="2" t="str">
        <f>if(isna(vlookup(C1194,'On Hand'!A:C,3,0)),"",vlookup(C1194,'On Hand'!A:C,3,0))</f>
        <v>pc</v>
      </c>
    </row>
    <row r="1195">
      <c r="A1195" s="2" t="str">
        <f>IFERROR(__xludf.DUMMYFUNCTION("""COMPUTED_VALUE"""),"O-53474-00")</f>
        <v>O-53474-00</v>
      </c>
      <c r="B1195" s="2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5" s="2" t="str">
        <f>IFERROR(__xludf.DUMMYFUNCTION("""COMPUTED_VALUE"""),"O-53474-00")</f>
        <v>O-53474-00</v>
      </c>
      <c r="D1195" s="2" t="str">
        <f>if(isna(vlookup(C1195,'On Hand'!A:C,3,0)),"",vlookup(C1195,'On Hand'!A:C,3,0))</f>
        <v>pc</v>
      </c>
    </row>
    <row r="1196">
      <c r="A1196" s="2" t="str">
        <f>IFERROR(__xludf.DUMMYFUNCTION("""COMPUTED_VALUE"""),"O-53475-00")</f>
        <v>O-53475-00</v>
      </c>
      <c r="B1196" s="2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6" s="2" t="str">
        <f>IFERROR(__xludf.DUMMYFUNCTION("""COMPUTED_VALUE"""),"O-53475-00")</f>
        <v>O-53475-00</v>
      </c>
      <c r="D1196" s="2" t="str">
        <f>if(isna(vlookup(C1196,'On Hand'!A:C,3,0)),"",vlookup(C1196,'On Hand'!A:C,3,0))</f>
        <v/>
      </c>
    </row>
    <row r="1197">
      <c r="A1197" s="2" t="str">
        <f>IFERROR(__xludf.DUMMYFUNCTION("""COMPUTED_VALUE"""),"O-53476-00")</f>
        <v>O-53476-00</v>
      </c>
      <c r="B1197" s="2" t="str">
        <f>IFERROR(__xludf.DUMMYFUNCTION("""COMPUTED_VALUE"""),"Tunnel ST1L - High Precision Optical Fiber; Omron; E32T61S5M; ; ; 1 Pc")</f>
        <v>Tunnel ST1L - High Precision Optical Fiber; Omron; E32T61S5M; ; ; 1 Pc</v>
      </c>
      <c r="C1197" s="2" t="str">
        <f>IFERROR(__xludf.DUMMYFUNCTION("""COMPUTED_VALUE"""),"O-53476-00")</f>
        <v>O-53476-00</v>
      </c>
      <c r="D1197" s="2" t="str">
        <f>if(isna(vlookup(C1197,'On Hand'!A:C,3,0)),"",vlookup(C1197,'On Hand'!A:C,3,0))</f>
        <v>pc</v>
      </c>
    </row>
    <row r="1198">
      <c r="A1198" s="2" t="str">
        <f>IFERROR(__xludf.DUMMYFUNCTION("""COMPUTED_VALUE"""),"O-53477-00")</f>
        <v>O-53477-00</v>
      </c>
      <c r="B1198" s="2" t="str">
        <f>IFERROR(__xludf.DUMMYFUNCTION("""COMPUTED_VALUE"""),"Tunnel ST1L - Lens For Optic Fibers; Omron; E39F1; ; ; 1 Pc")</f>
        <v>Tunnel ST1L - Lens For Optic Fibers; Omron; E39F1; ; ; 1 Pc</v>
      </c>
      <c r="C1198" s="2" t="str">
        <f>IFERROR(__xludf.DUMMYFUNCTION("""COMPUTED_VALUE"""),"O-53477-00")</f>
        <v>O-53477-00</v>
      </c>
      <c r="D1198" s="2" t="str">
        <f>if(isna(vlookup(C1198,'On Hand'!A:C,3,0)),"",vlookup(C1198,'On Hand'!A:C,3,0))</f>
        <v>pc</v>
      </c>
    </row>
    <row r="1199">
      <c r="A1199" s="2" t="str">
        <f>IFERROR(__xludf.DUMMYFUNCTION("""COMPUTED_VALUE"""),"O-53478-00")</f>
        <v>O-53478-00</v>
      </c>
      <c r="B1199" s="2" t="str">
        <f>IFERROR(__xludf.DUMMYFUNCTION("""COMPUTED_VALUE"""),"Filling VFM100 - Vacuump pump Vane balde; VT 4.16; Becker; 90134700007; 1 Pack")</f>
        <v>Filling VFM100 - Vacuump pump Vane balde; VT 4.16; Becker; 90134700007; 1 Pack</v>
      </c>
      <c r="C1199" s="2" t="str">
        <f>IFERROR(__xludf.DUMMYFUNCTION("""COMPUTED_VALUE"""),"O-53478-00")</f>
        <v>O-53478-00</v>
      </c>
      <c r="D1199" s="2" t="str">
        <f>if(isna(vlookup(C1199,'On Hand'!A:C,3,0)),"",vlookup(C1199,'On Hand'!A:C,3,0))</f>
        <v>Pck</v>
      </c>
    </row>
    <row r="1200">
      <c r="A1200" s="2" t="str">
        <f>IFERROR(__xludf.DUMMYFUNCTION("""COMPUTED_VALUE"""),"O-53480-00")</f>
        <v>O-53480-00</v>
      </c>
      <c r="B1200" s="2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0" s="2" t="str">
        <f>IFERROR(__xludf.DUMMYFUNCTION("""COMPUTED_VALUE"""),"O-53480-00")</f>
        <v>O-53480-00</v>
      </c>
      <c r="D1200" s="2" t="str">
        <f>if(isna(vlookup(C1200,'On Hand'!A:C,3,0)),"",vlookup(C1200,'On Hand'!A:C,3,0))</f>
        <v>pc</v>
      </c>
    </row>
    <row r="1201">
      <c r="A1201" s="2" t="str">
        <f>IFERROR(__xludf.DUMMYFUNCTION("""COMPUTED_VALUE"""),"O-53481-00")</f>
        <v>O-53481-00</v>
      </c>
      <c r="B1201" s="2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1" s="2" t="str">
        <f>IFERROR(__xludf.DUMMYFUNCTION("""COMPUTED_VALUE"""),"O-53481-00")</f>
        <v>O-53481-00</v>
      </c>
      <c r="D1201" s="2" t="str">
        <f>if(isna(vlookup(C1201,'On Hand'!A:C,3,0)),"",vlookup(C1201,'On Hand'!A:C,3,0))</f>
        <v>pc</v>
      </c>
    </row>
    <row r="1202">
      <c r="A1202" s="2" t="str">
        <f>IFERROR(__xludf.DUMMYFUNCTION("""COMPUTED_VALUE"""),"O-53482-00")</f>
        <v>O-53482-00</v>
      </c>
      <c r="B1202" s="2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2" s="2" t="str">
        <f>IFERROR(__xludf.DUMMYFUNCTION("""COMPUTED_VALUE"""),"O-53482-00")</f>
        <v>O-53482-00</v>
      </c>
      <c r="D1202" s="2" t="str">
        <f>if(isna(vlookup(C1202,'On Hand'!A:C,3,0)),"",vlookup(C1202,'On Hand'!A:C,3,0))</f>
        <v>pc</v>
      </c>
    </row>
    <row r="1203">
      <c r="A1203" s="2" t="str">
        <f>IFERROR(__xludf.DUMMYFUNCTION("""COMPUTED_VALUE"""),"O-53484-00")</f>
        <v>O-53484-00</v>
      </c>
      <c r="B1203" s="2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3" s="2" t="str">
        <f>IFERROR(__xludf.DUMMYFUNCTION("""COMPUTED_VALUE"""),"O-53484-00")</f>
        <v>O-53484-00</v>
      </c>
      <c r="D1203" s="2" t="str">
        <f>if(isna(vlookup(C1203,'On Hand'!A:C,3,0)),"",vlookup(C1203,'On Hand'!A:C,3,0))</f>
        <v/>
      </c>
    </row>
    <row r="1204">
      <c r="A1204" s="2" t="str">
        <f>IFERROR(__xludf.DUMMYFUNCTION("""COMPUTED_VALUE"""),"O-53487-00")</f>
        <v>O-53487-00</v>
      </c>
      <c r="B1204" s="2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4" s="2" t="str">
        <f>IFERROR(__xludf.DUMMYFUNCTION("""COMPUTED_VALUE"""),"O-53487-00")</f>
        <v>O-53487-00</v>
      </c>
      <c r="D1204" s="2" t="str">
        <f>if(isna(vlookup(C1204,'On Hand'!A:C,3,0)),"",vlookup(C1204,'On Hand'!A:C,3,0))</f>
        <v/>
      </c>
    </row>
    <row r="1205">
      <c r="A1205" s="2" t="str">
        <f>IFERROR(__xludf.DUMMYFUNCTION("""COMPUTED_VALUE"""),"O-53510-00")</f>
        <v>O-53510-00</v>
      </c>
      <c r="B1205" s="2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5" s="2" t="str">
        <f>IFERROR(__xludf.DUMMYFUNCTION("""COMPUTED_VALUE"""),"O-53510-00")</f>
        <v>O-53510-00</v>
      </c>
      <c r="D1205" s="2" t="str">
        <f>if(isna(vlookup(C1205,'On Hand'!A:C,3,0)),"",vlookup(C1205,'On Hand'!A:C,3,0))</f>
        <v>pc</v>
      </c>
    </row>
    <row r="1206">
      <c r="A1206" s="2" t="str">
        <f>IFERROR(__xludf.DUMMYFUNCTION("""COMPUTED_VALUE"""),"O-53516-00")</f>
        <v>O-53516-00</v>
      </c>
      <c r="B1206" s="2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6" s="2" t="str">
        <f>IFERROR(__xludf.DUMMYFUNCTION("""COMPUTED_VALUE"""),"O-53516-00")</f>
        <v>O-53516-00</v>
      </c>
      <c r="D1206" s="2" t="str">
        <f>if(isna(vlookup(C1206,'On Hand'!A:C,3,0)),"",vlookup(C1206,'On Hand'!A:C,3,0))</f>
        <v>pc</v>
      </c>
    </row>
    <row r="1207">
      <c r="A1207" s="2" t="str">
        <f>IFERROR(__xludf.DUMMYFUNCTION("""COMPUTED_VALUE"""),"O-53517-00")</f>
        <v>O-53517-00</v>
      </c>
      <c r="B1207" s="2" t="str">
        <f>IFERROR(__xludf.DUMMYFUNCTION("""COMPUTED_VALUE"""),"Blistering TRL100LT - Probe NTC Rubber Capsule; Novus; 8830000002; 1 Pc")</f>
        <v>Blistering TRL100LT - Probe NTC Rubber Capsule; Novus; 8830000002; 1 Pc</v>
      </c>
      <c r="C1207" s="2" t="str">
        <f>IFERROR(__xludf.DUMMYFUNCTION("""COMPUTED_VALUE"""),"O-53517-00")</f>
        <v>O-53517-00</v>
      </c>
      <c r="D1207" s="2" t="str">
        <f>if(isna(vlookup(C1207,'On Hand'!A:C,3,0)),"",vlookup(C1207,'On Hand'!A:C,3,0))</f>
        <v/>
      </c>
    </row>
    <row r="1208">
      <c r="A1208" s="2" t="str">
        <f>IFERROR(__xludf.DUMMYFUNCTION("""COMPUTED_VALUE"""),"O-53522-00")</f>
        <v>O-53522-00</v>
      </c>
      <c r="B1208" s="2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8" s="2" t="str">
        <f>IFERROR(__xludf.DUMMYFUNCTION("""COMPUTED_VALUE"""),"O-53522-00")</f>
        <v>O-53522-00</v>
      </c>
      <c r="D1208" s="2" t="str">
        <f>if(isna(vlookup(C1208,'On Hand'!A:C,3,0)),"",vlookup(C1208,'On Hand'!A:C,3,0))</f>
        <v>pc</v>
      </c>
    </row>
    <row r="1209">
      <c r="A1209" s="2" t="str">
        <f>IFERROR(__xludf.DUMMYFUNCTION("""COMPUTED_VALUE"""),"O-53523-00")</f>
        <v>O-53523-00</v>
      </c>
      <c r="B1209" s="2" t="str">
        <f>IFERROR(__xludf.DUMMYFUNCTION("""COMPUTED_VALUE"""),"cRABS Z064CR - Transmitter for Temperature Probe HC2-xxx; -; 64938; 1 Pc")</f>
        <v>cRABS Z064CR - Transmitter for Temperature Probe HC2-xxx; -; 64938; 1 Pc</v>
      </c>
      <c r="C1209" s="2" t="str">
        <f>IFERROR(__xludf.DUMMYFUNCTION("""COMPUTED_VALUE"""),"O-53523-00")</f>
        <v>O-53523-00</v>
      </c>
      <c r="D1209" s="2" t="str">
        <f>if(isna(vlookup(C1209,'On Hand'!A:C,3,0)),"",vlookup(C1209,'On Hand'!A:C,3,0))</f>
        <v>pc</v>
      </c>
    </row>
    <row r="1210">
      <c r="A1210" s="2" t="str">
        <f>IFERROR(__xludf.DUMMYFUNCTION("""COMPUTED_VALUE"""),"O-53524-00")</f>
        <v>O-53524-00</v>
      </c>
      <c r="B1210" s="2" t="str">
        <f>IFERROR(__xludf.DUMMYFUNCTION("""COMPUTED_VALUE"""),"cRABS Z064CR - Digital Probe for Humidity and Temperature; -; 64939; 1 Pc")</f>
        <v>cRABS Z064CR - Digital Probe for Humidity and Temperature; -; 64939; 1 Pc</v>
      </c>
      <c r="C1210" s="2" t="str">
        <f>IFERROR(__xludf.DUMMYFUNCTION("""COMPUTED_VALUE"""),"O-53524-00")</f>
        <v>O-53524-00</v>
      </c>
      <c r="D1210" s="2" t="str">
        <f>if(isna(vlookup(C1210,'On Hand'!A:C,3,0)),"",vlookup(C1210,'On Hand'!A:C,3,0))</f>
        <v>pc</v>
      </c>
    </row>
    <row r="1211">
      <c r="A1211" s="2" t="str">
        <f>IFERROR(__xludf.DUMMYFUNCTION("""COMPUTED_VALUE"""),"O-53525-00")</f>
        <v>O-53525-00</v>
      </c>
      <c r="B1211" s="2" t="str">
        <f>IFERROR(__xludf.DUMMYFUNCTION("""COMPUTED_VALUE"""),"cRABS Z064CR - Cable Gland for Temperature Probe; -; 64940; 1 Pc")</f>
        <v>cRABS Z064CR - Cable Gland for Temperature Probe; -; 64940; 1 Pc</v>
      </c>
      <c r="C1211" s="2" t="str">
        <f>IFERROR(__xludf.DUMMYFUNCTION("""COMPUTED_VALUE"""),"O-53525-00")</f>
        <v>O-53525-00</v>
      </c>
      <c r="D1211" s="2" t="str">
        <f>if(isna(vlookup(C1211,'On Hand'!A:C,3,0)),"",vlookup(C1211,'On Hand'!A:C,3,0))</f>
        <v>pc</v>
      </c>
    </row>
    <row r="1212">
      <c r="A1212" s="2" t="str">
        <f>IFERROR(__xludf.DUMMYFUNCTION("""COMPUTED_VALUE"""),"O-53566-00")</f>
        <v>O-53566-00</v>
      </c>
      <c r="B1212" s="2" t="str">
        <f>IFERROR(__xludf.DUMMYFUNCTION("""COMPUTED_VALUE"""),"Integrated Granulation Line - K-Adp-Usb Programmer; Pepperl+Fuchs; ;")</f>
        <v>Integrated Granulation Line - K-Adp-Usb Programmer; Pepperl+Fuchs; ;</v>
      </c>
      <c r="C1212" s="2" t="str">
        <f>IFERROR(__xludf.DUMMYFUNCTION("""COMPUTED_VALUE"""),"O-53566-00")</f>
        <v>O-53566-00</v>
      </c>
      <c r="D1212" s="2" t="str">
        <f>if(isna(vlookup(C1212,'On Hand'!A:C,3,0)),"",vlookup(C1212,'On Hand'!A:C,3,0))</f>
        <v>pc</v>
      </c>
    </row>
    <row r="1213">
      <c r="A1213" s="2" t="str">
        <f>IFERROR(__xludf.DUMMYFUNCTION("""COMPUTED_VALUE"""),"O-53568-00")</f>
        <v>O-53568-00</v>
      </c>
      <c r="B1213" s="2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3" s="2" t="str">
        <f>IFERROR(__xludf.DUMMYFUNCTION("""COMPUTED_VALUE"""),"O-53568-00")</f>
        <v>O-53568-00</v>
      </c>
      <c r="D1213" s="2" t="str">
        <f>if(isna(vlookup(C1213,'On Hand'!A:C,3,0)),"",vlookup(C1213,'On Hand'!A:C,3,0))</f>
        <v>pc</v>
      </c>
    </row>
    <row r="1214">
      <c r="A1214" s="2" t="str">
        <f>IFERROR(__xludf.DUMMYFUNCTION("""COMPUTED_VALUE"""),"O-53590-00")</f>
        <v>O-53590-00</v>
      </c>
      <c r="B1214" s="2" t="str">
        <f>IFERROR(__xludf.DUMMYFUNCTION("""COMPUTED_VALUE"""),"Filling VFM100 - Hyperion Medium Range Bar; Meech; A945IPS-0400; 1 Pc")</f>
        <v>Filling VFM100 - Hyperion Medium Range Bar; Meech; A945IPS-0400; 1 Pc</v>
      </c>
      <c r="C1214" s="2" t="str">
        <f>IFERROR(__xludf.DUMMYFUNCTION("""COMPUTED_VALUE"""),"O-53590-00")</f>
        <v>O-53590-00</v>
      </c>
      <c r="D1214" s="2" t="str">
        <f>if(isna(vlookup(C1214,'On Hand'!A:C,3,0)),"",vlookup(C1214,'On Hand'!A:C,3,0))</f>
        <v>pc</v>
      </c>
    </row>
    <row r="1215">
      <c r="A1215" s="2" t="str">
        <f>IFERROR(__xludf.DUMMYFUNCTION("""COMPUTED_VALUE"""),"O-53591-00")</f>
        <v>O-53591-00</v>
      </c>
      <c r="B1215" s="2" t="str">
        <f>IFERROR(__xludf.DUMMYFUNCTION("""COMPUTED_VALUE"""),"Filling VFM100 - M8-4 Pin Power Cable; Meech; A900IPS-PCS10; 1 Pc")</f>
        <v>Filling VFM100 - M8-4 Pin Power Cable; Meech; A900IPS-PCS10; 1 Pc</v>
      </c>
      <c r="C1215" s="2" t="str">
        <f>IFERROR(__xludf.DUMMYFUNCTION("""COMPUTED_VALUE"""),"O-53591-00")</f>
        <v>O-53591-00</v>
      </c>
      <c r="D1215" s="2" t="str">
        <f>if(isna(vlookup(C1215,'On Hand'!A:C,3,0)),"",vlookup(C1215,'On Hand'!A:C,3,0))</f>
        <v>pc</v>
      </c>
    </row>
    <row r="1216">
      <c r="A1216" s="2" t="str">
        <f>IFERROR(__xludf.DUMMYFUNCTION("""COMPUTED_VALUE"""),"O-53604-00")</f>
        <v>O-53604-00</v>
      </c>
      <c r="B1216" s="2" t="str">
        <f>IFERROR(__xludf.DUMMYFUNCTION("""COMPUTED_VALUE"""),"Freeze Dryer MBE1207 -  Flow Switch; SMC; IFW510-04-00; 1 pc")</f>
        <v>Freeze Dryer MBE1207 -  Flow Switch; SMC; IFW510-04-00; 1 pc</v>
      </c>
      <c r="C1216" s="2" t="str">
        <f>IFERROR(__xludf.DUMMYFUNCTION("""COMPUTED_VALUE"""),"O-53604-00")</f>
        <v>O-53604-00</v>
      </c>
      <c r="D1216" s="2" t="str">
        <f>if(isna(vlookup(C1216,'On Hand'!A:C,3,0)),"",vlookup(C1216,'On Hand'!A:C,3,0))</f>
        <v>pc</v>
      </c>
    </row>
    <row r="1217">
      <c r="A1217" s="2" t="str">
        <f>IFERROR(__xludf.DUMMYFUNCTION("""COMPUTED_VALUE"""),"O-53605-00")</f>
        <v>O-53605-00</v>
      </c>
      <c r="B1217" s="2" t="str">
        <f>IFERROR(__xludf.DUMMYFUNCTION("""COMPUTED_VALUE"""),"Autoclave Fedegari FVA2/A1 - Proface Printer; Fedegari; GP400736; 1 pc")</f>
        <v>Autoclave Fedegari FVA2/A1 - Proface Printer; Fedegari; GP400736; 1 pc</v>
      </c>
      <c r="C1217" s="2" t="str">
        <f>IFERROR(__xludf.DUMMYFUNCTION("""COMPUTED_VALUE"""),"O-53605-00")</f>
        <v>O-53605-00</v>
      </c>
      <c r="D1217" s="2" t="str">
        <f>if(isna(vlookup(C1217,'On Hand'!A:C,3,0)),"",vlookup(C1217,'On Hand'!A:C,3,0))</f>
        <v/>
      </c>
    </row>
    <row r="1218">
      <c r="A1218" s="2" t="str">
        <f>IFERROR(__xludf.DUMMYFUNCTION("""COMPUTED_VALUE"""),"O-53620-00")</f>
        <v>O-53620-00</v>
      </c>
      <c r="B1218" s="2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8" s="2" t="str">
        <f>IFERROR(__xludf.DUMMYFUNCTION("""COMPUTED_VALUE"""),"O-53620-00")</f>
        <v>O-53620-00</v>
      </c>
      <c r="D1218" s="2" t="str">
        <f>if(isna(vlookup(C1218,'On Hand'!A:C,3,0)),"",vlookup(C1218,'On Hand'!A:C,3,0))</f>
        <v/>
      </c>
    </row>
    <row r="1219">
      <c r="A1219" s="2" t="str">
        <f>IFERROR(__xludf.DUMMYFUNCTION("""COMPUTED_VALUE"""),"O-53635-00")</f>
        <v>O-53635-00</v>
      </c>
      <c r="B1219" s="2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19" s="2" t="str">
        <f>IFERROR(__xludf.DUMMYFUNCTION("""COMPUTED_VALUE"""),"O-53635-00")</f>
        <v>O-53635-00</v>
      </c>
      <c r="D1219" s="2" t="str">
        <f>if(isna(vlookup(C1219,'On Hand'!A:C,3,0)),"",vlookup(C1219,'On Hand'!A:C,3,0))</f>
        <v/>
      </c>
    </row>
    <row r="1220">
      <c r="A1220" s="2" t="str">
        <f>IFERROR(__xludf.DUMMYFUNCTION("""COMPUTED_VALUE"""),"O-53640-00")</f>
        <v>O-53640-00</v>
      </c>
      <c r="B1220" s="2" t="str">
        <f>IFERROR(__xludf.DUMMYFUNCTION("""COMPUTED_VALUE"""),"Filling VFM100 - USB-RS232 Cable to Electronic Box; Steriline; 25316390; 1 Pc")</f>
        <v>Filling VFM100 - USB-RS232 Cable to Electronic Box; Steriline; 25316390; 1 Pc</v>
      </c>
      <c r="C1220" s="2" t="str">
        <f>IFERROR(__xludf.DUMMYFUNCTION("""COMPUTED_VALUE"""),"O-53640-00")</f>
        <v>O-53640-00</v>
      </c>
      <c r="D1220" s="2" t="str">
        <f>if(isna(vlookup(C1220,'On Hand'!A:C,3,0)),"",vlookup(C1220,'On Hand'!A:C,3,0))</f>
        <v/>
      </c>
    </row>
    <row r="1221">
      <c r="A1221" s="2" t="str">
        <f>IFERROR(__xludf.DUMMYFUNCTION("""COMPUTED_VALUE"""),"O-53641-00")</f>
        <v>O-53641-00</v>
      </c>
      <c r="B1221" s="2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1" s="2" t="str">
        <f>IFERROR(__xludf.DUMMYFUNCTION("""COMPUTED_VALUE"""),"O-53641-00")</f>
        <v>O-53641-00</v>
      </c>
      <c r="D1221" s="2" t="str">
        <f>if(isna(vlookup(C1221,'On Hand'!A:C,3,0)),"",vlookup(C1221,'On Hand'!A:C,3,0))</f>
        <v/>
      </c>
    </row>
    <row r="1222">
      <c r="A1222" s="2" t="str">
        <f>IFERROR(__xludf.DUMMYFUNCTION("""COMPUTED_VALUE"""),"O-53642-00")</f>
        <v>O-53642-00</v>
      </c>
      <c r="B1222" s="2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2" s="2" t="str">
        <f>IFERROR(__xludf.DUMMYFUNCTION("""COMPUTED_VALUE"""),"O-53642-00")</f>
        <v>O-53642-00</v>
      </c>
      <c r="D1222" s="2" t="str">
        <f>if(isna(vlookup(C1222,'On Hand'!A:C,3,0)),"",vlookup(C1222,'On Hand'!A:C,3,0))</f>
        <v/>
      </c>
    </row>
    <row r="1223">
      <c r="A1223" s="2" t="str">
        <f>IFERROR(__xludf.DUMMYFUNCTION("""COMPUTED_VALUE"""),"O-53643-00")</f>
        <v>O-53643-00</v>
      </c>
      <c r="B1223" s="2" t="str">
        <f>IFERROR(__xludf.DUMMYFUNCTION("""COMPUTED_VALUE"""),"Freeze Dryer MBE1207 - Solenoid 180-4E1-PLL 24VDC; Koganei; -; 1 Pc")</f>
        <v>Freeze Dryer MBE1207 - Solenoid 180-4E1-PLL 24VDC; Koganei; -; 1 Pc</v>
      </c>
      <c r="C1223" s="2" t="str">
        <f>IFERROR(__xludf.DUMMYFUNCTION("""COMPUTED_VALUE"""),"O-53643-00")</f>
        <v>O-53643-00</v>
      </c>
      <c r="D1223" s="2" t="str">
        <f>if(isna(vlookup(C1223,'On Hand'!A:C,3,0)),"",vlookup(C1223,'On Hand'!A:C,3,0))</f>
        <v/>
      </c>
    </row>
    <row r="1224">
      <c r="A1224" s="2" t="str">
        <f>IFERROR(__xludf.DUMMYFUNCTION("""COMPUTED_VALUE"""),"O-53645-00")</f>
        <v>O-53645-00</v>
      </c>
      <c r="B1224" s="2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4" s="2" t="str">
        <f>IFERROR(__xludf.DUMMYFUNCTION("""COMPUTED_VALUE"""),"O-53645-00")</f>
        <v>O-53645-00</v>
      </c>
      <c r="D1224" s="2" t="str">
        <f>if(isna(vlookup(C1224,'On Hand'!A:C,3,0)),"",vlookup(C1224,'On Hand'!A:C,3,0))</f>
        <v/>
      </c>
    </row>
    <row r="1225">
      <c r="A1225" s="2" t="str">
        <f>IFERROR(__xludf.DUMMYFUNCTION("""COMPUTED_VALUE"""),"O-54000-00")</f>
        <v>O-54000-00</v>
      </c>
      <c r="B1225" s="2" t="str">
        <f>IFERROR(__xludf.DUMMYFUNCTION("""COMPUTED_VALUE"""),"MOTOR FOR AIR RETURN VALVE?VAV), TROX")</f>
        <v>MOTOR FOR AIR RETURN VALVE?VAV), TROX</v>
      </c>
      <c r="C1225" s="2" t="str">
        <f>IFERROR(__xludf.DUMMYFUNCTION("""COMPUTED_VALUE"""),"O-54000-00")</f>
        <v>O-54000-00</v>
      </c>
      <c r="D1225" s="2" t="str">
        <f>if(isna(vlookup(C1225,'On Hand'!A:C,3,0)),"",vlookup(C1225,'On Hand'!A:C,3,0))</f>
        <v/>
      </c>
    </row>
    <row r="1226">
      <c r="A1226" s="2" t="str">
        <f>IFERROR(__xludf.DUMMYFUNCTION("""COMPUTED_VALUE"""),"O-54001-00")</f>
        <v>O-54001-00</v>
      </c>
      <c r="B1226" s="2" t="str">
        <f>IFERROR(__xludf.DUMMYFUNCTION("""COMPUTED_VALUE"""),"AUXILUARY CONTACT NC SIEMENS")</f>
        <v>AUXILUARY CONTACT NC SIEMENS</v>
      </c>
      <c r="C1226" s="2" t="str">
        <f>IFERROR(__xludf.DUMMYFUNCTION("""COMPUTED_VALUE"""),"O-54001-00")</f>
        <v>O-54001-00</v>
      </c>
      <c r="D1226" s="2" t="str">
        <f>if(isna(vlookup(C1226,'On Hand'!A:C,3,0)),"",vlookup(C1226,'On Hand'!A:C,3,0))</f>
        <v/>
      </c>
    </row>
    <row r="1227">
      <c r="A1227" s="2" t="str">
        <f>IFERROR(__xludf.DUMMYFUNCTION("""COMPUTED_VALUE"""),"O-54002-00")</f>
        <v>O-54002-00</v>
      </c>
      <c r="B1227" s="2" t="str">
        <f>IFERROR(__xludf.DUMMYFUNCTION("""COMPUTED_VALUE"""),"BALLAST ELECTRONIC , PHILIPS, EB-C 110 TLD, 1X10W")</f>
        <v>BALLAST ELECTRONIC , PHILIPS, EB-C 110 TLD, 1X10W</v>
      </c>
      <c r="C1227" s="2" t="str">
        <f>IFERROR(__xludf.DUMMYFUNCTION("""COMPUTED_VALUE"""),"O-54002-00")</f>
        <v>O-54002-00</v>
      </c>
      <c r="D1227" s="2" t="str">
        <f>if(isna(vlookup(C1227,'On Hand'!A:C,3,0)),"",vlookup(C1227,'On Hand'!A:C,3,0))</f>
        <v/>
      </c>
    </row>
    <row r="1228">
      <c r="A1228" s="2" t="str">
        <f>IFERROR(__xludf.DUMMYFUNCTION("""COMPUTED_VALUE"""),"O-54003-00")</f>
        <v>O-54003-00</v>
      </c>
      <c r="B1228" s="2" t="str">
        <f>IFERROR(__xludf.DUMMYFUNCTION("""COMPUTED_VALUE"""),"LAMPU PL-S 2P 11W/865, PHILIPS")</f>
        <v>LAMPU PL-S 2P 11W/865, PHILIPS</v>
      </c>
      <c r="C1228" s="2" t="str">
        <f>IFERROR(__xludf.DUMMYFUNCTION("""COMPUTED_VALUE"""),"O-54003-00")</f>
        <v>O-54003-00</v>
      </c>
      <c r="D1228" s="2" t="str">
        <f>if(isna(vlookup(C1228,'On Hand'!A:C,3,0)),"",vlookup(C1228,'On Hand'!A:C,3,0))</f>
        <v>pc</v>
      </c>
    </row>
    <row r="1229">
      <c r="A1229" s="2" t="str">
        <f>IFERROR(__xludf.DUMMYFUNCTION("""COMPUTED_VALUE"""),"O-54004-00")</f>
        <v>O-54004-00</v>
      </c>
      <c r="B1229" s="2" t="str">
        <f>IFERROR(__xludf.DUMMYFUNCTION("""COMPUTED_VALUE"""),"LAMPU SL 24 W  / 220-240 V / SPIRAL, PHILIPS")</f>
        <v>LAMPU SL 24 W  / 220-240 V / SPIRAL, PHILIPS</v>
      </c>
      <c r="C1229" s="2" t="str">
        <f>IFERROR(__xludf.DUMMYFUNCTION("""COMPUTED_VALUE"""),"O-54004-00")</f>
        <v>O-54004-00</v>
      </c>
      <c r="D1229" s="2" t="str">
        <f>if(isna(vlookup(C1229,'On Hand'!A:C,3,0)),"",vlookup(C1229,'On Hand'!A:C,3,0))</f>
        <v>pc</v>
      </c>
    </row>
    <row r="1230">
      <c r="A1230" s="2" t="str">
        <f>IFERROR(__xludf.DUMMYFUNCTION("""COMPUTED_VALUE"""),"O-54005-00")</f>
        <v>O-54005-00</v>
      </c>
      <c r="B1230" s="2" t="str">
        <f>IFERROR(__xludf.DUMMYFUNCTION("""COMPUTED_VALUE"""),"LAMPU UV 15 WATT, OSRAM")</f>
        <v>LAMPU UV 15 WATT, OSRAM</v>
      </c>
      <c r="C1230" s="2" t="str">
        <f>IFERROR(__xludf.DUMMYFUNCTION("""COMPUTED_VALUE"""),"O-54005-00")</f>
        <v>O-54005-00</v>
      </c>
      <c r="D1230" s="2" t="str">
        <f>if(isna(vlookup(C1230,'On Hand'!A:C,3,0)),"",vlookup(C1230,'On Hand'!A:C,3,0))</f>
        <v>pc</v>
      </c>
    </row>
    <row r="1231">
      <c r="A1231" s="2" t="str">
        <f>IFERROR(__xludf.DUMMYFUNCTION("""COMPUTED_VALUE"""),"O-54006-00")</f>
        <v>O-54006-00</v>
      </c>
      <c r="B1231" s="2" t="str">
        <f>IFERROR(__xludf.DUMMYFUNCTION("""COMPUTED_VALUE"""),"General - MCB 1 PHASE 10 AMPERE; Schneider; -; 1 Pc")</f>
        <v>General - MCB 1 PHASE 10 AMPERE; Schneider; -; 1 Pc</v>
      </c>
      <c r="C1231" s="2" t="str">
        <f>IFERROR(__xludf.DUMMYFUNCTION("""COMPUTED_VALUE"""),"O-54006-00")</f>
        <v>O-54006-00</v>
      </c>
      <c r="D1231" s="2" t="str">
        <f>if(isna(vlookup(C1231,'On Hand'!A:C,3,0)),"",vlookup(C1231,'On Hand'!A:C,3,0))</f>
        <v/>
      </c>
    </row>
    <row r="1232">
      <c r="A1232" s="2" t="str">
        <f>IFERROR(__xludf.DUMMYFUNCTION("""COMPUTED_VALUE"""),"O-54007-00")</f>
        <v>O-54007-00</v>
      </c>
      <c r="B1232" s="2" t="str">
        <f>IFERROR(__xludf.DUMMYFUNCTION("""COMPUTED_VALUE"""),"MCB 1 PHASE, SCHNEIDER ELECTRIC, IC60H 10Ka 16 AMPERE")</f>
        <v>MCB 1 PHASE, SCHNEIDER ELECTRIC, IC60H 10Ka 16 AMPERE</v>
      </c>
      <c r="C1232" s="2" t="str">
        <f>IFERROR(__xludf.DUMMYFUNCTION("""COMPUTED_VALUE"""),"O-54007-00")</f>
        <v>O-54007-00</v>
      </c>
      <c r="D1232" s="2" t="str">
        <f>if(isna(vlookup(C1232,'On Hand'!A:C,3,0)),"",vlookup(C1232,'On Hand'!A:C,3,0))</f>
        <v>pc</v>
      </c>
    </row>
    <row r="1233">
      <c r="A1233" s="2" t="str">
        <f>IFERROR(__xludf.DUMMYFUNCTION("""COMPUTED_VALUE"""),"O-54008-00")</f>
        <v>O-54008-00</v>
      </c>
      <c r="B1233" s="2" t="str">
        <f>IFERROR(__xludf.DUMMYFUNCTION("""COMPUTED_VALUE"""),"General - MCB 1 PHASE 25 AMPERE; Schneider; -; 1 Pc")</f>
        <v>General - MCB 1 PHASE 25 AMPERE; Schneider; -; 1 Pc</v>
      </c>
      <c r="C1233" s="2" t="str">
        <f>IFERROR(__xludf.DUMMYFUNCTION("""COMPUTED_VALUE"""),"O-54008-00")</f>
        <v>O-54008-00</v>
      </c>
      <c r="D1233" s="2" t="str">
        <f>if(isna(vlookup(C1233,'On Hand'!A:C,3,0)),"",vlookup(C1233,'On Hand'!A:C,3,0))</f>
        <v>pc</v>
      </c>
    </row>
    <row r="1234">
      <c r="A1234" s="2" t="str">
        <f>IFERROR(__xludf.DUMMYFUNCTION("""COMPUTED_VALUE"""),"O-54009-00")</f>
        <v>O-54009-00</v>
      </c>
      <c r="B1234" s="2" t="str">
        <f>IFERROR(__xludf.DUMMYFUNCTION("""COMPUTED_VALUE"""),"MCB 1 PHASE, SIEMENS, 2 POLE 2 AMPERE")</f>
        <v>MCB 1 PHASE, SIEMENS, 2 POLE 2 AMPERE</v>
      </c>
      <c r="C1234" s="2" t="str">
        <f>IFERROR(__xludf.DUMMYFUNCTION("""COMPUTED_VALUE"""),"O-54009-00")</f>
        <v>O-54009-00</v>
      </c>
      <c r="D1234" s="2" t="str">
        <f>if(isna(vlookup(C1234,'On Hand'!A:C,3,0)),"",vlookup(C1234,'On Hand'!A:C,3,0))</f>
        <v/>
      </c>
    </row>
    <row r="1235">
      <c r="A1235" s="2" t="str">
        <f>IFERROR(__xludf.DUMMYFUNCTION("""COMPUTED_VALUE"""),"O-54010-00")</f>
        <v>O-54010-00</v>
      </c>
      <c r="B1235" s="2" t="str">
        <f>IFERROR(__xludf.DUMMYFUNCTION("""COMPUTED_VALUE"""),"MCB 1 PHASE, SIEMENS, 2 POLE 4 AMPERE")</f>
        <v>MCB 1 PHASE, SIEMENS, 2 POLE 4 AMPERE</v>
      </c>
      <c r="C1235" s="2" t="str">
        <f>IFERROR(__xludf.DUMMYFUNCTION("""COMPUTED_VALUE"""),"O-54010-00")</f>
        <v>O-54010-00</v>
      </c>
      <c r="D1235" s="2" t="str">
        <f>if(isna(vlookup(C1235,'On Hand'!A:C,3,0)),"",vlookup(C1235,'On Hand'!A:C,3,0))</f>
        <v/>
      </c>
    </row>
    <row r="1236">
      <c r="A1236" s="2" t="str">
        <f>IFERROR(__xludf.DUMMYFUNCTION("""COMPUTED_VALUE"""),"O-54011-00")</f>
        <v>O-54011-00</v>
      </c>
      <c r="B1236" s="2" t="str">
        <f>IFERROR(__xludf.DUMMYFUNCTION("""COMPUTED_VALUE"""),"MCB 3 PHASE, SIEMENS, 2 AMPERE")</f>
        <v>MCB 3 PHASE, SIEMENS, 2 AMPERE</v>
      </c>
      <c r="C1236" s="2" t="str">
        <f>IFERROR(__xludf.DUMMYFUNCTION("""COMPUTED_VALUE"""),"O-54011-00")</f>
        <v>O-54011-00</v>
      </c>
      <c r="D1236" s="2" t="str">
        <f>if(isna(vlookup(C1236,'On Hand'!A:C,3,0)),"",vlookup(C1236,'On Hand'!A:C,3,0))</f>
        <v/>
      </c>
    </row>
    <row r="1237">
      <c r="A1237" s="2" t="str">
        <f>IFERROR(__xludf.DUMMYFUNCTION("""COMPUTED_VALUE"""),"O-54012-00")</f>
        <v>O-54012-00</v>
      </c>
      <c r="B1237" s="2" t="str">
        <f>IFERROR(__xludf.DUMMYFUNCTION("""COMPUTED_VALUE"""),"SELECTOR SWITCH, HANYOUNG, CR253-3 ON-OFF-ON")</f>
        <v>SELECTOR SWITCH, HANYOUNG, CR253-3 ON-OFF-ON</v>
      </c>
      <c r="C1237" s="2" t="str">
        <f>IFERROR(__xludf.DUMMYFUNCTION("""COMPUTED_VALUE"""),"O-54012-00")</f>
        <v>O-54012-00</v>
      </c>
      <c r="D1237" s="2" t="str">
        <f>if(isna(vlookup(C1237,'On Hand'!A:C,3,0)),"",vlookup(C1237,'On Hand'!A:C,3,0))</f>
        <v/>
      </c>
    </row>
    <row r="1238">
      <c r="A1238" s="2" t="str">
        <f>IFERROR(__xludf.DUMMYFUNCTION("""COMPUTED_VALUE"""),"O-54013-00")</f>
        <v>O-54013-00</v>
      </c>
      <c r="B1238" s="2" t="str">
        <f>IFERROR(__xludf.DUMMYFUNCTION("""COMPUTED_VALUE"""),"SOCKET RJ 45 CAT 5")</f>
        <v>SOCKET RJ 45 CAT 5</v>
      </c>
      <c r="C1238" s="2" t="str">
        <f>IFERROR(__xludf.DUMMYFUNCTION("""COMPUTED_VALUE"""),"O-54013-00")</f>
        <v>O-54013-00</v>
      </c>
      <c r="D1238" s="2" t="str">
        <f>if(isna(vlookup(C1238,'On Hand'!A:C,3,0)),"",vlookup(C1238,'On Hand'!A:C,3,0))</f>
        <v/>
      </c>
    </row>
    <row r="1239">
      <c r="A1239" s="2" t="str">
        <f>IFERROR(__xludf.DUMMYFUNCTION("""COMPUTED_VALUE"""),"O-54014-00")</f>
        <v>O-54014-00</v>
      </c>
      <c r="B1239" s="2" t="str">
        <f>IFERROR(__xludf.DUMMYFUNCTION("""COMPUTED_VALUE"""),"STEKER 1 PHASE, BROCO")</f>
        <v>STEKER 1 PHASE, BROCO</v>
      </c>
      <c r="C1239" s="2" t="str">
        <f>IFERROR(__xludf.DUMMYFUNCTION("""COMPUTED_VALUE"""),"O-54014-00")</f>
        <v>O-54014-00</v>
      </c>
      <c r="D1239" s="2" t="str">
        <f>if(isna(vlookup(C1239,'On Hand'!A:C,3,0)),"",vlookup(C1239,'On Hand'!A:C,3,0))</f>
        <v>pc</v>
      </c>
    </row>
    <row r="1240">
      <c r="A1240" s="2" t="str">
        <f>IFERROR(__xludf.DUMMYFUNCTION("""COMPUTED_VALUE"""),"O-54015-00")</f>
        <v>O-54015-00</v>
      </c>
      <c r="B1240" s="2" t="str">
        <f>IFERROR(__xludf.DUMMYFUNCTION("""COMPUTED_VALUE"""),"STOP KONTAK LUBANG 4, BROCO")</f>
        <v>STOP KONTAK LUBANG 4, BROCO</v>
      </c>
      <c r="C1240" s="2" t="str">
        <f>IFERROR(__xludf.DUMMYFUNCTION("""COMPUTED_VALUE"""),"O-54015-00")</f>
        <v>O-54015-00</v>
      </c>
      <c r="D1240" s="2" t="str">
        <f>if(isna(vlookup(C1240,'On Hand'!A:C,3,0)),"",vlookup(C1240,'On Hand'!A:C,3,0))</f>
        <v/>
      </c>
    </row>
    <row r="1241">
      <c r="A1241" s="2" t="str">
        <f>IFERROR(__xludf.DUMMYFUNCTION("""COMPUTED_VALUE"""),"O-54016-00")</f>
        <v>O-54016-00</v>
      </c>
      <c r="B1241" s="2" t="str">
        <f>IFERROR(__xludf.DUMMYFUNCTION("""COMPUTED_VALUE"""),"TEMPERATURE SENSOR ; JUMO, 1XPT 100, TEMP 0-150C")</f>
        <v>TEMPERATURE SENSOR ; JUMO, 1XPT 100, TEMP 0-150C</v>
      </c>
      <c r="C1241" s="2" t="str">
        <f>IFERROR(__xludf.DUMMYFUNCTION("""COMPUTED_VALUE"""),"O-54016-00")</f>
        <v>O-54016-00</v>
      </c>
      <c r="D1241" s="2" t="str">
        <f>if(isna(vlookup(C1241,'On Hand'!A:C,3,0)),"",vlookup(C1241,'On Hand'!A:C,3,0))</f>
        <v/>
      </c>
    </row>
    <row r="1242">
      <c r="A1242" s="2" t="str">
        <f>IFERROR(__xludf.DUMMYFUNCTION("""COMPUTED_VALUE"""),"O-54018-00")</f>
        <v>O-54018-00</v>
      </c>
      <c r="B1242" s="2" t="str">
        <f>IFERROR(__xludf.DUMMYFUNCTION("""COMPUTED_VALUE"""),"UV DEVICE ; REMOVAL OF OZONE; HANOVIA UV; Pharma Line SD55; ID : S203-001")</f>
        <v>UV DEVICE ; REMOVAL OF OZONE; HANOVIA UV; Pharma Line SD55; ID : S203-001</v>
      </c>
      <c r="C1242" s="2" t="str">
        <f>IFERROR(__xludf.DUMMYFUNCTION("""COMPUTED_VALUE"""),"O-54018-00")</f>
        <v>O-54018-00</v>
      </c>
      <c r="D1242" s="2" t="str">
        <f>if(isna(vlookup(C1242,'On Hand'!A:C,3,0)),"",vlookup(C1242,'On Hand'!A:C,3,0))</f>
        <v/>
      </c>
    </row>
    <row r="1243">
      <c r="A1243" s="2" t="str">
        <f>IFERROR(__xludf.DUMMYFUNCTION("""COMPUTED_VALUE"""),"O-54031-00")</f>
        <v>O-54031-00</v>
      </c>
      <c r="B1243" s="2" t="str">
        <f>IFERROR(__xludf.DUMMYFUNCTION("""COMPUTED_VALUE"""),"Profibus Connector SIEMENS, Simatic DP 6ES7972-0BA52-0XA0; ; ;")</f>
        <v>Profibus Connector SIEMENS, Simatic DP 6ES7972-0BA52-0XA0; ; ;</v>
      </c>
      <c r="C1243" s="2" t="str">
        <f>IFERROR(__xludf.DUMMYFUNCTION("""COMPUTED_VALUE"""),"O-54031-00")</f>
        <v>O-54031-00</v>
      </c>
      <c r="D1243" s="2" t="str">
        <f>if(isna(vlookup(C1243,'On Hand'!A:C,3,0)),"",vlookup(C1243,'On Hand'!A:C,3,0))</f>
        <v/>
      </c>
    </row>
    <row r="1244">
      <c r="A1244" s="2" t="str">
        <f>IFERROR(__xludf.DUMMYFUNCTION("""COMPUTED_VALUE"""),"O-54032-00")</f>
        <v>O-54032-00</v>
      </c>
      <c r="B1244" s="2" t="str">
        <f>IFERROR(__xludf.DUMMYFUNCTION("""COMPUTED_VALUE"""),"Photoelectric Distance Sensor OGD592 IFM")</f>
        <v>Photoelectric Distance Sensor OGD592 IFM</v>
      </c>
      <c r="C1244" s="2" t="str">
        <f>IFERROR(__xludf.DUMMYFUNCTION("""COMPUTED_VALUE"""),"O-54032-00")</f>
        <v>O-54032-00</v>
      </c>
      <c r="D1244" s="2" t="str">
        <f>if(isna(vlookup(C1244,'On Hand'!A:C,3,0)),"",vlookup(C1244,'On Hand'!A:C,3,0))</f>
        <v/>
      </c>
    </row>
    <row r="1245">
      <c r="A1245" s="2" t="str">
        <f>IFERROR(__xludf.DUMMYFUNCTION("""COMPUTED_VALUE"""),"O-54033-00")</f>
        <v>O-54033-00</v>
      </c>
      <c r="B1245" s="2" t="str">
        <f>IFERROR(__xludf.DUMMYFUNCTION("""COMPUTED_VALUE"""),"Mounting Adapter Connector 5M IFM")</f>
        <v>Mounting Adapter Connector 5M IFM</v>
      </c>
      <c r="C1245" s="2" t="str">
        <f>IFERROR(__xludf.DUMMYFUNCTION("""COMPUTED_VALUE"""),"O-54033-00")</f>
        <v>O-54033-00</v>
      </c>
      <c r="D1245" s="2" t="str">
        <f>if(isna(vlookup(C1245,'On Hand'!A:C,3,0)),"",vlookup(C1245,'On Hand'!A:C,3,0))</f>
        <v/>
      </c>
    </row>
    <row r="1246">
      <c r="A1246" s="2" t="str">
        <f>IFERROR(__xludf.DUMMYFUNCTION("""COMPUTED_VALUE"""),"O-54036-00")</f>
        <v>O-54036-00</v>
      </c>
      <c r="B1246" s="2" t="str">
        <f>IFERROR(__xludf.DUMMYFUNCTION("""COMPUTED_VALUE"""),"UHI catridge heater dia.12x100mm, 220V-300W; ; ;")</f>
        <v>UHI catridge heater dia.12x100mm, 220V-300W; ; ;</v>
      </c>
      <c r="C1246" s="2" t="str">
        <f>IFERROR(__xludf.DUMMYFUNCTION("""COMPUTED_VALUE"""),"O-54036-00")</f>
        <v>O-54036-00</v>
      </c>
      <c r="D1246" s="2" t="str">
        <f>if(isna(vlookup(C1246,'On Hand'!A:C,3,0)),"",vlookup(C1246,'On Hand'!A:C,3,0))</f>
        <v/>
      </c>
    </row>
    <row r="1247">
      <c r="A1247" s="2" t="str">
        <f>IFERROR(__xludf.DUMMYFUNCTION("""COMPUTED_VALUE"""),"O-54103-00")</f>
        <v>O-54103-00</v>
      </c>
      <c r="B1247" s="2" t="str">
        <f>IFERROR(__xludf.DUMMYFUNCTION("""COMPUTED_VALUE"""),"Zelio Electromechanical Relays;RXM2AB2BD;Schneider")</f>
        <v>Zelio Electromechanical Relays;RXM2AB2BD;Schneider</v>
      </c>
      <c r="C1247" s="2" t="str">
        <f>IFERROR(__xludf.DUMMYFUNCTION("""COMPUTED_VALUE"""),"O-54103-00")</f>
        <v>O-54103-00</v>
      </c>
      <c r="D1247" s="2" t="str">
        <f>if(isna(vlookup(C1247,'On Hand'!A:C,3,0)),"",vlookup(C1247,'On Hand'!A:C,3,0))</f>
        <v/>
      </c>
    </row>
    <row r="1248">
      <c r="A1248" s="2" t="str">
        <f>IFERROR(__xludf.DUMMYFUNCTION("""COMPUTED_VALUE"""),"O-54109-00")</f>
        <v>O-54109-00</v>
      </c>
      <c r="B1248" s="2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8" s="2" t="str">
        <f>IFERROR(__xludf.DUMMYFUNCTION("""COMPUTED_VALUE"""),"O-54109-00")</f>
        <v>O-54109-00</v>
      </c>
      <c r="D1248" s="2" t="str">
        <f>if(isna(vlookup(C1248,'On Hand'!A:C,3,0)),"",vlookup(C1248,'On Hand'!A:C,3,0))</f>
        <v/>
      </c>
    </row>
    <row r="1249">
      <c r="A1249" s="2" t="str">
        <f>IFERROR(__xludf.DUMMYFUNCTION("""COMPUTED_VALUE"""),"O-54112-00")</f>
        <v>O-54112-00</v>
      </c>
      <c r="B1249" s="2" t="str">
        <f>IFERROR(__xludf.DUMMYFUNCTION("""COMPUTED_VALUE"""),"Circulator Pump UPS 32-80 N 180 1x230V 50Hz 9H GRUNDFOS p/n 95906448")</f>
        <v>Circulator Pump UPS 32-80 N 180 1x230V 50Hz 9H GRUNDFOS p/n 95906448</v>
      </c>
      <c r="C1249" s="2" t="str">
        <f>IFERROR(__xludf.DUMMYFUNCTION("""COMPUTED_VALUE"""),"O-54112-00")</f>
        <v>O-54112-00</v>
      </c>
      <c r="D1249" s="2" t="str">
        <f>if(isna(vlookup(C1249,'On Hand'!A:C,3,0)),"",vlookup(C1249,'On Hand'!A:C,3,0))</f>
        <v/>
      </c>
    </row>
    <row r="1250">
      <c r="A1250" s="2" t="str">
        <f>IFERROR(__xludf.DUMMYFUNCTION("""COMPUTED_VALUE"""),"O-54115-00")</f>
        <v>O-54115-00</v>
      </c>
      <c r="B1250" s="2" t="str">
        <f>IFERROR(__xludf.DUMMYFUNCTION("""COMPUTED_VALUE"""),"Fiber Amplifier -; KEYENCE; FS-V31CP;")</f>
        <v>Fiber Amplifier -; KEYENCE; FS-V31CP;</v>
      </c>
      <c r="C1250" s="2" t="str">
        <f>IFERROR(__xludf.DUMMYFUNCTION("""COMPUTED_VALUE"""),"O-54115-00")</f>
        <v>O-54115-00</v>
      </c>
      <c r="D1250" s="2" t="str">
        <f>if(isna(vlookup(C1250,'On Hand'!A:C,3,0)),"",vlookup(C1250,'On Hand'!A:C,3,0))</f>
        <v>pc</v>
      </c>
    </row>
    <row r="1251">
      <c r="A1251" s="2" t="str">
        <f>IFERROR(__xludf.DUMMYFUNCTION("""COMPUTED_VALUE"""),"O-54116-00")</f>
        <v>O-54116-00</v>
      </c>
      <c r="B1251" s="2" t="str">
        <f>IFERROR(__xludf.DUMMYFUNCTION("""COMPUTED_VALUE"""),"Fiber Reflective -; KEYENCE; FU-67V;")</f>
        <v>Fiber Reflective -; KEYENCE; FU-67V;</v>
      </c>
      <c r="C1251" s="2" t="str">
        <f>IFERROR(__xludf.DUMMYFUNCTION("""COMPUTED_VALUE"""),"O-54116-00")</f>
        <v>O-54116-00</v>
      </c>
      <c r="D1251" s="2" t="str">
        <f>if(isna(vlookup(C1251,'On Hand'!A:C,3,0)),"",vlookup(C1251,'On Hand'!A:C,3,0))</f>
        <v>pc</v>
      </c>
    </row>
    <row r="1252">
      <c r="A1252" s="2" t="str">
        <f>IFERROR(__xludf.DUMMYFUNCTION("""COMPUTED_VALUE"""),"O-54119-00")</f>
        <v>O-54119-00</v>
      </c>
      <c r="B1252" s="2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2" s="2" t="str">
        <f>IFERROR(__xludf.DUMMYFUNCTION("""COMPUTED_VALUE"""),"O-54119-00")</f>
        <v>O-54119-00</v>
      </c>
      <c r="D1252" s="2" t="str">
        <f>if(isna(vlookup(C1252,'On Hand'!A:C,3,0)),"",vlookup(C1252,'On Hand'!A:C,3,0))</f>
        <v/>
      </c>
    </row>
    <row r="1253">
      <c r="A1253" s="2" t="str">
        <f>IFERROR(__xludf.DUMMYFUNCTION("""COMPUTED_VALUE"""),"O-54120-00")</f>
        <v>O-54120-00</v>
      </c>
      <c r="B1253" s="2" t="str">
        <f>IFERROR(__xludf.DUMMYFUNCTION("""COMPUTED_VALUE"""),"O-RING 8X1.8; Freeze Dryer MBE1207; P/N EB41-00336; pack size per pc")</f>
        <v>O-RING 8X1.8; Freeze Dryer MBE1207; P/N EB41-00336; pack size per pc</v>
      </c>
      <c r="C1253" s="2" t="str">
        <f>IFERROR(__xludf.DUMMYFUNCTION("""COMPUTED_VALUE"""),"O-54120-00")</f>
        <v>O-54120-00</v>
      </c>
      <c r="D1253" s="2" t="str">
        <f>if(isna(vlookup(C1253,'On Hand'!A:C,3,0)),"",vlookup(C1253,'On Hand'!A:C,3,0))</f>
        <v>pc</v>
      </c>
    </row>
    <row r="1254">
      <c r="A1254" s="2" t="str">
        <f>IFERROR(__xludf.DUMMYFUNCTION("""COMPUTED_VALUE"""),"O-54121-00")</f>
        <v>O-54121-00</v>
      </c>
      <c r="B1254" s="2" t="str">
        <f>IFERROR(__xludf.DUMMYFUNCTION("""COMPUTED_VALUE"""),"O-RING 180X3.55; Freeze Dryer MBE1207; P/N EB41-00357; pack size per pc")</f>
        <v>O-RING 180X3.55; Freeze Dryer MBE1207; P/N EB41-00357; pack size per pc</v>
      </c>
      <c r="C1254" s="2" t="str">
        <f>IFERROR(__xludf.DUMMYFUNCTION("""COMPUTED_VALUE"""),"O-54121-00")</f>
        <v>O-54121-00</v>
      </c>
      <c r="D1254" s="2" t="str">
        <f>if(isna(vlookup(C1254,'On Hand'!A:C,3,0)),"",vlookup(C1254,'On Hand'!A:C,3,0))</f>
        <v>pc</v>
      </c>
    </row>
    <row r="1255">
      <c r="A1255" s="2" t="str">
        <f>IFERROR(__xludf.DUMMYFUNCTION("""COMPUTED_VALUE"""),"O-54122-00")</f>
        <v>O-54122-00</v>
      </c>
      <c r="B1255" s="2" t="str">
        <f>IFERROR(__xludf.DUMMYFUNCTION("""COMPUTED_VALUE"""),"O-RING 106X5.30; Freeze Dryer MBE1207; P/N EB41-00292; pack size per pc")</f>
        <v>O-RING 106X5.30; Freeze Dryer MBE1207; P/N EB41-00292; pack size per pc</v>
      </c>
      <c r="C1255" s="2" t="str">
        <f>IFERROR(__xludf.DUMMYFUNCTION("""COMPUTED_VALUE"""),"O-54122-00")</f>
        <v>O-54122-00</v>
      </c>
      <c r="D1255" s="2" t="str">
        <f>if(isna(vlookup(C1255,'On Hand'!A:C,3,0)),"",vlookup(C1255,'On Hand'!A:C,3,0))</f>
        <v>pc</v>
      </c>
    </row>
    <row r="1256">
      <c r="A1256" s="2" t="str">
        <f>IFERROR(__xludf.DUMMYFUNCTION("""COMPUTED_VALUE"""),"O-54123-00")</f>
        <v>O-54123-00</v>
      </c>
      <c r="B1256" s="2" t="str">
        <f>IFERROR(__xludf.DUMMYFUNCTION("""COMPUTED_VALUE"""),"O-RING 132X5.30; Freeze Dryer MBE1207; P/N EB41-00298; pack size per pc")</f>
        <v>O-RING 132X5.30; Freeze Dryer MBE1207; P/N EB41-00298; pack size per pc</v>
      </c>
      <c r="C1256" s="2" t="str">
        <f>IFERROR(__xludf.DUMMYFUNCTION("""COMPUTED_VALUE"""),"O-54123-00")</f>
        <v>O-54123-00</v>
      </c>
      <c r="D1256" s="2" t="str">
        <f>if(isna(vlookup(C1256,'On Hand'!A:C,3,0)),"",vlookup(C1256,'On Hand'!A:C,3,0))</f>
        <v>pc</v>
      </c>
    </row>
    <row r="1257">
      <c r="A1257" s="2" t="str">
        <f>IFERROR(__xludf.DUMMYFUNCTION("""COMPUTED_VALUE"""),"O-54124-00")</f>
        <v>O-54124-00</v>
      </c>
      <c r="B1257" s="2" t="str">
        <f>IFERROR(__xludf.DUMMYFUNCTION("""COMPUTED_VALUE"""),"O-RING 345X5.30; Freeze Dryer MBE1207; P/N EB41-00320; pack size per pc")</f>
        <v>O-RING 345X5.30; Freeze Dryer MBE1207; P/N EB41-00320; pack size per pc</v>
      </c>
      <c r="C1257" s="2" t="str">
        <f>IFERROR(__xludf.DUMMYFUNCTION("""COMPUTED_VALUE"""),"O-54124-00")</f>
        <v>O-54124-00</v>
      </c>
      <c r="D1257" s="2" t="str">
        <f>if(isna(vlookup(C1257,'On Hand'!A:C,3,0)),"",vlookup(C1257,'On Hand'!A:C,3,0))</f>
        <v>pc</v>
      </c>
    </row>
    <row r="1258">
      <c r="A1258" s="2" t="str">
        <f>IFERROR(__xludf.DUMMYFUNCTION("""COMPUTED_VALUE"""),"O-54127-00")</f>
        <v>O-54127-00</v>
      </c>
      <c r="B1258" s="2" t="str">
        <f>IFERROR(__xludf.DUMMYFUNCTION("""COMPUTED_VALUE"""),"Control Unit G120 CU240E-2 DP E-type safety, Sinamics; Siemens; ;")</f>
        <v>Control Unit G120 CU240E-2 DP E-type safety, Sinamics; Siemens; ;</v>
      </c>
      <c r="C1258" s="2" t="str">
        <f>IFERROR(__xludf.DUMMYFUNCTION("""COMPUTED_VALUE"""),"O-54127-00")</f>
        <v>O-54127-00</v>
      </c>
      <c r="D1258" s="2" t="str">
        <f>if(isna(vlookup(C1258,'On Hand'!A:C,3,0)),"",vlookup(C1258,'On Hand'!A:C,3,0))</f>
        <v>pc</v>
      </c>
    </row>
    <row r="1259">
      <c r="A1259" s="2" t="str">
        <f>IFERROR(__xludf.DUMMYFUNCTION("""COMPUTED_VALUE"""),"O-54128-00")</f>
        <v>O-54128-00</v>
      </c>
      <c r="B1259" s="2" t="str">
        <f>IFERROR(__xludf.DUMMYFUNCTION("""COMPUTED_VALUE"""),"Thermocouple 4 Channel 4 HTI HT-9815; Lokal; ;")</f>
        <v>Thermocouple 4 Channel 4 HTI HT-9815; Lokal; ;</v>
      </c>
      <c r="C1259" s="2" t="str">
        <f>IFERROR(__xludf.DUMMYFUNCTION("""COMPUTED_VALUE"""),"O-54128-00")</f>
        <v>O-54128-00</v>
      </c>
      <c r="D1259" s="2" t="str">
        <f>if(isna(vlookup(C1259,'On Hand'!A:C,3,0)),"",vlookup(C1259,'On Hand'!A:C,3,0))</f>
        <v/>
      </c>
    </row>
    <row r="1260">
      <c r="A1260" s="2" t="str">
        <f>IFERROR(__xludf.DUMMYFUNCTION("""COMPUTED_VALUE"""),"O-54129-00")</f>
        <v>O-54129-00</v>
      </c>
      <c r="B1260" s="2" t="str">
        <f>IFERROR(__xludf.DUMMYFUNCTION("""COMPUTED_VALUE"""),"Digital Vacuum Gauge VMV-1 0 - 75000 Microns; VALUE; ;")</f>
        <v>Digital Vacuum Gauge VMV-1 0 - 75000 Microns; VALUE; ;</v>
      </c>
      <c r="C1260" s="2" t="str">
        <f>IFERROR(__xludf.DUMMYFUNCTION("""COMPUTED_VALUE"""),"O-54129-00")</f>
        <v>O-54129-00</v>
      </c>
      <c r="D1260" s="2" t="str">
        <f>if(isna(vlookup(C1260,'On Hand'!A:C,3,0)),"",vlookup(C1260,'On Hand'!A:C,3,0))</f>
        <v/>
      </c>
    </row>
    <row r="1261">
      <c r="A1261" s="2" t="str">
        <f>IFERROR(__xludf.DUMMYFUNCTION("""COMPUTED_VALUE"""),"O-54130-00")</f>
        <v>O-54130-00</v>
      </c>
      <c r="B1261" s="2" t="str">
        <f>IFERROR(__xludf.DUMMYFUNCTION("""COMPUTED_VALUE"""),"Circuit Breake For Motor Protection 3RV1011-1HA10 5.5 - 8 A; SIEMENS; ;")</f>
        <v>Circuit Breake For Motor Protection 3RV1011-1HA10 5.5 - 8 A; SIEMENS; ;</v>
      </c>
      <c r="C1261" s="2" t="str">
        <f>IFERROR(__xludf.DUMMYFUNCTION("""COMPUTED_VALUE"""),"O-54130-00")</f>
        <v>O-54130-00</v>
      </c>
      <c r="D1261" s="2" t="str">
        <f>if(isna(vlookup(C1261,'On Hand'!A:C,3,0)),"",vlookup(C1261,'On Hand'!A:C,3,0))</f>
        <v/>
      </c>
    </row>
    <row r="1262">
      <c r="A1262" s="2" t="str">
        <f>IFERROR(__xludf.DUMMYFUNCTION("""COMPUTED_VALUE"""),"O-54137-00")</f>
        <v>O-54137-00</v>
      </c>
      <c r="B1262" s="2" t="str">
        <f>IFERROR(__xludf.DUMMYFUNCTION("""COMPUTED_VALUE"""),"General - Terminal Block, 6 mm; Fort; -; 1 pcs")</f>
        <v>General - Terminal Block, 6 mm; Fort; -; 1 pcs</v>
      </c>
      <c r="C1262" s="2" t="str">
        <f>IFERROR(__xludf.DUMMYFUNCTION("""COMPUTED_VALUE"""),"O-54137-00")</f>
        <v>O-54137-00</v>
      </c>
      <c r="D1262" s="2" t="str">
        <f>if(isna(vlookup(C1262,'On Hand'!A:C,3,0)),"",vlookup(C1262,'On Hand'!A:C,3,0))</f>
        <v>pc</v>
      </c>
    </row>
    <row r="1263">
      <c r="A1263" s="2" t="str">
        <f>IFERROR(__xludf.DUMMYFUNCTION("""COMPUTED_VALUE"""),"O-54138-00")</f>
        <v>O-54138-00</v>
      </c>
      <c r="B1263" s="2" t="str">
        <f>IFERROR(__xludf.DUMMYFUNCTION("""COMPUTED_VALUE"""),"General - Terminal Block, 10 mm; Fort; -; 1 pcs")</f>
        <v>General - Terminal Block, 10 mm; Fort; -; 1 pcs</v>
      </c>
      <c r="C1263" s="2" t="str">
        <f>IFERROR(__xludf.DUMMYFUNCTION("""COMPUTED_VALUE"""),"O-54138-00")</f>
        <v>O-54138-00</v>
      </c>
      <c r="D1263" s="2" t="str">
        <f>if(isna(vlookup(C1263,'On Hand'!A:C,3,0)),"",vlookup(C1263,'On Hand'!A:C,3,0))</f>
        <v>pc</v>
      </c>
    </row>
    <row r="1264">
      <c r="A1264" s="2" t="str">
        <f>IFERROR(__xludf.DUMMYFUNCTION("""COMPUTED_VALUE"""),"O-54139-00")</f>
        <v>O-54139-00</v>
      </c>
      <c r="B1264" s="2" t="str">
        <f>IFERROR(__xludf.DUMMYFUNCTION("""COMPUTED_VALUE"""),"Lampu PLC 4U 45W; Hannochs; ;")</f>
        <v>Lampu PLC 4U 45W; Hannochs; ;</v>
      </c>
      <c r="C1264" s="2" t="str">
        <f>IFERROR(__xludf.DUMMYFUNCTION("""COMPUTED_VALUE"""),"O-54139-00")</f>
        <v>O-54139-00</v>
      </c>
      <c r="D1264" s="2" t="str">
        <f>if(isna(vlookup(C1264,'On Hand'!A:C,3,0)),"",vlookup(C1264,'On Hand'!A:C,3,0))</f>
        <v/>
      </c>
    </row>
    <row r="1265">
      <c r="A1265" s="2" t="str">
        <f>IFERROR(__xludf.DUMMYFUNCTION("""COMPUTED_VALUE"""),"O-54159-00")</f>
        <v>O-54159-00</v>
      </c>
      <c r="B1265" s="2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5" s="2" t="str">
        <f>IFERROR(__xludf.DUMMYFUNCTION("""COMPUTED_VALUE"""),"O-54159-00")</f>
        <v>O-54159-00</v>
      </c>
      <c r="D1265" s="2" t="str">
        <f>if(isna(vlookup(C1265,'On Hand'!A:C,3,0)),"",vlookup(C1265,'On Hand'!A:C,3,0))</f>
        <v>pc</v>
      </c>
    </row>
    <row r="1266">
      <c r="A1266" s="2" t="str">
        <f>IFERROR(__xludf.DUMMYFUNCTION("""COMPUTED_VALUE"""),"O-54161-00")</f>
        <v>O-54161-00</v>
      </c>
      <c r="B1266" s="2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6" s="2" t="str">
        <f>IFERROR(__xludf.DUMMYFUNCTION("""COMPUTED_VALUE"""),"O-54161-00")</f>
        <v>O-54161-00</v>
      </c>
      <c r="D1266" s="2" t="str">
        <f>if(isna(vlookup(C1266,'On Hand'!A:C,3,0)),"",vlookup(C1266,'On Hand'!A:C,3,0))</f>
        <v/>
      </c>
    </row>
    <row r="1267">
      <c r="A1267" s="2" t="str">
        <f>IFERROR(__xludf.DUMMYFUNCTION("""COMPUTED_VALUE"""),"O-54163-00")</f>
        <v>O-54163-00</v>
      </c>
      <c r="B1267" s="2" t="str">
        <f>IFERROR(__xludf.DUMMYFUNCTION("""COMPUTED_VALUE"""),"Capping VCM200 - Fieldline Modular Bus Coupler; Steriline; P/N 201798;")</f>
        <v>Capping VCM200 - Fieldline Modular Bus Coupler; Steriline; P/N 201798;</v>
      </c>
      <c r="C1267" s="2" t="str">
        <f>IFERROR(__xludf.DUMMYFUNCTION("""COMPUTED_VALUE"""),"O-54163-00")</f>
        <v>O-54163-00</v>
      </c>
      <c r="D1267" s="2" t="str">
        <f>if(isna(vlookup(C1267,'On Hand'!A:C,3,0)),"",vlookup(C1267,'On Hand'!A:C,3,0))</f>
        <v/>
      </c>
    </row>
    <row r="1268">
      <c r="A1268" s="2" t="str">
        <f>IFERROR(__xludf.DUMMYFUNCTION("""COMPUTED_VALUE"""),"O-54164-00")</f>
        <v>O-54164-00</v>
      </c>
      <c r="B1268" s="2" t="str">
        <f>IFERROR(__xludf.DUMMYFUNCTION("""COMPUTED_VALUE"""),"Capping VCM200 - Fieldline Modular Device; Steriline; P/N 202024;")</f>
        <v>Capping VCM200 - Fieldline Modular Device; Steriline; P/N 202024;</v>
      </c>
      <c r="C1268" s="2" t="str">
        <f>IFERROR(__xludf.DUMMYFUNCTION("""COMPUTED_VALUE"""),"O-54164-00")</f>
        <v>O-54164-00</v>
      </c>
      <c r="D1268" s="2" t="str">
        <f>if(isna(vlookup(C1268,'On Hand'!A:C,3,0)),"",vlookup(C1268,'On Hand'!A:C,3,0))</f>
        <v>pc</v>
      </c>
    </row>
    <row r="1269">
      <c r="A1269" s="2" t="str">
        <f>IFERROR(__xludf.DUMMYFUNCTION("""COMPUTED_VALUE"""),"O-54165-00")</f>
        <v>O-54165-00</v>
      </c>
      <c r="B1269" s="2" t="str">
        <f>IFERROR(__xludf.DUMMYFUNCTION("""COMPUTED_VALUE"""),"Electronic Expansion Valve ESS2U; Parker; ;")</f>
        <v>Electronic Expansion Valve ESS2U; Parker; ;</v>
      </c>
      <c r="C1269" s="2" t="str">
        <f>IFERROR(__xludf.DUMMYFUNCTION("""COMPUTED_VALUE"""),"O-54165-00")</f>
        <v>O-54165-00</v>
      </c>
      <c r="D1269" s="2" t="str">
        <f>if(isna(vlookup(C1269,'On Hand'!A:C,3,0)),"",vlookup(C1269,'On Hand'!A:C,3,0))</f>
        <v>pc</v>
      </c>
    </row>
    <row r="1270">
      <c r="A1270" s="2" t="str">
        <f>IFERROR(__xludf.DUMMYFUNCTION("""COMPUTED_VALUE"""),"O-54166-00")</f>
        <v>O-54166-00</v>
      </c>
      <c r="B1270" s="2" t="str">
        <f>IFERROR(__xludf.DUMMYFUNCTION("""COMPUTED_VALUE"""),"Coil Magnet 018F0091; Danfoss; ;")</f>
        <v>Coil Magnet 018F0091; Danfoss; ;</v>
      </c>
      <c r="C1270" s="2" t="str">
        <f>IFERROR(__xludf.DUMMYFUNCTION("""COMPUTED_VALUE"""),"O-54166-00")</f>
        <v>O-54166-00</v>
      </c>
      <c r="D1270" s="2" t="str">
        <f>if(isna(vlookup(C1270,'On Hand'!A:C,3,0)),"",vlookup(C1270,'On Hand'!A:C,3,0))</f>
        <v/>
      </c>
    </row>
    <row r="1271">
      <c r="A1271" s="2" t="str">
        <f>IFERROR(__xludf.DUMMYFUNCTION("""COMPUTED_VALUE"""),"O-54167-00")</f>
        <v>O-54167-00</v>
      </c>
      <c r="B1271" s="2" t="str">
        <f>IFERROR(__xludf.DUMMYFUNCTION("""COMPUTED_VALUE"""),"Connector Cable CLD408-5; Autonics; H7950000609;")</f>
        <v>Connector Cable CLD408-5; Autonics; H7950000609;</v>
      </c>
      <c r="C1271" s="2" t="str">
        <f>IFERROR(__xludf.DUMMYFUNCTION("""COMPUTED_VALUE"""),"O-54167-00")</f>
        <v>O-54167-00</v>
      </c>
      <c r="D1271" s="2" t="str">
        <f>if(isna(vlookup(C1271,'On Hand'!A:C,3,0)),"",vlookup(C1271,'On Hand'!A:C,3,0))</f>
        <v>pc</v>
      </c>
    </row>
    <row r="1272">
      <c r="A1272" s="2" t="str">
        <f>IFERROR(__xludf.DUMMYFUNCTION("""COMPUTED_VALUE"""),"O-54168-00")</f>
        <v>O-54168-00</v>
      </c>
      <c r="B1272" s="2" t="str">
        <f>IFERROR(__xludf.DUMMYFUNCTION("""COMPUTED_VALUE"""),"Connector Cable CID408-5; Autonics; H7950000607;")</f>
        <v>Connector Cable CID408-5; Autonics; H7950000607;</v>
      </c>
      <c r="C1272" s="2" t="str">
        <f>IFERROR(__xludf.DUMMYFUNCTION("""COMPUTED_VALUE"""),"O-54168-00")</f>
        <v>O-54168-00</v>
      </c>
      <c r="D1272" s="2" t="str">
        <f>if(isna(vlookup(C1272,'On Hand'!A:C,3,0)),"",vlookup(C1272,'On Hand'!A:C,3,0))</f>
        <v>pc</v>
      </c>
    </row>
    <row r="1273">
      <c r="A1273" s="2" t="str">
        <f>IFERROR(__xludf.DUMMYFUNCTION("""COMPUTED_VALUE"""),"O-54169-00")</f>
        <v>O-54169-00</v>
      </c>
      <c r="B1273" s="2" t="str">
        <f>IFERROR(__xludf.DUMMYFUNCTION("""COMPUTED_VALUE"""),"Control Unit G120 CU250S-2 DP Integriert Sinamics; Siemens; ;")</f>
        <v>Control Unit G120 CU250S-2 DP Integriert Sinamics; Siemens; ;</v>
      </c>
      <c r="C1273" s="2" t="str">
        <f>IFERROR(__xludf.DUMMYFUNCTION("""COMPUTED_VALUE"""),"O-54169-00")</f>
        <v>O-54169-00</v>
      </c>
      <c r="D1273" s="2" t="str">
        <f>if(isna(vlookup(C1273,'On Hand'!A:C,3,0)),"",vlookup(C1273,'On Hand'!A:C,3,0))</f>
        <v>pc</v>
      </c>
    </row>
    <row r="1274">
      <c r="A1274" s="2" t="str">
        <f>IFERROR(__xludf.DUMMYFUNCTION("""COMPUTED_VALUE"""),"O-54170-00")</f>
        <v>O-54170-00</v>
      </c>
      <c r="B1274" s="2" t="str">
        <f>IFERROR(__xludf.DUMMYFUNCTION("""COMPUTED_VALUE"""),"Electronic Expansion Valve ESX24B; Parker; ;")</f>
        <v>Electronic Expansion Valve ESX24B; Parker; ;</v>
      </c>
      <c r="C1274" s="2" t="str">
        <f>IFERROR(__xludf.DUMMYFUNCTION("""COMPUTED_VALUE"""),"O-54170-00")</f>
        <v>O-54170-00</v>
      </c>
      <c r="D1274" s="2" t="str">
        <f>if(isna(vlookup(C1274,'On Hand'!A:C,3,0)),"",vlookup(C1274,'On Hand'!A:C,3,0))</f>
        <v>pc</v>
      </c>
    </row>
    <row r="1275">
      <c r="A1275" s="2" t="str">
        <f>IFERROR(__xludf.DUMMYFUNCTION("""COMPUTED_VALUE"""),"O-54171-00")</f>
        <v>O-54171-00</v>
      </c>
      <c r="B1275" s="2" t="str">
        <f>IFERROR(__xludf.DUMMYFUNCTION("""COMPUTED_VALUE"""),"Service Push Button With Plug; Melchers; ENG-SEI-42-057679-00;")</f>
        <v>Service Push Button With Plug; Melchers; ENG-SEI-42-057679-00;</v>
      </c>
      <c r="C1275" s="2" t="str">
        <f>IFERROR(__xludf.DUMMYFUNCTION("""COMPUTED_VALUE"""),"O-54171-00")</f>
        <v>O-54171-00</v>
      </c>
      <c r="D1275" s="2" t="str">
        <f>if(isna(vlookup(C1275,'On Hand'!A:C,3,0)),"",vlookup(C1275,'On Hand'!A:C,3,0))</f>
        <v/>
      </c>
    </row>
    <row r="1276">
      <c r="A1276" s="2" t="str">
        <f>IFERROR(__xludf.DUMMYFUNCTION("""COMPUTED_VALUE"""),"O-54173-00")</f>
        <v>O-54173-00</v>
      </c>
      <c r="B1276" s="2" t="str">
        <f>IFERROR(__xludf.DUMMYFUNCTION("""COMPUTED_VALUE"""),"Fan Condensor M4Q045-EA01-C01; Ebm-papst; ;")</f>
        <v>Fan Condensor M4Q045-EA01-C01; Ebm-papst; ;</v>
      </c>
      <c r="C1276" s="2" t="str">
        <f>IFERROR(__xludf.DUMMYFUNCTION("""COMPUTED_VALUE"""),"O-54173-00")</f>
        <v>O-54173-00</v>
      </c>
      <c r="D1276" s="2" t="str">
        <f>if(isna(vlookup(C1276,'On Hand'!A:C,3,0)),"",vlookup(C1276,'On Hand'!A:C,3,0))</f>
        <v/>
      </c>
    </row>
    <row r="1277">
      <c r="A1277" s="2" t="str">
        <f>IFERROR(__xludf.DUMMYFUNCTION("""COMPUTED_VALUE"""),"O-54174-00")</f>
        <v>O-54174-00</v>
      </c>
      <c r="B1277" s="2" t="str">
        <f>IFERROR(__xludf.DUMMYFUNCTION("""COMPUTED_VALUE"""),"cRABS z064CR - Control Unit for Security Phot; Steriline; P/N 5914;")</f>
        <v>cRABS z064CR - Control Unit for Security Phot; Steriline; P/N 5914;</v>
      </c>
      <c r="C1277" s="2" t="str">
        <f>IFERROR(__xludf.DUMMYFUNCTION("""COMPUTED_VALUE"""),"O-54174-00")</f>
        <v>O-54174-00</v>
      </c>
      <c r="D1277" s="2" t="str">
        <f>if(isna(vlookup(C1277,'On Hand'!A:C,3,0)),"",vlookup(C1277,'On Hand'!A:C,3,0))</f>
        <v>pc</v>
      </c>
    </row>
    <row r="1278">
      <c r="A1278" s="2" t="str">
        <f>IFERROR(__xludf.DUMMYFUNCTION("""COMPUTED_VALUE"""),"O-54176-00")</f>
        <v>O-54176-00</v>
      </c>
      <c r="B1278" s="2" t="str">
        <f>IFERROR(__xludf.DUMMYFUNCTION("""COMPUTED_VALUE"""),"Washing RAR4 - Encoder Model RD1A-P8-TI2-PB-E2-M; Lika; 125101266;")</f>
        <v>Washing RAR4 - Encoder Model RD1A-P8-TI2-PB-E2-M; Lika; 125101266;</v>
      </c>
      <c r="C1278" s="2" t="str">
        <f>IFERROR(__xludf.DUMMYFUNCTION("""COMPUTED_VALUE"""),"O-54176-00")</f>
        <v>O-54176-00</v>
      </c>
      <c r="D1278" s="2" t="str">
        <f>if(isna(vlookup(C1278,'On Hand'!A:C,3,0)),"",vlookup(C1278,'On Hand'!A:C,3,0))</f>
        <v>unt</v>
      </c>
    </row>
    <row r="1279">
      <c r="A1279" s="2" t="str">
        <f>IFERROR(__xludf.DUMMYFUNCTION("""COMPUTED_VALUE"""),"O-54181-00")</f>
        <v>O-54181-00</v>
      </c>
      <c r="B1279" s="2" t="str">
        <f>IFERROR(__xludf.DUMMYFUNCTION("""COMPUTED_VALUE"""),"Resistor 150 Ohm 1/2 watt; No Brand; ;")</f>
        <v>Resistor 150 Ohm 1/2 watt; No Brand; ;</v>
      </c>
      <c r="C1279" s="2" t="str">
        <f>IFERROR(__xludf.DUMMYFUNCTION("""COMPUTED_VALUE"""),"O-54181-00")</f>
        <v>O-54181-00</v>
      </c>
      <c r="D1279" s="2" t="str">
        <f>if(isna(vlookup(C1279,'On Hand'!A:C,3,0)),"",vlookup(C1279,'On Hand'!A:C,3,0))</f>
        <v/>
      </c>
    </row>
    <row r="1280">
      <c r="A1280" s="2" t="str">
        <f>IFERROR(__xludf.DUMMYFUNCTION("""COMPUTED_VALUE"""),"O-60001-00")</f>
        <v>O-60001-00</v>
      </c>
      <c r="B1280" s="2" t="str">
        <f>IFERROR(__xludf.DUMMYFUNCTION("""COMPUTED_VALUE"""),"Pekerjaan Modifikasi Pipa untuk Mesin Mixing (Pipa PW)")</f>
        <v>Pekerjaan Modifikasi Pipa untuk Mesin Mixing (Pipa PW)</v>
      </c>
      <c r="C1280" s="2" t="str">
        <f>IFERROR(__xludf.DUMMYFUNCTION("""COMPUTED_VALUE"""),"O-60001-00")</f>
        <v>O-60001-00</v>
      </c>
      <c r="D1280" s="2" t="str">
        <f>if(isna(vlookup(C1280,'On Hand'!A:C,3,0)),"",vlookup(C1280,'On Hand'!A:C,3,0))</f>
        <v/>
      </c>
    </row>
    <row r="1281">
      <c r="A1281" s="2" t="str">
        <f>IFERROR(__xludf.DUMMYFUNCTION("""COMPUTED_VALUE"""),"P-10000-00")</f>
        <v>P-10000-00</v>
      </c>
      <c r="B1281" s="2" t="str">
        <f>IFERROR(__xludf.DUMMYFUNCTION("""COMPUTED_VALUE"""),"POMPA SUBMERSIBLE SB 3")</f>
        <v>POMPA SUBMERSIBLE SB 3</v>
      </c>
      <c r="C1281" s="2" t="str">
        <f>IFERROR(__xludf.DUMMYFUNCTION("""COMPUTED_VALUE"""),"P-10000-00")</f>
        <v>P-10000-00</v>
      </c>
      <c r="D1281" s="2" t="str">
        <f>if(isna(vlookup(C1281,'On Hand'!A:C,3,0)),"",vlookup(C1281,'On Hand'!A:C,3,0))</f>
        <v/>
      </c>
    </row>
    <row r="1282">
      <c r="A1282" s="2" t="str">
        <f>IFERROR(__xludf.DUMMYFUNCTION("""COMPUTED_VALUE"""),"P-10017-00")</f>
        <v>P-10017-00</v>
      </c>
      <c r="B1282" s="2" t="str">
        <f>IFERROR(__xludf.DUMMYFUNCTION("""COMPUTED_VALUE"""),"Pre Filter G4 size : 24X24X2, Washable Aluminium Frame; IAF;")</f>
        <v>Pre Filter G4 size : 24X24X2, Washable Aluminium Frame; IAF;</v>
      </c>
      <c r="C1282" s="2" t="str">
        <f>IFERROR(__xludf.DUMMYFUNCTION("""COMPUTED_VALUE"""),"P-10017-00")</f>
        <v>P-10017-00</v>
      </c>
      <c r="D1282" s="2" t="str">
        <f>if(isna(vlookup(C1282,'On Hand'!A:C,3,0)),"",vlookup(C1282,'On Hand'!A:C,3,0))</f>
        <v>unt</v>
      </c>
    </row>
    <row r="1283">
      <c r="A1283" s="2" t="str">
        <f>IFERROR(__xludf.DUMMYFUNCTION("""COMPUTED_VALUE"""),"P-10019-00")</f>
        <v>P-10019-00</v>
      </c>
      <c r="B1283" s="2" t="str">
        <f>IFERROR(__xludf.DUMMYFUNCTION("""COMPUTED_VALUE"""),"Pre Filter G4 size : 12X24X2")</f>
        <v>Pre Filter G4 size : 12X24X2</v>
      </c>
      <c r="C1283" s="2" t="str">
        <f>IFERROR(__xludf.DUMMYFUNCTION("""COMPUTED_VALUE"""),"P-10019-00")</f>
        <v>P-10019-00</v>
      </c>
      <c r="D1283" s="2" t="str">
        <f>if(isna(vlookup(C1283,'On Hand'!A:C,3,0)),"",vlookup(C1283,'On Hand'!A:C,3,0))</f>
        <v/>
      </c>
    </row>
    <row r="1284">
      <c r="A1284" s="2" t="str">
        <f>IFERROR(__xludf.DUMMYFUNCTION("""COMPUTED_VALUE"""),"P-10183-00")</f>
        <v>P-10183-00</v>
      </c>
      <c r="B1284" s="2" t="str">
        <f>IFERROR(__xludf.DUMMYFUNCTION("""COMPUTED_VALUE"""),"General - Drain Sewerage Opener GL-10; No Brand; -; 1 pc")</f>
        <v>General - Drain Sewerage Opener GL-10; No Brand; -; 1 pc</v>
      </c>
      <c r="C1284" s="2" t="str">
        <f>IFERROR(__xludf.DUMMYFUNCTION("""COMPUTED_VALUE"""),"P-10183-00")</f>
        <v>P-10183-00</v>
      </c>
      <c r="D1284" s="2" t="str">
        <f>if(isna(vlookup(C1284,'On Hand'!A:C,3,0)),"",vlookup(C1284,'On Hand'!A:C,3,0))</f>
        <v>L</v>
      </c>
    </row>
    <row r="1285">
      <c r="A1285" s="2" t="str">
        <f>IFERROR(__xludf.DUMMYFUNCTION("""COMPUTED_VALUE"""),"P-10266-00")</f>
        <v>P-10266-00</v>
      </c>
      <c r="B1285" s="2" t="str">
        <f>IFERROR(__xludf.DUMMYFUNCTION("""COMPUTED_VALUE"""),"Valve Bellows sealed globe valve BSA 1/BSA 1T PN 16 size 80mm")</f>
        <v>Valve Bellows sealed globe valve BSA 1/BSA 1T PN 16 size 80mm</v>
      </c>
      <c r="C1285" s="2" t="str">
        <f>IFERROR(__xludf.DUMMYFUNCTION("""COMPUTED_VALUE"""),"P-10266-00")</f>
        <v>P-10266-00</v>
      </c>
      <c r="D1285" s="2" t="str">
        <f>if(isna(vlookup(C1285,'On Hand'!A:C,3,0)),"",vlookup(C1285,'On Hand'!A:C,3,0))</f>
        <v>pc</v>
      </c>
    </row>
    <row r="1286">
      <c r="A1286" s="2" t="str">
        <f>IFERROR(__xludf.DUMMYFUNCTION("""COMPUTED_VALUE"""),"P-10283-00")</f>
        <v>P-10283-00</v>
      </c>
      <c r="B1286" s="2" t="str">
        <f>IFERROR(__xludf.DUMMYFUNCTION("""COMPUTED_VALUE"""),"Abrasive - Amplas SS Scoth Brite 3M")</f>
        <v>Abrasive - Amplas SS Scoth Brite 3M</v>
      </c>
      <c r="C1286" s="2" t="str">
        <f>IFERROR(__xludf.DUMMYFUNCTION("""COMPUTED_VALUE"""),"P-10283-00")</f>
        <v>P-10283-00</v>
      </c>
      <c r="D1286" s="2" t="str">
        <f>if(isna(vlookup(C1286,'On Hand'!A:C,3,0)),"",vlookup(C1286,'On Hand'!A:C,3,0))</f>
        <v/>
      </c>
    </row>
    <row r="1287">
      <c r="A1287" s="2" t="str">
        <f>IFERROR(__xludf.DUMMYFUNCTION("""COMPUTED_VALUE"""),"P-10342-00")</f>
        <v>P-10342-00</v>
      </c>
      <c r="B1287" s="2" t="str">
        <f>IFERROR(__xludf.DUMMYFUNCTION("""COMPUTED_VALUE"""),"Alat potong - mata gergaji")</f>
        <v>Alat potong - mata gergaji</v>
      </c>
      <c r="C1287" s="2" t="str">
        <f>IFERROR(__xludf.DUMMYFUNCTION("""COMPUTED_VALUE"""),"P-10342-00")</f>
        <v>P-10342-00</v>
      </c>
      <c r="D1287" s="2" t="str">
        <f>if(isna(vlookup(C1287,'On Hand'!A:C,3,0)),"",vlookup(C1287,'On Hand'!A:C,3,0))</f>
        <v/>
      </c>
    </row>
    <row r="1288">
      <c r="A1288" s="2" t="str">
        <f>IFERROR(__xludf.DUMMYFUNCTION("""COMPUTED_VALUE"""),"P-10387-00")</f>
        <v>P-10387-00</v>
      </c>
      <c r="B1288" s="2" t="str">
        <f>IFERROR(__xludf.DUMMYFUNCTION("""COMPUTED_VALUE"""),"Ball Valve Kuningan 3/4"" KITZ")</f>
        <v>Ball Valve Kuningan 3/4" KITZ</v>
      </c>
      <c r="C1288" s="2" t="str">
        <f>IFERROR(__xludf.DUMMYFUNCTION("""COMPUTED_VALUE"""),"P-10387-00")</f>
        <v>P-10387-00</v>
      </c>
      <c r="D1288" s="2" t="str">
        <f>if(isna(vlookup(C1288,'On Hand'!A:C,3,0)),"",vlookup(C1288,'On Hand'!A:C,3,0))</f>
        <v>pc</v>
      </c>
    </row>
    <row r="1289">
      <c r="A1289" s="2" t="str">
        <f>IFERROR(__xludf.DUMMYFUNCTION("""COMPUTED_VALUE"""),"P-10389-00")</f>
        <v>P-10389-00</v>
      </c>
      <c r="B1289" s="2" t="str">
        <f>IFERROR(__xludf.DUMMYFUNCTION("""COMPUTED_VALUE"""),"General - Ball Valve PVC 1 1/2inch; No Brand; -; 1 pcs")</f>
        <v>General - Ball Valve PVC 1 1/2inch; No Brand; -; 1 pcs</v>
      </c>
      <c r="C1289" s="2" t="str">
        <f>IFERROR(__xludf.DUMMYFUNCTION("""COMPUTED_VALUE"""),"P-10389-00")</f>
        <v>P-10389-00</v>
      </c>
      <c r="D1289" s="2" t="str">
        <f>if(isna(vlookup(C1289,'On Hand'!A:C,3,0)),"",vlookup(C1289,'On Hand'!A:C,3,0))</f>
        <v/>
      </c>
    </row>
    <row r="1290">
      <c r="A1290" s="2" t="str">
        <f>IFERROR(__xludf.DUMMYFUNCTION("""COMPUTED_VALUE"""),"P-10390-00")</f>
        <v>P-10390-00</v>
      </c>
      <c r="B1290" s="2" t="str">
        <f>IFERROR(__xludf.DUMMYFUNCTION("""COMPUTED_VALUE"""),"Ball Valve PVC 1""")</f>
        <v>Ball Valve PVC 1"</v>
      </c>
      <c r="C1290" s="2" t="str">
        <f>IFERROR(__xludf.DUMMYFUNCTION("""COMPUTED_VALUE"""),"P-10390-00")</f>
        <v>P-10390-00</v>
      </c>
      <c r="D1290" s="2" t="str">
        <f>if(isna(vlookup(C1290,'On Hand'!A:C,3,0)),"",vlookup(C1290,'On Hand'!A:C,3,0))</f>
        <v>pc</v>
      </c>
    </row>
    <row r="1291">
      <c r="A1291" s="2" t="str">
        <f>IFERROR(__xludf.DUMMYFUNCTION("""COMPUTED_VALUE"""),"P-10391-00")</f>
        <v>P-10391-00</v>
      </c>
      <c r="B1291" s="2" t="str">
        <f>IFERROR(__xludf.DUMMYFUNCTION("""COMPUTED_VALUE"""),"Ball Valve PVC 2""")</f>
        <v>Ball Valve PVC 2"</v>
      </c>
      <c r="C1291" s="2" t="str">
        <f>IFERROR(__xludf.DUMMYFUNCTION("""COMPUTED_VALUE"""),"P-10391-00")</f>
        <v>P-10391-00</v>
      </c>
      <c r="D1291" s="2" t="str">
        <f>if(isna(vlookup(C1291,'On Hand'!A:C,3,0)),"",vlookup(C1291,'On Hand'!A:C,3,0))</f>
        <v>pc</v>
      </c>
    </row>
    <row r="1292">
      <c r="A1292" s="2" t="str">
        <f>IFERROR(__xludf.DUMMYFUNCTION("""COMPUTED_VALUE"""),"P-10392-00")</f>
        <v>P-10392-00</v>
      </c>
      <c r="B1292" s="2" t="str">
        <f>IFERROR(__xludf.DUMMYFUNCTION("""COMPUTED_VALUE"""),"Ball Valve SS 1"" / 1000 WOG Sankyo")</f>
        <v>Ball Valve SS 1" / 1000 WOG Sankyo</v>
      </c>
      <c r="C1292" s="2" t="str">
        <f>IFERROR(__xludf.DUMMYFUNCTION("""COMPUTED_VALUE"""),"P-10392-00")</f>
        <v>P-10392-00</v>
      </c>
      <c r="D1292" s="2" t="str">
        <f>if(isna(vlookup(C1292,'On Hand'!A:C,3,0)),"",vlookup(C1292,'On Hand'!A:C,3,0))</f>
        <v>pc</v>
      </c>
    </row>
    <row r="1293">
      <c r="A1293" s="2" t="str">
        <f>IFERROR(__xludf.DUMMYFUNCTION("""COMPUTED_VALUE"""),"P-10393-00")</f>
        <v>P-10393-00</v>
      </c>
      <c r="B1293" s="2" t="str">
        <f>IFERROR(__xludf.DUMMYFUNCTION("""COMPUTED_VALUE"""),"Ball Valve SS 1/2""")</f>
        <v>Ball Valve SS 1/2"</v>
      </c>
      <c r="C1293" s="2" t="str">
        <f>IFERROR(__xludf.DUMMYFUNCTION("""COMPUTED_VALUE"""),"P-10393-00")</f>
        <v>P-10393-00</v>
      </c>
      <c r="D1293" s="2" t="str">
        <f>if(isna(vlookup(C1293,'On Hand'!A:C,3,0)),"",vlookup(C1293,'On Hand'!A:C,3,0))</f>
        <v/>
      </c>
    </row>
    <row r="1294">
      <c r="A1294" s="2" t="str">
        <f>IFERROR(__xludf.DUMMYFUNCTION("""COMPUTED_VALUE"""),"P-10398-00")</f>
        <v>P-10398-00</v>
      </c>
      <c r="B1294" s="2" t="str">
        <f>IFERROR(__xludf.DUMMYFUNCTION("""COMPUTED_VALUE"""),"Ball Valve SS 316 1/2"" 1000 WOG SANKYO")</f>
        <v>Ball Valve SS 316 1/2" 1000 WOG SANKYO</v>
      </c>
      <c r="C1294" s="2" t="str">
        <f>IFERROR(__xludf.DUMMYFUNCTION("""COMPUTED_VALUE"""),"P-10398-00")</f>
        <v>P-10398-00</v>
      </c>
      <c r="D1294" s="2" t="str">
        <f>if(isna(vlookup(C1294,'On Hand'!A:C,3,0)),"",vlookup(C1294,'On Hand'!A:C,3,0))</f>
        <v>pc</v>
      </c>
    </row>
    <row r="1295">
      <c r="A1295" s="2" t="str">
        <f>IFERROR(__xludf.DUMMYFUNCTION("""COMPUTED_VALUE"""),"P-10488-00")</f>
        <v>P-10488-00</v>
      </c>
      <c r="B1295" s="2" t="str">
        <f>IFERROR(__xludf.DUMMYFUNCTION("""COMPUTED_VALUE"""),"Baut SS M 6")</f>
        <v>Baut SS M 6</v>
      </c>
      <c r="C1295" s="2" t="str">
        <f>IFERROR(__xludf.DUMMYFUNCTION("""COMPUTED_VALUE"""),"P-10488-00")</f>
        <v>P-10488-00</v>
      </c>
      <c r="D1295" s="2" t="str">
        <f>if(isna(vlookup(C1295,'On Hand'!A:C,3,0)),"",vlookup(C1295,'On Hand'!A:C,3,0))</f>
        <v/>
      </c>
    </row>
    <row r="1296">
      <c r="A1296" s="2" t="str">
        <f>IFERROR(__xludf.DUMMYFUNCTION("""COMPUTED_VALUE"""),"P-10489-00")</f>
        <v>P-10489-00</v>
      </c>
      <c r="B1296" s="2" t="str">
        <f>IFERROR(__xludf.DUMMYFUNCTION("""COMPUTED_VALUE"""),"Baut SS M 8")</f>
        <v>Baut SS M 8</v>
      </c>
      <c r="C1296" s="2" t="str">
        <f>IFERROR(__xludf.DUMMYFUNCTION("""COMPUTED_VALUE"""),"P-10489-00")</f>
        <v>P-10489-00</v>
      </c>
      <c r="D1296" s="2" t="str">
        <f>if(isna(vlookup(C1296,'On Hand'!A:C,3,0)),"",vlookup(C1296,'On Hand'!A:C,3,0))</f>
        <v/>
      </c>
    </row>
    <row r="1297">
      <c r="A1297" s="2" t="str">
        <f>IFERROR(__xludf.DUMMYFUNCTION("""COMPUTED_VALUE"""),"P-10558-00")</f>
        <v>P-10558-00</v>
      </c>
      <c r="B1297" s="2" t="str">
        <f>IFERROR(__xludf.DUMMYFUNCTION("""COMPUTED_VALUE"""),"General - Bearing 51113; SKF; 1 Pc")</f>
        <v>General - Bearing 51113; SKF; 1 Pc</v>
      </c>
      <c r="C1297" s="2" t="str">
        <f>IFERROR(__xludf.DUMMYFUNCTION("""COMPUTED_VALUE"""),"P-10558-00")</f>
        <v>P-10558-00</v>
      </c>
      <c r="D1297" s="2" t="str">
        <f>if(isna(vlookup(C1297,'On Hand'!A:C,3,0)),"",vlookup(C1297,'On Hand'!A:C,3,0))</f>
        <v>pc</v>
      </c>
    </row>
    <row r="1298">
      <c r="A1298" s="2" t="str">
        <f>IFERROR(__xludf.DUMMYFUNCTION("""COMPUTED_VALUE"""),"P-10564-00")</f>
        <v>P-10564-00</v>
      </c>
      <c r="B1298" s="2" t="str">
        <f>IFERROR(__xludf.DUMMYFUNCTION("""COMPUTED_VALUE"""),"Bearing 6000 2RS H SKF")</f>
        <v>Bearing 6000 2RS H SKF</v>
      </c>
      <c r="C1298" s="2" t="str">
        <f>IFERROR(__xludf.DUMMYFUNCTION("""COMPUTED_VALUE"""),"P-10564-00")</f>
        <v>P-10564-00</v>
      </c>
      <c r="D1298" s="2" t="str">
        <f>if(isna(vlookup(C1298,'On Hand'!A:C,3,0)),"",vlookup(C1298,'On Hand'!A:C,3,0))</f>
        <v>pc</v>
      </c>
    </row>
    <row r="1299">
      <c r="A1299" s="2" t="str">
        <f>IFERROR(__xludf.DUMMYFUNCTION("""COMPUTED_VALUE"""),"P-10598-00")</f>
        <v>P-10598-00</v>
      </c>
      <c r="B1299" s="2" t="str">
        <f>IFERROR(__xludf.DUMMYFUNCTION("""COMPUTED_VALUE"""),"Bearing 61805 2RS1 SKF")</f>
        <v>Bearing 61805 2RS1 SKF</v>
      </c>
      <c r="C1299" s="2" t="str">
        <f>IFERROR(__xludf.DUMMYFUNCTION("""COMPUTED_VALUE"""),"P-10598-00")</f>
        <v>P-10598-00</v>
      </c>
      <c r="D1299" s="2" t="str">
        <f>if(isna(vlookup(C1299,'On Hand'!A:C,3,0)),"",vlookup(C1299,'On Hand'!A:C,3,0))</f>
        <v>pc</v>
      </c>
    </row>
    <row r="1300">
      <c r="A1300" s="2" t="str">
        <f>IFERROR(__xludf.DUMMYFUNCTION("""COMPUTED_VALUE"""),"P-10604-00")</f>
        <v>P-10604-00</v>
      </c>
      <c r="B1300" s="2" t="str">
        <f>IFERROR(__xludf.DUMMYFUNCTION("""COMPUTED_VALUE"""),"Bearing 6203 2Z SKF")</f>
        <v>Bearing 6203 2Z SKF</v>
      </c>
      <c r="C1300" s="2" t="str">
        <f>IFERROR(__xludf.DUMMYFUNCTION("""COMPUTED_VALUE"""),"P-10604-00")</f>
        <v>P-10604-00</v>
      </c>
      <c r="D1300" s="2" t="str">
        <f>if(isna(vlookup(C1300,'On Hand'!A:C,3,0)),"",vlookup(C1300,'On Hand'!A:C,3,0))</f>
        <v>pc</v>
      </c>
    </row>
    <row r="1301">
      <c r="A1301" s="2" t="str">
        <f>IFERROR(__xludf.DUMMYFUNCTION("""COMPUTED_VALUE"""),"P-10726-00")</f>
        <v>P-10726-00</v>
      </c>
      <c r="B1301" s="2" t="str">
        <f>IFERROR(__xludf.DUMMYFUNCTION("""COMPUTED_VALUE"""),"Cleaner - Contact Cleaner CRC CO 2016; No Brand; -; 500ml/Botol")</f>
        <v>Cleaner - Contact Cleaner CRC CO 2016; No Brand; -; 500ml/Botol</v>
      </c>
      <c r="C1301" s="2" t="str">
        <f>IFERROR(__xludf.DUMMYFUNCTION("""COMPUTED_VALUE"""),"P-10726-00")</f>
        <v>P-10726-00</v>
      </c>
      <c r="D1301" s="2" t="str">
        <f>if(isna(vlookup(C1301,'On Hand'!A:C,3,0)),"",vlookup(C1301,'On Hand'!A:C,3,0))</f>
        <v>pc</v>
      </c>
    </row>
    <row r="1302">
      <c r="A1302" s="2" t="str">
        <f>IFERROR(__xludf.DUMMYFUNCTION("""COMPUTED_VALUE"""),"P-10729-00")</f>
        <v>P-10729-00</v>
      </c>
      <c r="B1302" s="2" t="str">
        <f>IFERROR(__xludf.DUMMYFUNCTION("""COMPUTED_VALUE"""),"General - Contact cleaner WD 40; No Brand; -; 382gr/can")</f>
        <v>General - Contact cleaner WD 40; No Brand; -; 382gr/can</v>
      </c>
      <c r="C1302" s="2" t="str">
        <f>IFERROR(__xludf.DUMMYFUNCTION("""COMPUTED_VALUE"""),"P-10729-00")</f>
        <v>P-10729-00</v>
      </c>
      <c r="D1302" s="2" t="str">
        <f>if(isna(vlookup(C1302,'On Hand'!A:C,3,0)),"",vlookup(C1302,'On Hand'!A:C,3,0))</f>
        <v>pc</v>
      </c>
    </row>
    <row r="1303">
      <c r="A1303" s="2" t="str">
        <f>IFERROR(__xludf.DUMMYFUNCTION("""COMPUTED_VALUE"""),"P-10750-00")</f>
        <v>P-10750-00</v>
      </c>
      <c r="B1303" s="2" t="str">
        <f>IFERROR(__xludf.DUMMYFUNCTION("""COMPUTED_VALUE"""),"General - Blind Ferrule SS 316L 1/2inch; No Brand; -; 1 pcs")</f>
        <v>General - Blind Ferrule SS 316L 1/2inch; No Brand; -; 1 pcs</v>
      </c>
      <c r="C1303" s="2" t="str">
        <f>IFERROR(__xludf.DUMMYFUNCTION("""COMPUTED_VALUE"""),"P-10750-00")</f>
        <v>P-10750-00</v>
      </c>
      <c r="D1303" s="2" t="str">
        <f>if(isna(vlookup(C1303,'On Hand'!A:C,3,0)),"",vlookup(C1303,'On Hand'!A:C,3,0))</f>
        <v/>
      </c>
    </row>
    <row r="1304">
      <c r="A1304" s="2" t="str">
        <f>IFERROR(__xludf.DUMMYFUNCTION("""COMPUTED_VALUE"""),"P-10759-00")</f>
        <v>P-10759-00</v>
      </c>
      <c r="B1304" s="2" t="str">
        <f>IFERROR(__xludf.DUMMYFUNCTION("""COMPUTED_VALUE"""),"Ferrule - Klem Ferrule 4inch SS 316L")</f>
        <v>Ferrule - Klem Ferrule 4inch SS 316L</v>
      </c>
      <c r="C1304" s="2" t="str">
        <f>IFERROR(__xludf.DUMMYFUNCTION("""COMPUTED_VALUE"""),"P-10759-00")</f>
        <v>P-10759-00</v>
      </c>
      <c r="D1304" s="2" t="str">
        <f>if(isna(vlookup(C1304,'On Hand'!A:C,3,0)),"",vlookup(C1304,'On Hand'!A:C,3,0))</f>
        <v/>
      </c>
    </row>
    <row r="1305">
      <c r="A1305" s="2" t="str">
        <f>IFERROR(__xludf.DUMMYFUNCTION("""COMPUTED_VALUE"""),"P-10763-00")</f>
        <v>P-10763-00</v>
      </c>
      <c r="B1305" s="2" t="str">
        <f>IFERROR(__xludf.DUMMYFUNCTION("""COMPUTED_VALUE"""),"General - Ferrule SS 316L 1inch; No Brand; -; 1 pcs")</f>
        <v>General - Ferrule SS 316L 1inch; No Brand; -; 1 pcs</v>
      </c>
      <c r="C1305" s="2" t="str">
        <f>IFERROR(__xludf.DUMMYFUNCTION("""COMPUTED_VALUE"""),"P-10763-00")</f>
        <v>P-10763-00</v>
      </c>
      <c r="D1305" s="2" t="str">
        <f>if(isna(vlookup(C1305,'On Hand'!A:C,3,0)),"",vlookup(C1305,'On Hand'!A:C,3,0))</f>
        <v>pc</v>
      </c>
    </row>
    <row r="1306">
      <c r="A1306" s="2" t="str">
        <f>IFERROR(__xludf.DUMMYFUNCTION("""COMPUTED_VALUE"""),"P-10857-00")</f>
        <v>P-10857-00</v>
      </c>
      <c r="B1306" s="2" t="str">
        <f>IFERROR(__xludf.DUMMYFUNCTION("""COMPUTED_VALUE"""),"General - Elbow PVC 90 AW 1 1/2inch; Rucika; -; 1 Pc")</f>
        <v>General - Elbow PVC 90 AW 1 1/2inch; Rucika; -; 1 Pc</v>
      </c>
      <c r="C1306" s="2" t="str">
        <f>IFERROR(__xludf.DUMMYFUNCTION("""COMPUTED_VALUE"""),"P-10857-00")</f>
        <v>P-10857-00</v>
      </c>
      <c r="D1306" s="2" t="str">
        <f>if(isna(vlookup(C1306,'On Hand'!A:C,3,0)),"",vlookup(C1306,'On Hand'!A:C,3,0))</f>
        <v>pc</v>
      </c>
    </row>
    <row r="1307">
      <c r="A1307" s="2" t="str">
        <f>IFERROR(__xludf.DUMMYFUNCTION("""COMPUTED_VALUE"""),"P-10858-00")</f>
        <v>P-10858-00</v>
      </c>
      <c r="B1307" s="2" t="str">
        <f>IFERROR(__xludf.DUMMYFUNCTION("""COMPUTED_VALUE"""),"Fitting PVC - Elbow PVC 1 1/4""")</f>
        <v>Fitting PVC - Elbow PVC 1 1/4"</v>
      </c>
      <c r="C1307" s="2" t="str">
        <f>IFERROR(__xludf.DUMMYFUNCTION("""COMPUTED_VALUE"""),"P-10858-00")</f>
        <v>P-10858-00</v>
      </c>
      <c r="D1307" s="2" t="str">
        <f>if(isna(vlookup(C1307,'On Hand'!A:C,3,0)),"",vlookup(C1307,'On Hand'!A:C,3,0))</f>
        <v>pc</v>
      </c>
    </row>
    <row r="1308">
      <c r="A1308" s="2" t="str">
        <f>IFERROR(__xludf.DUMMYFUNCTION("""COMPUTED_VALUE"""),"P-10859-00")</f>
        <v>P-10859-00</v>
      </c>
      <c r="B1308" s="2" t="str">
        <f>IFERROR(__xludf.DUMMYFUNCTION("""COMPUTED_VALUE"""),"General - Elbow PVC 90 AW 1/2inch; Rucika; -; 1 Pc")</f>
        <v>General - Elbow PVC 90 AW 1/2inch; Rucika; -; 1 Pc</v>
      </c>
      <c r="C1308" s="2" t="str">
        <f>IFERROR(__xludf.DUMMYFUNCTION("""COMPUTED_VALUE"""),"P-10859-00")</f>
        <v>P-10859-00</v>
      </c>
      <c r="D1308" s="2" t="str">
        <f>if(isna(vlookup(C1308,'On Hand'!A:C,3,0)),"",vlookup(C1308,'On Hand'!A:C,3,0))</f>
        <v>pc</v>
      </c>
    </row>
    <row r="1309">
      <c r="A1309" s="2" t="str">
        <f>IFERROR(__xludf.DUMMYFUNCTION("""COMPUTED_VALUE"""),"P-10860-00")</f>
        <v>P-10860-00</v>
      </c>
      <c r="B1309" s="2" t="str">
        <f>IFERROR(__xludf.DUMMYFUNCTION("""COMPUTED_VALUE"""),"Fitting PVC - Elbow PVC 1""")</f>
        <v>Fitting PVC - Elbow PVC 1"</v>
      </c>
      <c r="C1309" s="2" t="str">
        <f>IFERROR(__xludf.DUMMYFUNCTION("""COMPUTED_VALUE"""),"P-10860-00")</f>
        <v>P-10860-00</v>
      </c>
      <c r="D1309" s="2" t="str">
        <f>if(isna(vlookup(C1309,'On Hand'!A:C,3,0)),"",vlookup(C1309,'On Hand'!A:C,3,0))</f>
        <v>pc</v>
      </c>
    </row>
    <row r="1310">
      <c r="A1310" s="2" t="str">
        <f>IFERROR(__xludf.DUMMYFUNCTION("""COMPUTED_VALUE"""),"P-10862-00")</f>
        <v>P-10862-00</v>
      </c>
      <c r="B1310" s="2" t="str">
        <f>IFERROR(__xludf.DUMMYFUNCTION("""COMPUTED_VALUE"""),"Fitting PVC - Elbow PVC 2 1/2""")</f>
        <v>Fitting PVC - Elbow PVC 2 1/2"</v>
      </c>
      <c r="C1310" s="2" t="str">
        <f>IFERROR(__xludf.DUMMYFUNCTION("""COMPUTED_VALUE"""),"P-10862-00")</f>
        <v>P-10862-00</v>
      </c>
      <c r="D1310" s="2" t="str">
        <f>if(isna(vlookup(C1310,'On Hand'!A:C,3,0)),"",vlookup(C1310,'On Hand'!A:C,3,0))</f>
        <v>pc</v>
      </c>
    </row>
    <row r="1311">
      <c r="A1311" s="2" t="str">
        <f>IFERROR(__xludf.DUMMYFUNCTION("""COMPUTED_VALUE"""),"P-10863-00")</f>
        <v>P-10863-00</v>
      </c>
      <c r="B1311" s="2" t="str">
        <f>IFERROR(__xludf.DUMMYFUNCTION("""COMPUTED_VALUE"""),"Fitting PVC - Elbow PVC 2""")</f>
        <v>Fitting PVC - Elbow PVC 2"</v>
      </c>
      <c r="C1311" s="2" t="str">
        <f>IFERROR(__xludf.DUMMYFUNCTION("""COMPUTED_VALUE"""),"P-10863-00")</f>
        <v>P-10863-00</v>
      </c>
      <c r="D1311" s="2" t="str">
        <f>if(isna(vlookup(C1311,'On Hand'!A:C,3,0)),"",vlookup(C1311,'On Hand'!A:C,3,0))</f>
        <v>pc</v>
      </c>
    </row>
    <row r="1312">
      <c r="A1312" s="2" t="str">
        <f>IFERROR(__xludf.DUMMYFUNCTION("""COMPUTED_VALUE"""),"P-10865-00")</f>
        <v>P-10865-00</v>
      </c>
      <c r="B1312" s="2" t="str">
        <f>IFERROR(__xludf.DUMMYFUNCTION("""COMPUTED_VALUE"""),"Fitting PVC - Elbow PVC 3/4""")</f>
        <v>Fitting PVC - Elbow PVC 3/4"</v>
      </c>
      <c r="C1312" s="2" t="str">
        <f>IFERROR(__xludf.DUMMYFUNCTION("""COMPUTED_VALUE"""),"P-10865-00")</f>
        <v>P-10865-00</v>
      </c>
      <c r="D1312" s="2" t="str">
        <f>if(isna(vlookup(C1312,'On Hand'!A:C,3,0)),"",vlookup(C1312,'On Hand'!A:C,3,0))</f>
        <v>pc</v>
      </c>
    </row>
    <row r="1313">
      <c r="A1313" s="2" t="str">
        <f>IFERROR(__xludf.DUMMYFUNCTION("""COMPUTED_VALUE"""),"P-10867-00")</f>
        <v>P-10867-00</v>
      </c>
      <c r="B1313" s="2" t="str">
        <f>IFERROR(__xludf.DUMMYFUNCTION("""COMPUTED_VALUE"""),"General - Elbow PVC 3 inch; Rucika; -; 1 pc")</f>
        <v>General - Elbow PVC 3 inch; Rucika; -; 1 pc</v>
      </c>
      <c r="C1313" s="2" t="str">
        <f>IFERROR(__xludf.DUMMYFUNCTION("""COMPUTED_VALUE"""),"P-10867-00")</f>
        <v>P-10867-00</v>
      </c>
      <c r="D1313" s="2" t="str">
        <f>if(isna(vlookup(C1313,'On Hand'!A:C,3,0)),"",vlookup(C1313,'On Hand'!A:C,3,0))</f>
        <v>pc</v>
      </c>
    </row>
    <row r="1314">
      <c r="A1314" s="2" t="str">
        <f>IFERROR(__xludf.DUMMYFUNCTION("""COMPUTED_VALUE"""),"P-10868-00")</f>
        <v>P-10868-00</v>
      </c>
      <c r="B1314" s="2" t="str">
        <f>IFERROR(__xludf.DUMMYFUNCTION("""COMPUTED_VALUE"""),"General - Elbow PVC AW 4inch; Rucika; -; 1 Pc")</f>
        <v>General - Elbow PVC AW 4inch; Rucika; -; 1 Pc</v>
      </c>
      <c r="C1314" s="2" t="str">
        <f>IFERROR(__xludf.DUMMYFUNCTION("""COMPUTED_VALUE"""),"P-10868-00")</f>
        <v>P-10868-00</v>
      </c>
      <c r="D1314" s="2" t="str">
        <f>if(isna(vlookup(C1314,'On Hand'!A:C,3,0)),"",vlookup(C1314,'On Hand'!A:C,3,0))</f>
        <v>pc</v>
      </c>
    </row>
    <row r="1315">
      <c r="A1315" s="2" t="str">
        <f>IFERROR(__xludf.DUMMYFUNCTION("""COMPUTED_VALUE"""),"P-10874-00")</f>
        <v>P-10874-00</v>
      </c>
      <c r="B1315" s="2" t="str">
        <f>IFERROR(__xludf.DUMMYFUNCTION("""COMPUTED_VALUE"""),"General - Reducer, PVC, 1"" x 1/2""; Rucika; -; 1 pcs")</f>
        <v>General - Reducer, PVC, 1" x 1/2"; Rucika; -; 1 pcs</v>
      </c>
      <c r="C1315" s="2" t="str">
        <f>IFERROR(__xludf.DUMMYFUNCTION("""COMPUTED_VALUE"""),"P-10874-00")</f>
        <v>P-10874-00</v>
      </c>
      <c r="D1315" s="2" t="str">
        <f>if(isna(vlookup(C1315,'On Hand'!A:C,3,0)),"",vlookup(C1315,'On Hand'!A:C,3,0))</f>
        <v>pc</v>
      </c>
    </row>
    <row r="1316">
      <c r="A1316" s="2" t="str">
        <f>IFERROR(__xludf.DUMMYFUNCTION("""COMPUTED_VALUE"""),"P-10877-00")</f>
        <v>P-10877-00</v>
      </c>
      <c r="B1316" s="2" t="str">
        <f>IFERROR(__xludf.DUMMYFUNCTION("""COMPUTED_VALUE"""),"General - Reducer, PVC, 2"" x 1""; Rucika; -; 1 pcs")</f>
        <v>General - Reducer, PVC, 2" x 1"; Rucika; -; 1 pcs</v>
      </c>
      <c r="C1316" s="2" t="str">
        <f>IFERROR(__xludf.DUMMYFUNCTION("""COMPUTED_VALUE"""),"P-10877-00")</f>
        <v>P-10877-00</v>
      </c>
      <c r="D1316" s="2" t="str">
        <f>if(isna(vlookup(C1316,'On Hand'!A:C,3,0)),"",vlookup(C1316,'On Hand'!A:C,3,0))</f>
        <v>pc</v>
      </c>
    </row>
    <row r="1317">
      <c r="A1317" s="2" t="str">
        <f>IFERROR(__xludf.DUMMYFUNCTION("""COMPUTED_VALUE"""),"P-10883-00")</f>
        <v>P-10883-00</v>
      </c>
      <c r="B1317" s="2" t="str">
        <f>IFERROR(__xludf.DUMMYFUNCTION("""COMPUTED_VALUE"""),"General - Socket Drat Dalam, PVC, 1 1/2""; Rucika; -; 1 pcs")</f>
        <v>General - Socket Drat Dalam, PVC, 1 1/2"; Rucika; -; 1 pcs</v>
      </c>
      <c r="C1317" s="2" t="str">
        <f>IFERROR(__xludf.DUMMYFUNCTION("""COMPUTED_VALUE"""),"P-10883-00")</f>
        <v>P-10883-00</v>
      </c>
      <c r="D1317" s="2" t="str">
        <f>if(isna(vlookup(C1317,'On Hand'!A:C,3,0)),"",vlookup(C1317,'On Hand'!A:C,3,0))</f>
        <v/>
      </c>
    </row>
    <row r="1318">
      <c r="A1318" s="2" t="str">
        <f>IFERROR(__xludf.DUMMYFUNCTION("""COMPUTED_VALUE"""),"P-10884-00")</f>
        <v>P-10884-00</v>
      </c>
      <c r="B1318" s="2" t="str">
        <f>IFERROR(__xludf.DUMMYFUNCTION("""COMPUTED_VALUE"""),"General - Socket Drat Dalam PVC 1 1/4inch; Rucika; -; 1 pcs")</f>
        <v>General - Socket Drat Dalam PVC 1 1/4inch; Rucika; -; 1 pcs</v>
      </c>
      <c r="C1318" s="2" t="str">
        <f>IFERROR(__xludf.DUMMYFUNCTION("""COMPUTED_VALUE"""),"P-10884-00")</f>
        <v>P-10884-00</v>
      </c>
      <c r="D1318" s="2" t="str">
        <f>if(isna(vlookup(C1318,'On Hand'!A:C,3,0)),"",vlookup(C1318,'On Hand'!A:C,3,0))</f>
        <v>pc</v>
      </c>
    </row>
    <row r="1319">
      <c r="A1319" s="2" t="str">
        <f>IFERROR(__xludf.DUMMYFUNCTION("""COMPUTED_VALUE"""),"P-10885-00")</f>
        <v>P-10885-00</v>
      </c>
      <c r="B1319" s="2" t="str">
        <f>IFERROR(__xludf.DUMMYFUNCTION("""COMPUTED_VALUE"""),"General - Socket Drat Dalam, PVC, 1/2""; Rucika; -; 1 pcs")</f>
        <v>General - Socket Drat Dalam, PVC, 1/2"; Rucika; -; 1 pcs</v>
      </c>
      <c r="C1319" s="2" t="str">
        <f>IFERROR(__xludf.DUMMYFUNCTION("""COMPUTED_VALUE"""),"P-10885-00")</f>
        <v>P-10885-00</v>
      </c>
      <c r="D1319" s="2" t="str">
        <f>if(isna(vlookup(C1319,'On Hand'!A:C,3,0)),"",vlookup(C1319,'On Hand'!A:C,3,0))</f>
        <v>pc</v>
      </c>
    </row>
    <row r="1320">
      <c r="A1320" s="2" t="str">
        <f>IFERROR(__xludf.DUMMYFUNCTION("""COMPUTED_VALUE"""),"P-10886-00")</f>
        <v>P-10886-00</v>
      </c>
      <c r="B1320" s="2" t="str">
        <f>IFERROR(__xludf.DUMMYFUNCTION("""COMPUTED_VALUE"""),"General - Socket Drat Dalam, PVC, 1""; Rucika; -; 1 pcs")</f>
        <v>General - Socket Drat Dalam, PVC, 1"; Rucika; -; 1 pcs</v>
      </c>
      <c r="C1320" s="2" t="str">
        <f>IFERROR(__xludf.DUMMYFUNCTION("""COMPUTED_VALUE"""),"P-10886-00")</f>
        <v>P-10886-00</v>
      </c>
      <c r="D1320" s="2" t="str">
        <f>if(isna(vlookup(C1320,'On Hand'!A:C,3,0)),"",vlookup(C1320,'On Hand'!A:C,3,0))</f>
        <v>pc</v>
      </c>
    </row>
    <row r="1321">
      <c r="A1321" s="2" t="str">
        <f>IFERROR(__xludf.DUMMYFUNCTION("""COMPUTED_VALUE"""),"P-10887-00")</f>
        <v>P-10887-00</v>
      </c>
      <c r="B1321" s="2" t="str">
        <f>IFERROR(__xludf.DUMMYFUNCTION("""COMPUTED_VALUE"""),"General - Socket Drat Dalam, PVC, 2""; Rucika; -; 1 pcs")</f>
        <v>General - Socket Drat Dalam, PVC, 2"; Rucika; -; 1 pcs</v>
      </c>
      <c r="C1321" s="2" t="str">
        <f>IFERROR(__xludf.DUMMYFUNCTION("""COMPUTED_VALUE"""),"P-10887-00")</f>
        <v>P-10887-00</v>
      </c>
      <c r="D1321" s="2" t="str">
        <f>if(isna(vlookup(C1321,'On Hand'!A:C,3,0)),"",vlookup(C1321,'On Hand'!A:C,3,0))</f>
        <v>pc</v>
      </c>
    </row>
    <row r="1322">
      <c r="A1322" s="2" t="str">
        <f>IFERROR(__xludf.DUMMYFUNCTION("""COMPUTED_VALUE"""),"P-10889-00")</f>
        <v>P-10889-00</v>
      </c>
      <c r="B1322" s="2" t="str">
        <f>IFERROR(__xludf.DUMMYFUNCTION("""COMPUTED_VALUE"""),"General - Socket Drat Dalam, PVC AW, 3/4""; Rucika; -; 1 pcs")</f>
        <v>General - Socket Drat Dalam, PVC AW, 3/4"; Rucika; -; 1 pcs</v>
      </c>
      <c r="C1322" s="2" t="str">
        <f>IFERROR(__xludf.DUMMYFUNCTION("""COMPUTED_VALUE"""),"P-10889-00")</f>
        <v>P-10889-00</v>
      </c>
      <c r="D1322" s="2" t="str">
        <f>if(isna(vlookup(C1322,'On Hand'!A:C,3,0)),"",vlookup(C1322,'On Hand'!A:C,3,0))</f>
        <v/>
      </c>
    </row>
    <row r="1323">
      <c r="A1323" s="2" t="str">
        <f>IFERROR(__xludf.DUMMYFUNCTION("""COMPUTED_VALUE"""),"P-10890-00")</f>
        <v>P-10890-00</v>
      </c>
      <c r="B1323" s="2" t="str">
        <f>IFERROR(__xludf.DUMMYFUNCTION("""COMPUTED_VALUE"""),"General - Socket Drat Luar, PVC, 1 1/2""; Rucika; -; 1 pcs")</f>
        <v>General - Socket Drat Luar, PVC, 1 1/2"; Rucika; -; 1 pcs</v>
      </c>
      <c r="C1323" s="2" t="str">
        <f>IFERROR(__xludf.DUMMYFUNCTION("""COMPUTED_VALUE"""),"P-10890-00")</f>
        <v>P-10890-00</v>
      </c>
      <c r="D1323" s="2" t="str">
        <f>if(isna(vlookup(C1323,'On Hand'!A:C,3,0)),"",vlookup(C1323,'On Hand'!A:C,3,0))</f>
        <v>pc</v>
      </c>
    </row>
    <row r="1324">
      <c r="A1324" s="2" t="str">
        <f>IFERROR(__xludf.DUMMYFUNCTION("""COMPUTED_VALUE"""),"P-10891-00")</f>
        <v>P-10891-00</v>
      </c>
      <c r="B1324" s="2" t="str">
        <f>IFERROR(__xludf.DUMMYFUNCTION("""COMPUTED_VALUE"""),"General - Socket Drat Luar, PVC, 1 1/4""; Rucika; -; 1 pcs")</f>
        <v>General - Socket Drat Luar, PVC, 1 1/4"; Rucika; -; 1 pcs</v>
      </c>
      <c r="C1324" s="2" t="str">
        <f>IFERROR(__xludf.DUMMYFUNCTION("""COMPUTED_VALUE"""),"P-10891-00")</f>
        <v>P-10891-00</v>
      </c>
      <c r="D1324" s="2" t="str">
        <f>if(isna(vlookup(C1324,'On Hand'!A:C,3,0)),"",vlookup(C1324,'On Hand'!A:C,3,0))</f>
        <v/>
      </c>
    </row>
    <row r="1325">
      <c r="A1325" s="2" t="str">
        <f>IFERROR(__xludf.DUMMYFUNCTION("""COMPUTED_VALUE"""),"P-10892-00")</f>
        <v>P-10892-00</v>
      </c>
      <c r="B1325" s="2" t="str">
        <f>IFERROR(__xludf.DUMMYFUNCTION("""COMPUTED_VALUE"""),"General - Socket Drat Luar, PVC, 1""; Rucika; -; 1 pcs")</f>
        <v>General - Socket Drat Luar, PVC, 1"; Rucika; -; 1 pcs</v>
      </c>
      <c r="C1325" s="2" t="str">
        <f>IFERROR(__xludf.DUMMYFUNCTION("""COMPUTED_VALUE"""),"P-10892-00")</f>
        <v>P-10892-00</v>
      </c>
      <c r="D1325" s="2" t="str">
        <f>if(isna(vlookup(C1325,'On Hand'!A:C,3,0)),"",vlookup(C1325,'On Hand'!A:C,3,0))</f>
        <v>pc</v>
      </c>
    </row>
    <row r="1326">
      <c r="A1326" s="2" t="str">
        <f>IFERROR(__xludf.DUMMYFUNCTION("""COMPUTED_VALUE"""),"P-10893-00")</f>
        <v>P-10893-00</v>
      </c>
      <c r="B1326" s="2" t="str">
        <f>IFERROR(__xludf.DUMMYFUNCTION("""COMPUTED_VALUE"""),"General - Socket Drat Luar, PVC, 2""; Rucika; -; 1 pcs")</f>
        <v>General - Socket Drat Luar, PVC, 2"; Rucika; -; 1 pcs</v>
      </c>
      <c r="C1326" s="2" t="str">
        <f>IFERROR(__xludf.DUMMYFUNCTION("""COMPUTED_VALUE"""),"P-10893-00")</f>
        <v>P-10893-00</v>
      </c>
      <c r="D1326" s="2" t="str">
        <f>if(isna(vlookup(C1326,'On Hand'!A:C,3,0)),"",vlookup(C1326,'On Hand'!A:C,3,0))</f>
        <v>pc</v>
      </c>
    </row>
    <row r="1327">
      <c r="A1327" s="2" t="str">
        <f>IFERROR(__xludf.DUMMYFUNCTION("""COMPUTED_VALUE"""),"P-10894-00")</f>
        <v>P-10894-00</v>
      </c>
      <c r="B1327" s="2" t="str">
        <f>IFERROR(__xludf.DUMMYFUNCTION("""COMPUTED_VALUE"""),"General - Socket Drat Luar, PVC AW, 3""; Rucika; -; 1 pcs")</f>
        <v>General - Socket Drat Luar, PVC AW, 3"; Rucika; -; 1 pcs</v>
      </c>
      <c r="C1327" s="2" t="str">
        <f>IFERROR(__xludf.DUMMYFUNCTION("""COMPUTED_VALUE"""),"P-10894-00")</f>
        <v>P-10894-00</v>
      </c>
      <c r="D1327" s="2" t="str">
        <f>if(isna(vlookup(C1327,'On Hand'!A:C,3,0)),"",vlookup(C1327,'On Hand'!A:C,3,0))</f>
        <v>pc</v>
      </c>
    </row>
    <row r="1328">
      <c r="A1328" s="2" t="str">
        <f>IFERROR(__xludf.DUMMYFUNCTION("""COMPUTED_VALUE"""),"P-10895-00")</f>
        <v>P-10895-00</v>
      </c>
      <c r="B1328" s="2" t="str">
        <f>IFERROR(__xludf.DUMMYFUNCTION("""COMPUTED_VALUE"""),"General - Socket, PVC, 1/2""; No Brand; -; 1 pcs")</f>
        <v>General - Socket, PVC, 1/2"; No Brand; -; 1 pcs</v>
      </c>
      <c r="C1328" s="2" t="str">
        <f>IFERROR(__xludf.DUMMYFUNCTION("""COMPUTED_VALUE"""),"P-10895-00")</f>
        <v>P-10895-00</v>
      </c>
      <c r="D1328" s="2" t="str">
        <f>if(isna(vlookup(C1328,'On Hand'!A:C,3,0)),"",vlookup(C1328,'On Hand'!A:C,3,0))</f>
        <v>pc</v>
      </c>
    </row>
    <row r="1329">
      <c r="A1329" s="2" t="str">
        <f>IFERROR(__xludf.DUMMYFUNCTION("""COMPUTED_VALUE"""),"P-10896-00")</f>
        <v>P-10896-00</v>
      </c>
      <c r="B1329" s="2" t="str">
        <f>IFERROR(__xludf.DUMMYFUNCTION("""COMPUTED_VALUE"""),"Fitting PVC - Sock PVC 1 1/4""")</f>
        <v>Fitting PVC - Sock PVC 1 1/4"</v>
      </c>
      <c r="C1329" s="2" t="str">
        <f>IFERROR(__xludf.DUMMYFUNCTION("""COMPUTED_VALUE"""),"P-10896-00")</f>
        <v>P-10896-00</v>
      </c>
      <c r="D1329" s="2" t="str">
        <f>if(isna(vlookup(C1329,'On Hand'!A:C,3,0)),"",vlookup(C1329,'On Hand'!A:C,3,0))</f>
        <v/>
      </c>
    </row>
    <row r="1330">
      <c r="A1330" s="2" t="str">
        <f>IFERROR(__xludf.DUMMYFUNCTION("""COMPUTED_VALUE"""),"P-10897-00")</f>
        <v>P-10897-00</v>
      </c>
      <c r="B1330" s="2" t="str">
        <f>IFERROR(__xludf.DUMMYFUNCTION("""COMPUTED_VALUE"""),"Fitting PVC - Sock PVC 1""")</f>
        <v>Fitting PVC - Sock PVC 1"</v>
      </c>
      <c r="C1330" s="2" t="str">
        <f>IFERROR(__xludf.DUMMYFUNCTION("""COMPUTED_VALUE"""),"P-10897-00")</f>
        <v>P-10897-00</v>
      </c>
      <c r="D1330" s="2" t="str">
        <f>if(isna(vlookup(C1330,'On Hand'!A:C,3,0)),"",vlookup(C1330,'On Hand'!A:C,3,0))</f>
        <v>pc</v>
      </c>
    </row>
    <row r="1331">
      <c r="A1331" s="2" t="str">
        <f>IFERROR(__xludf.DUMMYFUNCTION("""COMPUTED_VALUE"""),"P-10898-00")</f>
        <v>P-10898-00</v>
      </c>
      <c r="B1331" s="2" t="str">
        <f>IFERROR(__xludf.DUMMYFUNCTION("""COMPUTED_VALUE"""),"Fitting PVC - Sock PVC 2""")</f>
        <v>Fitting PVC - Sock PVC 2"</v>
      </c>
      <c r="C1331" s="2" t="str">
        <f>IFERROR(__xludf.DUMMYFUNCTION("""COMPUTED_VALUE"""),"P-10898-00")</f>
        <v>P-10898-00</v>
      </c>
      <c r="D1331" s="2" t="str">
        <f>if(isna(vlookup(C1331,'On Hand'!A:C,3,0)),"",vlookup(C1331,'On Hand'!A:C,3,0))</f>
        <v>pc</v>
      </c>
    </row>
    <row r="1332">
      <c r="A1332" s="2" t="str">
        <f>IFERROR(__xludf.DUMMYFUNCTION("""COMPUTED_VALUE"""),"P-10899-00")</f>
        <v>P-10899-00</v>
      </c>
      <c r="B1332" s="2" t="str">
        <f>IFERROR(__xludf.DUMMYFUNCTION("""COMPUTED_VALUE"""),"General - Socket, PVC, 3/4""; Rucika; -; 1 pcs")</f>
        <v>General - Socket, PVC, 3/4"; Rucika; -; 1 pcs</v>
      </c>
      <c r="C1332" s="2" t="str">
        <f>IFERROR(__xludf.DUMMYFUNCTION("""COMPUTED_VALUE"""),"P-10899-00")</f>
        <v>P-10899-00</v>
      </c>
      <c r="D1332" s="2" t="str">
        <f>if(isna(vlookup(C1332,'On Hand'!A:C,3,0)),"",vlookup(C1332,'On Hand'!A:C,3,0))</f>
        <v>pc</v>
      </c>
    </row>
    <row r="1333">
      <c r="A1333" s="2" t="str">
        <f>IFERROR(__xludf.DUMMYFUNCTION("""COMPUTED_VALUE"""),"P-10900-00")</f>
        <v>P-10900-00</v>
      </c>
      <c r="B1333" s="2" t="str">
        <f>IFERROR(__xludf.DUMMYFUNCTION("""COMPUTED_VALUE"""),"Fitting PVC - Sock PVC 3 Rucika AW")</f>
        <v>Fitting PVC - Sock PVC 3 Rucika AW</v>
      </c>
      <c r="C1333" s="2" t="str">
        <f>IFERROR(__xludf.DUMMYFUNCTION("""COMPUTED_VALUE"""),"P-10900-00")</f>
        <v>P-10900-00</v>
      </c>
      <c r="D1333" s="2" t="str">
        <f>if(isna(vlookup(C1333,'On Hand'!A:C,3,0)),"",vlookup(C1333,'On Hand'!A:C,3,0))</f>
        <v/>
      </c>
    </row>
    <row r="1334">
      <c r="A1334" s="2" t="str">
        <f>IFERROR(__xludf.DUMMYFUNCTION("""COMPUTED_VALUE"""),"P-10904-00")</f>
        <v>P-10904-00</v>
      </c>
      <c r="B1334" s="2" t="str">
        <f>IFERROR(__xludf.DUMMYFUNCTION("""COMPUTED_VALUE"""),"General - Tee, PVC, 1 1/4""; Rucika; -; 1 pcs")</f>
        <v>General - Tee, PVC, 1 1/4"; Rucika; -; 1 pcs</v>
      </c>
      <c r="C1334" s="2" t="str">
        <f>IFERROR(__xludf.DUMMYFUNCTION("""COMPUTED_VALUE"""),"P-10904-00")</f>
        <v>P-10904-00</v>
      </c>
      <c r="D1334" s="2" t="str">
        <f>if(isna(vlookup(C1334,'On Hand'!A:C,3,0)),"",vlookup(C1334,'On Hand'!A:C,3,0))</f>
        <v>pc</v>
      </c>
    </row>
    <row r="1335">
      <c r="A1335" s="2" t="str">
        <f>IFERROR(__xludf.DUMMYFUNCTION("""COMPUTED_VALUE"""),"P-10905-00")</f>
        <v>P-10905-00</v>
      </c>
      <c r="B1335" s="2" t="str">
        <f>IFERROR(__xludf.DUMMYFUNCTION("""COMPUTED_VALUE"""),"General - Tee, PVC, 1/2""; Rucika; -; 1 pcs")</f>
        <v>General - Tee, PVC, 1/2"; Rucika; -; 1 pcs</v>
      </c>
      <c r="C1335" s="2" t="str">
        <f>IFERROR(__xludf.DUMMYFUNCTION("""COMPUTED_VALUE"""),"P-10905-00")</f>
        <v>P-10905-00</v>
      </c>
      <c r="D1335" s="2" t="str">
        <f>if(isna(vlookup(C1335,'On Hand'!A:C,3,0)),"",vlookup(C1335,'On Hand'!A:C,3,0))</f>
        <v>pc</v>
      </c>
    </row>
    <row r="1336">
      <c r="A1336" s="2" t="str">
        <f>IFERROR(__xludf.DUMMYFUNCTION("""COMPUTED_VALUE"""),"P-10906-00")</f>
        <v>P-10906-00</v>
      </c>
      <c r="B1336" s="2" t="str">
        <f>IFERROR(__xludf.DUMMYFUNCTION("""COMPUTED_VALUE"""),"Fitting PVC - Tee PVC 1"" Rucika AW")</f>
        <v>Fitting PVC - Tee PVC 1" Rucika AW</v>
      </c>
      <c r="C1336" s="2" t="str">
        <f>IFERROR(__xludf.DUMMYFUNCTION("""COMPUTED_VALUE"""),"P-10906-00")</f>
        <v>P-10906-00</v>
      </c>
      <c r="D1336" s="2" t="str">
        <f>if(isna(vlookup(C1336,'On Hand'!A:C,3,0)),"",vlookup(C1336,'On Hand'!A:C,3,0))</f>
        <v>pc</v>
      </c>
    </row>
    <row r="1337">
      <c r="A1337" s="2" t="str">
        <f>IFERROR(__xludf.DUMMYFUNCTION("""COMPUTED_VALUE"""),"P-10907-00")</f>
        <v>P-10907-00</v>
      </c>
      <c r="B1337" s="2" t="str">
        <f>IFERROR(__xludf.DUMMYFUNCTION("""COMPUTED_VALUE"""),"General - Tee, PVC AW, 2""; Rucika; -; 1 pcs")</f>
        <v>General - Tee, PVC AW, 2"; Rucika; -; 1 pcs</v>
      </c>
      <c r="C1337" s="2" t="str">
        <f>IFERROR(__xludf.DUMMYFUNCTION("""COMPUTED_VALUE"""),"P-10907-00")</f>
        <v>P-10907-00</v>
      </c>
      <c r="D1337" s="2" t="str">
        <f>if(isna(vlookup(C1337,'On Hand'!A:C,3,0)),"",vlookup(C1337,'On Hand'!A:C,3,0))</f>
        <v>pc</v>
      </c>
    </row>
    <row r="1338">
      <c r="A1338" s="2" t="str">
        <f>IFERROR(__xludf.DUMMYFUNCTION("""COMPUTED_VALUE"""),"P-10908-00")</f>
        <v>P-10908-00</v>
      </c>
      <c r="B1338" s="2" t="str">
        <f>IFERROR(__xludf.DUMMYFUNCTION("""COMPUTED_VALUE"""),"General - Tee, PVC AW, 3/4""; Rucika; -; 1 pcs")</f>
        <v>General - Tee, PVC AW, 3/4"; Rucika; -; 1 pcs</v>
      </c>
      <c r="C1338" s="2" t="str">
        <f>IFERROR(__xludf.DUMMYFUNCTION("""COMPUTED_VALUE"""),"P-10908-00")</f>
        <v>P-10908-00</v>
      </c>
      <c r="D1338" s="2" t="str">
        <f>if(isna(vlookup(C1338,'On Hand'!A:C,3,0)),"",vlookup(C1338,'On Hand'!A:C,3,0))</f>
        <v/>
      </c>
    </row>
    <row r="1339">
      <c r="A1339" s="2" t="str">
        <f>IFERROR(__xludf.DUMMYFUNCTION("""COMPUTED_VALUE"""),"P-10909-00")</f>
        <v>P-10909-00</v>
      </c>
      <c r="B1339" s="2" t="str">
        <f>IFERROR(__xludf.DUMMYFUNCTION("""COMPUTED_VALUE"""),"Fitting PVC - Tee PVC 3 inch Rucika AW")</f>
        <v>Fitting PVC - Tee PVC 3 inch Rucika AW</v>
      </c>
      <c r="C1339" s="2" t="str">
        <f>IFERROR(__xludf.DUMMYFUNCTION("""COMPUTED_VALUE"""),"P-10909-00")</f>
        <v>P-10909-00</v>
      </c>
      <c r="D1339" s="2" t="str">
        <f>if(isna(vlookup(C1339,'On Hand'!A:C,3,0)),"",vlookup(C1339,'On Hand'!A:C,3,0))</f>
        <v/>
      </c>
    </row>
    <row r="1340">
      <c r="A1340" s="2" t="str">
        <f>IFERROR(__xludf.DUMMYFUNCTION("""COMPUTED_VALUE"""),"P-10945-00")</f>
        <v>P-10945-00</v>
      </c>
      <c r="B1340" s="2" t="str">
        <f>IFERROR(__xludf.DUMMYFUNCTION("""COMPUTED_VALUE"""),"General - Seal Tape 1inch; ONDA; -; 1 Pcs")</f>
        <v>General - Seal Tape 1inch; ONDA; -; 1 Pcs</v>
      </c>
      <c r="C1340" s="2" t="str">
        <f>IFERROR(__xludf.DUMMYFUNCTION("""COMPUTED_VALUE"""),"P-10945-00")</f>
        <v>P-10945-00</v>
      </c>
      <c r="D1340" s="2" t="str">
        <f>if(isna(vlookup(C1340,'On Hand'!A:C,3,0)),"",vlookup(C1340,'On Hand'!A:C,3,0))</f>
        <v/>
      </c>
    </row>
    <row r="1341">
      <c r="A1341" s="2" t="str">
        <f>IFERROR(__xludf.DUMMYFUNCTION("""COMPUTED_VALUE"""),"P-10952-00")</f>
        <v>P-10952-00</v>
      </c>
      <c r="B1341" s="2" t="str">
        <f>IFERROR(__xludf.DUMMYFUNCTION("""COMPUTED_VALUE"""),"Kawat Las Dia = 3,2 X 350 mm Besi RD 260")</f>
        <v>Kawat Las Dia = 3,2 X 350 mm Besi RD 260</v>
      </c>
      <c r="C1341" s="2" t="str">
        <f>IFERROR(__xludf.DUMMYFUNCTION("""COMPUTED_VALUE"""),"P-10952-00")</f>
        <v>P-10952-00</v>
      </c>
      <c r="D1341" s="2" t="str">
        <f>if(isna(vlookup(C1341,'On Hand'!A:C,3,0)),"",vlookup(C1341,'On Hand'!A:C,3,0))</f>
        <v/>
      </c>
    </row>
    <row r="1342">
      <c r="A1342" s="2" t="str">
        <f>IFERROR(__xludf.DUMMYFUNCTION("""COMPUTED_VALUE"""),"P-10953-00")</f>
        <v>P-10953-00</v>
      </c>
      <c r="B1342" s="2" t="str">
        <f>IFERROR(__xludf.DUMMYFUNCTION("""COMPUTED_VALUE"""),"General - Kawat Las SS 308L Tig Welding 1.6 x 1000mm; No Brand; -; 5 kg/pc")</f>
        <v>General - Kawat Las SS 308L Tig Welding 1.6 x 1000mm; No Brand; -; 5 kg/pc</v>
      </c>
      <c r="C1342" s="2" t="str">
        <f>IFERROR(__xludf.DUMMYFUNCTION("""COMPUTED_VALUE"""),"P-10953-00")</f>
        <v>P-10953-00</v>
      </c>
      <c r="D1342" s="2" t="str">
        <f>if(isna(vlookup(C1342,'On Hand'!A:C,3,0)),"",vlookup(C1342,'On Hand'!A:C,3,0))</f>
        <v>pc</v>
      </c>
    </row>
    <row r="1343">
      <c r="A1343" s="2" t="str">
        <f>IFERROR(__xludf.DUMMYFUNCTION("""COMPUTED_VALUE"""),"P-10958-00")</f>
        <v>P-10958-00</v>
      </c>
      <c r="B1343" s="2" t="str">
        <f>IFERROR(__xludf.DUMMYFUNCTION("""COMPUTED_VALUE"""),"General - Kawat Las Tembaga Dia  = 3,2  X 450 mm; Harris; -; 1 Pc")</f>
        <v>General - Kawat Las Tembaga Dia  = 3,2  X 450 mm; Harris; -; 1 Pc</v>
      </c>
      <c r="C1343" s="2" t="str">
        <f>IFERROR(__xludf.DUMMYFUNCTION("""COMPUTED_VALUE"""),"P-10958-00")</f>
        <v>P-10958-00</v>
      </c>
      <c r="D1343" s="2" t="str">
        <f>if(isna(vlookup(C1343,'On Hand'!A:C,3,0)),"",vlookup(C1343,'On Hand'!A:C,3,0))</f>
        <v>pc</v>
      </c>
    </row>
    <row r="1344">
      <c r="A1344" s="2" t="str">
        <f>IFERROR(__xludf.DUMMYFUNCTION("""COMPUTED_VALUE"""),"P-11002-00")</f>
        <v>P-11002-00</v>
      </c>
      <c r="B1344" s="2" t="str">
        <f>IFERROR(__xludf.DUMMYFUNCTION("""COMPUTED_VALUE"""),"Mur SS 6 mm")</f>
        <v>Mur SS 6 mm</v>
      </c>
      <c r="C1344" s="2" t="str">
        <f>IFERROR(__xludf.DUMMYFUNCTION("""COMPUTED_VALUE"""),"P-11002-00")</f>
        <v>P-11002-00</v>
      </c>
      <c r="D1344" s="2" t="str">
        <f>if(isna(vlookup(C1344,'On Hand'!A:C,3,0)),"",vlookup(C1344,'On Hand'!A:C,3,0))</f>
        <v/>
      </c>
    </row>
    <row r="1345">
      <c r="A1345" s="2" t="str">
        <f>IFERROR(__xludf.DUMMYFUNCTION("""COMPUTED_VALUE"""),"P-11003-00")</f>
        <v>P-11003-00</v>
      </c>
      <c r="B1345" s="2" t="str">
        <f>IFERROR(__xludf.DUMMYFUNCTION("""COMPUTED_VALUE"""),"Mur SS 8 mm")</f>
        <v>Mur SS 8 mm</v>
      </c>
      <c r="C1345" s="2" t="str">
        <f>IFERROR(__xludf.DUMMYFUNCTION("""COMPUTED_VALUE"""),"P-11003-00")</f>
        <v>P-11003-00</v>
      </c>
      <c r="D1345" s="2" t="str">
        <f>if(isna(vlookup(C1345,'On Hand'!A:C,3,0)),"",vlookup(C1345,'On Hand'!A:C,3,0))</f>
        <v/>
      </c>
    </row>
    <row r="1346">
      <c r="A1346" s="2" t="str">
        <f>IFERROR(__xludf.DUMMYFUNCTION("""COMPUTED_VALUE"""),"P-11018-00")</f>
        <v>P-11018-00</v>
      </c>
      <c r="B1346" s="2" t="str">
        <f>IFERROR(__xludf.DUMMYFUNCTION("""COMPUTED_VALUE"""),"General - Oil Seal TC 15 x 24 x 7; NOK; -; 1 Pc")</f>
        <v>General - Oil Seal TC 15 x 24 x 7; NOK; -; 1 Pc</v>
      </c>
      <c r="C1346" s="2" t="str">
        <f>IFERROR(__xludf.DUMMYFUNCTION("""COMPUTED_VALUE"""),"P-11018-00")</f>
        <v>P-11018-00</v>
      </c>
      <c r="D1346" s="2" t="str">
        <f>if(isna(vlookup(C1346,'On Hand'!A:C,3,0)),"",vlookup(C1346,'On Hand'!A:C,3,0))</f>
        <v>pc</v>
      </c>
    </row>
    <row r="1347">
      <c r="A1347" s="2" t="str">
        <f>IFERROR(__xludf.DUMMYFUNCTION("""COMPUTED_VALUE"""),"P-11164-00")</f>
        <v>P-11164-00</v>
      </c>
      <c r="B1347" s="2" t="str">
        <f>IFERROR(__xludf.DUMMYFUNCTION("""COMPUTED_VALUE"""),"Pneumatic  Fitting - QS 1/2-10 / PN : 190646 / Festo")</f>
        <v>Pneumatic  Fitting - QS 1/2-10 / PN : 190646 / Festo</v>
      </c>
      <c r="C1347" s="2" t="str">
        <f>IFERROR(__xludf.DUMMYFUNCTION("""COMPUTED_VALUE"""),"P-11164-00")</f>
        <v>P-11164-00</v>
      </c>
      <c r="D1347" s="2" t="str">
        <f>if(isna(vlookup(C1347,'On Hand'!A:C,3,0)),"",vlookup(C1347,'On Hand'!A:C,3,0))</f>
        <v/>
      </c>
    </row>
    <row r="1348">
      <c r="A1348" s="2" t="str">
        <f>IFERROR(__xludf.DUMMYFUNCTION("""COMPUTED_VALUE"""),"P-11165-00")</f>
        <v>P-11165-00</v>
      </c>
      <c r="B1348" s="2" t="str">
        <f>IFERROR(__xludf.DUMMYFUNCTION("""COMPUTED_VALUE"""),"General - Push-in Fitting, QS-1/2-12; Festo; 153010; 1 pcs")</f>
        <v>General - Push-in Fitting, QS-1/2-12; Festo; 153010; 1 pcs</v>
      </c>
      <c r="C1348" s="2" t="str">
        <f>IFERROR(__xludf.DUMMYFUNCTION("""COMPUTED_VALUE"""),"P-11165-00")</f>
        <v>P-11165-00</v>
      </c>
      <c r="D1348" s="2" t="str">
        <f>if(isna(vlookup(C1348,'On Hand'!A:C,3,0)),"",vlookup(C1348,'On Hand'!A:C,3,0))</f>
        <v>pc</v>
      </c>
    </row>
    <row r="1349">
      <c r="A1349" s="2" t="str">
        <f>IFERROR(__xludf.DUMMYFUNCTION("""COMPUTED_VALUE"""),"P-11167-00")</f>
        <v>P-11167-00</v>
      </c>
      <c r="B1349" s="2" t="str">
        <f>IFERROR(__xludf.DUMMYFUNCTION("""COMPUTED_VALUE"""),"Pneumatic Fitting - QS 1/4-10 / PN : 153007 / Festo")</f>
        <v>Pneumatic Fitting - QS 1/4-10 / PN : 153007 / Festo</v>
      </c>
      <c r="C1349" s="2" t="str">
        <f>IFERROR(__xludf.DUMMYFUNCTION("""COMPUTED_VALUE"""),"P-11167-00")</f>
        <v>P-11167-00</v>
      </c>
      <c r="D1349" s="2" t="str">
        <f>if(isna(vlookup(C1349,'On Hand'!A:C,3,0)),"",vlookup(C1349,'On Hand'!A:C,3,0))</f>
        <v>pc</v>
      </c>
    </row>
    <row r="1350">
      <c r="A1350" s="2" t="str">
        <f>IFERROR(__xludf.DUMMYFUNCTION("""COMPUTED_VALUE"""),"P-11169-00")</f>
        <v>P-11169-00</v>
      </c>
      <c r="B1350" s="2" t="str">
        <f>IFERROR(__xludf.DUMMYFUNCTION("""COMPUTED_VALUE"""),"General - Push-in Fitting, QS-1/4-6; Festo; 153003; 1 pcs")</f>
        <v>General - Push-in Fitting, QS-1/4-6; Festo; 153003; 1 pcs</v>
      </c>
      <c r="C1350" s="2" t="str">
        <f>IFERROR(__xludf.DUMMYFUNCTION("""COMPUTED_VALUE"""),"P-11169-00")</f>
        <v>P-11169-00</v>
      </c>
      <c r="D1350" s="2" t="str">
        <f>if(isna(vlookup(C1350,'On Hand'!A:C,3,0)),"",vlookup(C1350,'On Hand'!A:C,3,0))</f>
        <v>pc</v>
      </c>
    </row>
    <row r="1351">
      <c r="A1351" s="2" t="str">
        <f>IFERROR(__xludf.DUMMYFUNCTION("""COMPUTED_VALUE"""),"P-11170-00")</f>
        <v>P-11170-00</v>
      </c>
      <c r="B1351" s="2" t="str">
        <f>IFERROR(__xludf.DUMMYFUNCTION("""COMPUTED_VALUE"""),"Pneumatic  Fitting - QS 1/4-8 / PN : 153005 / Festo")</f>
        <v>Pneumatic  Fitting - QS 1/4-8 / PN : 153005 / Festo</v>
      </c>
      <c r="C1351" s="2" t="str">
        <f>IFERROR(__xludf.DUMMYFUNCTION("""COMPUTED_VALUE"""),"P-11170-00")</f>
        <v>P-11170-00</v>
      </c>
      <c r="D1351" s="2" t="str">
        <f>if(isna(vlookup(C1351,'On Hand'!A:C,3,0)),"",vlookup(C1351,'On Hand'!A:C,3,0))</f>
        <v>pc</v>
      </c>
    </row>
    <row r="1352">
      <c r="A1352" s="2" t="str">
        <f>IFERROR(__xludf.DUMMYFUNCTION("""COMPUTED_VALUE"""),"P-11172-00")</f>
        <v>P-11172-00</v>
      </c>
      <c r="B1352" s="2" t="str">
        <f>IFERROR(__xludf.DUMMYFUNCTION("""COMPUTED_VALUE"""),"Pneumatic  Fitting - QS 1/8-8 / Festo")</f>
        <v>Pneumatic  Fitting - QS 1/8-8 / Festo</v>
      </c>
      <c r="C1352" s="2" t="str">
        <f>IFERROR(__xludf.DUMMYFUNCTION("""COMPUTED_VALUE"""),"P-11172-00")</f>
        <v>P-11172-00</v>
      </c>
      <c r="D1352" s="2" t="str">
        <f>if(isna(vlookup(C1352,'On Hand'!A:C,3,0)),"",vlookup(C1352,'On Hand'!A:C,3,0))</f>
        <v/>
      </c>
    </row>
    <row r="1353">
      <c r="A1353" s="2" t="str">
        <f>IFERROR(__xludf.DUMMYFUNCTION("""COMPUTED_VALUE"""),"P-11173-00")</f>
        <v>P-11173-00</v>
      </c>
      <c r="B1353" s="2" t="str">
        <f>IFERROR(__xludf.DUMMYFUNCTION("""COMPUTED_VALUE"""),"General - Push-in Connector, QS-10; Festo; 153034; 1 pcs")</f>
        <v>General - Push-in Connector, QS-10; Festo; 153034; 1 pcs</v>
      </c>
      <c r="C1353" s="2" t="str">
        <f>IFERROR(__xludf.DUMMYFUNCTION("""COMPUTED_VALUE"""),"P-11173-00")</f>
        <v>P-11173-00</v>
      </c>
      <c r="D1353" s="2" t="str">
        <f>if(isna(vlookup(C1353,'On Hand'!A:C,3,0)),"",vlookup(C1353,'On Hand'!A:C,3,0))</f>
        <v>pc</v>
      </c>
    </row>
    <row r="1354">
      <c r="A1354" s="2" t="str">
        <f>IFERROR(__xludf.DUMMYFUNCTION("""COMPUTED_VALUE"""),"P-11175-00")</f>
        <v>P-11175-00</v>
      </c>
      <c r="B1354" s="2" t="str">
        <f>IFERROR(__xludf.DUMMYFUNCTION("""COMPUTED_VALUE"""),"Pneumatic  Fitting - QS 10-8 / PN : 153039 / Festo")</f>
        <v>Pneumatic  Fitting - QS 10-8 / PN : 153039 / Festo</v>
      </c>
      <c r="C1354" s="2" t="str">
        <f>IFERROR(__xludf.DUMMYFUNCTION("""COMPUTED_VALUE"""),"P-11175-00")</f>
        <v>P-11175-00</v>
      </c>
      <c r="D1354" s="2" t="str">
        <f>if(isna(vlookup(C1354,'On Hand'!A:C,3,0)),"",vlookup(C1354,'On Hand'!A:C,3,0))</f>
        <v>pc</v>
      </c>
    </row>
    <row r="1355">
      <c r="A1355" s="2" t="str">
        <f>IFERROR(__xludf.DUMMYFUNCTION("""COMPUTED_VALUE"""),"P-11176-00")</f>
        <v>P-11176-00</v>
      </c>
      <c r="B1355" s="2" t="str">
        <f>IFERROR(__xludf.DUMMYFUNCTION("""COMPUTED_VALUE"""),"Pneumatic  Fitting - QS 12 / PN : 153035 / Festo")</f>
        <v>Pneumatic  Fitting - QS 12 / PN : 153035 / Festo</v>
      </c>
      <c r="C1355" s="2" t="str">
        <f>IFERROR(__xludf.DUMMYFUNCTION("""COMPUTED_VALUE"""),"P-11176-00")</f>
        <v>P-11176-00</v>
      </c>
      <c r="D1355" s="2" t="str">
        <f>if(isna(vlookup(C1355,'On Hand'!A:C,3,0)),"",vlookup(C1355,'On Hand'!A:C,3,0))</f>
        <v>pc</v>
      </c>
    </row>
    <row r="1356">
      <c r="A1356" s="2" t="str">
        <f>IFERROR(__xludf.DUMMYFUNCTION("""COMPUTED_VALUE"""),"P-11182-00")</f>
        <v>P-11182-00</v>
      </c>
      <c r="B1356" s="2" t="str">
        <f>IFERROR(__xludf.DUMMYFUNCTION("""COMPUTED_VALUE"""),"General - Push-in Connector, QS-6; Festo; 153032; 1 pcs")</f>
        <v>General - Push-in Connector, QS-6; Festo; 153032; 1 pcs</v>
      </c>
      <c r="C1356" s="2" t="str">
        <f>IFERROR(__xludf.DUMMYFUNCTION("""COMPUTED_VALUE"""),"P-11182-00")</f>
        <v>P-11182-00</v>
      </c>
      <c r="D1356" s="2" t="str">
        <f>if(isna(vlookup(C1356,'On Hand'!A:C,3,0)),"",vlookup(C1356,'On Hand'!A:C,3,0))</f>
        <v>pc</v>
      </c>
    </row>
    <row r="1357">
      <c r="A1357" s="2" t="str">
        <f>IFERROR(__xludf.DUMMYFUNCTION("""COMPUTED_VALUE"""),"P-11183-00")</f>
        <v>P-11183-00</v>
      </c>
      <c r="B1357" s="2" t="str">
        <f>IFERROR(__xludf.DUMMYFUNCTION("""COMPUTED_VALUE"""),"General - Push-in Connector, QS-6-4; Festo; 153037; 1 pcs")</f>
        <v>General - Push-in Connector, QS-6-4; Festo; 153037; 1 pcs</v>
      </c>
      <c r="C1357" s="2" t="str">
        <f>IFERROR(__xludf.DUMMYFUNCTION("""COMPUTED_VALUE"""),"P-11183-00")</f>
        <v>P-11183-00</v>
      </c>
      <c r="D1357" s="2" t="str">
        <f>if(isna(vlookup(C1357,'On Hand'!A:C,3,0)),"",vlookup(C1357,'On Hand'!A:C,3,0))</f>
        <v>pc</v>
      </c>
    </row>
    <row r="1358">
      <c r="A1358" s="2" t="str">
        <f>IFERROR(__xludf.DUMMYFUNCTION("""COMPUTED_VALUE"""),"P-11184-00")</f>
        <v>P-11184-00</v>
      </c>
      <c r="B1358" s="2" t="str">
        <f>IFERROR(__xludf.DUMMYFUNCTION("""COMPUTED_VALUE"""),"General - Push-in Connector, QS-8; Festo; 153033; 1 pcs")</f>
        <v>General - Push-in Connector, QS-8; Festo; 153033; 1 pcs</v>
      </c>
      <c r="C1358" s="2" t="str">
        <f>IFERROR(__xludf.DUMMYFUNCTION("""COMPUTED_VALUE"""),"P-11184-00")</f>
        <v>P-11184-00</v>
      </c>
      <c r="D1358" s="2" t="str">
        <f>if(isna(vlookup(C1358,'On Hand'!A:C,3,0)),"",vlookup(C1358,'On Hand'!A:C,3,0))</f>
        <v>pc</v>
      </c>
    </row>
    <row r="1359">
      <c r="A1359" s="2" t="str">
        <f>IFERROR(__xludf.DUMMYFUNCTION("""COMPUTED_VALUE"""),"P-11185-00")</f>
        <v>P-11185-00</v>
      </c>
      <c r="B1359" s="2" t="str">
        <f>IFERROR(__xludf.DUMMYFUNCTION("""COMPUTED_VALUE"""),"General - Push-in Connector, QS-8-6; Festo; 153038; 1 pcs")</f>
        <v>General - Push-in Connector, QS-8-6; Festo; 153038; 1 pcs</v>
      </c>
      <c r="C1359" s="2" t="str">
        <f>IFERROR(__xludf.DUMMYFUNCTION("""COMPUTED_VALUE"""),"P-11185-00")</f>
        <v>P-11185-00</v>
      </c>
      <c r="D1359" s="2" t="str">
        <f>if(isna(vlookup(C1359,'On Hand'!A:C,3,0)),"",vlookup(C1359,'On Hand'!A:C,3,0))</f>
        <v>pc</v>
      </c>
    </row>
    <row r="1360">
      <c r="A1360" s="2" t="str">
        <f>IFERROR(__xludf.DUMMYFUNCTION("""COMPUTED_VALUE"""),"P-11195-00")</f>
        <v>P-11195-00</v>
      </c>
      <c r="B1360" s="2" t="str">
        <f>IFERROR(__xludf.DUMMYFUNCTION("""COMPUTED_VALUE"""),"General - Push-in Fitting, QSF-1/8-6-B; Festo; 153023; 1 pcs")</f>
        <v>General - Push-in Fitting, QSF-1/8-6-B; Festo; 153023; 1 pcs</v>
      </c>
      <c r="C1360" s="2" t="str">
        <f>IFERROR(__xludf.DUMMYFUNCTION("""COMPUTED_VALUE"""),"P-11195-00")</f>
        <v>P-11195-00</v>
      </c>
      <c r="D1360" s="2" t="str">
        <f>if(isna(vlookup(C1360,'On Hand'!A:C,3,0)),"",vlookup(C1360,'On Hand'!A:C,3,0))</f>
        <v>pc</v>
      </c>
    </row>
    <row r="1361">
      <c r="A1361" s="2" t="str">
        <f>IFERROR(__xludf.DUMMYFUNCTION("""COMPUTED_VALUE"""),"P-11227-00")</f>
        <v>P-11227-00</v>
      </c>
      <c r="B1361" s="2" t="str">
        <f>IFERROR(__xludf.DUMMYFUNCTION("""COMPUTED_VALUE"""),"General - Push-in T-connector, QST-6; Festo; 153129; 1 pcs")</f>
        <v>General - Push-in T-connector, QST-6; Festo; 153129; 1 pcs</v>
      </c>
      <c r="C1361" s="2" t="str">
        <f>IFERROR(__xludf.DUMMYFUNCTION("""COMPUTED_VALUE"""),"P-11227-00")</f>
        <v>P-11227-00</v>
      </c>
      <c r="D1361" s="2" t="str">
        <f>if(isna(vlookup(C1361,'On Hand'!A:C,3,0)),"",vlookup(C1361,'On Hand'!A:C,3,0))</f>
        <v>pc</v>
      </c>
    </row>
    <row r="1362">
      <c r="A1362" s="2" t="str">
        <f>IFERROR(__xludf.DUMMYFUNCTION("""COMPUTED_VALUE"""),"P-11228-00")</f>
        <v>P-11228-00</v>
      </c>
      <c r="B1362" s="2" t="str">
        <f>IFERROR(__xludf.DUMMYFUNCTION("""COMPUTED_VALUE"""),"General - Push-in T-connector, QST-8; Festo; 153130; 1 pcs")</f>
        <v>General - Push-in T-connector, QST-8; Festo; 153130; 1 pcs</v>
      </c>
      <c r="C1362" s="2" t="str">
        <f>IFERROR(__xludf.DUMMYFUNCTION("""COMPUTED_VALUE"""),"P-11228-00")</f>
        <v>P-11228-00</v>
      </c>
      <c r="D1362" s="2" t="str">
        <f>if(isna(vlookup(C1362,'On Hand'!A:C,3,0)),"",vlookup(C1362,'On Hand'!A:C,3,0))</f>
        <v>pc</v>
      </c>
    </row>
    <row r="1363">
      <c r="A1363" s="2" t="str">
        <f>IFERROR(__xludf.DUMMYFUNCTION("""COMPUTED_VALUE"""),"P-11348-00")</f>
        <v>P-11348-00</v>
      </c>
      <c r="B1363" s="2" t="str">
        <f>IFERROR(__xludf.DUMMYFUNCTION("""COMPUTED_VALUE"""),"Roda Caster Supo Dia : 3"" ( 75 x 38 mm) / Swivel Flange / With Breake")</f>
        <v>Roda Caster Supo Dia : 3" ( 75 x 38 mm) / Swivel Flange / With Breake</v>
      </c>
      <c r="C1363" s="2" t="str">
        <f>IFERROR(__xludf.DUMMYFUNCTION("""COMPUTED_VALUE"""),"P-11348-00")</f>
        <v>P-11348-00</v>
      </c>
      <c r="D1363" s="2" t="str">
        <f>if(isna(vlookup(C1363,'On Hand'!A:C,3,0)),"",vlookup(C1363,'On Hand'!A:C,3,0))</f>
        <v>pc</v>
      </c>
    </row>
    <row r="1364">
      <c r="A1364" s="2" t="str">
        <f>IFERROR(__xludf.DUMMYFUNCTION("""COMPUTED_VALUE"""),"P-11350-00")</f>
        <v>P-11350-00</v>
      </c>
      <c r="B1364" s="2" t="str">
        <f>IFERROR(__xludf.DUMMYFUNCTION("""COMPUTED_VALUE"""),"Roda Caster Supo Dia : 4"" ( 100 x 38 mm ) Swivel Flange / Without Breake")</f>
        <v>Roda Caster Supo Dia : 4" ( 100 x 38 mm ) Swivel Flange / Without Breake</v>
      </c>
      <c r="C1364" s="2" t="str">
        <f>IFERROR(__xludf.DUMMYFUNCTION("""COMPUTED_VALUE"""),"P-11350-00")</f>
        <v>P-11350-00</v>
      </c>
      <c r="D1364" s="2" t="str">
        <f>if(isna(vlookup(C1364,'On Hand'!A:C,3,0)),"",vlookup(C1364,'On Hand'!A:C,3,0))</f>
        <v/>
      </c>
    </row>
    <row r="1365">
      <c r="A1365" s="2" t="str">
        <f>IFERROR(__xludf.DUMMYFUNCTION("""COMPUTED_VALUE"""),"P-11356-00")</f>
        <v>P-11356-00</v>
      </c>
      <c r="B1365" s="2" t="str">
        <f>IFERROR(__xludf.DUMMYFUNCTION("""COMPUTED_VALUE"""),"Trolly - Roda ABUS 4inch (100 x 27mm), Without Brake; No Brand; -; 1 pc")</f>
        <v>Trolly - Roda ABUS 4inch (100 x 27mm), Without Brake; No Brand; -; 1 pc</v>
      </c>
      <c r="C1365" s="2" t="str">
        <f>IFERROR(__xludf.DUMMYFUNCTION("""COMPUTED_VALUE"""),"P-11356-00")</f>
        <v>P-11356-00</v>
      </c>
      <c r="D1365" s="2" t="str">
        <f>if(isna(vlookup(C1365,'On Hand'!A:C,3,0)),"",vlookup(C1365,'On Hand'!A:C,3,0))</f>
        <v>pc</v>
      </c>
    </row>
    <row r="1366">
      <c r="A1366" s="2" t="str">
        <f>IFERROR(__xludf.DUMMYFUNCTION("""COMPUTED_VALUE"""),"P-11391-00")</f>
        <v>P-11391-00</v>
      </c>
      <c r="B1366" s="2" t="str">
        <f>IFERROR(__xludf.DUMMYFUNCTION("""COMPUTED_VALUE"""),"Seal Ferrule EPDM 1.5"" (35 x 53 x 9)")</f>
        <v>Seal Ferrule EPDM 1.5" (35 x 53 x 9)</v>
      </c>
      <c r="C1366" s="2" t="str">
        <f>IFERROR(__xludf.DUMMYFUNCTION("""COMPUTED_VALUE"""),"P-11391-00")</f>
        <v>P-11391-00</v>
      </c>
      <c r="D1366" s="2" t="str">
        <f>if(isna(vlookup(C1366,'On Hand'!A:C,3,0)),"",vlookup(C1366,'On Hand'!A:C,3,0))</f>
        <v>pc</v>
      </c>
    </row>
    <row r="1367">
      <c r="A1367" s="2" t="str">
        <f>IFERROR(__xludf.DUMMYFUNCTION("""COMPUTED_VALUE"""),"P-11392-00")</f>
        <v>P-11392-00</v>
      </c>
      <c r="B1367" s="2" t="str">
        <f>IFERROR(__xludf.DUMMYFUNCTION("""COMPUTED_VALUE"""),"Seal Ferrule EPDM 2""")</f>
        <v>Seal Ferrule EPDM 2"</v>
      </c>
      <c r="C1367" s="2" t="str">
        <f>IFERROR(__xludf.DUMMYFUNCTION("""COMPUTED_VALUE"""),"P-11392-00")</f>
        <v>P-11392-00</v>
      </c>
      <c r="D1367" s="2" t="str">
        <f>if(isna(vlookup(C1367,'On Hand'!A:C,3,0)),"",vlookup(C1367,'On Hand'!A:C,3,0))</f>
        <v>pc</v>
      </c>
    </row>
    <row r="1368">
      <c r="A1368" s="2" t="str">
        <f>IFERROR(__xludf.DUMMYFUNCTION("""COMPUTED_VALUE"""),"P-11393-00")</f>
        <v>P-11393-00</v>
      </c>
      <c r="B1368" s="2" t="str">
        <f>IFERROR(__xludf.DUMMYFUNCTION("""COMPUTED_VALUE"""),"Seal Ferrule EPDM 3""")</f>
        <v>Seal Ferrule EPDM 3"</v>
      </c>
      <c r="C1368" s="2" t="str">
        <f>IFERROR(__xludf.DUMMYFUNCTION("""COMPUTED_VALUE"""),"P-11393-00")</f>
        <v>P-11393-00</v>
      </c>
      <c r="D1368" s="2" t="str">
        <f>if(isna(vlookup(C1368,'On Hand'!A:C,3,0)),"",vlookup(C1368,'On Hand'!A:C,3,0))</f>
        <v>pc</v>
      </c>
    </row>
    <row r="1369">
      <c r="A1369" s="2" t="str">
        <f>IFERROR(__xludf.DUMMYFUNCTION("""COMPUTED_VALUE"""),"P-11404-00")</f>
        <v>P-11404-00</v>
      </c>
      <c r="B1369" s="2" t="str">
        <f>IFERROR(__xludf.DUMMYFUNCTION("""COMPUTED_VALUE"""),"General - Seal Ferrule Teflon 1 1/2inch; No Brand; -; 1 pcs")</f>
        <v>General - Seal Ferrule Teflon 1 1/2inch; No Brand; -; 1 pcs</v>
      </c>
      <c r="C1369" s="2" t="str">
        <f>IFERROR(__xludf.DUMMYFUNCTION("""COMPUTED_VALUE"""),"P-11404-00")</f>
        <v>P-11404-00</v>
      </c>
      <c r="D1369" s="2" t="str">
        <f>if(isna(vlookup(C1369,'On Hand'!A:C,3,0)),"",vlookup(C1369,'On Hand'!A:C,3,0))</f>
        <v>pc</v>
      </c>
    </row>
    <row r="1370">
      <c r="A1370" s="2" t="str">
        <f>IFERROR(__xludf.DUMMYFUNCTION("""COMPUTED_VALUE"""),"P-11405-00")</f>
        <v>P-11405-00</v>
      </c>
      <c r="B1370" s="2" t="str">
        <f>IFERROR(__xludf.DUMMYFUNCTION("""COMPUTED_VALUE"""),"General - Seal Ferrule Teflon 1inch; No Brand; -; 1 pcs")</f>
        <v>General - Seal Ferrule Teflon 1inch; No Brand; -; 1 pcs</v>
      </c>
      <c r="C1370" s="2" t="str">
        <f>IFERROR(__xludf.DUMMYFUNCTION("""COMPUTED_VALUE"""),"P-11405-00")</f>
        <v>P-11405-00</v>
      </c>
      <c r="D1370" s="2" t="str">
        <f>if(isna(vlookup(C1370,'On Hand'!A:C,3,0)),"",vlookup(C1370,'On Hand'!A:C,3,0))</f>
        <v>pc</v>
      </c>
    </row>
    <row r="1371">
      <c r="A1371" s="2" t="str">
        <f>IFERROR(__xludf.DUMMYFUNCTION("""COMPUTED_VALUE"""),"P-11405-00")</f>
        <v>P-11405-00</v>
      </c>
      <c r="B1371" s="2" t="str">
        <f>IFERROR(__xludf.DUMMYFUNCTION("""COMPUTED_VALUE"""),"General - Seal Ferrule Teflon 1inch; No Brand; -; 1 pcs")</f>
        <v>General - Seal Ferrule Teflon 1inch; No Brand; -; 1 pcs</v>
      </c>
      <c r="C1371" s="2" t="str">
        <f>IFERROR(__xludf.DUMMYFUNCTION("""COMPUTED_VALUE"""),"P-11405-00")</f>
        <v>P-11405-00</v>
      </c>
      <c r="D1371" s="2" t="str">
        <f>if(isna(vlookup(C1371,'On Hand'!A:C,3,0)),"",vlookup(C1371,'On Hand'!A:C,3,0))</f>
        <v>pc</v>
      </c>
    </row>
    <row r="1372">
      <c r="A1372" s="2" t="str">
        <f>IFERROR(__xludf.DUMMYFUNCTION("""COMPUTED_VALUE"""),"P-11422-00")</f>
        <v>P-11422-00</v>
      </c>
      <c r="B1372" s="2" t="str">
        <f>IFERROR(__xludf.DUMMYFUNCTION("""COMPUTED_VALUE"""),"Selang Festo Pun-H-10x1.5 / Blue NR : 197386")</f>
        <v>Selang Festo Pun-H-10x1.5 / Blue NR : 197386</v>
      </c>
      <c r="C1372" s="2" t="str">
        <f>IFERROR(__xludf.DUMMYFUNCTION("""COMPUTED_VALUE"""),"P-11422-00")</f>
        <v>P-11422-00</v>
      </c>
      <c r="D1372" s="2" t="str">
        <f>if(isna(vlookup(C1372,'On Hand'!A:C,3,0)),"",vlookup(C1372,'On Hand'!A:C,3,0))</f>
        <v>m</v>
      </c>
    </row>
    <row r="1373">
      <c r="A1373" s="2" t="str">
        <f>IFERROR(__xludf.DUMMYFUNCTION("""COMPUTED_VALUE"""),"P-11424-00")</f>
        <v>P-11424-00</v>
      </c>
      <c r="B1373" s="2" t="str">
        <f>IFERROR(__xludf.DUMMYFUNCTION("""COMPUTED_VALUE"""),"Selang Festo Pun-H-12x2 Blue 2 x 50 m")</f>
        <v>Selang Festo Pun-H-12x2 Blue 2 x 50 m</v>
      </c>
      <c r="C1373" s="2" t="str">
        <f>IFERROR(__xludf.DUMMYFUNCTION("""COMPUTED_VALUE"""),"P-11424-00")</f>
        <v>P-11424-00</v>
      </c>
      <c r="D1373" s="2" t="str">
        <f>if(isna(vlookup(C1373,'On Hand'!A:C,3,0)),"",vlookup(C1373,'On Hand'!A:C,3,0))</f>
        <v>m</v>
      </c>
    </row>
    <row r="1374">
      <c r="A1374" s="2" t="str">
        <f>IFERROR(__xludf.DUMMYFUNCTION("""COMPUTED_VALUE"""),"P-11428-00")</f>
        <v>P-11428-00</v>
      </c>
      <c r="B1374" s="2" t="str">
        <f>IFERROR(__xludf.DUMMYFUNCTION("""COMPUTED_VALUE"""),"Selang Festo Pun-H-6x1 Blue")</f>
        <v>Selang Festo Pun-H-6x1 Blue</v>
      </c>
      <c r="C1374" s="2" t="str">
        <f>IFERROR(__xludf.DUMMYFUNCTION("""COMPUTED_VALUE"""),"P-11428-00")</f>
        <v>P-11428-00</v>
      </c>
      <c r="D1374" s="2" t="str">
        <f>if(isna(vlookup(C1374,'On Hand'!A:C,3,0)),"",vlookup(C1374,'On Hand'!A:C,3,0))</f>
        <v/>
      </c>
    </row>
    <row r="1375">
      <c r="A1375" s="2" t="str">
        <f>IFERROR(__xludf.DUMMYFUNCTION("""COMPUTED_VALUE"""),"P-11431-00")</f>
        <v>P-11431-00</v>
      </c>
      <c r="B1375" s="2" t="str">
        <f>IFERROR(__xludf.DUMMYFUNCTION("""COMPUTED_VALUE"""),"General - Plastic Tubing, PUN-H-8X1,25-BL; Festo; 197385; 1 m")</f>
        <v>General - Plastic Tubing, PUN-H-8X1,25-BL; Festo; 197385; 1 m</v>
      </c>
      <c r="C1375" s="2" t="str">
        <f>IFERROR(__xludf.DUMMYFUNCTION("""COMPUTED_VALUE"""),"P-11431-00")</f>
        <v>P-11431-00</v>
      </c>
      <c r="D1375" s="2" t="str">
        <f>if(isna(vlookup(C1375,'On Hand'!A:C,3,0)),"",vlookup(C1375,'On Hand'!A:C,3,0))</f>
        <v>m</v>
      </c>
    </row>
    <row r="1376">
      <c r="A1376" s="2" t="str">
        <f>IFERROR(__xludf.DUMMYFUNCTION("""COMPUTED_VALUE"""),"P-11694-00")</f>
        <v>P-11694-00</v>
      </c>
      <c r="B1376" s="2" t="str">
        <f>IFERROR(__xludf.DUMMYFUNCTION("""COMPUTED_VALUE"""),"General - Mata Gerinda 4inch; No Brand; -; 1 pcs")</f>
        <v>General - Mata Gerinda 4inch; No Brand; -; 1 pcs</v>
      </c>
      <c r="C1376" s="2" t="str">
        <f>IFERROR(__xludf.DUMMYFUNCTION("""COMPUTED_VALUE"""),"P-11694-00")</f>
        <v>P-11694-00</v>
      </c>
      <c r="D1376" s="2" t="str">
        <f>if(isna(vlookup(C1376,'On Hand'!A:C,3,0)),"",vlookup(C1376,'On Hand'!A:C,3,0))</f>
        <v/>
      </c>
    </row>
    <row r="1377">
      <c r="A1377" s="2" t="str">
        <f>IFERROR(__xludf.DUMMYFUNCTION("""COMPUTED_VALUE"""),"P-11817-00")</f>
        <v>P-11817-00</v>
      </c>
      <c r="B1377" s="2" t="str">
        <f>IFERROR(__xludf.DUMMYFUNCTION("""COMPUTED_VALUE"""),"Acrylic tebal 3 mm ukr : 1220 x 2440 mm")</f>
        <v>Acrylic tebal 3 mm ukr : 1220 x 2440 mm</v>
      </c>
      <c r="C1377" s="2" t="str">
        <f>IFERROR(__xludf.DUMMYFUNCTION("""COMPUTED_VALUE"""),"P-11817-00")</f>
        <v>P-11817-00</v>
      </c>
      <c r="D1377" s="2" t="str">
        <f>if(isna(vlookup(C1377,'On Hand'!A:C,3,0)),"",vlookup(C1377,'On Hand'!A:C,3,0))</f>
        <v/>
      </c>
    </row>
    <row r="1378">
      <c r="A1378" s="2" t="str">
        <f>IFERROR(__xludf.DUMMYFUNCTION("""COMPUTED_VALUE"""),"P-11818-00")</f>
        <v>P-11818-00</v>
      </c>
      <c r="B1378" s="2" t="str">
        <f>IFERROR(__xludf.DUMMYFUNCTION("""COMPUTED_VALUE"""),"Acrylic tebal 5mm ukr : 1000 x 2000")</f>
        <v>Acrylic tebal 5mm ukr : 1000 x 2000</v>
      </c>
      <c r="C1378" s="2" t="str">
        <f>IFERROR(__xludf.DUMMYFUNCTION("""COMPUTED_VALUE"""),"P-11818-00")</f>
        <v>P-11818-00</v>
      </c>
      <c r="D1378" s="2" t="str">
        <f>if(isna(vlookup(C1378,'On Hand'!A:C,3,0)),"",vlookup(C1378,'On Hand'!A:C,3,0))</f>
        <v/>
      </c>
    </row>
    <row r="1379">
      <c r="A1379" s="2" t="str">
        <f>IFERROR(__xludf.DUMMYFUNCTION("""COMPUTED_VALUE"""),"P-11819-00")</f>
        <v>P-11819-00</v>
      </c>
      <c r="B1379" s="2" t="str">
        <f>IFERROR(__xludf.DUMMYFUNCTION("""COMPUTED_VALUE"""),"General - Alumunium duct tape 2inch; No Brand; -; 1 rol")</f>
        <v>General - Alumunium duct tape 2inch; No Brand; -; 1 rol</v>
      </c>
      <c r="C1379" s="2" t="str">
        <f>IFERROR(__xludf.DUMMYFUNCTION("""COMPUTED_VALUE"""),"P-11819-00")</f>
        <v>P-11819-00</v>
      </c>
      <c r="D1379" s="2" t="str">
        <f>if(isna(vlookup(C1379,'On Hand'!A:C,3,0)),"",vlookup(C1379,'On Hand'!A:C,3,0))</f>
        <v>pc</v>
      </c>
    </row>
    <row r="1380">
      <c r="A1380" s="2" t="str">
        <f>IFERROR(__xludf.DUMMYFUNCTION("""COMPUTED_VALUE"""),"P-11836-00")</f>
        <v>P-11836-00</v>
      </c>
      <c r="B1380" s="2" t="str">
        <f>IFERROR(__xludf.DUMMYFUNCTION("""COMPUTED_VALUE"""),"Ball valve PVC dia 1 1/4 inch drat")</f>
        <v>Ball valve PVC dia 1 1/4 inch drat</v>
      </c>
      <c r="C1380" s="2" t="str">
        <f>IFERROR(__xludf.DUMMYFUNCTION("""COMPUTED_VALUE"""),"P-11836-00")</f>
        <v>P-11836-00</v>
      </c>
      <c r="D1380" s="2" t="str">
        <f>if(isna(vlookup(C1380,'On Hand'!A:C,3,0)),"",vlookup(C1380,'On Hand'!A:C,3,0))</f>
        <v>pc</v>
      </c>
    </row>
    <row r="1381">
      <c r="A1381" s="2" t="str">
        <f>IFERROR(__xludf.DUMMYFUNCTION("""COMPUTED_VALUE"""),"P-11837-00")</f>
        <v>P-11837-00</v>
      </c>
      <c r="B1381" s="2" t="str">
        <f>IFERROR(__xludf.DUMMYFUNCTION("""COMPUTED_VALUE"""),"Ball valve PVC dia 1 inch drat")</f>
        <v>Ball valve PVC dia 1 inch drat</v>
      </c>
      <c r="C1381" s="2" t="str">
        <f>IFERROR(__xludf.DUMMYFUNCTION("""COMPUTED_VALUE"""),"P-11837-00")</f>
        <v>P-11837-00</v>
      </c>
      <c r="D1381" s="2" t="str">
        <f>if(isna(vlookup(C1381,'On Hand'!A:C,3,0)),"",vlookup(C1381,'On Hand'!A:C,3,0))</f>
        <v/>
      </c>
    </row>
    <row r="1382">
      <c r="A1382" s="2" t="str">
        <f>IFERROR(__xludf.DUMMYFUNCTION("""COMPUTED_VALUE"""),"P-11838-00")</f>
        <v>P-11838-00</v>
      </c>
      <c r="B1382" s="2" t="str">
        <f>IFERROR(__xludf.DUMMYFUNCTION("""COMPUTED_VALUE"""),"General - Ball Valve PVC 3/4inch; No Brand; -; 1 pcs")</f>
        <v>General - Ball Valve PVC 3/4inch; No Brand; -; 1 pcs</v>
      </c>
      <c r="C1382" s="2" t="str">
        <f>IFERROR(__xludf.DUMMYFUNCTION("""COMPUTED_VALUE"""),"P-11838-00")</f>
        <v>P-11838-00</v>
      </c>
      <c r="D1382" s="2" t="str">
        <f>if(isna(vlookup(C1382,'On Hand'!A:C,3,0)),"",vlookup(C1382,'On Hand'!A:C,3,0))</f>
        <v>pc</v>
      </c>
    </row>
    <row r="1383">
      <c r="A1383" s="2" t="str">
        <f>IFERROR(__xludf.DUMMYFUNCTION("""COMPUTED_VALUE"""),"P-11841-00")</f>
        <v>P-11841-00</v>
      </c>
      <c r="B1383" s="2" t="str">
        <f>IFERROR(__xludf.DUMMYFUNCTION("""COMPUTED_VALUE"""),"Ball Valve SS dia. 3/4 inch")</f>
        <v>Ball Valve SS dia. 3/4 inch</v>
      </c>
      <c r="C1383" s="2" t="str">
        <f>IFERROR(__xludf.DUMMYFUNCTION("""COMPUTED_VALUE"""),"P-11841-00")</f>
        <v>P-11841-00</v>
      </c>
      <c r="D1383" s="2" t="str">
        <f>if(isna(vlookup(C1383,'On Hand'!A:C,3,0)),"",vlookup(C1383,'On Hand'!A:C,3,0))</f>
        <v/>
      </c>
    </row>
    <row r="1384">
      <c r="A1384" s="2" t="str">
        <f>IFERROR(__xludf.DUMMYFUNCTION("""COMPUTED_VALUE"""),"P-11842-00")</f>
        <v>P-11842-00</v>
      </c>
      <c r="B1384" s="2" t="str">
        <f>IFERROR(__xludf.DUMMYFUNCTION("""COMPUTED_VALUE"""),"Ball Valve SS dia. 3/8 inch")</f>
        <v>Ball Valve SS dia. 3/8 inch</v>
      </c>
      <c r="C1384" s="2" t="str">
        <f>IFERROR(__xludf.DUMMYFUNCTION("""COMPUTED_VALUE"""),"P-11842-00")</f>
        <v>P-11842-00</v>
      </c>
      <c r="D1384" s="2" t="str">
        <f>if(isna(vlookup(C1384,'On Hand'!A:C,3,0)),"",vlookup(C1384,'On Hand'!A:C,3,0))</f>
        <v/>
      </c>
    </row>
    <row r="1385">
      <c r="A1385" s="2" t="str">
        <f>IFERROR(__xludf.DUMMYFUNCTION("""COMPUTED_VALUE"""),"P-11871-00")</f>
        <v>P-11871-00</v>
      </c>
      <c r="B1385" s="2" t="str">
        <f>IFERROR(__xludf.DUMMYFUNCTION("""COMPUTED_VALUE"""),"Baut SS countersunk M5x0.8x20 mm")</f>
        <v>Baut SS countersunk M5x0.8x20 mm</v>
      </c>
      <c r="C1385" s="2" t="str">
        <f>IFERROR(__xludf.DUMMYFUNCTION("""COMPUTED_VALUE"""),"P-11871-00")</f>
        <v>P-11871-00</v>
      </c>
      <c r="D1385" s="2" t="str">
        <f>if(isna(vlookup(C1385,'On Hand'!A:C,3,0)),"",vlookup(C1385,'On Hand'!A:C,3,0))</f>
        <v/>
      </c>
    </row>
    <row r="1386">
      <c r="A1386" s="2" t="str">
        <f>IFERROR(__xludf.DUMMYFUNCTION("""COMPUTED_VALUE"""),"P-11878-00")</f>
        <v>P-11878-00</v>
      </c>
      <c r="B1386" s="2" t="str">
        <f>IFERROR(__xludf.DUMMYFUNCTION("""COMPUTED_VALUE"""),"Baut SS hexagonal M6x1x20 mm +mur")</f>
        <v>Baut SS hexagonal M6x1x20 mm +mur</v>
      </c>
      <c r="C1386" s="2" t="str">
        <f>IFERROR(__xludf.DUMMYFUNCTION("""COMPUTED_VALUE"""),"P-11878-00")</f>
        <v>P-11878-00</v>
      </c>
      <c r="D1386" s="2" t="str">
        <f>if(isna(vlookup(C1386,'On Hand'!A:C,3,0)),"",vlookup(C1386,'On Hand'!A:C,3,0))</f>
        <v/>
      </c>
    </row>
    <row r="1387">
      <c r="A1387" s="2" t="str">
        <f>IFERROR(__xludf.DUMMYFUNCTION("""COMPUTED_VALUE"""),"P-11886-00")</f>
        <v>P-11886-00</v>
      </c>
      <c r="B1387" s="2" t="str">
        <f>IFERROR(__xludf.DUMMYFUNCTION("""COMPUTED_VALUE"""),"Baut SS L countersunk  M 4x0.7x10mm + Mur")</f>
        <v>Baut SS L countersunk  M 4x0.7x10mm + Mur</v>
      </c>
      <c r="C1387" s="2" t="str">
        <f>IFERROR(__xludf.DUMMYFUNCTION("""COMPUTED_VALUE"""),"P-11886-00")</f>
        <v>P-11886-00</v>
      </c>
      <c r="D1387" s="2" t="str">
        <f>if(isna(vlookup(C1387,'On Hand'!A:C,3,0)),"",vlookup(C1387,'On Hand'!A:C,3,0))</f>
        <v>pc</v>
      </c>
    </row>
    <row r="1388">
      <c r="A1388" s="2" t="str">
        <f>IFERROR(__xludf.DUMMYFUNCTION("""COMPUTED_VALUE"""),"P-11967-00")</f>
        <v>P-11967-00</v>
      </c>
      <c r="B1388" s="2" t="str">
        <f>IFERROR(__xludf.DUMMYFUNCTION("""COMPUTED_VALUE"""),"Belt dressing ; Brand : GLOBAL ; P/N : GL-1033 ; Pack Size : pcs")</f>
        <v>Belt dressing ; Brand : GLOBAL ; P/N : GL-1033 ; Pack Size : pcs</v>
      </c>
      <c r="C1388" s="2" t="str">
        <f>IFERROR(__xludf.DUMMYFUNCTION("""COMPUTED_VALUE"""),"P-11967-00")</f>
        <v>P-11967-00</v>
      </c>
      <c r="D1388" s="2" t="str">
        <f>if(isna(vlookup(C1388,'On Hand'!A:C,3,0)),"",vlookup(C1388,'On Hand'!A:C,3,0))</f>
        <v>pc</v>
      </c>
    </row>
    <row r="1389">
      <c r="A1389" s="2" t="str">
        <f>IFERROR(__xludf.DUMMYFUNCTION("""COMPUTED_VALUE"""),"P-11968-00")</f>
        <v>P-11968-00</v>
      </c>
      <c r="B1389" s="2" t="str">
        <f>IFERROR(__xludf.DUMMYFUNCTION("""COMPUTED_VALUE"""),"Berusynt FGH Spray H1 - Bechem")</f>
        <v>Berusynt FGH Spray H1 - Bechem</v>
      </c>
      <c r="C1389" s="2" t="str">
        <f>IFERROR(__xludf.DUMMYFUNCTION("""COMPUTED_VALUE"""),"P-11968-00")</f>
        <v>P-11968-00</v>
      </c>
      <c r="D1389" s="2" t="str">
        <f>if(isna(vlookup(C1389,'On Hand'!A:C,3,0)),"",vlookup(C1389,'On Hand'!A:C,3,0))</f>
        <v>pc</v>
      </c>
    </row>
    <row r="1390">
      <c r="A1390" s="2" t="str">
        <f>IFERROR(__xludf.DUMMYFUNCTION("""COMPUTED_VALUE"""),"P-11972-00")</f>
        <v>P-11972-00</v>
      </c>
      <c r="B1390" s="2" t="str">
        <f>IFERROR(__xludf.DUMMYFUNCTION("""COMPUTED_VALUE"""),"Besi siku 30x30 mm")</f>
        <v>Besi siku 30x30 mm</v>
      </c>
      <c r="C1390" s="2" t="str">
        <f>IFERROR(__xludf.DUMMYFUNCTION("""COMPUTED_VALUE"""),"P-11972-00")</f>
        <v>P-11972-00</v>
      </c>
      <c r="D1390" s="2" t="str">
        <f>if(isna(vlookup(C1390,'On Hand'!A:C,3,0)),"",vlookup(C1390,'On Hand'!A:C,3,0))</f>
        <v/>
      </c>
    </row>
    <row r="1391">
      <c r="A1391" s="2" t="str">
        <f>IFERROR(__xludf.DUMMYFUNCTION("""COMPUTED_VALUE"""),"P-11974-00")</f>
        <v>P-11974-00</v>
      </c>
      <c r="B1391" s="2" t="str">
        <f>IFERROR(__xludf.DUMMYFUNCTION("""COMPUTED_VALUE"""),"Besi siku SS 304 40x40x3x6000")</f>
        <v>Besi siku SS 304 40x40x3x6000</v>
      </c>
      <c r="C1391" s="2" t="str">
        <f>IFERROR(__xludf.DUMMYFUNCTION("""COMPUTED_VALUE"""),"P-11974-00")</f>
        <v>P-11974-00</v>
      </c>
      <c r="D1391" s="2" t="str">
        <f>if(isna(vlookup(C1391,'On Hand'!A:C,3,0)),"",vlookup(C1391,'On Hand'!A:C,3,0))</f>
        <v/>
      </c>
    </row>
    <row r="1392">
      <c r="A1392" s="2" t="str">
        <f>IFERROR(__xludf.DUMMYFUNCTION("""COMPUTED_VALUE"""),"P-11990-00")</f>
        <v>P-11990-00</v>
      </c>
      <c r="B1392" s="2" t="str">
        <f>IFERROR(__xludf.DUMMYFUNCTION("""COMPUTED_VALUE"""),"Cable ties CS 100L")</f>
        <v>Cable ties CS 100L</v>
      </c>
      <c r="C1392" s="2" t="str">
        <f>IFERROR(__xludf.DUMMYFUNCTION("""COMPUTED_VALUE"""),"P-11990-00")</f>
        <v>P-11990-00</v>
      </c>
      <c r="D1392" s="2" t="str">
        <f>if(isna(vlookup(C1392,'On Hand'!A:C,3,0)),"",vlookup(C1392,'On Hand'!A:C,3,0))</f>
        <v/>
      </c>
    </row>
    <row r="1393">
      <c r="A1393" s="2" t="str">
        <f>IFERROR(__xludf.DUMMYFUNCTION("""COMPUTED_VALUE"""),"P-11991-00")</f>
        <v>P-11991-00</v>
      </c>
      <c r="B1393" s="2" t="str">
        <f>IFERROR(__xludf.DUMMYFUNCTION("""COMPUTED_VALUE"""),"Cable ties CS 200L")</f>
        <v>Cable ties CS 200L</v>
      </c>
      <c r="C1393" s="2" t="str">
        <f>IFERROR(__xludf.DUMMYFUNCTION("""COMPUTED_VALUE"""),"P-11991-00")</f>
        <v>P-11991-00</v>
      </c>
      <c r="D1393" s="2" t="str">
        <f>if(isna(vlookup(C1393,'On Hand'!A:C,3,0)),"",vlookup(C1393,'On Hand'!A:C,3,0))</f>
        <v/>
      </c>
    </row>
    <row r="1394">
      <c r="A1394" s="2" t="str">
        <f>IFERROR(__xludf.DUMMYFUNCTION("""COMPUTED_VALUE"""),"P-12027-00")</f>
        <v>P-12027-00</v>
      </c>
      <c r="B1394" s="2" t="str">
        <f>IFERROR(__xludf.DUMMYFUNCTION("""COMPUTED_VALUE"""),"Caustic soda flake (NaOH) - NaOH flake zak @25 kg ex Tjiwi")</f>
        <v>Caustic soda flake (NaOH) - NaOH flake zak @25 kg ex Tjiwi</v>
      </c>
      <c r="C1394" s="2" t="str">
        <f>IFERROR(__xludf.DUMMYFUNCTION("""COMPUTED_VALUE"""),"P-12027-00")</f>
        <v>P-12027-00</v>
      </c>
      <c r="D1394" s="2" t="str">
        <f>if(isna(vlookup(C1394,'On Hand'!A:C,3,0)),"",vlookup(C1394,'On Hand'!A:C,3,0))</f>
        <v/>
      </c>
    </row>
    <row r="1395">
      <c r="A1395" s="2" t="str">
        <f>IFERROR(__xludf.DUMMYFUNCTION("""COMPUTED_VALUE"""),"P-12029-00")</f>
        <v>P-12029-00</v>
      </c>
      <c r="B1395" s="2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5" s="2" t="str">
        <f>IFERROR(__xludf.DUMMYFUNCTION("""COMPUTED_VALUE"""),"P-12029-00")</f>
        <v>P-12029-00</v>
      </c>
      <c r="D1395" s="2" t="str">
        <f>if(isna(vlookup(C1395,'On Hand'!A:C,3,0)),"",vlookup(C1395,'On Hand'!A:C,3,0))</f>
        <v>pc</v>
      </c>
    </row>
    <row r="1396">
      <c r="A1396" s="2" t="str">
        <f>IFERROR(__xludf.DUMMYFUNCTION("""COMPUTED_VALUE"""),"P-12029-00")</f>
        <v>P-12029-00</v>
      </c>
      <c r="B1396" s="2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2" t="str">
        <f>IFERROR(__xludf.DUMMYFUNCTION("""COMPUTED_VALUE"""),"P-12029-00")</f>
        <v>P-12029-00</v>
      </c>
      <c r="D1396" s="2" t="str">
        <f>if(isna(vlookup(C1396,'On Hand'!A:C,3,0)),"",vlookup(C1396,'On Hand'!A:C,3,0))</f>
        <v>pc</v>
      </c>
    </row>
    <row r="1397">
      <c r="A1397" s="2" t="str">
        <f>IFERROR(__xludf.DUMMYFUNCTION("""COMPUTED_VALUE"""),"P-12077-00")</f>
        <v>P-12077-00</v>
      </c>
      <c r="B1397" s="2" t="str">
        <f>IFERROR(__xludf.DUMMYFUNCTION("""COMPUTED_VALUE"""),"General - Clamp Selang, SS 1 1/4""; Tridon; -; 1 pcs")</f>
        <v>General - Clamp Selang, SS 1 1/4"; Tridon; -; 1 pcs</v>
      </c>
      <c r="C1397" s="2" t="str">
        <f>IFERROR(__xludf.DUMMYFUNCTION("""COMPUTED_VALUE"""),"P-12077-00")</f>
        <v>P-12077-00</v>
      </c>
      <c r="D1397" s="2" t="str">
        <f>if(isna(vlookup(C1397,'On Hand'!A:C,3,0)),"",vlookup(C1397,'On Hand'!A:C,3,0))</f>
        <v/>
      </c>
    </row>
    <row r="1398">
      <c r="A1398" s="2" t="str">
        <f>IFERROR(__xludf.DUMMYFUNCTION("""COMPUTED_VALUE"""),"P-12080-00")</f>
        <v>P-12080-00</v>
      </c>
      <c r="B1398" s="2" t="str">
        <f>IFERROR(__xludf.DUMMYFUNCTION("""COMPUTED_VALUE"""),"General - Clamp Selang, SS, 1""; Tridon; -; 1 pcs")</f>
        <v>General - Clamp Selang, SS, 1"; Tridon; -; 1 pcs</v>
      </c>
      <c r="C1398" s="2" t="str">
        <f>IFERROR(__xludf.DUMMYFUNCTION("""COMPUTED_VALUE"""),"P-12080-00")</f>
        <v>P-12080-00</v>
      </c>
      <c r="D1398" s="2" t="str">
        <f>if(isna(vlookup(C1398,'On Hand'!A:C,3,0)),"",vlookup(C1398,'On Hand'!A:C,3,0))</f>
        <v/>
      </c>
    </row>
    <row r="1399">
      <c r="A1399" s="2" t="str">
        <f>IFERROR(__xludf.DUMMYFUNCTION("""COMPUTED_VALUE"""),"P-12082-00")</f>
        <v>P-12082-00</v>
      </c>
      <c r="B1399" s="2" t="str">
        <f>IFERROR(__xludf.DUMMYFUNCTION("""COMPUTED_VALUE"""),"General - Clamp Selang, SS, 3/4""; Tridon; -; 1 pcs")</f>
        <v>General - Clamp Selang, SS, 3/4"; Tridon; -; 1 pcs</v>
      </c>
      <c r="C1399" s="2" t="str">
        <f>IFERROR(__xludf.DUMMYFUNCTION("""COMPUTED_VALUE"""),"P-12082-00")</f>
        <v>P-12082-00</v>
      </c>
      <c r="D1399" s="2" t="str">
        <f>if(isna(vlookup(C1399,'On Hand'!A:C,3,0)),"",vlookup(C1399,'On Hand'!A:C,3,0))</f>
        <v>pc</v>
      </c>
    </row>
    <row r="1400">
      <c r="A1400" s="2" t="str">
        <f>IFERROR(__xludf.DUMMYFUNCTION("""COMPUTED_VALUE"""),"P-12083-00")</f>
        <v>P-12083-00</v>
      </c>
      <c r="B1400" s="2" t="str">
        <f>IFERROR(__xludf.DUMMYFUNCTION("""COMPUTED_VALUE"""),"General - Clamp Selang, SS, 1/2""; Tridon; -; 1 pcs")</f>
        <v>General - Clamp Selang, SS, 1/2"; Tridon; -; 1 pcs</v>
      </c>
      <c r="C1400" s="2" t="str">
        <f>IFERROR(__xludf.DUMMYFUNCTION("""COMPUTED_VALUE"""),"P-12083-00")</f>
        <v>P-12083-00</v>
      </c>
      <c r="D1400" s="2" t="str">
        <f>if(isna(vlookup(C1400,'On Hand'!A:C,3,0)),"",vlookup(C1400,'On Hand'!A:C,3,0))</f>
        <v>pc</v>
      </c>
    </row>
    <row r="1401">
      <c r="A1401" s="2" t="str">
        <f>IFERROR(__xludf.DUMMYFUNCTION("""COMPUTED_VALUE"""),"P-12140-00")</f>
        <v>P-12140-00</v>
      </c>
      <c r="B1401" s="2" t="str">
        <f>IFERROR(__xludf.DUMMYFUNCTION("""COMPUTED_VALUE"""),"Double neeple SS 304 dia 1/2inch")</f>
        <v>Double neeple SS 304 dia 1/2inch</v>
      </c>
      <c r="C1401" s="2" t="str">
        <f>IFERROR(__xludf.DUMMYFUNCTION("""COMPUTED_VALUE"""),"P-12140-00")</f>
        <v>P-12140-00</v>
      </c>
      <c r="D1401" s="2" t="str">
        <f>if(isna(vlookup(C1401,'On Hand'!A:C,3,0)),"",vlookup(C1401,'On Hand'!A:C,3,0))</f>
        <v/>
      </c>
    </row>
    <row r="1402">
      <c r="A1402" s="2" t="str">
        <f>IFERROR(__xludf.DUMMYFUNCTION("""COMPUTED_VALUE"""),"P-12143-00")</f>
        <v>P-12143-00</v>
      </c>
      <c r="B1402" s="2" t="str">
        <f>IFERROR(__xludf.DUMMYFUNCTION("""COMPUTED_VALUE"""),"Double nepple Kuningan 1/2inch")</f>
        <v>Double nepple Kuningan 1/2inch</v>
      </c>
      <c r="C1402" s="2" t="str">
        <f>IFERROR(__xludf.DUMMYFUNCTION("""COMPUTED_VALUE"""),"P-12143-00")</f>
        <v>P-12143-00</v>
      </c>
      <c r="D1402" s="2" t="str">
        <f>if(isna(vlookup(C1402,'On Hand'!A:C,3,0)),"",vlookup(C1402,'On Hand'!A:C,3,0))</f>
        <v/>
      </c>
    </row>
    <row r="1403">
      <c r="A1403" s="2" t="str">
        <f>IFERROR(__xludf.DUMMYFUNCTION("""COMPUTED_VALUE"""),"P-12156-00")</f>
        <v>P-12156-00</v>
      </c>
      <c r="B1403" s="2" t="str">
        <f>IFERROR(__xludf.DUMMYFUNCTION("""COMPUTED_VALUE"""),"Dynabolt dia M 10x50 mm")</f>
        <v>Dynabolt dia M 10x50 mm</v>
      </c>
      <c r="C1403" s="2" t="str">
        <f>IFERROR(__xludf.DUMMYFUNCTION("""COMPUTED_VALUE"""),"P-12156-00")</f>
        <v>P-12156-00</v>
      </c>
      <c r="D1403" s="2" t="str">
        <f>if(isna(vlookup(C1403,'On Hand'!A:C,3,0)),"",vlookup(C1403,'On Hand'!A:C,3,0))</f>
        <v/>
      </c>
    </row>
    <row r="1404">
      <c r="A1404" s="2" t="str">
        <f>IFERROR(__xludf.DUMMYFUNCTION("""COMPUTED_VALUE"""),"P-12157-00")</f>
        <v>P-12157-00</v>
      </c>
      <c r="B1404" s="2" t="str">
        <f>IFERROR(__xludf.DUMMYFUNCTION("""COMPUTED_VALUE"""),"Dynabolt m 6 x 30 mm")</f>
        <v>Dynabolt m 6 x 30 mm</v>
      </c>
      <c r="C1404" s="2" t="str">
        <f>IFERROR(__xludf.DUMMYFUNCTION("""COMPUTED_VALUE"""),"P-12157-00")</f>
        <v>P-12157-00</v>
      </c>
      <c r="D1404" s="2" t="str">
        <f>if(isna(vlookup(C1404,'On Hand'!A:C,3,0)),"",vlookup(C1404,'On Hand'!A:C,3,0))</f>
        <v/>
      </c>
    </row>
    <row r="1405">
      <c r="A1405" s="2" t="str">
        <f>IFERROR(__xludf.DUMMYFUNCTION("""COMPUTED_VALUE"""),"P-12158-00")</f>
        <v>P-12158-00</v>
      </c>
      <c r="B1405" s="2" t="str">
        <f>IFERROR(__xludf.DUMMYFUNCTION("""COMPUTED_VALUE"""),"Dynabolt m 8 x 30 mm / m8 x 50 mm")</f>
        <v>Dynabolt m 8 x 30 mm / m8 x 50 mm</v>
      </c>
      <c r="C1405" s="2" t="str">
        <f>IFERROR(__xludf.DUMMYFUNCTION("""COMPUTED_VALUE"""),"P-12158-00")</f>
        <v>P-12158-00</v>
      </c>
      <c r="D1405" s="2" t="str">
        <f>if(isna(vlookup(C1405,'On Hand'!A:C,3,0)),"",vlookup(C1405,'On Hand'!A:C,3,0))</f>
        <v/>
      </c>
    </row>
    <row r="1406">
      <c r="A1406" s="2" t="str">
        <f>IFERROR(__xludf.DUMMYFUNCTION("""COMPUTED_VALUE"""),"P-12185-00")</f>
        <v>P-12185-00</v>
      </c>
      <c r="B1406" s="2" t="str">
        <f>IFERROR(__xludf.DUMMYFUNCTION("""COMPUTED_VALUE"""),"Elbow PVC AW 90 deg dia 1inch")</f>
        <v>Elbow PVC AW 90 deg dia 1inch</v>
      </c>
      <c r="C1406" s="2" t="str">
        <f>IFERROR(__xludf.DUMMYFUNCTION("""COMPUTED_VALUE"""),"P-12185-00")</f>
        <v>P-12185-00</v>
      </c>
      <c r="D1406" s="2" t="str">
        <f>if(isna(vlookup(C1406,'On Hand'!A:C,3,0)),"",vlookup(C1406,'On Hand'!A:C,3,0))</f>
        <v/>
      </c>
    </row>
    <row r="1407">
      <c r="A1407" s="2" t="str">
        <f>IFERROR(__xludf.DUMMYFUNCTION("""COMPUTED_VALUE"""),"P-12186-00")</f>
        <v>P-12186-00</v>
      </c>
      <c r="B1407" s="2" t="str">
        <f>IFERROR(__xludf.DUMMYFUNCTION("""COMPUTED_VALUE"""),"Elbow PVC AW 90 deg dia 1/2inch")</f>
        <v>Elbow PVC AW 90 deg dia 1/2inch</v>
      </c>
      <c r="C1407" s="2" t="str">
        <f>IFERROR(__xludf.DUMMYFUNCTION("""COMPUTED_VALUE"""),"P-12186-00")</f>
        <v>P-12186-00</v>
      </c>
      <c r="D1407" s="2" t="str">
        <f>if(isna(vlookup(C1407,'On Hand'!A:C,3,0)),"",vlookup(C1407,'On Hand'!A:C,3,0))</f>
        <v/>
      </c>
    </row>
    <row r="1408">
      <c r="A1408" s="2" t="str">
        <f>IFERROR(__xludf.DUMMYFUNCTION("""COMPUTED_VALUE"""),"P-12195-00")</f>
        <v>P-12195-00</v>
      </c>
      <c r="B1408" s="2" t="str">
        <f>IFERROR(__xludf.DUMMYFUNCTION("""COMPUTED_VALUE"""),"Elbow SS 316 L dia 1inch")</f>
        <v>Elbow SS 316 L dia 1inch</v>
      </c>
      <c r="C1408" s="2" t="str">
        <f>IFERROR(__xludf.DUMMYFUNCTION("""COMPUTED_VALUE"""),"P-12195-00")</f>
        <v>P-12195-00</v>
      </c>
      <c r="D1408" s="2" t="str">
        <f>if(isna(vlookup(C1408,'On Hand'!A:C,3,0)),"",vlookup(C1408,'On Hand'!A:C,3,0))</f>
        <v>pc</v>
      </c>
    </row>
    <row r="1409">
      <c r="A1409" s="2" t="str">
        <f>IFERROR(__xludf.DUMMYFUNCTION("""COMPUTED_VALUE"""),"P-12223-00")</f>
        <v>P-12223-00</v>
      </c>
      <c r="B1409" s="2" t="str">
        <f>IFERROR(__xludf.DUMMYFUNCTION("""COMPUTED_VALUE"""),"FESTO - Blanking plug QSC-6H  p/n 153268")</f>
        <v>FESTO - Blanking plug QSC-6H  p/n 153268</v>
      </c>
      <c r="C1409" s="2" t="str">
        <f>IFERROR(__xludf.DUMMYFUNCTION("""COMPUTED_VALUE"""),"P-12223-00")</f>
        <v>P-12223-00</v>
      </c>
      <c r="D1409" s="2" t="str">
        <f>if(isna(vlookup(C1409,'On Hand'!A:C,3,0)),"",vlookup(C1409,'On Hand'!A:C,3,0))</f>
        <v>pc</v>
      </c>
    </row>
    <row r="1410">
      <c r="A1410" s="2" t="str">
        <f>IFERROR(__xludf.DUMMYFUNCTION("""COMPUTED_VALUE"""),"P-12258-00")</f>
        <v>P-12258-00</v>
      </c>
      <c r="B1410" s="2" t="str">
        <f>IFERROR(__xludf.DUMMYFUNCTION("""COMPUTED_VALUE"""),"FESTO - Push In Connector QS-10-10")</f>
        <v>FESTO - Push In Connector QS-10-10</v>
      </c>
      <c r="C1410" s="2" t="str">
        <f>IFERROR(__xludf.DUMMYFUNCTION("""COMPUTED_VALUE"""),"P-12258-00")</f>
        <v>P-12258-00</v>
      </c>
      <c r="D1410" s="2" t="str">
        <f>if(isna(vlookup(C1410,'On Hand'!A:C,3,0)),"",vlookup(C1410,'On Hand'!A:C,3,0))</f>
        <v>pc</v>
      </c>
    </row>
    <row r="1411">
      <c r="A1411" s="2" t="str">
        <f>IFERROR(__xludf.DUMMYFUNCTION("""COMPUTED_VALUE"""),"P-12260-00")</f>
        <v>P-12260-00</v>
      </c>
      <c r="B1411" s="2" t="str">
        <f>IFERROR(__xludf.DUMMYFUNCTION("""COMPUTED_VALUE"""),"FESTO - Push In Connector QS-4-4")</f>
        <v>FESTO - Push In Connector QS-4-4</v>
      </c>
      <c r="C1411" s="2" t="str">
        <f>IFERROR(__xludf.DUMMYFUNCTION("""COMPUTED_VALUE"""),"P-12260-00")</f>
        <v>P-12260-00</v>
      </c>
      <c r="D1411" s="2" t="str">
        <f>if(isna(vlookup(C1411,'On Hand'!A:C,3,0)),"",vlookup(C1411,'On Hand'!A:C,3,0))</f>
        <v>pc</v>
      </c>
    </row>
    <row r="1412">
      <c r="A1412" s="2" t="str">
        <f>IFERROR(__xludf.DUMMYFUNCTION("""COMPUTED_VALUE"""),"P-12261-00")</f>
        <v>P-12261-00</v>
      </c>
      <c r="B1412" s="2" t="str">
        <f>IFERROR(__xludf.DUMMYFUNCTION("""COMPUTED_VALUE"""),"FESTO - Push In Connector QS-6 p/n 153032")</f>
        <v>FESTO - Push In Connector QS-6 p/n 153032</v>
      </c>
      <c r="C1412" s="2" t="str">
        <f>IFERROR(__xludf.DUMMYFUNCTION("""COMPUTED_VALUE"""),"P-12261-00")</f>
        <v>P-12261-00</v>
      </c>
      <c r="D1412" s="2" t="str">
        <f>if(isna(vlookup(C1412,'On Hand'!A:C,3,0)),"",vlookup(C1412,'On Hand'!A:C,3,0))</f>
        <v/>
      </c>
    </row>
    <row r="1413">
      <c r="A1413" s="2" t="str">
        <f>IFERROR(__xludf.DUMMYFUNCTION("""COMPUTED_VALUE"""),"P-12263-00")</f>
        <v>P-12263-00</v>
      </c>
      <c r="B1413" s="2" t="str">
        <f>IFERROR(__xludf.DUMMYFUNCTION("""COMPUTED_VALUE"""),"FESTO - Push In Connector QS-8 p/n 153033")</f>
        <v>FESTO - Push In Connector QS-8 p/n 153033</v>
      </c>
      <c r="C1413" s="2" t="str">
        <f>IFERROR(__xludf.DUMMYFUNCTION("""COMPUTED_VALUE"""),"P-12263-00")</f>
        <v>P-12263-00</v>
      </c>
      <c r="D1413" s="2" t="str">
        <f>if(isna(vlookup(C1413,'On Hand'!A:C,3,0)),"",vlookup(C1413,'On Hand'!A:C,3,0))</f>
        <v>pc</v>
      </c>
    </row>
    <row r="1414">
      <c r="A1414" s="2" t="str">
        <f>IFERROR(__xludf.DUMMYFUNCTION("""COMPUTED_VALUE"""),"P-12265-00")</f>
        <v>P-12265-00</v>
      </c>
      <c r="B1414" s="2" t="str">
        <f>IFERROR(__xludf.DUMMYFUNCTION("""COMPUTED_VALUE"""),"FESTO - Push In Connector QS-8-6 p/n 153038")</f>
        <v>FESTO - Push In Connector QS-8-6 p/n 153038</v>
      </c>
      <c r="C1414" s="2" t="str">
        <f>IFERROR(__xludf.DUMMYFUNCTION("""COMPUTED_VALUE"""),"P-12265-00")</f>
        <v>P-12265-00</v>
      </c>
      <c r="D1414" s="2" t="str">
        <f>if(isna(vlookup(C1414,'On Hand'!A:C,3,0)),"",vlookup(C1414,'On Hand'!A:C,3,0))</f>
        <v>pc</v>
      </c>
    </row>
    <row r="1415">
      <c r="A1415" s="2" t="str">
        <f>IFERROR(__xludf.DUMMYFUNCTION("""COMPUTED_VALUE"""),"P-12266-00")</f>
        <v>P-12266-00</v>
      </c>
      <c r="B1415" s="2" t="str">
        <f>IFERROR(__xludf.DUMMYFUNCTION("""COMPUTED_VALUE"""),"FESTO - Push In Fitting QS-1/2-10 part number 190646")</f>
        <v>FESTO - Push In Fitting QS-1/2-10 part number 190646</v>
      </c>
      <c r="C1415" s="2" t="str">
        <f>IFERROR(__xludf.DUMMYFUNCTION("""COMPUTED_VALUE"""),"P-12266-00")</f>
        <v>P-12266-00</v>
      </c>
      <c r="D1415" s="2" t="str">
        <f>if(isna(vlookup(C1415,'On Hand'!A:C,3,0)),"",vlookup(C1415,'On Hand'!A:C,3,0))</f>
        <v>pc</v>
      </c>
    </row>
    <row r="1416">
      <c r="A1416" s="2" t="str">
        <f>IFERROR(__xludf.DUMMYFUNCTION("""COMPUTED_VALUE"""),"P-12266-00")</f>
        <v>P-12266-00</v>
      </c>
      <c r="B1416" s="2" t="str">
        <f>IFERROR(__xludf.DUMMYFUNCTION("""COMPUTED_VALUE"""),"FESTO - Push In Fitting QS-1/2-10 part number 190646")</f>
        <v>FESTO - Push In Fitting QS-1/2-10 part number 190646</v>
      </c>
      <c r="C1416" s="2" t="str">
        <f>IFERROR(__xludf.DUMMYFUNCTION("""COMPUTED_VALUE"""),"P-12266-00")</f>
        <v>P-12266-00</v>
      </c>
      <c r="D1416" s="2" t="str">
        <f>if(isna(vlookup(C1416,'On Hand'!A:C,3,0)),"",vlookup(C1416,'On Hand'!A:C,3,0))</f>
        <v>pc</v>
      </c>
    </row>
    <row r="1417">
      <c r="A1417" s="2" t="str">
        <f>IFERROR(__xludf.DUMMYFUNCTION("""COMPUTED_VALUE"""),"P-12267-00")</f>
        <v>P-12267-00</v>
      </c>
      <c r="B1417" s="2" t="str">
        <f>IFERROR(__xludf.DUMMYFUNCTION("""COMPUTED_VALUE"""),"FESTO - Push In Fitting QS-1/2-8 (NPQE-D-R12-Q8-P5);  P/N : 8112930")</f>
        <v>FESTO - Push In Fitting QS-1/2-8 (NPQE-D-R12-Q8-P5);  P/N : 8112930</v>
      </c>
      <c r="C1417" s="2" t="str">
        <f>IFERROR(__xludf.DUMMYFUNCTION("""COMPUTED_VALUE"""),"P-12267-00")</f>
        <v>P-12267-00</v>
      </c>
      <c r="D1417" s="2" t="str">
        <f>if(isna(vlookup(C1417,'On Hand'!A:C,3,0)),"",vlookup(C1417,'On Hand'!A:C,3,0))</f>
        <v>pc</v>
      </c>
    </row>
    <row r="1418">
      <c r="A1418" s="2" t="str">
        <f>IFERROR(__xludf.DUMMYFUNCTION("""COMPUTED_VALUE"""),"P-12269-00")</f>
        <v>P-12269-00</v>
      </c>
      <c r="B1418" s="2" t="str">
        <f>IFERROR(__xludf.DUMMYFUNCTION("""COMPUTED_VALUE"""),"FESTO - Push-In Fitting type QSM-M5-6 p/n 153306")</f>
        <v>FESTO - Push-In Fitting type QSM-M5-6 p/n 153306</v>
      </c>
      <c r="C1418" s="2" t="str">
        <f>IFERROR(__xludf.DUMMYFUNCTION("""COMPUTED_VALUE"""),"P-12269-00")</f>
        <v>P-12269-00</v>
      </c>
      <c r="D1418" s="2" t="str">
        <f>if(isna(vlookup(C1418,'On Hand'!A:C,3,0)),"",vlookup(C1418,'On Hand'!A:C,3,0))</f>
        <v>pc</v>
      </c>
    </row>
    <row r="1419">
      <c r="A1419" s="2" t="str">
        <f>IFERROR(__xludf.DUMMYFUNCTION("""COMPUTED_VALUE"""),"P-12275-00")</f>
        <v>P-12275-00</v>
      </c>
      <c r="B1419" s="2" t="str">
        <f>IFERROR(__xludf.DUMMYFUNCTION("""COMPUTED_VALUE"""),"FESTO - QS-1/4-6 Push-In fitting p/n 153003")</f>
        <v>FESTO - QS-1/4-6 Push-In fitting p/n 153003</v>
      </c>
      <c r="C1419" s="2" t="str">
        <f>IFERROR(__xludf.DUMMYFUNCTION("""COMPUTED_VALUE"""),"P-12275-00")</f>
        <v>P-12275-00</v>
      </c>
      <c r="D1419" s="2" t="str">
        <f>if(isna(vlookup(C1419,'On Hand'!A:C,3,0)),"",vlookup(C1419,'On Hand'!A:C,3,0))</f>
        <v/>
      </c>
    </row>
    <row r="1420">
      <c r="A1420" s="2" t="str">
        <f>IFERROR(__xludf.DUMMYFUNCTION("""COMPUTED_VALUE"""),"P-12276-00")</f>
        <v>P-12276-00</v>
      </c>
      <c r="B1420" s="2" t="str">
        <f>IFERROR(__xludf.DUMMYFUNCTION("""COMPUTED_VALUE"""),"FESTO - QS-1/4-8 Push-In fitting p/n 153005")</f>
        <v>FESTO - QS-1/4-8 Push-In fitting p/n 153005</v>
      </c>
      <c r="C1420" s="2" t="str">
        <f>IFERROR(__xludf.DUMMYFUNCTION("""COMPUTED_VALUE"""),"P-12276-00")</f>
        <v>P-12276-00</v>
      </c>
      <c r="D1420" s="2" t="str">
        <f>if(isna(vlookup(C1420,'On Hand'!A:C,3,0)),"",vlookup(C1420,'On Hand'!A:C,3,0))</f>
        <v/>
      </c>
    </row>
    <row r="1421">
      <c r="A1421" s="2" t="str">
        <f>IFERROR(__xludf.DUMMYFUNCTION("""COMPUTED_VALUE"""),"P-12279-00")</f>
        <v>P-12279-00</v>
      </c>
      <c r="B1421" s="2" t="str">
        <f>IFERROR(__xludf.DUMMYFUNCTION("""COMPUTED_VALUE"""),"FESTO - QS-1/8-6 Push-In fitting p/n 153002")</f>
        <v>FESTO - QS-1/8-6 Push-In fitting p/n 153002</v>
      </c>
      <c r="C1421" s="2" t="str">
        <f>IFERROR(__xludf.DUMMYFUNCTION("""COMPUTED_VALUE"""),"P-12279-00")</f>
        <v>P-12279-00</v>
      </c>
      <c r="D1421" s="2" t="str">
        <f>if(isna(vlookup(C1421,'On Hand'!A:C,3,0)),"",vlookup(C1421,'On Hand'!A:C,3,0))</f>
        <v/>
      </c>
    </row>
    <row r="1422">
      <c r="A1422" s="2" t="str">
        <f>IFERROR(__xludf.DUMMYFUNCTION("""COMPUTED_VALUE"""),"P-12280-00")</f>
        <v>P-12280-00</v>
      </c>
      <c r="B1422" s="2" t="str">
        <f>IFERROR(__xludf.DUMMYFUNCTION("""COMPUTED_VALUE"""),"FESTO - QS-1/8-8 Push-In fitting p/n 153004")</f>
        <v>FESTO - QS-1/8-8 Push-In fitting p/n 153004</v>
      </c>
      <c r="C1422" s="2" t="str">
        <f>IFERROR(__xludf.DUMMYFUNCTION("""COMPUTED_VALUE"""),"P-12280-00")</f>
        <v>P-12280-00</v>
      </c>
      <c r="D1422" s="2" t="str">
        <f>if(isna(vlookup(C1422,'On Hand'!A:C,3,0)),"",vlookup(C1422,'On Hand'!A:C,3,0))</f>
        <v>pc</v>
      </c>
    </row>
    <row r="1423">
      <c r="A1423" s="2" t="str">
        <f>IFERROR(__xludf.DUMMYFUNCTION("""COMPUTED_VALUE"""),"P-12281-00")</f>
        <v>P-12281-00</v>
      </c>
      <c r="B1423" s="2" t="str">
        <f>IFERROR(__xludf.DUMMYFUNCTION("""COMPUTED_VALUE"""),"FESTO - QS-10-8 Push In Connector p/n 153039")</f>
        <v>FESTO - QS-10-8 Push In Connector p/n 153039</v>
      </c>
      <c r="C1423" s="2" t="str">
        <f>IFERROR(__xludf.DUMMYFUNCTION("""COMPUTED_VALUE"""),"P-12281-00")</f>
        <v>P-12281-00</v>
      </c>
      <c r="D1423" s="2" t="str">
        <f>if(isna(vlookup(C1423,'On Hand'!A:C,3,0)),"",vlookup(C1423,'On Hand'!A:C,3,0))</f>
        <v/>
      </c>
    </row>
    <row r="1424">
      <c r="A1424" s="2" t="str">
        <f>IFERROR(__xludf.DUMMYFUNCTION("""COMPUTED_VALUE"""),"P-12282-00")</f>
        <v>P-12282-00</v>
      </c>
      <c r="B1424" s="2" t="str">
        <f>IFERROR(__xludf.DUMMYFUNCTION("""COMPUTED_VALUE"""),"FESTO - QS-12-10 Push in Connector p/n: 153040")</f>
        <v>FESTO - QS-12-10 Push in Connector p/n: 153040</v>
      </c>
      <c r="C1424" s="2" t="str">
        <f>IFERROR(__xludf.DUMMYFUNCTION("""COMPUTED_VALUE"""),"P-12282-00")</f>
        <v>P-12282-00</v>
      </c>
      <c r="D1424" s="2" t="str">
        <f>if(isna(vlookup(C1424,'On Hand'!A:C,3,0)),"",vlookup(C1424,'On Hand'!A:C,3,0))</f>
        <v>pc</v>
      </c>
    </row>
    <row r="1425">
      <c r="A1425" s="2" t="str">
        <f>IFERROR(__xludf.DUMMYFUNCTION("""COMPUTED_VALUE"""),"P-12286-00")</f>
        <v>P-12286-00</v>
      </c>
      <c r="B1425" s="2" t="str">
        <f>IFERROR(__xludf.DUMMYFUNCTION("""COMPUTED_VALUE"""),"FESTO - QS-3/8-6 Push-In fitting p/n 190645")</f>
        <v>FESTO - QS-3/8-6 Push-In fitting p/n 190645</v>
      </c>
      <c r="C1425" s="2" t="str">
        <f>IFERROR(__xludf.DUMMYFUNCTION("""COMPUTED_VALUE"""),"P-12286-00")</f>
        <v>P-12286-00</v>
      </c>
      <c r="D1425" s="2" t="str">
        <f>if(isna(vlookup(C1425,'On Hand'!A:C,3,0)),"",vlookup(C1425,'On Hand'!A:C,3,0))</f>
        <v>pc</v>
      </c>
    </row>
    <row r="1426">
      <c r="A1426" s="2" t="str">
        <f>IFERROR(__xludf.DUMMYFUNCTION("""COMPUTED_VALUE"""),"P-12287-00")</f>
        <v>P-12287-00</v>
      </c>
      <c r="B1426" s="2" t="str">
        <f>IFERROR(__xludf.DUMMYFUNCTION("""COMPUTED_VALUE"""),"FESTO - QS-3/8-8 Push-In fitting p/n 153006")</f>
        <v>FESTO - QS-3/8-8 Push-In fitting p/n 153006</v>
      </c>
      <c r="C1426" s="2" t="str">
        <f>IFERROR(__xludf.DUMMYFUNCTION("""COMPUTED_VALUE"""),"P-12287-00")</f>
        <v>P-12287-00</v>
      </c>
      <c r="D1426" s="2" t="str">
        <f>if(isna(vlookup(C1426,'On Hand'!A:C,3,0)),"",vlookup(C1426,'On Hand'!A:C,3,0))</f>
        <v>pc</v>
      </c>
    </row>
    <row r="1427">
      <c r="A1427" s="2" t="str">
        <f>IFERROR(__xludf.DUMMYFUNCTION("""COMPUTED_VALUE"""),"P-12300-00")</f>
        <v>P-12300-00</v>
      </c>
      <c r="B1427" s="2" t="str">
        <f>IFERROR(__xludf.DUMMYFUNCTION("""COMPUTED_VALUE"""),"FESTO - QSML-M5-4 part Number 15333")</f>
        <v>FESTO - QSML-M5-4 part Number 15333</v>
      </c>
      <c r="C1427" s="2" t="str">
        <f>IFERROR(__xludf.DUMMYFUNCTION("""COMPUTED_VALUE"""),"P-12300-00")</f>
        <v>P-12300-00</v>
      </c>
      <c r="D1427" s="2" t="str">
        <f>if(isna(vlookup(C1427,'On Hand'!A:C,3,0)),"",vlookup(C1427,'On Hand'!A:C,3,0))</f>
        <v>pc</v>
      </c>
    </row>
    <row r="1428">
      <c r="A1428" s="2" t="str">
        <f>IFERROR(__xludf.DUMMYFUNCTION("""COMPUTED_VALUE"""),"P-12305-00")</f>
        <v>P-12305-00</v>
      </c>
      <c r="B1428" s="2" t="str">
        <f>IFERROR(__xludf.DUMMYFUNCTION("""COMPUTED_VALUE"""),"FESTO - QST-6 Push in t-connection p/n 153129")</f>
        <v>FESTO - QST-6 Push in t-connection p/n 153129</v>
      </c>
      <c r="C1428" s="2" t="str">
        <f>IFERROR(__xludf.DUMMYFUNCTION("""COMPUTED_VALUE"""),"P-12305-00")</f>
        <v>P-12305-00</v>
      </c>
      <c r="D1428" s="2" t="str">
        <f>if(isna(vlookup(C1428,'On Hand'!A:C,3,0)),"",vlookup(C1428,'On Hand'!A:C,3,0))</f>
        <v/>
      </c>
    </row>
    <row r="1429">
      <c r="A1429" s="2" t="str">
        <f>IFERROR(__xludf.DUMMYFUNCTION("""COMPUTED_VALUE"""),"P-12306-00")</f>
        <v>P-12306-00</v>
      </c>
      <c r="B1429" s="2" t="str">
        <f>IFERROR(__xludf.DUMMYFUNCTION("""COMPUTED_VALUE"""),"FESTO - QST-8 push in t- connection p/n 153130")</f>
        <v>FESTO - QST-8 push in t- connection p/n 153130</v>
      </c>
      <c r="C1429" s="2" t="str">
        <f>IFERROR(__xludf.DUMMYFUNCTION("""COMPUTED_VALUE"""),"P-12306-00")</f>
        <v>P-12306-00</v>
      </c>
      <c r="D1429" s="2" t="str">
        <f>if(isna(vlookup(C1429,'On Hand'!A:C,3,0)),"",vlookup(C1429,'On Hand'!A:C,3,0))</f>
        <v/>
      </c>
    </row>
    <row r="1430">
      <c r="A1430" s="2" t="str">
        <f>IFERROR(__xludf.DUMMYFUNCTION("""COMPUTED_VALUE"""),"P-12365-00")</f>
        <v>P-12365-00</v>
      </c>
      <c r="B1430" s="2" t="str">
        <f>IFERROR(__xludf.DUMMYFUNCTION("""COMPUTED_VALUE"""),"Gembok sedang uk. 5 mm")</f>
        <v>Gembok sedang uk. 5 mm</v>
      </c>
      <c r="C1430" s="2" t="str">
        <f>IFERROR(__xludf.DUMMYFUNCTION("""COMPUTED_VALUE"""),"P-12365-00")</f>
        <v>P-12365-00</v>
      </c>
      <c r="D1430" s="2" t="str">
        <f>if(isna(vlookup(C1430,'On Hand'!A:C,3,0)),"",vlookup(C1430,'On Hand'!A:C,3,0))</f>
        <v/>
      </c>
    </row>
    <row r="1431">
      <c r="A1431" s="2" t="str">
        <f>IFERROR(__xludf.DUMMYFUNCTION("""COMPUTED_VALUE"""),"P-12418-00")</f>
        <v>P-12418-00</v>
      </c>
      <c r="B1431" s="2" t="str">
        <f>IFERROR(__xludf.DUMMYFUNCTION("""COMPUTED_VALUE"""),"Hole saw u/ stainless stell dia 20 mm ex UNIKA")</f>
        <v>Hole saw u/ stainless stell dia 20 mm ex UNIKA</v>
      </c>
      <c r="C1431" s="2" t="str">
        <f>IFERROR(__xludf.DUMMYFUNCTION("""COMPUTED_VALUE"""),"P-12418-00")</f>
        <v>P-12418-00</v>
      </c>
      <c r="D1431" s="2" t="str">
        <f>if(isna(vlookup(C1431,'On Hand'!A:C,3,0)),"",vlookup(C1431,'On Hand'!A:C,3,0))</f>
        <v/>
      </c>
    </row>
    <row r="1432">
      <c r="A1432" s="2" t="str">
        <f>IFERROR(__xludf.DUMMYFUNCTION("""COMPUTED_VALUE"""),"P-12419-00")</f>
        <v>P-12419-00</v>
      </c>
      <c r="B1432" s="2" t="str">
        <f>IFERROR(__xludf.DUMMYFUNCTION("""COMPUTED_VALUE"""),"General - Hole Saw for Stainless Steel, dia. 22 mm; UNIKA; -; 1 pcs")</f>
        <v>General - Hole Saw for Stainless Steel, dia. 22 mm; UNIKA; -; 1 pcs</v>
      </c>
      <c r="C1432" s="2" t="str">
        <f>IFERROR(__xludf.DUMMYFUNCTION("""COMPUTED_VALUE"""),"P-12419-00")</f>
        <v>P-12419-00</v>
      </c>
      <c r="D1432" s="2" t="str">
        <f>if(isna(vlookup(C1432,'On Hand'!A:C,3,0)),"",vlookup(C1432,'On Hand'!A:C,3,0))</f>
        <v>pc</v>
      </c>
    </row>
    <row r="1433">
      <c r="A1433" s="2" t="str">
        <f>IFERROR(__xludf.DUMMYFUNCTION("""COMPUTED_VALUE"""),"P-12420-00")</f>
        <v>P-12420-00</v>
      </c>
      <c r="B1433" s="2" t="str">
        <f>IFERROR(__xludf.DUMMYFUNCTION("""COMPUTED_VALUE"""),"General - Hole Saw for Stainless Steel, dia. 25 mm; UNIKA; -; 1 pcs")</f>
        <v>General - Hole Saw for Stainless Steel, dia. 25 mm; UNIKA; -; 1 pcs</v>
      </c>
      <c r="C1433" s="2" t="str">
        <f>IFERROR(__xludf.DUMMYFUNCTION("""COMPUTED_VALUE"""),"P-12420-00")</f>
        <v>P-12420-00</v>
      </c>
      <c r="D1433" s="2" t="str">
        <f>if(isna(vlookup(C1433,'On Hand'!A:C,3,0)),"",vlookup(C1433,'On Hand'!A:C,3,0))</f>
        <v>pc</v>
      </c>
    </row>
    <row r="1434">
      <c r="A1434" s="2" t="str">
        <f>IFERROR(__xludf.DUMMYFUNCTION("""COMPUTED_VALUE"""),"P-12433-00")</f>
        <v>P-12433-00</v>
      </c>
      <c r="B1434" s="2" t="str">
        <f>IFERROR(__xludf.DUMMYFUNCTION("""COMPUTED_VALUE"""),"Isolasi AC- Sansui")</f>
        <v>Isolasi AC- Sansui</v>
      </c>
      <c r="C1434" s="2" t="str">
        <f>IFERROR(__xludf.DUMMYFUNCTION("""COMPUTED_VALUE"""),"P-12433-00")</f>
        <v>P-12433-00</v>
      </c>
      <c r="D1434" s="2" t="str">
        <f>if(isna(vlookup(C1434,'On Hand'!A:C,3,0)),"",vlookup(C1434,'On Hand'!A:C,3,0))</f>
        <v>pc</v>
      </c>
    </row>
    <row r="1435">
      <c r="A1435" s="2" t="str">
        <f>IFERROR(__xludf.DUMMYFUNCTION("""COMPUTED_VALUE"""),"P-12455-00")</f>
        <v>P-12455-00</v>
      </c>
      <c r="B1435" s="2" t="str">
        <f>IFERROR(__xludf.DUMMYFUNCTION("""COMPUTED_VALUE"""),"KITZ - Gate Valve dia 1inch")</f>
        <v>KITZ - Gate Valve dia 1inch</v>
      </c>
      <c r="C1435" s="2" t="str">
        <f>IFERROR(__xludf.DUMMYFUNCTION("""COMPUTED_VALUE"""),"P-12455-00")</f>
        <v>P-12455-00</v>
      </c>
      <c r="D1435" s="2" t="str">
        <f>if(isna(vlookup(C1435,'On Hand'!A:C,3,0)),"",vlookup(C1435,'On Hand'!A:C,3,0))</f>
        <v/>
      </c>
    </row>
    <row r="1436">
      <c r="A1436" s="2" t="str">
        <f>IFERROR(__xludf.DUMMYFUNCTION("""COMPUTED_VALUE"""),"P-12456-00")</f>
        <v>P-12456-00</v>
      </c>
      <c r="B1436" s="2" t="str">
        <f>IFERROR(__xludf.DUMMYFUNCTION("""COMPUTED_VALUE"""),"KITZ - Gate Valve dia 3/4inch")</f>
        <v>KITZ - Gate Valve dia 3/4inch</v>
      </c>
      <c r="C1436" s="2" t="str">
        <f>IFERROR(__xludf.DUMMYFUNCTION("""COMPUTED_VALUE"""),"P-12456-00")</f>
        <v>P-12456-00</v>
      </c>
      <c r="D1436" s="2" t="str">
        <f>if(isna(vlookup(C1436,'On Hand'!A:C,3,0)),"",vlookup(C1436,'On Hand'!A:C,3,0))</f>
        <v/>
      </c>
    </row>
    <row r="1437">
      <c r="A1437" s="2" t="str">
        <f>IFERROR(__xludf.DUMMYFUNCTION("""COMPUTED_VALUE"""),"P-12464-00")</f>
        <v>P-12464-00</v>
      </c>
      <c r="B1437" s="2" t="str">
        <f>IFERROR(__xludf.DUMMYFUNCTION("""COMPUTED_VALUE"""),"General - Lem Aibon; No Brand; -; 300 gram/can")</f>
        <v>General - Lem Aibon; No Brand; -; 300 gram/can</v>
      </c>
      <c r="C1437" s="2" t="str">
        <f>IFERROR(__xludf.DUMMYFUNCTION("""COMPUTED_VALUE"""),"P-12464-00")</f>
        <v>P-12464-00</v>
      </c>
      <c r="D1437" s="2" t="str">
        <f>if(isna(vlookup(C1437,'On Hand'!A:C,3,0)),"",vlookup(C1437,'On Hand'!A:C,3,0))</f>
        <v>pc</v>
      </c>
    </row>
    <row r="1438">
      <c r="A1438" s="2" t="str">
        <f>IFERROR(__xludf.DUMMYFUNCTION("""COMPUTED_VALUE"""),"P-12470-00")</f>
        <v>P-12470-00</v>
      </c>
      <c r="B1438" s="2" t="str">
        <f>IFERROR(__xludf.DUMMYFUNCTION("""COMPUTED_VALUE"""),"Lem PVC Isarplas 300 gr/kaleng")</f>
        <v>Lem PVC Isarplas 300 gr/kaleng</v>
      </c>
      <c r="C1438" s="2" t="str">
        <f>IFERROR(__xludf.DUMMYFUNCTION("""COMPUTED_VALUE"""),"P-12470-00")</f>
        <v>P-12470-00</v>
      </c>
      <c r="D1438" s="2" t="str">
        <f>if(isna(vlookup(C1438,'On Hand'!A:C,3,0)),"",vlookup(C1438,'On Hand'!A:C,3,0))</f>
        <v/>
      </c>
    </row>
    <row r="1439">
      <c r="A1439" s="2" t="str">
        <f>IFERROR(__xludf.DUMMYFUNCTION("""COMPUTED_VALUE"""),"P-12471-00")</f>
        <v>P-12471-00</v>
      </c>
      <c r="B1439" s="2" t="str">
        <f>IFERROR(__xludf.DUMMYFUNCTION("""COMPUTED_VALUE"""),"General - Lem silicone; Elastosil; E41; 90gram/tube")</f>
        <v>General - Lem silicone; Elastosil; E41; 90gram/tube</v>
      </c>
      <c r="C1439" s="2" t="str">
        <f>IFERROR(__xludf.DUMMYFUNCTION("""COMPUTED_VALUE"""),"P-12471-00")</f>
        <v>P-12471-00</v>
      </c>
      <c r="D1439" s="2" t="str">
        <f>if(isna(vlookup(C1439,'On Hand'!A:C,3,0)),"",vlookup(C1439,'On Hand'!A:C,3,0))</f>
        <v>pc</v>
      </c>
    </row>
    <row r="1440">
      <c r="A1440" s="2" t="str">
        <f>IFERROR(__xludf.DUMMYFUNCTION("""COMPUTED_VALUE"""),"P-12476-00")</f>
        <v>P-12476-00</v>
      </c>
      <c r="B1440" s="2" t="str">
        <f>IFERROR(__xludf.DUMMYFUNCTION("""COMPUTED_VALUE"""),"General - Mata Bor Besi, dia. 10 mm; NACHI; -; 1 pcs")</f>
        <v>General - Mata Bor Besi, dia. 10 mm; NACHI; -; 1 pcs</v>
      </c>
      <c r="C1440" s="2" t="str">
        <f>IFERROR(__xludf.DUMMYFUNCTION("""COMPUTED_VALUE"""),"P-12476-00")</f>
        <v>P-12476-00</v>
      </c>
      <c r="D1440" s="2" t="str">
        <f>if(isna(vlookup(C1440,'On Hand'!A:C,3,0)),"",vlookup(C1440,'On Hand'!A:C,3,0))</f>
        <v>pc</v>
      </c>
    </row>
    <row r="1441">
      <c r="A1441" s="2" t="str">
        <f>IFERROR(__xludf.DUMMYFUNCTION("""COMPUTED_VALUE"""),"P-12482-00")</f>
        <v>P-12482-00</v>
      </c>
      <c r="B1441" s="2" t="str">
        <f>IFERROR(__xludf.DUMMYFUNCTION("""COMPUTED_VALUE"""),"General - Mata Bor Besi, dia. 2 mm; NACHI; -; 1 pcs")</f>
        <v>General - Mata Bor Besi, dia. 2 mm; NACHI; -; 1 pcs</v>
      </c>
      <c r="C1441" s="2" t="str">
        <f>IFERROR(__xludf.DUMMYFUNCTION("""COMPUTED_VALUE"""),"P-12482-00")</f>
        <v>P-12482-00</v>
      </c>
      <c r="D1441" s="2" t="str">
        <f>if(isna(vlookup(C1441,'On Hand'!A:C,3,0)),"",vlookup(C1441,'On Hand'!A:C,3,0))</f>
        <v/>
      </c>
    </row>
    <row r="1442">
      <c r="A1442" s="2" t="str">
        <f>IFERROR(__xludf.DUMMYFUNCTION("""COMPUTED_VALUE"""),"P-12483-00")</f>
        <v>P-12483-00</v>
      </c>
      <c r="B1442" s="2" t="str">
        <f>IFERROR(__xludf.DUMMYFUNCTION("""COMPUTED_VALUE"""),"General - Mata Bor Besi, dia. 2.5 mm; NACHI; -; 1 pcs")</f>
        <v>General - Mata Bor Besi, dia. 2.5 mm; NACHI; -; 1 pcs</v>
      </c>
      <c r="C1442" s="2" t="str">
        <f>IFERROR(__xludf.DUMMYFUNCTION("""COMPUTED_VALUE"""),"P-12483-00")</f>
        <v>P-12483-00</v>
      </c>
      <c r="D1442" s="2" t="str">
        <f>if(isna(vlookup(C1442,'On Hand'!A:C,3,0)),"",vlookup(C1442,'On Hand'!A:C,3,0))</f>
        <v/>
      </c>
    </row>
    <row r="1443">
      <c r="A1443" s="2" t="str">
        <f>IFERROR(__xludf.DUMMYFUNCTION("""COMPUTED_VALUE"""),"P-12485-00")</f>
        <v>P-12485-00</v>
      </c>
      <c r="B1443" s="2" t="str">
        <f>IFERROR(__xludf.DUMMYFUNCTION("""COMPUTED_VALUE"""),"General - Mata Bor Besi, dia. 3 mm; NACHI; -; 1 pcs")</f>
        <v>General - Mata Bor Besi, dia. 3 mm; NACHI; -; 1 pcs</v>
      </c>
      <c r="C1443" s="2" t="str">
        <f>IFERROR(__xludf.DUMMYFUNCTION("""COMPUTED_VALUE"""),"P-12485-00")</f>
        <v>P-12485-00</v>
      </c>
      <c r="D1443" s="2" t="str">
        <f>if(isna(vlookup(C1443,'On Hand'!A:C,3,0)),"",vlookup(C1443,'On Hand'!A:C,3,0))</f>
        <v/>
      </c>
    </row>
    <row r="1444">
      <c r="A1444" s="2" t="str">
        <f>IFERROR(__xludf.DUMMYFUNCTION("""COMPUTED_VALUE"""),"P-12487-00")</f>
        <v>P-12487-00</v>
      </c>
      <c r="B1444" s="2" t="str">
        <f>IFERROR(__xludf.DUMMYFUNCTION("""COMPUTED_VALUE"""),"General - Mata Bor Besi, dia. 3.5 mm; NACHI; -; 1 pcs")</f>
        <v>General - Mata Bor Besi, dia. 3.5 mm; NACHI; -; 1 pcs</v>
      </c>
      <c r="C1444" s="2" t="str">
        <f>IFERROR(__xludf.DUMMYFUNCTION("""COMPUTED_VALUE"""),"P-12487-00")</f>
        <v>P-12487-00</v>
      </c>
      <c r="D1444" s="2" t="str">
        <f>if(isna(vlookup(C1444,'On Hand'!A:C,3,0)),"",vlookup(C1444,'On Hand'!A:C,3,0))</f>
        <v/>
      </c>
    </row>
    <row r="1445">
      <c r="A1445" s="2" t="str">
        <f>IFERROR(__xludf.DUMMYFUNCTION("""COMPUTED_VALUE"""),"P-12488-00")</f>
        <v>P-12488-00</v>
      </c>
      <c r="B1445" s="2" t="str">
        <f>IFERROR(__xludf.DUMMYFUNCTION("""COMPUTED_VALUE"""),"General - Mata Bor Besi, dia. 4 mm; NACHI; -; 1 pcs")</f>
        <v>General - Mata Bor Besi, dia. 4 mm; NACHI; -; 1 pcs</v>
      </c>
      <c r="C1445" s="2" t="str">
        <f>IFERROR(__xludf.DUMMYFUNCTION("""COMPUTED_VALUE"""),"P-12488-00")</f>
        <v>P-12488-00</v>
      </c>
      <c r="D1445" s="2" t="str">
        <f>if(isna(vlookup(C1445,'On Hand'!A:C,3,0)),"",vlookup(C1445,'On Hand'!A:C,3,0))</f>
        <v>pc</v>
      </c>
    </row>
    <row r="1446">
      <c r="A1446" s="2" t="str">
        <f>IFERROR(__xludf.DUMMYFUNCTION("""COMPUTED_VALUE"""),"P-12490-00")</f>
        <v>P-12490-00</v>
      </c>
      <c r="B1446" s="2" t="str">
        <f>IFERROR(__xludf.DUMMYFUNCTION("""COMPUTED_VALUE"""),"General - Mata Bor Besi, dia. 5 mm; NACHI; -; 1 pcs")</f>
        <v>General - Mata Bor Besi, dia. 5 mm; NACHI; -; 1 pcs</v>
      </c>
      <c r="C1446" s="2" t="str">
        <f>IFERROR(__xludf.DUMMYFUNCTION("""COMPUTED_VALUE"""),"P-12490-00")</f>
        <v>P-12490-00</v>
      </c>
      <c r="D1446" s="2" t="str">
        <f>if(isna(vlookup(C1446,'On Hand'!A:C,3,0)),"",vlookup(C1446,'On Hand'!A:C,3,0))</f>
        <v>pc</v>
      </c>
    </row>
    <row r="1447">
      <c r="A1447" s="2" t="str">
        <f>IFERROR(__xludf.DUMMYFUNCTION("""COMPUTED_VALUE"""),"P-12492-00")</f>
        <v>P-12492-00</v>
      </c>
      <c r="B1447" s="2" t="str">
        <f>IFERROR(__xludf.DUMMYFUNCTION("""COMPUTED_VALUE"""),"General - Mata Bor Besi, dia. 6.5 mm; NACHI; -; 1 pcs")</f>
        <v>General - Mata Bor Besi, dia. 6.5 mm; NACHI; -; 1 pcs</v>
      </c>
      <c r="C1447" s="2" t="str">
        <f>IFERROR(__xludf.DUMMYFUNCTION("""COMPUTED_VALUE"""),"P-12492-00")</f>
        <v>P-12492-00</v>
      </c>
      <c r="D1447" s="2" t="str">
        <f>if(isna(vlookup(C1447,'On Hand'!A:C,3,0)),"",vlookup(C1447,'On Hand'!A:C,3,0))</f>
        <v>pc</v>
      </c>
    </row>
    <row r="1448">
      <c r="A1448" s="2" t="str">
        <f>IFERROR(__xludf.DUMMYFUNCTION("""COMPUTED_VALUE"""),"P-12495-00")</f>
        <v>P-12495-00</v>
      </c>
      <c r="B1448" s="2" t="str">
        <f>IFERROR(__xludf.DUMMYFUNCTION("""COMPUTED_VALUE"""),"Mata Bor besi dia 7.5 mm ex NACHI")</f>
        <v>Mata Bor besi dia 7.5 mm ex NACHI</v>
      </c>
      <c r="C1448" s="2" t="str">
        <f>IFERROR(__xludf.DUMMYFUNCTION("""COMPUTED_VALUE"""),"P-12495-00")</f>
        <v>P-12495-00</v>
      </c>
      <c r="D1448" s="2" t="str">
        <f>if(isna(vlookup(C1448,'On Hand'!A:C,3,0)),"",vlookup(C1448,'On Hand'!A:C,3,0))</f>
        <v>pc</v>
      </c>
    </row>
    <row r="1449">
      <c r="A1449" s="2" t="str">
        <f>IFERROR(__xludf.DUMMYFUNCTION("""COMPUTED_VALUE"""),"P-12515-00")</f>
        <v>P-12515-00</v>
      </c>
      <c r="B1449" s="2" t="str">
        <f>IFERROR(__xludf.DUMMYFUNCTION("""COMPUTED_VALUE"""),"General - Mata Bor, HSS, 1 - 13 mm; NACHI; -; 25 pcs per set")</f>
        <v>General - Mata Bor, HSS, 1 - 13 mm; NACHI; -; 25 pcs per set</v>
      </c>
      <c r="C1449" s="2" t="str">
        <f>IFERROR(__xludf.DUMMYFUNCTION("""COMPUTED_VALUE"""),"P-12515-00")</f>
        <v>P-12515-00</v>
      </c>
      <c r="D1449" s="2" t="str">
        <f>if(isna(vlookup(C1449,'On Hand'!A:C,3,0)),"",vlookup(C1449,'On Hand'!A:C,3,0))</f>
        <v>pc</v>
      </c>
    </row>
    <row r="1450">
      <c r="A1450" s="2" t="str">
        <f>IFERROR(__xludf.DUMMYFUNCTION("""COMPUTED_VALUE"""),"P-12519-00")</f>
        <v>P-12519-00</v>
      </c>
      <c r="B1450" s="2" t="str">
        <f>IFERROR(__xludf.DUMMYFUNCTION("""COMPUTED_VALUE"""),"Neeple bushing kuningan 1/2x1/4inch")</f>
        <v>Neeple bushing kuningan 1/2x1/4inch</v>
      </c>
      <c r="C1450" s="2" t="str">
        <f>IFERROR(__xludf.DUMMYFUNCTION("""COMPUTED_VALUE"""),"P-12519-00")</f>
        <v>P-12519-00</v>
      </c>
      <c r="D1450" s="2" t="str">
        <f>if(isna(vlookup(C1450,'On Hand'!A:C,3,0)),"",vlookup(C1450,'On Hand'!A:C,3,0))</f>
        <v/>
      </c>
    </row>
    <row r="1451">
      <c r="A1451" s="2" t="str">
        <f>IFERROR(__xludf.DUMMYFUNCTION("""COMPUTED_VALUE"""),"P-12523-00")</f>
        <v>P-12523-00</v>
      </c>
      <c r="B1451" s="2" t="str">
        <f>IFERROR(__xludf.DUMMYFUNCTION("""COMPUTED_VALUE"""),"Neeple bushing kuningan 3/4x1/2inch")</f>
        <v>Neeple bushing kuningan 3/4x1/2inch</v>
      </c>
      <c r="C1451" s="2" t="str">
        <f>IFERROR(__xludf.DUMMYFUNCTION("""COMPUTED_VALUE"""),"P-12523-00")</f>
        <v>P-12523-00</v>
      </c>
      <c r="D1451" s="2" t="str">
        <f>if(isna(vlookup(C1451,'On Hand'!A:C,3,0)),"",vlookup(C1451,'On Hand'!A:C,3,0))</f>
        <v/>
      </c>
    </row>
    <row r="1452">
      <c r="A1452" s="2" t="str">
        <f>IFERROR(__xludf.DUMMYFUNCTION("""COMPUTED_VALUE"""),"P-12695-00")</f>
        <v>P-12695-00</v>
      </c>
      <c r="B1452" s="2" t="str">
        <f>IFERROR(__xludf.DUMMYFUNCTION("""COMPUTED_VALUE"""),"PC 4200/IMA C90 - Draw in-roller Cpl; GUK; 21401-0007; 1 pcs")</f>
        <v>PC 4200/IMA C90 - Draw in-roller Cpl; GUK; 21401-0007; 1 pcs</v>
      </c>
      <c r="C1452" s="2" t="str">
        <f>IFERROR(__xludf.DUMMYFUNCTION("""COMPUTED_VALUE"""),"P-12695-00")</f>
        <v>P-12695-00</v>
      </c>
      <c r="D1452" s="2" t="str">
        <f>if(isna(vlookup(C1452,'On Hand'!A:C,3,0)),"",vlookup(C1452,'On Hand'!A:C,3,0))</f>
        <v/>
      </c>
    </row>
    <row r="1453">
      <c r="A1453" s="2" t="str">
        <f>IFERROR(__xludf.DUMMYFUNCTION("""COMPUTED_VALUE"""),"P-12695-00")</f>
        <v>P-12695-00</v>
      </c>
      <c r="B1453" s="2" t="str">
        <f>IFERROR(__xludf.DUMMYFUNCTION("""COMPUTED_VALUE"""),"PC 4200/IMA C90 - Draw in-roller Cpl; GUK; 21401-0007; 1 pcs")</f>
        <v>PC 4200/IMA C90 - Draw in-roller Cpl; GUK; 21401-0007; 1 pcs</v>
      </c>
      <c r="C1453" s="2" t="str">
        <f>IFERROR(__xludf.DUMMYFUNCTION("""COMPUTED_VALUE"""),"P-12695-00")</f>
        <v>P-12695-00</v>
      </c>
      <c r="D1453" s="2" t="str">
        <f>if(isna(vlookup(C1453,'On Hand'!A:C,3,0)),"",vlookup(C1453,'On Hand'!A:C,3,0))</f>
        <v/>
      </c>
    </row>
    <row r="1454">
      <c r="A1454" s="2" t="str">
        <f>IFERROR(__xludf.DUMMYFUNCTION("""COMPUTED_VALUE"""),"P-12712-00")</f>
        <v>P-12712-00</v>
      </c>
      <c r="B1454" s="2" t="str">
        <f>IFERROR(__xludf.DUMMYFUNCTION("""COMPUTED_VALUE"""),"PVC - Dop drat dalam 1/2inch")</f>
        <v>PVC - Dop drat dalam 1/2inch</v>
      </c>
      <c r="C1454" s="2" t="str">
        <f>IFERROR(__xludf.DUMMYFUNCTION("""COMPUTED_VALUE"""),"P-12712-00")</f>
        <v>P-12712-00</v>
      </c>
      <c r="D1454" s="2" t="str">
        <f>if(isna(vlookup(C1454,'On Hand'!A:C,3,0)),"",vlookup(C1454,'On Hand'!A:C,3,0))</f>
        <v/>
      </c>
    </row>
    <row r="1455">
      <c r="A1455" s="2" t="str">
        <f>IFERROR(__xludf.DUMMYFUNCTION("""COMPUTED_VALUE"""),"P-12721-00")</f>
        <v>P-12721-00</v>
      </c>
      <c r="B1455" s="2" t="str">
        <f>IFERROR(__xludf.DUMMYFUNCTION("""COMPUTED_VALUE"""),"Reducer PVC AW dia  2inch x 1 1/2inch")</f>
        <v>Reducer PVC AW dia  2inch x 1 1/2inch</v>
      </c>
      <c r="C1455" s="2" t="str">
        <f>IFERROR(__xludf.DUMMYFUNCTION("""COMPUTED_VALUE"""),"P-12721-00")</f>
        <v>P-12721-00</v>
      </c>
      <c r="D1455" s="2" t="str">
        <f>if(isna(vlookup(C1455,'On Hand'!A:C,3,0)),"",vlookup(C1455,'On Hand'!A:C,3,0))</f>
        <v/>
      </c>
    </row>
    <row r="1456">
      <c r="A1456" s="2" t="str">
        <f>IFERROR(__xludf.DUMMYFUNCTION("""COMPUTED_VALUE"""),"P-12725-00")</f>
        <v>P-12725-00</v>
      </c>
      <c r="B1456" s="2" t="str">
        <f>IFERROR(__xludf.DUMMYFUNCTION("""COMPUTED_VALUE"""),"Reducer PVC AW dia 3/4inch x 1/2 inch")</f>
        <v>Reducer PVC AW dia 3/4inch x 1/2 inch</v>
      </c>
      <c r="C1456" s="2" t="str">
        <f>IFERROR(__xludf.DUMMYFUNCTION("""COMPUTED_VALUE"""),"P-12725-00")</f>
        <v>P-12725-00</v>
      </c>
      <c r="D1456" s="2" t="str">
        <f>if(isna(vlookup(C1456,'On Hand'!A:C,3,0)),"",vlookup(C1456,'On Hand'!A:C,3,0))</f>
        <v/>
      </c>
    </row>
    <row r="1457">
      <c r="A1457" s="2" t="str">
        <f>IFERROR(__xludf.DUMMYFUNCTION("""COMPUTED_VALUE"""),"P-12746-00")</f>
        <v>P-12746-00</v>
      </c>
      <c r="B1457" s="2" t="str">
        <f>IFERROR(__xludf.DUMMYFUNCTION("""COMPUTED_VALUE"""),"General - Pipa PVC AW dia. 1 1/2inch, Warna Abu-Abu; Rucika; -; 1 pcs")</f>
        <v>General - Pipa PVC AW dia. 1 1/2inch, Warna Abu-Abu; Rucika; -; 1 pcs</v>
      </c>
      <c r="C1457" s="2" t="str">
        <f>IFERROR(__xludf.DUMMYFUNCTION("""COMPUTED_VALUE"""),"P-12746-00")</f>
        <v>P-12746-00</v>
      </c>
      <c r="D1457" s="2" t="str">
        <f>if(isna(vlookup(C1457,'On Hand'!A:C,3,0)),"",vlookup(C1457,'On Hand'!A:C,3,0))</f>
        <v>pc</v>
      </c>
    </row>
    <row r="1458">
      <c r="A1458" s="2" t="str">
        <f>IFERROR(__xludf.DUMMYFUNCTION("""COMPUTED_VALUE"""),"P-12747-00")</f>
        <v>P-12747-00</v>
      </c>
      <c r="B1458" s="2" t="str">
        <f>IFERROR(__xludf.DUMMYFUNCTION("""COMPUTED_VALUE"""),"RUCIKA - Pipa PVC AW dia 3/4inch")</f>
        <v>RUCIKA - Pipa PVC AW dia 3/4inch</v>
      </c>
      <c r="C1458" s="2" t="str">
        <f>IFERROR(__xludf.DUMMYFUNCTION("""COMPUTED_VALUE"""),"P-12747-00")</f>
        <v>P-12747-00</v>
      </c>
      <c r="D1458" s="2" t="str">
        <f>if(isna(vlookup(C1458,'On Hand'!A:C,3,0)),"",vlookup(C1458,'On Hand'!A:C,3,0))</f>
        <v>pc</v>
      </c>
    </row>
    <row r="1459">
      <c r="A1459" s="2" t="str">
        <f>IFERROR(__xludf.DUMMYFUNCTION("""COMPUTED_VALUE"""),"P-12748-00")</f>
        <v>P-12748-00</v>
      </c>
      <c r="B1459" s="2" t="str">
        <f>IFERROR(__xludf.DUMMYFUNCTION("""COMPUTED_VALUE"""),"General - Pipa PVC AW dia. 1 1/4inch, Warna Abu-Abu; Rucika; -; 1 pcs")</f>
        <v>General - Pipa PVC AW dia. 1 1/4inch, Warna Abu-Abu; Rucika; -; 1 pcs</v>
      </c>
      <c r="C1459" s="2" t="str">
        <f>IFERROR(__xludf.DUMMYFUNCTION("""COMPUTED_VALUE"""),"P-12748-00")</f>
        <v>P-12748-00</v>
      </c>
      <c r="D1459" s="2" t="str">
        <f>if(isna(vlookup(C1459,'On Hand'!A:C,3,0)),"",vlookup(C1459,'On Hand'!A:C,3,0))</f>
        <v>pc</v>
      </c>
    </row>
    <row r="1460">
      <c r="A1460" s="2" t="str">
        <f>IFERROR(__xludf.DUMMYFUNCTION("""COMPUTED_VALUE"""),"P-12749-00")</f>
        <v>P-12749-00</v>
      </c>
      <c r="B1460" s="2" t="str">
        <f>IFERROR(__xludf.DUMMYFUNCTION("""COMPUTED_VALUE"""),"RUCIKA - Pipa PVC AW dia 1 inch Warna Abu-Abu")</f>
        <v>RUCIKA - Pipa PVC AW dia 1 inch Warna Abu-Abu</v>
      </c>
      <c r="C1460" s="2" t="str">
        <f>IFERROR(__xludf.DUMMYFUNCTION("""COMPUTED_VALUE"""),"P-12749-00")</f>
        <v>P-12749-00</v>
      </c>
      <c r="D1460" s="2" t="str">
        <f>if(isna(vlookup(C1460,'On Hand'!A:C,3,0)),"",vlookup(C1460,'On Hand'!A:C,3,0))</f>
        <v>pc</v>
      </c>
    </row>
    <row r="1461">
      <c r="A1461" s="2" t="str">
        <f>IFERROR(__xludf.DUMMYFUNCTION("""COMPUTED_VALUE"""),"P-12750-00")</f>
        <v>P-12750-00</v>
      </c>
      <c r="B1461" s="2" t="str">
        <f>IFERROR(__xludf.DUMMYFUNCTION("""COMPUTED_VALUE"""),"RUCIKA - Pipa PVC aw dia 1/2 inch Warna Abu-Abu")</f>
        <v>RUCIKA - Pipa PVC aw dia 1/2 inch Warna Abu-Abu</v>
      </c>
      <c r="C1461" s="2" t="str">
        <f>IFERROR(__xludf.DUMMYFUNCTION("""COMPUTED_VALUE"""),"P-12750-00")</f>
        <v>P-12750-00</v>
      </c>
      <c r="D1461" s="2" t="str">
        <f>if(isna(vlookup(C1461,'On Hand'!A:C,3,0)),"",vlookup(C1461,'On Hand'!A:C,3,0))</f>
        <v>pc</v>
      </c>
    </row>
    <row r="1462">
      <c r="A1462" s="2" t="str">
        <f>IFERROR(__xludf.DUMMYFUNCTION("""COMPUTED_VALUE"""),"P-12751-00")</f>
        <v>P-12751-00</v>
      </c>
      <c r="B1462" s="2" t="str">
        <f>IFERROR(__xludf.DUMMYFUNCTION("""COMPUTED_VALUE"""),"RUCIKA - Pipa PVC AW dia 2 inch Warna Abu-Abu")</f>
        <v>RUCIKA - Pipa PVC AW dia 2 inch Warna Abu-Abu</v>
      </c>
      <c r="C1462" s="2" t="str">
        <f>IFERROR(__xludf.DUMMYFUNCTION("""COMPUTED_VALUE"""),"P-12751-00")</f>
        <v>P-12751-00</v>
      </c>
      <c r="D1462" s="2" t="str">
        <f>if(isna(vlookup(C1462,'On Hand'!A:C,3,0)),"",vlookup(C1462,'On Hand'!A:C,3,0))</f>
        <v/>
      </c>
    </row>
    <row r="1463">
      <c r="A1463" s="2" t="str">
        <f>IFERROR(__xludf.DUMMYFUNCTION("""COMPUTED_VALUE"""),"P-12752-00")</f>
        <v>P-12752-00</v>
      </c>
      <c r="B1463" s="2" t="str">
        <f>IFERROR(__xludf.DUMMYFUNCTION("""COMPUTED_VALUE"""),"RUCIKA - Pipa PVC dia. 4inch")</f>
        <v>RUCIKA - Pipa PVC dia. 4inch</v>
      </c>
      <c r="C1463" s="2" t="str">
        <f>IFERROR(__xludf.DUMMYFUNCTION("""COMPUTED_VALUE"""),"P-12752-00")</f>
        <v>P-12752-00</v>
      </c>
      <c r="D1463" s="2" t="str">
        <f>if(isna(vlookup(C1463,'On Hand'!A:C,3,0)),"",vlookup(C1463,'On Hand'!A:C,3,0))</f>
        <v/>
      </c>
    </row>
    <row r="1464">
      <c r="A1464" s="2" t="str">
        <f>IFERROR(__xludf.DUMMYFUNCTION("""COMPUTED_VALUE"""),"P-12753-00")</f>
        <v>P-12753-00</v>
      </c>
      <c r="B1464" s="2" t="str">
        <f>IFERROR(__xludf.DUMMYFUNCTION("""COMPUTED_VALUE"""),"SANDFLEX - Mata Gergaji Besi 24TPI 12inch/300mm 10D")</f>
        <v>SANDFLEX - Mata Gergaji Besi 24TPI 12inch/300mm 10D</v>
      </c>
      <c r="C1464" s="2" t="str">
        <f>IFERROR(__xludf.DUMMYFUNCTION("""COMPUTED_VALUE"""),"P-12753-00")</f>
        <v>P-12753-00</v>
      </c>
      <c r="D1464" s="2" t="str">
        <f>if(isna(vlookup(C1464,'On Hand'!A:C,3,0)),"",vlookup(C1464,'On Hand'!A:C,3,0))</f>
        <v/>
      </c>
    </row>
    <row r="1465">
      <c r="A1465" s="2" t="str">
        <f>IFERROR(__xludf.DUMMYFUNCTION("""COMPUTED_VALUE"""),"P-12763-00")</f>
        <v>P-12763-00</v>
      </c>
      <c r="B1465" s="2" t="str">
        <f>IFERROR(__xludf.DUMMYFUNCTION("""COMPUTED_VALUE"""),"Silicone gasket for ferrule dia 1 1/2inch Taiwan")</f>
        <v>Silicone gasket for ferrule dia 1 1/2inch Taiwan</v>
      </c>
      <c r="C1465" s="2" t="str">
        <f>IFERROR(__xludf.DUMMYFUNCTION("""COMPUTED_VALUE"""),"P-12763-00")</f>
        <v>P-12763-00</v>
      </c>
      <c r="D1465" s="2" t="str">
        <f>if(isna(vlookup(C1465,'On Hand'!A:C,3,0)),"",vlookup(C1465,'On Hand'!A:C,3,0))</f>
        <v>pc</v>
      </c>
    </row>
    <row r="1466">
      <c r="A1466" s="2" t="str">
        <f>IFERROR(__xludf.DUMMYFUNCTION("""COMPUTED_VALUE"""),"P-12764-00")</f>
        <v>P-12764-00</v>
      </c>
      <c r="B1466" s="2" t="str">
        <f>IFERROR(__xludf.DUMMYFUNCTION("""COMPUTED_VALUE"""),"General - Silicone Gasket for Ferrule dia. 1/2inch; Custom; -; 1 pcs")</f>
        <v>General - Silicone Gasket for Ferrule dia. 1/2inch; Custom; -; 1 pcs</v>
      </c>
      <c r="C1466" s="2" t="str">
        <f>IFERROR(__xludf.DUMMYFUNCTION("""COMPUTED_VALUE"""),"P-12764-00")</f>
        <v>P-12764-00</v>
      </c>
      <c r="D1466" s="2" t="str">
        <f>if(isna(vlookup(C1466,'On Hand'!A:C,3,0)),"",vlookup(C1466,'On Hand'!A:C,3,0))</f>
        <v>pc</v>
      </c>
    </row>
    <row r="1467">
      <c r="A1467" s="2" t="str">
        <f>IFERROR(__xludf.DUMMYFUNCTION("""COMPUTED_VALUE"""),"P-12765-00")</f>
        <v>P-12765-00</v>
      </c>
      <c r="B1467" s="2" t="str">
        <f>IFERROR(__xludf.DUMMYFUNCTION("""COMPUTED_VALUE"""),"Silicone gasket for ferrule dia 2inch Taiwan")</f>
        <v>Silicone gasket for ferrule dia 2inch Taiwan</v>
      </c>
      <c r="C1467" s="2" t="str">
        <f>IFERROR(__xludf.DUMMYFUNCTION("""COMPUTED_VALUE"""),"P-12765-00")</f>
        <v>P-12765-00</v>
      </c>
      <c r="D1467" s="2" t="str">
        <f>if(isna(vlookup(C1467,'On Hand'!A:C,3,0)),"",vlookup(C1467,'On Hand'!A:C,3,0))</f>
        <v>pc</v>
      </c>
    </row>
    <row r="1468">
      <c r="A1468" s="2" t="str">
        <f>IFERROR(__xludf.DUMMYFUNCTION("""COMPUTED_VALUE"""),"P-12801-00")</f>
        <v>P-12801-00</v>
      </c>
      <c r="B1468" s="2" t="str">
        <f>IFERROR(__xludf.DUMMYFUNCTION("""COMPUTED_VALUE"""),"Sock Drat dalam PVC AW dia 1 1/2inch")</f>
        <v>Sock Drat dalam PVC AW dia 1 1/2inch</v>
      </c>
      <c r="C1468" s="2" t="str">
        <f>IFERROR(__xludf.DUMMYFUNCTION("""COMPUTED_VALUE"""),"P-12801-00")</f>
        <v>P-12801-00</v>
      </c>
      <c r="D1468" s="2" t="str">
        <f>if(isna(vlookup(C1468,'On Hand'!A:C,3,0)),"",vlookup(C1468,'On Hand'!A:C,3,0))</f>
        <v/>
      </c>
    </row>
    <row r="1469">
      <c r="A1469" s="2" t="str">
        <f>IFERROR(__xludf.DUMMYFUNCTION("""COMPUTED_VALUE"""),"P-12803-00")</f>
        <v>P-12803-00</v>
      </c>
      <c r="B1469" s="2" t="str">
        <f>IFERROR(__xludf.DUMMYFUNCTION("""COMPUTED_VALUE"""),"General - Socket Drat Dalam, PVC AW, 1""; No Brand; -; 1 pcs")</f>
        <v>General - Socket Drat Dalam, PVC AW, 1"; No Brand; -; 1 pcs</v>
      </c>
      <c r="C1469" s="2" t="str">
        <f>IFERROR(__xludf.DUMMYFUNCTION("""COMPUTED_VALUE"""),"P-12803-00")</f>
        <v>P-12803-00</v>
      </c>
      <c r="D1469" s="2" t="str">
        <f>if(isna(vlookup(C1469,'On Hand'!A:C,3,0)),"",vlookup(C1469,'On Hand'!A:C,3,0))</f>
        <v>pc</v>
      </c>
    </row>
    <row r="1470">
      <c r="A1470" s="2" t="str">
        <f>IFERROR(__xludf.DUMMYFUNCTION("""COMPUTED_VALUE"""),"P-12804-00")</f>
        <v>P-12804-00</v>
      </c>
      <c r="B1470" s="2" t="str">
        <f>IFERROR(__xludf.DUMMYFUNCTION("""COMPUTED_VALUE"""),"Sock Drat dalam PVC AW dia 1/2inch")</f>
        <v>Sock Drat dalam PVC AW dia 1/2inch</v>
      </c>
      <c r="C1470" s="2" t="str">
        <f>IFERROR(__xludf.DUMMYFUNCTION("""COMPUTED_VALUE"""),"P-12804-00")</f>
        <v>P-12804-00</v>
      </c>
      <c r="D1470" s="2" t="str">
        <f>if(isna(vlookup(C1470,'On Hand'!A:C,3,0)),"",vlookup(C1470,'On Hand'!A:C,3,0))</f>
        <v/>
      </c>
    </row>
    <row r="1471">
      <c r="A1471" s="2" t="str">
        <f>IFERROR(__xludf.DUMMYFUNCTION("""COMPUTED_VALUE"""),"P-12806-00")</f>
        <v>P-12806-00</v>
      </c>
      <c r="B1471" s="2" t="str">
        <f>IFERROR(__xludf.DUMMYFUNCTION("""COMPUTED_VALUE"""),"Sock Drat dalam PVC AW dia 3/4inch")</f>
        <v>Sock Drat dalam PVC AW dia 3/4inch</v>
      </c>
      <c r="C1471" s="2" t="str">
        <f>IFERROR(__xludf.DUMMYFUNCTION("""COMPUTED_VALUE"""),"P-12806-00")</f>
        <v>P-12806-00</v>
      </c>
      <c r="D1471" s="2" t="str">
        <f>if(isna(vlookup(C1471,'On Hand'!A:C,3,0)),"",vlookup(C1471,'On Hand'!A:C,3,0))</f>
        <v/>
      </c>
    </row>
    <row r="1472">
      <c r="A1472" s="2" t="str">
        <f>IFERROR(__xludf.DUMMYFUNCTION("""COMPUTED_VALUE"""),"P-12808-00")</f>
        <v>P-12808-00</v>
      </c>
      <c r="B1472" s="2" t="str">
        <f>IFERROR(__xludf.DUMMYFUNCTION("""COMPUTED_VALUE"""),"Sock Drat luar PVC AW dia 1 1/2inch")</f>
        <v>Sock Drat luar PVC AW dia 1 1/2inch</v>
      </c>
      <c r="C1472" s="2" t="str">
        <f>IFERROR(__xludf.DUMMYFUNCTION("""COMPUTED_VALUE"""),"P-12808-00")</f>
        <v>P-12808-00</v>
      </c>
      <c r="D1472" s="2" t="str">
        <f>if(isna(vlookup(C1472,'On Hand'!A:C,3,0)),"",vlookup(C1472,'On Hand'!A:C,3,0))</f>
        <v/>
      </c>
    </row>
    <row r="1473">
      <c r="A1473" s="2" t="str">
        <f>IFERROR(__xludf.DUMMYFUNCTION("""COMPUTED_VALUE"""),"P-12810-00")</f>
        <v>P-12810-00</v>
      </c>
      <c r="B1473" s="2" t="str">
        <f>IFERROR(__xludf.DUMMYFUNCTION("""COMPUTED_VALUE"""),"Sock Drat luar PVC AW dia 1inch")</f>
        <v>Sock Drat luar PVC AW dia 1inch</v>
      </c>
      <c r="C1473" s="2" t="str">
        <f>IFERROR(__xludf.DUMMYFUNCTION("""COMPUTED_VALUE"""),"P-12810-00")</f>
        <v>P-12810-00</v>
      </c>
      <c r="D1473" s="2" t="str">
        <f>if(isna(vlookup(C1473,'On Hand'!A:C,3,0)),"",vlookup(C1473,'On Hand'!A:C,3,0))</f>
        <v/>
      </c>
    </row>
    <row r="1474">
      <c r="A1474" s="2" t="str">
        <f>IFERROR(__xludf.DUMMYFUNCTION("""COMPUTED_VALUE"""),"P-12811-00")</f>
        <v>P-12811-00</v>
      </c>
      <c r="B1474" s="2" t="str">
        <f>IFERROR(__xludf.DUMMYFUNCTION("""COMPUTED_VALUE"""),"Sock Drat luar PVC AW dia 1/2inch")</f>
        <v>Sock Drat luar PVC AW dia 1/2inch</v>
      </c>
      <c r="C1474" s="2" t="str">
        <f>IFERROR(__xludf.DUMMYFUNCTION("""COMPUTED_VALUE"""),"P-12811-00")</f>
        <v>P-12811-00</v>
      </c>
      <c r="D1474" s="2" t="str">
        <f>if(isna(vlookup(C1474,'On Hand'!A:C,3,0)),"",vlookup(C1474,'On Hand'!A:C,3,0))</f>
        <v/>
      </c>
    </row>
    <row r="1475">
      <c r="A1475" s="2" t="str">
        <f>IFERROR(__xludf.DUMMYFUNCTION("""COMPUTED_VALUE"""),"P-12813-00")</f>
        <v>P-12813-00</v>
      </c>
      <c r="B1475" s="2" t="str">
        <f>IFERROR(__xludf.DUMMYFUNCTION("""COMPUTED_VALUE"""),"Sock Drat luar PVC AW dia 3/4inch")</f>
        <v>Sock Drat luar PVC AW dia 3/4inch</v>
      </c>
      <c r="C1475" s="2" t="str">
        <f>IFERROR(__xludf.DUMMYFUNCTION("""COMPUTED_VALUE"""),"P-12813-00")</f>
        <v>P-12813-00</v>
      </c>
      <c r="D1475" s="2" t="str">
        <f>if(isna(vlookup(C1475,'On Hand'!A:C,3,0)),"",vlookup(C1475,'On Hand'!A:C,3,0))</f>
        <v/>
      </c>
    </row>
    <row r="1476">
      <c r="A1476" s="2" t="str">
        <f>IFERROR(__xludf.DUMMYFUNCTION("""COMPUTED_VALUE"""),"P-12816-00")</f>
        <v>P-12816-00</v>
      </c>
      <c r="B1476" s="2" t="str">
        <f>IFERROR(__xludf.DUMMYFUNCTION("""COMPUTED_VALUE"""),"General - Socket, PVC AW, 1 1/2""; Rucika; -; 1 pcs")</f>
        <v>General - Socket, PVC AW, 1 1/2"; Rucika; -; 1 pcs</v>
      </c>
      <c r="C1476" s="2" t="str">
        <f>IFERROR(__xludf.DUMMYFUNCTION("""COMPUTED_VALUE"""),"P-12816-00")</f>
        <v>P-12816-00</v>
      </c>
      <c r="D1476" s="2" t="str">
        <f>if(isna(vlookup(C1476,'On Hand'!A:C,3,0)),"",vlookup(C1476,'On Hand'!A:C,3,0))</f>
        <v>pc</v>
      </c>
    </row>
    <row r="1477">
      <c r="A1477" s="2" t="str">
        <f>IFERROR(__xludf.DUMMYFUNCTION("""COMPUTED_VALUE"""),"P-12817-00")</f>
        <v>P-12817-00</v>
      </c>
      <c r="B1477" s="2" t="str">
        <f>IFERROR(__xludf.DUMMYFUNCTION("""COMPUTED_VALUE"""),"Sock PVC AW dia 1 1/4inch")</f>
        <v>Sock PVC AW dia 1 1/4inch</v>
      </c>
      <c r="C1477" s="2" t="str">
        <f>IFERROR(__xludf.DUMMYFUNCTION("""COMPUTED_VALUE"""),"P-12817-00")</f>
        <v>P-12817-00</v>
      </c>
      <c r="D1477" s="2" t="str">
        <f>if(isna(vlookup(C1477,'On Hand'!A:C,3,0)),"",vlookup(C1477,'On Hand'!A:C,3,0))</f>
        <v/>
      </c>
    </row>
    <row r="1478">
      <c r="A1478" s="2" t="str">
        <f>IFERROR(__xludf.DUMMYFUNCTION("""COMPUTED_VALUE"""),"P-12818-00")</f>
        <v>P-12818-00</v>
      </c>
      <c r="B1478" s="2" t="str">
        <f>IFERROR(__xludf.DUMMYFUNCTION("""COMPUTED_VALUE"""),"Sock PVC AW dia 1inch")</f>
        <v>Sock PVC AW dia 1inch</v>
      </c>
      <c r="C1478" s="2" t="str">
        <f>IFERROR(__xludf.DUMMYFUNCTION("""COMPUTED_VALUE"""),"P-12818-00")</f>
        <v>P-12818-00</v>
      </c>
      <c r="D1478" s="2" t="str">
        <f>if(isna(vlookup(C1478,'On Hand'!A:C,3,0)),"",vlookup(C1478,'On Hand'!A:C,3,0))</f>
        <v/>
      </c>
    </row>
    <row r="1479">
      <c r="A1479" s="2" t="str">
        <f>IFERROR(__xludf.DUMMYFUNCTION("""COMPUTED_VALUE"""),"P-12819-00")</f>
        <v>P-12819-00</v>
      </c>
      <c r="B1479" s="2" t="str">
        <f>IFERROR(__xludf.DUMMYFUNCTION("""COMPUTED_VALUE"""),"Sock PVC AW dia 1/2inch")</f>
        <v>Sock PVC AW dia 1/2inch</v>
      </c>
      <c r="C1479" s="2" t="str">
        <f>IFERROR(__xludf.DUMMYFUNCTION("""COMPUTED_VALUE"""),"P-12819-00")</f>
        <v>P-12819-00</v>
      </c>
      <c r="D1479" s="2" t="str">
        <f>if(isna(vlookup(C1479,'On Hand'!A:C,3,0)),"",vlookup(C1479,'On Hand'!A:C,3,0))</f>
        <v>pc</v>
      </c>
    </row>
    <row r="1480">
      <c r="A1480" s="2" t="str">
        <f>IFERROR(__xludf.DUMMYFUNCTION("""COMPUTED_VALUE"""),"P-12820-00")</f>
        <v>P-12820-00</v>
      </c>
      <c r="B1480" s="2" t="str">
        <f>IFERROR(__xludf.DUMMYFUNCTION("""COMPUTED_VALUE"""),"Sock PVC AW dia 2inch")</f>
        <v>Sock PVC AW dia 2inch</v>
      </c>
      <c r="C1480" s="2" t="str">
        <f>IFERROR(__xludf.DUMMYFUNCTION("""COMPUTED_VALUE"""),"P-12820-00")</f>
        <v>P-12820-00</v>
      </c>
      <c r="D1480" s="2" t="str">
        <f>if(isna(vlookup(C1480,'On Hand'!A:C,3,0)),"",vlookup(C1480,'On Hand'!A:C,3,0))</f>
        <v/>
      </c>
    </row>
    <row r="1481">
      <c r="A1481" s="2" t="str">
        <f>IFERROR(__xludf.DUMMYFUNCTION("""COMPUTED_VALUE"""),"P-12822-00")</f>
        <v>P-12822-00</v>
      </c>
      <c r="B1481" s="2" t="str">
        <f>IFERROR(__xludf.DUMMYFUNCTION("""COMPUTED_VALUE"""),"Sock PVC dia 3/4inch")</f>
        <v>Sock PVC dia 3/4inch</v>
      </c>
      <c r="C1481" s="2" t="str">
        <f>IFERROR(__xludf.DUMMYFUNCTION("""COMPUTED_VALUE"""),"P-12822-00")</f>
        <v>P-12822-00</v>
      </c>
      <c r="D1481" s="2" t="str">
        <f>if(isna(vlookup(C1481,'On Hand'!A:C,3,0)),"",vlookup(C1481,'On Hand'!A:C,3,0))</f>
        <v/>
      </c>
    </row>
    <row r="1482">
      <c r="A1482" s="2" t="str">
        <f>IFERROR(__xludf.DUMMYFUNCTION("""COMPUTED_VALUE"""),"P-12830-00")</f>
        <v>P-12830-00</v>
      </c>
      <c r="B1482" s="2" t="str">
        <f>IFERROR(__xludf.DUMMYFUNCTION("""COMPUTED_VALUE"""),"Sodium metabisulfit")</f>
        <v>Sodium metabisulfit</v>
      </c>
      <c r="C1482" s="2" t="str">
        <f>IFERROR(__xludf.DUMMYFUNCTION("""COMPUTED_VALUE"""),"P-12830-00")</f>
        <v>P-12830-00</v>
      </c>
      <c r="D1482" s="2" t="str">
        <f>if(isna(vlookup(C1482,'On Hand'!A:C,3,0)),"",vlookup(C1482,'On Hand'!A:C,3,0))</f>
        <v>pc</v>
      </c>
    </row>
    <row r="1483">
      <c r="A1483" s="2" t="str">
        <f>IFERROR(__xludf.DUMMYFUNCTION("""COMPUTED_VALUE"""),"P-12881-00")</f>
        <v>P-12881-00</v>
      </c>
      <c r="B1483" s="2" t="str">
        <f>IFERROR(__xludf.DUMMYFUNCTION("""COMPUTED_VALUE"""),"General - Tee, PVC AW, 1 1/2"" x 1 1/2""; No Brand; -; 1 pcs")</f>
        <v>General - Tee, PVC AW, 1 1/2" x 1 1/2"; No Brand; -; 1 pcs</v>
      </c>
      <c r="C1483" s="2" t="str">
        <f>IFERROR(__xludf.DUMMYFUNCTION("""COMPUTED_VALUE"""),"P-12881-00")</f>
        <v>P-12881-00</v>
      </c>
      <c r="D1483" s="2" t="str">
        <f>if(isna(vlookup(C1483,'On Hand'!A:C,3,0)),"",vlookup(C1483,'On Hand'!A:C,3,0))</f>
        <v>pc</v>
      </c>
    </row>
    <row r="1484">
      <c r="A1484" s="2" t="str">
        <f>IFERROR(__xludf.DUMMYFUNCTION("""COMPUTED_VALUE"""),"P-12883-00")</f>
        <v>P-12883-00</v>
      </c>
      <c r="B1484" s="2" t="str">
        <f>IFERROR(__xludf.DUMMYFUNCTION("""COMPUTED_VALUE"""),"Tee PVC AW General - Tee PVC AW dia 1/2inch X 1/2inch; Rucika; -; 1 pcs")</f>
        <v>Tee PVC AW General - Tee PVC AW dia 1/2inch X 1/2inch; Rucika; -; 1 pcs</v>
      </c>
      <c r="C1484" s="2" t="str">
        <f>IFERROR(__xludf.DUMMYFUNCTION("""COMPUTED_VALUE"""),"P-12883-00")</f>
        <v>P-12883-00</v>
      </c>
      <c r="D1484" s="2" t="str">
        <f>if(isna(vlookup(C1484,'On Hand'!A:C,3,0)),"",vlookup(C1484,'On Hand'!A:C,3,0))</f>
        <v>pc</v>
      </c>
    </row>
    <row r="1485">
      <c r="A1485" s="2" t="str">
        <f>IFERROR(__xludf.DUMMYFUNCTION("""COMPUTED_VALUE"""),"P-12888-00")</f>
        <v>P-12888-00</v>
      </c>
      <c r="B1485" s="2" t="str">
        <f>IFERROR(__xludf.DUMMYFUNCTION("""COMPUTED_VALUE"""),"Tee SS 304 screw dia 1/2inch")</f>
        <v>Tee SS 304 screw dia 1/2inch</v>
      </c>
      <c r="C1485" s="2" t="str">
        <f>IFERROR(__xludf.DUMMYFUNCTION("""COMPUTED_VALUE"""),"P-12888-00")</f>
        <v>P-12888-00</v>
      </c>
      <c r="D1485" s="2" t="str">
        <f>if(isna(vlookup(C1485,'On Hand'!A:C,3,0)),"",vlookup(C1485,'On Hand'!A:C,3,0))</f>
        <v/>
      </c>
    </row>
    <row r="1486">
      <c r="A1486" s="2" t="str">
        <f>IFERROR(__xludf.DUMMYFUNCTION("""COMPUTED_VALUE"""),"P-12889-00")</f>
        <v>P-12889-00</v>
      </c>
      <c r="B1486" s="2" t="str">
        <f>IFERROR(__xludf.DUMMYFUNCTION("""COMPUTED_VALUE"""),"Tee SS 316L 1inch x 1inch")</f>
        <v>Tee SS 316L 1inch x 1inch</v>
      </c>
      <c r="C1486" s="2" t="str">
        <f>IFERROR(__xludf.DUMMYFUNCTION("""COMPUTED_VALUE"""),"P-12889-00")</f>
        <v>P-12889-00</v>
      </c>
      <c r="D1486" s="2" t="str">
        <f>if(isna(vlookup(C1486,'On Hand'!A:C,3,0)),"",vlookup(C1486,'On Hand'!A:C,3,0))</f>
        <v/>
      </c>
    </row>
    <row r="1487">
      <c r="A1487" s="2" t="str">
        <f>IFERROR(__xludf.DUMMYFUNCTION("""COMPUTED_VALUE"""),"P-12898-00")</f>
        <v>P-12898-00</v>
      </c>
      <c r="B1487" s="2" t="str">
        <f>IFERROR(__xludf.DUMMYFUNCTION("""COMPUTED_VALUE"""),"Thermaflex lembaran uk. 1.5x1mtr tebal 1inch")</f>
        <v>Thermaflex lembaran uk. 1.5x1mtr tebal 1inch</v>
      </c>
      <c r="C1487" s="2" t="str">
        <f>IFERROR(__xludf.DUMMYFUNCTION("""COMPUTED_VALUE"""),"P-12898-00")</f>
        <v>P-12898-00</v>
      </c>
      <c r="D1487" s="2" t="str">
        <f>if(isna(vlookup(C1487,'On Hand'!A:C,3,0)),"",vlookup(C1487,'On Hand'!A:C,3,0))</f>
        <v>pc</v>
      </c>
    </row>
    <row r="1488">
      <c r="A1488" s="2" t="str">
        <f>IFERROR(__xludf.DUMMYFUNCTION("""COMPUTED_VALUE"""),"P-12920-00")</f>
        <v>P-12920-00</v>
      </c>
      <c r="B1488" s="2" t="str">
        <f>IFERROR(__xludf.DUMMYFUNCTION("""COMPUTED_VALUE"""),"General - Tungsten Electrodes dia 1.6 mm; No Brand; -; 1 pc")</f>
        <v>General - Tungsten Electrodes dia 1.6 mm; No Brand; -; 1 pc</v>
      </c>
      <c r="C1488" s="2" t="str">
        <f>IFERROR(__xludf.DUMMYFUNCTION("""COMPUTED_VALUE"""),"P-12920-00")</f>
        <v>P-12920-00</v>
      </c>
      <c r="D1488" s="2" t="str">
        <f>if(isna(vlookup(C1488,'On Hand'!A:C,3,0)),"",vlookup(C1488,'On Hand'!A:C,3,0))</f>
        <v>pc</v>
      </c>
    </row>
    <row r="1489">
      <c r="A1489" s="2" t="str">
        <f>IFERROR(__xludf.DUMMYFUNCTION("""COMPUTED_VALUE"""),"P-12930-00")</f>
        <v>P-12930-00</v>
      </c>
      <c r="B1489" s="2" t="str">
        <f>IFERROR(__xludf.DUMMYFUNCTION("""COMPUTED_VALUE"""),"V-trap PVC uk. 2inch")</f>
        <v>V-trap PVC uk. 2inch</v>
      </c>
      <c r="C1489" s="2" t="str">
        <f>IFERROR(__xludf.DUMMYFUNCTION("""COMPUTED_VALUE"""),"P-12930-00")</f>
        <v>P-12930-00</v>
      </c>
      <c r="D1489" s="2" t="str">
        <f>if(isna(vlookup(C1489,'On Hand'!A:C,3,0)),"",vlookup(C1489,'On Hand'!A:C,3,0))</f>
        <v/>
      </c>
    </row>
    <row r="1490">
      <c r="A1490" s="2" t="str">
        <f>IFERROR(__xludf.DUMMYFUNCTION("""COMPUTED_VALUE"""),"P-12942-00")</f>
        <v>P-12942-00</v>
      </c>
      <c r="B1490" s="2" t="str">
        <f>IFERROR(__xludf.DUMMYFUNCTION("""COMPUTED_VALUE"""),"Water Mur PVC dia 1inch")</f>
        <v>Water Mur PVC dia 1inch</v>
      </c>
      <c r="C1490" s="2" t="str">
        <f>IFERROR(__xludf.DUMMYFUNCTION("""COMPUTED_VALUE"""),"P-12942-00")</f>
        <v>P-12942-00</v>
      </c>
      <c r="D1490" s="2" t="str">
        <f>if(isna(vlookup(C1490,'On Hand'!A:C,3,0)),"",vlookup(C1490,'On Hand'!A:C,3,0))</f>
        <v>pc</v>
      </c>
    </row>
    <row r="1491">
      <c r="A1491" s="2" t="str">
        <f>IFERROR(__xludf.DUMMYFUNCTION("""COMPUTED_VALUE"""),"P-12943-00")</f>
        <v>P-12943-00</v>
      </c>
      <c r="B1491" s="2" t="str">
        <f>IFERROR(__xludf.DUMMYFUNCTION("""COMPUTED_VALUE"""),"Water Mur PVC dia 1/2inch")</f>
        <v>Water Mur PVC dia 1/2inch</v>
      </c>
      <c r="C1491" s="2" t="str">
        <f>IFERROR(__xludf.DUMMYFUNCTION("""COMPUTED_VALUE"""),"P-12943-00")</f>
        <v>P-12943-00</v>
      </c>
      <c r="D1491" s="2" t="str">
        <f>if(isna(vlookup(C1491,'On Hand'!A:C,3,0)),"",vlookup(C1491,'On Hand'!A:C,3,0))</f>
        <v/>
      </c>
    </row>
    <row r="1492">
      <c r="A1492" s="2" t="str">
        <f>IFERROR(__xludf.DUMMYFUNCTION("""COMPUTED_VALUE"""),"P-12944-00")</f>
        <v>P-12944-00</v>
      </c>
      <c r="B1492" s="2" t="str">
        <f>IFERROR(__xludf.DUMMYFUNCTION("""COMPUTED_VALUE"""),"Water mur PVC dia 2inch")</f>
        <v>Water mur PVC dia 2inch</v>
      </c>
      <c r="C1492" s="2" t="str">
        <f>IFERROR(__xludf.DUMMYFUNCTION("""COMPUTED_VALUE"""),"P-12944-00")</f>
        <v>P-12944-00</v>
      </c>
      <c r="D1492" s="2" t="str">
        <f>if(isna(vlookup(C1492,'On Hand'!A:C,3,0)),"",vlookup(C1492,'On Hand'!A:C,3,0))</f>
        <v/>
      </c>
    </row>
    <row r="1493">
      <c r="A1493" s="2" t="str">
        <f>IFERROR(__xludf.DUMMYFUNCTION("""COMPUTED_VALUE"""),"P-12951-00")</f>
        <v>P-12951-00</v>
      </c>
      <c r="B1493" s="2" t="str">
        <f>IFERROR(__xludf.DUMMYFUNCTION("""COMPUTED_VALUE"""),"Water mur SS 304 dia 3/4inch")</f>
        <v>Water mur SS 304 dia 3/4inch</v>
      </c>
      <c r="C1493" s="2" t="str">
        <f>IFERROR(__xludf.DUMMYFUNCTION("""COMPUTED_VALUE"""),"P-12951-00")</f>
        <v>P-12951-00</v>
      </c>
      <c r="D1493" s="2" t="str">
        <f>if(isna(vlookup(C1493,'On Hand'!A:C,3,0)),"",vlookup(C1493,'On Hand'!A:C,3,0))</f>
        <v/>
      </c>
    </row>
    <row r="1494">
      <c r="A1494" s="2" t="str">
        <f>IFERROR(__xludf.DUMMYFUNCTION("""COMPUTED_VALUE"""),"P-12983-00")</f>
        <v>P-12983-00</v>
      </c>
      <c r="B1494" s="2" t="str">
        <f>IFERROR(__xludf.DUMMYFUNCTION("""COMPUTED_VALUE"""),"Helicoil dia. M6x6mm")</f>
        <v>Helicoil dia. M6x6mm</v>
      </c>
      <c r="C1494" s="2" t="str">
        <f>IFERROR(__xludf.DUMMYFUNCTION("""COMPUTED_VALUE"""),"P-12983-00")</f>
        <v>P-12983-00</v>
      </c>
      <c r="D1494" s="2" t="str">
        <f>if(isna(vlookup(C1494,'On Hand'!A:C,3,0)),"",vlookup(C1494,'On Hand'!A:C,3,0))</f>
        <v>pc</v>
      </c>
    </row>
    <row r="1495">
      <c r="A1495" s="2" t="str">
        <f>IFERROR(__xludf.DUMMYFUNCTION("""COMPUTED_VALUE"""),"P-12984-00")</f>
        <v>P-12984-00</v>
      </c>
      <c r="B1495" s="2" t="str">
        <f>IFERROR(__xludf.DUMMYFUNCTION("""COMPUTED_VALUE"""),"Helicoil dia. M8x5mm")</f>
        <v>Helicoil dia. M8x5mm</v>
      </c>
      <c r="C1495" s="2" t="str">
        <f>IFERROR(__xludf.DUMMYFUNCTION("""COMPUTED_VALUE"""),"P-12984-00")</f>
        <v>P-12984-00</v>
      </c>
      <c r="D1495" s="2" t="str">
        <f>if(isna(vlookup(C1495,'On Hand'!A:C,3,0)),"",vlookup(C1495,'On Hand'!A:C,3,0))</f>
        <v/>
      </c>
    </row>
    <row r="1496">
      <c r="A1496" s="2" t="str">
        <f>IFERROR(__xludf.DUMMYFUNCTION("""COMPUTED_VALUE"""),"P-12994-00")</f>
        <v>P-12994-00</v>
      </c>
      <c r="B1496" s="2" t="str">
        <f>IFERROR(__xludf.DUMMYFUNCTION("""COMPUTED_VALUE"""),"General - Adhesive Tape -; Nippon; ASF-110FR; 1 pc")</f>
        <v>General - Adhesive Tape -; Nippon; ASF-110FR; 1 pc</v>
      </c>
      <c r="C1496" s="2" t="str">
        <f>IFERROR(__xludf.DUMMYFUNCTION("""COMPUTED_VALUE"""),"P-12994-00")</f>
        <v>P-12994-00</v>
      </c>
      <c r="D1496" s="2" t="str">
        <f>if(isna(vlookup(C1496,'On Hand'!A:C,3,0)),"",vlookup(C1496,'On Hand'!A:C,3,0))</f>
        <v>pc</v>
      </c>
    </row>
    <row r="1497">
      <c r="A1497" s="2" t="str">
        <f>IFERROR(__xludf.DUMMYFUNCTION("""COMPUTED_VALUE"""),"P-13033-00")</f>
        <v>P-13033-00</v>
      </c>
      <c r="B1497" s="2" t="str">
        <f>IFERROR(__xludf.DUMMYFUNCTION("""COMPUTED_VALUE"""),"Elbow long sanitary ss 316 dia. 1 Inch")</f>
        <v>Elbow long sanitary ss 316 dia. 1 Inch</v>
      </c>
      <c r="C1497" s="2" t="str">
        <f>IFERROR(__xludf.DUMMYFUNCTION("""COMPUTED_VALUE"""),"P-13033-00")</f>
        <v>P-13033-00</v>
      </c>
      <c r="D1497" s="2" t="str">
        <f>if(isna(vlookup(C1497,'On Hand'!A:C,3,0)),"",vlookup(C1497,'On Hand'!A:C,3,0))</f>
        <v/>
      </c>
    </row>
    <row r="1498">
      <c r="A1498" s="2" t="str">
        <f>IFERROR(__xludf.DUMMYFUNCTION("""COMPUTED_VALUE"""),"P-13037-00")</f>
        <v>P-13037-00</v>
      </c>
      <c r="B1498" s="2" t="str">
        <f>IFERROR(__xludf.DUMMYFUNCTION("""COMPUTED_VALUE"""),"Ferrule to hose 1 inchi")</f>
        <v>Ferrule to hose 1 inchi</v>
      </c>
      <c r="C1498" s="2" t="str">
        <f>IFERROR(__xludf.DUMMYFUNCTION("""COMPUTED_VALUE"""),"P-13037-00")</f>
        <v>P-13037-00</v>
      </c>
      <c r="D1498" s="2" t="str">
        <f>if(isna(vlookup(C1498,'On Hand'!A:C,3,0)),"",vlookup(C1498,'On Hand'!A:C,3,0))</f>
        <v/>
      </c>
    </row>
    <row r="1499">
      <c r="A1499" s="2" t="str">
        <f>IFERROR(__xludf.DUMMYFUNCTION("""COMPUTED_VALUE"""),"P-13039-00")</f>
        <v>P-13039-00</v>
      </c>
      <c r="B1499" s="2" t="str">
        <f>IFERROR(__xludf.DUMMYFUNCTION("""COMPUTED_VALUE"""),"Ferrule - Klem Ferrule 3/4inch SS 316L")</f>
        <v>Ferrule - Klem Ferrule 3/4inch SS 316L</v>
      </c>
      <c r="C1499" s="2" t="str">
        <f>IFERROR(__xludf.DUMMYFUNCTION("""COMPUTED_VALUE"""),"P-13039-00")</f>
        <v>P-13039-00</v>
      </c>
      <c r="D1499" s="2" t="str">
        <f>if(isna(vlookup(C1499,'On Hand'!A:C,3,0)),"",vlookup(C1499,'On Hand'!A:C,3,0))</f>
        <v/>
      </c>
    </row>
    <row r="1500">
      <c r="A1500" s="2" t="str">
        <f>IFERROR(__xludf.DUMMYFUNCTION("""COMPUTED_VALUE"""),"P-13060-00")</f>
        <v>P-13060-00</v>
      </c>
      <c r="B1500" s="2" t="str">
        <f>IFERROR(__xludf.DUMMYFUNCTION("""COMPUTED_VALUE"""),"Roda Caster Dia : 6"" Swivel Flange")</f>
        <v>Roda Caster Dia : 6" Swivel Flange</v>
      </c>
      <c r="C1500" s="2" t="str">
        <f>IFERROR(__xludf.DUMMYFUNCTION("""COMPUTED_VALUE"""),"P-13060-00")</f>
        <v>P-13060-00</v>
      </c>
      <c r="D1500" s="2" t="str">
        <f>if(isna(vlookup(C1500,'On Hand'!A:C,3,0)),"",vlookup(C1500,'On Hand'!A:C,3,0))</f>
        <v/>
      </c>
    </row>
    <row r="1501">
      <c r="A1501" s="2" t="str">
        <f>IFERROR(__xludf.DUMMYFUNCTION("""COMPUTED_VALUE"""),"P-13087-00")</f>
        <v>P-13087-00</v>
      </c>
      <c r="B1501" s="2" t="str">
        <f>IFERROR(__xludf.DUMMYFUNCTION("""COMPUTED_VALUE"""),"Sock Tembaga 1 5/8 inch")</f>
        <v>Sock Tembaga 1 5/8 inch</v>
      </c>
      <c r="C1501" s="2" t="str">
        <f>IFERROR(__xludf.DUMMYFUNCTION("""COMPUTED_VALUE"""),"P-13087-00")</f>
        <v>P-13087-00</v>
      </c>
      <c r="D1501" s="2" t="str">
        <f>if(isna(vlookup(C1501,'On Hand'!A:C,3,0)),"",vlookup(C1501,'On Hand'!A:C,3,0))</f>
        <v>pc</v>
      </c>
    </row>
    <row r="1502">
      <c r="A1502" s="2" t="str">
        <f>IFERROR(__xludf.DUMMYFUNCTION("""COMPUTED_VALUE"""),"P-13240-00")</f>
        <v>P-13240-00</v>
      </c>
      <c r="B1502" s="2" t="str">
        <f>IFERROR(__xludf.DUMMYFUNCTION("""COMPUTED_VALUE"""),"Elbow SS 304 welded dia 3/4inch")</f>
        <v>Elbow SS 304 welded dia 3/4inch</v>
      </c>
      <c r="C1502" s="2" t="str">
        <f>IFERROR(__xludf.DUMMYFUNCTION("""COMPUTED_VALUE"""),"P-13240-00")</f>
        <v>P-13240-00</v>
      </c>
      <c r="D1502" s="2" t="str">
        <f>if(isna(vlookup(C1502,'On Hand'!A:C,3,0)),"",vlookup(C1502,'On Hand'!A:C,3,0))</f>
        <v/>
      </c>
    </row>
    <row r="1503">
      <c r="A1503" s="2" t="str">
        <f>IFERROR(__xludf.DUMMYFUNCTION("""COMPUTED_VALUE"""),"P-13249-00")</f>
        <v>P-13249-00</v>
      </c>
      <c r="B1503" s="2" t="str">
        <f>IFERROR(__xludf.DUMMYFUNCTION("""COMPUTED_VALUE"""),"Pneumatic - E.MC UW-25 Press 0 ? 0.8 Mpa. Dia 1?")</f>
        <v>Pneumatic - E.MC UW-25 Press 0 ? 0.8 Mpa. Dia 1?</v>
      </c>
      <c r="C1503" s="2" t="str">
        <f>IFERROR(__xludf.DUMMYFUNCTION("""COMPUTED_VALUE"""),"P-13249-00")</f>
        <v>P-13249-00</v>
      </c>
      <c r="D1503" s="2" t="str">
        <f>if(isna(vlookup(C1503,'On Hand'!A:C,3,0)),"",vlookup(C1503,'On Hand'!A:C,3,0))</f>
        <v/>
      </c>
    </row>
    <row r="1504">
      <c r="A1504" s="2" t="str">
        <f>IFERROR(__xludf.DUMMYFUNCTION("""COMPUTED_VALUE"""),"P-13251-00")</f>
        <v>P-13251-00</v>
      </c>
      <c r="B1504" s="2" t="str">
        <f>IFERROR(__xludf.DUMMYFUNCTION("""COMPUTED_VALUE"""),"Tee SS 304 welded dia 1/2inch")</f>
        <v>Tee SS 304 welded dia 1/2inch</v>
      </c>
      <c r="C1504" s="2" t="str">
        <f>IFERROR(__xludf.DUMMYFUNCTION("""COMPUTED_VALUE"""),"P-13251-00")</f>
        <v>P-13251-00</v>
      </c>
      <c r="D1504" s="2" t="str">
        <f>if(isna(vlookup(C1504,'On Hand'!A:C,3,0)),"",vlookup(C1504,'On Hand'!A:C,3,0))</f>
        <v/>
      </c>
    </row>
    <row r="1505">
      <c r="A1505" s="2" t="str">
        <f>IFERROR(__xludf.DUMMYFUNCTION("""COMPUTED_VALUE"""),"P-13259-00")</f>
        <v>P-13259-00</v>
      </c>
      <c r="B1505" s="2" t="str">
        <f>IFERROR(__xludf.DUMMYFUNCTION("""COMPUTED_VALUE"""),"General - Socket Drat Dalam, SS 304, 1""; No Brand; -; 1 pcs")</f>
        <v>General - Socket Drat Dalam, SS 304, 1"; No Brand; -; 1 pcs</v>
      </c>
      <c r="C1505" s="2" t="str">
        <f>IFERROR(__xludf.DUMMYFUNCTION("""COMPUTED_VALUE"""),"P-13259-00")</f>
        <v>P-13259-00</v>
      </c>
      <c r="D1505" s="2" t="str">
        <f>if(isna(vlookup(C1505,'On Hand'!A:C,3,0)),"",vlookup(C1505,'On Hand'!A:C,3,0))</f>
        <v>pc</v>
      </c>
    </row>
    <row r="1506">
      <c r="A1506" s="2" t="str">
        <f>IFERROR(__xludf.DUMMYFUNCTION("""COMPUTED_VALUE"""),"P-13269-00")</f>
        <v>P-13269-00</v>
      </c>
      <c r="B1506" s="2" t="str">
        <f>IFERROR(__xludf.DUMMYFUNCTION("""COMPUTED_VALUE"""),"General - Socket, PVC, 4""; Rucika; -; 1 pcs")</f>
        <v>General - Socket, PVC, 4"; Rucika; -; 1 pcs</v>
      </c>
      <c r="C1506" s="2" t="str">
        <f>IFERROR(__xludf.DUMMYFUNCTION("""COMPUTED_VALUE"""),"P-13269-00")</f>
        <v>P-13269-00</v>
      </c>
      <c r="D1506" s="2" t="str">
        <f>if(isna(vlookup(C1506,'On Hand'!A:C,3,0)),"",vlookup(C1506,'On Hand'!A:C,3,0))</f>
        <v>pc</v>
      </c>
    </row>
    <row r="1507">
      <c r="A1507" s="2" t="str">
        <f>IFERROR(__xludf.DUMMYFUNCTION("""COMPUTED_VALUE"""),"P-13285-00")</f>
        <v>P-13285-00</v>
      </c>
      <c r="B1507" s="2" t="str">
        <f>IFERROR(__xludf.DUMMYFUNCTION("""COMPUTED_VALUE"""),"General - Socket Drat Luar, PVC, 1/2""; Rucika; -; 1 pcs")</f>
        <v>General - Socket Drat Luar, PVC, 1/2"; Rucika; -; 1 pcs</v>
      </c>
      <c r="C1507" s="2" t="str">
        <f>IFERROR(__xludf.DUMMYFUNCTION("""COMPUTED_VALUE"""),"P-13285-00")</f>
        <v>P-13285-00</v>
      </c>
      <c r="D1507" s="2" t="str">
        <f>if(isna(vlookup(C1507,'On Hand'!A:C,3,0)),"",vlookup(C1507,'On Hand'!A:C,3,0))</f>
        <v>pc</v>
      </c>
    </row>
    <row r="1508">
      <c r="A1508" s="2" t="str">
        <f>IFERROR(__xludf.DUMMYFUNCTION("""COMPUTED_VALUE"""),"P-13365-00")</f>
        <v>P-13365-00</v>
      </c>
      <c r="B1508" s="2" t="str">
        <f>IFERROR(__xludf.DUMMYFUNCTION("""COMPUTED_VALUE"""),"Cutting Wheel 14"" nippon resibon; ; ;")</f>
        <v>Cutting Wheel 14" nippon resibon; ; ;</v>
      </c>
      <c r="C1508" s="2" t="str">
        <f>IFERROR(__xludf.DUMMYFUNCTION("""COMPUTED_VALUE"""),"P-13365-00")</f>
        <v>P-13365-00</v>
      </c>
      <c r="D1508" s="2" t="str">
        <f>if(isna(vlookup(C1508,'On Hand'!A:C,3,0)),"",vlookup(C1508,'On Hand'!A:C,3,0))</f>
        <v>pc</v>
      </c>
    </row>
    <row r="1509">
      <c r="A1509" s="2" t="str">
        <f>IFERROR(__xludf.DUMMYFUNCTION("""COMPUTED_VALUE"""),"P-13367-00")</f>
        <v>P-13367-00</v>
      </c>
      <c r="B1509" s="2" t="str">
        <f>IFERROR(__xludf.DUMMYFUNCTION("""COMPUTED_VALUE"""),"TGK330 Temperature Sensor; Regin Control; ;")</f>
        <v>TGK330 Temperature Sensor; Regin Control; ;</v>
      </c>
      <c r="C1509" s="2" t="str">
        <f>IFERROR(__xludf.DUMMYFUNCTION("""COMPUTED_VALUE"""),"P-13367-00")</f>
        <v>P-13367-00</v>
      </c>
      <c r="D1509" s="2" t="str">
        <f>if(isna(vlookup(C1509,'On Hand'!A:C,3,0)),"",vlookup(C1509,'On Hand'!A:C,3,0))</f>
        <v>unt</v>
      </c>
    </row>
    <row r="1510">
      <c r="A1510" s="2" t="str">
        <f>IFERROR(__xludf.DUMMYFUNCTION("""COMPUTED_VALUE"""),"P-13368-00")</f>
        <v>P-13368-00</v>
      </c>
      <c r="B1510" s="2" t="str">
        <f>IFERROR(__xludf.DUMMYFUNCTION("""COMPUTED_VALUE"""),"PS300X Air Flow Switch; Regin Control; ;")</f>
        <v>PS300X Air Flow Switch; Regin Control; ;</v>
      </c>
      <c r="C1510" s="2" t="str">
        <f>IFERROR(__xludf.DUMMYFUNCTION("""COMPUTED_VALUE"""),"P-13368-00")</f>
        <v>P-13368-00</v>
      </c>
      <c r="D1510" s="2" t="str">
        <f>if(isna(vlookup(C1510,'On Hand'!A:C,3,0)),"",vlookup(C1510,'On Hand'!A:C,3,0))</f>
        <v>unt</v>
      </c>
    </row>
    <row r="1511">
      <c r="A1511" s="2" t="str">
        <f>IFERROR(__xludf.DUMMYFUNCTION("""COMPUTED_VALUE"""),"P-13369-00")</f>
        <v>P-13369-00</v>
      </c>
      <c r="B1511" s="2" t="str">
        <f>IFERROR(__xludf.DUMMYFUNCTION("""COMPUTED_VALUE"""),"MLTID85 Temperature Limit switch; Regin Control; ;")</f>
        <v>MLTID85 Temperature Limit switch; Regin Control; ;</v>
      </c>
      <c r="C1511" s="2" t="str">
        <f>IFERROR(__xludf.DUMMYFUNCTION("""COMPUTED_VALUE"""),"P-13369-00")</f>
        <v>P-13369-00</v>
      </c>
      <c r="D1511" s="2" t="str">
        <f>if(isna(vlookup(C1511,'On Hand'!A:C,3,0)),"",vlookup(C1511,'On Hand'!A:C,3,0))</f>
        <v>unt</v>
      </c>
    </row>
    <row r="1512">
      <c r="A1512" s="2" t="str">
        <f>IFERROR(__xludf.DUMMYFUNCTION("""COMPUTED_VALUE"""),"P-13370-00")</f>
        <v>P-13370-00</v>
      </c>
      <c r="B1512" s="2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2" s="2" t="str">
        <f>IFERROR(__xludf.DUMMYFUNCTION("""COMPUTED_VALUE"""),"P-13370-00")</f>
        <v>P-13370-00</v>
      </c>
      <c r="D1512" s="2" t="str">
        <f>if(isna(vlookup(C1512,'On Hand'!A:C,3,0)),"",vlookup(C1512,'On Hand'!A:C,3,0))</f>
        <v/>
      </c>
    </row>
    <row r="1513">
      <c r="A1513" s="2" t="str">
        <f>IFERROR(__xludf.DUMMYFUNCTION("""COMPUTED_VALUE"""),"P-13383-00")</f>
        <v>P-13383-00</v>
      </c>
      <c r="B1513" s="2" t="str">
        <f>IFERROR(__xludf.DUMMYFUNCTION("""COMPUTED_VALUE"""),"Silicone Sealant High Temp Red; ; ;")</f>
        <v>Silicone Sealant High Temp Red; ; ;</v>
      </c>
      <c r="C1513" s="2" t="str">
        <f>IFERROR(__xludf.DUMMYFUNCTION("""COMPUTED_VALUE"""),"P-13383-00")</f>
        <v>P-13383-00</v>
      </c>
      <c r="D1513" s="2" t="str">
        <f>if(isna(vlookup(C1513,'On Hand'!A:C,3,0)),"",vlookup(C1513,'On Hand'!A:C,3,0))</f>
        <v>pc</v>
      </c>
    </row>
    <row r="1514">
      <c r="A1514" s="2" t="str">
        <f>IFERROR(__xludf.DUMMYFUNCTION("""COMPUTED_VALUE"""),"P-13384-00")</f>
        <v>P-13384-00</v>
      </c>
      <c r="B1514" s="2" t="str">
        <f>IFERROR(__xludf.DUMMYFUNCTION("""COMPUTED_VALUE"""),"Sok Drat Luar 2"" Pvc Rucika; ; ;")</f>
        <v>Sok Drat Luar 2" Pvc Rucika; ; ;</v>
      </c>
      <c r="C1514" s="2" t="str">
        <f>IFERROR(__xludf.DUMMYFUNCTION("""COMPUTED_VALUE"""),"P-13384-00")</f>
        <v>P-13384-00</v>
      </c>
      <c r="D1514" s="2" t="str">
        <f>if(isna(vlookup(C1514,'On Hand'!A:C,3,0)),"",vlookup(C1514,'On Hand'!A:C,3,0))</f>
        <v>pc</v>
      </c>
    </row>
    <row r="1515">
      <c r="A1515" s="2" t="str">
        <f>IFERROR(__xludf.DUMMYFUNCTION("""COMPUTED_VALUE"""),"P-13385-00")</f>
        <v>P-13385-00</v>
      </c>
      <c r="B1515" s="2" t="str">
        <f>IFERROR(__xludf.DUMMYFUNCTION("""COMPUTED_VALUE"""),"Sok Drat Dalam 2 Pvc Rucika; ; ;")</f>
        <v>Sok Drat Dalam 2 Pvc Rucika; ; ;</v>
      </c>
      <c r="C1515" s="2" t="str">
        <f>IFERROR(__xludf.DUMMYFUNCTION("""COMPUTED_VALUE"""),"P-13385-00")</f>
        <v>P-13385-00</v>
      </c>
      <c r="D1515" s="2" t="str">
        <f>if(isna(vlookup(C1515,'On Hand'!A:C,3,0)),"",vlookup(C1515,'On Hand'!A:C,3,0))</f>
        <v>pc</v>
      </c>
    </row>
    <row r="1516">
      <c r="A1516" s="2" t="str">
        <f>IFERROR(__xludf.DUMMYFUNCTION("""COMPUTED_VALUE"""),"P-13386-00")</f>
        <v>P-13386-00</v>
      </c>
      <c r="B1516" s="2" t="str">
        <f>IFERROR(__xludf.DUMMYFUNCTION("""COMPUTED_VALUE"""),"Sok Polos 2"" Rucika; ; ;")</f>
        <v>Sok Polos 2" Rucika; ; ;</v>
      </c>
      <c r="C1516" s="2" t="str">
        <f>IFERROR(__xludf.DUMMYFUNCTION("""COMPUTED_VALUE"""),"P-13386-00")</f>
        <v>P-13386-00</v>
      </c>
      <c r="D1516" s="2" t="str">
        <f>if(isna(vlookup(C1516,'On Hand'!A:C,3,0)),"",vlookup(C1516,'On Hand'!A:C,3,0))</f>
        <v>pc</v>
      </c>
    </row>
    <row r="1517">
      <c r="A1517" s="2" t="str">
        <f>IFERROR(__xludf.DUMMYFUNCTION("""COMPUTED_VALUE"""),"P-13387-00")</f>
        <v>P-13387-00</v>
      </c>
      <c r="B1517" s="2" t="str">
        <f>IFERROR(__xludf.DUMMYFUNCTION("""COMPUTED_VALUE"""),"Watermur Pvc 1"" Polos Rucika; ; ;")</f>
        <v>Watermur Pvc 1" Polos Rucika; ; ;</v>
      </c>
      <c r="C1517" s="2" t="str">
        <f>IFERROR(__xludf.DUMMYFUNCTION("""COMPUTED_VALUE"""),"P-13387-00")</f>
        <v>P-13387-00</v>
      </c>
      <c r="D1517" s="2" t="str">
        <f>if(isna(vlookup(C1517,'On Hand'!A:C,3,0)),"",vlookup(C1517,'On Hand'!A:C,3,0))</f>
        <v/>
      </c>
    </row>
    <row r="1518">
      <c r="A1518" s="2" t="str">
        <f>IFERROR(__xludf.DUMMYFUNCTION("""COMPUTED_VALUE"""),"P-13388-00")</f>
        <v>P-13388-00</v>
      </c>
      <c r="B1518" s="2" t="str">
        <f>IFERROR(__xludf.DUMMYFUNCTION("""COMPUTED_VALUE"""),"General - Ball Valve 1/2inch; KITZ; -; 1 pcs")</f>
        <v>General - Ball Valve 1/2inch; KITZ; -; 1 pcs</v>
      </c>
      <c r="C1518" s="2" t="str">
        <f>IFERROR(__xludf.DUMMYFUNCTION("""COMPUTED_VALUE"""),"P-13388-00")</f>
        <v>P-13388-00</v>
      </c>
      <c r="D1518" s="2" t="str">
        <f>if(isna(vlookup(C1518,'On Hand'!A:C,3,0)),"",vlookup(C1518,'On Hand'!A:C,3,0))</f>
        <v>pc</v>
      </c>
    </row>
    <row r="1519">
      <c r="A1519" s="2" t="str">
        <f>IFERROR(__xludf.DUMMYFUNCTION("""COMPUTED_VALUE"""),"P-13389-00")</f>
        <v>P-13389-00</v>
      </c>
      <c r="B1519" s="2" t="str">
        <f>IFERROR(__xludf.DUMMYFUNCTION("""COMPUTED_VALUE"""),"Scotch Brite 3M; ; ;")</f>
        <v>Scotch Brite 3M; ; ;</v>
      </c>
      <c r="C1519" s="2" t="str">
        <f>IFERROR(__xludf.DUMMYFUNCTION("""COMPUTED_VALUE"""),"P-13389-00")</f>
        <v>P-13389-00</v>
      </c>
      <c r="D1519" s="2" t="str">
        <f>if(isna(vlookup(C1519,'On Hand'!A:C,3,0)),"",vlookup(C1519,'On Hand'!A:C,3,0))</f>
        <v>pc</v>
      </c>
    </row>
    <row r="1520">
      <c r="A1520" s="2" t="str">
        <f>IFERROR(__xludf.DUMMYFUNCTION("""COMPUTED_VALUE"""),"P-13395-00")</f>
        <v>P-13395-00</v>
      </c>
      <c r="B1520" s="2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0" s="2" t="str">
        <f>IFERROR(__xludf.DUMMYFUNCTION("""COMPUTED_VALUE"""),"P-13395-00")</f>
        <v>P-13395-00</v>
      </c>
      <c r="D1520" s="2" t="str">
        <f>if(isna(vlookup(C1520,'On Hand'!A:C,3,0)),"",vlookup(C1520,'On Hand'!A:C,3,0))</f>
        <v/>
      </c>
    </row>
    <row r="1521">
      <c r="A1521" s="2" t="str">
        <f>IFERROR(__xludf.DUMMYFUNCTION("""COMPUTED_VALUE"""),"P-13396-00")</f>
        <v>P-13396-00</v>
      </c>
      <c r="B1521" s="2" t="str">
        <f>IFERROR(__xludf.DUMMYFUNCTION("""COMPUTED_VALUE"""),"HEXAGON CRIMPING PLIER 4-16MM2; Krisbow; Part No. KW0103754;")</f>
        <v>HEXAGON CRIMPING PLIER 4-16MM2; Krisbow; Part No. KW0103754;</v>
      </c>
      <c r="C1521" s="2" t="str">
        <f>IFERROR(__xludf.DUMMYFUNCTION("""COMPUTED_VALUE"""),"P-13396-00")</f>
        <v>P-13396-00</v>
      </c>
      <c r="D1521" s="2" t="str">
        <f>if(isna(vlookup(C1521,'On Hand'!A:C,3,0)),"",vlookup(C1521,'On Hand'!A:C,3,0))</f>
        <v/>
      </c>
    </row>
    <row r="1522">
      <c r="A1522" s="2" t="str">
        <f>IFERROR(__xludf.DUMMYFUNCTION("""COMPUTED_VALUE"""),"P-13397-00")</f>
        <v>P-13397-00</v>
      </c>
      <c r="B1522" s="2" t="str">
        <f>IFERROR(__xludf.DUMMYFUNCTION("""COMPUTED_VALUE"""),"LED WORKLIGHT dan FLASHLIGHT 200dan60LM,3XAA; ; Part No. 10108194;")</f>
        <v>LED WORKLIGHT dan FLASHLIGHT 200dan60LM,3XAA; ; Part No. 10108194;</v>
      </c>
      <c r="C1522" s="2" t="str">
        <f>IFERROR(__xludf.DUMMYFUNCTION("""COMPUTED_VALUE"""),"P-13397-00")</f>
        <v>P-13397-00</v>
      </c>
      <c r="D1522" s="2" t="str">
        <f>if(isna(vlookup(C1522,'On Hand'!A:C,3,0)),"",vlookup(C1522,'On Hand'!A:C,3,0))</f>
        <v/>
      </c>
    </row>
    <row r="1523">
      <c r="A1523" s="2" t="str">
        <f>IFERROR(__xludf.DUMMYFUNCTION("""COMPUTED_VALUE"""),"P-13398-00")</f>
        <v>P-13398-00</v>
      </c>
      <c r="B1523" s="2" t="str">
        <f>IFERROR(__xludf.DUMMYFUNCTION("""COMPUTED_VALUE"""),"MEASURING TAPE 5MX19MM W/MAGNET; ; Part No. 10070238;")</f>
        <v>MEASURING TAPE 5MX19MM W/MAGNET; ; Part No. 10070238;</v>
      </c>
      <c r="C1523" s="2" t="str">
        <f>IFERROR(__xludf.DUMMYFUNCTION("""COMPUTED_VALUE"""),"P-13398-00")</f>
        <v>P-13398-00</v>
      </c>
      <c r="D1523" s="2" t="str">
        <f>if(isna(vlookup(C1523,'On Hand'!A:C,3,0)),"",vlookup(C1523,'On Hand'!A:C,3,0))</f>
        <v/>
      </c>
    </row>
    <row r="1524">
      <c r="A1524" s="2" t="str">
        <f>IFERROR(__xludf.DUMMYFUNCTION("""COMPUTED_VALUE"""),"P-13404-00")</f>
        <v>P-13404-00</v>
      </c>
      <c r="B1524" s="2" t="str">
        <f>IFERROR(__xludf.DUMMYFUNCTION("""COMPUTED_VALUE"""),"COMBINATION WRENCH SET 6-22MM 12PCS; Krisbow; Part No. KW0100332;")</f>
        <v>COMBINATION WRENCH SET 6-22MM 12PCS; Krisbow; Part No. KW0100332;</v>
      </c>
      <c r="C1524" s="2" t="str">
        <f>IFERROR(__xludf.DUMMYFUNCTION("""COMPUTED_VALUE"""),"P-13404-00")</f>
        <v>P-13404-00</v>
      </c>
      <c r="D1524" s="2" t="str">
        <f>if(isna(vlookup(C1524,'On Hand'!A:C,3,0)),"",vlookup(C1524,'On Hand'!A:C,3,0))</f>
        <v/>
      </c>
    </row>
    <row r="1525">
      <c r="A1525" s="2" t="str">
        <f>IFERROR(__xludf.DUMMYFUNCTION("""COMPUTED_VALUE"""),"P-13405-00")</f>
        <v>P-13405-00</v>
      </c>
      <c r="B1525" s="2" t="str">
        <f>IFERROR(__xludf.DUMMYFUNCTION("""COMPUTED_VALUE"""),"COMBINATION WRENCH SET 6-32MM 16PCS; Krisbow; Part No. KW0100333;")</f>
        <v>COMBINATION WRENCH SET 6-32MM 16PCS; Krisbow; Part No. KW0100333;</v>
      </c>
      <c r="C1525" s="2" t="str">
        <f>IFERROR(__xludf.DUMMYFUNCTION("""COMPUTED_VALUE"""),"P-13405-00")</f>
        <v>P-13405-00</v>
      </c>
      <c r="D1525" s="2" t="str">
        <f>if(isna(vlookup(C1525,'On Hand'!A:C,3,0)),"",vlookup(C1525,'On Hand'!A:C,3,0))</f>
        <v/>
      </c>
    </row>
    <row r="1526">
      <c r="A1526" s="2" t="str">
        <f>IFERROR(__xludf.DUMMYFUNCTION("""COMPUTED_VALUE"""),"P-13406-00")</f>
        <v>P-13406-00</v>
      </c>
      <c r="B1526" s="2" t="str">
        <f>IFERROR(__xludf.DUMMYFUNCTION("""COMPUTED_VALUE"""),"ADJUSTABLE WRENCH SOFTGRIP 6INC; Krisbow; Part No. KW0101962;")</f>
        <v>ADJUSTABLE WRENCH SOFTGRIP 6INC; Krisbow; Part No. KW0101962;</v>
      </c>
      <c r="C1526" s="2" t="str">
        <f>IFERROR(__xludf.DUMMYFUNCTION("""COMPUTED_VALUE"""),"P-13406-00")</f>
        <v>P-13406-00</v>
      </c>
      <c r="D1526" s="2" t="str">
        <f>if(isna(vlookup(C1526,'On Hand'!A:C,3,0)),"",vlookup(C1526,'On Hand'!A:C,3,0))</f>
        <v/>
      </c>
    </row>
    <row r="1527">
      <c r="A1527" s="2" t="str">
        <f>IFERROR(__xludf.DUMMYFUNCTION("""COMPUTED_VALUE"""),"P-13407-00")</f>
        <v>P-13407-00</v>
      </c>
      <c r="B1527" s="2" t="str">
        <f>IFERROR(__xludf.DUMMYFUNCTION("""COMPUTED_VALUE"""),"OPEN END WRENCH SET 6-22MM 8PCS; Krisbow; Part No. KW0100296;")</f>
        <v>OPEN END WRENCH SET 6-22MM 8PCS; Krisbow; Part No. KW0100296;</v>
      </c>
      <c r="C1527" s="2" t="str">
        <f>IFERROR(__xludf.DUMMYFUNCTION("""COMPUTED_VALUE"""),"P-13407-00")</f>
        <v>P-13407-00</v>
      </c>
      <c r="D1527" s="2" t="str">
        <f>if(isna(vlookup(C1527,'On Hand'!A:C,3,0)),"",vlookup(C1527,'On Hand'!A:C,3,0))</f>
        <v/>
      </c>
    </row>
    <row r="1528">
      <c r="A1528" s="2" t="str">
        <f>IFERROR(__xludf.DUMMYFUNCTION("""COMPUTED_VALUE"""),"P-13408-00")</f>
        <v>P-13408-00</v>
      </c>
      <c r="B1528" s="2" t="str">
        <f>IFERROR(__xludf.DUMMYFUNCTION("""COMPUTED_VALUE"""),"OPEN END WRENCH SET 6-32MM 12PCS; Krisbow; Part No. KW0100297;")</f>
        <v>OPEN END WRENCH SET 6-32MM 12PCS; Krisbow; Part No. KW0100297;</v>
      </c>
      <c r="C1528" s="2" t="str">
        <f>IFERROR(__xludf.DUMMYFUNCTION("""COMPUTED_VALUE"""),"P-13408-00")</f>
        <v>P-13408-00</v>
      </c>
      <c r="D1528" s="2" t="str">
        <f>if(isna(vlookup(C1528,'On Hand'!A:C,3,0)),"",vlookup(C1528,'On Hand'!A:C,3,0))</f>
        <v/>
      </c>
    </row>
    <row r="1529">
      <c r="A1529" s="2" t="str">
        <f>IFERROR(__xludf.DUMMYFUNCTION("""COMPUTED_VALUE"""),"P-13412-00")</f>
        <v>P-13412-00</v>
      </c>
      <c r="B1529" s="2" t="str">
        <f>IFERROR(__xludf.DUMMYFUNCTION("""COMPUTED_VALUE"""),"SCREWDRIVER SET 4PCS; Krisbow; Part No. KW0101633;")</f>
        <v>SCREWDRIVER SET 4PCS; Krisbow; Part No. KW0101633;</v>
      </c>
      <c r="C1529" s="2" t="str">
        <f>IFERROR(__xludf.DUMMYFUNCTION("""COMPUTED_VALUE"""),"P-13412-00")</f>
        <v>P-13412-00</v>
      </c>
      <c r="D1529" s="2" t="str">
        <f>if(isna(vlookup(C1529,'On Hand'!A:C,3,0)),"",vlookup(C1529,'On Hand'!A:C,3,0))</f>
        <v/>
      </c>
    </row>
    <row r="1530">
      <c r="A1530" s="2" t="str">
        <f>IFERROR(__xludf.DUMMYFUNCTION("""COMPUTED_VALUE"""),"P-13413-00")</f>
        <v>P-13413-00</v>
      </c>
      <c r="B1530" s="2" t="str">
        <f>IFERROR(__xludf.DUMMYFUNCTION("""COMPUTED_VALUE"""),"ELECTRICIAN SCREWDRIVER PZ 6X100MM; Krisbow; Part No. KW0100765;")</f>
        <v>ELECTRICIAN SCREWDRIVER PZ 6X100MM; Krisbow; Part No. KW0100765;</v>
      </c>
      <c r="C1530" s="2" t="str">
        <f>IFERROR(__xludf.DUMMYFUNCTION("""COMPUTED_VALUE"""),"P-13413-00")</f>
        <v>P-13413-00</v>
      </c>
      <c r="D1530" s="2" t="str">
        <f>if(isna(vlookup(C1530,'On Hand'!A:C,3,0)),"",vlookup(C1530,'On Hand'!A:C,3,0))</f>
        <v/>
      </c>
    </row>
    <row r="1531">
      <c r="A1531" s="2" t="str">
        <f>IFERROR(__xludf.DUMMYFUNCTION("""COMPUTED_VALUE"""),"P-13414-00")</f>
        <v>P-13414-00</v>
      </c>
      <c r="B1531" s="2" t="str">
        <f>IFERROR(__xludf.DUMMYFUNCTION("""COMPUTED_VALUE"""),"COMBINATION PLIER 6INC; Krisbow; Part No. KW0101352;")</f>
        <v>COMBINATION PLIER 6INC; Krisbow; Part No. KW0101352;</v>
      </c>
      <c r="C1531" s="2" t="str">
        <f>IFERROR(__xludf.DUMMYFUNCTION("""COMPUTED_VALUE"""),"P-13414-00")</f>
        <v>P-13414-00</v>
      </c>
      <c r="D1531" s="2" t="str">
        <f>if(isna(vlookup(C1531,'On Hand'!A:C,3,0)),"",vlookup(C1531,'On Hand'!A:C,3,0))</f>
        <v/>
      </c>
    </row>
    <row r="1532">
      <c r="A1532" s="2" t="str">
        <f>IFERROR(__xludf.DUMMYFUNCTION("""COMPUTED_VALUE"""),"P-13415-00")</f>
        <v>P-13415-00</v>
      </c>
      <c r="B1532" s="2" t="str">
        <f>IFERROR(__xludf.DUMMYFUNCTION("""COMPUTED_VALUE"""),"DIAGONAL CUTTER PLIER 6INC; Krisbow; Part No. KW0101358;")</f>
        <v>DIAGONAL CUTTER PLIER 6INC; Krisbow; Part No. KW0101358;</v>
      </c>
      <c r="C1532" s="2" t="str">
        <f>IFERROR(__xludf.DUMMYFUNCTION("""COMPUTED_VALUE"""),"P-13415-00")</f>
        <v>P-13415-00</v>
      </c>
      <c r="D1532" s="2" t="str">
        <f>if(isna(vlookup(C1532,'On Hand'!A:C,3,0)),"",vlookup(C1532,'On Hand'!A:C,3,0))</f>
        <v/>
      </c>
    </row>
    <row r="1533">
      <c r="A1533" s="2" t="str">
        <f>IFERROR(__xludf.DUMMYFUNCTION("""COMPUTED_VALUE"""),"P-13417-00")</f>
        <v>P-13417-00</v>
      </c>
      <c r="B1533" s="2" t="str">
        <f>IFERROR(__xludf.DUMMYFUNCTION("""COMPUTED_VALUE"""),"BALLPOINT HEX KEY L 1.5-10MM 9PCS; Krisbow; Part No. KW0101634;")</f>
        <v>BALLPOINT HEX KEY L 1.5-10MM 9PCS; Krisbow; Part No. KW0101634;</v>
      </c>
      <c r="C1533" s="2" t="str">
        <f>IFERROR(__xludf.DUMMYFUNCTION("""COMPUTED_VALUE"""),"P-13417-00")</f>
        <v>P-13417-00</v>
      </c>
      <c r="D1533" s="2" t="str">
        <f>if(isna(vlookup(C1533,'On Hand'!A:C,3,0)),"",vlookup(C1533,'On Hand'!A:C,3,0))</f>
        <v/>
      </c>
    </row>
    <row r="1534">
      <c r="A1534" s="2" t="str">
        <f>IFERROR(__xludf.DUMMYFUNCTION("""COMPUTED_VALUE"""),"P-13418-00")</f>
        <v>P-13418-00</v>
      </c>
      <c r="B1534" s="2" t="str">
        <f>IFERROR(__xludf.DUMMYFUNCTION("""COMPUTED_VALUE"""),"Non-Woven abrasive Size : 6 ""x 2"" 7; ; ;")</f>
        <v>Non-Woven abrasive Size : 6 "x 2" 7; ; ;</v>
      </c>
      <c r="C1534" s="2" t="str">
        <f>IFERROR(__xludf.DUMMYFUNCTION("""COMPUTED_VALUE"""),"P-13418-00")</f>
        <v>P-13418-00</v>
      </c>
      <c r="D1534" s="2" t="str">
        <f>if(isna(vlookup(C1534,'On Hand'!A:C,3,0)),"",vlookup(C1534,'On Hand'!A:C,3,0))</f>
        <v/>
      </c>
    </row>
    <row r="1535">
      <c r="A1535" s="2" t="str">
        <f>IFERROR(__xludf.DUMMYFUNCTION("""COMPUTED_VALUE"""),"P-13419-00")</f>
        <v>P-13419-00</v>
      </c>
      <c r="B1535" s="2" t="str">
        <f>IFERROR(__xludf.DUMMYFUNCTION("""COMPUTED_VALUE"""),"Tungsten tig weld Size : 2,4mm; ; ;")</f>
        <v>Tungsten tig weld Size : 2,4mm; ; ;</v>
      </c>
      <c r="C1535" s="2" t="str">
        <f>IFERROR(__xludf.DUMMYFUNCTION("""COMPUTED_VALUE"""),"P-13419-00")</f>
        <v>P-13419-00</v>
      </c>
      <c r="D1535" s="2" t="str">
        <f>if(isna(vlookup(C1535,'On Hand'!A:C,3,0)),"",vlookup(C1535,'On Hand'!A:C,3,0))</f>
        <v/>
      </c>
    </row>
    <row r="1536">
      <c r="A1536" s="2" t="str">
        <f>IFERROR(__xludf.DUMMYFUNCTION("""COMPUTED_VALUE"""),"P-13420-00")</f>
        <v>P-13420-00</v>
      </c>
      <c r="B1536" s="2" t="str">
        <f>IFERROR(__xludf.DUMMYFUNCTION("""COMPUTED_VALUE"""),"Tig Welder Torch No.5 Ceramic 5/16 Bore Size : no.5; ; ;")</f>
        <v>Tig Welder Torch No.5 Ceramic 5/16 Bore Size : no.5; ; ;</v>
      </c>
      <c r="C1536" s="2" t="str">
        <f>IFERROR(__xludf.DUMMYFUNCTION("""COMPUTED_VALUE"""),"P-13420-00")</f>
        <v>P-13420-00</v>
      </c>
      <c r="D1536" s="2" t="str">
        <f>if(isna(vlookup(C1536,'On Hand'!A:C,3,0)),"",vlookup(C1536,'On Hand'!A:C,3,0))</f>
        <v/>
      </c>
    </row>
    <row r="1537">
      <c r="A1537" s="2" t="str">
        <f>IFERROR(__xludf.DUMMYFUNCTION("""COMPUTED_VALUE"""),"P-13421-00")</f>
        <v>P-13421-00</v>
      </c>
      <c r="B1537" s="2" t="str">
        <f>IFERROR(__xludf.DUMMYFUNCTION("""COMPUTED_VALUE"""),"Tig Torch Medium Back Cap WP 9/20 Size : Long; ; ;")</f>
        <v>Tig Torch Medium Back Cap WP 9/20 Size : Long; ; ;</v>
      </c>
      <c r="C1537" s="2" t="str">
        <f>IFERROR(__xludf.DUMMYFUNCTION("""COMPUTED_VALUE"""),"P-13421-00")</f>
        <v>P-13421-00</v>
      </c>
      <c r="D1537" s="2" t="str">
        <f>if(isna(vlookup(C1537,'On Hand'!A:C,3,0)),"",vlookup(C1537,'On Hand'!A:C,3,0))</f>
        <v/>
      </c>
    </row>
    <row r="1538">
      <c r="A1538" s="2" t="str">
        <f>IFERROR(__xludf.DUMMYFUNCTION("""COMPUTED_VALUE"""),"P-13422-00")</f>
        <v>P-13422-00</v>
      </c>
      <c r="B1538" s="2" t="str">
        <f>IFERROR(__xludf.DUMMYFUNCTION("""COMPUTED_VALUE"""),"Tig Torch Medium Back Cap WP 9/20 Size : Medium")</f>
        <v>Tig Torch Medium Back Cap WP 9/20 Size : Medium</v>
      </c>
      <c r="C1538" s="2" t="str">
        <f>IFERROR(__xludf.DUMMYFUNCTION("""COMPUTED_VALUE"""),"P-13422-00")</f>
        <v>P-13422-00</v>
      </c>
      <c r="D1538" s="2" t="str">
        <f>if(isna(vlookup(C1538,'On Hand'!A:C,3,0)),"",vlookup(C1538,'On Hand'!A:C,3,0))</f>
        <v/>
      </c>
    </row>
    <row r="1539">
      <c r="A1539" s="2" t="str">
        <f>IFERROR(__xludf.DUMMYFUNCTION("""COMPUTED_VALUE"""),"P-13423-00")</f>
        <v>P-13423-00</v>
      </c>
      <c r="B1539" s="2" t="str">
        <f>IFERROR(__xludf.DUMMYFUNCTION("""COMPUTED_VALUE"""),"Tig Torch Short Back Cap WP9/20 Size : Short")</f>
        <v>Tig Torch Short Back Cap WP9/20 Size : Short</v>
      </c>
      <c r="C1539" s="2" t="str">
        <f>IFERROR(__xludf.DUMMYFUNCTION("""COMPUTED_VALUE"""),"P-13423-00")</f>
        <v>P-13423-00</v>
      </c>
      <c r="D1539" s="2" t="str">
        <f>if(isna(vlookup(C1539,'On Hand'!A:C,3,0)),"",vlookup(C1539,'On Hand'!A:C,3,0))</f>
        <v/>
      </c>
    </row>
    <row r="1540">
      <c r="A1540" s="2" t="str">
        <f>IFERROR(__xludf.DUMMYFUNCTION("""COMPUTED_VALUE"""),"P-13424-00")</f>
        <v>P-13424-00</v>
      </c>
      <c r="B1540" s="2" t="str">
        <f>IFERROR(__xludf.DUMMYFUNCTION("""COMPUTED_VALUE"""),"Gas Lens 2.4mm Std Body (WP9/20) Size : 2,4mm; ; ;")</f>
        <v>Gas Lens 2.4mm Std Body (WP9/20) Size : 2,4mm; ; ;</v>
      </c>
      <c r="C1540" s="2" t="str">
        <f>IFERROR(__xludf.DUMMYFUNCTION("""COMPUTED_VALUE"""),"P-13424-00")</f>
        <v>P-13424-00</v>
      </c>
      <c r="D1540" s="2" t="str">
        <f>if(isna(vlookup(C1540,'On Hand'!A:C,3,0)),"",vlookup(C1540,'On Hand'!A:C,3,0))</f>
        <v/>
      </c>
    </row>
    <row r="1541">
      <c r="A1541" s="2" t="str">
        <f>IFERROR(__xludf.DUMMYFUNCTION("""COMPUTED_VALUE"""),"P-13425-00")</f>
        <v>P-13425-00</v>
      </c>
      <c r="B1541" s="2" t="str">
        <f>IFERROR(__xludf.DUMMYFUNCTION("""COMPUTED_VALUE"""),"Tig Welder Torch Collet Body Size : 2,4mm; ; ;")</f>
        <v>Tig Welder Torch Collet Body Size : 2,4mm; ; ;</v>
      </c>
      <c r="C1541" s="2" t="str">
        <f>IFERROR(__xludf.DUMMYFUNCTION("""COMPUTED_VALUE"""),"P-13425-00")</f>
        <v>P-13425-00</v>
      </c>
      <c r="D1541" s="2" t="str">
        <f>if(isna(vlookup(C1541,'On Hand'!A:C,3,0)),"",vlookup(C1541,'On Hand'!A:C,3,0))</f>
        <v/>
      </c>
    </row>
    <row r="1542">
      <c r="A1542" s="2" t="str">
        <f>IFERROR(__xludf.DUMMYFUNCTION("""COMPUTED_VALUE"""),"P-13426-00")</f>
        <v>P-13426-00</v>
      </c>
      <c r="B1542" s="2" t="str">
        <f>IFERROR(__xludf.DUMMYFUNCTION("""COMPUTED_VALUE"""),"Tig Welder Torch Collet Body Size : 1,6mm; ; ;")</f>
        <v>Tig Welder Torch Collet Body Size : 1,6mm; ; ;</v>
      </c>
      <c r="C1542" s="2" t="str">
        <f>IFERROR(__xludf.DUMMYFUNCTION("""COMPUTED_VALUE"""),"P-13426-00")</f>
        <v>P-13426-00</v>
      </c>
      <c r="D1542" s="2" t="str">
        <f>if(isna(vlookup(C1542,'On Hand'!A:C,3,0)),"",vlookup(C1542,'On Hand'!A:C,3,0))</f>
        <v/>
      </c>
    </row>
    <row r="1543">
      <c r="A1543" s="2" t="str">
        <f>IFERROR(__xludf.DUMMYFUNCTION("""COMPUTED_VALUE"""),"P-13427-00")</f>
        <v>P-13427-00</v>
      </c>
      <c r="B1543" s="2" t="str">
        <f>IFERROR(__xludf.DUMMYFUNCTION("""COMPUTED_VALUE"""),"Tig Welder Torch Collet Size : 2,4mm; ; ;")</f>
        <v>Tig Welder Torch Collet Size : 2,4mm; ; ;</v>
      </c>
      <c r="C1543" s="2" t="str">
        <f>IFERROR(__xludf.DUMMYFUNCTION("""COMPUTED_VALUE"""),"P-13427-00")</f>
        <v>P-13427-00</v>
      </c>
      <c r="D1543" s="2" t="str">
        <f>if(isna(vlookup(C1543,'On Hand'!A:C,3,0)),"",vlookup(C1543,'On Hand'!A:C,3,0))</f>
        <v/>
      </c>
    </row>
    <row r="1544">
      <c r="A1544" s="2" t="str">
        <f>IFERROR(__xludf.DUMMYFUNCTION("""COMPUTED_VALUE"""),"P-13428-00")</f>
        <v>P-13428-00</v>
      </c>
      <c r="B1544" s="2" t="str">
        <f>IFERROR(__xludf.DUMMYFUNCTION("""COMPUTED_VALUE"""),"Tig Welder Torch Collet Size : 1,6mm; ; ;")</f>
        <v>Tig Welder Torch Collet Size : 1,6mm; ; ;</v>
      </c>
      <c r="C1544" s="2" t="str">
        <f>IFERROR(__xludf.DUMMYFUNCTION("""COMPUTED_VALUE"""),"P-13428-00")</f>
        <v>P-13428-00</v>
      </c>
      <c r="D1544" s="2" t="str">
        <f>if(isna(vlookup(C1544,'On Hand'!A:C,3,0)),"",vlookup(C1544,'On Hand'!A:C,3,0))</f>
        <v/>
      </c>
    </row>
    <row r="1545">
      <c r="A1545" s="2" t="str">
        <f>IFERROR(__xludf.DUMMYFUNCTION("""COMPUTED_VALUE"""),"P-13429-00")</f>
        <v>P-13429-00</v>
      </c>
      <c r="B1545" s="2" t="str">
        <f>IFERROR(__xludf.DUMMYFUNCTION("""COMPUTED_VALUE"""),"General - Cable Ducting 25mm x 40mm; Lokal; -; 1 pcs")</f>
        <v>General - Cable Ducting 25mm x 40mm; Lokal; -; 1 pcs</v>
      </c>
      <c r="C1545" s="2" t="str">
        <f>IFERROR(__xludf.DUMMYFUNCTION("""COMPUTED_VALUE"""),"P-13429-00")</f>
        <v>P-13429-00</v>
      </c>
      <c r="D1545" s="2" t="str">
        <f>if(isna(vlookup(C1545,'On Hand'!A:C,3,0)),"",vlookup(C1545,'On Hand'!A:C,3,0))</f>
        <v/>
      </c>
    </row>
    <row r="1546">
      <c r="A1546" s="2" t="str">
        <f>IFERROR(__xludf.DUMMYFUNCTION("""COMPUTED_VALUE"""),"P-13445-00")</f>
        <v>P-13445-00</v>
      </c>
      <c r="B1546" s="2" t="str">
        <f>IFERROR(__xludf.DUMMYFUNCTION("""COMPUTED_VALUE"""),"Plat Stainless Steel 304; ; ;")</f>
        <v>Plat Stainless Steel 304; ; ;</v>
      </c>
      <c r="C1546" s="2" t="str">
        <f>IFERROR(__xludf.DUMMYFUNCTION("""COMPUTED_VALUE"""),"P-13445-00")</f>
        <v>P-13445-00</v>
      </c>
      <c r="D1546" s="2" t="str">
        <f>if(isna(vlookup(C1546,'On Hand'!A:C,3,0)),"",vlookup(C1546,'On Hand'!A:C,3,0))</f>
        <v/>
      </c>
    </row>
    <row r="1547">
      <c r="A1547" s="2" t="str">
        <f>IFERROR(__xludf.DUMMYFUNCTION("""COMPUTED_VALUE"""),"P-13495-00")</f>
        <v>P-13495-00</v>
      </c>
      <c r="B1547" s="2" t="str">
        <f>IFERROR(__xludf.DUMMYFUNCTION("""COMPUTED_VALUE"""),"Tee Conection Thread SS304 3/4 inch; ; ;")</f>
        <v>Tee Conection Thread SS304 3/4 inch; ; ;</v>
      </c>
      <c r="C1547" s="2" t="str">
        <f>IFERROR(__xludf.DUMMYFUNCTION("""COMPUTED_VALUE"""),"P-13495-00")</f>
        <v>P-13495-00</v>
      </c>
      <c r="D1547" s="2" t="str">
        <f>if(isna(vlookup(C1547,'On Hand'!A:C,3,0)),"",vlookup(C1547,'On Hand'!A:C,3,0))</f>
        <v/>
      </c>
    </row>
    <row r="1548">
      <c r="A1548" s="2" t="str">
        <f>IFERROR(__xludf.DUMMYFUNCTION("""COMPUTED_VALUE"""),"P-13497-00")</f>
        <v>P-13497-00</v>
      </c>
      <c r="B1548" s="2" t="str">
        <f>IFERROR(__xludf.DUMMYFUNCTION("""COMPUTED_VALUE"""),"Engsel Piano SS")</f>
        <v>Engsel Piano SS</v>
      </c>
      <c r="C1548" s="2" t="str">
        <f>IFERROR(__xludf.DUMMYFUNCTION("""COMPUTED_VALUE"""),"P-13497-00")</f>
        <v>P-13497-00</v>
      </c>
      <c r="D1548" s="2" t="str">
        <f>if(isna(vlookup(C1548,'On Hand'!A:C,3,0)),"",vlookup(C1548,'On Hand'!A:C,3,0))</f>
        <v/>
      </c>
    </row>
    <row r="1549">
      <c r="A1549" s="2" t="str">
        <f>IFERROR(__xludf.DUMMYFUNCTION("""COMPUTED_VALUE"""),"P-13498-00")</f>
        <v>P-13498-00</v>
      </c>
      <c r="B1549" s="2" t="str">
        <f>IFERROR(__xludf.DUMMYFUNCTION("""COMPUTED_VALUE"""),"Panel Lock MS603")</f>
        <v>Panel Lock MS603</v>
      </c>
      <c r="C1549" s="2" t="str">
        <f>IFERROR(__xludf.DUMMYFUNCTION("""COMPUTED_VALUE"""),"P-13498-00")</f>
        <v>P-13498-00</v>
      </c>
      <c r="D1549" s="2" t="str">
        <f>if(isna(vlookup(C1549,'On Hand'!A:C,3,0)),"",vlookup(C1549,'On Hand'!A:C,3,0))</f>
        <v/>
      </c>
    </row>
    <row r="1550">
      <c r="A1550" s="2" t="str">
        <f>IFERROR(__xludf.DUMMYFUNCTION("""COMPUTED_VALUE"""),"P-13499-00")</f>
        <v>P-13499-00</v>
      </c>
      <c r="B1550" s="2" t="str">
        <f>IFERROR(__xludf.DUMMYFUNCTION("""COMPUTED_VALUE"""),"DOP Pipa PVC 4.0 inch")</f>
        <v>DOP Pipa PVC 4.0 inch</v>
      </c>
      <c r="C1550" s="2" t="str">
        <f>IFERROR(__xludf.DUMMYFUNCTION("""COMPUTED_VALUE"""),"P-13499-00")</f>
        <v>P-13499-00</v>
      </c>
      <c r="D1550" s="2" t="str">
        <f>if(isna(vlookup(C1550,'On Hand'!A:C,3,0)),"",vlookup(C1550,'On Hand'!A:C,3,0))</f>
        <v/>
      </c>
    </row>
    <row r="1551">
      <c r="A1551" s="2" t="str">
        <f>IFERROR(__xludf.DUMMYFUNCTION("""COMPUTED_VALUE"""),"P-13500-00")</f>
        <v>P-13500-00</v>
      </c>
      <c r="B1551" s="2" t="str">
        <f>IFERROR(__xludf.DUMMYFUNCTION("""COMPUTED_VALUE"""),"Elbow SCH10 welded SUS304 3/4 inch; ; ;")</f>
        <v>Elbow SCH10 welded SUS304 3/4 inch; ; ;</v>
      </c>
      <c r="C1551" s="2" t="str">
        <f>IFERROR(__xludf.DUMMYFUNCTION("""COMPUTED_VALUE"""),"P-13500-00")</f>
        <v>P-13500-00</v>
      </c>
      <c r="D1551" s="2" t="str">
        <f>if(isna(vlookup(C1551,'On Hand'!A:C,3,0)),"",vlookup(C1551,'On Hand'!A:C,3,0))</f>
        <v/>
      </c>
    </row>
    <row r="1552">
      <c r="A1552" s="2" t="str">
        <f>IFERROR(__xludf.DUMMYFUNCTION("""COMPUTED_VALUE"""),"P-13501-00")</f>
        <v>P-13501-00</v>
      </c>
      <c r="B1552" s="2" t="str">
        <f>IFERROR(__xludf.DUMMYFUNCTION("""COMPUTED_VALUE"""),"Pipa SCH10 SUS304 3/4 inch; ; ;")</f>
        <v>Pipa SCH10 SUS304 3/4 inch; ; ;</v>
      </c>
      <c r="C1552" s="2" t="str">
        <f>IFERROR(__xludf.DUMMYFUNCTION("""COMPUTED_VALUE"""),"P-13501-00")</f>
        <v>P-13501-00</v>
      </c>
      <c r="D1552" s="2" t="str">
        <f>if(isna(vlookup(C1552,'On Hand'!A:C,3,0)),"",vlookup(C1552,'On Hand'!A:C,3,0))</f>
        <v/>
      </c>
    </row>
    <row r="1553">
      <c r="A1553" s="2" t="str">
        <f>IFERROR(__xludf.DUMMYFUNCTION("""COMPUTED_VALUE"""),"P-13502-00")</f>
        <v>P-13502-00</v>
      </c>
      <c r="B1553" s="2" t="str">
        <f>IFERROR(__xludf.DUMMYFUNCTION("""COMPUTED_VALUE"""),"Thread pipa SUS304 3/4 inch")</f>
        <v>Thread pipa SUS304 3/4 inch</v>
      </c>
      <c r="C1553" s="2" t="str">
        <f>IFERROR(__xludf.DUMMYFUNCTION("""COMPUTED_VALUE"""),"P-13502-00")</f>
        <v>P-13502-00</v>
      </c>
      <c r="D1553" s="2" t="str">
        <f>if(isna(vlookup(C1553,'On Hand'!A:C,3,0)),"",vlookup(C1553,'On Hand'!A:C,3,0))</f>
        <v/>
      </c>
    </row>
    <row r="1554">
      <c r="A1554" s="2" t="str">
        <f>IFERROR(__xludf.DUMMYFUNCTION("""COMPUTED_VALUE"""),"P-13513-00")</f>
        <v>P-13513-00</v>
      </c>
      <c r="B1554" s="2" t="str">
        <f>IFERROR(__xludf.DUMMYFUNCTION("""COMPUTED_VALUE"""),"General - Magnehelic Pressure Gauges 2000-500Pa; Dwyer; -; 1 Pc")</f>
        <v>General - Magnehelic Pressure Gauges 2000-500Pa; Dwyer; -; 1 Pc</v>
      </c>
      <c r="C1554" s="2" t="str">
        <f>IFERROR(__xludf.DUMMYFUNCTION("""COMPUTED_VALUE"""),"P-13513-00")</f>
        <v>P-13513-00</v>
      </c>
      <c r="D1554" s="2" t="str">
        <f>if(isna(vlookup(C1554,'On Hand'!A:C,3,0)),"",vlookup(C1554,'On Hand'!A:C,3,0))</f>
        <v>Pck</v>
      </c>
    </row>
    <row r="1555">
      <c r="A1555" s="2" t="str">
        <f>IFERROR(__xludf.DUMMYFUNCTION("""COMPUTED_VALUE"""),"P-13530-00")</f>
        <v>P-13530-00</v>
      </c>
      <c r="B1555" s="2" t="str">
        <f>IFERROR(__xludf.DUMMYFUNCTION("""COMPUTED_VALUE"""),"Pressure Gauge Dial 2 1/2inch Connection Tri-clamp ferrule 1 1/2inch; ; ;")</f>
        <v>Pressure Gauge Dial 2 1/2inch Connection Tri-clamp ferrule 1 1/2inch; ; ;</v>
      </c>
      <c r="C1555" s="2" t="str">
        <f>IFERROR(__xludf.DUMMYFUNCTION("""COMPUTED_VALUE"""),"P-13530-00")</f>
        <v>P-13530-00</v>
      </c>
      <c r="D1555" s="2" t="str">
        <f>if(isna(vlookup(C1555,'On Hand'!A:C,3,0)),"",vlookup(C1555,'On Hand'!A:C,3,0))</f>
        <v/>
      </c>
    </row>
    <row r="1556">
      <c r="A1556" s="2" t="str">
        <f>IFERROR(__xludf.DUMMYFUNCTION("""COMPUTED_VALUE"""),"P-13533-00")</f>
        <v>P-13533-00</v>
      </c>
      <c r="B1556" s="2" t="str">
        <f>IFERROR(__xludf.DUMMYFUNCTION("""COMPUTED_VALUE"""),"Needle Valve SS304 1/4"" Kitz; ; ;")</f>
        <v>Needle Valve SS304 1/4" Kitz; ; ;</v>
      </c>
      <c r="C1556" s="2" t="str">
        <f>IFERROR(__xludf.DUMMYFUNCTION("""COMPUTED_VALUE"""),"P-13533-00")</f>
        <v>P-13533-00</v>
      </c>
      <c r="D1556" s="2" t="str">
        <f>if(isna(vlookup(C1556,'On Hand'!A:C,3,0)),"",vlookup(C1556,'On Hand'!A:C,3,0))</f>
        <v/>
      </c>
    </row>
    <row r="1557">
      <c r="A1557" s="2" t="str">
        <f>IFERROR(__xludf.DUMMYFUNCTION("""COMPUTED_VALUE"""),"P-13534-00")</f>
        <v>P-13534-00</v>
      </c>
      <c r="B1557" s="2" t="str">
        <f>IFERROR(__xludf.DUMMYFUNCTION("""COMPUTED_VALUE"""),"Needle Valve Kuningan 1/4"" Kitz; ; ;")</f>
        <v>Needle Valve Kuningan 1/4" Kitz; ; ;</v>
      </c>
      <c r="C1557" s="2" t="str">
        <f>IFERROR(__xludf.DUMMYFUNCTION("""COMPUTED_VALUE"""),"P-13534-00")</f>
        <v>P-13534-00</v>
      </c>
      <c r="D1557" s="2" t="str">
        <f>if(isna(vlookup(C1557,'On Hand'!A:C,3,0)),"",vlookup(C1557,'On Hand'!A:C,3,0))</f>
        <v/>
      </c>
    </row>
    <row r="1558">
      <c r="A1558" s="2" t="str">
        <f>IFERROR(__xludf.DUMMYFUNCTION("""COMPUTED_VALUE"""),"P-13552-00")</f>
        <v>P-13552-00</v>
      </c>
      <c r="B1558" s="2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8" s="2" t="str">
        <f>IFERROR(__xludf.DUMMYFUNCTION("""COMPUTED_VALUE"""),"P-13552-00")</f>
        <v>P-13552-00</v>
      </c>
      <c r="D1558" s="2" t="str">
        <f>if(isna(vlookup(C1558,'On Hand'!A:C,3,0)),"",vlookup(C1558,'On Hand'!A:C,3,0))</f>
        <v/>
      </c>
    </row>
    <row r="1559">
      <c r="A1559" s="2" t="str">
        <f>IFERROR(__xludf.DUMMYFUNCTION("""COMPUTED_VALUE"""),"P-13557-00")</f>
        <v>P-13557-00</v>
      </c>
      <c r="B1559" s="2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59" s="2" t="str">
        <f>IFERROR(__xludf.DUMMYFUNCTION("""COMPUTED_VALUE"""),"P-13557-00")</f>
        <v>P-13557-00</v>
      </c>
      <c r="D1559" s="2" t="str">
        <f>if(isna(vlookup(C1559,'On Hand'!A:C,3,0)),"",vlookup(C1559,'On Hand'!A:C,3,0))</f>
        <v/>
      </c>
    </row>
    <row r="1560">
      <c r="A1560" s="2" t="str">
        <f>IFERROR(__xludf.DUMMYFUNCTION("""COMPUTED_VALUE"""),"P-13558-00")</f>
        <v>P-13558-00</v>
      </c>
      <c r="B1560" s="2" t="str">
        <f>IFERROR(__xludf.DUMMYFUNCTION("""COMPUTED_VALUE"""),"Selenoid Valve  4V210-08 24 VDC; ; ;")</f>
        <v>Selenoid Valve  4V210-08 24 VDC; ; ;</v>
      </c>
      <c r="C1560" s="2" t="str">
        <f>IFERROR(__xludf.DUMMYFUNCTION("""COMPUTED_VALUE"""),"P-13558-00")</f>
        <v>P-13558-00</v>
      </c>
      <c r="D1560" s="2" t="str">
        <f>if(isna(vlookup(C1560,'On Hand'!A:C,3,0)),"",vlookup(C1560,'On Hand'!A:C,3,0))</f>
        <v/>
      </c>
    </row>
    <row r="1561">
      <c r="A1561" s="2" t="str">
        <f>IFERROR(__xludf.DUMMYFUNCTION("""COMPUTED_VALUE"""),"P-13562-00")</f>
        <v>P-13562-00</v>
      </c>
      <c r="B1561" s="2" t="str">
        <f>IFERROR(__xludf.DUMMYFUNCTION("""COMPUTED_VALUE"""),"Y-Strainer Brass 1 inch; ; ;")</f>
        <v>Y-Strainer Brass 1 inch; ; ;</v>
      </c>
      <c r="C1561" s="2" t="str">
        <f>IFERROR(__xludf.DUMMYFUNCTION("""COMPUTED_VALUE"""),"P-13562-00")</f>
        <v>P-13562-00</v>
      </c>
      <c r="D1561" s="2" t="str">
        <f>if(isna(vlookup(C1561,'On Hand'!A:C,3,0)),"",vlookup(C1561,'On Hand'!A:C,3,0))</f>
        <v/>
      </c>
    </row>
    <row r="1562">
      <c r="A1562" s="2" t="str">
        <f>IFERROR(__xludf.DUMMYFUNCTION("""COMPUTED_VALUE"""),"P-13563-00")</f>
        <v>P-13563-00</v>
      </c>
      <c r="B1562" s="2" t="str">
        <f>IFERROR(__xludf.DUMMYFUNCTION("""COMPUTED_VALUE"""),"Selenoid Valve 2 way, 220VAC, UW-25 UNI-D; ; ;")</f>
        <v>Selenoid Valve 2 way, 220VAC, UW-25 UNI-D; ; ;</v>
      </c>
      <c r="C1562" s="2" t="str">
        <f>IFERROR(__xludf.DUMMYFUNCTION("""COMPUTED_VALUE"""),"P-13563-00")</f>
        <v>P-13563-00</v>
      </c>
      <c r="D1562" s="2" t="str">
        <f>if(isna(vlookup(C1562,'On Hand'!A:C,3,0)),"",vlookup(C1562,'On Hand'!A:C,3,0))</f>
        <v/>
      </c>
    </row>
    <row r="1563">
      <c r="A1563" s="2" t="str">
        <f>IFERROR(__xludf.DUMMYFUNCTION("""COMPUTED_VALUE"""),"P-13564-00")</f>
        <v>P-13564-00</v>
      </c>
      <c r="B1563" s="2" t="str">
        <f>IFERROR(__xludf.DUMMYFUNCTION("""COMPUTED_VALUE"""),"Pipa Ornamen SS 304 1 1/4inchx 1mm x 6mtr; ; ;")</f>
        <v>Pipa Ornamen SS 304 1 1/4inchx 1mm x 6mtr; ; ;</v>
      </c>
      <c r="C1563" s="2" t="str">
        <f>IFERROR(__xludf.DUMMYFUNCTION("""COMPUTED_VALUE"""),"P-13564-00")</f>
        <v>P-13564-00</v>
      </c>
      <c r="D1563" s="2" t="str">
        <f>if(isna(vlookup(C1563,'On Hand'!A:C,3,0)),"",vlookup(C1563,'On Hand'!A:C,3,0))</f>
        <v/>
      </c>
    </row>
    <row r="1564">
      <c r="A1564" s="2" t="str">
        <f>IFERROR(__xludf.DUMMYFUNCTION("""COMPUTED_VALUE"""),"P-13575-00")</f>
        <v>P-13575-00</v>
      </c>
      <c r="B1564" s="2" t="str">
        <f>IFERROR(__xludf.DUMMYFUNCTION("""COMPUTED_VALUE"""),"Plotter Pen Purple Model: B9902AR for Recorder Yokogawa Model: SR10002; ; ;")</f>
        <v>Plotter Pen Purple Model: B9902AR for Recorder Yokogawa Model: SR10002; ; ;</v>
      </c>
      <c r="C1564" s="2" t="str">
        <f>IFERROR(__xludf.DUMMYFUNCTION("""COMPUTED_VALUE"""),"P-13575-00")</f>
        <v>P-13575-00</v>
      </c>
      <c r="D1564" s="2" t="str">
        <f>if(isna(vlookup(C1564,'On Hand'!A:C,3,0)),"",vlookup(C1564,'On Hand'!A:C,3,0))</f>
        <v/>
      </c>
    </row>
    <row r="1565">
      <c r="A1565" s="2" t="str">
        <f>IFERROR(__xludf.DUMMYFUNCTION("""COMPUTED_VALUE"""),"P-13576-00")</f>
        <v>P-13576-00</v>
      </c>
      <c r="B1565" s="2" t="str">
        <f>IFERROR(__xludf.DUMMYFUNCTION("""COMPUTED_VALUE"""),"Pen Cartridge Green Model: B9902AN for Recorder Yokogawa Model: SR10002; ; ;")</f>
        <v>Pen Cartridge Green Model: B9902AN for Recorder Yokogawa Model: SR10002; ; ;</v>
      </c>
      <c r="C1565" s="2" t="str">
        <f>IFERROR(__xludf.DUMMYFUNCTION("""COMPUTED_VALUE"""),"P-13576-00")</f>
        <v>P-13576-00</v>
      </c>
      <c r="D1565" s="2" t="str">
        <f>if(isna(vlookup(C1565,'On Hand'!A:C,3,0)),"",vlookup(C1565,'On Hand'!A:C,3,0))</f>
        <v>ST</v>
      </c>
    </row>
    <row r="1566">
      <c r="A1566" s="2" t="str">
        <f>IFERROR(__xludf.DUMMYFUNCTION("""COMPUTED_VALUE"""),"P-13577-00")</f>
        <v>P-13577-00</v>
      </c>
      <c r="B1566" s="2" t="str">
        <f>IFERROR(__xludf.DUMMYFUNCTION("""COMPUTED_VALUE"""),"Pen Cartridge Red Model: B9902AM for Recorder Yokogawa Model: SR10002; ; ;")</f>
        <v>Pen Cartridge Red Model: B9902AM for Recorder Yokogawa Model: SR10002; ; ;</v>
      </c>
      <c r="C1566" s="2" t="str">
        <f>IFERROR(__xludf.DUMMYFUNCTION("""COMPUTED_VALUE"""),"P-13577-00")</f>
        <v>P-13577-00</v>
      </c>
      <c r="D1566" s="2" t="str">
        <f>if(isna(vlookup(C1566,'On Hand'!A:C,3,0)),"",vlookup(C1566,'On Hand'!A:C,3,0))</f>
        <v/>
      </c>
    </row>
    <row r="1567">
      <c r="A1567" s="2" t="str">
        <f>IFERROR(__xludf.DUMMYFUNCTION("""COMPUTED_VALUE"""),"P-13581-00")</f>
        <v>P-13581-00</v>
      </c>
      <c r="B1567" s="2" t="str">
        <f>IFERROR(__xludf.DUMMYFUNCTION("""COMPUTED_VALUE"""),"Mata Bor HSS-R")</f>
        <v>Mata Bor HSS-R</v>
      </c>
      <c r="C1567" s="2" t="str">
        <f>IFERROR(__xludf.DUMMYFUNCTION("""COMPUTED_VALUE"""),"P-13581-00")</f>
        <v>P-13581-00</v>
      </c>
      <c r="D1567" s="2" t="str">
        <f>if(isna(vlookup(C1567,'On Hand'!A:C,3,0)),"",vlookup(C1567,'On Hand'!A:C,3,0))</f>
        <v/>
      </c>
    </row>
    <row r="1568">
      <c r="A1568" s="2" t="str">
        <f>IFERROR(__xludf.DUMMYFUNCTION("""COMPUTED_VALUE"""),"P-13595-00")</f>
        <v>P-13595-00</v>
      </c>
      <c r="B1568" s="2" t="str">
        <f>IFERROR(__xludf.DUMMYFUNCTION("""COMPUTED_VALUE"""),"Ball Valve Sanitary SS316 PTFE Connection:Ferrule/Triclamp 3inch")</f>
        <v>Ball Valve Sanitary SS316 PTFE Connection:Ferrule/Triclamp 3inch</v>
      </c>
      <c r="C1568" s="2" t="str">
        <f>IFERROR(__xludf.DUMMYFUNCTION("""COMPUTED_VALUE"""),"P-13595-00")</f>
        <v>P-13595-00</v>
      </c>
      <c r="D1568" s="2" t="str">
        <f>if(isna(vlookup(C1568,'On Hand'!A:C,3,0)),"",vlookup(C1568,'On Hand'!A:C,3,0))</f>
        <v/>
      </c>
    </row>
    <row r="1569">
      <c r="A1569" s="2" t="str">
        <f>IFERROR(__xludf.DUMMYFUNCTION("""COMPUTED_VALUE"""),"P-13596-00")</f>
        <v>P-13596-00</v>
      </c>
      <c r="B1569" s="2" t="str">
        <f>IFERROR(__xludf.DUMMYFUNCTION("""COMPUTED_VALUE"""),"Cutting Diamond Disc for Ceramic Turbo Bosch")</f>
        <v>Cutting Diamond Disc for Ceramic Turbo Bosch</v>
      </c>
      <c r="C1569" s="2" t="str">
        <f>IFERROR(__xludf.DUMMYFUNCTION("""COMPUTED_VALUE"""),"P-13596-00")</f>
        <v>P-13596-00</v>
      </c>
      <c r="D1569" s="2" t="str">
        <f>if(isna(vlookup(C1569,'On Hand'!A:C,3,0)),"",vlookup(C1569,'On Hand'!A:C,3,0))</f>
        <v/>
      </c>
    </row>
    <row r="1570">
      <c r="A1570" s="2" t="str">
        <f>IFERROR(__xludf.DUMMYFUNCTION("""COMPUTED_VALUE"""),"P-13597-00")</f>
        <v>P-13597-00</v>
      </c>
      <c r="B1570" s="2" t="str">
        <f>IFERROR(__xludf.DUMMYFUNCTION("""COMPUTED_VALUE"""),"Selang Gas ukuran 1/4 inch")</f>
        <v>Selang Gas ukuran 1/4 inch</v>
      </c>
      <c r="C1570" s="2" t="str">
        <f>IFERROR(__xludf.DUMMYFUNCTION("""COMPUTED_VALUE"""),"P-13597-00")</f>
        <v>P-13597-00</v>
      </c>
      <c r="D1570" s="2" t="str">
        <f>if(isna(vlookup(C1570,'On Hand'!A:C,3,0)),"",vlookup(C1570,'On Hand'!A:C,3,0))</f>
        <v/>
      </c>
    </row>
    <row r="1571">
      <c r="A1571" s="2" t="str">
        <f>IFERROR(__xludf.DUMMYFUNCTION("""COMPUTED_VALUE"""),"P-13598-00")</f>
        <v>P-13598-00</v>
      </c>
      <c r="B1571" s="2" t="str">
        <f>IFERROR(__xludf.DUMMYFUNCTION("""COMPUTED_VALUE"""),"Regulator Hydrogen 96A-10M Morris; ; ;")</f>
        <v>Regulator Hydrogen 96A-10M Morris; ; ;</v>
      </c>
      <c r="C1571" s="2" t="str">
        <f>IFERROR(__xludf.DUMMYFUNCTION("""COMPUTED_VALUE"""),"P-13598-00")</f>
        <v>P-13598-00</v>
      </c>
      <c r="D1571" s="2" t="str">
        <f>if(isna(vlookup(C1571,'On Hand'!A:C,3,0)),"",vlookup(C1571,'On Hand'!A:C,3,0))</f>
        <v>pc</v>
      </c>
    </row>
    <row r="1572">
      <c r="A1572" s="2" t="str">
        <f>IFERROR(__xludf.DUMMYFUNCTION("""COMPUTED_VALUE"""),"P-13599-00")</f>
        <v>P-13599-00</v>
      </c>
      <c r="B1572" s="2" t="str">
        <f>IFERROR(__xludf.DUMMYFUNCTION("""COMPUTED_VALUE"""),"Besi Pejal SS 304 dia.10 mm")</f>
        <v>Besi Pejal SS 304 dia.10 mm</v>
      </c>
      <c r="C1572" s="2" t="str">
        <f>IFERROR(__xludf.DUMMYFUNCTION("""COMPUTED_VALUE"""),"P-13599-00")</f>
        <v>P-13599-00</v>
      </c>
      <c r="D1572" s="2" t="str">
        <f>if(isna(vlookup(C1572,'On Hand'!A:C,3,0)),"",vlookup(C1572,'On Hand'!A:C,3,0))</f>
        <v/>
      </c>
    </row>
    <row r="1573">
      <c r="A1573" s="2" t="str">
        <f>IFERROR(__xludf.DUMMYFUNCTION("""COMPUTED_VALUE"""),"P-13600-00")</f>
        <v>P-13600-00</v>
      </c>
      <c r="B1573" s="2" t="str">
        <f>IFERROR(__xludf.DUMMYFUNCTION("""COMPUTED_VALUE"""),"General - Besi Pejal, SS 304, dia. 8 mm; No Brand; -; 1 pcs")</f>
        <v>General - Besi Pejal, SS 304, dia. 8 mm; No Brand; -; 1 pcs</v>
      </c>
      <c r="C1573" s="2" t="str">
        <f>IFERROR(__xludf.DUMMYFUNCTION("""COMPUTED_VALUE"""),"P-13600-00")</f>
        <v>P-13600-00</v>
      </c>
      <c r="D1573" s="2" t="str">
        <f>if(isna(vlookup(C1573,'On Hand'!A:C,3,0)),"",vlookup(C1573,'On Hand'!A:C,3,0))</f>
        <v>pc</v>
      </c>
    </row>
    <row r="1574">
      <c r="A1574" s="2" t="str">
        <f>IFERROR(__xludf.DUMMYFUNCTION("""COMPUTED_VALUE"""),"P-13601-00")</f>
        <v>P-13601-00</v>
      </c>
      <c r="B1574" s="2" t="str">
        <f>IFERROR(__xludf.DUMMYFUNCTION("""COMPUTED_VALUE"""),"Besi Pejal SS 304 dia.6 mm")</f>
        <v>Besi Pejal SS 304 dia.6 mm</v>
      </c>
      <c r="C1574" s="2" t="str">
        <f>IFERROR(__xludf.DUMMYFUNCTION("""COMPUTED_VALUE"""),"P-13601-00")</f>
        <v>P-13601-00</v>
      </c>
      <c r="D1574" s="2" t="str">
        <f>if(isna(vlookup(C1574,'On Hand'!A:C,3,0)),"",vlookup(C1574,'On Hand'!A:C,3,0))</f>
        <v/>
      </c>
    </row>
    <row r="1575">
      <c r="A1575" s="2" t="str">
        <f>IFERROR(__xludf.DUMMYFUNCTION("""COMPUTED_VALUE"""),"P-13602-00")</f>
        <v>P-13602-00</v>
      </c>
      <c r="B1575" s="2" t="str">
        <f>IFERROR(__xludf.DUMMYFUNCTION("""COMPUTED_VALUE"""),"Pipa Hollow SS 304 Uk. 20x 20mm")</f>
        <v>Pipa Hollow SS 304 Uk. 20x 20mm</v>
      </c>
      <c r="C1575" s="2" t="str">
        <f>IFERROR(__xludf.DUMMYFUNCTION("""COMPUTED_VALUE"""),"P-13602-00")</f>
        <v>P-13602-00</v>
      </c>
      <c r="D1575" s="2" t="str">
        <f>if(isna(vlookup(C1575,'On Hand'!A:C,3,0)),"",vlookup(C1575,'On Hand'!A:C,3,0))</f>
        <v/>
      </c>
    </row>
    <row r="1576">
      <c r="A1576" s="2" t="str">
        <f>IFERROR(__xludf.DUMMYFUNCTION("""COMPUTED_VALUE"""),"P-13603-00")</f>
        <v>P-13603-00</v>
      </c>
      <c r="B1576" s="2" t="str">
        <f>IFERROR(__xludf.DUMMYFUNCTION("""COMPUTED_VALUE"""),"PW Generator Austar - RO Membranes BW30-400 DOW")</f>
        <v>PW Generator Austar - RO Membranes BW30-400 DOW</v>
      </c>
      <c r="C1576" s="2" t="str">
        <f>IFERROR(__xludf.DUMMYFUNCTION("""COMPUTED_VALUE"""),"P-13603-00")</f>
        <v>P-13603-00</v>
      </c>
      <c r="D1576" s="2" t="str">
        <f>if(isna(vlookup(C1576,'On Hand'!A:C,3,0)),"",vlookup(C1576,'On Hand'!A:C,3,0))</f>
        <v/>
      </c>
    </row>
    <row r="1577">
      <c r="A1577" s="2" t="str">
        <f>IFERROR(__xludf.DUMMYFUNCTION("""COMPUTED_VALUE"""),"P-13630-00")</f>
        <v>P-13630-00</v>
      </c>
      <c r="B1577" s="2" t="str">
        <f>IFERROR(__xludf.DUMMYFUNCTION("""COMPUTED_VALUE"""),"Reducer Bushing Kuningan 1/8inch Female x 1/4 Male")</f>
        <v>Reducer Bushing Kuningan 1/8inch Female x 1/4 Male</v>
      </c>
      <c r="C1577" s="2" t="str">
        <f>IFERROR(__xludf.DUMMYFUNCTION("""COMPUTED_VALUE"""),"P-13630-00")</f>
        <v>P-13630-00</v>
      </c>
      <c r="D1577" s="2" t="str">
        <f>if(isna(vlookup(C1577,'On Hand'!A:C,3,0)),"",vlookup(C1577,'On Hand'!A:C,3,0))</f>
        <v/>
      </c>
    </row>
    <row r="1578">
      <c r="A1578" s="2" t="str">
        <f>IFERROR(__xludf.DUMMYFUNCTION("""COMPUTED_VALUE"""),"P-13631-00")</f>
        <v>P-13631-00</v>
      </c>
      <c r="B1578" s="2" t="str">
        <f>IFERROR(__xludf.DUMMYFUNCTION("""COMPUTED_VALUE"""),"Ferrule SS304 1inch x Drat Dalam 1/2inch")</f>
        <v>Ferrule SS304 1inch x Drat Dalam 1/2inch</v>
      </c>
      <c r="C1578" s="2" t="str">
        <f>IFERROR(__xludf.DUMMYFUNCTION("""COMPUTED_VALUE"""),"P-13631-00")</f>
        <v>P-13631-00</v>
      </c>
      <c r="D1578" s="2" t="str">
        <f>if(isna(vlookup(C1578,'On Hand'!A:C,3,0)),"",vlookup(C1578,'On Hand'!A:C,3,0))</f>
        <v/>
      </c>
    </row>
    <row r="1579">
      <c r="A1579" s="2" t="str">
        <f>IFERROR(__xludf.DUMMYFUNCTION("""COMPUTED_VALUE"""),"P-13632-00")</f>
        <v>P-13632-00</v>
      </c>
      <c r="B1579" s="2" t="str">
        <f>IFERROR(__xludf.DUMMYFUNCTION("""COMPUTED_VALUE"""),"Pressure Gauge SS304 0-10bar dial:100mm 1/2inch")</f>
        <v>Pressure Gauge SS304 0-10bar dial:100mm 1/2inch</v>
      </c>
      <c r="C1579" s="2" t="str">
        <f>IFERROR(__xludf.DUMMYFUNCTION("""COMPUTED_VALUE"""),"P-13632-00")</f>
        <v>P-13632-00</v>
      </c>
      <c r="D1579" s="2" t="str">
        <f>if(isna(vlookup(C1579,'On Hand'!A:C,3,0)),"",vlookup(C1579,'On Hand'!A:C,3,0))</f>
        <v/>
      </c>
    </row>
    <row r="1580">
      <c r="A1580" s="2" t="str">
        <f>IFERROR(__xludf.DUMMYFUNCTION("""COMPUTED_VALUE"""),"P-13641-00")</f>
        <v>P-13641-00</v>
      </c>
      <c r="B1580" s="2" t="str">
        <f>IFERROR(__xludf.DUMMYFUNCTION("""COMPUTED_VALUE"""),"Filter SO 5 micron 30 inch O-ring 222 Bayonet; ; ;")</f>
        <v>Filter SO 5 micron 30 inch O-ring 222 Bayonet; ; ;</v>
      </c>
      <c r="C1580" s="2" t="str">
        <f>IFERROR(__xludf.DUMMYFUNCTION("""COMPUTED_VALUE"""),"P-13641-00")</f>
        <v>P-13641-00</v>
      </c>
      <c r="D1580" s="2" t="str">
        <f>if(isna(vlookup(C1580,'On Hand'!A:C,3,0)),"",vlookup(C1580,'On Hand'!A:C,3,0))</f>
        <v>pc</v>
      </c>
    </row>
    <row r="1581">
      <c r="A1581" s="2" t="str">
        <f>IFERROR(__xludf.DUMMYFUNCTION("""COMPUTED_VALUE"""),"P-13646-00")</f>
        <v>P-13646-00</v>
      </c>
      <c r="B1581" s="2" t="str">
        <f>IFERROR(__xludf.DUMMYFUNCTION("""COMPUTED_VALUE"""),"Selang Air 1/2 inch")</f>
        <v>Selang Air 1/2 inch</v>
      </c>
      <c r="C1581" s="2" t="str">
        <f>IFERROR(__xludf.DUMMYFUNCTION("""COMPUTED_VALUE"""),"P-13646-00")</f>
        <v>P-13646-00</v>
      </c>
      <c r="D1581" s="2" t="str">
        <f>if(isna(vlookup(C1581,'On Hand'!A:C,3,0)),"",vlookup(C1581,'On Hand'!A:C,3,0))</f>
        <v/>
      </c>
    </row>
    <row r="1582">
      <c r="A1582" s="2" t="str">
        <f>IFERROR(__xludf.DUMMYFUNCTION("""COMPUTED_VALUE"""),"P-13647-00")</f>
        <v>P-13647-00</v>
      </c>
      <c r="B1582" s="2" t="str">
        <f>IFERROR(__xludf.DUMMYFUNCTION("""COMPUTED_VALUE"""),"Elbow Drat Luar dan Drat Dalam uk. 1/2 inch")</f>
        <v>Elbow Drat Luar dan Drat Dalam uk. 1/2 inch</v>
      </c>
      <c r="C1582" s="2" t="str">
        <f>IFERROR(__xludf.DUMMYFUNCTION("""COMPUTED_VALUE"""),"P-13647-00")</f>
        <v>P-13647-00</v>
      </c>
      <c r="D1582" s="2" t="str">
        <f>if(isna(vlookup(C1582,'On Hand'!A:C,3,0)),"",vlookup(C1582,'On Hand'!A:C,3,0))</f>
        <v/>
      </c>
    </row>
    <row r="1583">
      <c r="A1583" s="2" t="str">
        <f>IFERROR(__xludf.DUMMYFUNCTION("""COMPUTED_VALUE"""),"P-13648-00")</f>
        <v>P-13648-00</v>
      </c>
      <c r="B1583" s="2" t="str">
        <f>IFERROR(__xludf.DUMMYFUNCTION("""COMPUTED_VALUE"""),"Quick Coupler SM PM 20 Drat 1/4 inch")</f>
        <v>Quick Coupler SM PM 20 Drat 1/4 inch</v>
      </c>
      <c r="C1583" s="2" t="str">
        <f>IFERROR(__xludf.DUMMYFUNCTION("""COMPUTED_VALUE"""),"P-13648-00")</f>
        <v>P-13648-00</v>
      </c>
      <c r="D1583" s="2" t="str">
        <f>if(isna(vlookup(C1583,'On Hand'!A:C,3,0)),"",vlookup(C1583,'On Hand'!A:C,3,0))</f>
        <v/>
      </c>
    </row>
    <row r="1584">
      <c r="A1584" s="2" t="str">
        <f>IFERROR(__xludf.DUMMYFUNCTION("""COMPUTED_VALUE"""),"P-13649-00")</f>
        <v>P-13649-00</v>
      </c>
      <c r="B1584" s="2" t="str">
        <f>IFERROR(__xludf.DUMMYFUNCTION("""COMPUTED_VALUE"""),"Tee SS 304 welded dia 3/4 inch")</f>
        <v>Tee SS 304 welded dia 3/4 inch</v>
      </c>
      <c r="C1584" s="2" t="str">
        <f>IFERROR(__xludf.DUMMYFUNCTION("""COMPUTED_VALUE"""),"P-13649-00")</f>
        <v>P-13649-00</v>
      </c>
      <c r="D1584" s="2" t="str">
        <f>if(isna(vlookup(C1584,'On Hand'!A:C,3,0)),"",vlookup(C1584,'On Hand'!A:C,3,0))</f>
        <v/>
      </c>
    </row>
    <row r="1585">
      <c r="A1585" s="2" t="str">
        <f>IFERROR(__xludf.DUMMYFUNCTION("""COMPUTED_VALUE"""),"P-13650-00")</f>
        <v>P-13650-00</v>
      </c>
      <c r="B1585" s="2" t="str">
        <f>IFERROR(__xludf.DUMMYFUNCTION("""COMPUTED_VALUE"""),"General - Shut off Valve HE-2-QS-6; FESTO; P/N : 153467; 1 Pc")</f>
        <v>General - Shut off Valve HE-2-QS-6; FESTO; P/N : 153467; 1 Pc</v>
      </c>
      <c r="C1585" s="2" t="str">
        <f>IFERROR(__xludf.DUMMYFUNCTION("""COMPUTED_VALUE"""),"P-13650-00")</f>
        <v>P-13650-00</v>
      </c>
      <c r="D1585" s="2" t="str">
        <f>if(isna(vlookup(C1585,'On Hand'!A:C,3,0)),"",vlookup(C1585,'On Hand'!A:C,3,0))</f>
        <v>pc</v>
      </c>
    </row>
    <row r="1586">
      <c r="A1586" s="2" t="str">
        <f>IFERROR(__xludf.DUMMYFUNCTION("""COMPUTED_VALUE"""),"P-13657-00")</f>
        <v>P-13657-00</v>
      </c>
      <c r="B1586" s="2" t="str">
        <f>IFERROR(__xludf.DUMMYFUNCTION("""COMPUTED_VALUE"""),"Sock Tembaga 5/8 inch; ; ;")</f>
        <v>Sock Tembaga 5/8 inch; ; ;</v>
      </c>
      <c r="C1586" s="2" t="str">
        <f>IFERROR(__xludf.DUMMYFUNCTION("""COMPUTED_VALUE"""),"P-13657-00")</f>
        <v>P-13657-00</v>
      </c>
      <c r="D1586" s="2" t="str">
        <f>if(isna(vlookup(C1586,'On Hand'!A:C,3,0)),"",vlookup(C1586,'On Hand'!A:C,3,0))</f>
        <v>pc</v>
      </c>
    </row>
    <row r="1587">
      <c r="A1587" s="2" t="str">
        <f>IFERROR(__xludf.DUMMYFUNCTION("""COMPUTED_VALUE"""),"P-13660-00")</f>
        <v>P-13660-00</v>
      </c>
      <c r="B1587" s="2" t="str">
        <f>IFERROR(__xludf.DUMMYFUNCTION("""COMPUTED_VALUE"""),"Sock Tembaga 7/8 inch; ; ;")</f>
        <v>Sock Tembaga 7/8 inch; ; ;</v>
      </c>
      <c r="C1587" s="2" t="str">
        <f>IFERROR(__xludf.DUMMYFUNCTION("""COMPUTED_VALUE"""),"P-13660-00")</f>
        <v>P-13660-00</v>
      </c>
      <c r="D1587" s="2" t="str">
        <f>if(isna(vlookup(C1587,'On Hand'!A:C,3,0)),"",vlookup(C1587,'On Hand'!A:C,3,0))</f>
        <v>pc</v>
      </c>
    </row>
    <row r="1588">
      <c r="A1588" s="2" t="str">
        <f>IFERROR(__xludf.DUMMYFUNCTION("""COMPUTED_VALUE"""),"P-13706-00")</f>
        <v>P-13706-00</v>
      </c>
      <c r="B1588" s="2" t="str">
        <f>IFERROR(__xludf.DUMMYFUNCTION("""COMPUTED_VALUE"""),"Gasket Flange DN65")</f>
        <v>Gasket Flange DN65</v>
      </c>
      <c r="C1588" s="2" t="str">
        <f>IFERROR(__xludf.DUMMYFUNCTION("""COMPUTED_VALUE"""),"P-13706-00")</f>
        <v>P-13706-00</v>
      </c>
      <c r="D1588" s="2" t="str">
        <f>if(isna(vlookup(C1588,'On Hand'!A:C,3,0)),"",vlookup(C1588,'On Hand'!A:C,3,0))</f>
        <v>pc</v>
      </c>
    </row>
    <row r="1589">
      <c r="A1589" s="2" t="str">
        <f>IFERROR(__xludf.DUMMYFUNCTION("""COMPUTED_VALUE"""),"P-13707-00")</f>
        <v>P-13707-00</v>
      </c>
      <c r="B1589" s="2" t="str">
        <f>IFERROR(__xludf.DUMMYFUNCTION("""COMPUTED_VALUE"""),"Gasket Flange DN50")</f>
        <v>Gasket Flange DN50</v>
      </c>
      <c r="C1589" s="2" t="str">
        <f>IFERROR(__xludf.DUMMYFUNCTION("""COMPUTED_VALUE"""),"P-13707-00")</f>
        <v>P-13707-00</v>
      </c>
      <c r="D1589" s="2" t="str">
        <f>if(isna(vlookup(C1589,'On Hand'!A:C,3,0)),"",vlookup(C1589,'On Hand'!A:C,3,0))</f>
        <v/>
      </c>
    </row>
    <row r="1590">
      <c r="A1590" s="2" t="str">
        <f>IFERROR(__xludf.DUMMYFUNCTION("""COMPUTED_VALUE"""),"P-13708-00")</f>
        <v>P-13708-00</v>
      </c>
      <c r="B1590" s="2" t="str">
        <f>IFERROR(__xludf.DUMMYFUNCTION("""COMPUTED_VALUE"""),"Gasket Flange DN40")</f>
        <v>Gasket Flange DN40</v>
      </c>
      <c r="C1590" s="2" t="str">
        <f>IFERROR(__xludf.DUMMYFUNCTION("""COMPUTED_VALUE"""),"P-13708-00")</f>
        <v>P-13708-00</v>
      </c>
      <c r="D1590" s="2" t="str">
        <f>if(isna(vlookup(C1590,'On Hand'!A:C,3,0)),"",vlookup(C1590,'On Hand'!A:C,3,0))</f>
        <v/>
      </c>
    </row>
    <row r="1591">
      <c r="A1591" s="2" t="str">
        <f>IFERROR(__xludf.DUMMYFUNCTION("""COMPUTED_VALUE"""),"P-13709-00")</f>
        <v>P-13709-00</v>
      </c>
      <c r="B1591" s="2" t="str">
        <f>IFERROR(__xludf.DUMMYFUNCTION("""COMPUTED_VALUE"""),"Gasket Flange DN25")</f>
        <v>Gasket Flange DN25</v>
      </c>
      <c r="C1591" s="2" t="str">
        <f>IFERROR(__xludf.DUMMYFUNCTION("""COMPUTED_VALUE"""),"P-13709-00")</f>
        <v>P-13709-00</v>
      </c>
      <c r="D1591" s="2" t="str">
        <f>if(isna(vlookup(C1591,'On Hand'!A:C,3,0)),"",vlookup(C1591,'On Hand'!A:C,3,0))</f>
        <v>pc</v>
      </c>
    </row>
    <row r="1592">
      <c r="A1592" s="2" t="str">
        <f>IFERROR(__xludf.DUMMYFUNCTION("""COMPUTED_VALUE"""),"P-13710-00")</f>
        <v>P-13710-00</v>
      </c>
      <c r="B1592" s="2" t="str">
        <f>IFERROR(__xludf.DUMMYFUNCTION("""COMPUTED_VALUE"""),"Baut SS countersunk M6x1.0x20 mm Ring Baut")</f>
        <v>Baut SS countersunk M6x1.0x20 mm Ring Baut</v>
      </c>
      <c r="C1592" s="2" t="str">
        <f>IFERROR(__xludf.DUMMYFUNCTION("""COMPUTED_VALUE"""),"P-13710-00")</f>
        <v>P-13710-00</v>
      </c>
      <c r="D1592" s="2" t="str">
        <f>if(isna(vlookup(C1592,'On Hand'!A:C,3,0)),"",vlookup(C1592,'On Hand'!A:C,3,0))</f>
        <v/>
      </c>
    </row>
    <row r="1593">
      <c r="A1593" s="2" t="str">
        <f>IFERROR(__xludf.DUMMYFUNCTION("""COMPUTED_VALUE"""),"P-13713-00")</f>
        <v>P-13713-00</v>
      </c>
      <c r="B1593" s="2" t="str">
        <f>IFERROR(__xludf.DUMMYFUNCTION("""COMPUTED_VALUE"""),"Autoclave Fedegari FVA2/A1 NB2963AT - Oring Viton 71 x 60 x 5.5 mm")</f>
        <v>Autoclave Fedegari FVA2/A1 NB2963AT - Oring Viton 71 x 60 x 5.5 mm</v>
      </c>
      <c r="C1593" s="2" t="str">
        <f>IFERROR(__xludf.DUMMYFUNCTION("""COMPUTED_VALUE"""),"P-13713-00")</f>
        <v>P-13713-00</v>
      </c>
      <c r="D1593" s="2" t="str">
        <f>if(isna(vlookup(C1593,'On Hand'!A:C,3,0)),"",vlookup(C1593,'On Hand'!A:C,3,0))</f>
        <v/>
      </c>
    </row>
    <row r="1594">
      <c r="A1594" s="2" t="str">
        <f>IFERROR(__xludf.DUMMYFUNCTION("""COMPUTED_VALUE"""),"P-13714-00")</f>
        <v>P-13714-00</v>
      </c>
      <c r="B1594" s="2" t="str">
        <f>IFERROR(__xludf.DUMMYFUNCTION("""COMPUTED_VALUE"""),"Autoclave Fedegari FVA2/A1 NB2963AT - Oring Viton 29 x 22 x 3.5 mm")</f>
        <v>Autoclave Fedegari FVA2/A1 NB2963AT - Oring Viton 29 x 22 x 3.5 mm</v>
      </c>
      <c r="C1594" s="2" t="str">
        <f>IFERROR(__xludf.DUMMYFUNCTION("""COMPUTED_VALUE"""),"P-13714-00")</f>
        <v>P-13714-00</v>
      </c>
      <c r="D1594" s="2" t="str">
        <f>if(isna(vlookup(C1594,'On Hand'!A:C,3,0)),"",vlookup(C1594,'On Hand'!A:C,3,0))</f>
        <v/>
      </c>
    </row>
    <row r="1595">
      <c r="A1595" s="2" t="str">
        <f>IFERROR(__xludf.DUMMYFUNCTION("""COMPUTED_VALUE"""),"P-13715-00")</f>
        <v>P-13715-00</v>
      </c>
      <c r="B1595" s="2" t="str">
        <f>IFERROR(__xludf.DUMMYFUNCTION("""COMPUTED_VALUE"""),"Autoclave Fedegari FVA2/A1 NB2963AT - Oring Viton 19 x 14 x 2.5 mm")</f>
        <v>Autoclave Fedegari FVA2/A1 NB2963AT - Oring Viton 19 x 14 x 2.5 mm</v>
      </c>
      <c r="C1595" s="2" t="str">
        <f>IFERROR(__xludf.DUMMYFUNCTION("""COMPUTED_VALUE"""),"P-13715-00")</f>
        <v>P-13715-00</v>
      </c>
      <c r="D1595" s="2" t="str">
        <f>if(isna(vlookup(C1595,'On Hand'!A:C,3,0)),"",vlookup(C1595,'On Hand'!A:C,3,0))</f>
        <v/>
      </c>
    </row>
    <row r="1596">
      <c r="A1596" s="2" t="str">
        <f>IFERROR(__xludf.DUMMYFUNCTION("""COMPUTED_VALUE"""),"P-13722-00")</f>
        <v>P-13722-00</v>
      </c>
      <c r="B1596" s="2" t="str">
        <f>IFERROR(__xludf.DUMMYFUNCTION("""COMPUTED_VALUE"""),"Insulation Pipe 5/8 inch x 3/4 inch")</f>
        <v>Insulation Pipe 5/8 inch x 3/4 inch</v>
      </c>
      <c r="C1596" s="2" t="str">
        <f>IFERROR(__xludf.DUMMYFUNCTION("""COMPUTED_VALUE"""),"P-13722-00")</f>
        <v>P-13722-00</v>
      </c>
      <c r="D1596" s="2" t="str">
        <f>if(isna(vlookup(C1596,'On Hand'!A:C,3,0)),"",vlookup(C1596,'On Hand'!A:C,3,0))</f>
        <v/>
      </c>
    </row>
    <row r="1597">
      <c r="A1597" s="2" t="str">
        <f>IFERROR(__xludf.DUMMYFUNCTION("""COMPUTED_VALUE"""),"P-13723-00")</f>
        <v>P-13723-00</v>
      </c>
      <c r="B1597" s="2" t="str">
        <f>IFERROR(__xludf.DUMMYFUNCTION("""COMPUTED_VALUE"""),"Insulation Pipe 2-3/8 inch x 3/4 inch")</f>
        <v>Insulation Pipe 2-3/8 inch x 3/4 inch</v>
      </c>
      <c r="C1597" s="2" t="str">
        <f>IFERROR(__xludf.DUMMYFUNCTION("""COMPUTED_VALUE"""),"P-13723-00")</f>
        <v>P-13723-00</v>
      </c>
      <c r="D1597" s="2" t="str">
        <f>if(isna(vlookup(C1597,'On Hand'!A:C,3,0)),"",vlookup(C1597,'On Hand'!A:C,3,0))</f>
        <v/>
      </c>
    </row>
    <row r="1598">
      <c r="A1598" s="2" t="str">
        <f>IFERROR(__xludf.DUMMYFUNCTION("""COMPUTED_VALUE"""),"P-13724-00")</f>
        <v>P-13724-00</v>
      </c>
      <c r="B1598" s="2" t="str">
        <f>IFERROR(__xludf.DUMMYFUNCTION("""COMPUTED_VALUE"""),"Socket Threaded Female SS316 1/2 inch")</f>
        <v>Socket Threaded Female SS316 1/2 inch</v>
      </c>
      <c r="C1598" s="2" t="str">
        <f>IFERROR(__xludf.DUMMYFUNCTION("""COMPUTED_VALUE"""),"P-13724-00")</f>
        <v>P-13724-00</v>
      </c>
      <c r="D1598" s="2" t="str">
        <f>if(isna(vlookup(C1598,'On Hand'!A:C,3,0)),"",vlookup(C1598,'On Hand'!A:C,3,0))</f>
        <v/>
      </c>
    </row>
    <row r="1599">
      <c r="A1599" s="2" t="str">
        <f>IFERROR(__xludf.DUMMYFUNCTION("""COMPUTED_VALUE"""),"P-13725-00")</f>
        <v>P-13725-00</v>
      </c>
      <c r="B1599" s="2" t="str">
        <f>IFERROR(__xludf.DUMMYFUNCTION("""COMPUTED_VALUE"""),"Quick Coupler 1/2 inch Male")</f>
        <v>Quick Coupler 1/2 inch Male</v>
      </c>
      <c r="C1599" s="2" t="str">
        <f>IFERROR(__xludf.DUMMYFUNCTION("""COMPUTED_VALUE"""),"P-13725-00")</f>
        <v>P-13725-00</v>
      </c>
      <c r="D1599" s="2" t="str">
        <f>if(isna(vlookup(C1599,'On Hand'!A:C,3,0)),"",vlookup(C1599,'On Hand'!A:C,3,0))</f>
        <v/>
      </c>
    </row>
    <row r="1600">
      <c r="A1600" s="2" t="str">
        <f>IFERROR(__xludf.DUMMYFUNCTION("""COMPUTED_VALUE"""),"P-13726-00")</f>
        <v>P-13726-00</v>
      </c>
      <c r="B1600" s="2" t="str">
        <f>IFERROR(__xludf.DUMMYFUNCTION("""COMPUTED_VALUE"""),"Quick Coupler 1/2 inch Female")</f>
        <v>Quick Coupler 1/2 inch Female</v>
      </c>
      <c r="C1600" s="2" t="str">
        <f>IFERROR(__xludf.DUMMYFUNCTION("""COMPUTED_VALUE"""),"P-13726-00")</f>
        <v>P-13726-00</v>
      </c>
      <c r="D1600" s="2" t="str">
        <f>if(isna(vlookup(C1600,'On Hand'!A:C,3,0)),"",vlookup(C1600,'On Hand'!A:C,3,0))</f>
        <v/>
      </c>
    </row>
    <row r="1601">
      <c r="A1601" s="2" t="str">
        <f>IFERROR(__xludf.DUMMYFUNCTION("""COMPUTED_VALUE"""),"P-13732-00")</f>
        <v>P-13732-00</v>
      </c>
      <c r="B1601" s="2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1" s="2" t="str">
        <f>IFERROR(__xludf.DUMMYFUNCTION("""COMPUTED_VALUE"""),"P-13732-00")</f>
        <v>P-13732-00</v>
      </c>
      <c r="D1601" s="2" t="str">
        <f>if(isna(vlookup(C1601,'On Hand'!A:C,3,0)),"",vlookup(C1601,'On Hand'!A:C,3,0))</f>
        <v/>
      </c>
    </row>
    <row r="1602">
      <c r="A1602" s="2" t="str">
        <f>IFERROR(__xludf.DUMMYFUNCTION("""COMPUTED_VALUE"""),"P-13735-00")</f>
        <v>P-13735-00</v>
      </c>
      <c r="B1602" s="2" t="str">
        <f>IFERROR(__xludf.DUMMYFUNCTION("""COMPUTED_VALUE"""),"Cable Duct Round Putih 35 x 10 mm; ; ;")</f>
        <v>Cable Duct Round Putih 35 x 10 mm; ; ;</v>
      </c>
      <c r="C1602" s="2" t="str">
        <f>IFERROR(__xludf.DUMMYFUNCTION("""COMPUTED_VALUE"""),"P-13735-00")</f>
        <v>P-13735-00</v>
      </c>
      <c r="D1602" s="2" t="str">
        <f>if(isna(vlookup(C1602,'On Hand'!A:C,3,0)),"",vlookup(C1602,'On Hand'!A:C,3,0))</f>
        <v>pc</v>
      </c>
    </row>
    <row r="1603">
      <c r="A1603" s="2" t="str">
        <f>IFERROR(__xludf.DUMMYFUNCTION("""COMPUTED_VALUE"""),"P-13745-00")</f>
        <v>P-13745-00</v>
      </c>
      <c r="B1603" s="2" t="str">
        <f>IFERROR(__xludf.DUMMYFUNCTION("""COMPUTED_VALUE"""),"Filter Core Drier - D48")</f>
        <v>Filter Core Drier - D48</v>
      </c>
      <c r="C1603" s="2" t="str">
        <f>IFERROR(__xludf.DUMMYFUNCTION("""COMPUTED_VALUE"""),"P-13745-00")</f>
        <v>P-13745-00</v>
      </c>
      <c r="D1603" s="2" t="str">
        <f>if(isna(vlookup(C1603,'On Hand'!A:C,3,0)),"",vlookup(C1603,'On Hand'!A:C,3,0))</f>
        <v/>
      </c>
    </row>
    <row r="1604">
      <c r="A1604" s="2" t="str">
        <f>IFERROR(__xludf.DUMMYFUNCTION("""COMPUTED_VALUE"""),"P-13754-00")</f>
        <v>P-13754-00</v>
      </c>
      <c r="B1604" s="2" t="str">
        <f>IFERROR(__xludf.DUMMYFUNCTION("""COMPUTED_VALUE"""),"Electronic Valve Actuator ; Brand : Siemens ; P/N : SQS65 ; Pack Size : pcs")</f>
        <v>Electronic Valve Actuator ; Brand : Siemens ; P/N : SQS65 ; Pack Size : pcs</v>
      </c>
      <c r="C1604" s="2" t="str">
        <f>IFERROR(__xludf.DUMMYFUNCTION("""COMPUTED_VALUE"""),"P-13754-00")</f>
        <v>P-13754-00</v>
      </c>
      <c r="D1604" s="2" t="str">
        <f>if(isna(vlookup(C1604,'On Hand'!A:C,3,0)),"",vlookup(C1604,'On Hand'!A:C,3,0))</f>
        <v>unt</v>
      </c>
    </row>
    <row r="1605">
      <c r="A1605" s="2" t="str">
        <f>IFERROR(__xludf.DUMMYFUNCTION("""COMPUTED_VALUE"""),"P-13755-00")</f>
        <v>P-13755-00</v>
      </c>
      <c r="B1605" s="2" t="str">
        <f>IFERROR(__xludf.DUMMYFUNCTION("""COMPUTED_VALUE"""),"Selenoid Valve 2 Way Brass, 24VDC, 1/4 inch; ; ;")</f>
        <v>Selenoid Valve 2 Way Brass, 24VDC, 1/4 inch; ; ;</v>
      </c>
      <c r="C1605" s="2" t="str">
        <f>IFERROR(__xludf.DUMMYFUNCTION("""COMPUTED_VALUE"""),"P-13755-00")</f>
        <v>P-13755-00</v>
      </c>
      <c r="D1605" s="2" t="str">
        <f>if(isna(vlookup(C1605,'On Hand'!A:C,3,0)),"",vlookup(C1605,'On Hand'!A:C,3,0))</f>
        <v/>
      </c>
    </row>
    <row r="1606">
      <c r="A1606" s="2" t="str">
        <f>IFERROR(__xludf.DUMMYFUNCTION("""COMPUTED_VALUE"""),"P-13758-00")</f>
        <v>P-13758-00</v>
      </c>
      <c r="B1606" s="2" t="str">
        <f>IFERROR(__xludf.DUMMYFUNCTION("""COMPUTED_VALUE"""),"STILL RX 50-10C - Oil Rem")</f>
        <v>STILL RX 50-10C - Oil Rem</v>
      </c>
      <c r="C1606" s="2" t="str">
        <f>IFERROR(__xludf.DUMMYFUNCTION("""COMPUTED_VALUE"""),"P-13758-00")</f>
        <v>P-13758-00</v>
      </c>
      <c r="D1606" s="2" t="str">
        <f>if(isna(vlookup(C1606,'On Hand'!A:C,3,0)),"",vlookup(C1606,'On Hand'!A:C,3,0))</f>
        <v>pc</v>
      </c>
    </row>
    <row r="1607">
      <c r="A1607" s="2" t="str">
        <f>IFERROR(__xludf.DUMMYFUNCTION("""COMPUTED_VALUE"""),"P-13759-00")</f>
        <v>P-13759-00</v>
      </c>
      <c r="B1607" s="2" t="str">
        <f>IFERROR(__xludf.DUMMYFUNCTION("""COMPUTED_VALUE"""),"STILL RX 50-10C - Wheel Brake Cyl")</f>
        <v>STILL RX 50-10C - Wheel Brake Cyl</v>
      </c>
      <c r="C1607" s="2" t="str">
        <f>IFERROR(__xludf.DUMMYFUNCTION("""COMPUTED_VALUE"""),"P-13759-00")</f>
        <v>P-13759-00</v>
      </c>
      <c r="D1607" s="2" t="str">
        <f>if(isna(vlookup(C1607,'On Hand'!A:C,3,0)),"",vlookup(C1607,'On Hand'!A:C,3,0))</f>
        <v/>
      </c>
    </row>
    <row r="1608">
      <c r="A1608" s="2" t="str">
        <f>IFERROR(__xludf.DUMMYFUNCTION("""COMPUTED_VALUE"""),"P-13760-00")</f>
        <v>P-13760-00</v>
      </c>
      <c r="B1608" s="2" t="str">
        <f>IFERROR(__xludf.DUMMYFUNCTION("""COMPUTED_VALUE"""),"V-trap PVC uk. 4 inch")</f>
        <v>V-trap PVC uk. 4 inch</v>
      </c>
      <c r="C1608" s="2" t="str">
        <f>IFERROR(__xludf.DUMMYFUNCTION("""COMPUTED_VALUE"""),"P-13760-00")</f>
        <v>P-13760-00</v>
      </c>
      <c r="D1608" s="2" t="str">
        <f>if(isna(vlookup(C1608,'On Hand'!A:C,3,0)),"",vlookup(C1608,'On Hand'!A:C,3,0))</f>
        <v>pc</v>
      </c>
    </row>
    <row r="1609">
      <c r="A1609" s="2" t="str">
        <f>IFERROR(__xludf.DUMMYFUNCTION("""COMPUTED_VALUE"""),"P-13773-00")</f>
        <v>P-13773-00</v>
      </c>
      <c r="B1609" s="2" t="str">
        <f>IFERROR(__xludf.DUMMYFUNCTION("""COMPUTED_VALUE"""),"Valve PN16 DN25 for Actuator SQS65 Siemens; ; ;")</f>
        <v>Valve PN16 DN25 for Actuator SQS65 Siemens; ; ;</v>
      </c>
      <c r="C1609" s="2" t="str">
        <f>IFERROR(__xludf.DUMMYFUNCTION("""COMPUTED_VALUE"""),"P-13773-00")</f>
        <v>P-13773-00</v>
      </c>
      <c r="D1609" s="2" t="str">
        <f>if(isna(vlookup(C1609,'On Hand'!A:C,3,0)),"",vlookup(C1609,'On Hand'!A:C,3,0))</f>
        <v/>
      </c>
    </row>
    <row r="1610">
      <c r="A1610" s="2" t="str">
        <f>IFERROR(__xludf.DUMMYFUNCTION("""COMPUTED_VALUE"""),"P-13787-00")</f>
        <v>P-13787-00</v>
      </c>
      <c r="B1610" s="2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0" s="2" t="str">
        <f>IFERROR(__xludf.DUMMYFUNCTION("""COMPUTED_VALUE"""),"P-13787-00")</f>
        <v>P-13787-00</v>
      </c>
      <c r="D1610" s="2" t="str">
        <f>if(isna(vlookup(C1610,'On Hand'!A:C,3,0)),"",vlookup(C1610,'On Hand'!A:C,3,0))</f>
        <v>pc</v>
      </c>
    </row>
    <row r="1611">
      <c r="A1611" s="2" t="str">
        <f>IFERROR(__xludf.DUMMYFUNCTION("""COMPUTED_VALUE"""),"P-13887-00")</f>
        <v>P-13887-00</v>
      </c>
      <c r="B1611" s="2" t="str">
        <f>IFERROR(__xludf.DUMMYFUNCTION("""COMPUTED_VALUE"""),"Kawat Seling SS dia 4mm")</f>
        <v>Kawat Seling SS dia 4mm</v>
      </c>
      <c r="C1611" s="2" t="str">
        <f>IFERROR(__xludf.DUMMYFUNCTION("""COMPUTED_VALUE"""),"P-13887-00")</f>
        <v>P-13887-00</v>
      </c>
      <c r="D1611" s="2" t="str">
        <f>if(isna(vlookup(C1611,'On Hand'!A:C,3,0)),"",vlookup(C1611,'On Hand'!A:C,3,0))</f>
        <v/>
      </c>
    </row>
    <row r="1612">
      <c r="A1612" s="2" t="str">
        <f>IFERROR(__xludf.DUMMYFUNCTION("""COMPUTED_VALUE"""),"P-14244-00")</f>
        <v>P-14244-00</v>
      </c>
      <c r="B1612" s="2" t="str">
        <f>IFERROR(__xludf.DUMMYFUNCTION("""COMPUTED_VALUE"""),"General - UV Lamp SD55-320W; Hanovia; 130071-0320-C; 1 pc")</f>
        <v>General - UV Lamp SD55-320W; Hanovia; 130071-0320-C; 1 pc</v>
      </c>
      <c r="C1612" s="2" t="str">
        <f>IFERROR(__xludf.DUMMYFUNCTION("""COMPUTED_VALUE"""),"P-14244-00")</f>
        <v>P-14244-00</v>
      </c>
      <c r="D1612" s="2" t="str">
        <f>if(isna(vlookup(C1612,'On Hand'!A:C,3,0)),"",vlookup(C1612,'On Hand'!A:C,3,0))</f>
        <v/>
      </c>
    </row>
    <row r="1613">
      <c r="A1613" s="2" t="str">
        <f>IFERROR(__xludf.DUMMYFUNCTION("""COMPUTED_VALUE"""),"P-14245-00")</f>
        <v>P-14245-00</v>
      </c>
      <c r="B1613" s="2" t="str">
        <f>IFERROR(__xludf.DUMMYFUNCTION("""COMPUTED_VALUE"""),"General - Shut off valve HE-2-QS-8;  FESTO; P/N : 153468; 1 Pc")</f>
        <v>General - Shut off valve HE-2-QS-8;  FESTO; P/N : 153468; 1 Pc</v>
      </c>
      <c r="C1613" s="2" t="str">
        <f>IFERROR(__xludf.DUMMYFUNCTION("""COMPUTED_VALUE"""),"P-14245-00")</f>
        <v>P-14245-00</v>
      </c>
      <c r="D1613" s="2" t="str">
        <f>if(isna(vlookup(C1613,'On Hand'!A:C,3,0)),"",vlookup(C1613,'On Hand'!A:C,3,0))</f>
        <v>pc</v>
      </c>
    </row>
    <row r="1614">
      <c r="A1614" s="2" t="str">
        <f>IFERROR(__xludf.DUMMYFUNCTION("""COMPUTED_VALUE"""),"P-14249-00")</f>
        <v>P-14249-00</v>
      </c>
      <c r="B1614" s="2" t="str">
        <f>IFERROR(__xludf.DUMMYFUNCTION("""COMPUTED_VALUE"""),"Baut SS L M4 x 30 mm + Mur + Ring; ; ;; ; ;")</f>
        <v>Baut SS L M4 x 30 mm + Mur + Ring; ; ;; ; ;</v>
      </c>
      <c r="C1614" s="2" t="str">
        <f>IFERROR(__xludf.DUMMYFUNCTION("""COMPUTED_VALUE"""),"P-14249-00")</f>
        <v>P-14249-00</v>
      </c>
      <c r="D1614" s="2" t="str">
        <f>if(isna(vlookup(C1614,'On Hand'!A:C,3,0)),"",vlookup(C1614,'On Hand'!A:C,3,0))</f>
        <v/>
      </c>
    </row>
    <row r="1615">
      <c r="A1615" s="2" t="str">
        <f>IFERROR(__xludf.DUMMYFUNCTION("""COMPUTED_VALUE"""),"P-14268-00")</f>
        <v>P-14268-00</v>
      </c>
      <c r="B1615" s="2" t="str">
        <f>IFERROR(__xludf.DUMMYFUNCTION("""COMPUTED_VALUE"""),"Baut hexagonal SS M4x20mm+Mur+Ring; ; ;")</f>
        <v>Baut hexagonal SS M4x20mm+Mur+Ring; ; ;</v>
      </c>
      <c r="C1615" s="2" t="str">
        <f>IFERROR(__xludf.DUMMYFUNCTION("""COMPUTED_VALUE"""),"P-14268-00")</f>
        <v>P-14268-00</v>
      </c>
      <c r="D1615" s="2" t="str">
        <f>if(isna(vlookup(C1615,'On Hand'!A:C,3,0)),"",vlookup(C1615,'On Hand'!A:C,3,0))</f>
        <v/>
      </c>
    </row>
    <row r="1616">
      <c r="A1616" s="2" t="str">
        <f>IFERROR(__xludf.DUMMYFUNCTION("""COMPUTED_VALUE"""),"P-14269-00")</f>
        <v>P-14269-00</v>
      </c>
      <c r="B1616" s="2" t="str">
        <f>IFERROR(__xludf.DUMMYFUNCTION("""COMPUTED_VALUE"""),"Baut hexagonal SS M4x10mm+Mur+Ring; ; ;")</f>
        <v>Baut hexagonal SS M4x10mm+Mur+Ring; ; ;</v>
      </c>
      <c r="C1616" s="2" t="str">
        <f>IFERROR(__xludf.DUMMYFUNCTION("""COMPUTED_VALUE"""),"P-14269-00")</f>
        <v>P-14269-00</v>
      </c>
      <c r="D1616" s="2" t="str">
        <f>if(isna(vlookup(C1616,'On Hand'!A:C,3,0)),"",vlookup(C1616,'On Hand'!A:C,3,0))</f>
        <v/>
      </c>
    </row>
    <row r="1617">
      <c r="A1617" s="2" t="str">
        <f>IFERROR(__xludf.DUMMYFUNCTION("""COMPUTED_VALUE"""),"P-14357-00")</f>
        <v>P-14357-00</v>
      </c>
      <c r="B1617" s="2" t="str">
        <f>IFERROR(__xludf.DUMMYFUNCTION("""COMPUTED_VALUE"""),"Ring Plate SS M8; ; ;")</f>
        <v>Ring Plate SS M8; ; ;</v>
      </c>
      <c r="C1617" s="2" t="str">
        <f>IFERROR(__xludf.DUMMYFUNCTION("""COMPUTED_VALUE"""),"P-14357-00")</f>
        <v>P-14357-00</v>
      </c>
      <c r="D1617" s="2" t="str">
        <f>if(isna(vlookup(C1617,'On Hand'!A:C,3,0)),"",vlookup(C1617,'On Hand'!A:C,3,0))</f>
        <v/>
      </c>
    </row>
    <row r="1618">
      <c r="A1618" s="2" t="str">
        <f>IFERROR(__xludf.DUMMYFUNCTION("""COMPUTED_VALUE"""),"P-14358-00")</f>
        <v>P-14358-00</v>
      </c>
      <c r="B1618" s="2" t="str">
        <f>IFERROR(__xludf.DUMMYFUNCTION("""COMPUTED_VALUE"""),"Ring Plate SS M6; ; ;")</f>
        <v>Ring Plate SS M6; ; ;</v>
      </c>
      <c r="C1618" s="2" t="str">
        <f>IFERROR(__xludf.DUMMYFUNCTION("""COMPUTED_VALUE"""),"P-14358-00")</f>
        <v>P-14358-00</v>
      </c>
      <c r="D1618" s="2" t="str">
        <f>if(isna(vlookup(C1618,'On Hand'!A:C,3,0)),"",vlookup(C1618,'On Hand'!A:C,3,0))</f>
        <v/>
      </c>
    </row>
    <row r="1619">
      <c r="A1619" s="2" t="str">
        <f>IFERROR(__xludf.DUMMYFUNCTION("""COMPUTED_VALUE"""),"P-14376-00")</f>
        <v>P-14376-00</v>
      </c>
      <c r="B1619" s="2" t="str">
        <f>IFERROR(__xludf.DUMMYFUNCTION("""COMPUTED_VALUE"""),"Gasket 2 1/2"" /EPDM; ; ;")</f>
        <v>Gasket 2 1/2" /EPDM; ; ;</v>
      </c>
      <c r="C1619" s="2" t="str">
        <f>IFERROR(__xludf.DUMMYFUNCTION("""COMPUTED_VALUE"""),"P-14376-00")</f>
        <v>P-14376-00</v>
      </c>
      <c r="D1619" s="2" t="str">
        <f>if(isna(vlookup(C1619,'On Hand'!A:C,3,0)),"",vlookup(C1619,'On Hand'!A:C,3,0))</f>
        <v/>
      </c>
    </row>
    <row r="1620">
      <c r="A1620" s="2" t="str">
        <f>IFERROR(__xludf.DUMMYFUNCTION("""COMPUTED_VALUE"""),"P-14377-00")</f>
        <v>P-14377-00</v>
      </c>
      <c r="B1620" s="2" t="str">
        <f>IFERROR(__xludf.DUMMYFUNCTION("""COMPUTED_VALUE"""),"General - Gasket Ferrule EPDM 1inch; Lokal; -; 1 pc")</f>
        <v>General - Gasket Ferrule EPDM 1inch; Lokal; -; 1 pc</v>
      </c>
      <c r="C1620" s="2" t="str">
        <f>IFERROR(__xludf.DUMMYFUNCTION("""COMPUTED_VALUE"""),"P-14377-00")</f>
        <v>P-14377-00</v>
      </c>
      <c r="D1620" s="2" t="str">
        <f>if(isna(vlookup(C1620,'On Hand'!A:C,3,0)),"",vlookup(C1620,'On Hand'!A:C,3,0))</f>
        <v>pc</v>
      </c>
    </row>
    <row r="1621">
      <c r="A1621" s="2" t="str">
        <f>IFERROR(__xludf.DUMMYFUNCTION("""COMPUTED_VALUE"""),"P-14378-00")</f>
        <v>P-14378-00</v>
      </c>
      <c r="B1621" s="2" t="str">
        <f>IFERROR(__xludf.DUMMYFUNCTION("""COMPUTED_VALUE"""),"Sanitary Butterfly Valve SS316 1"" Ferrule; ; ;")</f>
        <v>Sanitary Butterfly Valve SS316 1" Ferrule; ; ;</v>
      </c>
      <c r="C1621" s="2" t="str">
        <f>IFERROR(__xludf.DUMMYFUNCTION("""COMPUTED_VALUE"""),"P-14378-00")</f>
        <v>P-14378-00</v>
      </c>
      <c r="D1621" s="2" t="str">
        <f>if(isna(vlookup(C1621,'On Hand'!A:C,3,0)),"",vlookup(C1621,'On Hand'!A:C,3,0))</f>
        <v/>
      </c>
    </row>
    <row r="1622">
      <c r="A1622" s="2" t="str">
        <f>IFERROR(__xludf.DUMMYFUNCTION("""COMPUTED_VALUE"""),"P-14379-00")</f>
        <v>P-14379-00</v>
      </c>
      <c r="B1622" s="2" t="str">
        <f>IFERROR(__xludf.DUMMYFUNCTION("""COMPUTED_VALUE"""),"Gasket 3/4"" /EPDM; ; ;")</f>
        <v>Gasket 3/4" /EPDM; ; ;</v>
      </c>
      <c r="C1622" s="2" t="str">
        <f>IFERROR(__xludf.DUMMYFUNCTION("""COMPUTED_VALUE"""),"P-14379-00")</f>
        <v>P-14379-00</v>
      </c>
      <c r="D1622" s="2" t="str">
        <f>if(isna(vlookup(C1622,'On Hand'!A:C,3,0)),"",vlookup(C1622,'On Hand'!A:C,3,0))</f>
        <v>pc</v>
      </c>
    </row>
    <row r="1623">
      <c r="A1623" s="2" t="str">
        <f>IFERROR(__xludf.DUMMYFUNCTION("""COMPUTED_VALUE"""),"P-14380-00")</f>
        <v>P-14380-00</v>
      </c>
      <c r="B1623" s="2" t="str">
        <f>IFERROR(__xludf.DUMMYFUNCTION("""COMPUTED_VALUE"""),"Mechanical Seal Kit untuk Pompa Looping WFI SKID; ; c/n 9611922178;")</f>
        <v>Mechanical Seal Kit untuk Pompa Looping WFI SKID; ; c/n 9611922178;</v>
      </c>
      <c r="C1623" s="2" t="str">
        <f>IFERROR(__xludf.DUMMYFUNCTION("""COMPUTED_VALUE"""),"P-14380-00")</f>
        <v>P-14380-00</v>
      </c>
      <c r="D1623" s="2" t="str">
        <f>if(isna(vlookup(C1623,'On Hand'!A:C,3,0)),"",vlookup(C1623,'On Hand'!A:C,3,0))</f>
        <v/>
      </c>
    </row>
    <row r="1624">
      <c r="A1624" s="2" t="str">
        <f>IFERROR(__xludf.DUMMYFUNCTION("""COMPUTED_VALUE"""),"P-14407-00")</f>
        <v>P-14407-00</v>
      </c>
      <c r="B1624" s="2" t="str">
        <f>IFERROR(__xludf.DUMMYFUNCTION("""COMPUTED_VALUE"""),"General - Gate Valve 1/2inch; Kitz; -; 1 pc")</f>
        <v>General - Gate Valve 1/2inch; Kitz; -; 1 pc</v>
      </c>
      <c r="C1624" s="2" t="str">
        <f>IFERROR(__xludf.DUMMYFUNCTION("""COMPUTED_VALUE"""),"P-14407-00")</f>
        <v>P-14407-00</v>
      </c>
      <c r="D1624" s="2" t="str">
        <f>if(isna(vlookup(C1624,'On Hand'!A:C,3,0)),"",vlookup(C1624,'On Hand'!A:C,3,0))</f>
        <v>pc</v>
      </c>
    </row>
    <row r="1625">
      <c r="A1625" s="2" t="str">
        <f>IFERROR(__xludf.DUMMYFUNCTION("""COMPUTED_VALUE"""),"P-14424-00")</f>
        <v>P-14424-00</v>
      </c>
      <c r="B1625" s="2" t="str">
        <f>IFERROR(__xludf.DUMMYFUNCTION("""COMPUTED_VALUE"""),"Garam Kutreat RGN-9800F; ; ; 25Kg/zak")</f>
        <v>Garam Kutreat RGN-9800F; ; ; 25Kg/zak</v>
      </c>
      <c r="C1625" s="2" t="str">
        <f>IFERROR(__xludf.DUMMYFUNCTION("""COMPUTED_VALUE"""),"P-14424-00")</f>
        <v>P-14424-00</v>
      </c>
      <c r="D1625" s="2" t="str">
        <f>if(isna(vlookup(C1625,'On Hand'!A:C,3,0)),"",vlookup(C1625,'On Hand'!A:C,3,0))</f>
        <v>Kg</v>
      </c>
    </row>
    <row r="1626">
      <c r="A1626" s="2" t="str">
        <f>IFERROR(__xludf.DUMMYFUNCTION("""COMPUTED_VALUE"""),"P-14434-00")</f>
        <v>P-14434-00</v>
      </c>
      <c r="B1626" s="2" t="str">
        <f>IFERROR(__xludf.DUMMYFUNCTION("""COMPUTED_VALUE"""),"Tee Sanitary Expanding (long) SS 316 L Dia 1"" - Sodime; ; ;")</f>
        <v>Tee Sanitary Expanding (long) SS 316 L Dia 1" - Sodime; ; ;</v>
      </c>
      <c r="C1626" s="2" t="str">
        <f>IFERROR(__xludf.DUMMYFUNCTION("""COMPUTED_VALUE"""),"P-14434-00")</f>
        <v>P-14434-00</v>
      </c>
      <c r="D1626" s="2" t="str">
        <f>if(isna(vlookup(C1626,'On Hand'!A:C,3,0)),"",vlookup(C1626,'On Hand'!A:C,3,0))</f>
        <v/>
      </c>
    </row>
    <row r="1627">
      <c r="A1627" s="2" t="str">
        <f>IFERROR(__xludf.DUMMYFUNCTION("""COMPUTED_VALUE"""),"P-14442-00")</f>
        <v>P-14442-00</v>
      </c>
      <c r="B1627" s="2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7" s="2" t="str">
        <f>IFERROR(__xludf.DUMMYFUNCTION("""COMPUTED_VALUE"""),"P-14442-00")</f>
        <v>P-14442-00</v>
      </c>
      <c r="D1627" s="2" t="str">
        <f>if(isna(vlookup(C1627,'On Hand'!A:C,3,0)),"",vlookup(C1627,'On Hand'!A:C,3,0))</f>
        <v/>
      </c>
    </row>
    <row r="1628">
      <c r="A1628" s="2" t="str">
        <f>IFERROR(__xludf.DUMMYFUNCTION("""COMPUTED_VALUE"""),"P-14443-00")</f>
        <v>P-14443-00</v>
      </c>
      <c r="B1628" s="2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8" s="2" t="str">
        <f>IFERROR(__xludf.DUMMYFUNCTION("""COMPUTED_VALUE"""),"P-14443-00")</f>
        <v>P-14443-00</v>
      </c>
      <c r="D1628" s="2" t="str">
        <f>if(isna(vlookup(C1628,'On Hand'!A:C,3,0)),"",vlookup(C1628,'On Hand'!A:C,3,0))</f>
        <v/>
      </c>
    </row>
    <row r="1629">
      <c r="A1629" s="2" t="str">
        <f>IFERROR(__xludf.DUMMYFUNCTION("""COMPUTED_VALUE"""),"P-14444-00")</f>
        <v>P-14444-00</v>
      </c>
      <c r="B1629" s="2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29" s="2" t="str">
        <f>IFERROR(__xludf.DUMMYFUNCTION("""COMPUTED_VALUE"""),"P-14444-00")</f>
        <v>P-14444-00</v>
      </c>
      <c r="D1629" s="2" t="str">
        <f>if(isna(vlookup(C1629,'On Hand'!A:C,3,0)),"",vlookup(C1629,'On Hand'!A:C,3,0))</f>
        <v/>
      </c>
    </row>
    <row r="1630">
      <c r="A1630" s="2" t="str">
        <f>IFERROR(__xludf.DUMMYFUNCTION("""COMPUTED_VALUE"""),"P-14445-00")</f>
        <v>P-14445-00</v>
      </c>
      <c r="B1630" s="2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0" s="2" t="str">
        <f>IFERROR(__xludf.DUMMYFUNCTION("""COMPUTED_VALUE"""),"P-14445-00")</f>
        <v>P-14445-00</v>
      </c>
      <c r="D1630" s="2" t="str">
        <f>if(isna(vlookup(C1630,'On Hand'!A:C,3,0)),"",vlookup(C1630,'On Hand'!A:C,3,0))</f>
        <v/>
      </c>
    </row>
    <row r="1631">
      <c r="A1631" s="2" t="str">
        <f>IFERROR(__xludf.DUMMYFUNCTION("""COMPUTED_VALUE"""),"P-14453-00")</f>
        <v>P-14453-00</v>
      </c>
      <c r="B1631" s="2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1" s="2" t="str">
        <f>IFERROR(__xludf.DUMMYFUNCTION("""COMPUTED_VALUE"""),"P-14453-00")</f>
        <v>P-14453-00</v>
      </c>
      <c r="D1631" s="2" t="str">
        <f>if(isna(vlookup(C1631,'On Hand'!A:C,3,0)),"",vlookup(C1631,'On Hand'!A:C,3,0))</f>
        <v/>
      </c>
    </row>
    <row r="1632">
      <c r="A1632" s="2" t="str">
        <f>IFERROR(__xludf.DUMMYFUNCTION("""COMPUTED_VALUE"""),"P-14453-00")</f>
        <v>P-14453-00</v>
      </c>
      <c r="B1632" s="2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2" t="str">
        <f>IFERROR(__xludf.DUMMYFUNCTION("""COMPUTED_VALUE"""),"P-14453-00")</f>
        <v>P-14453-00</v>
      </c>
      <c r="D1632" s="2" t="str">
        <f>if(isna(vlookup(C1632,'On Hand'!A:C,3,0)),"",vlookup(C1632,'On Hand'!A:C,3,0))</f>
        <v/>
      </c>
    </row>
    <row r="1633">
      <c r="A1633" s="2" t="str">
        <f>IFERROR(__xludf.DUMMYFUNCTION("""COMPUTED_VALUE"""),"P-14454-00")</f>
        <v>P-14454-00</v>
      </c>
      <c r="B1633" s="2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3" s="2" t="str">
        <f>IFERROR(__xludf.DUMMYFUNCTION("""COMPUTED_VALUE"""),"P-14454-00")</f>
        <v>P-14454-00</v>
      </c>
      <c r="D1633" s="2" t="str">
        <f>if(isna(vlookup(C1633,'On Hand'!A:C,3,0)),"",vlookup(C1633,'On Hand'!A:C,3,0))</f>
        <v>pc</v>
      </c>
    </row>
    <row r="1634">
      <c r="A1634" s="2" t="str">
        <f>IFERROR(__xludf.DUMMYFUNCTION("""COMPUTED_VALUE"""),"P-14454-00")</f>
        <v>P-14454-00</v>
      </c>
      <c r="B1634" s="2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2" t="str">
        <f>IFERROR(__xludf.DUMMYFUNCTION("""COMPUTED_VALUE"""),"P-14454-00")</f>
        <v>P-14454-00</v>
      </c>
      <c r="D1634" s="2" t="str">
        <f>if(isna(vlookup(C1634,'On Hand'!A:C,3,0)),"",vlookup(C1634,'On Hand'!A:C,3,0))</f>
        <v>pc</v>
      </c>
    </row>
    <row r="1635">
      <c r="A1635" s="2" t="str">
        <f>IFERROR(__xludf.DUMMYFUNCTION("""COMPUTED_VALUE"""),"P-14455-00")</f>
        <v>P-14455-00</v>
      </c>
      <c r="B1635" s="2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5" s="2" t="str">
        <f>IFERROR(__xludf.DUMMYFUNCTION("""COMPUTED_VALUE"""),"P-14455-00")</f>
        <v>P-14455-00</v>
      </c>
      <c r="D1635" s="2" t="str">
        <f>if(isna(vlookup(C1635,'On Hand'!A:C,3,0)),"",vlookup(C1635,'On Hand'!A:C,3,0))</f>
        <v>pc</v>
      </c>
    </row>
    <row r="1636">
      <c r="A1636" s="2" t="str">
        <f>IFERROR(__xludf.DUMMYFUNCTION("""COMPUTED_VALUE"""),"P-14456-00")</f>
        <v>P-14456-00</v>
      </c>
      <c r="B1636" s="2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6" s="2" t="str">
        <f>IFERROR(__xludf.DUMMYFUNCTION("""COMPUTED_VALUE"""),"P-14456-00")</f>
        <v>P-14456-00</v>
      </c>
      <c r="D1636" s="2" t="str">
        <f>if(isna(vlookup(C1636,'On Hand'!A:C,3,0)),"",vlookup(C1636,'On Hand'!A:C,3,0))</f>
        <v>pc</v>
      </c>
    </row>
    <row r="1637">
      <c r="A1637" s="2" t="str">
        <f>IFERROR(__xludf.DUMMYFUNCTION("""COMPUTED_VALUE"""),"P-14457-00")</f>
        <v>P-14457-00</v>
      </c>
      <c r="B1637" s="2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7" s="2" t="str">
        <f>IFERROR(__xludf.DUMMYFUNCTION("""COMPUTED_VALUE"""),"P-14457-00")</f>
        <v>P-14457-00</v>
      </c>
      <c r="D1637" s="2" t="str">
        <f>if(isna(vlookup(C1637,'On Hand'!A:C,3,0)),"",vlookup(C1637,'On Hand'!A:C,3,0))</f>
        <v>pc</v>
      </c>
    </row>
    <row r="1638">
      <c r="A1638" s="2" t="str">
        <f>IFERROR(__xludf.DUMMYFUNCTION("""COMPUTED_VALUE"""),"P-14458-00")</f>
        <v>P-14458-00</v>
      </c>
      <c r="B1638" s="2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8" s="2" t="str">
        <f>IFERROR(__xludf.DUMMYFUNCTION("""COMPUTED_VALUE"""),"P-14458-00")</f>
        <v>P-14458-00</v>
      </c>
      <c r="D1638" s="2" t="str">
        <f>if(isna(vlookup(C1638,'On Hand'!A:C,3,0)),"",vlookup(C1638,'On Hand'!A:C,3,0))</f>
        <v>pc</v>
      </c>
    </row>
    <row r="1639">
      <c r="A1639" s="2" t="str">
        <f>IFERROR(__xludf.DUMMYFUNCTION("""COMPUTED_VALUE"""),"P-14459-00")</f>
        <v>P-14459-00</v>
      </c>
      <c r="B1639" s="2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39" s="2" t="str">
        <f>IFERROR(__xludf.DUMMYFUNCTION("""COMPUTED_VALUE"""),"P-14459-00")</f>
        <v>P-14459-00</v>
      </c>
      <c r="D1639" s="2" t="str">
        <f>if(isna(vlookup(C1639,'On Hand'!A:C,3,0)),"",vlookup(C1639,'On Hand'!A:C,3,0))</f>
        <v>pc</v>
      </c>
    </row>
    <row r="1640">
      <c r="A1640" s="2" t="str">
        <f>IFERROR(__xludf.DUMMYFUNCTION("""COMPUTED_VALUE"""),"P-14460-00")</f>
        <v>P-14460-00</v>
      </c>
      <c r="B1640" s="2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0" s="2" t="str">
        <f>IFERROR(__xludf.DUMMYFUNCTION("""COMPUTED_VALUE"""),"P-14460-00")</f>
        <v>P-14460-00</v>
      </c>
      <c r="D1640" s="2" t="str">
        <f>if(isna(vlookup(C1640,'On Hand'!A:C,3,0)),"",vlookup(C1640,'On Hand'!A:C,3,0))</f>
        <v/>
      </c>
    </row>
    <row r="1641">
      <c r="A1641" s="2" t="str">
        <f>IFERROR(__xludf.DUMMYFUNCTION("""COMPUTED_VALUE"""),"P-14516-00")</f>
        <v>P-14516-00</v>
      </c>
      <c r="B1641" s="2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1" s="2" t="str">
        <f>IFERROR(__xludf.DUMMYFUNCTION("""COMPUTED_VALUE"""),"P-14516-00")</f>
        <v>P-14516-00</v>
      </c>
      <c r="D1641" s="2" t="str">
        <f>if(isna(vlookup(C1641,'On Hand'!A:C,3,0)),"",vlookup(C1641,'On Hand'!A:C,3,0))</f>
        <v/>
      </c>
    </row>
    <row r="1642">
      <c r="A1642" s="2" t="str">
        <f>IFERROR(__xludf.DUMMYFUNCTION("""COMPUTED_VALUE"""),"P-14519-00")</f>
        <v>P-14519-00</v>
      </c>
      <c r="B1642" s="2" t="str">
        <f>IFERROR(__xludf.DUMMYFUNCTION("""COMPUTED_VALUE"""),"General - Baut Hexagonal, SS, M8 x 30 mm + Mur + Ring; No Brand; -; 1 pcs")</f>
        <v>General - Baut Hexagonal, SS, M8 x 30 mm + Mur + Ring; No Brand; -; 1 pcs</v>
      </c>
      <c r="C1642" s="2" t="str">
        <f>IFERROR(__xludf.DUMMYFUNCTION("""COMPUTED_VALUE"""),"P-14519-00")</f>
        <v>P-14519-00</v>
      </c>
      <c r="D1642" s="2" t="str">
        <f>if(isna(vlookup(C1642,'On Hand'!A:C,3,0)),"",vlookup(C1642,'On Hand'!A:C,3,0))</f>
        <v>pc</v>
      </c>
    </row>
    <row r="1643">
      <c r="A1643" s="2" t="str">
        <f>IFERROR(__xludf.DUMMYFUNCTION("""COMPUTED_VALUE"""),"P-14521-00")</f>
        <v>P-14521-00</v>
      </c>
      <c r="B1643" s="2" t="str">
        <f>IFERROR(__xludf.DUMMYFUNCTION("""COMPUTED_VALUE"""),"Freon R410A; Dupont; ;")</f>
        <v>Freon R410A; Dupont; ;</v>
      </c>
      <c r="C1643" s="2" t="str">
        <f>IFERROR(__xludf.DUMMYFUNCTION("""COMPUTED_VALUE"""),"P-14521-00")</f>
        <v>P-14521-00</v>
      </c>
      <c r="D1643" s="2" t="str">
        <f>if(isna(vlookup(C1643,'On Hand'!A:C,3,0)),"",vlookup(C1643,'On Hand'!A:C,3,0))</f>
        <v>Can</v>
      </c>
    </row>
    <row r="1644">
      <c r="A1644" s="2" t="str">
        <f>IFERROR(__xludf.DUMMYFUNCTION("""COMPUTED_VALUE"""),"P-14522-00")</f>
        <v>P-14522-00</v>
      </c>
      <c r="B1644" s="2" t="str">
        <f>IFERROR(__xludf.DUMMYFUNCTION("""COMPUTED_VALUE"""),"Dynabolt M12x60mm; ; ;")</f>
        <v>Dynabolt M12x60mm; ; ;</v>
      </c>
      <c r="C1644" s="2" t="str">
        <f>IFERROR(__xludf.DUMMYFUNCTION("""COMPUTED_VALUE"""),"P-14522-00")</f>
        <v>P-14522-00</v>
      </c>
      <c r="D1644" s="2" t="str">
        <f>if(isna(vlookup(C1644,'On Hand'!A:C,3,0)),"",vlookup(C1644,'On Hand'!A:C,3,0))</f>
        <v/>
      </c>
    </row>
    <row r="1645">
      <c r="A1645" s="2" t="str">
        <f>IFERROR(__xludf.DUMMYFUNCTION("""COMPUTED_VALUE"""),"P-14528-00")</f>
        <v>P-14528-00</v>
      </c>
      <c r="B1645" s="2" t="str">
        <f>IFERROR(__xludf.DUMMYFUNCTION("""COMPUTED_VALUE"""),"Pressure Gauge 2,5 inch 0-10 Bar, Sanitary Diaphragm Seal; ; ;")</f>
        <v>Pressure Gauge 2,5 inch 0-10 Bar, Sanitary Diaphragm Seal; ; ;</v>
      </c>
      <c r="C1645" s="2" t="str">
        <f>IFERROR(__xludf.DUMMYFUNCTION("""COMPUTED_VALUE"""),"P-14528-00")</f>
        <v>P-14528-00</v>
      </c>
      <c r="D1645" s="2" t="str">
        <f>if(isna(vlookup(C1645,'On Hand'!A:C,3,0)),"",vlookup(C1645,'On Hand'!A:C,3,0))</f>
        <v/>
      </c>
    </row>
    <row r="1646">
      <c r="A1646" s="2" t="str">
        <f>IFERROR(__xludf.DUMMYFUNCTION("""COMPUTED_VALUE"""),"P-14764-00")</f>
        <v>P-14764-00</v>
      </c>
      <c r="B1646" s="2" t="str">
        <f>IFERROR(__xludf.DUMMYFUNCTION("""COMPUTED_VALUE"""),"Tee PVC 4"" Rucika")</f>
        <v>Tee PVC 4" Rucika</v>
      </c>
      <c r="C1646" s="2" t="str">
        <f>IFERROR(__xludf.DUMMYFUNCTION("""COMPUTED_VALUE"""),"P-14764-00")</f>
        <v>P-14764-00</v>
      </c>
      <c r="D1646" s="2" t="str">
        <f>if(isna(vlookup(C1646,'On Hand'!A:C,3,0)),"",vlookup(C1646,'On Hand'!A:C,3,0))</f>
        <v/>
      </c>
    </row>
    <row r="1647">
      <c r="A1647" s="2" t="str">
        <f>IFERROR(__xludf.DUMMYFUNCTION("""COMPUTED_VALUE"""),"P-14877-00")</f>
        <v>P-14877-00</v>
      </c>
      <c r="B1647" s="2" t="str">
        <f>IFERROR(__xludf.DUMMYFUNCTION("""COMPUTED_VALUE"""),"General - Kabel NYYHY 3 x 2.5mm; SUPREME; -; 1 meter")</f>
        <v>General - Kabel NYYHY 3 x 2.5mm; SUPREME; -; 1 meter</v>
      </c>
      <c r="C1647" s="2" t="str">
        <f>IFERROR(__xludf.DUMMYFUNCTION("""COMPUTED_VALUE"""),"P-14877-00")</f>
        <v>P-14877-00</v>
      </c>
      <c r="D1647" s="2" t="str">
        <f>if(isna(vlookup(C1647,'On Hand'!A:C,3,0)),"",vlookup(C1647,'On Hand'!A:C,3,0))</f>
        <v/>
      </c>
    </row>
    <row r="1648">
      <c r="A1648" s="2" t="str">
        <f>IFERROR(__xludf.DUMMYFUNCTION("""COMPUTED_VALUE"""),"P-14899-00")</f>
        <v>P-14899-00</v>
      </c>
      <c r="B1648" s="2" t="str">
        <f>IFERROR(__xludf.DUMMYFUNCTION("""COMPUTED_VALUE"""),"Electrode Set Ozone Generator; Ozonia MKIV; ;")</f>
        <v>Electrode Set Ozone Generator; Ozonia MKIV; ;</v>
      </c>
      <c r="C1648" s="2" t="str">
        <f>IFERROR(__xludf.DUMMYFUNCTION("""COMPUTED_VALUE"""),"P-14899-00")</f>
        <v>P-14899-00</v>
      </c>
      <c r="D1648" s="2" t="str">
        <f>if(isna(vlookup(C1648,'On Hand'!A:C,3,0)),"",vlookup(C1648,'On Hand'!A:C,3,0))</f>
        <v/>
      </c>
    </row>
    <row r="1649">
      <c r="A1649" s="2" t="str">
        <f>IFERROR(__xludf.DUMMYFUNCTION("""COMPUTED_VALUE"""),"P-14900-00")</f>
        <v>P-14900-00</v>
      </c>
      <c r="B1649" s="2" t="str">
        <f>IFERROR(__xludf.DUMMYFUNCTION("""COMPUTED_VALUE"""),"Quartz sleeve Hanovia UV System; HANOVIA; p/n 120207042;")</f>
        <v>Quartz sleeve Hanovia UV System; HANOVIA; p/n 120207042;</v>
      </c>
      <c r="C1649" s="2" t="str">
        <f>IFERROR(__xludf.DUMMYFUNCTION("""COMPUTED_VALUE"""),"P-14900-00")</f>
        <v>P-14900-00</v>
      </c>
      <c r="D1649" s="2" t="str">
        <f>if(isna(vlookup(C1649,'On Hand'!A:C,3,0)),"",vlookup(C1649,'On Hand'!A:C,3,0))</f>
        <v/>
      </c>
    </row>
    <row r="1650">
      <c r="A1650" s="2" t="str">
        <f>IFERROR(__xludf.DUMMYFUNCTION("""COMPUTED_VALUE"""),"P-14901-00")</f>
        <v>P-14901-00</v>
      </c>
      <c r="B1650" s="2" t="str">
        <f>IFERROR(__xludf.DUMMYFUNCTION("""COMPUTED_VALUE"""),"Sleeve Seal Hanovia UV System; HANOVIA; p/n 600143025;")</f>
        <v>Sleeve Seal Hanovia UV System; HANOVIA; p/n 600143025;</v>
      </c>
      <c r="C1650" s="2" t="str">
        <f>IFERROR(__xludf.DUMMYFUNCTION("""COMPUTED_VALUE"""),"P-14901-00")</f>
        <v>P-14901-00</v>
      </c>
      <c r="D1650" s="2" t="str">
        <f>if(isna(vlookup(C1650,'On Hand'!A:C,3,0)),"",vlookup(C1650,'On Hand'!A:C,3,0))</f>
        <v>unt</v>
      </c>
    </row>
    <row r="1651">
      <c r="A1651" s="2" t="str">
        <f>IFERROR(__xludf.DUMMYFUNCTION("""COMPUTED_VALUE"""),"P-14906-00")</f>
        <v>P-14906-00</v>
      </c>
      <c r="B1651" s="2" t="str">
        <f>IFERROR(__xludf.DUMMYFUNCTION("""COMPUTED_VALUE"""),"UV Sensor Housing Hanovia UV System; HANOVIA; p/n 270264043;")</f>
        <v>UV Sensor Housing Hanovia UV System; HANOVIA; p/n 270264043;</v>
      </c>
      <c r="C1651" s="2" t="str">
        <f>IFERROR(__xludf.DUMMYFUNCTION("""COMPUTED_VALUE"""),"P-14906-00")</f>
        <v>P-14906-00</v>
      </c>
      <c r="D1651" s="2" t="str">
        <f>if(isna(vlookup(C1651,'On Hand'!A:C,3,0)),"",vlookup(C1651,'On Hand'!A:C,3,0))</f>
        <v/>
      </c>
    </row>
    <row r="1652">
      <c r="A1652" s="2" t="str">
        <f>IFERROR(__xludf.DUMMYFUNCTION("""COMPUTED_VALUE"""),"P-14907-00")</f>
        <v>P-14907-00</v>
      </c>
      <c r="B1652" s="2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2" s="2" t="str">
        <f>IFERROR(__xludf.DUMMYFUNCTION("""COMPUTED_VALUE"""),"P-14907-00")</f>
        <v>P-14907-00</v>
      </c>
      <c r="D1652" s="2" t="str">
        <f>if(isna(vlookup(C1652,'On Hand'!A:C,3,0)),"",vlookup(C1652,'On Hand'!A:C,3,0))</f>
        <v/>
      </c>
    </row>
    <row r="1653">
      <c r="A1653" s="2" t="str">
        <f>IFERROR(__xludf.DUMMYFUNCTION("""COMPUTED_VALUE"""),"P-14910-00")</f>
        <v>P-14910-00</v>
      </c>
      <c r="B1653" s="2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3" s="2" t="str">
        <f>IFERROR(__xludf.DUMMYFUNCTION("""COMPUTED_VALUE"""),"P-14910-00")</f>
        <v>P-14910-00</v>
      </c>
      <c r="D1653" s="2" t="str">
        <f>if(isna(vlookup(C1653,'On Hand'!A:C,3,0)),"",vlookup(C1653,'On Hand'!A:C,3,0))</f>
        <v/>
      </c>
    </row>
    <row r="1654">
      <c r="A1654" s="2" t="str">
        <f>IFERROR(__xludf.DUMMYFUNCTION("""COMPUTED_VALUE"""),"P-14928-00")</f>
        <v>P-14928-00</v>
      </c>
      <c r="B1654" s="2" t="str">
        <f>IFERROR(__xludf.DUMMYFUNCTION("""COMPUTED_VALUE"""),"Watermur 2"" SS 304; ; ;")</f>
        <v>Watermur 2" SS 304; ; ;</v>
      </c>
      <c r="C1654" s="2" t="str">
        <f>IFERROR(__xludf.DUMMYFUNCTION("""COMPUTED_VALUE"""),"P-14928-00")</f>
        <v>P-14928-00</v>
      </c>
      <c r="D1654" s="2" t="str">
        <f>if(isna(vlookup(C1654,'On Hand'!A:C,3,0)),"",vlookup(C1654,'On Hand'!A:C,3,0))</f>
        <v/>
      </c>
    </row>
    <row r="1655">
      <c r="A1655" s="2" t="str">
        <f>IFERROR(__xludf.DUMMYFUNCTION("""COMPUTED_VALUE"""),"P-14948-00")</f>
        <v>P-14948-00</v>
      </c>
      <c r="B1655" s="2" t="str">
        <f>IFERROR(__xludf.DUMMYFUNCTION("""COMPUTED_VALUE"""),"Fitting Male Elbow KQ2L08-02AS; ; ;")</f>
        <v>Fitting Male Elbow KQ2L08-02AS; ; ;</v>
      </c>
      <c r="C1655" s="2" t="str">
        <f>IFERROR(__xludf.DUMMYFUNCTION("""COMPUTED_VALUE"""),"P-14948-00")</f>
        <v>P-14948-00</v>
      </c>
      <c r="D1655" s="2" t="str">
        <f>if(isna(vlookup(C1655,'On Hand'!A:C,3,0)),"",vlookup(C1655,'On Hand'!A:C,3,0))</f>
        <v>pc</v>
      </c>
    </row>
    <row r="1656">
      <c r="A1656" s="2" t="str">
        <f>IFERROR(__xludf.DUMMYFUNCTION("""COMPUTED_VALUE"""),"P-14949-00")</f>
        <v>P-14949-00</v>
      </c>
      <c r="B1656" s="2" t="str">
        <f>IFERROR(__xludf.DUMMYFUNCTION("""COMPUTED_VALUE"""),"Fitting Male Elbow KQ2L08-03AS; ; ;")</f>
        <v>Fitting Male Elbow KQ2L08-03AS; ; ;</v>
      </c>
      <c r="C1656" s="2" t="str">
        <f>IFERROR(__xludf.DUMMYFUNCTION("""COMPUTED_VALUE"""),"P-14949-00")</f>
        <v>P-14949-00</v>
      </c>
      <c r="D1656" s="2" t="str">
        <f>if(isna(vlookup(C1656,'On Hand'!A:C,3,0)),"",vlookup(C1656,'On Hand'!A:C,3,0))</f>
        <v>pc</v>
      </c>
    </row>
    <row r="1657">
      <c r="A1657" s="2" t="str">
        <f>IFERROR(__xludf.DUMMYFUNCTION("""COMPUTED_VALUE"""),"P-14950-00")</f>
        <v>P-14950-00</v>
      </c>
      <c r="B1657" s="2" t="str">
        <f>IFERROR(__xludf.DUMMYFUNCTION("""COMPUTED_VALUE"""),"General - KQ2 Fitting, KQ2T04-00A; SMC Pneumatics; -; 10 pcs per pack")</f>
        <v>General - KQ2 Fitting, KQ2T04-00A; SMC Pneumatics; -; 10 pcs per pack</v>
      </c>
      <c r="C1657" s="2" t="str">
        <f>IFERROR(__xludf.DUMMYFUNCTION("""COMPUTED_VALUE"""),"P-14950-00")</f>
        <v>P-14950-00</v>
      </c>
      <c r="D1657" s="2" t="str">
        <f>if(isna(vlookup(C1657,'On Hand'!A:C,3,0)),"",vlookup(C1657,'On Hand'!A:C,3,0))</f>
        <v>pc</v>
      </c>
    </row>
    <row r="1658">
      <c r="A1658" s="2" t="str">
        <f>IFERROR(__xludf.DUMMYFUNCTION("""COMPUTED_VALUE"""),"P-14951-00")</f>
        <v>P-14951-00</v>
      </c>
      <c r="B1658" s="2" t="str">
        <f>IFERROR(__xludf.DUMMYFUNCTION("""COMPUTED_VALUE"""),"General - Fitting Union Tee KQ2T06-00A; SMC; -; 1 pc")</f>
        <v>General - Fitting Union Tee KQ2T06-00A; SMC; -; 1 pc</v>
      </c>
      <c r="C1658" s="2" t="str">
        <f>IFERROR(__xludf.DUMMYFUNCTION("""COMPUTED_VALUE"""),"P-14951-00")</f>
        <v>P-14951-00</v>
      </c>
      <c r="D1658" s="2" t="str">
        <f>if(isna(vlookup(C1658,'On Hand'!A:C,3,0)),"",vlookup(C1658,'On Hand'!A:C,3,0))</f>
        <v>pc</v>
      </c>
    </row>
    <row r="1659">
      <c r="A1659" s="2" t="str">
        <f>IFERROR(__xludf.DUMMYFUNCTION("""COMPUTED_VALUE"""),"P-14952-00")</f>
        <v>P-14952-00</v>
      </c>
      <c r="B1659" s="2" t="str">
        <f>IFERROR(__xludf.DUMMYFUNCTION("""COMPUTED_VALUE"""),"General - KQ2 Fitting, KQ2T08-00A; SMC Pneumatics; -; 10 pcs per pack")</f>
        <v>General - KQ2 Fitting, KQ2T08-00A; SMC Pneumatics; -; 10 pcs per pack</v>
      </c>
      <c r="C1659" s="2" t="str">
        <f>IFERROR(__xludf.DUMMYFUNCTION("""COMPUTED_VALUE"""),"P-14952-00")</f>
        <v>P-14952-00</v>
      </c>
      <c r="D1659" s="2" t="str">
        <f>if(isna(vlookup(C1659,'On Hand'!A:C,3,0)),"",vlookup(C1659,'On Hand'!A:C,3,0))</f>
        <v>pc</v>
      </c>
    </row>
    <row r="1660">
      <c r="A1660" s="2" t="str">
        <f>IFERROR(__xludf.DUMMYFUNCTION("""COMPUTED_VALUE"""),"P-14953-00")</f>
        <v>P-14953-00</v>
      </c>
      <c r="B1660" s="2" t="str">
        <f>IFERROR(__xludf.DUMMYFUNCTION("""COMPUTED_VALUE"""),"Straight Reducer KQ2H04-06A; ; ;")</f>
        <v>Straight Reducer KQ2H04-06A; ; ;</v>
      </c>
      <c r="C1660" s="2" t="str">
        <f>IFERROR(__xludf.DUMMYFUNCTION("""COMPUTED_VALUE"""),"P-14953-00")</f>
        <v>P-14953-00</v>
      </c>
      <c r="D1660" s="2" t="str">
        <f>if(isna(vlookup(C1660,'On Hand'!A:C,3,0)),"",vlookup(C1660,'On Hand'!A:C,3,0))</f>
        <v>pc</v>
      </c>
    </row>
    <row r="1661">
      <c r="A1661" s="2" t="str">
        <f>IFERROR(__xludf.DUMMYFUNCTION("""COMPUTED_VALUE"""),"P-14954-00")</f>
        <v>P-14954-00</v>
      </c>
      <c r="B1661" s="2" t="str">
        <f>IFERROR(__xludf.DUMMYFUNCTION("""COMPUTED_VALUE"""),"Straight Reducer KQ2H06-08A; ; ;")</f>
        <v>Straight Reducer KQ2H06-08A; ; ;</v>
      </c>
      <c r="C1661" s="2" t="str">
        <f>IFERROR(__xludf.DUMMYFUNCTION("""COMPUTED_VALUE"""),"P-14954-00")</f>
        <v>P-14954-00</v>
      </c>
      <c r="D1661" s="2" t="str">
        <f>if(isna(vlookup(C1661,'On Hand'!A:C,3,0)),"",vlookup(C1661,'On Hand'!A:C,3,0))</f>
        <v>pc</v>
      </c>
    </row>
    <row r="1662">
      <c r="A1662" s="2" t="str">
        <f>IFERROR(__xludf.DUMMYFUNCTION("""COMPUTED_VALUE"""),"P-14955-00")</f>
        <v>P-14955-00</v>
      </c>
      <c r="B1662" s="2" t="str">
        <f>IFERROR(__xludf.DUMMYFUNCTION("""COMPUTED_VALUE"""),"Straight Union KQ2H04-00A; ; ;")</f>
        <v>Straight Union KQ2H04-00A; ; ;</v>
      </c>
      <c r="C1662" s="2" t="str">
        <f>IFERROR(__xludf.DUMMYFUNCTION("""COMPUTED_VALUE"""),"P-14955-00")</f>
        <v>P-14955-00</v>
      </c>
      <c r="D1662" s="2" t="str">
        <f>if(isna(vlookup(C1662,'On Hand'!A:C,3,0)),"",vlookup(C1662,'On Hand'!A:C,3,0))</f>
        <v>pc</v>
      </c>
    </row>
    <row r="1663">
      <c r="A1663" s="2" t="str">
        <f>IFERROR(__xludf.DUMMYFUNCTION("""COMPUTED_VALUE"""),"P-14956-00")</f>
        <v>P-14956-00</v>
      </c>
      <c r="B1663" s="2" t="str">
        <f>IFERROR(__xludf.DUMMYFUNCTION("""COMPUTED_VALUE"""),"General - Straight Union KQ2H06-00A; No Brand; -; 1 Pc")</f>
        <v>General - Straight Union KQ2H06-00A; No Brand; -; 1 Pc</v>
      </c>
      <c r="C1663" s="2" t="str">
        <f>IFERROR(__xludf.DUMMYFUNCTION("""COMPUTED_VALUE"""),"P-14956-00")</f>
        <v>P-14956-00</v>
      </c>
      <c r="D1663" s="2" t="str">
        <f>if(isna(vlookup(C1663,'On Hand'!A:C,3,0)),"",vlookup(C1663,'On Hand'!A:C,3,0))</f>
        <v>pc</v>
      </c>
    </row>
    <row r="1664">
      <c r="A1664" s="2" t="str">
        <f>IFERROR(__xludf.DUMMYFUNCTION("""COMPUTED_VALUE"""),"P-14957-00")</f>
        <v>P-14957-00</v>
      </c>
      <c r="B1664" s="2" t="str">
        <f>IFERROR(__xludf.DUMMYFUNCTION("""COMPUTED_VALUE"""),"Straight Union KQ2H08-00A")</f>
        <v>Straight Union KQ2H08-00A</v>
      </c>
      <c r="C1664" s="2" t="str">
        <f>IFERROR(__xludf.DUMMYFUNCTION("""COMPUTED_VALUE"""),"P-14957-00")</f>
        <v>P-14957-00</v>
      </c>
      <c r="D1664" s="2" t="str">
        <f>if(isna(vlookup(C1664,'On Hand'!A:C,3,0)),"",vlookup(C1664,'On Hand'!A:C,3,0))</f>
        <v>pc</v>
      </c>
    </row>
    <row r="1665">
      <c r="A1665" s="2" t="str">
        <f>IFERROR(__xludf.DUMMYFUNCTION("""COMPUTED_VALUE"""),"P-14959-00")</f>
        <v>P-14959-00</v>
      </c>
      <c r="B1665" s="2" t="str">
        <f>IFERROR(__xludf.DUMMYFUNCTION("""COMPUTED_VALUE"""),"PVC - Dop 1/2 inch; ; ;")</f>
        <v>PVC - Dop 1/2 inch; ; ;</v>
      </c>
      <c r="C1665" s="2" t="str">
        <f>IFERROR(__xludf.DUMMYFUNCTION("""COMPUTED_VALUE"""),"P-14959-00")</f>
        <v>P-14959-00</v>
      </c>
      <c r="D1665" s="2" t="str">
        <f>if(isna(vlookup(C1665,'On Hand'!A:C,3,0)),"",vlookup(C1665,'On Hand'!A:C,3,0))</f>
        <v/>
      </c>
    </row>
    <row r="1666">
      <c r="A1666" s="2" t="str">
        <f>IFERROR(__xludf.DUMMYFUNCTION("""COMPUTED_VALUE"""),"P-14960-00")</f>
        <v>P-14960-00</v>
      </c>
      <c r="B1666" s="2" t="str">
        <f>IFERROR(__xludf.DUMMYFUNCTION("""COMPUTED_VALUE"""),"PVC - Dop 1 inch; ; ;")</f>
        <v>PVC - Dop 1 inch; ; ;</v>
      </c>
      <c r="C1666" s="2" t="str">
        <f>IFERROR(__xludf.DUMMYFUNCTION("""COMPUTED_VALUE"""),"P-14960-00")</f>
        <v>P-14960-00</v>
      </c>
      <c r="D1666" s="2" t="str">
        <f>if(isna(vlookup(C1666,'On Hand'!A:C,3,0)),"",vlookup(C1666,'On Hand'!A:C,3,0))</f>
        <v/>
      </c>
    </row>
    <row r="1667">
      <c r="A1667" s="2" t="str">
        <f>IFERROR(__xludf.DUMMYFUNCTION("""COMPUTED_VALUE"""),"P-14966-00")</f>
        <v>P-14966-00</v>
      </c>
      <c r="B1667" s="2" t="str">
        <f>IFERROR(__xludf.DUMMYFUNCTION("""COMPUTED_VALUE"""),"General - Gate Valve Kuningan 2inch; Kitz; -; 1pc")</f>
        <v>General - Gate Valve Kuningan 2inch; Kitz; -; 1pc</v>
      </c>
      <c r="C1667" s="2" t="str">
        <f>IFERROR(__xludf.DUMMYFUNCTION("""COMPUTED_VALUE"""),"P-14966-00")</f>
        <v>P-14966-00</v>
      </c>
      <c r="D1667" s="2" t="str">
        <f>if(isna(vlookup(C1667,'On Hand'!A:C,3,0)),"",vlookup(C1667,'On Hand'!A:C,3,0))</f>
        <v>pc</v>
      </c>
    </row>
    <row r="1668">
      <c r="A1668" s="2" t="str">
        <f>IFERROR(__xludf.DUMMYFUNCTION("""COMPUTED_VALUE"""),"P-14969-00")</f>
        <v>P-14969-00</v>
      </c>
      <c r="B1668" s="2" t="str">
        <f>IFERROR(__xludf.DUMMYFUNCTION("""COMPUTED_VALUE"""),"Fitting PVC - SDL PVC 3/4""; ; ;")</f>
        <v>Fitting PVC - SDL PVC 3/4"; ; ;</v>
      </c>
      <c r="C1668" s="2" t="str">
        <f>IFERROR(__xludf.DUMMYFUNCTION("""COMPUTED_VALUE"""),"P-14969-00")</f>
        <v>P-14969-00</v>
      </c>
      <c r="D1668" s="2" t="str">
        <f>if(isna(vlookup(C1668,'On Hand'!A:C,3,0)),"",vlookup(C1668,'On Hand'!A:C,3,0))</f>
        <v/>
      </c>
    </row>
    <row r="1669">
      <c r="A1669" s="2" t="str">
        <f>IFERROR(__xludf.DUMMYFUNCTION("""COMPUTED_VALUE"""),"P-14970-00")</f>
        <v>P-14970-00</v>
      </c>
      <c r="B1669" s="2" t="str">
        <f>IFERROR(__xludf.DUMMYFUNCTION("""COMPUTED_VALUE"""),"General - Pipa PVC AW dia. 2 1/2inch, Warna Abu-Abu; Rucika; -; 1 pcs")</f>
        <v>General - Pipa PVC AW dia. 2 1/2inch, Warna Abu-Abu; Rucika; -; 1 pcs</v>
      </c>
      <c r="C1669" s="2" t="str">
        <f>IFERROR(__xludf.DUMMYFUNCTION("""COMPUTED_VALUE"""),"P-14970-00")</f>
        <v>P-14970-00</v>
      </c>
      <c r="D1669" s="2" t="str">
        <f>if(isna(vlookup(C1669,'On Hand'!A:C,3,0)),"",vlookup(C1669,'On Hand'!A:C,3,0))</f>
        <v>pc</v>
      </c>
    </row>
    <row r="1670">
      <c r="A1670" s="2" t="str">
        <f>IFERROR(__xludf.DUMMYFUNCTION("""COMPUTED_VALUE"""),"P-14974-00")</f>
        <v>P-14974-00</v>
      </c>
      <c r="B1670" s="2" t="str">
        <f>IFERROR(__xludf.DUMMYFUNCTION("""COMPUTED_VALUE"""),"PVC - Sock AW 2 1/2""; ; ;")</f>
        <v>PVC - Sock AW 2 1/2"; ; ;</v>
      </c>
      <c r="C1670" s="2" t="str">
        <f>IFERROR(__xludf.DUMMYFUNCTION("""COMPUTED_VALUE"""),"P-14974-00")</f>
        <v>P-14974-00</v>
      </c>
      <c r="D1670" s="2" t="str">
        <f>if(isna(vlookup(C1670,'On Hand'!A:C,3,0)),"",vlookup(C1670,'On Hand'!A:C,3,0))</f>
        <v>pc</v>
      </c>
    </row>
    <row r="1671">
      <c r="A1671" s="2" t="str">
        <f>IFERROR(__xludf.DUMMYFUNCTION("""COMPUTED_VALUE"""),"P-14976-00")</f>
        <v>P-14976-00</v>
      </c>
      <c r="B1671" s="2" t="str">
        <f>IFERROR(__xludf.DUMMYFUNCTION("""COMPUTED_VALUE"""),"Ball Valve PVC 1/2""; ; ;")</f>
        <v>Ball Valve PVC 1/2"; ; ;</v>
      </c>
      <c r="C1671" s="2" t="str">
        <f>IFERROR(__xludf.DUMMYFUNCTION("""COMPUTED_VALUE"""),"P-14976-00")</f>
        <v>P-14976-00</v>
      </c>
      <c r="D1671" s="2" t="str">
        <f>if(isna(vlookup(C1671,'On Hand'!A:C,3,0)),"",vlookup(C1671,'On Hand'!A:C,3,0))</f>
        <v/>
      </c>
    </row>
    <row r="1672">
      <c r="A1672" s="2" t="str">
        <f>IFERROR(__xludf.DUMMYFUNCTION("""COMPUTED_VALUE"""),"P-14977-00")</f>
        <v>P-14977-00</v>
      </c>
      <c r="B1672" s="2" t="str">
        <f>IFERROR(__xludf.DUMMYFUNCTION("""COMPUTED_VALUE"""),"Pipa Sanitary 1"" SS 316; ; ;")</f>
        <v>Pipa Sanitary 1" SS 316; ; ;</v>
      </c>
      <c r="C1672" s="2" t="str">
        <f>IFERROR(__xludf.DUMMYFUNCTION("""COMPUTED_VALUE"""),"P-14977-00")</f>
        <v>P-14977-00</v>
      </c>
      <c r="D1672" s="2" t="str">
        <f>if(isna(vlookup(C1672,'On Hand'!A:C,3,0)),"",vlookup(C1672,'On Hand'!A:C,3,0))</f>
        <v/>
      </c>
    </row>
    <row r="1673">
      <c r="A1673" s="2" t="str">
        <f>IFERROR(__xludf.DUMMYFUNCTION("""COMPUTED_VALUE"""),"P-14980-00")</f>
        <v>P-14980-00</v>
      </c>
      <c r="B1673" s="2" t="str">
        <f>IFERROR(__xludf.DUMMYFUNCTION("""COMPUTED_VALUE"""),"General - Seal Ferrule Teflon 3/4inch; No Brand; -; 1 pcs")</f>
        <v>General - Seal Ferrule Teflon 3/4inch; No Brand; -; 1 pcs</v>
      </c>
      <c r="C1673" s="2" t="str">
        <f>IFERROR(__xludf.DUMMYFUNCTION("""COMPUTED_VALUE"""),"P-14980-00")</f>
        <v>P-14980-00</v>
      </c>
      <c r="D1673" s="2" t="str">
        <f>if(isna(vlookup(C1673,'On Hand'!A:C,3,0)),"",vlookup(C1673,'On Hand'!A:C,3,0))</f>
        <v>pc</v>
      </c>
    </row>
    <row r="1674">
      <c r="A1674" s="2" t="str">
        <f>IFERROR(__xludf.DUMMYFUNCTION("""COMPUTED_VALUE"""),"P-14980-00")</f>
        <v>P-14980-00</v>
      </c>
      <c r="B1674" s="2" t="str">
        <f>IFERROR(__xludf.DUMMYFUNCTION("""COMPUTED_VALUE"""),"General - Seal Ferrule Teflon 3/4inch; No Brand; -; 1 pcs")</f>
        <v>General - Seal Ferrule Teflon 3/4inch; No Brand; -; 1 pcs</v>
      </c>
      <c r="C1674" s="2" t="str">
        <f>IFERROR(__xludf.DUMMYFUNCTION("""COMPUTED_VALUE"""),"P-14980-00")</f>
        <v>P-14980-00</v>
      </c>
      <c r="D1674" s="2" t="str">
        <f>if(isna(vlookup(C1674,'On Hand'!A:C,3,0)),"",vlookup(C1674,'On Hand'!A:C,3,0))</f>
        <v>pc</v>
      </c>
    </row>
    <row r="1675">
      <c r="A1675" s="2" t="str">
        <f>IFERROR(__xludf.DUMMYFUNCTION("""COMPUTED_VALUE"""),"P-14992-00")</f>
        <v>P-14992-00</v>
      </c>
      <c r="B1675" s="2" t="str">
        <f>IFERROR(__xludf.DUMMYFUNCTION("""COMPUTED_VALUE"""),"Ferrule to Hose 3/4 inch")</f>
        <v>Ferrule to Hose 3/4 inch</v>
      </c>
      <c r="C1675" s="2" t="str">
        <f>IFERROR(__xludf.DUMMYFUNCTION("""COMPUTED_VALUE"""),"P-14992-00")</f>
        <v>P-14992-00</v>
      </c>
      <c r="D1675" s="2" t="str">
        <f>if(isna(vlookup(C1675,'On Hand'!A:C,3,0)),"",vlookup(C1675,'On Hand'!A:C,3,0))</f>
        <v/>
      </c>
    </row>
    <row r="1676">
      <c r="A1676" s="2" t="str">
        <f>IFERROR(__xludf.DUMMYFUNCTION("""COMPUTED_VALUE"""),"P-14993-00")</f>
        <v>P-14993-00</v>
      </c>
      <c r="B1676" s="2" t="str">
        <f>IFERROR(__xludf.DUMMYFUNCTION("""COMPUTED_VALUE"""),"Ferrule to Hose 1,5 inch x 7mm; ; ;")</f>
        <v>Ferrule to Hose 1,5 inch x 7mm; ; ;</v>
      </c>
      <c r="C1676" s="2" t="str">
        <f>IFERROR(__xludf.DUMMYFUNCTION("""COMPUTED_VALUE"""),"P-14993-00")</f>
        <v>P-14993-00</v>
      </c>
      <c r="D1676" s="2" t="str">
        <f>if(isna(vlookup(C1676,'On Hand'!A:C,3,0)),"",vlookup(C1676,'On Hand'!A:C,3,0))</f>
        <v>pc</v>
      </c>
    </row>
    <row r="1677">
      <c r="A1677" s="2" t="str">
        <f>IFERROR(__xludf.DUMMYFUNCTION("""COMPUTED_VALUE"""),"P-14995-00")</f>
        <v>P-14995-00</v>
      </c>
      <c r="B1677" s="2" t="str">
        <f>IFERROR(__xludf.DUMMYFUNCTION("""COMPUTED_VALUE"""),"General - Reducer SS316 Sanitary dia. 1inch x 3/4inch; No Brand; -; 1 pc")</f>
        <v>General - Reducer SS316 Sanitary dia. 1inch x 3/4inch; No Brand; -; 1 pc</v>
      </c>
      <c r="C1677" s="2" t="str">
        <f>IFERROR(__xludf.DUMMYFUNCTION("""COMPUTED_VALUE"""),"P-14995-00")</f>
        <v>P-14995-00</v>
      </c>
      <c r="D1677" s="2" t="str">
        <f>if(isna(vlookup(C1677,'On Hand'!A:C,3,0)),"",vlookup(C1677,'On Hand'!A:C,3,0))</f>
        <v/>
      </c>
    </row>
    <row r="1678">
      <c r="A1678" s="2" t="str">
        <f>IFERROR(__xludf.DUMMYFUNCTION("""COMPUTED_VALUE"""),"P-14998-00")</f>
        <v>P-14998-00</v>
      </c>
      <c r="B1678" s="2" t="str">
        <f>IFERROR(__xludf.DUMMYFUNCTION("""COMPUTED_VALUE"""),"Room Press. Monitoring, P/N. 547-104A; ; ;")</f>
        <v>Room Press. Monitoring, P/N. 547-104A; ; ;</v>
      </c>
      <c r="C1678" s="2" t="str">
        <f>IFERROR(__xludf.DUMMYFUNCTION("""COMPUTED_VALUE"""),"P-14998-00")</f>
        <v>P-14998-00</v>
      </c>
      <c r="D1678" s="2" t="str">
        <f>if(isna(vlookup(C1678,'On Hand'!A:C,3,0)),"",vlookup(C1678,'On Hand'!A:C,3,0))</f>
        <v/>
      </c>
    </row>
    <row r="1679">
      <c r="A1679" s="2" t="str">
        <f>IFERROR(__xludf.DUMMYFUNCTION("""COMPUTED_VALUE"""),"P-14999-00")</f>
        <v>P-14999-00</v>
      </c>
      <c r="B1679" s="2" t="str">
        <f>IFERROR(__xludf.DUMMYFUNCTION("""COMPUTED_VALUE"""),"Room Press. Monitoring, P/N. 547-103A; ; ;")</f>
        <v>Room Press. Monitoring, P/N. 547-103A; ; ;</v>
      </c>
      <c r="C1679" s="2" t="str">
        <f>IFERROR(__xludf.DUMMYFUNCTION("""COMPUTED_VALUE"""),"P-14999-00")</f>
        <v>P-14999-00</v>
      </c>
      <c r="D1679" s="2" t="str">
        <f>if(isna(vlookup(C1679,'On Hand'!A:C,3,0)),"",vlookup(C1679,'On Hand'!A:C,3,0))</f>
        <v/>
      </c>
    </row>
    <row r="1680">
      <c r="A1680" s="2" t="str">
        <f>IFERROR(__xludf.DUMMYFUNCTION("""COMPUTED_VALUE"""),"P-15000-00")</f>
        <v>P-15000-00</v>
      </c>
      <c r="B1680" s="2" t="str">
        <f>IFERROR(__xludf.DUMMYFUNCTION("""COMPUTED_VALUE"""),"Air Diff. Press. Switch, P/N. QBM81; ; ;")</f>
        <v>Air Diff. Press. Switch, P/N. QBM81; ; ;</v>
      </c>
      <c r="C1680" s="2" t="str">
        <f>IFERROR(__xludf.DUMMYFUNCTION("""COMPUTED_VALUE"""),"P-15000-00")</f>
        <v>P-15000-00</v>
      </c>
      <c r="D1680" s="2" t="str">
        <f>if(isna(vlookup(C1680,'On Hand'!A:C,3,0)),"",vlookup(C1680,'On Hand'!A:C,3,0))</f>
        <v>unt</v>
      </c>
    </row>
    <row r="1681">
      <c r="A1681" s="2" t="str">
        <f>IFERROR(__xludf.DUMMYFUNCTION("""COMPUTED_VALUE"""),"P-15001-00")</f>
        <v>P-15001-00</v>
      </c>
      <c r="B1681" s="2" t="str">
        <f>IFERROR(__xludf.DUMMYFUNCTION("""COMPUTED_VALUE"""),"Air Duct Temp. Sensor, P/N. 536-811; ; ;")</f>
        <v>Air Duct Temp. Sensor, P/N. 536-811; ; ;</v>
      </c>
      <c r="C1681" s="2" t="str">
        <f>IFERROR(__xludf.DUMMYFUNCTION("""COMPUTED_VALUE"""),"P-15001-00")</f>
        <v>P-15001-00</v>
      </c>
      <c r="D1681" s="2" t="str">
        <f>if(isna(vlookup(C1681,'On Hand'!A:C,3,0)),"",vlookup(C1681,'On Hand'!A:C,3,0))</f>
        <v/>
      </c>
    </row>
    <row r="1682">
      <c r="A1682" s="2" t="str">
        <f>IFERROR(__xludf.DUMMYFUNCTION("""COMPUTED_VALUE"""),"P-15002-00")</f>
        <v>P-15002-00</v>
      </c>
      <c r="B1682" s="2" t="str">
        <f>IFERROR(__xludf.DUMMYFUNCTION("""COMPUTED_VALUE"""),"Room Air Temp. &amp; RH Sensor, P/N. QFA2060D; ; ;")</f>
        <v>Room Air Temp. &amp; RH Sensor, P/N. QFA2060D; ; ;</v>
      </c>
      <c r="C1682" s="2" t="str">
        <f>IFERROR(__xludf.DUMMYFUNCTION("""COMPUTED_VALUE"""),"P-15002-00")</f>
        <v>P-15002-00</v>
      </c>
      <c r="D1682" s="2" t="str">
        <f>if(isna(vlookup(C1682,'On Hand'!A:C,3,0)),"",vlookup(C1682,'On Hand'!A:C,3,0))</f>
        <v>unt</v>
      </c>
    </row>
    <row r="1683">
      <c r="A1683" s="2" t="str">
        <f>IFERROR(__xludf.DUMMYFUNCTION("""COMPUTED_VALUE"""),"P-15017-00")</f>
        <v>P-15017-00</v>
      </c>
      <c r="B1683" s="2" t="str">
        <f>IFERROR(__xludf.DUMMYFUNCTION("""COMPUTED_VALUE"""),"Selang Spiral Compressor dia.8 mm Include Coopler")</f>
        <v>Selang Spiral Compressor dia.8 mm Include Coopler</v>
      </c>
      <c r="C1683" s="2" t="str">
        <f>IFERROR(__xludf.DUMMYFUNCTION("""COMPUTED_VALUE"""),"P-15017-00")</f>
        <v>P-15017-00</v>
      </c>
      <c r="D1683" s="2" t="str">
        <f>if(isna(vlookup(C1683,'On Hand'!A:C,3,0)),"",vlookup(C1683,'On Hand'!A:C,3,0))</f>
        <v/>
      </c>
    </row>
    <row r="1684">
      <c r="A1684" s="2" t="str">
        <f>IFERROR(__xludf.DUMMYFUNCTION("""COMPUTED_VALUE"""),"P-15036-00")</f>
        <v>P-15036-00</v>
      </c>
      <c r="B1684" s="2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4" s="2" t="str">
        <f>IFERROR(__xludf.DUMMYFUNCTION("""COMPUTED_VALUE"""),"P-15036-00")</f>
        <v>P-15036-00</v>
      </c>
      <c r="D1684" s="2" t="str">
        <f>if(isna(vlookup(C1684,'On Hand'!A:C,3,0)),"",vlookup(C1684,'On Hand'!A:C,3,0))</f>
        <v/>
      </c>
    </row>
    <row r="1685">
      <c r="A1685" s="2" t="str">
        <f>IFERROR(__xludf.DUMMYFUNCTION("""COMPUTED_VALUE"""),"P-15037-00")</f>
        <v>P-15037-00</v>
      </c>
      <c r="B1685" s="2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5" s="2" t="str">
        <f>IFERROR(__xludf.DUMMYFUNCTION("""COMPUTED_VALUE"""),"P-15037-00")</f>
        <v>P-15037-00</v>
      </c>
      <c r="D1685" s="2" t="str">
        <f>if(isna(vlookup(C1685,'On Hand'!A:C,3,0)),"",vlookup(C1685,'On Hand'!A:C,3,0))</f>
        <v/>
      </c>
    </row>
    <row r="1686">
      <c r="A1686" s="2" t="str">
        <f>IFERROR(__xludf.DUMMYFUNCTION("""COMPUTED_VALUE"""),"P-15038-00")</f>
        <v>P-15038-00</v>
      </c>
      <c r="B1686" s="2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6" s="2" t="str">
        <f>IFERROR(__xludf.DUMMYFUNCTION("""COMPUTED_VALUE"""),"P-15038-00")</f>
        <v>P-15038-00</v>
      </c>
      <c r="D1686" s="2" t="str">
        <f>if(isna(vlookup(C1686,'On Hand'!A:C,3,0)),"",vlookup(C1686,'On Hand'!A:C,3,0))</f>
        <v/>
      </c>
    </row>
    <row r="1687">
      <c r="A1687" s="2" t="str">
        <f>IFERROR(__xludf.DUMMYFUNCTION("""COMPUTED_VALUE"""),"P-15052-00")</f>
        <v>P-15052-00</v>
      </c>
      <c r="B1687" s="2" t="str">
        <f>IFERROR(__xludf.DUMMYFUNCTION("""COMPUTED_VALUE"""),"General - Element Filter 1 micron; NXE-400-Z; -; 1 pc")</f>
        <v>General - Element Filter 1 micron; NXE-400-Z; -; 1 pc</v>
      </c>
      <c r="C1687" s="2" t="str">
        <f>IFERROR(__xludf.DUMMYFUNCTION("""COMPUTED_VALUE"""),"P-15052-00")</f>
        <v>P-15052-00</v>
      </c>
      <c r="D1687" s="2" t="str">
        <f>if(isna(vlookup(C1687,'On Hand'!A:C,3,0)),"",vlookup(C1687,'On Hand'!A:C,3,0))</f>
        <v>pc</v>
      </c>
    </row>
    <row r="1688">
      <c r="A1688" s="2" t="str">
        <f>IFERROR(__xludf.DUMMYFUNCTION("""COMPUTED_VALUE"""),"P-15053-00")</f>
        <v>P-15053-00</v>
      </c>
      <c r="B1688" s="2" t="str">
        <f>IFERROR(__xludf.DUMMYFUNCTION("""COMPUTED_VALUE"""),"General - Element Filter 0.01 micron; NXE-400-X; -; 1 pc")</f>
        <v>General - Element Filter 0.01 micron; NXE-400-X; -; 1 pc</v>
      </c>
      <c r="C1688" s="2" t="str">
        <f>IFERROR(__xludf.DUMMYFUNCTION("""COMPUTED_VALUE"""),"P-15053-00")</f>
        <v>P-15053-00</v>
      </c>
      <c r="D1688" s="2" t="str">
        <f>if(isna(vlookup(C1688,'On Hand'!A:C,3,0)),"",vlookup(C1688,'On Hand'!A:C,3,0))</f>
        <v>pc</v>
      </c>
    </row>
    <row r="1689">
      <c r="A1689" s="2" t="str">
        <f>IFERROR(__xludf.DUMMYFUNCTION("""COMPUTED_VALUE"""),"P-15076-00")</f>
        <v>P-15076-00</v>
      </c>
      <c r="B1689" s="2" t="str">
        <f>IFERROR(__xludf.DUMMYFUNCTION("""COMPUTED_VALUE"""),"Fitting KQ2H10-04AS; ; ;")</f>
        <v>Fitting KQ2H10-04AS; ; ;</v>
      </c>
      <c r="C1689" s="2" t="str">
        <f>IFERROR(__xludf.DUMMYFUNCTION("""COMPUTED_VALUE"""),"P-15076-00")</f>
        <v>P-15076-00</v>
      </c>
      <c r="D1689" s="2" t="str">
        <f>if(isna(vlookup(C1689,'On Hand'!A:C,3,0)),"",vlookup(C1689,'On Hand'!A:C,3,0))</f>
        <v>pc</v>
      </c>
    </row>
    <row r="1690">
      <c r="A1690" s="2" t="str">
        <f>IFERROR(__xludf.DUMMYFUNCTION("""COMPUTED_VALUE"""),"P-15077-00")</f>
        <v>P-15077-00</v>
      </c>
      <c r="B1690" s="2" t="str">
        <f>IFERROR(__xludf.DUMMYFUNCTION("""COMPUTED_VALUE"""),"Fitting KQ2H06-03AS; ; ;")</f>
        <v>Fitting KQ2H06-03AS; ; ;</v>
      </c>
      <c r="C1690" s="2" t="str">
        <f>IFERROR(__xludf.DUMMYFUNCTION("""COMPUTED_VALUE"""),"P-15077-00")</f>
        <v>P-15077-00</v>
      </c>
      <c r="D1690" s="2" t="str">
        <f>if(isna(vlookup(C1690,'On Hand'!A:C,3,0)),"",vlookup(C1690,'On Hand'!A:C,3,0))</f>
        <v>pc</v>
      </c>
    </row>
    <row r="1691">
      <c r="A1691" s="2" t="str">
        <f>IFERROR(__xludf.DUMMYFUNCTION("""COMPUTED_VALUE"""),"P-15078-00")</f>
        <v>P-15078-00</v>
      </c>
      <c r="B1691" s="2" t="str">
        <f>IFERROR(__xludf.DUMMYFUNCTION("""COMPUTED_VALUE"""),"General - ELBOW PVC AW 2"" ; Rucika; -; 1 pc")</f>
        <v>General - ELBOW PVC AW 2" ; Rucika; -; 1 pc</v>
      </c>
      <c r="C1691" s="2" t="str">
        <f>IFERROR(__xludf.DUMMYFUNCTION("""COMPUTED_VALUE"""),"P-15078-00")</f>
        <v>P-15078-00</v>
      </c>
      <c r="D1691" s="2" t="str">
        <f>if(isna(vlookup(C1691,'On Hand'!A:C,3,0)),"",vlookup(C1691,'On Hand'!A:C,3,0))</f>
        <v>pc</v>
      </c>
    </row>
    <row r="1692">
      <c r="A1692" s="2" t="str">
        <f>IFERROR(__xludf.DUMMYFUNCTION("""COMPUTED_VALUE"""),"P-15351-00")</f>
        <v>P-15351-00</v>
      </c>
      <c r="B1692" s="2" t="str">
        <f>IFERROR(__xludf.DUMMYFUNCTION("""COMPUTED_VALUE"""),"FESTO - Plastic tubing PUN-10x1,5-BL (Blue) p/n 159668; ; ;")</f>
        <v>FESTO - Plastic tubing PUN-10x1,5-BL (Blue) p/n 159668; ; ;</v>
      </c>
      <c r="C1692" s="2" t="str">
        <f>IFERROR(__xludf.DUMMYFUNCTION("""COMPUTED_VALUE"""),"P-15351-00")</f>
        <v>P-15351-00</v>
      </c>
      <c r="D1692" s="2" t="str">
        <f>if(isna(vlookup(C1692,'On Hand'!A:C,3,0)),"",vlookup(C1692,'On Hand'!A:C,3,0))</f>
        <v>pc</v>
      </c>
    </row>
    <row r="1693">
      <c r="A1693" s="2" t="str">
        <f>IFERROR(__xludf.DUMMYFUNCTION("""COMPUTED_VALUE"""),"P-15371-00")</f>
        <v>P-15371-00</v>
      </c>
      <c r="B1693" s="2" t="str">
        <f>IFERROR(__xludf.DUMMYFUNCTION("""COMPUTED_VALUE"""),"Fedegari - Seal Door; ; ;")</f>
        <v>Fedegari - Seal Door; ; ;</v>
      </c>
      <c r="C1693" s="2" t="str">
        <f>IFERROR(__xludf.DUMMYFUNCTION("""COMPUTED_VALUE"""),"P-15371-00")</f>
        <v>P-15371-00</v>
      </c>
      <c r="D1693" s="2" t="str">
        <f>if(isna(vlookup(C1693,'On Hand'!A:C,3,0)),"",vlookup(C1693,'On Hand'!A:C,3,0))</f>
        <v>pc</v>
      </c>
    </row>
    <row r="1694">
      <c r="A1694" s="2" t="str">
        <f>IFERROR(__xludf.DUMMYFUNCTION("""COMPUTED_VALUE"""),"P-15390-00")</f>
        <v>P-15390-00</v>
      </c>
      <c r="B1694" s="2" t="str">
        <f>IFERROR(__xludf.DUMMYFUNCTION("""COMPUTED_VALUE"""),"Roda PU (Poliurethane) Uk. 4 inch; ; ;")</f>
        <v>Roda PU (Poliurethane) Uk. 4 inch; ; ;</v>
      </c>
      <c r="C1694" s="2" t="str">
        <f>IFERROR(__xludf.DUMMYFUNCTION("""COMPUTED_VALUE"""),"P-15390-00")</f>
        <v>P-15390-00</v>
      </c>
      <c r="D1694" s="2" t="str">
        <f>if(isna(vlookup(C1694,'On Hand'!A:C,3,0)),"",vlookup(C1694,'On Hand'!A:C,3,0))</f>
        <v/>
      </c>
    </row>
    <row r="1695">
      <c r="A1695" s="2" t="str">
        <f>IFERROR(__xludf.DUMMYFUNCTION("""COMPUTED_VALUE"""),"P-15391-00")</f>
        <v>P-15391-00</v>
      </c>
      <c r="B1695" s="2" t="str">
        <f>IFERROR(__xludf.DUMMYFUNCTION("""COMPUTED_VALUE"""),"Fitting PVC - Reducer PVC AW 4"" x 2""; ; ;")</f>
        <v>Fitting PVC - Reducer PVC AW 4" x 2"; ; ;</v>
      </c>
      <c r="C1695" s="2" t="str">
        <f>IFERROR(__xludf.DUMMYFUNCTION("""COMPUTED_VALUE"""),"P-15391-00")</f>
        <v>P-15391-00</v>
      </c>
      <c r="D1695" s="2" t="str">
        <f>if(isna(vlookup(C1695,'On Hand'!A:C,3,0)),"",vlookup(C1695,'On Hand'!A:C,3,0))</f>
        <v/>
      </c>
    </row>
    <row r="1696">
      <c r="A1696" s="2" t="str">
        <f>IFERROR(__xludf.DUMMYFUNCTION("""COMPUTED_VALUE"""),"P-15394-00")</f>
        <v>P-15394-00</v>
      </c>
      <c r="B1696" s="2" t="str">
        <f>IFERROR(__xludf.DUMMYFUNCTION("""COMPUTED_VALUE"""),"Reducer Sock SS304 1/2 inch x 1/4 inch")</f>
        <v>Reducer Sock SS304 1/2 inch x 1/4 inch</v>
      </c>
      <c r="C1696" s="2" t="str">
        <f>IFERROR(__xludf.DUMMYFUNCTION("""COMPUTED_VALUE"""),"P-15394-00")</f>
        <v>P-15394-00</v>
      </c>
      <c r="D1696" s="2" t="str">
        <f>if(isna(vlookup(C1696,'On Hand'!A:C,3,0)),"",vlookup(C1696,'On Hand'!A:C,3,0))</f>
        <v/>
      </c>
    </row>
    <row r="1697">
      <c r="A1697" s="2" t="str">
        <f>IFERROR(__xludf.DUMMYFUNCTION("""COMPUTED_VALUE"""),"P-15412-00")</f>
        <v>P-15412-00</v>
      </c>
      <c r="B1697" s="2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7" s="2" t="str">
        <f>IFERROR(__xludf.DUMMYFUNCTION("""COMPUTED_VALUE"""),"P-15412-00")</f>
        <v>P-15412-00</v>
      </c>
      <c r="D1697" s="2" t="str">
        <f>if(isna(vlookup(C1697,'On Hand'!A:C,3,0)),"",vlookup(C1697,'On Hand'!A:C,3,0))</f>
        <v/>
      </c>
    </row>
    <row r="1698">
      <c r="A1698" s="2" t="str">
        <f>IFERROR(__xludf.DUMMYFUNCTION("""COMPUTED_VALUE"""),"P-15413-00")</f>
        <v>P-15413-00</v>
      </c>
      <c r="B1698" s="2" t="str">
        <f>IFERROR(__xludf.DUMMYFUNCTION("""COMPUTED_VALUE"""),"Ball Float Steam Trap 1 inch Screw BSP")</f>
        <v>Ball Float Steam Trap 1 inch Screw BSP</v>
      </c>
      <c r="C1698" s="2" t="str">
        <f>IFERROR(__xludf.DUMMYFUNCTION("""COMPUTED_VALUE"""),"P-15413-00")</f>
        <v>P-15413-00</v>
      </c>
      <c r="D1698" s="2" t="str">
        <f>if(isna(vlookup(C1698,'On Hand'!A:C,3,0)),"",vlookup(C1698,'On Hand'!A:C,3,0))</f>
        <v/>
      </c>
    </row>
    <row r="1699">
      <c r="A1699" s="2" t="str">
        <f>IFERROR(__xludf.DUMMYFUNCTION("""COMPUTED_VALUE"""),"P-15419-00")</f>
        <v>P-15419-00</v>
      </c>
      <c r="B1699" s="2" t="str">
        <f>IFERROR(__xludf.DUMMYFUNCTION("""COMPUTED_VALUE"""),"Sensor Turck No 10-30 VDC, 200mABi8U-Q08-AP6X2-V1131; Turck; ;")</f>
        <v>Sensor Turck No 10-30 VDC, 200mABi8U-Q08-AP6X2-V1131; Turck; ;</v>
      </c>
      <c r="C1699" s="2" t="str">
        <f>IFERROR(__xludf.DUMMYFUNCTION("""COMPUTED_VALUE"""),"P-15419-00")</f>
        <v>P-15419-00</v>
      </c>
      <c r="D1699" s="2" t="str">
        <f>if(isna(vlookup(C1699,'On Hand'!A:C,3,0)),"",vlookup(C1699,'On Hand'!A:C,3,0))</f>
        <v/>
      </c>
    </row>
    <row r="1700">
      <c r="A1700" s="2" t="str">
        <f>IFERROR(__xludf.DUMMYFUNCTION("""COMPUTED_VALUE"""),"P-15429-00")</f>
        <v>P-15429-00</v>
      </c>
      <c r="B1700" s="2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0" s="2" t="str">
        <f>IFERROR(__xludf.DUMMYFUNCTION("""COMPUTED_VALUE"""),"P-15429-00")</f>
        <v>P-15429-00</v>
      </c>
      <c r="D1700" s="2" t="str">
        <f>if(isna(vlookup(C1700,'On Hand'!A:C,3,0)),"",vlookup(C1700,'On Hand'!A:C,3,0))</f>
        <v>unt</v>
      </c>
    </row>
    <row r="1701">
      <c r="A1701" s="2" t="str">
        <f>IFERROR(__xludf.DUMMYFUNCTION("""COMPUTED_VALUE"""),"P-15432-00")</f>
        <v>P-15432-00</v>
      </c>
      <c r="B1701" s="2" t="str">
        <f>IFERROR(__xludf.DUMMYFUNCTION("""COMPUTED_VALUE"""),"Fitting KQ2E08-00; ; ;")</f>
        <v>Fitting KQ2E08-00; ; ;</v>
      </c>
      <c r="C1701" s="2" t="str">
        <f>IFERROR(__xludf.DUMMYFUNCTION("""COMPUTED_VALUE"""),"P-15432-00")</f>
        <v>P-15432-00</v>
      </c>
      <c r="D1701" s="2" t="str">
        <f>if(isna(vlookup(C1701,'On Hand'!A:C,3,0)),"",vlookup(C1701,'On Hand'!A:C,3,0))</f>
        <v>pc</v>
      </c>
    </row>
    <row r="1702">
      <c r="A1702" s="2" t="str">
        <f>IFERROR(__xludf.DUMMYFUNCTION("""COMPUTED_VALUE"""),"P-15433-00")</f>
        <v>P-15433-00</v>
      </c>
      <c r="B1702" s="2" t="str">
        <f>IFERROR(__xludf.DUMMYFUNCTION("""COMPUTED_VALUE"""),"General - Fitting KQ2E06-00A; SMC; -; 1 Pc")</f>
        <v>General - Fitting KQ2E06-00A; SMC; -; 1 Pc</v>
      </c>
      <c r="C1702" s="2" t="str">
        <f>IFERROR(__xludf.DUMMYFUNCTION("""COMPUTED_VALUE"""),"P-15433-00")</f>
        <v>P-15433-00</v>
      </c>
      <c r="D1702" s="2" t="str">
        <f>if(isna(vlookup(C1702,'On Hand'!A:C,3,0)),"",vlookup(C1702,'On Hand'!A:C,3,0))</f>
        <v>pc</v>
      </c>
    </row>
    <row r="1703">
      <c r="A1703" s="2" t="str">
        <f>IFERROR(__xludf.DUMMYFUNCTION("""COMPUTED_VALUE"""),"P-15436-00")</f>
        <v>P-15436-00</v>
      </c>
      <c r="B1703" s="2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3" s="2" t="str">
        <f>IFERROR(__xludf.DUMMYFUNCTION("""COMPUTED_VALUE"""),"P-15436-00")</f>
        <v>P-15436-00</v>
      </c>
      <c r="D1703" s="2" t="str">
        <f>if(isna(vlookup(C1703,'On Hand'!A:C,3,0)),"",vlookup(C1703,'On Hand'!A:C,3,0))</f>
        <v/>
      </c>
    </row>
    <row r="1704">
      <c r="A1704" s="2" t="str">
        <f>IFERROR(__xludf.DUMMYFUNCTION("""COMPUTED_VALUE"""),"P-15437-00")</f>
        <v>P-15437-00</v>
      </c>
      <c r="B1704" s="2" t="str">
        <f>IFERROR(__xludf.DUMMYFUNCTION("""COMPUTED_VALUE"""),"CABLE SPIRAL WRAPPING, TYPE KS24, BRAND KSS; ; ;")</f>
        <v>CABLE SPIRAL WRAPPING, TYPE KS24, BRAND KSS; ; ;</v>
      </c>
      <c r="C1704" s="2" t="str">
        <f>IFERROR(__xludf.DUMMYFUNCTION("""COMPUTED_VALUE"""),"P-15437-00")</f>
        <v>P-15437-00</v>
      </c>
      <c r="D1704" s="2" t="str">
        <f>if(isna(vlookup(C1704,'On Hand'!A:C,3,0)),"",vlookup(C1704,'On Hand'!A:C,3,0))</f>
        <v>Pck</v>
      </c>
    </row>
    <row r="1705">
      <c r="A1705" s="2" t="str">
        <f>IFERROR(__xludf.DUMMYFUNCTION("""COMPUTED_VALUE"""),"P-15438-00")</f>
        <v>P-15438-00</v>
      </c>
      <c r="B1705" s="2" t="str">
        <f>IFERROR(__xludf.DUMMYFUNCTION("""COMPUTED_VALUE"""),"General - Cable Spiral Wrapping; KSS; KS12; 1 Pc")</f>
        <v>General - Cable Spiral Wrapping; KSS; KS12; 1 Pc</v>
      </c>
      <c r="C1705" s="2" t="str">
        <f>IFERROR(__xludf.DUMMYFUNCTION("""COMPUTED_VALUE"""),"P-15438-00")</f>
        <v>P-15438-00</v>
      </c>
      <c r="D1705" s="2" t="str">
        <f>if(isna(vlookup(C1705,'On Hand'!A:C,3,0)),"",vlookup(C1705,'On Hand'!A:C,3,0))</f>
        <v>Pck</v>
      </c>
    </row>
    <row r="1706">
      <c r="A1706" s="2" t="str">
        <f>IFERROR(__xludf.DUMMYFUNCTION("""COMPUTED_VALUE"""),"P-15446-00")</f>
        <v>P-15446-00</v>
      </c>
      <c r="B1706" s="2" t="str">
        <f>IFERROR(__xludf.DUMMYFUNCTION("""COMPUTED_VALUE"""),"Flowmeter Merk Wiebrock; 60 LPM 0-60 liter/menit; ; ;")</f>
        <v>Flowmeter Merk Wiebrock; 60 LPM 0-60 liter/menit; ; ;</v>
      </c>
      <c r="C1706" s="2" t="str">
        <f>IFERROR(__xludf.DUMMYFUNCTION("""COMPUTED_VALUE"""),"P-15446-00")</f>
        <v>P-15446-00</v>
      </c>
      <c r="D1706" s="2" t="str">
        <f>if(isna(vlookup(C1706,'On Hand'!A:C,3,0)),"",vlookup(C1706,'On Hand'!A:C,3,0))</f>
        <v/>
      </c>
    </row>
    <row r="1707">
      <c r="A1707" s="2" t="str">
        <f>IFERROR(__xludf.DUMMYFUNCTION("""COMPUTED_VALUE"""),"P-15447-00")</f>
        <v>P-15447-00</v>
      </c>
      <c r="B1707" s="2" t="str">
        <f>IFERROR(__xludf.DUMMYFUNCTION("""COMPUTED_VALUE"""),"Flowmeter Merk Wiebrock; 100 LPM, 0 - 100liter / menit; ; ;")</f>
        <v>Flowmeter Merk Wiebrock; 100 LPM, 0 - 100liter / menit; ; ;</v>
      </c>
      <c r="C1707" s="2" t="str">
        <f>IFERROR(__xludf.DUMMYFUNCTION("""COMPUTED_VALUE"""),"P-15447-00")</f>
        <v>P-15447-00</v>
      </c>
      <c r="D1707" s="2" t="str">
        <f>if(isna(vlookup(C1707,'On Hand'!A:C,3,0)),"",vlookup(C1707,'On Hand'!A:C,3,0))</f>
        <v/>
      </c>
    </row>
    <row r="1708">
      <c r="A1708" s="2" t="str">
        <f>IFERROR(__xludf.DUMMYFUNCTION("""COMPUTED_VALUE"""),"P-15448-00")</f>
        <v>P-15448-00</v>
      </c>
      <c r="B1708" s="2" t="str">
        <f>IFERROR(__xludf.DUMMYFUNCTION("""COMPUTED_VALUE"""),"Flowmeter Mfg : Dwyer; Type : MMA-5; ; ;")</f>
        <v>Flowmeter Mfg : Dwyer; Type : MMA-5; ; ;</v>
      </c>
      <c r="C1708" s="2" t="str">
        <f>IFERROR(__xludf.DUMMYFUNCTION("""COMPUTED_VALUE"""),"P-15448-00")</f>
        <v>P-15448-00</v>
      </c>
      <c r="D1708" s="2" t="str">
        <f>if(isna(vlookup(C1708,'On Hand'!A:C,3,0)),"",vlookup(C1708,'On Hand'!A:C,3,0))</f>
        <v/>
      </c>
    </row>
    <row r="1709">
      <c r="A1709" s="2" t="str">
        <f>IFERROR(__xludf.DUMMYFUNCTION("""COMPUTED_VALUE"""),"P-15449-00")</f>
        <v>P-15449-00</v>
      </c>
      <c r="B1709" s="2" t="str">
        <f>IFERROR(__xludf.DUMMYFUNCTION("""COMPUTED_VALUE"""),"Flowmeter Mfg : Dwyer; Type : RMA-1-SSV-ARB; Range : 0.05-0.4 SCFH AIR; ; ;")</f>
        <v>Flowmeter Mfg : Dwyer; Type : RMA-1-SSV-ARB; Range : 0.05-0.4 SCFH AIR; ; ;</v>
      </c>
      <c r="C1709" s="2" t="str">
        <f>IFERROR(__xludf.DUMMYFUNCTION("""COMPUTED_VALUE"""),"P-15449-00")</f>
        <v>P-15449-00</v>
      </c>
      <c r="D1709" s="2" t="str">
        <f>if(isna(vlookup(C1709,'On Hand'!A:C,3,0)),"",vlookup(C1709,'On Hand'!A:C,3,0))</f>
        <v/>
      </c>
    </row>
    <row r="1710">
      <c r="A1710" s="2" t="str">
        <f>IFERROR(__xludf.DUMMYFUNCTION("""COMPUTED_VALUE"""),"P-15596-00")</f>
        <v>P-15596-00</v>
      </c>
      <c r="B1710" s="2" t="str">
        <f>IFERROR(__xludf.DUMMYFUNCTION("""COMPUTED_VALUE"""),"Elbow SS 304 dia. 1 Sch 10")</f>
        <v>Elbow SS 304 dia. 1 Sch 10</v>
      </c>
      <c r="C1710" s="2" t="str">
        <f>IFERROR(__xludf.DUMMYFUNCTION("""COMPUTED_VALUE"""),"P-15596-00")</f>
        <v>P-15596-00</v>
      </c>
      <c r="D1710" s="2" t="str">
        <f>if(isna(vlookup(C1710,'On Hand'!A:C,3,0)),"",vlookup(C1710,'On Hand'!A:C,3,0))</f>
        <v/>
      </c>
    </row>
    <row r="1711">
      <c r="A1711" s="2" t="str">
        <f>IFERROR(__xludf.DUMMYFUNCTION("""COMPUTED_VALUE"""),"P-15766-00")</f>
        <v>P-15766-00</v>
      </c>
      <c r="B1711" s="2" t="str">
        <f>IFERROR(__xludf.DUMMYFUNCTION("""COMPUTED_VALUE"""),"Tee PVC dia. 1 1/2""")</f>
        <v>Tee PVC dia. 1 1/2"</v>
      </c>
      <c r="C1711" s="2" t="str">
        <f>IFERROR(__xludf.DUMMYFUNCTION("""COMPUTED_VALUE"""),"P-15766-00")</f>
        <v>P-15766-00</v>
      </c>
      <c r="D1711" s="2" t="str">
        <f>if(isna(vlookup(C1711,'On Hand'!A:C,3,0)),"",vlookup(C1711,'On Hand'!A:C,3,0))</f>
        <v>pc</v>
      </c>
    </row>
    <row r="1712">
      <c r="A1712" s="2" t="str">
        <f>IFERROR(__xludf.DUMMYFUNCTION("""COMPUTED_VALUE"""),"P-15774-00")</f>
        <v>P-15774-00</v>
      </c>
      <c r="B1712" s="2" t="str">
        <f>IFERROR(__xludf.DUMMYFUNCTION("""COMPUTED_VALUE"""),"General - Tee, SS 304, Sch 10, Butt Welded, 1 x 1inch; No Brand; -; 1 pcs")</f>
        <v>General - Tee, SS 304, Sch 10, Butt Welded, 1 x 1inch; No Brand; -; 1 pcs</v>
      </c>
      <c r="C1712" s="2" t="str">
        <f>IFERROR(__xludf.DUMMYFUNCTION("""COMPUTED_VALUE"""),"P-15774-00")</f>
        <v>P-15774-00</v>
      </c>
      <c r="D1712" s="2" t="str">
        <f>if(isna(vlookup(C1712,'On Hand'!A:C,3,0)),"",vlookup(C1712,'On Hand'!A:C,3,0))</f>
        <v/>
      </c>
    </row>
    <row r="1713">
      <c r="A1713" s="2" t="str">
        <f>IFERROR(__xludf.DUMMYFUNCTION("""COMPUTED_VALUE"""),"P-15817-00")</f>
        <v>P-15817-00</v>
      </c>
      <c r="B1713" s="2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3" s="2" t="str">
        <f>IFERROR(__xludf.DUMMYFUNCTION("""COMPUTED_VALUE"""),"P-15817-00")</f>
        <v>P-15817-00</v>
      </c>
      <c r="D1713" s="2" t="str">
        <f>if(isna(vlookup(C1713,'On Hand'!A:C,3,0)),"",vlookup(C1713,'On Hand'!A:C,3,0))</f>
        <v>pc</v>
      </c>
    </row>
    <row r="1714">
      <c r="A1714" s="2" t="str">
        <f>IFERROR(__xludf.DUMMYFUNCTION("""COMPUTED_VALUE"""),"P-15818-00")</f>
        <v>P-15818-00</v>
      </c>
      <c r="B1714" s="2" t="str">
        <f>IFERROR(__xludf.DUMMYFUNCTION("""COMPUTED_VALUE"""),"Gasket Tombo 1000, Tebal 5mm, uk.1270x1270mm; ; ;")</f>
        <v>Gasket Tombo 1000, Tebal 5mm, uk.1270x1270mm; ; ;</v>
      </c>
      <c r="C1714" s="2" t="str">
        <f>IFERROR(__xludf.DUMMYFUNCTION("""COMPUTED_VALUE"""),"P-15818-00")</f>
        <v>P-15818-00</v>
      </c>
      <c r="D1714" s="2" t="str">
        <f>if(isna(vlookup(C1714,'On Hand'!A:C,3,0)),"",vlookup(C1714,'On Hand'!A:C,3,0))</f>
        <v/>
      </c>
    </row>
    <row r="1715">
      <c r="A1715" s="2" t="str">
        <f>IFERROR(__xludf.DUMMYFUNCTION("""COMPUTED_VALUE"""),"P-15833-00")</f>
        <v>P-15833-00</v>
      </c>
      <c r="B1715" s="2" t="str">
        <f>IFERROR(__xludf.DUMMYFUNCTION("""COMPUTED_VALUE"""),"SMC - Pressure Filter Regulator Manual Drain AW30-03BG-A; ; ;")</f>
        <v>SMC - Pressure Filter Regulator Manual Drain AW30-03BG-A; ; ;</v>
      </c>
      <c r="C1715" s="2" t="str">
        <f>IFERROR(__xludf.DUMMYFUNCTION("""COMPUTED_VALUE"""),"P-15833-00")</f>
        <v>P-15833-00</v>
      </c>
      <c r="D1715" s="2" t="str">
        <f>if(isna(vlookup(C1715,'On Hand'!A:C,3,0)),"",vlookup(C1715,'On Hand'!A:C,3,0))</f>
        <v>pc</v>
      </c>
    </row>
    <row r="1716">
      <c r="A1716" s="2" t="str">
        <f>IFERROR(__xludf.DUMMYFUNCTION("""COMPUTED_VALUE"""),"P-15834-00")</f>
        <v>P-15834-00</v>
      </c>
      <c r="B1716" s="2" t="str">
        <f>IFERROR(__xludf.DUMMYFUNCTION("""COMPUTED_VALUE"""),"SMC - Pressure Filter Regulator Auto Drain AW40-40DG-A; ; ;")</f>
        <v>SMC - Pressure Filter Regulator Auto Drain AW40-40DG-A; ; ;</v>
      </c>
      <c r="C1716" s="2" t="str">
        <f>IFERROR(__xludf.DUMMYFUNCTION("""COMPUTED_VALUE"""),"P-15834-00")</f>
        <v>P-15834-00</v>
      </c>
      <c r="D1716" s="2" t="str">
        <f>if(isna(vlookup(C1716,'On Hand'!A:C,3,0)),"",vlookup(C1716,'On Hand'!A:C,3,0))</f>
        <v>pc</v>
      </c>
    </row>
    <row r="1717">
      <c r="A1717" s="2" t="str">
        <f>IFERROR(__xludf.DUMMYFUNCTION("""COMPUTED_VALUE"""),"P-15850-00")</f>
        <v>P-15850-00</v>
      </c>
      <c r="B1717" s="2" t="str">
        <f>IFERROR(__xludf.DUMMYFUNCTION("""COMPUTED_VALUE"""),"AIR FLOW SWITCH PS 300 X, REGIN, 20-300 PA")</f>
        <v>AIR FLOW SWITCH PS 300 X, REGIN, 20-300 PA</v>
      </c>
      <c r="C1717" s="2" t="str">
        <f>IFERROR(__xludf.DUMMYFUNCTION("""COMPUTED_VALUE"""),"P-15850-00")</f>
        <v>P-15850-00</v>
      </c>
      <c r="D1717" s="2" t="str">
        <f>if(isna(vlookup(C1717,'On Hand'!A:C,3,0)),"",vlookup(C1717,'On Hand'!A:C,3,0))</f>
        <v/>
      </c>
    </row>
    <row r="1718">
      <c r="A1718" s="2" t="str">
        <f>IFERROR(__xludf.DUMMYFUNCTION("""COMPUTED_VALUE"""),"P-15851-00")</f>
        <v>P-15851-00</v>
      </c>
      <c r="B1718" s="2" t="str">
        <f>IFERROR(__xludf.DUMMYFUNCTION("""COMPUTED_VALUE"""),"AMPLAS  EAGLE 100")</f>
        <v>AMPLAS  EAGLE 100</v>
      </c>
      <c r="C1718" s="2" t="str">
        <f>IFERROR(__xludf.DUMMYFUNCTION("""COMPUTED_VALUE"""),"P-15851-00")</f>
        <v>P-15851-00</v>
      </c>
      <c r="D1718" s="2" t="str">
        <f>if(isna(vlookup(C1718,'On Hand'!A:C,3,0)),"",vlookup(C1718,'On Hand'!A:C,3,0))</f>
        <v>pc</v>
      </c>
    </row>
    <row r="1719">
      <c r="A1719" s="2" t="str">
        <f>IFERROR(__xludf.DUMMYFUNCTION("""COMPUTED_VALUE"""),"P-15852-00")</f>
        <v>P-15852-00</v>
      </c>
      <c r="B1719" s="2" t="str">
        <f>IFERROR(__xludf.DUMMYFUNCTION("""COMPUTED_VALUE"""),"General - Ampelas P500; EAGLE; -; 1 pcs")</f>
        <v>General - Ampelas P500; EAGLE; -; 1 pcs</v>
      </c>
      <c r="C1719" s="2" t="str">
        <f>IFERROR(__xludf.DUMMYFUNCTION("""COMPUTED_VALUE"""),"P-15852-00")</f>
        <v>P-15852-00</v>
      </c>
      <c r="D1719" s="2" t="str">
        <f>if(isna(vlookup(C1719,'On Hand'!A:C,3,0)),"",vlookup(C1719,'On Hand'!A:C,3,0))</f>
        <v>pc</v>
      </c>
    </row>
    <row r="1720">
      <c r="A1720" s="2" t="str">
        <f>IFERROR(__xludf.DUMMYFUNCTION("""COMPUTED_VALUE"""),"P-15853-00")</f>
        <v>P-15853-00</v>
      </c>
      <c r="B1720" s="2" t="str">
        <f>IFERROR(__xludf.DUMMYFUNCTION("""COMPUTED_VALUE"""),"CATRIDGE FILTER; CHINA; 5 MM")</f>
        <v>CATRIDGE FILTER; CHINA; 5 MM</v>
      </c>
      <c r="C1720" s="2" t="str">
        <f>IFERROR(__xludf.DUMMYFUNCTION("""COMPUTED_VALUE"""),"P-15853-00")</f>
        <v>P-15853-00</v>
      </c>
      <c r="D1720" s="2" t="str">
        <f>if(isna(vlookup(C1720,'On Hand'!A:C,3,0)),"",vlookup(C1720,'On Hand'!A:C,3,0))</f>
        <v/>
      </c>
    </row>
    <row r="1721">
      <c r="A1721" s="2" t="str">
        <f>IFERROR(__xludf.DUMMYFUNCTION("""COMPUTED_VALUE"""),"P-15854-00")</f>
        <v>P-15854-00</v>
      </c>
      <c r="B1721" s="2" t="str">
        <f>IFERROR(__xludf.DUMMYFUNCTION("""COMPUTED_VALUE"""),"CATRIDGE FILTER; LOCAL; 5 MM")</f>
        <v>CATRIDGE FILTER; LOCAL; 5 MM</v>
      </c>
      <c r="C1721" s="2" t="str">
        <f>IFERROR(__xludf.DUMMYFUNCTION("""COMPUTED_VALUE"""),"P-15854-00")</f>
        <v>P-15854-00</v>
      </c>
      <c r="D1721" s="2" t="str">
        <f>if(isna(vlookup(C1721,'On Hand'!A:C,3,0)),"",vlookup(C1721,'On Hand'!A:C,3,0))</f>
        <v/>
      </c>
    </row>
    <row r="1722">
      <c r="A1722" s="2" t="str">
        <f>IFERROR(__xludf.DUMMYFUNCTION("""COMPUTED_VALUE"""),"P-15855-00")</f>
        <v>P-15855-00</v>
      </c>
      <c r="B1722" s="2" t="str">
        <f>IFERROR(__xludf.DUMMYFUNCTION("""COMPUTED_VALUE"""),"FITTING UNION TEE, SMC, KQ2T10-00A")</f>
        <v>FITTING UNION TEE, SMC, KQ2T10-00A</v>
      </c>
      <c r="C1722" s="2" t="str">
        <f>IFERROR(__xludf.DUMMYFUNCTION("""COMPUTED_VALUE"""),"P-15855-00")</f>
        <v>P-15855-00</v>
      </c>
      <c r="D1722" s="2" t="str">
        <f>if(isna(vlookup(C1722,'On Hand'!A:C,3,0)),"",vlookup(C1722,'On Hand'!A:C,3,0))</f>
        <v/>
      </c>
    </row>
    <row r="1723">
      <c r="A1723" s="2" t="str">
        <f>IFERROR(__xludf.DUMMYFUNCTION("""COMPUTED_VALUE"""),"P-15856-00")</f>
        <v>P-15856-00</v>
      </c>
      <c r="B1723" s="2" t="str">
        <f>IFERROR(__xludf.DUMMYFUNCTION("""COMPUTED_VALUE"""),"FLOW VALVE, KYLOLA, KFH-CA44")</f>
        <v>FLOW VALVE, KYLOLA, KFH-CA44</v>
      </c>
      <c r="C1723" s="2" t="str">
        <f>IFERROR(__xludf.DUMMYFUNCTION("""COMPUTED_VALUE"""),"P-15856-00")</f>
        <v>P-15856-00</v>
      </c>
      <c r="D1723" s="2" t="str">
        <f>if(isna(vlookup(C1723,'On Hand'!A:C,3,0)),"",vlookup(C1723,'On Hand'!A:C,3,0))</f>
        <v/>
      </c>
    </row>
    <row r="1724">
      <c r="A1724" s="2" t="str">
        <f>IFERROR(__xludf.DUMMYFUNCTION("""COMPUTED_VALUE"""),"P-15857-00")</f>
        <v>P-15857-00</v>
      </c>
      <c r="B1724" s="2" t="str">
        <f>IFERROR(__xludf.DUMMYFUNCTION("""COMPUTED_VALUE"""),"INVERTER,DANFOSS, VLT2980PT4B20STR0DBFOOA21C1 S/N 56670CA465")</f>
        <v>INVERTER,DANFOSS, VLT2980PT4B20STR0DBFOOA21C1 S/N 56670CA465</v>
      </c>
      <c r="C1724" s="2" t="str">
        <f>IFERROR(__xludf.DUMMYFUNCTION("""COMPUTED_VALUE"""),"P-15857-00")</f>
        <v>P-15857-00</v>
      </c>
      <c r="D1724" s="2" t="str">
        <f>if(isna(vlookup(C1724,'On Hand'!A:C,3,0)),"",vlookup(C1724,'On Hand'!A:C,3,0))</f>
        <v/>
      </c>
    </row>
    <row r="1725">
      <c r="A1725" s="2" t="str">
        <f>IFERROR(__xludf.DUMMYFUNCTION("""COMPUTED_VALUE"""),"P-15858-00")</f>
        <v>P-15858-00</v>
      </c>
      <c r="B1725" s="2" t="str">
        <f>IFERROR(__xludf.DUMMYFUNCTION("""COMPUTED_VALUE"""),"LEM ISOLASI, ARMAFLEX, 1 CAN")</f>
        <v>LEM ISOLASI, ARMAFLEX, 1 CAN</v>
      </c>
      <c r="C1725" s="2" t="str">
        <f>IFERROR(__xludf.DUMMYFUNCTION("""COMPUTED_VALUE"""),"P-15858-00")</f>
        <v>P-15858-00</v>
      </c>
      <c r="D1725" s="2" t="str">
        <f>if(isna(vlookup(C1725,'On Hand'!A:C,3,0)),"",vlookup(C1725,'On Hand'!A:C,3,0))</f>
        <v/>
      </c>
    </row>
    <row r="1726">
      <c r="A1726" s="2" t="str">
        <f>IFERROR(__xludf.DUMMYFUNCTION("""COMPUTED_VALUE"""),"P-15859-00")</f>
        <v>P-15859-00</v>
      </c>
      <c r="B1726" s="2" t="str">
        <f>IFERROR(__xludf.DUMMYFUNCTION("""COMPUTED_VALUE"""),"LEM PVC 45 GRAM, ISARPLAS")</f>
        <v>LEM PVC 45 GRAM, ISARPLAS</v>
      </c>
      <c r="C1726" s="2" t="str">
        <f>IFERROR(__xludf.DUMMYFUNCTION("""COMPUTED_VALUE"""),"P-15859-00")</f>
        <v>P-15859-00</v>
      </c>
      <c r="D1726" s="2" t="str">
        <f>if(isna(vlookup(C1726,'On Hand'!A:C,3,0)),"",vlookup(C1726,'On Hand'!A:C,3,0))</f>
        <v/>
      </c>
    </row>
    <row r="1727">
      <c r="A1727" s="2" t="str">
        <f>IFERROR(__xludf.DUMMYFUNCTION("""COMPUTED_VALUE"""),"P-15860-00")</f>
        <v>P-15860-00</v>
      </c>
      <c r="B1727" s="2" t="str">
        <f>IFERROR(__xludf.DUMMYFUNCTION("""COMPUTED_VALUE"""),"LEM, K-FLEX, 1 CAN : 2.6LTR")</f>
        <v>LEM, K-FLEX, 1 CAN : 2.6LTR</v>
      </c>
      <c r="C1727" s="2" t="str">
        <f>IFERROR(__xludf.DUMMYFUNCTION("""COMPUTED_VALUE"""),"P-15860-00")</f>
        <v>P-15860-00</v>
      </c>
      <c r="D1727" s="2" t="str">
        <f>if(isna(vlookup(C1727,'On Hand'!A:C,3,0)),"",vlookup(C1727,'On Hand'!A:C,3,0))</f>
        <v/>
      </c>
    </row>
    <row r="1728">
      <c r="A1728" s="2" t="str">
        <f>IFERROR(__xludf.DUMMYFUNCTION("""COMPUTED_VALUE"""),"P-15861-00")</f>
        <v>P-15861-00</v>
      </c>
      <c r="B1728" s="2" t="str">
        <f>IFERROR(__xludf.DUMMYFUNCTION("""COMPUTED_VALUE"""),"LIQUID GASKET, THREE BOND")</f>
        <v>LIQUID GASKET, THREE BOND</v>
      </c>
      <c r="C1728" s="2" t="str">
        <f>IFERROR(__xludf.DUMMYFUNCTION("""COMPUTED_VALUE"""),"P-15861-00")</f>
        <v>P-15861-00</v>
      </c>
      <c r="D1728" s="2" t="str">
        <f>if(isna(vlookup(C1728,'On Hand'!A:C,3,0)),"",vlookup(C1728,'On Hand'!A:C,3,0))</f>
        <v/>
      </c>
    </row>
    <row r="1729">
      <c r="A1729" s="2" t="str">
        <f>IFERROR(__xludf.DUMMYFUNCTION("""COMPUTED_VALUE"""),"P-15862-00")</f>
        <v>P-15862-00</v>
      </c>
      <c r="B1729" s="2" t="str">
        <f>IFERROR(__xludf.DUMMYFUNCTION("""COMPUTED_VALUE"""),"PAPER RECORD YOKOGAWA; FOLDING CHART B9565AW")</f>
        <v>PAPER RECORD YOKOGAWA; FOLDING CHART B9565AW</v>
      </c>
      <c r="C1729" s="2" t="str">
        <f>IFERROR(__xludf.DUMMYFUNCTION("""COMPUTED_VALUE"""),"P-15862-00")</f>
        <v>P-15862-00</v>
      </c>
      <c r="D1729" s="2" t="str">
        <f>if(isna(vlookup(C1729,'On Hand'!A:C,3,0)),"",vlookup(C1729,'On Hand'!A:C,3,0))</f>
        <v>pc</v>
      </c>
    </row>
    <row r="1730">
      <c r="A1730" s="2" t="str">
        <f>IFERROR(__xludf.DUMMYFUNCTION("""COMPUTED_VALUE"""),"P-15863-00")</f>
        <v>P-15863-00</v>
      </c>
      <c r="B1730" s="2" t="str">
        <f>IFERROR(__xludf.DUMMYFUNCTION("""COMPUTED_VALUE"""),"PRESSURE SWITCH DANFOSS, DANFOSS, KP35")</f>
        <v>PRESSURE SWITCH DANFOSS, DANFOSS, KP35</v>
      </c>
      <c r="C1730" s="2" t="str">
        <f>IFERROR(__xludf.DUMMYFUNCTION("""COMPUTED_VALUE"""),"P-15863-00")</f>
        <v>P-15863-00</v>
      </c>
      <c r="D1730" s="2" t="str">
        <f>if(isna(vlookup(C1730,'On Hand'!A:C,3,0)),"",vlookup(C1730,'On Hand'!A:C,3,0))</f>
        <v/>
      </c>
    </row>
    <row r="1731">
      <c r="A1731" s="2" t="str">
        <f>IFERROR(__xludf.DUMMYFUNCTION("""COMPUTED_VALUE"""),"P-15864-00")</f>
        <v>P-15864-00</v>
      </c>
      <c r="B1731" s="2" t="str">
        <f>IFERROR(__xludf.DUMMYFUNCTION("""COMPUTED_VALUE"""),"ROOM PRESS MONITORING, SIEMENS, P/N. 547-103A")</f>
        <v>ROOM PRESS MONITORING, SIEMENS, P/N. 547-103A</v>
      </c>
      <c r="C1731" s="2" t="str">
        <f>IFERROR(__xludf.DUMMYFUNCTION("""COMPUTED_VALUE"""),"P-15864-00")</f>
        <v>P-15864-00</v>
      </c>
      <c r="D1731" s="2" t="str">
        <f>if(isna(vlookup(C1731,'On Hand'!A:C,3,0)),"",vlookup(C1731,'On Hand'!A:C,3,0))</f>
        <v/>
      </c>
    </row>
    <row r="1732">
      <c r="A1732" s="2" t="str">
        <f>IFERROR(__xludf.DUMMYFUNCTION("""COMPUTED_VALUE"""),"P-15865-00")</f>
        <v>P-15865-00</v>
      </c>
      <c r="B1732" s="2" t="str">
        <f>IFERROR(__xludf.DUMMYFUNCTION("""COMPUTED_VALUE"""),"TEMPERATURE SENSOR,JUMO, 1XPT 100, TEMP 0-150C")</f>
        <v>TEMPERATURE SENSOR,JUMO, 1XPT 100, TEMP 0-150C</v>
      </c>
      <c r="C1732" s="2" t="str">
        <f>IFERROR(__xludf.DUMMYFUNCTION("""COMPUTED_VALUE"""),"P-15865-00")</f>
        <v>P-15865-00</v>
      </c>
      <c r="D1732" s="2" t="str">
        <f>if(isna(vlookup(C1732,'On Hand'!A:C,3,0)),"",vlookup(C1732,'On Hand'!A:C,3,0))</f>
        <v/>
      </c>
    </row>
    <row r="1733">
      <c r="A1733" s="2" t="str">
        <f>IFERROR(__xludf.DUMMYFUNCTION("""COMPUTED_VALUE"""),"P-15866-00")</f>
        <v>P-15866-00</v>
      </c>
      <c r="B1733" s="2" t="str">
        <f>IFERROR(__xludf.DUMMYFUNCTION("""COMPUTED_VALUE"""),"THREAD SEALANT, LOCTITE 554")</f>
        <v>THREAD SEALANT, LOCTITE 554</v>
      </c>
      <c r="C1733" s="2" t="str">
        <f>IFERROR(__xludf.DUMMYFUNCTION("""COMPUTED_VALUE"""),"P-15866-00")</f>
        <v>P-15866-00</v>
      </c>
      <c r="D1733" s="2" t="str">
        <f>if(isna(vlookup(C1733,'On Hand'!A:C,3,0)),"",vlookup(C1733,'On Hand'!A:C,3,0))</f>
        <v/>
      </c>
    </row>
    <row r="1734">
      <c r="A1734" s="2" t="str">
        <f>IFERROR(__xludf.DUMMYFUNCTION("""COMPUTED_VALUE"""),"P-15867-00")</f>
        <v>P-15867-00</v>
      </c>
      <c r="B1734" s="2" t="str">
        <f>IFERROR(__xludf.DUMMYFUNCTION("""COMPUTED_VALUE"""),"THREAD SEALANT, LOCTITE, 243 MEDIUM STRENGTH")</f>
        <v>THREAD SEALANT, LOCTITE, 243 MEDIUM STRENGTH</v>
      </c>
      <c r="C1734" s="2" t="str">
        <f>IFERROR(__xludf.DUMMYFUNCTION("""COMPUTED_VALUE"""),"P-15867-00")</f>
        <v>P-15867-00</v>
      </c>
      <c r="D1734" s="2" t="str">
        <f>if(isna(vlookup(C1734,'On Hand'!A:C,3,0)),"",vlookup(C1734,'On Hand'!A:C,3,0))</f>
        <v/>
      </c>
    </row>
    <row r="1735">
      <c r="A1735" s="2" t="str">
        <f>IFERROR(__xludf.DUMMYFUNCTION("""COMPUTED_VALUE"""),"P-15868-00")</f>
        <v>P-15868-00</v>
      </c>
      <c r="B1735" s="2" t="str">
        <f>IFERROR(__xludf.DUMMYFUNCTION("""COMPUTED_VALUE"""),"VENT FILTER, TEFTEC 0,2-5 P7S")</f>
        <v>VENT FILTER, TEFTEC 0,2-5 P7S</v>
      </c>
      <c r="C1735" s="2" t="str">
        <f>IFERROR(__xludf.DUMMYFUNCTION("""COMPUTED_VALUE"""),"P-15868-00")</f>
        <v>P-15868-00</v>
      </c>
      <c r="D1735" s="2" t="str">
        <f>if(isna(vlookup(C1735,'On Hand'!A:C,3,0)),"",vlookup(C1735,'On Hand'!A:C,3,0))</f>
        <v/>
      </c>
    </row>
    <row r="1736">
      <c r="A1736" s="2" t="str">
        <f>IFERROR(__xludf.DUMMYFUNCTION("""COMPUTED_VALUE"""),"P-15869-00")</f>
        <v>P-15869-00</v>
      </c>
      <c r="B1736" s="2" t="str">
        <f>IFERROR(__xludf.DUMMYFUNCTION("""COMPUTED_VALUE"""),"VENT FILTER, PALL, NOVASIP C3 PFRP1 FILTER CAPSULE")</f>
        <v>VENT FILTER, PALL, NOVASIP C3 PFRP1 FILTER CAPSULE</v>
      </c>
      <c r="C1736" s="2" t="str">
        <f>IFERROR(__xludf.DUMMYFUNCTION("""COMPUTED_VALUE"""),"P-15869-00")</f>
        <v>P-15869-00</v>
      </c>
      <c r="D1736" s="2" t="str">
        <f>if(isna(vlookup(C1736,'On Hand'!A:C,3,0)),"",vlookup(C1736,'On Hand'!A:C,3,0))</f>
        <v/>
      </c>
    </row>
    <row r="1737">
      <c r="A1737" s="2" t="str">
        <f>IFERROR(__xludf.DUMMYFUNCTION("""COMPUTED_VALUE"""),"P-15870-00")</f>
        <v>P-15870-00</v>
      </c>
      <c r="B1737" s="2" t="str">
        <f>IFERROR(__xludf.DUMMYFUNCTION("""COMPUTED_VALUE"""),"VENT FILTER, TEFTEC, TEFTEC 0,2-10 P7S")</f>
        <v>VENT FILTER, TEFTEC, TEFTEC 0,2-10 P7S</v>
      </c>
      <c r="C1737" s="2" t="str">
        <f>IFERROR(__xludf.DUMMYFUNCTION("""COMPUTED_VALUE"""),"P-15870-00")</f>
        <v>P-15870-00</v>
      </c>
      <c r="D1737" s="2" t="str">
        <f>if(isna(vlookup(C1737,'On Hand'!A:C,3,0)),"",vlookup(C1737,'On Hand'!A:C,3,0))</f>
        <v/>
      </c>
    </row>
    <row r="1738">
      <c r="A1738" s="2" t="str">
        <f>IFERROR(__xludf.DUMMYFUNCTION("""COMPUTED_VALUE"""),"P-15871-00")</f>
        <v>P-15871-00</v>
      </c>
      <c r="B1738" s="2" t="str">
        <f>IFERROR(__xludf.DUMMYFUNCTION("""COMPUTED_VALUE"""),"VENT FILTER, KLEENPAK, 0.2 ?M,")</f>
        <v>VENT FILTER, KLEENPAK, 0.2 ?M,</v>
      </c>
      <c r="C1738" s="2" t="str">
        <f>IFERROR(__xludf.DUMMYFUNCTION("""COMPUTED_VALUE"""),"P-15871-00")</f>
        <v>P-15871-00</v>
      </c>
      <c r="D1738" s="2" t="str">
        <f>if(isna(vlookup(C1738,'On Hand'!A:C,3,0)),"",vlookup(C1738,'On Hand'!A:C,3,0))</f>
        <v/>
      </c>
    </row>
    <row r="1739">
      <c r="A1739" s="2" t="str">
        <f>IFERROR(__xludf.DUMMYFUNCTION("""COMPUTED_VALUE"""),"P-15880-00")</f>
        <v>P-15880-00</v>
      </c>
      <c r="B1739" s="2" t="str">
        <f>IFERROR(__xludf.DUMMYFUNCTION("""COMPUTED_VALUE"""),"Keramik Argon No. 5")</f>
        <v>Keramik Argon No. 5</v>
      </c>
      <c r="C1739" s="2" t="str">
        <f>IFERROR(__xludf.DUMMYFUNCTION("""COMPUTED_VALUE"""),"P-15880-00")</f>
        <v>P-15880-00</v>
      </c>
      <c r="D1739" s="2" t="str">
        <f>if(isna(vlookup(C1739,'On Hand'!A:C,3,0)),"",vlookup(C1739,'On Hand'!A:C,3,0))</f>
        <v/>
      </c>
    </row>
    <row r="1740">
      <c r="A1740" s="2" t="str">
        <f>IFERROR(__xludf.DUMMYFUNCTION("""COMPUTED_VALUE"""),"P-15903-00")</f>
        <v>P-15903-00</v>
      </c>
      <c r="B1740" s="2" t="str">
        <f>IFERROR(__xludf.DUMMYFUNCTION("""COMPUTED_VALUE"""),"Freon Refrigerant Dupon Suva R507; ; ;")</f>
        <v>Freon Refrigerant Dupon Suva R507; ; ;</v>
      </c>
      <c r="C1740" s="2" t="str">
        <f>IFERROR(__xludf.DUMMYFUNCTION("""COMPUTED_VALUE"""),"P-15903-00")</f>
        <v>P-15903-00</v>
      </c>
      <c r="D1740" s="2" t="str">
        <f>if(isna(vlookup(C1740,'On Hand'!A:C,3,0)),"",vlookup(C1740,'On Hand'!A:C,3,0))</f>
        <v/>
      </c>
    </row>
    <row r="1741">
      <c r="A1741" s="2" t="str">
        <f>IFERROR(__xludf.DUMMYFUNCTION("""COMPUTED_VALUE"""),"P-15904-00")</f>
        <v>P-15904-00</v>
      </c>
      <c r="B1741" s="2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1" s="2" t="str">
        <f>IFERROR(__xludf.DUMMYFUNCTION("""COMPUTED_VALUE"""),"P-15904-00")</f>
        <v>P-15904-00</v>
      </c>
      <c r="D1741" s="2" t="str">
        <f>if(isna(vlookup(C1741,'On Hand'!A:C,3,0)),"",vlookup(C1741,'On Hand'!A:C,3,0))</f>
        <v/>
      </c>
    </row>
    <row r="1742">
      <c r="A1742" s="2" t="str">
        <f>IFERROR(__xludf.DUMMYFUNCTION("""COMPUTED_VALUE"""),"P-15905-00")</f>
        <v>P-15905-00</v>
      </c>
      <c r="B1742" s="2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2" s="2" t="str">
        <f>IFERROR(__xludf.DUMMYFUNCTION("""COMPUTED_VALUE"""),"P-15905-00")</f>
        <v>P-15905-00</v>
      </c>
      <c r="D1742" s="2" t="str">
        <f>if(isna(vlookup(C1742,'On Hand'!A:C,3,0)),"",vlookup(C1742,'On Hand'!A:C,3,0))</f>
        <v/>
      </c>
    </row>
    <row r="1743">
      <c r="A1743" s="2" t="str">
        <f>IFERROR(__xludf.DUMMYFUNCTION("""COMPUTED_VALUE"""),"P-15938-00")</f>
        <v>P-15938-00</v>
      </c>
      <c r="B1743" s="2" t="str">
        <f>IFERROR(__xludf.DUMMYFUNCTION("""COMPUTED_VALUE"""),"General - Water Hardness Test Kit; No Brand; -; 1 Pc")</f>
        <v>General - Water Hardness Test Kit; No Brand; -; 1 Pc</v>
      </c>
      <c r="C1743" s="2" t="str">
        <f>IFERROR(__xludf.DUMMYFUNCTION("""COMPUTED_VALUE"""),"P-15938-00")</f>
        <v>P-15938-00</v>
      </c>
      <c r="D1743" s="2" t="str">
        <f>if(isna(vlookup(C1743,'On Hand'!A:C,3,0)),"",vlookup(C1743,'On Hand'!A:C,3,0))</f>
        <v/>
      </c>
    </row>
    <row r="1744">
      <c r="A1744" s="2" t="str">
        <f>IFERROR(__xludf.DUMMYFUNCTION("""COMPUTED_VALUE"""),"P-15942-00")</f>
        <v>P-15942-00</v>
      </c>
      <c r="B1744" s="2" t="str">
        <f>IFERROR(__xludf.DUMMYFUNCTION("""COMPUTED_VALUE"""),"Blind Ferrule SUS304 1.0""; ; ;")</f>
        <v>Blind Ferrule SUS304 1.0"; ; ;</v>
      </c>
      <c r="C1744" s="2" t="str">
        <f>IFERROR(__xludf.DUMMYFUNCTION("""COMPUTED_VALUE"""),"P-15942-00")</f>
        <v>P-15942-00</v>
      </c>
      <c r="D1744" s="2" t="str">
        <f>if(isna(vlookup(C1744,'On Hand'!A:C,3,0)),"",vlookup(C1744,'On Hand'!A:C,3,0))</f>
        <v/>
      </c>
    </row>
    <row r="1745">
      <c r="A1745" s="2" t="str">
        <f>IFERROR(__xludf.DUMMYFUNCTION("""COMPUTED_VALUE"""),"P-15943-00")</f>
        <v>P-15943-00</v>
      </c>
      <c r="B1745" s="2" t="str">
        <f>IFERROR(__xludf.DUMMYFUNCTION("""COMPUTED_VALUE"""),"Blind Ferrule SUS304 1/2""; ; ;")</f>
        <v>Blind Ferrule SUS304 1/2"; ; ;</v>
      </c>
      <c r="C1745" s="2" t="str">
        <f>IFERROR(__xludf.DUMMYFUNCTION("""COMPUTED_VALUE"""),"P-15943-00")</f>
        <v>P-15943-00</v>
      </c>
      <c r="D1745" s="2" t="str">
        <f>if(isna(vlookup(C1745,'On Hand'!A:C,3,0)),"",vlookup(C1745,'On Hand'!A:C,3,0))</f>
        <v/>
      </c>
    </row>
    <row r="1746">
      <c r="A1746" s="2" t="str">
        <f>IFERROR(__xludf.DUMMYFUNCTION("""COMPUTED_VALUE"""),"P-15944-00")</f>
        <v>P-15944-00</v>
      </c>
      <c r="B1746" s="2" t="str">
        <f>IFERROR(__xludf.DUMMYFUNCTION("""COMPUTED_VALUE"""),"Sealing belt (nillon) 1.5 cm x 77cm; ; ;")</f>
        <v>Sealing belt (nillon) 1.5 cm x 77cm; ; ;</v>
      </c>
      <c r="C1746" s="2" t="str">
        <f>IFERROR(__xludf.DUMMYFUNCTION("""COMPUTED_VALUE"""),"P-15944-00")</f>
        <v>P-15944-00</v>
      </c>
      <c r="D1746" s="2" t="str">
        <f>if(isna(vlookup(C1746,'On Hand'!A:C,3,0)),"",vlookup(C1746,'On Hand'!A:C,3,0))</f>
        <v/>
      </c>
    </row>
    <row r="1747">
      <c r="A1747" s="2" t="str">
        <f>IFERROR(__xludf.DUMMYFUNCTION("""COMPUTED_VALUE"""),"P-15945-00")</f>
        <v>P-15945-00</v>
      </c>
      <c r="B1747" s="2" t="str">
        <f>IFERROR(__xludf.DUMMYFUNCTION("""COMPUTED_VALUE"""),"WEDGE BELT OPTIBELT SPA 2082")</f>
        <v>WEDGE BELT OPTIBELT SPA 2082</v>
      </c>
      <c r="C1747" s="2" t="str">
        <f>IFERROR(__xludf.DUMMYFUNCTION("""COMPUTED_VALUE"""),"P-15945-00")</f>
        <v>P-15945-00</v>
      </c>
      <c r="D1747" s="2" t="str">
        <f>if(isna(vlookup(C1747,'On Hand'!A:C,3,0)),"",vlookup(C1747,'On Hand'!A:C,3,0))</f>
        <v>unt</v>
      </c>
    </row>
    <row r="1748">
      <c r="A1748" s="2" t="str">
        <f>IFERROR(__xludf.DUMMYFUNCTION("""COMPUTED_VALUE"""),"P-15960-00")</f>
        <v>P-15960-00</v>
      </c>
      <c r="B1748" s="2" t="str">
        <f>IFERROR(__xludf.DUMMYFUNCTION("""COMPUTED_VALUE"""),"General - Freon R32; Dupont; -; 1 pcs")</f>
        <v>General - Freon R32; Dupont; -; 1 pcs</v>
      </c>
      <c r="C1748" s="2" t="str">
        <f>IFERROR(__xludf.DUMMYFUNCTION("""COMPUTED_VALUE"""),"P-15960-00")</f>
        <v>P-15960-00</v>
      </c>
      <c r="D1748" s="2" t="str">
        <f>if(isna(vlookup(C1748,'On Hand'!A:C,3,0)),"",vlookup(C1748,'On Hand'!A:C,3,0))</f>
        <v>Can</v>
      </c>
    </row>
    <row r="1749">
      <c r="A1749" s="2" t="str">
        <f>IFERROR(__xludf.DUMMYFUNCTION("""COMPUTED_VALUE"""),"P-15961-00")</f>
        <v>P-15961-00</v>
      </c>
      <c r="B1749" s="2" t="str">
        <f>IFERROR(__xludf.DUMMYFUNCTION("""COMPUTED_VALUE"""),"Freon 134A ;; ; ;")</f>
        <v>Freon 134A ;; ; ;</v>
      </c>
      <c r="C1749" s="2" t="str">
        <f>IFERROR(__xludf.DUMMYFUNCTION("""COMPUTED_VALUE"""),"P-15961-00")</f>
        <v>P-15961-00</v>
      </c>
      <c r="D1749" s="2" t="str">
        <f>if(isna(vlookup(C1749,'On Hand'!A:C,3,0)),"",vlookup(C1749,'On Hand'!A:C,3,0))</f>
        <v>Can</v>
      </c>
    </row>
    <row r="1750">
      <c r="A1750" s="2" t="str">
        <f>IFERROR(__xludf.DUMMYFUNCTION("""COMPUTED_VALUE"""),"P-15964-00")</f>
        <v>P-15964-00</v>
      </c>
      <c r="B1750" s="2" t="str">
        <f>IFERROR(__xludf.DUMMYFUNCTION("""COMPUTED_VALUE"""),"Ball valve kuningan 1 inch KITZ; ; ;")</f>
        <v>Ball valve kuningan 1 inch KITZ; ; ;</v>
      </c>
      <c r="C1750" s="2" t="str">
        <f>IFERROR(__xludf.DUMMYFUNCTION("""COMPUTED_VALUE"""),"P-15964-00")</f>
        <v>P-15964-00</v>
      </c>
      <c r="D1750" s="2" t="str">
        <f>if(isna(vlookup(C1750,'On Hand'!A:C,3,0)),"",vlookup(C1750,'On Hand'!A:C,3,0))</f>
        <v/>
      </c>
    </row>
    <row r="1751">
      <c r="A1751" s="2" t="str">
        <f>IFERROR(__xludf.DUMMYFUNCTION("""COMPUTED_VALUE"""),"P-15993-00")</f>
        <v>P-15993-00</v>
      </c>
      <c r="B1751" s="2" t="str">
        <f>IFERROR(__xludf.DUMMYFUNCTION("""COMPUTED_VALUE"""),"Digital Torque Wrench SQ 3/8 Inc 6,8-135Nm; ; ; pieces")</f>
        <v>Digital Torque Wrench SQ 3/8 Inc 6,8-135Nm; ; ; pieces</v>
      </c>
      <c r="C1751" s="2" t="str">
        <f>IFERROR(__xludf.DUMMYFUNCTION("""COMPUTED_VALUE"""),"P-15993-00")</f>
        <v>P-15993-00</v>
      </c>
      <c r="D1751" s="2" t="str">
        <f>if(isna(vlookup(C1751,'On Hand'!A:C,3,0)),"",vlookup(C1751,'On Hand'!A:C,3,0))</f>
        <v/>
      </c>
    </row>
    <row r="1752">
      <c r="A1752" s="2" t="str">
        <f>IFERROR(__xludf.DUMMYFUNCTION("""COMPUTED_VALUE"""),"P-16136-00")</f>
        <v>P-16136-00</v>
      </c>
      <c r="B1752" s="2" t="str">
        <f>IFERROR(__xludf.DUMMYFUNCTION("""COMPUTED_VALUE"""),"Baut SS L M6 x 20 mm + Mur + Ring; ; ;; ; ;")</f>
        <v>Baut SS L M6 x 20 mm + Mur + Ring; ; ;; ; ;</v>
      </c>
      <c r="C1752" s="2" t="str">
        <f>IFERROR(__xludf.DUMMYFUNCTION("""COMPUTED_VALUE"""),"P-16136-00")</f>
        <v>P-16136-00</v>
      </c>
      <c r="D1752" s="2" t="str">
        <f>if(isna(vlookup(C1752,'On Hand'!A:C,3,0)),"",vlookup(C1752,'On Hand'!A:C,3,0))</f>
        <v/>
      </c>
    </row>
    <row r="1753">
      <c r="A1753" s="2" t="str">
        <f>IFERROR(__xludf.DUMMYFUNCTION("""COMPUTED_VALUE"""),"P-16137-00")</f>
        <v>P-16137-00</v>
      </c>
      <c r="B1753" s="2" t="str">
        <f>IFERROR(__xludf.DUMMYFUNCTION("""COMPUTED_VALUE"""),"Baut SS L M6 x 30 mm + Mur + Ring; ; ;; ; ;")</f>
        <v>Baut SS L M6 x 30 mm + Mur + Ring; ; ;; ; ;</v>
      </c>
      <c r="C1753" s="2" t="str">
        <f>IFERROR(__xludf.DUMMYFUNCTION("""COMPUTED_VALUE"""),"P-16137-00")</f>
        <v>P-16137-00</v>
      </c>
      <c r="D1753" s="2" t="str">
        <f>if(isna(vlookup(C1753,'On Hand'!A:C,3,0)),"",vlookup(C1753,'On Hand'!A:C,3,0))</f>
        <v/>
      </c>
    </row>
    <row r="1754">
      <c r="A1754" s="2" t="str">
        <f>IFERROR(__xludf.DUMMYFUNCTION("""COMPUTED_VALUE"""),"P-16250-00")</f>
        <v>P-16250-00</v>
      </c>
      <c r="B1754" s="2" t="str">
        <f>IFERROR(__xludf.DUMMYFUNCTION("""COMPUTED_VALUE"""),"Cutting Wheel Nippon Resibon A-46S BF dia. 105 mm")</f>
        <v>Cutting Wheel Nippon Resibon A-46S BF dia. 105 mm</v>
      </c>
      <c r="C1754" s="2" t="str">
        <f>IFERROR(__xludf.DUMMYFUNCTION("""COMPUTED_VALUE"""),"P-16250-00")</f>
        <v>P-16250-00</v>
      </c>
      <c r="D1754" s="2" t="str">
        <f>if(isna(vlookup(C1754,'On Hand'!A:C,3,0)),"",vlookup(C1754,'On Hand'!A:C,3,0))</f>
        <v/>
      </c>
    </row>
    <row r="1755">
      <c r="A1755" s="2" t="str">
        <f>IFERROR(__xludf.DUMMYFUNCTION("""COMPUTED_VALUE"""),"P-16308-00")</f>
        <v>P-16308-00</v>
      </c>
      <c r="B1755" s="2" t="str">
        <f>IFERROR(__xludf.DUMMYFUNCTION("""COMPUTED_VALUE"""),"Fisher S 8 (1 box : 100 pcs)")</f>
        <v>Fisher S 8 (1 box : 100 pcs)</v>
      </c>
      <c r="C1755" s="2" t="str">
        <f>IFERROR(__xludf.DUMMYFUNCTION("""COMPUTED_VALUE"""),"P-16308-00")</f>
        <v>P-16308-00</v>
      </c>
      <c r="D1755" s="2" t="str">
        <f>if(isna(vlookup(C1755,'On Hand'!A:C,3,0)),"",vlookup(C1755,'On Hand'!A:C,3,0))</f>
        <v/>
      </c>
    </row>
    <row r="1756">
      <c r="A1756" s="2" t="str">
        <f>IFERROR(__xludf.DUMMYFUNCTION("""COMPUTED_VALUE"""),"P-16359-00")</f>
        <v>P-16359-00</v>
      </c>
      <c r="B1756" s="2" t="str">
        <f>IFERROR(__xludf.DUMMYFUNCTION("""COMPUTED_VALUE"""),"General - Hand Tap M 6 x 1,0 mm; Yamawa; -; 3pcs/set")</f>
        <v>General - Hand Tap M 6 x 1,0 mm; Yamawa; -; 3pcs/set</v>
      </c>
      <c r="C1756" s="2" t="str">
        <f>IFERROR(__xludf.DUMMYFUNCTION("""COMPUTED_VALUE"""),"P-16359-00")</f>
        <v>P-16359-00</v>
      </c>
      <c r="D1756" s="2" t="str">
        <f>if(isna(vlookup(C1756,'On Hand'!A:C,3,0)),"",vlookup(C1756,'On Hand'!A:C,3,0))</f>
        <v/>
      </c>
    </row>
    <row r="1757">
      <c r="A1757" s="2" t="str">
        <f>IFERROR(__xludf.DUMMYFUNCTION("""COMPUTED_VALUE"""),"P-16402-00")</f>
        <v>P-16402-00</v>
      </c>
      <c r="B1757" s="2" t="str">
        <f>IFERROR(__xludf.DUMMYFUNCTION("""COMPUTED_VALUE"""),"Kaca Las Warna Hitam No. 10")</f>
        <v>Kaca Las Warna Hitam No. 10</v>
      </c>
      <c r="C1757" s="2" t="str">
        <f>IFERROR(__xludf.DUMMYFUNCTION("""COMPUTED_VALUE"""),"P-16402-00")</f>
        <v>P-16402-00</v>
      </c>
      <c r="D1757" s="2" t="str">
        <f>if(isna(vlookup(C1757,'On Hand'!A:C,3,0)),"",vlookup(C1757,'On Hand'!A:C,3,0))</f>
        <v>pc</v>
      </c>
    </row>
    <row r="1758">
      <c r="A1758" s="2" t="str">
        <f>IFERROR(__xludf.DUMMYFUNCTION("""COMPUTED_VALUE"""),"P-16474-00")</f>
        <v>P-16474-00</v>
      </c>
      <c r="B1758" s="2" t="str">
        <f>IFERROR(__xludf.DUMMYFUNCTION("""COMPUTED_VALUE"""),"General - Lem PLastic Steel Epoxy + Hardener 5 menit; Dextone; -; 1 set")</f>
        <v>General - Lem PLastic Steel Epoxy + Hardener 5 menit; Dextone; -; 1 set</v>
      </c>
      <c r="C1758" s="2" t="str">
        <f>IFERROR(__xludf.DUMMYFUNCTION("""COMPUTED_VALUE"""),"P-16474-00")</f>
        <v>P-16474-00</v>
      </c>
      <c r="D1758" s="2" t="str">
        <f>if(isna(vlookup(C1758,'On Hand'!A:C,3,0)),"",vlookup(C1758,'On Hand'!A:C,3,0))</f>
        <v>Pck</v>
      </c>
    </row>
    <row r="1759">
      <c r="A1759" s="2" t="str">
        <f>IFERROR(__xludf.DUMMYFUNCTION("""COMPUTED_VALUE"""),"P-16540-00")</f>
        <v>P-16540-00</v>
      </c>
      <c r="B1759" s="2" t="str">
        <f>IFERROR(__xludf.DUMMYFUNCTION("""COMPUTED_VALUE"""),"Meteran Saku Panjang : 5 mtr")</f>
        <v>Meteran Saku Panjang : 5 mtr</v>
      </c>
      <c r="C1759" s="2" t="str">
        <f>IFERROR(__xludf.DUMMYFUNCTION("""COMPUTED_VALUE"""),"P-16540-00")</f>
        <v>P-16540-00</v>
      </c>
      <c r="D1759" s="2" t="str">
        <f>if(isna(vlookup(C1759,'On Hand'!A:C,3,0)),"",vlookup(C1759,'On Hand'!A:C,3,0))</f>
        <v/>
      </c>
    </row>
    <row r="1760">
      <c r="A1760" s="2" t="str">
        <f>IFERROR(__xludf.DUMMYFUNCTION("""COMPUTED_VALUE"""),"P-16596-00")</f>
        <v>P-16596-00</v>
      </c>
      <c r="B1760" s="2" t="str">
        <f>IFERROR(__xludf.DUMMYFUNCTION("""COMPUTED_VALUE"""),"General - Paku Ripet 5mm; No Brand; -; 1000pcs/box")</f>
        <v>General - Paku Ripet 5mm; No Brand; -; 1000pcs/box</v>
      </c>
      <c r="C1760" s="2" t="str">
        <f>IFERROR(__xludf.DUMMYFUNCTION("""COMPUTED_VALUE"""),"P-16596-00")</f>
        <v>P-16596-00</v>
      </c>
      <c r="D1760" s="2" t="str">
        <f>if(isna(vlookup(C1760,'On Hand'!A:C,3,0)),"",vlookup(C1760,'On Hand'!A:C,3,0))</f>
        <v>Box</v>
      </c>
    </row>
    <row r="1761">
      <c r="A1761" s="2" t="str">
        <f>IFERROR(__xludf.DUMMYFUNCTION("""COMPUTED_VALUE"""),"P-16635-00")</f>
        <v>P-16635-00</v>
      </c>
      <c r="B1761" s="2" t="str">
        <f>IFERROR(__xludf.DUMMYFUNCTION("""COMPUTED_VALUE"""),"Pipa SS 304 Sch 10 dia. 1 x 6000 mm")</f>
        <v>Pipa SS 304 Sch 10 dia. 1 x 6000 mm</v>
      </c>
      <c r="C1761" s="2" t="str">
        <f>IFERROR(__xludf.DUMMYFUNCTION("""COMPUTED_VALUE"""),"P-16635-00")</f>
        <v>P-16635-00</v>
      </c>
      <c r="D1761" s="2" t="str">
        <f>if(isna(vlookup(C1761,'On Hand'!A:C,3,0)),"",vlookup(C1761,'On Hand'!A:C,3,0))</f>
        <v/>
      </c>
    </row>
    <row r="1762">
      <c r="A1762" s="2" t="str">
        <f>IFERROR(__xludf.DUMMYFUNCTION("""COMPUTED_VALUE"""),"P-16970-00")</f>
        <v>P-16970-00</v>
      </c>
      <c r="B1762" s="2" t="str">
        <f>IFERROR(__xludf.DUMMYFUNCTION("""COMPUTED_VALUE"""),"Terminal viking uk. 2,5 mm; ; ;")</f>
        <v>Terminal viking uk. 2,5 mm; ; ;</v>
      </c>
      <c r="C1762" s="2" t="str">
        <f>IFERROR(__xludf.DUMMYFUNCTION("""COMPUTED_VALUE"""),"P-16970-00")</f>
        <v>P-16970-00</v>
      </c>
      <c r="D1762" s="2" t="str">
        <f>if(isna(vlookup(C1762,'On Hand'!A:C,3,0)),"",vlookup(C1762,'On Hand'!A:C,3,0))</f>
        <v/>
      </c>
    </row>
    <row r="1763">
      <c r="A1763" s="2" t="str">
        <f>IFERROR(__xludf.DUMMYFUNCTION("""COMPUTED_VALUE"""),"P-16971-00")</f>
        <v>P-16971-00</v>
      </c>
      <c r="B1763" s="2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3" s="2" t="str">
        <f>IFERROR(__xludf.DUMMYFUNCTION("""COMPUTED_VALUE"""),"P-16971-00")</f>
        <v>P-16971-00</v>
      </c>
      <c r="D1763" s="2" t="str">
        <f>if(isna(vlookup(C1763,'On Hand'!A:C,3,0)),"",vlookup(C1763,'On Hand'!A:C,3,0))</f>
        <v/>
      </c>
    </row>
    <row r="1764">
      <c r="A1764" s="2" t="str">
        <f>IFERROR(__xludf.DUMMYFUNCTION("""COMPUTED_VALUE"""),"P-16972-00")</f>
        <v>P-16972-00</v>
      </c>
      <c r="B1764" s="2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4" s="2" t="str">
        <f>IFERROR(__xludf.DUMMYFUNCTION("""COMPUTED_VALUE"""),"P-16972-00")</f>
        <v>P-16972-00</v>
      </c>
      <c r="D1764" s="2" t="str">
        <f>if(isna(vlookup(C1764,'On Hand'!A:C,3,0)),"",vlookup(C1764,'On Hand'!A:C,3,0))</f>
        <v>unt</v>
      </c>
    </row>
    <row r="1765">
      <c r="A1765" s="2" t="str">
        <f>IFERROR(__xludf.DUMMYFUNCTION("""COMPUTED_VALUE"""),"P-16974-00")</f>
        <v>P-16974-00</v>
      </c>
      <c r="B1765" s="2" t="str">
        <f>IFERROR(__xludf.DUMMYFUNCTION("""COMPUTED_VALUE"""),"Strainer KITZ 1 1/2"" BRASS; ; ;")</f>
        <v>Strainer KITZ 1 1/2" BRASS; ; ;</v>
      </c>
      <c r="C1765" s="2" t="str">
        <f>IFERROR(__xludf.DUMMYFUNCTION("""COMPUTED_VALUE"""),"P-16974-00")</f>
        <v>P-16974-00</v>
      </c>
      <c r="D1765" s="2" t="str">
        <f>if(isna(vlookup(C1765,'On Hand'!A:C,3,0)),"",vlookup(C1765,'On Hand'!A:C,3,0))</f>
        <v/>
      </c>
    </row>
    <row r="1766">
      <c r="A1766" s="2" t="str">
        <f>IFERROR(__xludf.DUMMYFUNCTION("""COMPUTED_VALUE"""),"P-16975-00")</f>
        <v>P-16975-00</v>
      </c>
      <c r="B1766" s="2" t="str">
        <f>IFERROR(__xludf.DUMMYFUNCTION("""COMPUTED_VALUE"""),"Strainer KITZ 1 1/4"" BRASS; ; ;")</f>
        <v>Strainer KITZ 1 1/4" BRASS; ; ;</v>
      </c>
      <c r="C1766" s="2" t="str">
        <f>IFERROR(__xludf.DUMMYFUNCTION("""COMPUTED_VALUE"""),"P-16975-00")</f>
        <v>P-16975-00</v>
      </c>
      <c r="D1766" s="2" t="str">
        <f>if(isna(vlookup(C1766,'On Hand'!A:C,3,0)),"",vlookup(C1766,'On Hand'!A:C,3,0))</f>
        <v/>
      </c>
    </row>
    <row r="1767">
      <c r="A1767" s="2" t="str">
        <f>IFERROR(__xludf.DUMMYFUNCTION("""COMPUTED_VALUE"""),"P-16976-00")</f>
        <v>P-16976-00</v>
      </c>
      <c r="B1767" s="2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7" s="2" t="str">
        <f>IFERROR(__xludf.DUMMYFUNCTION("""COMPUTED_VALUE"""),"P-16976-00")</f>
        <v>P-16976-00</v>
      </c>
      <c r="D1767" s="2" t="str">
        <f>if(isna(vlookup(C1767,'On Hand'!A:C,3,0)),"",vlookup(C1767,'On Hand'!A:C,3,0))</f>
        <v/>
      </c>
    </row>
    <row r="1768">
      <c r="A1768" s="2" t="str">
        <f>IFERROR(__xludf.DUMMYFUNCTION("""COMPUTED_VALUE"""),"P-16991-00")</f>
        <v>P-16991-00</v>
      </c>
      <c r="B1768" s="2" t="str">
        <f>IFERROR(__xludf.DUMMYFUNCTION("""COMPUTED_VALUE"""),"Ferrule Welding dia.1""; ; ;")</f>
        <v>Ferrule Welding dia.1"; ; ;</v>
      </c>
      <c r="C1768" s="2" t="str">
        <f>IFERROR(__xludf.DUMMYFUNCTION("""COMPUTED_VALUE"""),"P-16991-00")</f>
        <v>P-16991-00</v>
      </c>
      <c r="D1768" s="2" t="str">
        <f>if(isna(vlookup(C1768,'On Hand'!A:C,3,0)),"",vlookup(C1768,'On Hand'!A:C,3,0))</f>
        <v/>
      </c>
    </row>
    <row r="1769">
      <c r="A1769" s="2" t="str">
        <f>IFERROR(__xludf.DUMMYFUNCTION("""COMPUTED_VALUE"""),"P-16992-00")</f>
        <v>P-16992-00</v>
      </c>
      <c r="B1769" s="2" t="str">
        <f>IFERROR(__xludf.DUMMYFUNCTION("""COMPUTED_VALUE"""),"Elbow SS304 SCH 10x1/2 inch")</f>
        <v>Elbow SS304 SCH 10x1/2 inch</v>
      </c>
      <c r="C1769" s="2" t="str">
        <f>IFERROR(__xludf.DUMMYFUNCTION("""COMPUTED_VALUE"""),"P-16992-00")</f>
        <v>P-16992-00</v>
      </c>
      <c r="D1769" s="2" t="str">
        <f>if(isna(vlookup(C1769,'On Hand'!A:C,3,0)),"",vlookup(C1769,'On Hand'!A:C,3,0))</f>
        <v/>
      </c>
    </row>
    <row r="1770">
      <c r="A1770" s="2" t="str">
        <f>IFERROR(__xludf.DUMMYFUNCTION("""COMPUTED_VALUE"""),"P-17000-00")</f>
        <v>P-17000-00</v>
      </c>
      <c r="B1770" s="2" t="str">
        <f>IFERROR(__xludf.DUMMYFUNCTION("""COMPUTED_VALUE"""),"Dynabolt M8; ; ;")</f>
        <v>Dynabolt M8; ; ;</v>
      </c>
      <c r="C1770" s="2" t="str">
        <f>IFERROR(__xludf.DUMMYFUNCTION("""COMPUTED_VALUE"""),"P-17000-00")</f>
        <v>P-17000-00</v>
      </c>
      <c r="D1770" s="2" t="str">
        <f>if(isna(vlookup(C1770,'On Hand'!A:C,3,0)),"",vlookup(C1770,'On Hand'!A:C,3,0))</f>
        <v/>
      </c>
    </row>
    <row r="1771">
      <c r="A1771" s="2" t="str">
        <f>IFERROR(__xludf.DUMMYFUNCTION("""COMPUTED_VALUE"""),"P-17001-00")</f>
        <v>P-17001-00</v>
      </c>
      <c r="B1771" s="2" t="str">
        <f>IFERROR(__xludf.DUMMYFUNCTION("""COMPUTED_VALUE"""),"Hexabolt M8; ; ;")</f>
        <v>Hexabolt M8; ; ;</v>
      </c>
      <c r="C1771" s="2" t="str">
        <f>IFERROR(__xludf.DUMMYFUNCTION("""COMPUTED_VALUE"""),"P-17001-00")</f>
        <v>P-17001-00</v>
      </c>
      <c r="D1771" s="2" t="str">
        <f>if(isna(vlookup(C1771,'On Hand'!A:C,3,0)),"",vlookup(C1771,'On Hand'!A:C,3,0))</f>
        <v/>
      </c>
    </row>
    <row r="1772">
      <c r="A1772" s="2" t="str">
        <f>IFERROR(__xludf.DUMMYFUNCTION("""COMPUTED_VALUE"""),"P-17026-00")</f>
        <v>P-17026-00</v>
      </c>
      <c r="B1772" s="2" t="str">
        <f>IFERROR(__xludf.DUMMYFUNCTION("""COMPUTED_VALUE"""),"Cover Gasket Set DN15-25MM; ; ;")</f>
        <v>Cover Gasket Set DN15-25MM; ; ;</v>
      </c>
      <c r="C1772" s="2" t="str">
        <f>IFERROR(__xludf.DUMMYFUNCTION("""COMPUTED_VALUE"""),"P-17026-00")</f>
        <v>P-17026-00</v>
      </c>
      <c r="D1772" s="2" t="str">
        <f>if(isna(vlookup(C1772,'On Hand'!A:C,3,0)),"",vlookup(C1772,'On Hand'!A:C,3,0))</f>
        <v>unt</v>
      </c>
    </row>
    <row r="1773">
      <c r="A1773" s="2" t="str">
        <f>IFERROR(__xludf.DUMMYFUNCTION("""COMPUTED_VALUE"""),"P-17027-00")</f>
        <v>P-17027-00</v>
      </c>
      <c r="B1773" s="2" t="str">
        <f>IFERROR(__xludf.DUMMYFUNCTION("""COMPUTED_VALUE"""),"Complete Gasket set for 1 1/2"" FT43-10TV; ; ;")</f>
        <v>Complete Gasket set for 1 1/2" FT43-10TV; ; ;</v>
      </c>
      <c r="C1773" s="2" t="str">
        <f>IFERROR(__xludf.DUMMYFUNCTION("""COMPUTED_VALUE"""),"P-17027-00")</f>
        <v>P-17027-00</v>
      </c>
      <c r="D1773" s="2" t="str">
        <f>if(isna(vlookup(C1773,'On Hand'!A:C,3,0)),"",vlookup(C1773,'On Hand'!A:C,3,0))</f>
        <v/>
      </c>
    </row>
    <row r="1774">
      <c r="A1774" s="2" t="str">
        <f>IFERROR(__xludf.DUMMYFUNCTION("""COMPUTED_VALUE"""),"P-17034-00")</f>
        <v>P-17034-00</v>
      </c>
      <c r="B1774" s="2" t="str">
        <f>IFERROR(__xludf.DUMMYFUNCTION("""COMPUTED_VALUE"""),"O-ring Gasket packet for 1/2"" BTM7 Thermostatic Steam Trap; ; ;")</f>
        <v>O-ring Gasket packet for 1/2" BTM7 Thermostatic Steam Trap; ; ;</v>
      </c>
      <c r="C1774" s="2" t="str">
        <f>IFERROR(__xludf.DUMMYFUNCTION("""COMPUTED_VALUE"""),"P-17034-00")</f>
        <v>P-17034-00</v>
      </c>
      <c r="D1774" s="2" t="str">
        <f>if(isna(vlookup(C1774,'On Hand'!A:C,3,0)),"",vlookup(C1774,'On Hand'!A:C,3,0))</f>
        <v>unt</v>
      </c>
    </row>
    <row r="1775">
      <c r="A1775" s="2" t="str">
        <f>IFERROR(__xludf.DUMMYFUNCTION("""COMPUTED_VALUE"""),"P-17040-00")</f>
        <v>P-17040-00</v>
      </c>
      <c r="B1775" s="2" t="str">
        <f>IFERROR(__xludf.DUMMYFUNCTION("""COMPUTED_VALUE"""),"Brake Fluid Prestone @300ml; ; ;")</f>
        <v>Brake Fluid Prestone @300ml; ; ;</v>
      </c>
      <c r="C1775" s="2" t="str">
        <f>IFERROR(__xludf.DUMMYFUNCTION("""COMPUTED_VALUE"""),"P-17040-00")</f>
        <v>P-17040-00</v>
      </c>
      <c r="D1775" s="2" t="str">
        <f>if(isna(vlookup(C1775,'On Hand'!A:C,3,0)),"",vlookup(C1775,'On Hand'!A:C,3,0))</f>
        <v/>
      </c>
    </row>
    <row r="1776">
      <c r="A1776" s="2" t="str">
        <f>IFERROR(__xludf.DUMMYFUNCTION("""COMPUTED_VALUE"""),"P-17041-00")</f>
        <v>P-17041-00</v>
      </c>
      <c r="B1776" s="2" t="str">
        <f>IFERROR(__xludf.DUMMYFUNCTION("""COMPUTED_VALUE"""),"Sok Pneumatic 1/2 x 6 inch; ; ;")</f>
        <v>Sok Pneumatic 1/2 x 6 inch; ; ;</v>
      </c>
      <c r="C1776" s="2" t="str">
        <f>IFERROR(__xludf.DUMMYFUNCTION("""COMPUTED_VALUE"""),"P-17041-00")</f>
        <v>P-17041-00</v>
      </c>
      <c r="D1776" s="2" t="str">
        <f>if(isna(vlookup(C1776,'On Hand'!A:C,3,0)),"",vlookup(C1776,'On Hand'!A:C,3,0))</f>
        <v/>
      </c>
    </row>
    <row r="1777">
      <c r="A1777" s="2" t="str">
        <f>IFERROR(__xludf.DUMMYFUNCTION("""COMPUTED_VALUE"""),"P-17044-00")</f>
        <v>P-17044-00</v>
      </c>
      <c r="B1777" s="2" t="str">
        <f>IFERROR(__xludf.DUMMYFUNCTION("""COMPUTED_VALUE"""),"Rubber Leveling Feet M10; ; ;")</f>
        <v>Rubber Leveling Feet M10; ; ;</v>
      </c>
      <c r="C1777" s="2" t="str">
        <f>IFERROR(__xludf.DUMMYFUNCTION("""COMPUTED_VALUE"""),"P-17044-00")</f>
        <v>P-17044-00</v>
      </c>
      <c r="D1777" s="2" t="str">
        <f>if(isna(vlookup(C1777,'On Hand'!A:C,3,0)),"",vlookup(C1777,'On Hand'!A:C,3,0))</f>
        <v/>
      </c>
    </row>
    <row r="1778">
      <c r="A1778" s="2" t="str">
        <f>IFERROR(__xludf.DUMMYFUNCTION("""COMPUTED_VALUE"""),"P-17047-00")</f>
        <v>P-17047-00</v>
      </c>
      <c r="B1778" s="2" t="str">
        <f>IFERROR(__xludf.DUMMYFUNCTION("""COMPUTED_VALUE"""),"Hexabolt M6; ; ;")</f>
        <v>Hexabolt M6; ; ;</v>
      </c>
      <c r="C1778" s="2" t="str">
        <f>IFERROR(__xludf.DUMMYFUNCTION("""COMPUTED_VALUE"""),"P-17047-00")</f>
        <v>P-17047-00</v>
      </c>
      <c r="D1778" s="2" t="str">
        <f>if(isna(vlookup(C1778,'On Hand'!A:C,3,0)),"",vlookup(C1778,'On Hand'!A:C,3,0))</f>
        <v/>
      </c>
    </row>
    <row r="1779">
      <c r="A1779" s="2" t="str">
        <f>IFERROR(__xludf.DUMMYFUNCTION("""COMPUTED_VALUE"""),"P-17048-00")</f>
        <v>P-17048-00</v>
      </c>
      <c r="B1779" s="2" t="str">
        <f>IFERROR(__xludf.DUMMYFUNCTION("""COMPUTED_VALUE"""),"Regulator Argon")</f>
        <v>Regulator Argon</v>
      </c>
      <c r="C1779" s="2" t="str">
        <f>IFERROR(__xludf.DUMMYFUNCTION("""COMPUTED_VALUE"""),"P-17048-00")</f>
        <v>P-17048-00</v>
      </c>
      <c r="D1779" s="2" t="str">
        <f>if(isna(vlookup(C1779,'On Hand'!A:C,3,0)),"",vlookup(C1779,'On Hand'!A:C,3,0))</f>
        <v/>
      </c>
    </row>
    <row r="1780">
      <c r="A1780" s="2" t="str">
        <f>IFERROR(__xludf.DUMMYFUNCTION("""COMPUTED_VALUE"""),"P-17049-00")</f>
        <v>P-17049-00</v>
      </c>
      <c r="B1780" s="2" t="str">
        <f>IFERROR(__xludf.DUMMYFUNCTION("""COMPUTED_VALUE"""),"Kikir Besi 8""; ; ;")</f>
        <v>Kikir Besi 8"; ; ;</v>
      </c>
      <c r="C1780" s="2" t="str">
        <f>IFERROR(__xludf.DUMMYFUNCTION("""COMPUTED_VALUE"""),"P-17049-00")</f>
        <v>P-17049-00</v>
      </c>
      <c r="D1780" s="2" t="str">
        <f>if(isna(vlookup(C1780,'On Hand'!A:C,3,0)),"",vlookup(C1780,'On Hand'!A:C,3,0))</f>
        <v/>
      </c>
    </row>
    <row r="1781">
      <c r="A1781" s="2" t="str">
        <f>IFERROR(__xludf.DUMMYFUNCTION("""COMPUTED_VALUE"""),"P-17050-00")</f>
        <v>P-17050-00</v>
      </c>
      <c r="B1781" s="2" t="str">
        <f>IFERROR(__xludf.DUMMYFUNCTION("""COMPUTED_VALUE"""),"Elbow 90 Kuningan 1/4"" NPT x 6mm Tubing; ; ;")</f>
        <v>Elbow 90 Kuningan 1/4" NPT x 6mm Tubing; ; ;</v>
      </c>
      <c r="C1781" s="2" t="str">
        <f>IFERROR(__xludf.DUMMYFUNCTION("""COMPUTED_VALUE"""),"P-17050-00")</f>
        <v>P-17050-00</v>
      </c>
      <c r="D1781" s="2" t="str">
        <f>if(isna(vlookup(C1781,'On Hand'!A:C,3,0)),"",vlookup(C1781,'On Hand'!A:C,3,0))</f>
        <v/>
      </c>
    </row>
    <row r="1782">
      <c r="A1782" s="2" t="str">
        <f>IFERROR(__xludf.DUMMYFUNCTION("""COMPUTED_VALUE"""),"P-17051-00")</f>
        <v>P-17051-00</v>
      </c>
      <c r="B1782" s="2" t="str">
        <f>IFERROR(__xludf.DUMMYFUNCTION("""COMPUTED_VALUE"""),"Threading Pipe SS304 1/2""; ; ;")</f>
        <v>Threading Pipe SS304 1/2"; ; ;</v>
      </c>
      <c r="C1782" s="2" t="str">
        <f>IFERROR(__xludf.DUMMYFUNCTION("""COMPUTED_VALUE"""),"P-17051-00")</f>
        <v>P-17051-00</v>
      </c>
      <c r="D1782" s="2" t="str">
        <f>if(isna(vlookup(C1782,'On Hand'!A:C,3,0)),"",vlookup(C1782,'On Hand'!A:C,3,0))</f>
        <v/>
      </c>
    </row>
    <row r="1783">
      <c r="A1783" s="2" t="str">
        <f>IFERROR(__xludf.DUMMYFUNCTION("""COMPUTED_VALUE"""),"P-17052-00")</f>
        <v>P-17052-00</v>
      </c>
      <c r="B1783" s="2" t="str">
        <f>IFERROR(__xludf.DUMMYFUNCTION("""COMPUTED_VALUE"""),"Check Valve BRONZE 3/4""; ; ;")</f>
        <v>Check Valve BRONZE 3/4"; ; ;</v>
      </c>
      <c r="C1783" s="2" t="str">
        <f>IFERROR(__xludf.DUMMYFUNCTION("""COMPUTED_VALUE"""),"P-17052-00")</f>
        <v>P-17052-00</v>
      </c>
      <c r="D1783" s="2" t="str">
        <f>if(isna(vlookup(C1783,'On Hand'!A:C,3,0)),"",vlookup(C1783,'On Hand'!A:C,3,0))</f>
        <v/>
      </c>
    </row>
    <row r="1784">
      <c r="A1784" s="2" t="str">
        <f>IFERROR(__xludf.DUMMYFUNCTION("""COMPUTED_VALUE"""),"P-17060-00")</f>
        <v>P-17060-00</v>
      </c>
      <c r="B1784" s="2" t="str">
        <f>IFERROR(__xludf.DUMMYFUNCTION("""COMPUTED_VALUE"""),"Baut V Sink 5 x 10 mm; ; ;")</f>
        <v>Baut V Sink 5 x 10 mm; ; ;</v>
      </c>
      <c r="C1784" s="2" t="str">
        <f>IFERROR(__xludf.DUMMYFUNCTION("""COMPUTED_VALUE"""),"P-17060-00")</f>
        <v>P-17060-00</v>
      </c>
      <c r="D1784" s="2" t="str">
        <f>if(isna(vlookup(C1784,'On Hand'!A:C,3,0)),"",vlookup(C1784,'On Hand'!A:C,3,0))</f>
        <v/>
      </c>
    </row>
    <row r="1785">
      <c r="A1785" s="2" t="str">
        <f>IFERROR(__xludf.DUMMYFUNCTION("""COMPUTED_VALUE"""),"P-17061-00")</f>
        <v>P-17061-00</v>
      </c>
      <c r="B1785" s="2" t="str">
        <f>IFERROR(__xludf.DUMMYFUNCTION("""COMPUTED_VALUE"""),"Baut V Sink 4 x 10 mm; ; ;")</f>
        <v>Baut V Sink 4 x 10 mm; ; ;</v>
      </c>
      <c r="C1785" s="2" t="str">
        <f>IFERROR(__xludf.DUMMYFUNCTION("""COMPUTED_VALUE"""),"P-17061-00")</f>
        <v>P-17061-00</v>
      </c>
      <c r="D1785" s="2" t="str">
        <f>if(isna(vlookup(C1785,'On Hand'!A:C,3,0)),"",vlookup(C1785,'On Hand'!A:C,3,0))</f>
        <v/>
      </c>
    </row>
    <row r="1786">
      <c r="A1786" s="2" t="str">
        <f>IFERROR(__xludf.DUMMYFUNCTION("""COMPUTED_VALUE"""),"P-17062-00")</f>
        <v>P-17062-00</v>
      </c>
      <c r="B1786" s="2" t="str">
        <f>IFERROR(__xludf.DUMMYFUNCTION("""COMPUTED_VALUE"""),"General - Element Filter for N2; NEXUS; NXE-90-Z; 1 pc")</f>
        <v>General - Element Filter for N2; NEXUS; NXE-90-Z; 1 pc</v>
      </c>
      <c r="C1786" s="2" t="str">
        <f>IFERROR(__xludf.DUMMYFUNCTION("""COMPUTED_VALUE"""),"P-17062-00")</f>
        <v>P-17062-00</v>
      </c>
      <c r="D1786" s="2" t="str">
        <f>if(isna(vlookup(C1786,'On Hand'!A:C,3,0)),"",vlookup(C1786,'On Hand'!A:C,3,0))</f>
        <v>unt</v>
      </c>
    </row>
    <row r="1787">
      <c r="A1787" s="2" t="str">
        <f>IFERROR(__xludf.DUMMYFUNCTION("""COMPUTED_VALUE"""),"P-17064-00")</f>
        <v>P-17064-00</v>
      </c>
      <c r="B1787" s="2" t="str">
        <f>IFERROR(__xludf.DUMMYFUNCTION("""COMPUTED_VALUE"""),"Bench Grinder GBG 35-15 6"" Bosch; ; ;")</f>
        <v>Bench Grinder GBG 35-15 6" Bosch; ; ;</v>
      </c>
      <c r="C1787" s="2" t="str">
        <f>IFERROR(__xludf.DUMMYFUNCTION("""COMPUTED_VALUE"""),"P-17064-00")</f>
        <v>P-17064-00</v>
      </c>
      <c r="D1787" s="2" t="str">
        <f>if(isna(vlookup(C1787,'On Hand'!A:C,3,0)),"",vlookup(C1787,'On Hand'!A:C,3,0))</f>
        <v/>
      </c>
    </row>
    <row r="1788">
      <c r="A1788" s="2" t="str">
        <f>IFERROR(__xludf.DUMMYFUNCTION("""COMPUTED_VALUE"""),"P-17065-00")</f>
        <v>P-17065-00</v>
      </c>
      <c r="B1788" s="2" t="str">
        <f>IFERROR(__xludf.DUMMYFUNCTION("""COMPUTED_VALUE"""),"Hot Gun GHG630 2000 w Bosch; ; ;")</f>
        <v>Hot Gun GHG630 2000 w Bosch; ; ;</v>
      </c>
      <c r="C1788" s="2" t="str">
        <f>IFERROR(__xludf.DUMMYFUNCTION("""COMPUTED_VALUE"""),"P-17065-00")</f>
        <v>P-17065-00</v>
      </c>
      <c r="D1788" s="2" t="str">
        <f>if(isna(vlookup(C1788,'On Hand'!A:C,3,0)),"",vlookup(C1788,'On Hand'!A:C,3,0))</f>
        <v/>
      </c>
    </row>
    <row r="1789">
      <c r="A1789" s="2" t="str">
        <f>IFERROR(__xludf.DUMMYFUNCTION("""COMPUTED_VALUE"""),"P-17066-00")</f>
        <v>P-17066-00</v>
      </c>
      <c r="B1789" s="2" t="str">
        <f>IFERROR(__xludf.DUMMYFUNCTION("""COMPUTED_VALUE"""),"Pompa Submersible; ; ; - POMPA SUBMERSIBLE SB 3")</f>
        <v>Pompa Submersible; ; ; - POMPA SUBMERSIBLE SB 3</v>
      </c>
      <c r="C1789" s="2" t="str">
        <f>IFERROR(__xludf.DUMMYFUNCTION("""COMPUTED_VALUE"""),"P-17066-00")</f>
        <v>P-17066-00</v>
      </c>
      <c r="D1789" s="2" t="str">
        <f>if(isna(vlookup(C1789,'On Hand'!A:C,3,0)),"",vlookup(C1789,'On Hand'!A:C,3,0))</f>
        <v/>
      </c>
    </row>
    <row r="1790">
      <c r="A1790" s="2" t="str">
        <f>IFERROR(__xludf.DUMMYFUNCTION("""COMPUTED_VALUE"""),"P-17068-00")</f>
        <v>P-17068-00</v>
      </c>
      <c r="B1790" s="2" t="str">
        <f>IFERROR(__xludf.DUMMYFUNCTION("""COMPUTED_VALUE"""),"PRV 7 - Pressure Reducing Valve 1 bar BRASS 3/4"" KITZ; ; ;")</f>
        <v>PRV 7 - Pressure Reducing Valve 1 bar BRASS 3/4" KITZ; ; ;</v>
      </c>
      <c r="C1790" s="2" t="str">
        <f>IFERROR(__xludf.DUMMYFUNCTION("""COMPUTED_VALUE"""),"P-17068-00")</f>
        <v>P-17068-00</v>
      </c>
      <c r="D1790" s="2" t="str">
        <f>if(isna(vlookup(C1790,'On Hand'!A:C,3,0)),"",vlookup(C1790,'On Hand'!A:C,3,0))</f>
        <v/>
      </c>
    </row>
    <row r="1791">
      <c r="A1791" s="2" t="str">
        <f>IFERROR(__xludf.DUMMYFUNCTION("""COMPUTED_VALUE"""),"P-17071-00")</f>
        <v>P-17071-00</v>
      </c>
      <c r="B1791" s="2" t="str">
        <f>IFERROR(__xludf.DUMMYFUNCTION("""COMPUTED_VALUE"""),"Double neeple SS 304 dia 1/4inch; ; ;")</f>
        <v>Double neeple SS 304 dia 1/4inch; ; ;</v>
      </c>
      <c r="C1791" s="2" t="str">
        <f>IFERROR(__xludf.DUMMYFUNCTION("""COMPUTED_VALUE"""),"P-17071-00")</f>
        <v>P-17071-00</v>
      </c>
      <c r="D1791" s="2" t="str">
        <f>if(isna(vlookup(C1791,'On Hand'!A:C,3,0)),"",vlookup(C1791,'On Hand'!A:C,3,0))</f>
        <v/>
      </c>
    </row>
    <row r="1792">
      <c r="A1792" s="2" t="str">
        <f>IFERROR(__xludf.DUMMYFUNCTION("""COMPUTED_VALUE"""),"P-17073-00")</f>
        <v>P-17073-00</v>
      </c>
      <c r="B1792" s="2" t="str">
        <f>IFERROR(__xludf.DUMMYFUNCTION("""COMPUTED_VALUE"""),"Ferrule 3/4"" SS 316L; ; ;")</f>
        <v>Ferrule 3/4" SS 316L; ; ;</v>
      </c>
      <c r="C1792" s="2" t="str">
        <f>IFERROR(__xludf.DUMMYFUNCTION("""COMPUTED_VALUE"""),"P-17073-00")</f>
        <v>P-17073-00</v>
      </c>
      <c r="D1792" s="2" t="str">
        <f>if(isna(vlookup(C1792,'On Hand'!A:C,3,0)),"",vlookup(C1792,'On Hand'!A:C,3,0))</f>
        <v/>
      </c>
    </row>
    <row r="1793">
      <c r="A1793" s="2" t="str">
        <f>IFERROR(__xludf.DUMMYFUNCTION("""COMPUTED_VALUE"""),"P-17079-00")</f>
        <v>P-17079-00</v>
      </c>
      <c r="B1793" s="2" t="str">
        <f>IFERROR(__xludf.DUMMYFUNCTION("""COMPUTED_VALUE"""),"Roda Caster Dia : 2"" Swivel Flange With Brake; ; ;")</f>
        <v>Roda Caster Dia : 2" Swivel Flange With Brake; ; ;</v>
      </c>
      <c r="C1793" s="2" t="str">
        <f>IFERROR(__xludf.DUMMYFUNCTION("""COMPUTED_VALUE"""),"P-17079-00")</f>
        <v>P-17079-00</v>
      </c>
      <c r="D1793" s="2" t="str">
        <f>if(isna(vlookup(C1793,'On Hand'!A:C,3,0)),"",vlookup(C1793,'On Hand'!A:C,3,0))</f>
        <v/>
      </c>
    </row>
    <row r="1794">
      <c r="A1794" s="2" t="str">
        <f>IFERROR(__xludf.DUMMYFUNCTION("""COMPUTED_VALUE"""),"P-17167-00")</f>
        <v>P-17167-00</v>
      </c>
      <c r="B1794" s="2" t="str">
        <f>IFERROR(__xludf.DUMMYFUNCTION("""COMPUTED_VALUE"""),"General - Hollow SS304 Uk. 30 x 30 x 1.5 x 6000mm; No Brand; -; 1 Pcs")</f>
        <v>General - Hollow SS304 Uk. 30 x 30 x 1.5 x 6000mm; No Brand; -; 1 Pcs</v>
      </c>
      <c r="C1794" s="2" t="str">
        <f>IFERROR(__xludf.DUMMYFUNCTION("""COMPUTED_VALUE"""),"P-17167-00")</f>
        <v>P-17167-00</v>
      </c>
      <c r="D1794" s="2" t="str">
        <f>if(isna(vlookup(C1794,'On Hand'!A:C,3,0)),"",vlookup(C1794,'On Hand'!A:C,3,0))</f>
        <v>pc</v>
      </c>
    </row>
    <row r="1795">
      <c r="A1795" s="2" t="str">
        <f>IFERROR(__xludf.DUMMYFUNCTION("""COMPUTED_VALUE"""),"P-17176-00")</f>
        <v>P-17176-00</v>
      </c>
      <c r="B1795" s="2" t="str">
        <f>IFERROR(__xludf.DUMMYFUNCTION("""COMPUTED_VALUE"""),"Protection Cover For Emergency Push Button 22mm FORT")</f>
        <v>Protection Cover For Emergency Push Button 22mm FORT</v>
      </c>
      <c r="C1795" s="2" t="str">
        <f>IFERROR(__xludf.DUMMYFUNCTION("""COMPUTED_VALUE"""),"P-17176-00")</f>
        <v>P-17176-00</v>
      </c>
      <c r="D1795" s="2" t="str">
        <f>if(isna(vlookup(C1795,'On Hand'!A:C,3,0)),"",vlookup(C1795,'On Hand'!A:C,3,0))</f>
        <v/>
      </c>
    </row>
    <row r="1796">
      <c r="A1796" s="2" t="str">
        <f>IFERROR(__xludf.DUMMYFUNCTION("""COMPUTED_VALUE"""),"P-17223-00")</f>
        <v>P-17223-00</v>
      </c>
      <c r="B1796" s="2" t="str">
        <f>IFERROR(__xludf.DUMMYFUNCTION("""COMPUTED_VALUE"""),"Shock Pipa PVC 1 1/2""; RUCIKA; ; pcs")</f>
        <v>Shock Pipa PVC 1 1/2"; RUCIKA; ; pcs</v>
      </c>
      <c r="C1796" s="2" t="str">
        <f>IFERROR(__xludf.DUMMYFUNCTION("""COMPUTED_VALUE"""),"P-17223-00")</f>
        <v>P-17223-00</v>
      </c>
      <c r="D1796" s="2" t="str">
        <f>if(isna(vlookup(C1796,'On Hand'!A:C,3,0)),"",vlookup(C1796,'On Hand'!A:C,3,0))</f>
        <v>pc</v>
      </c>
    </row>
    <row r="1797">
      <c r="A1797" s="2" t="str">
        <f>IFERROR(__xludf.DUMMYFUNCTION("""COMPUTED_VALUE"""),"P-17252-00")</f>
        <v>P-17252-00</v>
      </c>
      <c r="B1797" s="2" t="str">
        <f>IFERROR(__xludf.DUMMYFUNCTION("""COMPUTED_VALUE"""),"Clamp Holder Pipa SS304 2 Inch")</f>
        <v>Clamp Holder Pipa SS304 2 Inch</v>
      </c>
      <c r="C1797" s="2" t="str">
        <f>IFERROR(__xludf.DUMMYFUNCTION("""COMPUTED_VALUE"""),"P-17252-00")</f>
        <v>P-17252-00</v>
      </c>
      <c r="D1797" s="2" t="str">
        <f>if(isna(vlookup(C1797,'On Hand'!A:C,3,0)),"",vlookup(C1797,'On Hand'!A:C,3,0))</f>
        <v/>
      </c>
    </row>
    <row r="1798">
      <c r="A1798" s="2" t="str">
        <f>IFERROR(__xludf.DUMMYFUNCTION("""COMPUTED_VALUE"""),"P-17253-00")</f>
        <v>P-17253-00</v>
      </c>
      <c r="B1798" s="2" t="str">
        <f>IFERROR(__xludf.DUMMYFUNCTION("""COMPUTED_VALUE"""),"Hose Yee Joint Kuningan 1/2 inch")</f>
        <v>Hose Yee Joint Kuningan 1/2 inch</v>
      </c>
      <c r="C1798" s="2" t="str">
        <f>IFERROR(__xludf.DUMMYFUNCTION("""COMPUTED_VALUE"""),"P-17253-00")</f>
        <v>P-17253-00</v>
      </c>
      <c r="D1798" s="2" t="str">
        <f>if(isna(vlookup(C1798,'On Hand'!A:C,3,0)),"",vlookup(C1798,'On Hand'!A:C,3,0))</f>
        <v/>
      </c>
    </row>
    <row r="1799">
      <c r="A1799" s="2" t="str">
        <f>IFERROR(__xludf.DUMMYFUNCTION("""COMPUTED_VALUE"""),"P-17254-00")</f>
        <v>P-17254-00</v>
      </c>
      <c r="B1799" s="2" t="str">
        <f>IFERROR(__xludf.DUMMYFUNCTION("""COMPUTED_VALUE"""),"Sock Drat dalam SS 304 1/2 Inch")</f>
        <v>Sock Drat dalam SS 304 1/2 Inch</v>
      </c>
      <c r="C1799" s="2" t="str">
        <f>IFERROR(__xludf.DUMMYFUNCTION("""COMPUTED_VALUE"""),"P-17254-00")</f>
        <v>P-17254-00</v>
      </c>
      <c r="D1799" s="2" t="str">
        <f>if(isna(vlookup(C1799,'On Hand'!A:C,3,0)),"",vlookup(C1799,'On Hand'!A:C,3,0))</f>
        <v/>
      </c>
    </row>
    <row r="1800">
      <c r="A1800" s="2" t="str">
        <f>IFERROR(__xludf.DUMMYFUNCTION("""COMPUTED_VALUE"""),"P-17255-00")</f>
        <v>P-17255-00</v>
      </c>
      <c r="B1800" s="2" t="str">
        <f>IFERROR(__xludf.DUMMYFUNCTION("""COMPUTED_VALUE"""),"Nepple Hose SS304 1/2 Inch")</f>
        <v>Nepple Hose SS304 1/2 Inch</v>
      </c>
      <c r="C1800" s="2" t="str">
        <f>IFERROR(__xludf.DUMMYFUNCTION("""COMPUTED_VALUE"""),"P-17255-00")</f>
        <v>P-17255-00</v>
      </c>
      <c r="D1800" s="2" t="str">
        <f>if(isna(vlookup(C1800,'On Hand'!A:C,3,0)),"",vlookup(C1800,'On Hand'!A:C,3,0))</f>
        <v/>
      </c>
    </row>
    <row r="1801">
      <c r="A1801" s="2" t="str">
        <f>IFERROR(__xludf.DUMMYFUNCTION("""COMPUTED_VALUE"""),"P-17260-00")</f>
        <v>P-17260-00</v>
      </c>
      <c r="B1801" s="2" t="str">
        <f>IFERROR(__xludf.DUMMYFUNCTION("""COMPUTED_VALUE"""),"Oil seal G.14x20x3 mm")</f>
        <v>Oil seal G.14x20x3 mm</v>
      </c>
      <c r="C1801" s="2" t="str">
        <f>IFERROR(__xludf.DUMMYFUNCTION("""COMPUTED_VALUE"""),"P-17260-00")</f>
        <v>P-17260-00</v>
      </c>
      <c r="D1801" s="2" t="str">
        <f>if(isna(vlookup(C1801,'On Hand'!A:C,3,0)),"",vlookup(C1801,'On Hand'!A:C,3,0))</f>
        <v>pc</v>
      </c>
    </row>
    <row r="1802">
      <c r="A1802" s="2" t="str">
        <f>IFERROR(__xludf.DUMMYFUNCTION("""COMPUTED_VALUE"""),"P-17272-00")</f>
        <v>P-17272-00</v>
      </c>
      <c r="B1802" s="2" t="str">
        <f>IFERROR(__xludf.DUMMYFUNCTION("""COMPUTED_VALUE"""),"O-ring Epdm 9 x 4 x 2,5 mm ; Brand : - ; P/N : - ; Pack Size : pcs")</f>
        <v>O-ring Epdm 9 x 4 x 2,5 mm ; Brand : - ; P/N : - ; Pack Size : pcs</v>
      </c>
      <c r="C1802" s="2" t="str">
        <f>IFERROR(__xludf.DUMMYFUNCTION("""COMPUTED_VALUE"""),"P-17272-00")</f>
        <v>P-17272-00</v>
      </c>
      <c r="D1802" s="2" t="str">
        <f>if(isna(vlookup(C1802,'On Hand'!A:C,3,0)),"",vlookup(C1802,'On Hand'!A:C,3,0))</f>
        <v>pc</v>
      </c>
    </row>
    <row r="1803">
      <c r="A1803" s="2" t="str">
        <f>IFERROR(__xludf.DUMMYFUNCTION("""COMPUTED_VALUE"""),"P-17273-00")</f>
        <v>P-17273-00</v>
      </c>
      <c r="B1803" s="2" t="str">
        <f>IFERROR(__xludf.DUMMYFUNCTION("""COMPUTED_VALUE"""),"O-ring Epdm 9 x 5 x 2 mm ; Brand : - ; P/N : - ; Pack Size : pcs")</f>
        <v>O-ring Epdm 9 x 5 x 2 mm ; Brand : - ; P/N : - ; Pack Size : pcs</v>
      </c>
      <c r="C1803" s="2" t="str">
        <f>IFERROR(__xludf.DUMMYFUNCTION("""COMPUTED_VALUE"""),"P-17273-00")</f>
        <v>P-17273-00</v>
      </c>
      <c r="D1803" s="2" t="str">
        <f>if(isna(vlookup(C1803,'On Hand'!A:C,3,0)),"",vlookup(C1803,'On Hand'!A:C,3,0))</f>
        <v>pc</v>
      </c>
    </row>
    <row r="1804">
      <c r="A1804" s="2" t="str">
        <f>IFERROR(__xludf.DUMMYFUNCTION("""COMPUTED_VALUE"""),"P-17278-00")</f>
        <v>P-17278-00</v>
      </c>
      <c r="B1804" s="2" t="str">
        <f>IFERROR(__xludf.DUMMYFUNCTION("""COMPUTED_VALUE"""),"Kawat las TIG Argon TGS-50 dia 1.6 mm")</f>
        <v>Kawat las TIG Argon TGS-50 dia 1.6 mm</v>
      </c>
      <c r="C1804" s="2" t="str">
        <f>IFERROR(__xludf.DUMMYFUNCTION("""COMPUTED_VALUE"""),"P-17278-00")</f>
        <v>P-17278-00</v>
      </c>
      <c r="D1804" s="2" t="str">
        <f>if(isna(vlookup(C1804,'On Hand'!A:C,3,0)),"",vlookup(C1804,'On Hand'!A:C,3,0))</f>
        <v/>
      </c>
    </row>
    <row r="1805">
      <c r="A1805" s="2" t="str">
        <f>IFERROR(__xludf.DUMMYFUNCTION("""COMPUTED_VALUE"""),"P-17290-00")</f>
        <v>P-17290-00</v>
      </c>
      <c r="B1805" s="2" t="str">
        <f>IFERROR(__xludf.DUMMYFUNCTION("""COMPUTED_VALUE"""),"Filter Regulator Brand : SMC P/N : AW20-02BG-C-A Pack Size : pcs")</f>
        <v>Filter Regulator Brand : SMC P/N : AW20-02BG-C-A Pack Size : pcs</v>
      </c>
      <c r="C1805" s="2" t="str">
        <f>IFERROR(__xludf.DUMMYFUNCTION("""COMPUTED_VALUE"""),"P-17290-00")</f>
        <v>P-17290-00</v>
      </c>
      <c r="D1805" s="2" t="str">
        <f>if(isna(vlookup(C1805,'On Hand'!A:C,3,0)),"",vlookup(C1805,'On Hand'!A:C,3,0))</f>
        <v/>
      </c>
    </row>
    <row r="1806">
      <c r="A1806" s="2" t="str">
        <f>IFERROR(__xludf.DUMMYFUNCTION("""COMPUTED_VALUE"""),"P-17323-00")</f>
        <v>P-17323-00</v>
      </c>
      <c r="B1806" s="2" t="str">
        <f>IFERROR(__xludf.DUMMYFUNCTION("""COMPUTED_VALUE"""),"Plate Gasket 3233014146 Alfa Laval")</f>
        <v>Plate Gasket 3233014146 Alfa Laval</v>
      </c>
      <c r="C1806" s="2" t="str">
        <f>IFERROR(__xludf.DUMMYFUNCTION("""COMPUTED_VALUE"""),"P-17323-00")</f>
        <v>P-17323-00</v>
      </c>
      <c r="D1806" s="2" t="str">
        <f>if(isna(vlookup(C1806,'On Hand'!A:C,3,0)),"",vlookup(C1806,'On Hand'!A:C,3,0))</f>
        <v/>
      </c>
    </row>
    <row r="1807">
      <c r="A1807" s="2" t="str">
        <f>IFERROR(__xludf.DUMMYFUNCTION("""COMPUTED_VALUE"""),"P-17347-00")</f>
        <v>P-17347-00</v>
      </c>
      <c r="B1807" s="2" t="str">
        <f>IFERROR(__xludf.DUMMYFUNCTION("""COMPUTED_VALUE"""),"General - Pre Filter G4 2m x 20m x 2mm; No Brand; -; 1 Pc")</f>
        <v>General - Pre Filter G4 2m x 20m x 2mm; No Brand; -; 1 Pc</v>
      </c>
      <c r="C1807" s="2" t="str">
        <f>IFERROR(__xludf.DUMMYFUNCTION("""COMPUTED_VALUE"""),"P-17347-00")</f>
        <v>P-17347-00</v>
      </c>
      <c r="D1807" s="2" t="str">
        <f>if(isna(vlookup(C1807,'On Hand'!A:C,3,0)),"",vlookup(C1807,'On Hand'!A:C,3,0))</f>
        <v>pc</v>
      </c>
    </row>
    <row r="1808">
      <c r="A1808" s="2" t="str">
        <f>IFERROR(__xludf.DUMMYFUNCTION("""COMPUTED_VALUE"""),"P-17348-00")</f>
        <v>P-17348-00</v>
      </c>
      <c r="B1808" s="2" t="str">
        <f>IFERROR(__xludf.DUMMYFUNCTION("""COMPUTED_VALUE"""),"Steam Trap Ball Float DN40 Flange PN16 ARI")</f>
        <v>Steam Trap Ball Float DN40 Flange PN16 ARI</v>
      </c>
      <c r="C1808" s="2" t="str">
        <f>IFERROR(__xludf.DUMMYFUNCTION("""COMPUTED_VALUE"""),"P-17348-00")</f>
        <v>P-17348-00</v>
      </c>
      <c r="D1808" s="2" t="str">
        <f>if(isna(vlookup(C1808,'On Hand'!A:C,3,0)),"",vlookup(C1808,'On Hand'!A:C,3,0))</f>
        <v/>
      </c>
    </row>
    <row r="1809">
      <c r="A1809" s="2" t="str">
        <f>IFERROR(__xludf.DUMMYFUNCTION("""COMPUTED_VALUE"""),"P-17358-00")</f>
        <v>P-17358-00</v>
      </c>
      <c r="B1809" s="2" t="str">
        <f>IFERROR(__xludf.DUMMYFUNCTION("""COMPUTED_VALUE"""),"Oring EPDM 41.5x35x3.5 mm")</f>
        <v>Oring EPDM 41.5x35x3.5 mm</v>
      </c>
      <c r="C1809" s="2" t="str">
        <f>IFERROR(__xludf.DUMMYFUNCTION("""COMPUTED_VALUE"""),"P-17358-00")</f>
        <v>P-17358-00</v>
      </c>
      <c r="D1809" s="2" t="str">
        <f>if(isna(vlookup(C1809,'On Hand'!A:C,3,0)),"",vlookup(C1809,'On Hand'!A:C,3,0))</f>
        <v/>
      </c>
    </row>
    <row r="1810">
      <c r="A1810" s="2" t="str">
        <f>IFERROR(__xludf.DUMMYFUNCTION("""COMPUTED_VALUE"""),"P-17359-00")</f>
        <v>P-17359-00</v>
      </c>
      <c r="B1810" s="2" t="str">
        <f>IFERROR(__xludf.DUMMYFUNCTION("""COMPUTED_VALUE"""),"O-ring EPDM 41.5 x 35 x 3.5 mm ; Brand : - ; P/N : - ; Pack Size : pcs")</f>
        <v>O-ring EPDM 41.5 x 35 x 3.5 mm ; Brand : - ; P/N : - ; Pack Size : pcs</v>
      </c>
      <c r="C1810" s="2" t="str">
        <f>IFERROR(__xludf.DUMMYFUNCTION("""COMPUTED_VALUE"""),"P-17359-00")</f>
        <v>P-17359-00</v>
      </c>
      <c r="D1810" s="2" t="str">
        <f>if(isna(vlookup(C1810,'On Hand'!A:C,3,0)),"",vlookup(C1810,'On Hand'!A:C,3,0))</f>
        <v>pc</v>
      </c>
    </row>
    <row r="1811">
      <c r="A1811" s="2" t="str">
        <f>IFERROR(__xludf.DUMMYFUNCTION("""COMPUTED_VALUE"""),"P-17360-00")</f>
        <v>P-17360-00</v>
      </c>
      <c r="B1811" s="2" t="str">
        <f>IFERROR(__xludf.DUMMYFUNCTION("""COMPUTED_VALUE"""),"Oring EPDM 22.5x15.5x3.5 mm")</f>
        <v>Oring EPDM 22.5x15.5x3.5 mm</v>
      </c>
      <c r="C1811" s="2" t="str">
        <f>IFERROR(__xludf.DUMMYFUNCTION("""COMPUTED_VALUE"""),"P-17360-00")</f>
        <v>P-17360-00</v>
      </c>
      <c r="D1811" s="2" t="str">
        <f>if(isna(vlookup(C1811,'On Hand'!A:C,3,0)),"",vlookup(C1811,'On Hand'!A:C,3,0))</f>
        <v>pc</v>
      </c>
    </row>
    <row r="1812">
      <c r="A1812" s="2" t="str">
        <f>IFERROR(__xludf.DUMMYFUNCTION("""COMPUTED_VALUE"""),"P-17361-00")</f>
        <v>P-17361-00</v>
      </c>
      <c r="B1812" s="2" t="str">
        <f>IFERROR(__xludf.DUMMYFUNCTION("""COMPUTED_VALUE"""),"General - O-ring EPDM 15 x 9 x 3 mm; No Brand; -; 1 pc")</f>
        <v>General - O-ring EPDM 15 x 9 x 3 mm; No Brand; -; 1 pc</v>
      </c>
      <c r="C1812" s="2" t="str">
        <f>IFERROR(__xludf.DUMMYFUNCTION("""COMPUTED_VALUE"""),"P-17361-00")</f>
        <v>P-17361-00</v>
      </c>
      <c r="D1812" s="2" t="str">
        <f>if(isna(vlookup(C1812,'On Hand'!A:C,3,0)),"",vlookup(C1812,'On Hand'!A:C,3,0))</f>
        <v>pc</v>
      </c>
    </row>
    <row r="1813">
      <c r="A1813" s="2" t="str">
        <f>IFERROR(__xludf.DUMMYFUNCTION("""COMPUTED_VALUE"""),"P-17363-00")</f>
        <v>P-17363-00</v>
      </c>
      <c r="B1813" s="2" t="str">
        <f>IFERROR(__xludf.DUMMYFUNCTION("""COMPUTED_VALUE"""),"General - Ferrule SS 316, 1/2inch; No Brand; -; 1 pcs")</f>
        <v>General - Ferrule SS 316, 1/2inch; No Brand; -; 1 pcs</v>
      </c>
      <c r="C1813" s="2" t="str">
        <f>IFERROR(__xludf.DUMMYFUNCTION("""COMPUTED_VALUE"""),"P-17363-00")</f>
        <v>P-17363-00</v>
      </c>
      <c r="D1813" s="2" t="str">
        <f>if(isna(vlookup(C1813,'On Hand'!A:C,3,0)),"",vlookup(C1813,'On Hand'!A:C,3,0))</f>
        <v>pc</v>
      </c>
    </row>
    <row r="1814">
      <c r="A1814" s="2" t="str">
        <f>IFERROR(__xludf.DUMMYFUNCTION("""COMPUTED_VALUE"""),"P-17368-00")</f>
        <v>P-17368-00</v>
      </c>
      <c r="B1814" s="2" t="str">
        <f>IFERROR(__xludf.DUMMYFUNCTION("""COMPUTED_VALUE"""),"Gate valve 2 inch Flange JIS 10K")</f>
        <v>Gate valve 2 inch Flange JIS 10K</v>
      </c>
      <c r="C1814" s="2" t="str">
        <f>IFERROR(__xludf.DUMMYFUNCTION("""COMPUTED_VALUE"""),"P-17368-00")</f>
        <v>P-17368-00</v>
      </c>
      <c r="D1814" s="2" t="str">
        <f>if(isna(vlookup(C1814,'On Hand'!A:C,3,0)),"",vlookup(C1814,'On Hand'!A:C,3,0))</f>
        <v/>
      </c>
    </row>
    <row r="1815">
      <c r="A1815" s="2" t="str">
        <f>IFERROR(__xludf.DUMMYFUNCTION("""COMPUTED_VALUE"""),"P-17387-00")</f>
        <v>P-17387-00</v>
      </c>
      <c r="B1815" s="2" t="str">
        <f>IFERROR(__xludf.DUMMYFUNCTION("""COMPUTED_VALUE"""),"Timming Belt 300L 025 Optibelt")</f>
        <v>Timming Belt 300L 025 Optibelt</v>
      </c>
      <c r="C1815" s="2" t="str">
        <f>IFERROR(__xludf.DUMMYFUNCTION("""COMPUTED_VALUE"""),"P-17387-00")</f>
        <v>P-17387-00</v>
      </c>
      <c r="D1815" s="2" t="str">
        <f>if(isna(vlookup(C1815,'On Hand'!A:C,3,0)),"",vlookup(C1815,'On Hand'!A:C,3,0))</f>
        <v/>
      </c>
    </row>
    <row r="1816">
      <c r="A1816" s="2" t="str">
        <f>IFERROR(__xludf.DUMMYFUNCTION("""COMPUTED_VALUE"""),"P-17388-00")</f>
        <v>P-17388-00</v>
      </c>
      <c r="B1816" s="2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6" s="2" t="str">
        <f>IFERROR(__xludf.DUMMYFUNCTION("""COMPUTED_VALUE"""),"P-17388-00")</f>
        <v>P-17388-00</v>
      </c>
      <c r="D1816" s="2" t="str">
        <f>if(isna(vlookup(C1816,'On Hand'!A:C,3,0)),"",vlookup(C1816,'On Hand'!A:C,3,0))</f>
        <v/>
      </c>
    </row>
    <row r="1817">
      <c r="A1817" s="2" t="str">
        <f>IFERROR(__xludf.DUMMYFUNCTION("""COMPUTED_VALUE"""),"P-17389-00")</f>
        <v>P-17389-00</v>
      </c>
      <c r="B1817" s="2" t="str">
        <f>IFERROR(__xludf.DUMMYFUNCTION("""COMPUTED_VALUE"""),"General - Kawat Las SS316 3.2mm; No Brand; -; 1 kg")</f>
        <v>General - Kawat Las SS316 3.2mm; No Brand; -; 1 kg</v>
      </c>
      <c r="C1817" s="2" t="str">
        <f>IFERROR(__xludf.DUMMYFUNCTION("""COMPUTED_VALUE"""),"P-17389-00")</f>
        <v>P-17389-00</v>
      </c>
      <c r="D1817" s="2" t="str">
        <f>if(isna(vlookup(C1817,'On Hand'!A:C,3,0)),"",vlookup(C1817,'On Hand'!A:C,3,0))</f>
        <v>pc</v>
      </c>
    </row>
    <row r="1818">
      <c r="A1818" s="2" t="str">
        <f>IFERROR(__xludf.DUMMYFUNCTION("""COMPUTED_VALUE"""),"P-17390-00")</f>
        <v>P-17390-00</v>
      </c>
      <c r="B1818" s="2" t="str">
        <f>IFERROR(__xludf.DUMMYFUNCTION("""COMPUTED_VALUE"""),"PALL - AB1PFR7PVH4, 0.2 um; ; ;")</f>
        <v>PALL - AB1PFR7PVH4, 0.2 um; ; ;</v>
      </c>
      <c r="C1818" s="2" t="str">
        <f>IFERROR(__xludf.DUMMYFUNCTION("""COMPUTED_VALUE"""),"P-17390-00")</f>
        <v>P-17390-00</v>
      </c>
      <c r="D1818" s="2" t="str">
        <f>if(isna(vlookup(C1818,'On Hand'!A:C,3,0)),"",vlookup(C1818,'On Hand'!A:C,3,0))</f>
        <v/>
      </c>
    </row>
    <row r="1819">
      <c r="A1819" s="2" t="str">
        <f>IFERROR(__xludf.DUMMYFUNCTION("""COMPUTED_VALUE"""),"P-17399-00")</f>
        <v>P-17399-00</v>
      </c>
      <c r="B1819" s="2" t="str">
        <f>IFERROR(__xludf.DUMMYFUNCTION("""COMPUTED_VALUE"""),"Tee PVC AW 1 inch x 1/2 inch")</f>
        <v>Tee PVC AW 1 inch x 1/2 inch</v>
      </c>
      <c r="C1819" s="2" t="str">
        <f>IFERROR(__xludf.DUMMYFUNCTION("""COMPUTED_VALUE"""),"P-17399-00")</f>
        <v>P-17399-00</v>
      </c>
      <c r="D1819" s="2" t="str">
        <f>if(isna(vlookup(C1819,'On Hand'!A:C,3,0)),"",vlookup(C1819,'On Hand'!A:C,3,0))</f>
        <v/>
      </c>
    </row>
    <row r="1820">
      <c r="A1820" s="2" t="str">
        <f>IFERROR(__xludf.DUMMYFUNCTION("""COMPUTED_VALUE"""),"P-17449-00")</f>
        <v>P-17449-00</v>
      </c>
      <c r="B1820" s="2" t="str">
        <f>IFERROR(__xludf.DUMMYFUNCTION("""COMPUTED_VALUE"""),"Box Panel SS304 20 x 20 x 15 cm")</f>
        <v>Box Panel SS304 20 x 20 x 15 cm</v>
      </c>
      <c r="C1820" s="2" t="str">
        <f>IFERROR(__xludf.DUMMYFUNCTION("""COMPUTED_VALUE"""),"P-17449-00")</f>
        <v>P-17449-00</v>
      </c>
      <c r="D1820" s="2" t="str">
        <f>if(isna(vlookup(C1820,'On Hand'!A:C,3,0)),"",vlookup(C1820,'On Hand'!A:C,3,0))</f>
        <v/>
      </c>
    </row>
    <row r="1821">
      <c r="A1821" s="2" t="str">
        <f>IFERROR(__xludf.DUMMYFUNCTION("""COMPUTED_VALUE"""),"P-17451-00")</f>
        <v>P-17451-00</v>
      </c>
      <c r="B1821" s="2" t="str">
        <f>IFERROR(__xludf.DUMMYFUNCTION("""COMPUTED_VALUE"""),"Belt SPA 1132 LW")</f>
        <v>Belt SPA 1132 LW</v>
      </c>
      <c r="C1821" s="2" t="str">
        <f>IFERROR(__xludf.DUMMYFUNCTION("""COMPUTED_VALUE"""),"P-17451-00")</f>
        <v>P-17451-00</v>
      </c>
      <c r="D1821" s="2" t="str">
        <f>if(isna(vlookup(C1821,'On Hand'!A:C,3,0)),"",vlookup(C1821,'On Hand'!A:C,3,0))</f>
        <v/>
      </c>
    </row>
    <row r="1822">
      <c r="A1822" s="2" t="str">
        <f>IFERROR(__xludf.DUMMYFUNCTION("""COMPUTED_VALUE"""),"P-17452-00")</f>
        <v>P-17452-00</v>
      </c>
      <c r="B1822" s="2" t="str">
        <f>IFERROR(__xludf.DUMMYFUNCTION("""COMPUTED_VALUE"""),"Ac Reflector Acrilik 1/2 - 1 PK")</f>
        <v>Ac Reflector Acrilik 1/2 - 1 PK</v>
      </c>
      <c r="C1822" s="2" t="str">
        <f>IFERROR(__xludf.DUMMYFUNCTION("""COMPUTED_VALUE"""),"P-17452-00")</f>
        <v>P-17452-00</v>
      </c>
      <c r="D1822" s="2" t="str">
        <f>if(isna(vlookup(C1822,'On Hand'!A:C,3,0)),"",vlookup(C1822,'On Hand'!A:C,3,0))</f>
        <v/>
      </c>
    </row>
    <row r="1823">
      <c r="A1823" s="2" t="str">
        <f>IFERROR(__xludf.DUMMYFUNCTION("""COMPUTED_VALUE"""),"P-17466-00")</f>
        <v>P-17466-00</v>
      </c>
      <c r="B1823" s="2" t="str">
        <f>IFERROR(__xludf.DUMMYFUNCTION("""COMPUTED_VALUE"""),"Kawat Las Argon SS 304 Dia : 1.2 mm kg")</f>
        <v>Kawat Las Argon SS 304 Dia : 1.2 mm kg</v>
      </c>
      <c r="C1823" s="2" t="str">
        <f>IFERROR(__xludf.DUMMYFUNCTION("""COMPUTED_VALUE"""),"P-17466-00")</f>
        <v>P-17466-00</v>
      </c>
      <c r="D1823" s="2" t="str">
        <f>if(isna(vlookup(C1823,'On Hand'!A:C,3,0)),"",vlookup(C1823,'On Hand'!A:C,3,0))</f>
        <v/>
      </c>
    </row>
    <row r="1824">
      <c r="A1824" s="2" t="str">
        <f>IFERROR(__xludf.DUMMYFUNCTION("""COMPUTED_VALUE"""),"P-17481-00")</f>
        <v>P-17481-00</v>
      </c>
      <c r="B1824" s="2" t="str">
        <f>IFERROR(__xludf.DUMMYFUNCTION("""COMPUTED_VALUE"""),"Per tekan - SS304 Dia. OD:4.5mm Pjg:55mm T:0.5mm")</f>
        <v>Per tekan - SS304 Dia. OD:4.5mm Pjg:55mm T:0.5mm</v>
      </c>
      <c r="C1824" s="2" t="str">
        <f>IFERROR(__xludf.DUMMYFUNCTION("""COMPUTED_VALUE"""),"P-17481-00")</f>
        <v>P-17481-00</v>
      </c>
      <c r="D1824" s="2" t="str">
        <f>if(isna(vlookup(C1824,'On Hand'!A:C,3,0)),"",vlookup(C1824,'On Hand'!A:C,3,0))</f>
        <v/>
      </c>
    </row>
    <row r="1825">
      <c r="A1825" s="2" t="str">
        <f>IFERROR(__xludf.DUMMYFUNCTION("""COMPUTED_VALUE"""),"P-17497-00")</f>
        <v>P-17497-00</v>
      </c>
      <c r="B1825" s="2" t="str">
        <f>IFERROR(__xludf.DUMMYFUNCTION("""COMPUTED_VALUE"""),"Tee Drat 1 inch + Vlog Ring Brass 1 x 3/4inch")</f>
        <v>Tee Drat 1 inch + Vlog Ring Brass 1 x 3/4inch</v>
      </c>
      <c r="C1825" s="2" t="str">
        <f>IFERROR(__xludf.DUMMYFUNCTION("""COMPUTED_VALUE"""),"P-17497-00")</f>
        <v>P-17497-00</v>
      </c>
      <c r="D1825" s="2" t="str">
        <f>if(isna(vlookup(C1825,'On Hand'!A:C,3,0)),"",vlookup(C1825,'On Hand'!A:C,3,0))</f>
        <v/>
      </c>
    </row>
    <row r="1826">
      <c r="A1826" s="2" t="str">
        <f>IFERROR(__xludf.DUMMYFUNCTION("""COMPUTED_VALUE"""),"P-17508-00")</f>
        <v>P-17508-00</v>
      </c>
      <c r="B1826" s="2" t="str">
        <f>IFERROR(__xludf.DUMMYFUNCTION("""COMPUTED_VALUE"""),"Manifold For Selenoid Valve 1/8inch 3 Port")</f>
        <v>Manifold For Selenoid Valve 1/8inch 3 Port</v>
      </c>
      <c r="C1826" s="2" t="str">
        <f>IFERROR(__xludf.DUMMYFUNCTION("""COMPUTED_VALUE"""),"P-17508-00")</f>
        <v>P-17508-00</v>
      </c>
      <c r="D1826" s="2" t="str">
        <f>if(isna(vlookup(C1826,'On Hand'!A:C,3,0)),"",vlookup(C1826,'On Hand'!A:C,3,0))</f>
        <v/>
      </c>
    </row>
    <row r="1827">
      <c r="A1827" s="2" t="str">
        <f>IFERROR(__xludf.DUMMYFUNCTION("""COMPUTED_VALUE"""),"P-17539-00")</f>
        <v>P-17539-00</v>
      </c>
      <c r="B1827" s="2" t="str">
        <f>IFERROR(__xludf.DUMMYFUNCTION("""COMPUTED_VALUE"""),"Seal Ferrule Silicone 4 inch")</f>
        <v>Seal Ferrule Silicone 4 inch</v>
      </c>
      <c r="C1827" s="2" t="str">
        <f>IFERROR(__xludf.DUMMYFUNCTION("""COMPUTED_VALUE"""),"P-17539-00")</f>
        <v>P-17539-00</v>
      </c>
      <c r="D1827" s="2" t="str">
        <f>if(isna(vlookup(C1827,'On Hand'!A:C,3,0)),"",vlookup(C1827,'On Hand'!A:C,3,0))</f>
        <v/>
      </c>
    </row>
    <row r="1828">
      <c r="A1828" s="2" t="str">
        <f>IFERROR(__xludf.DUMMYFUNCTION("""COMPUTED_VALUE"""),"P-17540-00")</f>
        <v>P-17540-00</v>
      </c>
      <c r="B1828" s="2" t="str">
        <f>IFERROR(__xludf.DUMMYFUNCTION("""COMPUTED_VALUE"""),"Chain Block 1 Ton x 5 Mtr")</f>
        <v>Chain Block 1 Ton x 5 Mtr</v>
      </c>
      <c r="C1828" s="2" t="str">
        <f>IFERROR(__xludf.DUMMYFUNCTION("""COMPUTED_VALUE"""),"P-17540-00")</f>
        <v>P-17540-00</v>
      </c>
      <c r="D1828" s="2" t="str">
        <f>if(isna(vlookup(C1828,'On Hand'!A:C,3,0)),"",vlookup(C1828,'On Hand'!A:C,3,0))</f>
        <v/>
      </c>
    </row>
    <row r="1829">
      <c r="A1829" s="2" t="str">
        <f>IFERROR(__xludf.DUMMYFUNCTION("""COMPUTED_VALUE"""),"P-17543-00")</f>
        <v>P-17543-00</v>
      </c>
      <c r="B1829" s="2" t="str">
        <f>IFERROR(__xludf.DUMMYFUNCTION("""COMPUTED_VALUE"""),"Neepel Hose SS304 dia 1/4 inch")</f>
        <v>Neepel Hose SS304 dia 1/4 inch</v>
      </c>
      <c r="C1829" s="2" t="str">
        <f>IFERROR(__xludf.DUMMYFUNCTION("""COMPUTED_VALUE"""),"P-17543-00")</f>
        <v>P-17543-00</v>
      </c>
      <c r="D1829" s="2" t="str">
        <f>if(isna(vlookup(C1829,'On Hand'!A:C,3,0)),"",vlookup(C1829,'On Hand'!A:C,3,0))</f>
        <v/>
      </c>
    </row>
    <row r="1830">
      <c r="A1830" s="2" t="str">
        <f>IFERROR(__xludf.DUMMYFUNCTION("""COMPUTED_VALUE"""),"P-17548-00")</f>
        <v>P-17548-00</v>
      </c>
      <c r="B1830" s="2" t="str">
        <f>IFERROR(__xludf.DUMMYFUNCTION("""COMPUTED_VALUE"""),"Diaphragm (L) PRV 25P DN40 Code: 3265690 Spirax Sarco")</f>
        <v>Diaphragm (L) PRV 25P DN40 Code: 3265690 Spirax Sarco</v>
      </c>
      <c r="C1830" s="2" t="str">
        <f>IFERROR(__xludf.DUMMYFUNCTION("""COMPUTED_VALUE"""),"P-17548-00")</f>
        <v>P-17548-00</v>
      </c>
      <c r="D1830" s="2" t="str">
        <f>if(isna(vlookup(C1830,'On Hand'!A:C,3,0)),"",vlookup(C1830,'On Hand'!A:C,3,0))</f>
        <v/>
      </c>
    </row>
    <row r="1831">
      <c r="A1831" s="2" t="str">
        <f>IFERROR(__xludf.DUMMYFUNCTION("""COMPUTED_VALUE"""),"P-17549-00")</f>
        <v>P-17549-00</v>
      </c>
      <c r="B1831" s="2" t="str">
        <f>IFERROR(__xludf.DUMMYFUNCTION("""COMPUTED_VALUE"""),"SMC - Air Filter AF20-02-A")</f>
        <v>SMC - Air Filter AF20-02-A</v>
      </c>
      <c r="C1831" s="2" t="str">
        <f>IFERROR(__xludf.DUMMYFUNCTION("""COMPUTED_VALUE"""),"P-17549-00")</f>
        <v>P-17549-00</v>
      </c>
      <c r="D1831" s="2" t="str">
        <f>if(isna(vlookup(C1831,'On Hand'!A:C,3,0)),"",vlookup(C1831,'On Hand'!A:C,3,0))</f>
        <v/>
      </c>
    </row>
    <row r="1832">
      <c r="A1832" s="2" t="str">
        <f>IFERROR(__xludf.DUMMYFUNCTION("""COMPUTED_VALUE"""),"P-17552-00")</f>
        <v>P-17552-00</v>
      </c>
      <c r="B1832" s="2" t="str">
        <f>IFERROR(__xludf.DUMMYFUNCTION("""COMPUTED_VALUE"""),"Lower Fuser Pressure Printer Laserjet P 3015")</f>
        <v>Lower Fuser Pressure Printer Laserjet P 3015</v>
      </c>
      <c r="C1832" s="2" t="str">
        <f>IFERROR(__xludf.DUMMYFUNCTION("""COMPUTED_VALUE"""),"P-17552-00")</f>
        <v>P-17552-00</v>
      </c>
      <c r="D1832" s="2" t="str">
        <f>if(isna(vlookup(C1832,'On Hand'!A:C,3,0)),"",vlookup(C1832,'On Hand'!A:C,3,0))</f>
        <v/>
      </c>
    </row>
    <row r="1833">
      <c r="A1833" s="2" t="str">
        <f>IFERROR(__xludf.DUMMYFUNCTION("""COMPUTED_VALUE"""),"P-17560-00")</f>
        <v>P-17560-00</v>
      </c>
      <c r="B1833" s="2" t="str">
        <f>IFERROR(__xludf.DUMMYFUNCTION("""COMPUTED_VALUE"""),"Thermodynamic Steam Trap 1/2 inch connection : Screwed BSP")</f>
        <v>Thermodynamic Steam Trap 1/2 inch connection : Screwed BSP</v>
      </c>
      <c r="C1833" s="2" t="str">
        <f>IFERROR(__xludf.DUMMYFUNCTION("""COMPUTED_VALUE"""),"P-17560-00")</f>
        <v>P-17560-00</v>
      </c>
      <c r="D1833" s="2" t="str">
        <f>if(isna(vlookup(C1833,'On Hand'!A:C,3,0)),"",vlookup(C1833,'On Hand'!A:C,3,0))</f>
        <v/>
      </c>
    </row>
    <row r="1834">
      <c r="A1834" s="2" t="str">
        <f>IFERROR(__xludf.DUMMYFUNCTION("""COMPUTED_VALUE"""),"P-17561-00")</f>
        <v>P-17561-00</v>
      </c>
      <c r="B1834" s="2" t="str">
        <f>IFERROR(__xludf.DUMMYFUNCTION("""COMPUTED_VALUE"""),"Bucket Steam Trap 1/2 inch connection : Screwed BSP")</f>
        <v>Bucket Steam Trap 1/2 inch connection : Screwed BSP</v>
      </c>
      <c r="C1834" s="2" t="str">
        <f>IFERROR(__xludf.DUMMYFUNCTION("""COMPUTED_VALUE"""),"P-17561-00")</f>
        <v>P-17561-00</v>
      </c>
      <c r="D1834" s="2" t="str">
        <f>if(isna(vlookup(C1834,'On Hand'!A:C,3,0)),"",vlookup(C1834,'On Hand'!A:C,3,0))</f>
        <v/>
      </c>
    </row>
    <row r="1835">
      <c r="A1835" s="2" t="str">
        <f>IFERROR(__xludf.DUMMYFUNCTION("""COMPUTED_VALUE"""),"P-17562-00")</f>
        <v>P-17562-00</v>
      </c>
      <c r="B1835" s="2" t="str">
        <f>IFERROR(__xludf.DUMMYFUNCTION("""COMPUTED_VALUE"""),"General - Mounting Base 20 x 20mm; SIGMA; -; 1 Pc")</f>
        <v>General - Mounting Base 20 x 20mm; SIGMA; -; 1 Pc</v>
      </c>
      <c r="C1835" s="2" t="str">
        <f>IFERROR(__xludf.DUMMYFUNCTION("""COMPUTED_VALUE"""),"P-17562-00")</f>
        <v>P-17562-00</v>
      </c>
      <c r="D1835" s="2" t="str">
        <f>if(isna(vlookup(C1835,'On Hand'!A:C,3,0)),"",vlookup(C1835,'On Hand'!A:C,3,0))</f>
        <v>pc</v>
      </c>
    </row>
    <row r="1836">
      <c r="A1836" s="2" t="str">
        <f>IFERROR(__xludf.DUMMYFUNCTION("""COMPUTED_VALUE"""),"P-17569-00")</f>
        <v>P-17569-00</v>
      </c>
      <c r="B1836" s="2" t="str">
        <f>IFERROR(__xludf.DUMMYFUNCTION("""COMPUTED_VALUE"""),"Carbon Vanes VT4.16 BECKER")</f>
        <v>Carbon Vanes VT4.16 BECKER</v>
      </c>
      <c r="C1836" s="2" t="str">
        <f>IFERROR(__xludf.DUMMYFUNCTION("""COMPUTED_VALUE"""),"P-17569-00")</f>
        <v>P-17569-00</v>
      </c>
      <c r="D1836" s="2" t="str">
        <f>if(isna(vlookup(C1836,'On Hand'!A:C,3,0)),"",vlookup(C1836,'On Hand'!A:C,3,0))</f>
        <v>ST</v>
      </c>
    </row>
    <row r="1837">
      <c r="A1837" s="2" t="str">
        <f>IFERROR(__xludf.DUMMYFUNCTION("""COMPUTED_VALUE"""),"P-17640-00")</f>
        <v>P-17640-00</v>
      </c>
      <c r="B1837" s="2" t="str">
        <f>IFERROR(__xludf.DUMMYFUNCTION("""COMPUTED_VALUE"""),"Flowmeter Fortex TP SS316 2 1/2 Inch,220 VAC, Modbus RS485; SHM; ;")</f>
        <v>Flowmeter Fortex TP SS316 2 1/2 Inch,220 VAC, Modbus RS485; SHM; ;</v>
      </c>
      <c r="C1837" s="2" t="str">
        <f>IFERROR(__xludf.DUMMYFUNCTION("""COMPUTED_VALUE"""),"P-17640-00")</f>
        <v>P-17640-00</v>
      </c>
      <c r="D1837" s="2" t="str">
        <f>if(isna(vlookup(C1837,'On Hand'!A:C,3,0)),"",vlookup(C1837,'On Hand'!A:C,3,0))</f>
        <v/>
      </c>
    </row>
    <row r="1838">
      <c r="A1838" s="2" t="str">
        <f>IFERROR(__xludf.DUMMYFUNCTION("""COMPUTED_VALUE"""),"P-17645-00")</f>
        <v>P-17645-00</v>
      </c>
      <c r="B1838" s="2" t="str">
        <f>IFERROR(__xludf.DUMMYFUNCTION("""COMPUTED_VALUE"""),"Chemical - Sodium Hiphoclorite; No Brand; -; 1 Liter")</f>
        <v>Chemical - Sodium Hiphoclorite; No Brand; -; 1 Liter</v>
      </c>
      <c r="C1838" s="2" t="str">
        <f>IFERROR(__xludf.DUMMYFUNCTION("""COMPUTED_VALUE"""),"P-17645-00")</f>
        <v>P-17645-00</v>
      </c>
      <c r="D1838" s="2" t="str">
        <f>if(isna(vlookup(C1838,'On Hand'!A:C,3,0)),"",vlookup(C1838,'On Hand'!A:C,3,0))</f>
        <v>L</v>
      </c>
    </row>
    <row r="1839">
      <c r="A1839" s="2" t="str">
        <f>IFERROR(__xludf.DUMMYFUNCTION("""COMPUTED_VALUE"""),"P-17656-00")</f>
        <v>P-17656-00</v>
      </c>
      <c r="B1839" s="2" t="str">
        <f>IFERROR(__xludf.DUMMYFUNCTION("""COMPUTED_VALUE"""),"Hollow SS201 10x10x1.2 mm")</f>
        <v>Hollow SS201 10x10x1.2 mm</v>
      </c>
      <c r="C1839" s="2" t="str">
        <f>IFERROR(__xludf.DUMMYFUNCTION("""COMPUTED_VALUE"""),"P-17656-00")</f>
        <v>P-17656-00</v>
      </c>
      <c r="D1839" s="2" t="str">
        <f>if(isna(vlookup(C1839,'On Hand'!A:C,3,0)),"",vlookup(C1839,'On Hand'!A:C,3,0))</f>
        <v/>
      </c>
    </row>
    <row r="1840">
      <c r="A1840" s="2" t="str">
        <f>IFERROR(__xludf.DUMMYFUNCTION("""COMPUTED_VALUE"""),"P-17657-00")</f>
        <v>P-17657-00</v>
      </c>
      <c r="B1840" s="2" t="str">
        <f>IFERROR(__xludf.DUMMYFUNCTION("""COMPUTED_VALUE"""),"Roda PU 2 Inc")</f>
        <v>Roda PU 2 Inc</v>
      </c>
      <c r="C1840" s="2" t="str">
        <f>IFERROR(__xludf.DUMMYFUNCTION("""COMPUTED_VALUE"""),"P-17657-00")</f>
        <v>P-17657-00</v>
      </c>
      <c r="D1840" s="2" t="str">
        <f>if(isna(vlookup(C1840,'On Hand'!A:C,3,0)),"",vlookup(C1840,'On Hand'!A:C,3,0))</f>
        <v/>
      </c>
    </row>
    <row r="1841">
      <c r="A1841" s="2" t="str">
        <f>IFERROR(__xludf.DUMMYFUNCTION("""COMPUTED_VALUE"""),"P-17658-00")</f>
        <v>P-17658-00</v>
      </c>
      <c r="B1841" s="2" t="str">
        <f>IFERROR(__xludf.DUMMYFUNCTION("""COMPUTED_VALUE"""),"Magnet Door Cabinet")</f>
        <v>Magnet Door Cabinet</v>
      </c>
      <c r="C1841" s="2" t="str">
        <f>IFERROR(__xludf.DUMMYFUNCTION("""COMPUTED_VALUE"""),"P-17658-00")</f>
        <v>P-17658-00</v>
      </c>
      <c r="D1841" s="2" t="str">
        <f>if(isna(vlookup(C1841,'On Hand'!A:C,3,0)),"",vlookup(C1841,'On Hand'!A:C,3,0))</f>
        <v/>
      </c>
    </row>
    <row r="1842">
      <c r="A1842" s="2" t="str">
        <f>IFERROR(__xludf.DUMMYFUNCTION("""COMPUTED_VALUE"""),"P-17659-00")</f>
        <v>P-17659-00</v>
      </c>
      <c r="B1842" s="2" t="str">
        <f>IFERROR(__xludf.DUMMYFUNCTION("""COMPUTED_VALUE"""),"Tarikan Laci Bulat SS")</f>
        <v>Tarikan Laci Bulat SS</v>
      </c>
      <c r="C1842" s="2" t="str">
        <f>IFERROR(__xludf.DUMMYFUNCTION("""COMPUTED_VALUE"""),"P-17659-00")</f>
        <v>P-17659-00</v>
      </c>
      <c r="D1842" s="2" t="str">
        <f>if(isna(vlookup(C1842,'On Hand'!A:C,3,0)),"",vlookup(C1842,'On Hand'!A:C,3,0))</f>
        <v/>
      </c>
    </row>
    <row r="1843">
      <c r="A1843" s="2" t="str">
        <f>IFERROR(__xludf.DUMMYFUNCTION("""COMPUTED_VALUE"""),"P-17668-00")</f>
        <v>P-17668-00</v>
      </c>
      <c r="B1843" s="2" t="str">
        <f>IFERROR(__xludf.DUMMYFUNCTION("""COMPUTED_VALUE"""),"General - Flow Control With Fitting, AS2002F-04; SMC Pneumatics; -; 1 pcs")</f>
        <v>General - Flow Control With Fitting, AS2002F-04; SMC Pneumatics; -; 1 pcs</v>
      </c>
      <c r="C1843" s="2" t="str">
        <f>IFERROR(__xludf.DUMMYFUNCTION("""COMPUTED_VALUE"""),"P-17668-00")</f>
        <v>P-17668-00</v>
      </c>
      <c r="D1843" s="2" t="str">
        <f>if(isna(vlookup(C1843,'On Hand'!A:C,3,0)),"",vlookup(C1843,'On Hand'!A:C,3,0))</f>
        <v>pc</v>
      </c>
    </row>
    <row r="1844">
      <c r="A1844" s="2" t="str">
        <f>IFERROR(__xludf.DUMMYFUNCTION("""COMPUTED_VALUE"""),"P-17675-00")</f>
        <v>P-17675-00</v>
      </c>
      <c r="B1844" s="2" t="str">
        <f>IFERROR(__xludf.DUMMYFUNCTION("""COMPUTED_VALUE"""),"Ball Valve SS304 1/2 Inch")</f>
        <v>Ball Valve SS304 1/2 Inch</v>
      </c>
      <c r="C1844" s="2" t="str">
        <f>IFERROR(__xludf.DUMMYFUNCTION("""COMPUTED_VALUE"""),"P-17675-00")</f>
        <v>P-17675-00</v>
      </c>
      <c r="D1844" s="2" t="str">
        <f>if(isna(vlookup(C1844,'On Hand'!A:C,3,0)),"",vlookup(C1844,'On Hand'!A:C,3,0))</f>
        <v/>
      </c>
    </row>
    <row r="1845">
      <c r="A1845" s="2" t="str">
        <f>IFERROR(__xludf.DUMMYFUNCTION("""COMPUTED_VALUE"""),"P-17676-00")</f>
        <v>P-17676-00</v>
      </c>
      <c r="B1845" s="2" t="str">
        <f>IFERROR(__xludf.DUMMYFUNCTION("""COMPUTED_VALUE"""),"Gas Wonder Fuel 220 Gram")</f>
        <v>Gas Wonder Fuel 220 Gram</v>
      </c>
      <c r="C1845" s="2" t="str">
        <f>IFERROR(__xludf.DUMMYFUNCTION("""COMPUTED_VALUE"""),"P-17676-00")</f>
        <v>P-17676-00</v>
      </c>
      <c r="D1845" s="2" t="str">
        <f>if(isna(vlookup(C1845,'On Hand'!A:C,3,0)),"",vlookup(C1845,'On Hand'!A:C,3,0))</f>
        <v/>
      </c>
    </row>
    <row r="1846">
      <c r="A1846" s="2" t="str">
        <f>IFERROR(__xludf.DUMMYFUNCTION("""COMPUTED_VALUE"""),"P-17677-00")</f>
        <v>P-17677-00</v>
      </c>
      <c r="B1846" s="2" t="str">
        <f>IFERROR(__xludf.DUMMYFUNCTION("""COMPUTED_VALUE"""),"Portable Gas Torch")</f>
        <v>Portable Gas Torch</v>
      </c>
      <c r="C1846" s="2" t="str">
        <f>IFERROR(__xludf.DUMMYFUNCTION("""COMPUTED_VALUE"""),"P-17677-00")</f>
        <v>P-17677-00</v>
      </c>
      <c r="D1846" s="2" t="str">
        <f>if(isna(vlookup(C1846,'On Hand'!A:C,3,0)),"",vlookup(C1846,'On Hand'!A:C,3,0))</f>
        <v/>
      </c>
    </row>
    <row r="1847">
      <c r="A1847" s="2" t="str">
        <f>IFERROR(__xludf.DUMMYFUNCTION("""COMPUTED_VALUE"""),"P-17679-00")</f>
        <v>P-17679-00</v>
      </c>
      <c r="B1847" s="2" t="str">
        <f>IFERROR(__xludf.DUMMYFUNCTION("""COMPUTED_VALUE"""),"Water Mur PVC DIA 1 1/2""; ; ; pcs")</f>
        <v>Water Mur PVC DIA 1 1/2"; ; ; pcs</v>
      </c>
      <c r="C1847" s="2" t="str">
        <f>IFERROR(__xludf.DUMMYFUNCTION("""COMPUTED_VALUE"""),"P-17679-00")</f>
        <v>P-17679-00</v>
      </c>
      <c r="D1847" s="2" t="str">
        <f>if(isna(vlookup(C1847,'On Hand'!A:C,3,0)),"",vlookup(C1847,'On Hand'!A:C,3,0))</f>
        <v>pc</v>
      </c>
    </row>
    <row r="1848">
      <c r="A1848" s="2" t="str">
        <f>IFERROR(__xludf.DUMMYFUNCTION("""COMPUTED_VALUE"""),"P-17680-00")</f>
        <v>P-17680-00</v>
      </c>
      <c r="B1848" s="2" t="str">
        <f>IFERROR(__xludf.DUMMYFUNCTION("""COMPUTED_VALUE"""),"General - Water Mur PVC dia. 2 1/2inch; No Brand; -; 1 pcs")</f>
        <v>General - Water Mur PVC dia. 2 1/2inch; No Brand; -; 1 pcs</v>
      </c>
      <c r="C1848" s="2" t="str">
        <f>IFERROR(__xludf.DUMMYFUNCTION("""COMPUTED_VALUE"""),"P-17680-00")</f>
        <v>P-17680-00</v>
      </c>
      <c r="D1848" s="2" t="str">
        <f>if(isna(vlookup(C1848,'On Hand'!A:C,3,0)),"",vlookup(C1848,'On Hand'!A:C,3,0))</f>
        <v>pc</v>
      </c>
    </row>
    <row r="1849">
      <c r="A1849" s="2" t="str">
        <f>IFERROR(__xludf.DUMMYFUNCTION("""COMPUTED_VALUE"""),"P-17681-00")</f>
        <v>P-17681-00</v>
      </c>
      <c r="B1849" s="2" t="str">
        <f>IFERROR(__xludf.DUMMYFUNCTION("""COMPUTED_VALUE"""),"Tee PVC AW dia 2 inch x 1 inch")</f>
        <v>Tee PVC AW dia 2 inch x 1 inch</v>
      </c>
      <c r="C1849" s="2" t="str">
        <f>IFERROR(__xludf.DUMMYFUNCTION("""COMPUTED_VALUE"""),"P-17681-00")</f>
        <v>P-17681-00</v>
      </c>
      <c r="D1849" s="2" t="str">
        <f>if(isna(vlookup(C1849,'On Hand'!A:C,3,0)),"",vlookup(C1849,'On Hand'!A:C,3,0))</f>
        <v/>
      </c>
    </row>
    <row r="1850">
      <c r="A1850" s="2" t="str">
        <f>IFERROR(__xludf.DUMMYFUNCTION("""COMPUTED_VALUE"""),"P-17717-00")</f>
        <v>P-17717-00</v>
      </c>
      <c r="B1850" s="2" t="str">
        <f>IFERROR(__xludf.DUMMYFUNCTION("""COMPUTED_VALUE"""),"Fisher S 8 (1 box : 100 pcs)")</f>
        <v>Fisher S 8 (1 box : 100 pcs)</v>
      </c>
      <c r="C1850" s="2" t="str">
        <f>IFERROR(__xludf.DUMMYFUNCTION("""COMPUTED_VALUE"""),"P-17717-00")</f>
        <v>P-17717-00</v>
      </c>
      <c r="D1850" s="2" t="str">
        <f>if(isna(vlookup(C1850,'On Hand'!A:C,3,0)),"",vlookup(C1850,'On Hand'!A:C,3,0))</f>
        <v/>
      </c>
    </row>
    <row r="1851">
      <c r="A1851" s="2" t="str">
        <f>IFERROR(__xludf.DUMMYFUNCTION("""COMPUTED_VALUE"""),"P-17749-00")</f>
        <v>P-17749-00</v>
      </c>
      <c r="B1851" s="2" t="str">
        <f>IFERROR(__xludf.DUMMYFUNCTION("""COMPUTED_VALUE"""),"Reducing Nepple SS304 1/2Inch - 1/4Inch")</f>
        <v>Reducing Nepple SS304 1/2Inch - 1/4Inch</v>
      </c>
      <c r="C1851" s="2" t="str">
        <f>IFERROR(__xludf.DUMMYFUNCTION("""COMPUTED_VALUE"""),"P-17749-00")</f>
        <v>P-17749-00</v>
      </c>
      <c r="D1851" s="2" t="str">
        <f>if(isna(vlookup(C1851,'On Hand'!A:C,3,0)),"",vlookup(C1851,'On Hand'!A:C,3,0))</f>
        <v/>
      </c>
    </row>
    <row r="1852">
      <c r="A1852" s="2" t="str">
        <f>IFERROR(__xludf.DUMMYFUNCTION("""COMPUTED_VALUE"""),"P-17812-00")</f>
        <v>P-17812-00</v>
      </c>
      <c r="B1852" s="2" t="str">
        <f>IFERROR(__xludf.DUMMYFUNCTION("""COMPUTED_VALUE"""),"Nepple Hose Kuningan 1/2 Inch")</f>
        <v>Nepple Hose Kuningan 1/2 Inch</v>
      </c>
      <c r="C1852" s="2" t="str">
        <f>IFERROR(__xludf.DUMMYFUNCTION("""COMPUTED_VALUE"""),"P-17812-00")</f>
        <v>P-17812-00</v>
      </c>
      <c r="D1852" s="2" t="str">
        <f>if(isna(vlookup(C1852,'On Hand'!A:C,3,0)),"",vlookup(C1852,'On Hand'!A:C,3,0))</f>
        <v/>
      </c>
    </row>
    <row r="1853">
      <c r="A1853" s="2" t="str">
        <f>IFERROR(__xludf.DUMMYFUNCTION("""COMPUTED_VALUE"""),"P-17818-00")</f>
        <v>P-17818-00</v>
      </c>
      <c r="B1853" s="2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3" s="2" t="str">
        <f>IFERROR(__xludf.DUMMYFUNCTION("""COMPUTED_VALUE"""),"P-17818-00")</f>
        <v>P-17818-00</v>
      </c>
      <c r="D1853" s="2" t="str">
        <f>if(isna(vlookup(C1853,'On Hand'!A:C,3,0)),"",vlookup(C1853,'On Hand'!A:C,3,0))</f>
        <v/>
      </c>
    </row>
    <row r="1854">
      <c r="A1854" s="2" t="str">
        <f>IFERROR(__xludf.DUMMYFUNCTION("""COMPUTED_VALUE"""),"P-17830-00")</f>
        <v>P-17830-00</v>
      </c>
      <c r="B1854" s="2" t="str">
        <f>IFERROR(__xludf.DUMMYFUNCTION("""COMPUTED_VALUE"""),"Cleaner Stainless Stell &amp; Polish; 3M; ;")</f>
        <v>Cleaner Stainless Stell &amp; Polish; 3M; ;</v>
      </c>
      <c r="C1854" s="2" t="str">
        <f>IFERROR(__xludf.DUMMYFUNCTION("""COMPUTED_VALUE"""),"P-17830-00")</f>
        <v>P-17830-00</v>
      </c>
      <c r="D1854" s="2" t="str">
        <f>if(isna(vlookup(C1854,'On Hand'!A:C,3,0)),"",vlookup(C1854,'On Hand'!A:C,3,0))</f>
        <v>Can</v>
      </c>
    </row>
    <row r="1855">
      <c r="A1855" s="2" t="str">
        <f>IFERROR(__xludf.DUMMYFUNCTION("""COMPUTED_VALUE"""),"P-17858-00")</f>
        <v>P-17858-00</v>
      </c>
      <c r="B1855" s="2" t="str">
        <f>IFERROR(__xludf.DUMMYFUNCTION("""COMPUTED_VALUE"""),"Hepa Filter - H14 ( 99.999% ) size:305x610x69mm;; IAF; ;")</f>
        <v>Hepa Filter - H14 ( 99.999% ) size:305x610x69mm;; IAF; ;</v>
      </c>
      <c r="C1855" s="2" t="str">
        <f>IFERROR(__xludf.DUMMYFUNCTION("""COMPUTED_VALUE"""),"P-17858-00")</f>
        <v>P-17858-00</v>
      </c>
      <c r="D1855" s="2" t="str">
        <f>if(isna(vlookup(C1855,'On Hand'!A:C,3,0)),"",vlookup(C1855,'On Hand'!A:C,3,0))</f>
        <v>pc</v>
      </c>
    </row>
    <row r="1856">
      <c r="A1856" s="2" t="str">
        <f>IFERROR(__xludf.DUMMYFUNCTION("""COMPUTED_VALUE"""),"P-17862-00")</f>
        <v>P-17862-00</v>
      </c>
      <c r="B1856" s="2" t="str">
        <f>IFERROR(__xludf.DUMMYFUNCTION("""COMPUTED_VALUE"""),"Tee PVC AW dia 1 1/4inch x 1 1/2inch")</f>
        <v>Tee PVC AW dia 1 1/4inch x 1 1/2inch</v>
      </c>
      <c r="C1856" s="2" t="str">
        <f>IFERROR(__xludf.DUMMYFUNCTION("""COMPUTED_VALUE"""),"P-17862-00")</f>
        <v>P-17862-00</v>
      </c>
      <c r="D1856" s="2" t="str">
        <f>if(isna(vlookup(C1856,'On Hand'!A:C,3,0)),"",vlookup(C1856,'On Hand'!A:C,3,0))</f>
        <v/>
      </c>
    </row>
    <row r="1857">
      <c r="A1857" s="2" t="str">
        <f>IFERROR(__xludf.DUMMYFUNCTION("""COMPUTED_VALUE"""),"P-17867-00")</f>
        <v>P-17867-00</v>
      </c>
      <c r="B1857" s="2" t="str">
        <f>IFERROR(__xludf.DUMMYFUNCTION("""COMPUTED_VALUE"""),"Clamp Ferrule SS304 dia 2""; ; ;")</f>
        <v>Clamp Ferrule SS304 dia 2"; ; ;</v>
      </c>
      <c r="C1857" s="2" t="str">
        <f>IFERROR(__xludf.DUMMYFUNCTION("""COMPUTED_VALUE"""),"P-17867-00")</f>
        <v>P-17867-00</v>
      </c>
      <c r="D1857" s="2" t="str">
        <f>if(isna(vlookup(C1857,'On Hand'!A:C,3,0)),"",vlookup(C1857,'On Hand'!A:C,3,0))</f>
        <v>unt</v>
      </c>
    </row>
    <row r="1858">
      <c r="A1858" s="2" t="str">
        <f>IFERROR(__xludf.DUMMYFUNCTION("""COMPUTED_VALUE"""),"P-17875-00")</f>
        <v>P-17875-00</v>
      </c>
      <c r="B1858" s="2" t="str">
        <f>IFERROR(__xludf.DUMMYFUNCTION("""COMPUTED_VALUE"""),"SMC - Air Regulator type AR20-02BG-B")</f>
        <v>SMC - Air Regulator type AR20-02BG-B</v>
      </c>
      <c r="C1858" s="2" t="str">
        <f>IFERROR(__xludf.DUMMYFUNCTION("""COMPUTED_VALUE"""),"P-17875-00")</f>
        <v>P-17875-00</v>
      </c>
      <c r="D1858" s="2" t="str">
        <f>if(isna(vlookup(C1858,'On Hand'!A:C,3,0)),"",vlookup(C1858,'On Hand'!A:C,3,0))</f>
        <v/>
      </c>
    </row>
    <row r="1859">
      <c r="A1859" s="2" t="str">
        <f>IFERROR(__xludf.DUMMYFUNCTION("""COMPUTED_VALUE"""),"P-17896-00")</f>
        <v>P-17896-00</v>
      </c>
      <c r="B1859" s="2" t="str">
        <f>IFERROR(__xludf.DUMMYFUNCTION("""COMPUTED_VALUE"""),"General - Hole Saw for Stainless Steel, dia. 37 mm; No Brand; -; 1 pcs")</f>
        <v>General - Hole Saw for Stainless Steel, dia. 37 mm; No Brand; -; 1 pcs</v>
      </c>
      <c r="C1859" s="2" t="str">
        <f>IFERROR(__xludf.DUMMYFUNCTION("""COMPUTED_VALUE"""),"P-17896-00")</f>
        <v>P-17896-00</v>
      </c>
      <c r="D1859" s="2" t="str">
        <f>if(isna(vlookup(C1859,'On Hand'!A:C,3,0)),"",vlookup(C1859,'On Hand'!A:C,3,0))</f>
        <v>pc</v>
      </c>
    </row>
    <row r="1860">
      <c r="A1860" s="2" t="str">
        <f>IFERROR(__xludf.DUMMYFUNCTION("""COMPUTED_VALUE"""),"P-17897-00")</f>
        <v>P-17897-00</v>
      </c>
      <c r="B1860" s="2" t="str">
        <f>IFERROR(__xludf.DUMMYFUNCTION("""COMPUTED_VALUE"""),"General - Single Tape Foam 3mm x 25mm; No Brand; -; 10meter/roll")</f>
        <v>General - Single Tape Foam 3mm x 25mm; No Brand; -; 10meter/roll</v>
      </c>
      <c r="C1860" s="2" t="str">
        <f>IFERROR(__xludf.DUMMYFUNCTION("""COMPUTED_VALUE"""),"P-17897-00")</f>
        <v>P-17897-00</v>
      </c>
      <c r="D1860" s="2" t="str">
        <f>if(isna(vlookup(C1860,'On Hand'!A:C,3,0)),"",vlookup(C1860,'On Hand'!A:C,3,0))</f>
        <v>pc</v>
      </c>
    </row>
    <row r="1861">
      <c r="A1861" s="2" t="str">
        <f>IFERROR(__xludf.DUMMYFUNCTION("""COMPUTED_VALUE"""),"P-17898-00")</f>
        <v>P-17898-00</v>
      </c>
      <c r="B1861" s="2" t="str">
        <f>IFERROR(__xludf.DUMMYFUNCTION("""COMPUTED_VALUE"""),"Baut SS hexagonal M12x100 mm + mur; ; ;")</f>
        <v>Baut SS hexagonal M12x100 mm + mur; ; ;</v>
      </c>
      <c r="C1861" s="2" t="str">
        <f>IFERROR(__xludf.DUMMYFUNCTION("""COMPUTED_VALUE"""),"P-17898-00")</f>
        <v>P-17898-00</v>
      </c>
      <c r="D1861" s="2" t="str">
        <f>if(isna(vlookup(C1861,'On Hand'!A:C,3,0)),"",vlookup(C1861,'On Hand'!A:C,3,0))</f>
        <v/>
      </c>
    </row>
    <row r="1862">
      <c r="A1862" s="2" t="str">
        <f>IFERROR(__xludf.DUMMYFUNCTION("""COMPUTED_VALUE"""),"P-17899-00")</f>
        <v>P-17899-00</v>
      </c>
      <c r="B1862" s="2" t="str">
        <f>IFERROR(__xludf.DUMMYFUNCTION("""COMPUTED_VALUE"""),"SCHINDLER ELEVATOR - Door Shoe; ; ;")</f>
        <v>SCHINDLER ELEVATOR - Door Shoe; ; ;</v>
      </c>
      <c r="C1862" s="2" t="str">
        <f>IFERROR(__xludf.DUMMYFUNCTION("""COMPUTED_VALUE"""),"P-17899-00")</f>
        <v>P-17899-00</v>
      </c>
      <c r="D1862" s="2" t="str">
        <f>if(isna(vlookup(C1862,'On Hand'!A:C,3,0)),"",vlookup(C1862,'On Hand'!A:C,3,0))</f>
        <v/>
      </c>
    </row>
    <row r="1863">
      <c r="A1863" s="2" t="str">
        <f>IFERROR(__xludf.DUMMYFUNCTION("""COMPUTED_VALUE"""),"P-17920-00")</f>
        <v>P-17920-00</v>
      </c>
      <c r="B1863" s="2" t="str">
        <f>IFERROR(__xludf.DUMMYFUNCTION("""COMPUTED_VALUE"""),"Rantai RS-35 Hitech")</f>
        <v>Rantai RS-35 Hitech</v>
      </c>
      <c r="C1863" s="2" t="str">
        <f>IFERROR(__xludf.DUMMYFUNCTION("""COMPUTED_VALUE"""),"P-17920-00")</f>
        <v>P-17920-00</v>
      </c>
      <c r="D1863" s="2" t="str">
        <f>if(isna(vlookup(C1863,'On Hand'!A:C,3,0)),"",vlookup(C1863,'On Hand'!A:C,3,0))</f>
        <v/>
      </c>
    </row>
    <row r="1864">
      <c r="A1864" s="2" t="str">
        <f>IFERROR(__xludf.DUMMYFUNCTION("""COMPUTED_VALUE"""),"P-18019-00")</f>
        <v>P-18019-00</v>
      </c>
      <c r="B1864" s="2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4" s="2" t="str">
        <f>IFERROR(__xludf.DUMMYFUNCTION("""COMPUTED_VALUE"""),"P-18019-00")</f>
        <v>P-18019-00</v>
      </c>
      <c r="D1864" s="2" t="str">
        <f>if(isna(vlookup(C1864,'On Hand'!A:C,3,0)),"",vlookup(C1864,'On Hand'!A:C,3,0))</f>
        <v>pc</v>
      </c>
    </row>
    <row r="1865">
      <c r="A1865" s="2" t="str">
        <f>IFERROR(__xludf.DUMMYFUNCTION("""COMPUTED_VALUE"""),"P-18027-00")</f>
        <v>P-18027-00</v>
      </c>
      <c r="B1865" s="2" t="str">
        <f>IFERROR(__xludf.DUMMYFUNCTION("""COMPUTED_VALUE"""),"Valve Lockout Tagout Kit : With Loto Tag Cable Hasp Ball,Gate Valve; ; ;")</f>
        <v>Valve Lockout Tagout Kit : With Loto Tag Cable Hasp Ball,Gate Valve; ; ;</v>
      </c>
      <c r="C1865" s="2" t="str">
        <f>IFERROR(__xludf.DUMMYFUNCTION("""COMPUTED_VALUE"""),"P-18027-00")</f>
        <v>P-18027-00</v>
      </c>
      <c r="D1865" s="2" t="str">
        <f>if(isna(vlookup(C1865,'On Hand'!A:C,3,0)),"",vlookup(C1865,'On Hand'!A:C,3,0))</f>
        <v/>
      </c>
    </row>
    <row r="1866">
      <c r="A1866" s="2" t="str">
        <f>IFERROR(__xludf.DUMMYFUNCTION("""COMPUTED_VALUE"""),"P-18028-00")</f>
        <v>P-18028-00</v>
      </c>
      <c r="B1866" s="2" t="str">
        <f>IFERROR(__xludf.DUMMYFUNCTION("""COMPUTED_VALUE"""),"Commercial Lockout Tagout Kit : With Lock, Breaker Lock Outs; ; ;")</f>
        <v>Commercial Lockout Tagout Kit : With Lock, Breaker Lock Outs; ; ;</v>
      </c>
      <c r="C1866" s="2" t="str">
        <f>IFERROR(__xludf.DUMMYFUNCTION("""COMPUTED_VALUE"""),"P-18028-00")</f>
        <v>P-18028-00</v>
      </c>
      <c r="D1866" s="2" t="str">
        <f>if(isna(vlookup(C1866,'On Hand'!A:C,3,0)),"",vlookup(C1866,'On Hand'!A:C,3,0))</f>
        <v/>
      </c>
    </row>
    <row r="1867">
      <c r="A1867" s="2" t="str">
        <f>IFERROR(__xludf.DUMMYFUNCTION("""COMPUTED_VALUE"""),"P-18066-00")</f>
        <v>P-18066-00</v>
      </c>
      <c r="B1867" s="2" t="str">
        <f>IFERROR(__xludf.DUMMYFUNCTION("""COMPUTED_VALUE"""),"General - Hepa Filter H13 (99,95%) Size: 610 x 610 x 90; Camfil; -; 1 Pc")</f>
        <v>General - Hepa Filter H13 (99,95%) Size: 610 x 610 x 90; Camfil; -; 1 Pc</v>
      </c>
      <c r="C1867" s="2" t="str">
        <f>IFERROR(__xludf.DUMMYFUNCTION("""COMPUTED_VALUE"""),"P-18066-00")</f>
        <v>P-18066-00</v>
      </c>
      <c r="D1867" s="2" t="str">
        <f>if(isna(vlookup(C1867,'On Hand'!A:C,3,0)),"",vlookup(C1867,'On Hand'!A:C,3,0))</f>
        <v/>
      </c>
    </row>
    <row r="1868">
      <c r="A1868" s="2" t="str">
        <f>IFERROR(__xludf.DUMMYFUNCTION("""COMPUTED_VALUE"""),"P-18067-00")</f>
        <v>P-18067-00</v>
      </c>
      <c r="B1868" s="2" t="str">
        <f>IFERROR(__xludf.DUMMYFUNCTION("""COMPUTED_VALUE"""),"General - Lampu TL LED T5 16 W 6000 K; No Brand; -; 1 unt")</f>
        <v>General - Lampu TL LED T5 16 W 6000 K; No Brand; -; 1 unt</v>
      </c>
      <c r="C1868" s="2" t="str">
        <f>IFERROR(__xludf.DUMMYFUNCTION("""COMPUTED_VALUE"""),"P-18067-00")</f>
        <v>P-18067-00</v>
      </c>
      <c r="D1868" s="2" t="str">
        <f>if(isna(vlookup(C1868,'On Hand'!A:C,3,0)),"",vlookup(C1868,'On Hand'!A:C,3,0))</f>
        <v>pc</v>
      </c>
    </row>
    <row r="1869">
      <c r="A1869" s="2" t="str">
        <f>IFERROR(__xludf.DUMMYFUNCTION("""COMPUTED_VALUE"""),"P-18138-00")</f>
        <v>P-18138-00</v>
      </c>
      <c r="B1869" s="2" t="str">
        <f>IFERROR(__xludf.DUMMYFUNCTION("""COMPUTED_VALUE"""),"Baut Hex M5 Machining As Mat SUS 316L")</f>
        <v>Baut Hex M5 Machining As Mat SUS 316L</v>
      </c>
      <c r="C1869" s="2" t="str">
        <f>IFERROR(__xludf.DUMMYFUNCTION("""COMPUTED_VALUE"""),"P-18138-00")</f>
        <v>P-18138-00</v>
      </c>
      <c r="D1869" s="2" t="str">
        <f>if(isna(vlookup(C1869,'On Hand'!A:C,3,0)),"",vlookup(C1869,'On Hand'!A:C,3,0))</f>
        <v/>
      </c>
    </row>
    <row r="1870">
      <c r="A1870" s="2" t="str">
        <f>IFERROR(__xludf.DUMMYFUNCTION("""COMPUTED_VALUE"""),"P-18140-00")</f>
        <v>P-18140-00</v>
      </c>
      <c r="B1870" s="2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0" s="2" t="str">
        <f>IFERROR(__xludf.DUMMYFUNCTION("""COMPUTED_VALUE"""),"P-18140-00")</f>
        <v>P-18140-00</v>
      </c>
      <c r="D1870" s="2" t="str">
        <f>if(isna(vlookup(C1870,'On Hand'!A:C,3,0)),"",vlookup(C1870,'On Hand'!A:C,3,0))</f>
        <v/>
      </c>
    </row>
    <row r="1871">
      <c r="A1871" s="2" t="str">
        <f>IFERROR(__xludf.DUMMYFUNCTION("""COMPUTED_VALUE"""),"P-18160-00")</f>
        <v>P-18160-00</v>
      </c>
      <c r="B1871" s="2" t="str">
        <f>IFERROR(__xludf.DUMMYFUNCTION("""COMPUTED_VALUE"""),"Kunci pas ring set; ; ;")</f>
        <v>Kunci pas ring set; ; ;</v>
      </c>
      <c r="C1871" s="2" t="str">
        <f>IFERROR(__xludf.DUMMYFUNCTION("""COMPUTED_VALUE"""),"P-18160-00")</f>
        <v>P-18160-00</v>
      </c>
      <c r="D1871" s="2" t="str">
        <f>if(isna(vlookup(C1871,'On Hand'!A:C,3,0)),"",vlookup(C1871,'On Hand'!A:C,3,0))</f>
        <v/>
      </c>
    </row>
    <row r="1872">
      <c r="A1872" s="2" t="str">
        <f>IFERROR(__xludf.DUMMYFUNCTION("""COMPUTED_VALUE"""),"P-18170-00")</f>
        <v>P-18170-00</v>
      </c>
      <c r="B1872" s="2" t="str">
        <f>IFERROR(__xludf.DUMMYFUNCTION("""COMPUTED_VALUE"""),"Kunci pas ring 22 mm; ; ;")</f>
        <v>Kunci pas ring 22 mm; ; ;</v>
      </c>
      <c r="C1872" s="2" t="str">
        <f>IFERROR(__xludf.DUMMYFUNCTION("""COMPUTED_VALUE"""),"P-18170-00")</f>
        <v>P-18170-00</v>
      </c>
      <c r="D1872" s="2" t="str">
        <f>if(isna(vlookup(C1872,'On Hand'!A:C,3,0)),"",vlookup(C1872,'On Hand'!A:C,3,0))</f>
        <v/>
      </c>
    </row>
    <row r="1873">
      <c r="A1873" s="2" t="str">
        <f>IFERROR(__xludf.DUMMYFUNCTION("""COMPUTED_VALUE"""),"P-18171-00")</f>
        <v>P-18171-00</v>
      </c>
      <c r="B1873" s="2" t="str">
        <f>IFERROR(__xludf.DUMMYFUNCTION("""COMPUTED_VALUE"""),"Kunci pas ring 24 mm; ; ;")</f>
        <v>Kunci pas ring 24 mm; ; ;</v>
      </c>
      <c r="C1873" s="2" t="str">
        <f>IFERROR(__xludf.DUMMYFUNCTION("""COMPUTED_VALUE"""),"P-18171-00")</f>
        <v>P-18171-00</v>
      </c>
      <c r="D1873" s="2" t="str">
        <f>if(isna(vlookup(C1873,'On Hand'!A:C,3,0)),"",vlookup(C1873,'On Hand'!A:C,3,0))</f>
        <v/>
      </c>
    </row>
    <row r="1874">
      <c r="A1874" s="2" t="str">
        <f>IFERROR(__xludf.DUMMYFUNCTION("""COMPUTED_VALUE"""),"P-18213-00")</f>
        <v>P-18213-00</v>
      </c>
      <c r="B1874" s="2" t="str">
        <f>IFERROR(__xludf.DUMMYFUNCTION("""COMPUTED_VALUE"""),"Part for Isolator - Breathing Hepa Filter 75D x 75H mm")</f>
        <v>Part for Isolator - Breathing Hepa Filter 75D x 75H mm</v>
      </c>
      <c r="C1874" s="2" t="str">
        <f>IFERROR(__xludf.DUMMYFUNCTION("""COMPUTED_VALUE"""),"P-18213-00")</f>
        <v>P-18213-00</v>
      </c>
      <c r="D1874" s="2" t="str">
        <f>if(isna(vlookup(C1874,'On Hand'!A:C,3,0)),"",vlookup(C1874,'On Hand'!A:C,3,0))</f>
        <v>unt</v>
      </c>
    </row>
    <row r="1875">
      <c r="A1875" s="2" t="str">
        <f>IFERROR(__xludf.DUMMYFUNCTION("""COMPUTED_VALUE"""),"P-18214-00")</f>
        <v>P-18214-00</v>
      </c>
      <c r="B1875" s="2" t="str">
        <f>IFERROR(__xludf.DUMMYFUNCTION("""COMPUTED_VALUE"""),"Part for Isolator - RTP 190 mm; Alpha port 190 mm dia; ; ;")</f>
        <v>Part for Isolator - RTP 190 mm; Alpha port 190 mm dia; ; ;</v>
      </c>
      <c r="C1875" s="2" t="str">
        <f>IFERROR(__xludf.DUMMYFUNCTION("""COMPUTED_VALUE"""),"P-18214-00")</f>
        <v>P-18214-00</v>
      </c>
      <c r="D1875" s="2" t="str">
        <f>if(isna(vlookup(C1875,'On Hand'!A:C,3,0)),"",vlookup(C1875,'On Hand'!A:C,3,0))</f>
        <v>unt</v>
      </c>
    </row>
    <row r="1876">
      <c r="A1876" s="2" t="str">
        <f>IFERROR(__xludf.DUMMYFUNCTION("""COMPUTED_VALUE"""),"P-18240-00")</f>
        <v>P-18240-00</v>
      </c>
      <c r="B1876" s="2" t="str">
        <f>IFERROR(__xludf.DUMMYFUNCTION("""COMPUTED_VALUE"""),"General - Stang Sealant; Tekiro; -; 1 Pc")</f>
        <v>General - Stang Sealant; Tekiro; -; 1 Pc</v>
      </c>
      <c r="C1876" s="2" t="str">
        <f>IFERROR(__xludf.DUMMYFUNCTION("""COMPUTED_VALUE"""),"P-18240-00")</f>
        <v>P-18240-00</v>
      </c>
      <c r="D1876" s="2" t="str">
        <f>if(isna(vlookup(C1876,'On Hand'!A:C,3,0)),"",vlookup(C1876,'On Hand'!A:C,3,0))</f>
        <v/>
      </c>
    </row>
    <row r="1877">
      <c r="A1877" s="2" t="str">
        <f>IFERROR(__xludf.DUMMYFUNCTION("""COMPUTED_VALUE"""),"P-18255-00")</f>
        <v>P-18255-00</v>
      </c>
      <c r="B1877" s="2" t="str">
        <f>IFERROR(__xludf.DUMMYFUNCTION("""COMPUTED_VALUE"""),"KITZ - Gate Valve dia 2 1/2 inch; ; ;")</f>
        <v>KITZ - Gate Valve dia 2 1/2 inch; ; ;</v>
      </c>
      <c r="C1877" s="2" t="str">
        <f>IFERROR(__xludf.DUMMYFUNCTION("""COMPUTED_VALUE"""),"P-18255-00")</f>
        <v>P-18255-00</v>
      </c>
      <c r="D1877" s="2" t="str">
        <f>if(isna(vlookup(C1877,'On Hand'!A:C,3,0)),"",vlookup(C1877,'On Hand'!A:C,3,0))</f>
        <v/>
      </c>
    </row>
    <row r="1878">
      <c r="A1878" s="2" t="str">
        <f>IFERROR(__xludf.DUMMYFUNCTION("""COMPUTED_VALUE"""),"P-18267-00")</f>
        <v>P-18267-00</v>
      </c>
      <c r="B1878" s="2" t="str">
        <f>IFERROR(__xludf.DUMMYFUNCTION("""COMPUTED_VALUE"""),"Double Neple SS 304 Ukuran :1/2 inch")</f>
        <v>Double Neple SS 304 Ukuran :1/2 inch</v>
      </c>
      <c r="C1878" s="2" t="str">
        <f>IFERROR(__xludf.DUMMYFUNCTION("""COMPUTED_VALUE"""),"P-18267-00")</f>
        <v>P-18267-00</v>
      </c>
      <c r="D1878" s="2" t="str">
        <f>if(isna(vlookup(C1878,'On Hand'!A:C,3,0)),"",vlookup(C1878,'On Hand'!A:C,3,0))</f>
        <v/>
      </c>
    </row>
    <row r="1879">
      <c r="A1879" s="2" t="str">
        <f>IFERROR(__xludf.DUMMYFUNCTION("""COMPUTED_VALUE"""),"P-18274-00")</f>
        <v>P-18274-00</v>
      </c>
      <c r="B1879" s="2" t="str">
        <f>IFERROR(__xludf.DUMMYFUNCTION("""COMPUTED_VALUE"""),"Tee SS 304 Sch 10 welded dia 4 inch")</f>
        <v>Tee SS 304 Sch 10 welded dia 4 inch</v>
      </c>
      <c r="C1879" s="2" t="str">
        <f>IFERROR(__xludf.DUMMYFUNCTION("""COMPUTED_VALUE"""),"P-18274-00")</f>
        <v>P-18274-00</v>
      </c>
      <c r="D1879" s="2" t="str">
        <f>if(isna(vlookup(C1879,'On Hand'!A:C,3,0)),"",vlookup(C1879,'On Hand'!A:C,3,0))</f>
        <v/>
      </c>
    </row>
    <row r="1880">
      <c r="A1880" s="2" t="str">
        <f>IFERROR(__xludf.DUMMYFUNCTION("""COMPUTED_VALUE"""),"P-18275-00")</f>
        <v>P-18275-00</v>
      </c>
      <c r="B1880" s="2" t="str">
        <f>IFERROR(__xludf.DUMMYFUNCTION("""COMPUTED_VALUE"""),"Reducer SS 304 Sch 10 welded dia 4x2 inch")</f>
        <v>Reducer SS 304 Sch 10 welded dia 4x2 inch</v>
      </c>
      <c r="C1880" s="2" t="str">
        <f>IFERROR(__xludf.DUMMYFUNCTION("""COMPUTED_VALUE"""),"P-18275-00")</f>
        <v>P-18275-00</v>
      </c>
      <c r="D1880" s="2" t="str">
        <f>if(isna(vlookup(C1880,'On Hand'!A:C,3,0)),"",vlookup(C1880,'On Hand'!A:C,3,0))</f>
        <v/>
      </c>
    </row>
    <row r="1881">
      <c r="A1881" s="2" t="str">
        <f>IFERROR(__xludf.DUMMYFUNCTION("""COMPUTED_VALUE"""),"P-18276-00")</f>
        <v>P-18276-00</v>
      </c>
      <c r="B1881" s="2" t="str">
        <f>IFERROR(__xludf.DUMMYFUNCTION("""COMPUTED_VALUE"""),"Sock Drat SS 304 2 inch")</f>
        <v>Sock Drat SS 304 2 inch</v>
      </c>
      <c r="C1881" s="2" t="str">
        <f>IFERROR(__xludf.DUMMYFUNCTION("""COMPUTED_VALUE"""),"P-18276-00")</f>
        <v>P-18276-00</v>
      </c>
      <c r="D1881" s="2" t="str">
        <f>if(isna(vlookup(C1881,'On Hand'!A:C,3,0)),"",vlookup(C1881,'On Hand'!A:C,3,0))</f>
        <v/>
      </c>
    </row>
    <row r="1882">
      <c r="A1882" s="2" t="str">
        <f>IFERROR(__xludf.DUMMYFUNCTION("""COMPUTED_VALUE"""),"P-18277-00")</f>
        <v>P-18277-00</v>
      </c>
      <c r="B1882" s="2" t="str">
        <f>IFERROR(__xludf.DUMMYFUNCTION("""COMPUTED_VALUE"""),"Elbow PVC AW 45 deg dia 2 Inch; ; ;")</f>
        <v>Elbow PVC AW 45 deg dia 2 Inch; ; ;</v>
      </c>
      <c r="C1882" s="2" t="str">
        <f>IFERROR(__xludf.DUMMYFUNCTION("""COMPUTED_VALUE"""),"P-18277-00")</f>
        <v>P-18277-00</v>
      </c>
      <c r="D1882" s="2" t="str">
        <f>if(isna(vlookup(C1882,'On Hand'!A:C,3,0)),"",vlookup(C1882,'On Hand'!A:C,3,0))</f>
        <v>pc</v>
      </c>
    </row>
    <row r="1883">
      <c r="A1883" s="2" t="str">
        <f>IFERROR(__xludf.DUMMYFUNCTION("""COMPUTED_VALUE"""),"P-18278-00")</f>
        <v>P-18278-00</v>
      </c>
      <c r="B1883" s="2" t="str">
        <f>IFERROR(__xludf.DUMMYFUNCTION("""COMPUTED_VALUE"""),"Van Belt SPZ 1500 LW Mitshuboshi")</f>
        <v>Van Belt SPZ 1500 LW Mitshuboshi</v>
      </c>
      <c r="C1883" s="2" t="str">
        <f>IFERROR(__xludf.DUMMYFUNCTION("""COMPUTED_VALUE"""),"P-18278-00")</f>
        <v>P-18278-00</v>
      </c>
      <c r="D1883" s="2" t="str">
        <f>if(isna(vlookup(C1883,'On Hand'!A:C,3,0)),"",vlookup(C1883,'On Hand'!A:C,3,0))</f>
        <v/>
      </c>
    </row>
    <row r="1884">
      <c r="A1884" s="2" t="str">
        <f>IFERROR(__xludf.DUMMYFUNCTION("""COMPUTED_VALUE"""),"P-18279-00")</f>
        <v>P-18279-00</v>
      </c>
      <c r="B1884" s="2" t="str">
        <f>IFERROR(__xludf.DUMMYFUNCTION("""COMPUTED_VALUE"""),"Refrigerant R 134 A")</f>
        <v>Refrigerant R 134 A</v>
      </c>
      <c r="C1884" s="2" t="str">
        <f>IFERROR(__xludf.DUMMYFUNCTION("""COMPUTED_VALUE"""),"P-18279-00")</f>
        <v>P-18279-00</v>
      </c>
      <c r="D1884" s="2" t="str">
        <f>if(isna(vlookup(C1884,'On Hand'!A:C,3,0)),"",vlookup(C1884,'On Hand'!A:C,3,0))</f>
        <v>Can</v>
      </c>
    </row>
    <row r="1885">
      <c r="A1885" s="2" t="str">
        <f>IFERROR(__xludf.DUMMYFUNCTION("""COMPUTED_VALUE"""),"P-18280-00")</f>
        <v>P-18280-00</v>
      </c>
      <c r="B1885" s="2" t="str">
        <f>IFERROR(__xludf.DUMMYFUNCTION("""COMPUTED_VALUE"""),"Mechanical seal CRN 5-32")</f>
        <v>Mechanical seal CRN 5-32</v>
      </c>
      <c r="C1885" s="2" t="str">
        <f>IFERROR(__xludf.DUMMYFUNCTION("""COMPUTED_VALUE"""),"P-18280-00")</f>
        <v>P-18280-00</v>
      </c>
      <c r="D1885" s="2" t="str">
        <f>if(isna(vlookup(C1885,'On Hand'!A:C,3,0)),"",vlookup(C1885,'On Hand'!A:C,3,0))</f>
        <v/>
      </c>
    </row>
    <row r="1886">
      <c r="A1886" s="2" t="str">
        <f>IFERROR(__xludf.DUMMYFUNCTION("""COMPUTED_VALUE"""),"P-18290-00")</f>
        <v>P-18290-00</v>
      </c>
      <c r="B1886" s="2" t="str">
        <f>IFERROR(__xludf.DUMMYFUNCTION("""COMPUTED_VALUE"""),"Festo Standar Cylinder DSBC-40-40-PPVA-N3 PN. 1376657; ; ; pc")</f>
        <v>Festo Standar Cylinder DSBC-40-40-PPVA-N3 PN. 1376657; ; ; pc</v>
      </c>
      <c r="C1886" s="2" t="str">
        <f>IFERROR(__xludf.DUMMYFUNCTION("""COMPUTED_VALUE"""),"P-18290-00")</f>
        <v>P-18290-00</v>
      </c>
      <c r="D1886" s="2" t="str">
        <f>if(isna(vlookup(C1886,'On Hand'!A:C,3,0)),"",vlookup(C1886,'On Hand'!A:C,3,0))</f>
        <v>pc</v>
      </c>
    </row>
    <row r="1887">
      <c r="A1887" s="2" t="str">
        <f>IFERROR(__xludf.DUMMYFUNCTION("""COMPUTED_VALUE"""),"P-18331-00")</f>
        <v>P-18331-00</v>
      </c>
      <c r="B1887" s="2" t="str">
        <f>IFERROR(__xludf.DUMMYFUNCTION("""COMPUTED_VALUE"""),"Double Nepple Kuningan 1/8inch")</f>
        <v>Double Nepple Kuningan 1/8inch</v>
      </c>
      <c r="C1887" s="2" t="str">
        <f>IFERROR(__xludf.DUMMYFUNCTION("""COMPUTED_VALUE"""),"P-18331-00")</f>
        <v>P-18331-00</v>
      </c>
      <c r="D1887" s="2" t="str">
        <f>if(isna(vlookup(C1887,'On Hand'!A:C,3,0)),"",vlookup(C1887,'On Hand'!A:C,3,0))</f>
        <v/>
      </c>
    </row>
    <row r="1888">
      <c r="A1888" s="2" t="str">
        <f>IFERROR(__xludf.DUMMYFUNCTION("""COMPUTED_VALUE"""),"P-18358-00")</f>
        <v>P-18358-00</v>
      </c>
      <c r="B1888" s="2" t="str">
        <f>IFERROR(__xludf.DUMMYFUNCTION("""COMPUTED_VALUE"""),"Quick Coupler Air Brush 1/8 inch; ; ;")</f>
        <v>Quick Coupler Air Brush 1/8 inch; ; ;</v>
      </c>
      <c r="C1888" s="2" t="str">
        <f>IFERROR(__xludf.DUMMYFUNCTION("""COMPUTED_VALUE"""),"P-18358-00")</f>
        <v>P-18358-00</v>
      </c>
      <c r="D1888" s="2" t="str">
        <f>if(isna(vlookup(C1888,'On Hand'!A:C,3,0)),"",vlookup(C1888,'On Hand'!A:C,3,0))</f>
        <v>pc</v>
      </c>
    </row>
    <row r="1889">
      <c r="A1889" s="2" t="str">
        <f>IFERROR(__xludf.DUMMYFUNCTION("""COMPUTED_VALUE"""),"P-18368-00")</f>
        <v>P-18368-00</v>
      </c>
      <c r="B1889" s="2" t="str">
        <f>IFERROR(__xludf.DUMMYFUNCTION("""COMPUTED_VALUE"""),"Manual Actuator DN4 - DN15 type: 601 P/n: 9601 8M A 0 TS; GEMU; ;")</f>
        <v>Manual Actuator DN4 - DN15 type: 601 P/n: 9601 8M A 0 TS; GEMU; ;</v>
      </c>
      <c r="C1889" s="2" t="str">
        <f>IFERROR(__xludf.DUMMYFUNCTION("""COMPUTED_VALUE"""),"P-18368-00")</f>
        <v>P-18368-00</v>
      </c>
      <c r="D1889" s="2" t="str">
        <f>if(isna(vlookup(C1889,'On Hand'!A:C,3,0)),"",vlookup(C1889,'On Hand'!A:C,3,0))</f>
        <v>pc</v>
      </c>
    </row>
    <row r="1890">
      <c r="A1890" s="2" t="str">
        <f>IFERROR(__xludf.DUMMYFUNCTION("""COMPUTED_VALUE"""),"P-18407-00")</f>
        <v>P-18407-00</v>
      </c>
      <c r="B1890" s="2" t="str">
        <f>IFERROR(__xludf.DUMMYFUNCTION("""COMPUTED_VALUE"""),"Seal Ferrule EPDM 1/2""; ; ;")</f>
        <v>Seal Ferrule EPDM 1/2"; ; ;</v>
      </c>
      <c r="C1890" s="2" t="str">
        <f>IFERROR(__xludf.DUMMYFUNCTION("""COMPUTED_VALUE"""),"P-18407-00")</f>
        <v>P-18407-00</v>
      </c>
      <c r="D1890" s="2" t="str">
        <f>if(isna(vlookup(C1890,'On Hand'!A:C,3,0)),"",vlookup(C1890,'On Hand'!A:C,3,0))</f>
        <v/>
      </c>
    </row>
    <row r="1891">
      <c r="A1891" s="2" t="str">
        <f>IFERROR(__xludf.DUMMYFUNCTION("""COMPUTED_VALUE"""),"P-18410-00")</f>
        <v>P-18410-00</v>
      </c>
      <c r="B1891" s="2" t="str">
        <f>IFERROR(__xludf.DUMMYFUNCTION("""COMPUTED_VALUE"""),"Dynabolt M6 x 85mm; ; ;")</f>
        <v>Dynabolt M6 x 85mm; ; ;</v>
      </c>
      <c r="C1891" s="2" t="str">
        <f>IFERROR(__xludf.DUMMYFUNCTION("""COMPUTED_VALUE"""),"P-18410-00")</f>
        <v>P-18410-00</v>
      </c>
      <c r="D1891" s="2" t="str">
        <f>if(isna(vlookup(C1891,'On Hand'!A:C,3,0)),"",vlookup(C1891,'On Hand'!A:C,3,0))</f>
        <v/>
      </c>
    </row>
    <row r="1892">
      <c r="A1892" s="2" t="str">
        <f>IFERROR(__xludf.DUMMYFUNCTION("""COMPUTED_VALUE"""),"P-18435-00")</f>
        <v>P-18435-00</v>
      </c>
      <c r="B1892" s="2" t="str">
        <f>IFERROR(__xludf.DUMMYFUNCTION("""COMPUTED_VALUE"""),"Spring Sidearm Kit; Sanco; P/N : EP001287SP;")</f>
        <v>Spring Sidearm Kit; Sanco; P/N : EP001287SP;</v>
      </c>
      <c r="C1892" s="2" t="str">
        <f>IFERROR(__xludf.DUMMYFUNCTION("""COMPUTED_VALUE"""),"P-18435-00")</f>
        <v>P-18435-00</v>
      </c>
      <c r="D1892" s="2" t="str">
        <f>if(isna(vlookup(C1892,'On Hand'!A:C,3,0)),"",vlookup(C1892,'On Hand'!A:C,3,0))</f>
        <v>pc</v>
      </c>
    </row>
    <row r="1893">
      <c r="A1893" s="2" t="str">
        <f>IFERROR(__xludf.DUMMYFUNCTION("""COMPUTED_VALUE"""),"P-18447-00")</f>
        <v>P-18447-00</v>
      </c>
      <c r="B1893" s="2" t="str">
        <f>IFERROR(__xludf.DUMMYFUNCTION("""COMPUTED_VALUE"""),"Sample Pump Head for TOC Sievers M500; ; ;")</f>
        <v>Sample Pump Head for TOC Sievers M500; ; ;</v>
      </c>
      <c r="C1893" s="2" t="str">
        <f>IFERROR(__xludf.DUMMYFUNCTION("""COMPUTED_VALUE"""),"P-18447-00")</f>
        <v>P-18447-00</v>
      </c>
      <c r="D1893" s="2" t="str">
        <f>if(isna(vlookup(C1893,'On Hand'!A:C,3,0)),"",vlookup(C1893,'On Hand'!A:C,3,0))</f>
        <v/>
      </c>
    </row>
    <row r="1894">
      <c r="A1894" s="2" t="str">
        <f>IFERROR(__xludf.DUMMYFUNCTION("""COMPUTED_VALUE"""),"P-18448-00")</f>
        <v>P-18448-00</v>
      </c>
      <c r="B1894" s="2" t="str">
        <f>IFERROR(__xludf.DUMMYFUNCTION("""COMPUTED_VALUE"""),"Resin Bed Replacement for TOC Sievers M500; ; ;")</f>
        <v>Resin Bed Replacement for TOC Sievers M500; ; ;</v>
      </c>
      <c r="C1894" s="2" t="str">
        <f>IFERROR(__xludf.DUMMYFUNCTION("""COMPUTED_VALUE"""),"P-18448-00")</f>
        <v>P-18448-00</v>
      </c>
      <c r="D1894" s="2" t="str">
        <f>if(isna(vlookup(C1894,'On Hand'!A:C,3,0)),"",vlookup(C1894,'On Hand'!A:C,3,0))</f>
        <v/>
      </c>
    </row>
    <row r="1895">
      <c r="A1895" s="2" t="str">
        <f>IFERROR(__xludf.DUMMYFUNCTION("""COMPUTED_VALUE"""),"P-18462-00")</f>
        <v>P-18462-00</v>
      </c>
      <c r="B1895" s="2" t="str">
        <f>IFERROR(__xludf.DUMMYFUNCTION("""COMPUTED_VALUE"""),"Oil Seal 10x14x3; ; ;")</f>
        <v>Oil Seal 10x14x3; ; ;</v>
      </c>
      <c r="C1895" s="2" t="str">
        <f>IFERROR(__xludf.DUMMYFUNCTION("""COMPUTED_VALUE"""),"P-18462-00")</f>
        <v>P-18462-00</v>
      </c>
      <c r="D1895" s="2" t="str">
        <f>if(isna(vlookup(C1895,'On Hand'!A:C,3,0)),"",vlookup(C1895,'On Hand'!A:C,3,0))</f>
        <v/>
      </c>
    </row>
    <row r="1896">
      <c r="A1896" s="2" t="str">
        <f>IFERROR(__xludf.DUMMYFUNCTION("""COMPUTED_VALUE"""),"P-18466-00")</f>
        <v>P-18466-00</v>
      </c>
      <c r="B1896" s="2" t="str">
        <f>IFERROR(__xludf.DUMMYFUNCTION("""COMPUTED_VALUE"""),"Door Stickers T30A; upgraded type; ; ;")</f>
        <v>Door Stickers T30A; upgraded type; ; ;</v>
      </c>
      <c r="C1896" s="2" t="str">
        <f>IFERROR(__xludf.DUMMYFUNCTION("""COMPUTED_VALUE"""),"P-18466-00")</f>
        <v>P-18466-00</v>
      </c>
      <c r="D1896" s="2" t="str">
        <f>if(isna(vlookup(C1896,'On Hand'!A:C,3,0)),"",vlookup(C1896,'On Hand'!A:C,3,0))</f>
        <v/>
      </c>
    </row>
    <row r="1897">
      <c r="A1897" s="2" t="str">
        <f>IFERROR(__xludf.DUMMYFUNCTION("""COMPUTED_VALUE"""),"P-18467-00")</f>
        <v>P-18467-00</v>
      </c>
      <c r="B1897" s="2" t="str">
        <f>IFERROR(__xludf.DUMMYFUNCTION("""COMPUTED_VALUE"""),"Pass Box Stickers JZC-A Kecil; ; ;")</f>
        <v>Pass Box Stickers JZC-A Kecil; ; ;</v>
      </c>
      <c r="C1897" s="2" t="str">
        <f>IFERROR(__xludf.DUMMYFUNCTION("""COMPUTED_VALUE"""),"P-18467-00")</f>
        <v>P-18467-00</v>
      </c>
      <c r="D1897" s="2" t="str">
        <f>if(isna(vlookup(C1897,'On Hand'!A:C,3,0)),"",vlookup(C1897,'On Hand'!A:C,3,0))</f>
        <v>pc</v>
      </c>
    </row>
    <row r="1898">
      <c r="A1898" s="2" t="str">
        <f>IFERROR(__xludf.DUMMYFUNCTION("""COMPUTED_VALUE"""),"P-18468-00")</f>
        <v>P-18468-00</v>
      </c>
      <c r="B1898" s="2" t="str">
        <f>IFERROR(__xludf.DUMMYFUNCTION("""COMPUTED_VALUE"""),"Pass Box Stickers ZC-A; ; ;")</f>
        <v>Pass Box Stickers ZC-A; ; ;</v>
      </c>
      <c r="C1898" s="2" t="str">
        <f>IFERROR(__xludf.DUMMYFUNCTION("""COMPUTED_VALUE"""),"P-18468-00")</f>
        <v>P-18468-00</v>
      </c>
      <c r="D1898" s="2" t="str">
        <f>if(isna(vlookup(C1898,'On Hand'!A:C,3,0)),"",vlookup(C1898,'On Hand'!A:C,3,0))</f>
        <v>pc</v>
      </c>
    </row>
    <row r="1899">
      <c r="A1899" s="2" t="str">
        <f>IFERROR(__xludf.DUMMYFUNCTION("""COMPUTED_VALUE"""),"P-18470-00")</f>
        <v>P-18470-00</v>
      </c>
      <c r="B1899" s="2" t="str">
        <f>IFERROR(__xludf.DUMMYFUNCTION("""COMPUTED_VALUE"""),"Misumi - HXNHFFLT-SUS-M5-10; ; ;")</f>
        <v>Misumi - HXNHFFLT-SUS-M5-10; ; ;</v>
      </c>
      <c r="C1899" s="2" t="str">
        <f>IFERROR(__xludf.DUMMYFUNCTION("""COMPUTED_VALUE"""),"P-18470-00")</f>
        <v>P-18470-00</v>
      </c>
      <c r="D1899" s="2" t="str">
        <f>if(isna(vlookup(C1899,'On Hand'!A:C,3,0)),"",vlookup(C1899,'On Hand'!A:C,3,0))</f>
        <v>pc</v>
      </c>
    </row>
    <row r="1900">
      <c r="A1900" s="2" t="str">
        <f>IFERROR(__xludf.DUMMYFUNCTION("""COMPUTED_VALUE"""),"P-18472-00")</f>
        <v>P-18472-00</v>
      </c>
      <c r="B1900" s="2" t="str">
        <f>IFERROR(__xludf.DUMMYFUNCTION("""COMPUTED_VALUE"""),"General - Thermostatic Steam Trap LV6-CE DN20 SS; TLV; -; 1 Pc")</f>
        <v>General - Thermostatic Steam Trap LV6-CE DN20 SS; TLV; -; 1 Pc</v>
      </c>
      <c r="C1900" s="2" t="str">
        <f>IFERROR(__xludf.DUMMYFUNCTION("""COMPUTED_VALUE"""),"P-18472-00")</f>
        <v>P-18472-00</v>
      </c>
      <c r="D1900" s="2" t="str">
        <f>if(isna(vlookup(C1900,'On Hand'!A:C,3,0)),"",vlookup(C1900,'On Hand'!A:C,3,0))</f>
        <v>pc</v>
      </c>
    </row>
    <row r="1901">
      <c r="A1901" s="2" t="str">
        <f>IFERROR(__xludf.DUMMYFUNCTION("""COMPUTED_VALUE"""),"P-18475-00")</f>
        <v>P-18475-00</v>
      </c>
      <c r="B1901" s="2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1" s="2" t="str">
        <f>IFERROR(__xludf.DUMMYFUNCTION("""COMPUTED_VALUE"""),"P-18475-00")</f>
        <v>P-18475-00</v>
      </c>
      <c r="D1901" s="2" t="str">
        <f>if(isna(vlookup(C1901,'On Hand'!A:C,3,0)),"",vlookup(C1901,'On Hand'!A:C,3,0))</f>
        <v/>
      </c>
    </row>
    <row r="1902">
      <c r="A1902" s="2" t="str">
        <f>IFERROR(__xludf.DUMMYFUNCTION("""COMPUTED_VALUE"""),"P-18500-00")</f>
        <v>P-18500-00</v>
      </c>
      <c r="B1902" s="2" t="str">
        <f>IFERROR(__xludf.DUMMYFUNCTION("""COMPUTED_VALUE"""),"Pipa SS316 1 inch Sch20; ; ;")</f>
        <v>Pipa SS316 1 inch Sch20; ; ;</v>
      </c>
      <c r="C1902" s="2" t="str">
        <f>IFERROR(__xludf.DUMMYFUNCTION("""COMPUTED_VALUE"""),"P-18500-00")</f>
        <v>P-18500-00</v>
      </c>
      <c r="D1902" s="2" t="str">
        <f>if(isna(vlookup(C1902,'On Hand'!A:C,3,0)),"",vlookup(C1902,'On Hand'!A:C,3,0))</f>
        <v/>
      </c>
    </row>
    <row r="1903">
      <c r="A1903" s="2" t="str">
        <f>IFERROR(__xludf.DUMMYFUNCTION("""COMPUTED_VALUE"""),"P-18501-00")</f>
        <v>P-18501-00</v>
      </c>
      <c r="B1903" s="2" t="str">
        <f>IFERROR(__xludf.DUMMYFUNCTION("""COMPUTED_VALUE"""),"Elbow SS 316 1inch Sch20; ; ;")</f>
        <v>Elbow SS 316 1inch Sch20; ; ;</v>
      </c>
      <c r="C1903" s="2" t="str">
        <f>IFERROR(__xludf.DUMMYFUNCTION("""COMPUTED_VALUE"""),"P-18501-00")</f>
        <v>P-18501-00</v>
      </c>
      <c r="D1903" s="2" t="str">
        <f>if(isna(vlookup(C1903,'On Hand'!A:C,3,0)),"",vlookup(C1903,'On Hand'!A:C,3,0))</f>
        <v/>
      </c>
    </row>
    <row r="1904">
      <c r="A1904" s="2" t="str">
        <f>IFERROR(__xludf.DUMMYFUNCTION("""COMPUTED_VALUE"""),"P-18504-00")</f>
        <v>P-18504-00</v>
      </c>
      <c r="B1904" s="2" t="str">
        <f>IFERROR(__xludf.DUMMYFUNCTION("""COMPUTED_VALUE"""),"Chemours - Freon 404A;; ; ;")</f>
        <v>Chemours - Freon 404A;; ; ;</v>
      </c>
      <c r="C1904" s="2" t="str">
        <f>IFERROR(__xludf.DUMMYFUNCTION("""COMPUTED_VALUE"""),"P-18504-00")</f>
        <v>P-18504-00</v>
      </c>
      <c r="D1904" s="2" t="str">
        <f>if(isna(vlookup(C1904,'On Hand'!A:C,3,0)),"",vlookup(C1904,'On Hand'!A:C,3,0))</f>
        <v>Can</v>
      </c>
    </row>
    <row r="1905">
      <c r="A1905" s="2" t="str">
        <f>IFERROR(__xludf.DUMMYFUNCTION("""COMPUTED_VALUE"""),"P-18512-00")</f>
        <v>P-18512-00</v>
      </c>
      <c r="B1905" s="2" t="str">
        <f>IFERROR(__xludf.DUMMYFUNCTION("""COMPUTED_VALUE"""),"Pipa Tembaga AC Uk. 1 3/8 inch; ; ;")</f>
        <v>Pipa Tembaga AC Uk. 1 3/8 inch; ; ;</v>
      </c>
      <c r="C1905" s="2" t="str">
        <f>IFERROR(__xludf.DUMMYFUNCTION("""COMPUTED_VALUE"""),"P-18512-00")</f>
        <v>P-18512-00</v>
      </c>
      <c r="D1905" s="2" t="str">
        <f>if(isna(vlookup(C1905,'On Hand'!A:C,3,0)),"",vlookup(C1905,'On Hand'!A:C,3,0))</f>
        <v/>
      </c>
    </row>
    <row r="1906">
      <c r="A1906" s="2" t="str">
        <f>IFERROR(__xludf.DUMMYFUNCTION("""COMPUTED_VALUE"""),"P-18546-00")</f>
        <v>P-18546-00</v>
      </c>
      <c r="B1906" s="2" t="str">
        <f>IFERROR(__xludf.DUMMYFUNCTION("""COMPUTED_VALUE"""),"Constan Air Volume EN 200x100 with Flow Scale 0-600 CMH; TROX; ;")</f>
        <v>Constan Air Volume EN 200x100 with Flow Scale 0-600 CMH; TROX; ;</v>
      </c>
      <c r="C1906" s="2" t="str">
        <f>IFERROR(__xludf.DUMMYFUNCTION("""COMPUTED_VALUE"""),"P-18546-00")</f>
        <v>P-18546-00</v>
      </c>
      <c r="D1906" s="2" t="str">
        <f>if(isna(vlookup(C1906,'On Hand'!A:C,3,0)),"",vlookup(C1906,'On Hand'!A:C,3,0))</f>
        <v/>
      </c>
    </row>
    <row r="1907">
      <c r="A1907" s="2" t="str">
        <f>IFERROR(__xludf.DUMMYFUNCTION("""COMPUTED_VALUE"""),"P-18554-00")</f>
        <v>P-18554-00</v>
      </c>
      <c r="B1907" s="2" t="str">
        <f>IFERROR(__xludf.DUMMYFUNCTION("""COMPUTED_VALUE"""),"General - Baut Hexagonal, SS 304, M4 x 8 mm; No Brand; -; 1 pcs")</f>
        <v>General - Baut Hexagonal, SS 304, M4 x 8 mm; No Brand; -; 1 pcs</v>
      </c>
      <c r="C1907" s="2" t="str">
        <f>IFERROR(__xludf.DUMMYFUNCTION("""COMPUTED_VALUE"""),"P-18554-00")</f>
        <v>P-18554-00</v>
      </c>
      <c r="D1907" s="2" t="str">
        <f>if(isna(vlookup(C1907,'On Hand'!A:C,3,0)),"",vlookup(C1907,'On Hand'!A:C,3,0))</f>
        <v>pc</v>
      </c>
    </row>
    <row r="1908">
      <c r="A1908" s="2" t="str">
        <f>IFERROR(__xludf.DUMMYFUNCTION("""COMPUTED_VALUE"""),"P-18555-00")</f>
        <v>P-18555-00</v>
      </c>
      <c r="B1908" s="2" t="str">
        <f>IFERROR(__xludf.DUMMYFUNCTION("""COMPUTED_VALUE"""),"General - Baut L, SS 304, M3 x 6 mm + Mur; No Brand; -; 1 pcs")</f>
        <v>General - Baut L, SS 304, M3 x 6 mm + Mur; No Brand; -; 1 pcs</v>
      </c>
      <c r="C1908" s="2" t="str">
        <f>IFERROR(__xludf.DUMMYFUNCTION("""COMPUTED_VALUE"""),"P-18555-00")</f>
        <v>P-18555-00</v>
      </c>
      <c r="D1908" s="2" t="str">
        <f>if(isna(vlookup(C1908,'On Hand'!A:C,3,0)),"",vlookup(C1908,'On Hand'!A:C,3,0))</f>
        <v>pc</v>
      </c>
    </row>
    <row r="1909">
      <c r="A1909" s="2" t="str">
        <f>IFERROR(__xludf.DUMMYFUNCTION("""COMPUTED_VALUE"""),"P-18556-00")</f>
        <v>P-18556-00</v>
      </c>
      <c r="B1909" s="2" t="str">
        <f>IFERROR(__xludf.DUMMYFUNCTION("""COMPUTED_VALUE"""),"General - Baut L, SS 304, M3 x 10 mm + Mur; No Brand; -; 1 pcs")</f>
        <v>General - Baut L, SS 304, M3 x 10 mm + Mur; No Brand; -; 1 pcs</v>
      </c>
      <c r="C1909" s="2" t="str">
        <f>IFERROR(__xludf.DUMMYFUNCTION("""COMPUTED_VALUE"""),"P-18556-00")</f>
        <v>P-18556-00</v>
      </c>
      <c r="D1909" s="2" t="str">
        <f>if(isna(vlookup(C1909,'On Hand'!A:C,3,0)),"",vlookup(C1909,'On Hand'!A:C,3,0))</f>
        <v>pc</v>
      </c>
    </row>
    <row r="1910">
      <c r="A1910" s="2" t="str">
        <f>IFERROR(__xludf.DUMMYFUNCTION("""COMPUTED_VALUE"""),"P-18557-00")</f>
        <v>P-18557-00</v>
      </c>
      <c r="B1910" s="2" t="str">
        <f>IFERROR(__xludf.DUMMYFUNCTION("""COMPUTED_VALUE"""),"Snap Ring Dalam SS 304 Uk. 19 mm; ; ;")</f>
        <v>Snap Ring Dalam SS 304 Uk. 19 mm; ; ;</v>
      </c>
      <c r="C1910" s="2" t="str">
        <f>IFERROR(__xludf.DUMMYFUNCTION("""COMPUTED_VALUE"""),"P-18557-00")</f>
        <v>P-18557-00</v>
      </c>
      <c r="D1910" s="2" t="str">
        <f>if(isna(vlookup(C1910,'On Hand'!A:C,3,0)),"",vlookup(C1910,'On Hand'!A:C,3,0))</f>
        <v/>
      </c>
    </row>
    <row r="1911">
      <c r="A1911" s="2" t="str">
        <f>IFERROR(__xludf.DUMMYFUNCTION("""COMPUTED_VALUE"""),"P-18572-00")</f>
        <v>P-18572-00</v>
      </c>
      <c r="B1911" s="2" t="str">
        <f>IFERROR(__xludf.DUMMYFUNCTION("""COMPUTED_VALUE"""),"Flow assembly for electrodes ORP type 462 5020-40; JUMO; ;")</f>
        <v>Flow assembly for electrodes ORP type 462 5020-40; JUMO; ;</v>
      </c>
      <c r="C1911" s="2" t="str">
        <f>IFERROR(__xludf.DUMMYFUNCTION("""COMPUTED_VALUE"""),"P-18572-00")</f>
        <v>P-18572-00</v>
      </c>
      <c r="D1911" s="2" t="str">
        <f>if(isna(vlookup(C1911,'On Hand'!A:C,3,0)),"",vlookup(C1911,'On Hand'!A:C,3,0))</f>
        <v/>
      </c>
    </row>
    <row r="1912">
      <c r="A1912" s="2" t="str">
        <f>IFERROR(__xludf.DUMMYFUNCTION("""COMPUTED_VALUE"""),"P-18598-00")</f>
        <v>P-18598-00</v>
      </c>
      <c r="B1912" s="2" t="str">
        <f>IFERROR(__xludf.DUMMYFUNCTION("""COMPUTED_VALUE"""),"General - Cast Iron Pipe Clamp, 2""; No Brand; -; 1 pcs")</f>
        <v>General - Cast Iron Pipe Clamp, 2"; No Brand; -; 1 pcs</v>
      </c>
      <c r="C1912" s="2" t="str">
        <f>IFERROR(__xludf.DUMMYFUNCTION("""COMPUTED_VALUE"""),"P-18598-00")</f>
        <v>P-18598-00</v>
      </c>
      <c r="D1912" s="2" t="str">
        <f>if(isna(vlookup(C1912,'On Hand'!A:C,3,0)),"",vlookup(C1912,'On Hand'!A:C,3,0))</f>
        <v/>
      </c>
    </row>
    <row r="1913">
      <c r="A1913" s="2" t="str">
        <f>IFERROR(__xludf.DUMMYFUNCTION("""COMPUTED_VALUE"""),"P-18599-00")</f>
        <v>P-18599-00</v>
      </c>
      <c r="B1913" s="2" t="str">
        <f>IFERROR(__xludf.DUMMYFUNCTION("""COMPUTED_VALUE"""),"General - Cast Iron Pipe Clamp, 4""; No Brand; -; 1 pcs")</f>
        <v>General - Cast Iron Pipe Clamp, 4"; No Brand; -; 1 pcs</v>
      </c>
      <c r="C1913" s="2" t="str">
        <f>IFERROR(__xludf.DUMMYFUNCTION("""COMPUTED_VALUE"""),"P-18599-00")</f>
        <v>P-18599-00</v>
      </c>
      <c r="D1913" s="2" t="str">
        <f>if(isna(vlookup(C1913,'On Hand'!A:C,3,0)),"",vlookup(C1913,'On Hand'!A:C,3,0))</f>
        <v/>
      </c>
    </row>
    <row r="1914">
      <c r="A1914" s="2" t="str">
        <f>IFERROR(__xludf.DUMMYFUNCTION("""COMPUTED_VALUE"""),"P-18618-00")</f>
        <v>P-18618-00</v>
      </c>
      <c r="B1914" s="2" t="str">
        <f>IFERROR(__xludf.DUMMYFUNCTION("""COMPUTED_VALUE"""),"Chemical - Kuclean; No Brand; HL-351; 20L/can")</f>
        <v>Chemical - Kuclean; No Brand; HL-351; 20L/can</v>
      </c>
      <c r="C1914" s="2" t="str">
        <f>IFERROR(__xludf.DUMMYFUNCTION("""COMPUTED_VALUE"""),"P-18618-00")</f>
        <v>P-18618-00</v>
      </c>
      <c r="D1914" s="2" t="str">
        <f>if(isna(vlookup(C1914,'On Hand'!A:C,3,0)),"",vlookup(C1914,'On Hand'!A:C,3,0))</f>
        <v>unt</v>
      </c>
    </row>
    <row r="1915">
      <c r="A1915" s="2" t="str">
        <f>IFERROR(__xludf.DUMMYFUNCTION("""COMPUTED_VALUE"""),"P-18619-00")</f>
        <v>P-18619-00</v>
      </c>
      <c r="B1915" s="2" t="str">
        <f>IFERROR(__xludf.DUMMYFUNCTION("""COMPUTED_VALUE"""),"Filling VFM100 - Guide Vial Material SUS 304; ; ;")</f>
        <v>Filling VFM100 - Guide Vial Material SUS 304; ; ;</v>
      </c>
      <c r="C1915" s="2" t="str">
        <f>IFERROR(__xludf.DUMMYFUNCTION("""COMPUTED_VALUE"""),"P-18619-00")</f>
        <v>P-18619-00</v>
      </c>
      <c r="D1915" s="2" t="str">
        <f>if(isna(vlookup(C1915,'On Hand'!A:C,3,0)),"",vlookup(C1915,'On Hand'!A:C,3,0))</f>
        <v/>
      </c>
    </row>
    <row r="1916">
      <c r="A1916" s="2" t="str">
        <f>IFERROR(__xludf.DUMMYFUNCTION("""COMPUTED_VALUE"""),"P-18620-00")</f>
        <v>P-18620-00</v>
      </c>
      <c r="B1916" s="2" t="str">
        <f>IFERROR(__xludf.DUMMYFUNCTION("""COMPUTED_VALUE"""),"Filling VFM100 - Piringan Loadcell Material SUS304; ; ;")</f>
        <v>Filling VFM100 - Piringan Loadcell Material SUS304; ; ;</v>
      </c>
      <c r="C1916" s="2" t="str">
        <f>IFERROR(__xludf.DUMMYFUNCTION("""COMPUTED_VALUE"""),"P-18620-00")</f>
        <v>P-18620-00</v>
      </c>
      <c r="D1916" s="2" t="str">
        <f>if(isna(vlookup(C1916,'On Hand'!A:C,3,0)),"",vlookup(C1916,'On Hand'!A:C,3,0))</f>
        <v>pc</v>
      </c>
    </row>
    <row r="1917">
      <c r="A1917" s="2" t="str">
        <f>IFERROR(__xludf.DUMMYFUNCTION("""COMPUTED_VALUE"""),"P-18646-00")</f>
        <v>P-18646-00</v>
      </c>
      <c r="B1917" s="2" t="str">
        <f>IFERROR(__xludf.DUMMYFUNCTION("""COMPUTED_VALUE"""),"Global Power Supply PN. 6R_SA2120-01C; ; ;")</f>
        <v>Global Power Supply PN. 6R_SA2120-01C; ; ;</v>
      </c>
      <c r="C1917" s="2" t="str">
        <f>IFERROR(__xludf.DUMMYFUNCTION("""COMPUTED_VALUE"""),"P-18646-00")</f>
        <v>P-18646-00</v>
      </c>
      <c r="D1917" s="2" t="str">
        <f>if(isna(vlookup(C1917,'On Hand'!A:C,3,0)),"",vlookup(C1917,'On Hand'!A:C,3,0))</f>
        <v/>
      </c>
    </row>
    <row r="1918">
      <c r="A1918" s="2" t="str">
        <f>IFERROR(__xludf.DUMMYFUNCTION("""COMPUTED_VALUE"""),"P-18665-00")</f>
        <v>P-18665-00</v>
      </c>
      <c r="B1918" s="2" t="str">
        <f>IFERROR(__xludf.DUMMYFUNCTION("""COMPUTED_VALUE"""),"Heavy clamp ferrule 1 - 1 1/2 inch; SS304L;; ; ;")</f>
        <v>Heavy clamp ferrule 1 - 1 1/2 inch; SS304L;; ; ;</v>
      </c>
      <c r="C1918" s="2" t="str">
        <f>IFERROR(__xludf.DUMMYFUNCTION("""COMPUTED_VALUE"""),"P-18665-00")</f>
        <v>P-18665-00</v>
      </c>
      <c r="D1918" s="2" t="str">
        <f>if(isna(vlookup(C1918,'On Hand'!A:C,3,0)),"",vlookup(C1918,'On Hand'!A:C,3,0))</f>
        <v>pc</v>
      </c>
    </row>
    <row r="1919">
      <c r="A1919" s="2" t="str">
        <f>IFERROR(__xludf.DUMMYFUNCTION("""COMPUTED_VALUE"""),"P-18666-00")</f>
        <v>P-18666-00</v>
      </c>
      <c r="B1919" s="2" t="str">
        <f>IFERROR(__xludf.DUMMYFUNCTION("""COMPUTED_VALUE"""),"General - Vlok Ring, Kuningan/Brass, 1 x 1/2inch; No Brand; -; 1 pc")</f>
        <v>General - Vlok Ring, Kuningan/Brass, 1 x 1/2inch; No Brand; -; 1 pc</v>
      </c>
      <c r="C1919" s="2" t="str">
        <f>IFERROR(__xludf.DUMMYFUNCTION("""COMPUTED_VALUE"""),"P-18666-00")</f>
        <v>P-18666-00</v>
      </c>
      <c r="D1919" s="2" t="str">
        <f>if(isna(vlookup(C1919,'On Hand'!A:C,3,0)),"",vlookup(C1919,'On Hand'!A:C,3,0))</f>
        <v>pc</v>
      </c>
    </row>
    <row r="1920">
      <c r="A1920" s="2" t="str">
        <f>IFERROR(__xludf.DUMMYFUNCTION("""COMPUTED_VALUE"""),"P-18667-00")</f>
        <v>P-18667-00</v>
      </c>
      <c r="B1920" s="2" t="str">
        <f>IFERROR(__xludf.DUMMYFUNCTION("""COMPUTED_VALUE"""),"Freeze Dryer MBE1207 - Gasket Slot Door Silicone dia 13 mm; ; ;")</f>
        <v>Freeze Dryer MBE1207 - Gasket Slot Door Silicone dia 13 mm; ; ;</v>
      </c>
      <c r="C1920" s="2" t="str">
        <f>IFERROR(__xludf.DUMMYFUNCTION("""COMPUTED_VALUE"""),"P-18667-00")</f>
        <v>P-18667-00</v>
      </c>
      <c r="D1920" s="2" t="str">
        <f>if(isna(vlookup(C1920,'On Hand'!A:C,3,0)),"",vlookup(C1920,'On Hand'!A:C,3,0))</f>
        <v>m</v>
      </c>
    </row>
    <row r="1921">
      <c r="A1921" s="2" t="str">
        <f>IFERROR(__xludf.DUMMYFUNCTION("""COMPUTED_VALUE"""),"P-18711-00")</f>
        <v>P-18711-00</v>
      </c>
      <c r="B1921" s="2" t="str">
        <f>IFERROR(__xludf.DUMMYFUNCTION("""COMPUTED_VALUE"""),"General - Hand Taps M 4 x 0.7 mm Made In Japan ; Yamawa; ; 1 set = 3 pcs")</f>
        <v>General - Hand Taps M 4 x 0.7 mm Made In Japan ; Yamawa; ; 1 set = 3 pcs</v>
      </c>
      <c r="C1921" s="2" t="str">
        <f>IFERROR(__xludf.DUMMYFUNCTION("""COMPUTED_VALUE"""),"P-18711-00")</f>
        <v>P-18711-00</v>
      </c>
      <c r="D1921" s="2" t="str">
        <f>if(isna(vlookup(C1921,'On Hand'!A:C,3,0)),"",vlookup(C1921,'On Hand'!A:C,3,0))</f>
        <v>ST</v>
      </c>
    </row>
    <row r="1922">
      <c r="A1922" s="2" t="str">
        <f>IFERROR(__xludf.DUMMYFUNCTION("""COMPUTED_VALUE"""),"P-18712-00")</f>
        <v>P-18712-00</v>
      </c>
      <c r="B1922" s="2" t="str">
        <f>IFERROR(__xludf.DUMMYFUNCTION("""COMPUTED_VALUE"""),"General - Hand Taps M 5 x 0.8 mm Made In Japan ; Yamawa; -; 1 set = 3 pcs")</f>
        <v>General - Hand Taps M 5 x 0.8 mm Made In Japan ; Yamawa; -; 1 set = 3 pcs</v>
      </c>
      <c r="C1922" s="2" t="str">
        <f>IFERROR(__xludf.DUMMYFUNCTION("""COMPUTED_VALUE"""),"P-18712-00")</f>
        <v>P-18712-00</v>
      </c>
      <c r="D1922" s="2" t="str">
        <f>if(isna(vlookup(C1922,'On Hand'!A:C,3,0)),"",vlookup(C1922,'On Hand'!A:C,3,0))</f>
        <v/>
      </c>
    </row>
    <row r="1923">
      <c r="A1923" s="2" t="str">
        <f>IFERROR(__xludf.DUMMYFUNCTION("""COMPUTED_VALUE"""),"P-18713-00")</f>
        <v>P-18713-00</v>
      </c>
      <c r="B1923" s="2" t="str">
        <f>IFERROR(__xludf.DUMMYFUNCTION("""COMPUTED_VALUE"""),"Screw Extractor Merek Tekiro (1 set = 6 pcs); ; ;")</f>
        <v>Screw Extractor Merek Tekiro (1 set = 6 pcs); ; ;</v>
      </c>
      <c r="C1923" s="2" t="str">
        <f>IFERROR(__xludf.DUMMYFUNCTION("""COMPUTED_VALUE"""),"P-18713-00")</f>
        <v>P-18713-00</v>
      </c>
      <c r="D1923" s="2" t="str">
        <f>if(isna(vlookup(C1923,'On Hand'!A:C,3,0)),"",vlookup(C1923,'On Hand'!A:C,3,0))</f>
        <v/>
      </c>
    </row>
    <row r="1924">
      <c r="A1924" s="2" t="str">
        <f>IFERROR(__xludf.DUMMYFUNCTION("""COMPUTED_VALUE"""),"P-18725-00")</f>
        <v>P-18725-00</v>
      </c>
      <c r="B1924" s="2" t="str">
        <f>IFERROR(__xludf.DUMMYFUNCTION("""COMPUTED_VALUE"""),"General - Freon R507; Chemours; -; 1 pcs")</f>
        <v>General - Freon R507; Chemours; -; 1 pcs</v>
      </c>
      <c r="C1924" s="2" t="str">
        <f>IFERROR(__xludf.DUMMYFUNCTION("""COMPUTED_VALUE"""),"P-18725-00")</f>
        <v>P-18725-00</v>
      </c>
      <c r="D1924" s="2" t="str">
        <f>if(isna(vlookup(C1924,'On Hand'!A:C,3,0)),"",vlookup(C1924,'On Hand'!A:C,3,0))</f>
        <v>Can</v>
      </c>
    </row>
    <row r="1925">
      <c r="A1925" s="2" t="str">
        <f>IFERROR(__xludf.DUMMYFUNCTION("""COMPUTED_VALUE"""),"P-18769-00")</f>
        <v>P-18769-00</v>
      </c>
      <c r="B1925" s="2" t="str">
        <f>IFERROR(__xludf.DUMMYFUNCTION("""COMPUTED_VALUE"""),"Mata Gerinda Potong 4"" Merek WD; ; -; 20 pc")</f>
        <v>Mata Gerinda Potong 4" Merek WD; ; -; 20 pc</v>
      </c>
      <c r="C1925" s="2" t="str">
        <f>IFERROR(__xludf.DUMMYFUNCTION("""COMPUTED_VALUE"""),"P-18769-00")</f>
        <v>P-18769-00</v>
      </c>
      <c r="D1925" s="2" t="str">
        <f>if(isna(vlookup(C1925,'On Hand'!A:C,3,0)),"",vlookup(C1925,'On Hand'!A:C,3,0))</f>
        <v/>
      </c>
    </row>
    <row r="1926">
      <c r="A1926" s="2" t="str">
        <f>IFERROR(__xludf.DUMMYFUNCTION("""COMPUTED_VALUE"""),"P-18788-00")</f>
        <v>P-18788-00</v>
      </c>
      <c r="B1926" s="2" t="str">
        <f>IFERROR(__xludf.DUMMYFUNCTION("""COMPUTED_VALUE"""),"Baut SS Hexagon SS M6x55mm + Mur; ; ;")</f>
        <v>Baut SS Hexagon SS M6x55mm + Mur; ; ;</v>
      </c>
      <c r="C1926" s="2" t="str">
        <f>IFERROR(__xludf.DUMMYFUNCTION("""COMPUTED_VALUE"""),"P-18788-00")</f>
        <v>P-18788-00</v>
      </c>
      <c r="D1926" s="2" t="str">
        <f>if(isna(vlookup(C1926,'On Hand'!A:C,3,0)),"",vlookup(C1926,'On Hand'!A:C,3,0))</f>
        <v>pc</v>
      </c>
    </row>
    <row r="1927">
      <c r="A1927" s="2" t="str">
        <f>IFERROR(__xludf.DUMMYFUNCTION("""COMPUTED_VALUE"""),"P-18789-00")</f>
        <v>P-18789-00</v>
      </c>
      <c r="B1927" s="2" t="str">
        <f>IFERROR(__xludf.DUMMYFUNCTION("""COMPUTED_VALUE"""),"Gland Packing Teflon PTFE 4x4 mm; ; ;")</f>
        <v>Gland Packing Teflon PTFE 4x4 mm; ; ;</v>
      </c>
      <c r="C1927" s="2" t="str">
        <f>IFERROR(__xludf.DUMMYFUNCTION("""COMPUTED_VALUE"""),"P-18789-00")</f>
        <v>P-18789-00</v>
      </c>
      <c r="D1927" s="2" t="str">
        <f>if(isna(vlookup(C1927,'On Hand'!A:C,3,0)),"",vlookup(C1927,'On Hand'!A:C,3,0))</f>
        <v/>
      </c>
    </row>
    <row r="1928">
      <c r="A1928" s="2" t="str">
        <f>IFERROR(__xludf.DUMMYFUNCTION("""COMPUTED_VALUE"""),"P-18821-00")</f>
        <v>P-18821-00</v>
      </c>
      <c r="B1928" s="2" t="str">
        <f>IFERROR(__xludf.DUMMYFUNCTION("""COMPUTED_VALUE"""),"Neppel Pentil Pengisian Freon Uk. 1/4""; ; ;")</f>
        <v>Neppel Pentil Pengisian Freon Uk. 1/4"; ; ;</v>
      </c>
      <c r="C1928" s="2" t="str">
        <f>IFERROR(__xludf.DUMMYFUNCTION("""COMPUTED_VALUE"""),"P-18821-00")</f>
        <v>P-18821-00</v>
      </c>
      <c r="D1928" s="2" t="str">
        <f>if(isna(vlookup(C1928,'On Hand'!A:C,3,0)),"",vlookup(C1928,'On Hand'!A:C,3,0))</f>
        <v>pc</v>
      </c>
    </row>
    <row r="1929">
      <c r="A1929" s="2" t="str">
        <f>IFERROR(__xludf.DUMMYFUNCTION("""COMPUTED_VALUE"""),"P-18833-00")</f>
        <v>P-18833-00</v>
      </c>
      <c r="B1929" s="2" t="str">
        <f>IFERROR(__xludf.DUMMYFUNCTION("""COMPUTED_VALUE"""),"Gland Packing Teflon PTFE 8x8; ; ;")</f>
        <v>Gland Packing Teflon PTFE 8x8; ; ;</v>
      </c>
      <c r="C1929" s="2" t="str">
        <f>IFERROR(__xludf.DUMMYFUNCTION("""COMPUTED_VALUE"""),"P-18833-00")</f>
        <v>P-18833-00</v>
      </c>
      <c r="D1929" s="2" t="str">
        <f>if(isna(vlookup(C1929,'On Hand'!A:C,3,0)),"",vlookup(C1929,'On Hand'!A:C,3,0))</f>
        <v/>
      </c>
    </row>
    <row r="1930">
      <c r="A1930" s="2" t="str">
        <f>IFERROR(__xludf.DUMMYFUNCTION("""COMPUTED_VALUE"""),"P-18834-00")</f>
        <v>P-18834-00</v>
      </c>
      <c r="B1930" s="2" t="str">
        <f>IFERROR(__xludf.DUMMYFUNCTION("""COMPUTED_VALUE"""),"Gland Packing Teflon PTFE 6x6; ; ;")</f>
        <v>Gland Packing Teflon PTFE 6x6; ; ;</v>
      </c>
      <c r="C1930" s="2" t="str">
        <f>IFERROR(__xludf.DUMMYFUNCTION("""COMPUTED_VALUE"""),"P-18834-00")</f>
        <v>P-18834-00</v>
      </c>
      <c r="D1930" s="2" t="str">
        <f>if(isna(vlookup(C1930,'On Hand'!A:C,3,0)),"",vlookup(C1930,'On Hand'!A:C,3,0))</f>
        <v>m</v>
      </c>
    </row>
    <row r="1931">
      <c r="A1931" s="2" t="str">
        <f>IFERROR(__xludf.DUMMYFUNCTION("""COMPUTED_VALUE"""),"P-18835-00")</f>
        <v>P-18835-00</v>
      </c>
      <c r="B1931" s="2" t="str">
        <f>IFERROR(__xludf.DUMMYFUNCTION("""COMPUTED_VALUE"""),"Solenoid Valve Pneumatic UD08E4 Port 1/4"" 2/2 Way 24VDC; EMC; ;")</f>
        <v>Solenoid Valve Pneumatic UD08E4 Port 1/4" 2/2 Way 24VDC; EMC; ;</v>
      </c>
      <c r="C1931" s="2" t="str">
        <f>IFERROR(__xludf.DUMMYFUNCTION("""COMPUTED_VALUE"""),"P-18835-00")</f>
        <v>P-18835-00</v>
      </c>
      <c r="D1931" s="2" t="str">
        <f>if(isna(vlookup(C1931,'On Hand'!A:C,3,0)),"",vlookup(C1931,'On Hand'!A:C,3,0))</f>
        <v/>
      </c>
    </row>
    <row r="1932">
      <c r="A1932" s="2" t="str">
        <f>IFERROR(__xludf.DUMMYFUNCTION("""COMPUTED_VALUE"""),"P-18865-00")</f>
        <v>P-18865-00</v>
      </c>
      <c r="B1932" s="2" t="str">
        <f>IFERROR(__xludf.DUMMYFUNCTION("""COMPUTED_VALUE"""),"Freon R407 - Chemours USA; ; ;")</f>
        <v>Freon R407 - Chemours USA; ; ;</v>
      </c>
      <c r="C1932" s="2" t="str">
        <f>IFERROR(__xludf.DUMMYFUNCTION("""COMPUTED_VALUE"""),"P-18865-00")</f>
        <v>P-18865-00</v>
      </c>
      <c r="D1932" s="2" t="str">
        <f>if(isna(vlookup(C1932,'On Hand'!A:C,3,0)),"",vlookup(C1932,'On Hand'!A:C,3,0))</f>
        <v>Can</v>
      </c>
    </row>
    <row r="1933">
      <c r="A1933" s="2" t="str">
        <f>IFERROR(__xludf.DUMMYFUNCTION("""COMPUTED_VALUE"""),"P-18906-00")</f>
        <v>P-18906-00</v>
      </c>
      <c r="B1933" s="2" t="str">
        <f>IFERROR(__xludf.DUMMYFUNCTION("""COMPUTED_VALUE"""),"Float Valve D14 mm AI SI 316L; Lokal; ;")</f>
        <v>Float Valve D14 mm AI SI 316L; Lokal; ;</v>
      </c>
      <c r="C1933" s="2" t="str">
        <f>IFERROR(__xludf.DUMMYFUNCTION("""COMPUTED_VALUE"""),"P-18906-00")</f>
        <v>P-18906-00</v>
      </c>
      <c r="D1933" s="2" t="str">
        <f>if(isna(vlookup(C1933,'On Hand'!A:C,3,0)),"",vlookup(C1933,'On Hand'!A:C,3,0))</f>
        <v/>
      </c>
    </row>
    <row r="1934">
      <c r="A1934" s="2" t="str">
        <f>IFERROR(__xludf.DUMMYFUNCTION("""COMPUTED_VALUE"""),"P-18908-00")</f>
        <v>P-18908-00</v>
      </c>
      <c r="B1934" s="2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4" s="2" t="str">
        <f>IFERROR(__xludf.DUMMYFUNCTION("""COMPUTED_VALUE"""),"P-18908-00")</f>
        <v>P-18908-00</v>
      </c>
      <c r="D1934" s="2" t="str">
        <f>if(isna(vlookup(C1934,'On Hand'!A:C,3,0)),"",vlookup(C1934,'On Hand'!A:C,3,0))</f>
        <v>pc</v>
      </c>
    </row>
    <row r="1935">
      <c r="A1935" s="2" t="str">
        <f>IFERROR(__xludf.DUMMYFUNCTION("""COMPUTED_VALUE"""),"P-18909-00")</f>
        <v>P-18909-00</v>
      </c>
      <c r="B1935" s="2" t="str">
        <f>IFERROR(__xludf.DUMMYFUNCTION("""COMPUTED_VALUE"""),"Refrigerant Recovery Tank Cld-30Y 13 L , 30 Lbs , 13.6Kg; ORION; ;")</f>
        <v>Refrigerant Recovery Tank Cld-30Y 13 L , 30 Lbs , 13.6Kg; ORION; ;</v>
      </c>
      <c r="C1935" s="2" t="str">
        <f>IFERROR(__xludf.DUMMYFUNCTION("""COMPUTED_VALUE"""),"P-18909-00")</f>
        <v>P-18909-00</v>
      </c>
      <c r="D1935" s="2" t="str">
        <f>if(isna(vlookup(C1935,'On Hand'!A:C,3,0)),"",vlookup(C1935,'On Hand'!A:C,3,0))</f>
        <v/>
      </c>
    </row>
    <row r="1936">
      <c r="A1936" s="2" t="str">
        <f>IFERROR(__xludf.DUMMYFUNCTION("""COMPUTED_VALUE"""),"P-18963-00")</f>
        <v>P-18963-00</v>
      </c>
      <c r="B1936" s="2" t="str">
        <f>IFERROR(__xludf.DUMMYFUNCTION("""COMPUTED_VALUE"""),"General - Tubing Nylon Putih 6 x 8mm; No Brand; -; 1 Pc")</f>
        <v>General - Tubing Nylon Putih 6 x 8mm; No Brand; -; 1 Pc</v>
      </c>
      <c r="C1936" s="2" t="str">
        <f>IFERROR(__xludf.DUMMYFUNCTION("""COMPUTED_VALUE"""),"P-18963-00")</f>
        <v>P-18963-00</v>
      </c>
      <c r="D1936" s="2" t="str">
        <f>if(isna(vlookup(C1936,'On Hand'!A:C,3,0)),"",vlookup(C1936,'On Hand'!A:C,3,0))</f>
        <v>pc</v>
      </c>
    </row>
    <row r="1937">
      <c r="A1937" s="2" t="str">
        <f>IFERROR(__xludf.DUMMYFUNCTION("""COMPUTED_VALUE"""),"P-18964-00")</f>
        <v>P-18964-00</v>
      </c>
      <c r="B1937" s="2" t="str">
        <f>IFERROR(__xludf.DUMMYFUNCTION("""COMPUTED_VALUE"""),"Check Valve Aquarium; Lokal; ;")</f>
        <v>Check Valve Aquarium; Lokal; ;</v>
      </c>
      <c r="C1937" s="2" t="str">
        <f>IFERROR(__xludf.DUMMYFUNCTION("""COMPUTED_VALUE"""),"P-18964-00")</f>
        <v>P-18964-00</v>
      </c>
      <c r="D1937" s="2" t="str">
        <f>if(isna(vlookup(C1937,'On Hand'!A:C,3,0)),"",vlookup(C1937,'On Hand'!A:C,3,0))</f>
        <v/>
      </c>
    </row>
    <row r="1938">
      <c r="A1938" s="2" t="str">
        <f>IFERROR(__xludf.DUMMYFUNCTION("""COMPUTED_VALUE"""),"P-18965-00")</f>
        <v>P-18965-00</v>
      </c>
      <c r="B1938" s="2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8" s="2" t="str">
        <f>IFERROR(__xludf.DUMMYFUNCTION("""COMPUTED_VALUE"""),"P-18965-00")</f>
        <v>P-18965-00</v>
      </c>
      <c r="D1938" s="2" t="str">
        <f>if(isna(vlookup(C1938,'On Hand'!A:C,3,0)),"",vlookup(C1938,'On Hand'!A:C,3,0))</f>
        <v>pc</v>
      </c>
    </row>
    <row r="1939">
      <c r="A1939" s="2" t="str">
        <f>IFERROR(__xludf.DUMMYFUNCTION("""COMPUTED_VALUE"""),"P-18966-00")</f>
        <v>P-18966-00</v>
      </c>
      <c r="B1939" s="2" t="str">
        <f>IFERROR(__xludf.DUMMYFUNCTION("""COMPUTED_VALUE"""),"Kawat Perak Las 40%; Merk Grilot-7; ; ;")</f>
        <v>Kawat Perak Las 40%; Merk Grilot-7; ; ;</v>
      </c>
      <c r="C1939" s="2" t="str">
        <f>IFERROR(__xludf.DUMMYFUNCTION("""COMPUTED_VALUE"""),"P-18966-00")</f>
        <v>P-18966-00</v>
      </c>
      <c r="D1939" s="2" t="str">
        <f>if(isna(vlookup(C1939,'On Hand'!A:C,3,0)),"",vlookup(C1939,'On Hand'!A:C,3,0))</f>
        <v/>
      </c>
    </row>
    <row r="1940">
      <c r="A1940" s="2" t="str">
        <f>IFERROR(__xludf.DUMMYFUNCTION("""COMPUTED_VALUE"""),"P-19028-00")</f>
        <v>P-19028-00</v>
      </c>
      <c r="B1940" s="2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0" s="2" t="str">
        <f>IFERROR(__xludf.DUMMYFUNCTION("""COMPUTED_VALUE"""),"P-19028-00")</f>
        <v>P-19028-00</v>
      </c>
      <c r="D1940" s="2" t="str">
        <f>if(isna(vlookup(C1940,'On Hand'!A:C,3,0)),"",vlookup(C1940,'On Hand'!A:C,3,0))</f>
        <v>pc</v>
      </c>
    </row>
    <row r="1941">
      <c r="A1941" s="2" t="str">
        <f>IFERROR(__xludf.DUMMYFUNCTION("""COMPUTED_VALUE"""),"P-19029-00")</f>
        <v>P-19029-00</v>
      </c>
      <c r="B1941" s="2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1" s="2" t="str">
        <f>IFERROR(__xludf.DUMMYFUNCTION("""COMPUTED_VALUE"""),"P-19029-00")</f>
        <v>P-19029-00</v>
      </c>
      <c r="D1941" s="2" t="str">
        <f>if(isna(vlookup(C1941,'On Hand'!A:C,3,0)),"",vlookup(C1941,'On Hand'!A:C,3,0))</f>
        <v>pc</v>
      </c>
    </row>
    <row r="1942">
      <c r="A1942" s="2" t="str">
        <f>IFERROR(__xludf.DUMMYFUNCTION("""COMPUTED_VALUE"""),"P-19031-00")</f>
        <v>P-19031-00</v>
      </c>
      <c r="B1942" s="2" t="str">
        <f>IFERROR(__xludf.DUMMYFUNCTION("""COMPUTED_VALUE"""),"Elbow Ferrule 2 Inch; Custom; ;")</f>
        <v>Elbow Ferrule 2 Inch; Custom; ;</v>
      </c>
      <c r="C1942" s="2" t="str">
        <f>IFERROR(__xludf.DUMMYFUNCTION("""COMPUTED_VALUE"""),"P-19031-00")</f>
        <v>P-19031-00</v>
      </c>
      <c r="D1942" s="2" t="str">
        <f>if(isna(vlookup(C1942,'On Hand'!A:C,3,0)),"",vlookup(C1942,'On Hand'!A:C,3,0))</f>
        <v/>
      </c>
    </row>
    <row r="1943">
      <c r="A1943" s="2" t="str">
        <f>IFERROR(__xludf.DUMMYFUNCTION("""COMPUTED_VALUE"""),"P-19032-00")</f>
        <v>P-19032-00</v>
      </c>
      <c r="B1943" s="2" t="str">
        <f>IFERROR(__xludf.DUMMYFUNCTION("""COMPUTED_VALUE"""),"Elbow Ferrule 1.5 Inch; Custom; ;")</f>
        <v>Elbow Ferrule 1.5 Inch; Custom; ;</v>
      </c>
      <c r="C1943" s="2" t="str">
        <f>IFERROR(__xludf.DUMMYFUNCTION("""COMPUTED_VALUE"""),"P-19032-00")</f>
        <v>P-19032-00</v>
      </c>
      <c r="D1943" s="2" t="str">
        <f>if(isna(vlookup(C1943,'On Hand'!A:C,3,0)),"",vlookup(C1943,'On Hand'!A:C,3,0))</f>
        <v/>
      </c>
    </row>
    <row r="1944">
      <c r="A1944" s="2" t="str">
        <f>IFERROR(__xludf.DUMMYFUNCTION("""COMPUTED_VALUE"""),"P-19038-00")</f>
        <v>P-19038-00</v>
      </c>
      <c r="B1944" s="2" t="str">
        <f>IFERROR(__xludf.DUMMYFUNCTION("""COMPUTED_VALUE"""),"Kunci Handle Panel MS 306-2-1 Hengzhu; Hengzhu; ;")</f>
        <v>Kunci Handle Panel MS 306-2-1 Hengzhu; Hengzhu; ;</v>
      </c>
      <c r="C1944" s="2" t="str">
        <f>IFERROR(__xludf.DUMMYFUNCTION("""COMPUTED_VALUE"""),"P-19038-00")</f>
        <v>P-19038-00</v>
      </c>
      <c r="D1944" s="2" t="str">
        <f>if(isna(vlookup(C1944,'On Hand'!A:C,3,0)),"",vlookup(C1944,'On Hand'!A:C,3,0))</f>
        <v>pc</v>
      </c>
    </row>
    <row r="1945">
      <c r="A1945" s="2" t="str">
        <f>IFERROR(__xludf.DUMMYFUNCTION("""COMPUTED_VALUE"""),"P-19065-00")</f>
        <v>P-19065-00</v>
      </c>
      <c r="B1945" s="2" t="str">
        <f>IFERROR(__xludf.DUMMYFUNCTION("""COMPUTED_VALUE"""),"General - Filter Dryer; Emerson; EK-052; 1 pcs")</f>
        <v>General - Filter Dryer; Emerson; EK-052; 1 pcs</v>
      </c>
      <c r="C1945" s="2" t="str">
        <f>IFERROR(__xludf.DUMMYFUNCTION("""COMPUTED_VALUE"""),"P-19065-00")</f>
        <v>P-19065-00</v>
      </c>
      <c r="D1945" s="2" t="str">
        <f>if(isna(vlookup(C1945,'On Hand'!A:C,3,0)),"",vlookup(C1945,'On Hand'!A:C,3,0))</f>
        <v>pc</v>
      </c>
    </row>
    <row r="1946">
      <c r="A1946" s="2" t="str">
        <f>IFERROR(__xludf.DUMMYFUNCTION("""COMPUTED_VALUE"""),"P-19080-00")</f>
        <v>P-19080-00</v>
      </c>
      <c r="B1946" s="2" t="str">
        <f>IFERROR(__xludf.DUMMYFUNCTION("""COMPUTED_VALUE"""),"Cabel Tie Mount 30 x 30 mm; Sigma; ;")</f>
        <v>Cabel Tie Mount 30 x 30 mm; Sigma; ;</v>
      </c>
      <c r="C1946" s="2" t="str">
        <f>IFERROR(__xludf.DUMMYFUNCTION("""COMPUTED_VALUE"""),"P-19080-00")</f>
        <v>P-19080-00</v>
      </c>
      <c r="D1946" s="2" t="str">
        <f>if(isna(vlookup(C1946,'On Hand'!A:C,3,0)),"",vlookup(C1946,'On Hand'!A:C,3,0))</f>
        <v>pc</v>
      </c>
    </row>
    <row r="1947">
      <c r="A1947" s="2" t="str">
        <f>IFERROR(__xludf.DUMMYFUNCTION("""COMPUTED_VALUE"""),"P-19081-00")</f>
        <v>P-19081-00</v>
      </c>
      <c r="B1947" s="2" t="str">
        <f>IFERROR(__xludf.DUMMYFUNCTION("""COMPUTED_VALUE"""),"Cabel Tie Mount 20 x20 mm; Sigma; ;")</f>
        <v>Cabel Tie Mount 20 x20 mm; Sigma; ;</v>
      </c>
      <c r="C1947" s="2" t="str">
        <f>IFERROR(__xludf.DUMMYFUNCTION("""COMPUTED_VALUE"""),"P-19081-00")</f>
        <v>P-19081-00</v>
      </c>
      <c r="D1947" s="2" t="str">
        <f>if(isna(vlookup(C1947,'On Hand'!A:C,3,0)),"",vlookup(C1947,'On Hand'!A:C,3,0))</f>
        <v/>
      </c>
    </row>
    <row r="1948">
      <c r="A1948" s="2" t="str">
        <f>IFERROR(__xludf.DUMMYFUNCTION("""COMPUTED_VALUE"""),"P-19114-00")</f>
        <v>P-19114-00</v>
      </c>
      <c r="B1948" s="2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8" s="2" t="str">
        <f>IFERROR(__xludf.DUMMYFUNCTION("""COMPUTED_VALUE"""),"P-19114-00")</f>
        <v>P-19114-00</v>
      </c>
      <c r="D1948" s="2" t="str">
        <f>if(isna(vlookup(C1948,'On Hand'!A:C,3,0)),"",vlookup(C1948,'On Hand'!A:C,3,0))</f>
        <v/>
      </c>
    </row>
    <row r="1949">
      <c r="A1949" s="2" t="str">
        <f>IFERROR(__xludf.DUMMYFUNCTION("""COMPUTED_VALUE"""),"P-19125-00")</f>
        <v>P-19125-00</v>
      </c>
      <c r="B1949" s="2" t="str">
        <f>IFERROR(__xludf.DUMMYFUNCTION("""COMPUTED_VALUE"""),"HB HCX Series (H14) 99,99% 0,3 micron 610x610x292 mm; IAF; ;")</f>
        <v>HB HCX Series (H14) 99,99% 0,3 micron 610x610x292 mm; IAF; ;</v>
      </c>
      <c r="C1949" s="2" t="str">
        <f>IFERROR(__xludf.DUMMYFUNCTION("""COMPUTED_VALUE"""),"P-19125-00")</f>
        <v>P-19125-00</v>
      </c>
      <c r="D1949" s="2" t="str">
        <f>if(isna(vlookup(C1949,'On Hand'!A:C,3,0)),"",vlookup(C1949,'On Hand'!A:C,3,0))</f>
        <v/>
      </c>
    </row>
    <row r="1950">
      <c r="A1950" s="2" t="str">
        <f>IFERROR(__xludf.DUMMYFUNCTION("""COMPUTED_VALUE"""),"P-19126-00")</f>
        <v>P-19126-00</v>
      </c>
      <c r="B1950" s="2" t="str">
        <f>IFERROR(__xludf.DUMMYFUNCTION("""COMPUTED_VALUE"""),"MB DH Series (F8) 90-95% 610x610x292 mm; IAF; ;")</f>
        <v>MB DH Series (F8) 90-95% 610x610x292 mm; IAF; ;</v>
      </c>
      <c r="C1950" s="2" t="str">
        <f>IFERROR(__xludf.DUMMYFUNCTION("""COMPUTED_VALUE"""),"P-19126-00")</f>
        <v>P-19126-00</v>
      </c>
      <c r="D1950" s="2" t="str">
        <f>if(isna(vlookup(C1950,'On Hand'!A:C,3,0)),"",vlookup(C1950,'On Hand'!A:C,3,0))</f>
        <v/>
      </c>
    </row>
    <row r="1951">
      <c r="A1951" s="2" t="str">
        <f>IFERROR(__xludf.DUMMYFUNCTION("""COMPUTED_VALUE"""),"P-19127-00")</f>
        <v>P-19127-00</v>
      </c>
      <c r="B1951" s="2" t="str">
        <f>IFERROR(__xludf.DUMMYFUNCTION("""COMPUTED_VALUE"""),"PVC Bag for Bag In Bag Out; IAF; ;")</f>
        <v>PVC Bag for Bag In Bag Out; IAF; ;</v>
      </c>
      <c r="C1951" s="2" t="str">
        <f>IFERROR(__xludf.DUMMYFUNCTION("""COMPUTED_VALUE"""),"P-19127-00")</f>
        <v>P-19127-00</v>
      </c>
      <c r="D1951" s="2" t="str">
        <f>if(isna(vlookup(C1951,'On Hand'!A:C,3,0)),"",vlookup(C1951,'On Hand'!A:C,3,0))</f>
        <v/>
      </c>
    </row>
    <row r="1952">
      <c r="A1952" s="2" t="str">
        <f>IFERROR(__xludf.DUMMYFUNCTION("""COMPUTED_VALUE"""),"P-19144-00")</f>
        <v>P-19144-00</v>
      </c>
      <c r="B1952" s="2" t="str">
        <f>IFERROR(__xludf.DUMMYFUNCTION("""COMPUTED_VALUE"""),"O-ring Silicon Diameter 5,33mm; Lokal; ;")</f>
        <v>O-ring Silicon Diameter 5,33mm; Lokal; ;</v>
      </c>
      <c r="C1952" s="2" t="str">
        <f>IFERROR(__xludf.DUMMYFUNCTION("""COMPUTED_VALUE"""),"P-19144-00")</f>
        <v>P-19144-00</v>
      </c>
      <c r="D1952" s="2" t="str">
        <f>if(isna(vlookup(C1952,'On Hand'!A:C,3,0)),"",vlookup(C1952,'On Hand'!A:C,3,0))</f>
        <v>m</v>
      </c>
    </row>
    <row r="1953">
      <c r="A1953" s="2" t="str">
        <f>IFERROR(__xludf.DUMMYFUNCTION("""COMPUTED_VALUE"""),"P-19160-00")</f>
        <v>P-19160-00</v>
      </c>
      <c r="B1953" s="2" t="str">
        <f>IFERROR(__xludf.DUMMYFUNCTION("""COMPUTED_VALUE"""),"Cable Duct PVC 65 x 65 x 2900mmLokal")</f>
        <v>Cable Duct PVC 65 x 65 x 2900mmLokal</v>
      </c>
      <c r="C1953" s="2" t="str">
        <f>IFERROR(__xludf.DUMMYFUNCTION("""COMPUTED_VALUE"""),"P-19160-00")</f>
        <v>P-19160-00</v>
      </c>
      <c r="D1953" s="2" t="str">
        <f>if(isna(vlookup(C1953,'On Hand'!A:C,3,0)),"",vlookup(C1953,'On Hand'!A:C,3,0))</f>
        <v/>
      </c>
    </row>
    <row r="1954">
      <c r="A1954" s="2" t="str">
        <f>IFERROR(__xludf.DUMMYFUNCTION("""COMPUTED_VALUE"""),"P-19192-00")</f>
        <v>P-19192-00</v>
      </c>
      <c r="B1954" s="2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4" s="2" t="str">
        <f>IFERROR(__xludf.DUMMYFUNCTION("""COMPUTED_VALUE"""),"P-19192-00")</f>
        <v>P-19192-00</v>
      </c>
      <c r="D1954" s="2" t="str">
        <f>if(isna(vlookup(C1954,'On Hand'!A:C,3,0)),"",vlookup(C1954,'On Hand'!A:C,3,0))</f>
        <v>pc</v>
      </c>
    </row>
    <row r="1955">
      <c r="A1955" s="2" t="str">
        <f>IFERROR(__xludf.DUMMYFUNCTION("""COMPUTED_VALUE"""),"P-19206-00")</f>
        <v>P-19206-00</v>
      </c>
      <c r="B1955" s="2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5" s="2" t="str">
        <f>IFERROR(__xludf.DUMMYFUNCTION("""COMPUTED_VALUE"""),"P-19206-00")</f>
        <v>P-19206-00</v>
      </c>
      <c r="D1955" s="2" t="str">
        <f>if(isna(vlookup(C1955,'On Hand'!A:C,3,0)),"",vlookup(C1955,'On Hand'!A:C,3,0))</f>
        <v>pc</v>
      </c>
    </row>
    <row r="1956">
      <c r="A1956" s="2" t="str">
        <f>IFERROR(__xludf.DUMMYFUNCTION("""COMPUTED_VALUE"""),"P-19221-00")</f>
        <v>P-19221-00</v>
      </c>
      <c r="B1956" s="2" t="str">
        <f>IFERROR(__xludf.DUMMYFUNCTION("""COMPUTED_VALUE"""),"Webbing Sling 1 Ton x 10 Mtr Lebar 30mm; Spanset; ;")</f>
        <v>Webbing Sling 1 Ton x 10 Mtr Lebar 30mm; Spanset; ;</v>
      </c>
      <c r="C1956" s="2" t="str">
        <f>IFERROR(__xludf.DUMMYFUNCTION("""COMPUTED_VALUE"""),"P-19221-00")</f>
        <v>P-19221-00</v>
      </c>
      <c r="D1956" s="2" t="str">
        <f>if(isna(vlookup(C1956,'On Hand'!A:C,3,0)),"",vlookup(C1956,'On Hand'!A:C,3,0))</f>
        <v/>
      </c>
    </row>
    <row r="1957">
      <c r="A1957" s="2" t="str">
        <f>IFERROR(__xludf.DUMMYFUNCTION("""COMPUTED_VALUE"""),"P-19232-00")</f>
        <v>P-19232-00</v>
      </c>
      <c r="B1957" s="2" t="str">
        <f>IFERROR(__xludf.DUMMYFUNCTION("""COMPUTED_VALUE"""),"General - Fitting QSL 3/8 x 12 mm; EMC; -; 1 pc")</f>
        <v>General - Fitting QSL 3/8 x 12 mm; EMC; -; 1 pc</v>
      </c>
      <c r="C1957" s="2" t="str">
        <f>IFERROR(__xludf.DUMMYFUNCTION("""COMPUTED_VALUE"""),"P-19232-00")</f>
        <v>P-19232-00</v>
      </c>
      <c r="D1957" s="2" t="str">
        <f>if(isna(vlookup(C1957,'On Hand'!A:C,3,0)),"",vlookup(C1957,'On Hand'!A:C,3,0))</f>
        <v>pc</v>
      </c>
    </row>
    <row r="1958">
      <c r="A1958" s="2" t="str">
        <f>IFERROR(__xludf.DUMMYFUNCTION("""COMPUTED_VALUE"""),"P-19233-00")</f>
        <v>P-19233-00</v>
      </c>
      <c r="B1958" s="2" t="str">
        <f>IFERROR(__xludf.DUMMYFUNCTION("""COMPUTED_VALUE"""),"General - Fitting QS 1/2 x 8 mm; EMC; -; 1 pc")</f>
        <v>General - Fitting QS 1/2 x 8 mm; EMC; -; 1 pc</v>
      </c>
      <c r="C1958" s="2" t="str">
        <f>IFERROR(__xludf.DUMMYFUNCTION("""COMPUTED_VALUE"""),"P-19233-00")</f>
        <v>P-19233-00</v>
      </c>
      <c r="D1958" s="2" t="str">
        <f>if(isna(vlookup(C1958,'On Hand'!A:C,3,0)),"",vlookup(C1958,'On Hand'!A:C,3,0))</f>
        <v>pc</v>
      </c>
    </row>
    <row r="1959">
      <c r="A1959" s="2" t="str">
        <f>IFERROR(__xludf.DUMMYFUNCTION("""COMPUTED_VALUE"""),"P-19234-00")</f>
        <v>P-19234-00</v>
      </c>
      <c r="B1959" s="2" t="str">
        <f>IFERROR(__xludf.DUMMYFUNCTION("""COMPUTED_VALUE"""),"Fitting Tee Tubing (Pneumatic Union Speed Control) 12 mm; EMC; ;")</f>
        <v>Fitting Tee Tubing (Pneumatic Union Speed Control) 12 mm; EMC; ;</v>
      </c>
      <c r="C1959" s="2" t="str">
        <f>IFERROR(__xludf.DUMMYFUNCTION("""COMPUTED_VALUE"""),"P-19234-00")</f>
        <v>P-19234-00</v>
      </c>
      <c r="D1959" s="2" t="str">
        <f>if(isna(vlookup(C1959,'On Hand'!A:C,3,0)),"",vlookup(C1959,'On Hand'!A:C,3,0))</f>
        <v/>
      </c>
    </row>
    <row r="1960">
      <c r="A1960" s="2" t="str">
        <f>IFERROR(__xludf.DUMMYFUNCTION("""COMPUTED_VALUE"""),"P-19235-00")</f>
        <v>P-19235-00</v>
      </c>
      <c r="B1960" s="2" t="str">
        <f>IFERROR(__xludf.DUMMYFUNCTION("""COMPUTED_VALUE"""),"Box Panel 20x17x12cm, Tebal Plat 1 mm; Lokal; ;")</f>
        <v>Box Panel 20x17x12cm, Tebal Plat 1 mm; Lokal; ;</v>
      </c>
      <c r="C1960" s="2" t="str">
        <f>IFERROR(__xludf.DUMMYFUNCTION("""COMPUTED_VALUE"""),"P-19235-00")</f>
        <v>P-19235-00</v>
      </c>
      <c r="D1960" s="2" t="str">
        <f>if(isna(vlookup(C1960,'On Hand'!A:C,3,0)),"",vlookup(C1960,'On Hand'!A:C,3,0))</f>
        <v/>
      </c>
    </row>
    <row r="1961">
      <c r="A1961" s="2" t="str">
        <f>IFERROR(__xludf.DUMMYFUNCTION("""COMPUTED_VALUE"""),"P-19236-00")</f>
        <v>P-19236-00</v>
      </c>
      <c r="B1961" s="2" t="str">
        <f>IFERROR(__xludf.DUMMYFUNCTION("""COMPUTED_VALUE"""),"Tubing Nylon 12mm x 9mm @100 m/Roll; SHPI Taiwan; ;")</f>
        <v>Tubing Nylon 12mm x 9mm @100 m/Roll; SHPI Taiwan; ;</v>
      </c>
      <c r="C1961" s="2" t="str">
        <f>IFERROR(__xludf.DUMMYFUNCTION("""COMPUTED_VALUE"""),"P-19236-00")</f>
        <v>P-19236-00</v>
      </c>
      <c r="D1961" s="2" t="str">
        <f>if(isna(vlookup(C1961,'On Hand'!A:C,3,0)),"",vlookup(C1961,'On Hand'!A:C,3,0))</f>
        <v>rl</v>
      </c>
    </row>
    <row r="1962">
      <c r="A1962" s="2" t="str">
        <f>IFERROR(__xludf.DUMMYFUNCTION("""COMPUTED_VALUE"""),"P-19237-00")</f>
        <v>P-19237-00</v>
      </c>
      <c r="B1962" s="2" t="str">
        <f>IFERROR(__xludf.DUMMYFUNCTION("""COMPUTED_VALUE"""),"Vlok Ring SS 304 1"" x 3/8 ""; ; ;")</f>
        <v>Vlok Ring SS 304 1" x 3/8 "; ; ;</v>
      </c>
      <c r="C1962" s="2" t="str">
        <f>IFERROR(__xludf.DUMMYFUNCTION("""COMPUTED_VALUE"""),"P-19237-00")</f>
        <v>P-19237-00</v>
      </c>
      <c r="D1962" s="2" t="str">
        <f>if(isna(vlookup(C1962,'On Hand'!A:C,3,0)),"",vlookup(C1962,'On Hand'!A:C,3,0))</f>
        <v/>
      </c>
    </row>
    <row r="1963">
      <c r="A1963" s="2" t="str">
        <f>IFERROR(__xludf.DUMMYFUNCTION("""COMPUTED_VALUE"""),"P-19238-00")</f>
        <v>P-19238-00</v>
      </c>
      <c r="B1963" s="2" t="str">
        <f>IFERROR(__xludf.DUMMYFUNCTION("""COMPUTED_VALUE"""),"Fitting Tee Tubing 12mm; EMC; ;")</f>
        <v>Fitting Tee Tubing 12mm; EMC; ;</v>
      </c>
      <c r="C1963" s="2" t="str">
        <f>IFERROR(__xludf.DUMMYFUNCTION("""COMPUTED_VALUE"""),"P-19238-00")</f>
        <v>P-19238-00</v>
      </c>
      <c r="D1963" s="2" t="str">
        <f>if(isna(vlookup(C1963,'On Hand'!A:C,3,0)),"",vlookup(C1963,'On Hand'!A:C,3,0))</f>
        <v/>
      </c>
    </row>
    <row r="1964">
      <c r="A1964" s="2" t="str">
        <f>IFERROR(__xludf.DUMMYFUNCTION("""COMPUTED_VALUE"""),"P-19255-00")</f>
        <v>P-19255-00</v>
      </c>
      <c r="B1964" s="2" t="str">
        <f>IFERROR(__xludf.DUMMYFUNCTION("""COMPUTED_VALUE"""),"Plastic Tubing PUN-H-14x2-BL; Festo; 570386;")</f>
        <v>Plastic Tubing PUN-H-14x2-BL; Festo; 570386;</v>
      </c>
      <c r="C1964" s="2" t="str">
        <f>IFERROR(__xludf.DUMMYFUNCTION("""COMPUTED_VALUE"""),"P-19255-00")</f>
        <v>P-19255-00</v>
      </c>
      <c r="D1964" s="2" t="str">
        <f>if(isna(vlookup(C1964,'On Hand'!A:C,3,0)),"",vlookup(C1964,'On Hand'!A:C,3,0))</f>
        <v>m</v>
      </c>
    </row>
    <row r="1965">
      <c r="A1965" s="2" t="str">
        <f>IFERROR(__xludf.DUMMYFUNCTION("""COMPUTED_VALUE"""),"P-19271-00")</f>
        <v>P-19271-00</v>
      </c>
      <c r="B1965" s="2" t="str">
        <f>IFERROR(__xludf.DUMMYFUNCTION("""COMPUTED_VALUE"""),"Free Float Steam Trap 1/2 inch (DN15); TLV; J3X10;")</f>
        <v>Free Float Steam Trap 1/2 inch (DN15); TLV; J3X10;</v>
      </c>
      <c r="C1965" s="2" t="str">
        <f>IFERROR(__xludf.DUMMYFUNCTION("""COMPUTED_VALUE"""),"P-19271-00")</f>
        <v>P-19271-00</v>
      </c>
      <c r="D1965" s="2" t="str">
        <f>if(isna(vlookup(C1965,'On Hand'!A:C,3,0)),"",vlookup(C1965,'On Hand'!A:C,3,0))</f>
        <v/>
      </c>
    </row>
    <row r="1966">
      <c r="A1966" s="2" t="str">
        <f>IFERROR(__xludf.DUMMYFUNCTION("""COMPUTED_VALUE"""),"P-19272-00")</f>
        <v>P-19272-00</v>
      </c>
      <c r="B1966" s="2" t="str">
        <f>IFERROR(__xludf.DUMMYFUNCTION("""COMPUTED_VALUE"""),"Free Float Steam Trap 3/4 Inch (DN 20); TLV; J3X10;")</f>
        <v>Free Float Steam Trap 3/4 Inch (DN 20); TLV; J3X10;</v>
      </c>
      <c r="C1966" s="2" t="str">
        <f>IFERROR(__xludf.DUMMYFUNCTION("""COMPUTED_VALUE"""),"P-19272-00")</f>
        <v>P-19272-00</v>
      </c>
      <c r="D1966" s="2" t="str">
        <f>if(isna(vlookup(C1966,'On Hand'!A:C,3,0)),"",vlookup(C1966,'On Hand'!A:C,3,0))</f>
        <v>pc</v>
      </c>
    </row>
    <row r="1967">
      <c r="A1967" s="2" t="str">
        <f>IFERROR(__xludf.DUMMYFUNCTION("""COMPUTED_VALUE"""),"P-19273-00")</f>
        <v>P-19273-00</v>
      </c>
      <c r="B1967" s="2" t="str">
        <f>IFERROR(__xludf.DUMMYFUNCTION("""COMPUTED_VALUE"""),"Free Float Steam Trap 3/4 inch (DN 20); TLV; J5X10;")</f>
        <v>Free Float Steam Trap 3/4 inch (DN 20); TLV; J5X10;</v>
      </c>
      <c r="C1967" s="2" t="str">
        <f>IFERROR(__xludf.DUMMYFUNCTION("""COMPUTED_VALUE"""),"P-19273-00")</f>
        <v>P-19273-00</v>
      </c>
      <c r="D1967" s="2" t="str">
        <f>if(isna(vlookup(C1967,'On Hand'!A:C,3,0)),"",vlookup(C1967,'On Hand'!A:C,3,0))</f>
        <v>pc</v>
      </c>
    </row>
    <row r="1968">
      <c r="A1968" s="2" t="str">
        <f>IFERROR(__xludf.DUMMYFUNCTION("""COMPUTED_VALUE"""),"P-19274-00")</f>
        <v>P-19274-00</v>
      </c>
      <c r="B1968" s="2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8" s="2" t="str">
        <f>IFERROR(__xludf.DUMMYFUNCTION("""COMPUTED_VALUE"""),"P-19274-00")</f>
        <v>P-19274-00</v>
      </c>
      <c r="D1968" s="2" t="str">
        <f>if(isna(vlookup(C1968,'On Hand'!A:C,3,0)),"",vlookup(C1968,'On Hand'!A:C,3,0))</f>
        <v>pc</v>
      </c>
    </row>
    <row r="1969">
      <c r="A1969" s="2" t="str">
        <f>IFERROR(__xludf.DUMMYFUNCTION("""COMPUTED_VALUE"""),"P-19303-00")</f>
        <v>P-19303-00</v>
      </c>
      <c r="B1969" s="2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69" s="2" t="str">
        <f>IFERROR(__xludf.DUMMYFUNCTION("""COMPUTED_VALUE"""),"P-19303-00")</f>
        <v>P-19303-00</v>
      </c>
      <c r="D1969" s="2" t="str">
        <f>if(isna(vlookup(C1969,'On Hand'!A:C,3,0)),"",vlookup(C1969,'On Hand'!A:C,3,0))</f>
        <v/>
      </c>
    </row>
    <row r="1970">
      <c r="A1970" s="2" t="str">
        <f>IFERROR(__xludf.DUMMYFUNCTION("""COMPUTED_VALUE"""),"P-19304-00")</f>
        <v>P-19304-00</v>
      </c>
      <c r="B1970" s="2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0" s="2" t="str">
        <f>IFERROR(__xludf.DUMMYFUNCTION("""COMPUTED_VALUE"""),"P-19304-00")</f>
        <v>P-19304-00</v>
      </c>
      <c r="D1970" s="2" t="str">
        <f>if(isna(vlookup(C1970,'On Hand'!A:C,3,0)),"",vlookup(C1970,'On Hand'!A:C,3,0))</f>
        <v>pc</v>
      </c>
    </row>
    <row r="1971">
      <c r="A1971" s="2" t="str">
        <f>IFERROR(__xludf.DUMMYFUNCTION("""COMPUTED_VALUE"""),"P-19354-00")</f>
        <v>P-19354-00</v>
      </c>
      <c r="B1971" s="2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1" s="2" t="str">
        <f>IFERROR(__xludf.DUMMYFUNCTION("""COMPUTED_VALUE"""),"P-19354-00")</f>
        <v>P-19354-00</v>
      </c>
      <c r="D1971" s="2" t="str">
        <f>if(isna(vlookup(C1971,'On Hand'!A:C,3,0)),"",vlookup(C1971,'On Hand'!A:C,3,0))</f>
        <v>unt</v>
      </c>
    </row>
    <row r="1972">
      <c r="A1972" s="2" t="str">
        <f>IFERROR(__xludf.DUMMYFUNCTION("""COMPUTED_VALUE"""),"P-19381-00")</f>
        <v>P-19381-00</v>
      </c>
      <c r="B1972" s="2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2" s="2" t="str">
        <f>IFERROR(__xludf.DUMMYFUNCTION("""COMPUTED_VALUE"""),"P-19381-00")</f>
        <v>P-19381-00</v>
      </c>
      <c r="D1972" s="2" t="str">
        <f>if(isna(vlookup(C1972,'On Hand'!A:C,3,0)),"",vlookup(C1972,'On Hand'!A:C,3,0))</f>
        <v>pc</v>
      </c>
    </row>
    <row r="1973">
      <c r="A1973" s="2" t="str">
        <f>IFERROR(__xludf.DUMMYFUNCTION("""COMPUTED_VALUE"""),"P-19405-00")</f>
        <v>P-19405-00</v>
      </c>
      <c r="B1973" s="2" t="str">
        <f>IFERROR(__xludf.DUMMYFUNCTION("""COMPUTED_VALUE"""),"General- Mechanical Sear CR 32 HQQE; Grundfoss; P/N : 96525458; 1 Pc")</f>
        <v>General- Mechanical Sear CR 32 HQQE; Grundfoss; P/N : 96525458; 1 Pc</v>
      </c>
      <c r="C1973" s="2" t="str">
        <f>IFERROR(__xludf.DUMMYFUNCTION("""COMPUTED_VALUE"""),"P-19405-00")</f>
        <v>P-19405-00</v>
      </c>
      <c r="D1973" s="2" t="str">
        <f>if(isna(vlookup(C1973,'On Hand'!A:C,3,0)),"",vlookup(C1973,'On Hand'!A:C,3,0))</f>
        <v>unt</v>
      </c>
    </row>
    <row r="1974">
      <c r="A1974" s="2" t="str">
        <f>IFERROR(__xludf.DUMMYFUNCTION("""COMPUTED_VALUE"""),"P-19410-00")</f>
        <v>P-19410-00</v>
      </c>
      <c r="B1974" s="2" t="str">
        <f>IFERROR(__xludf.DUMMYFUNCTION("""COMPUTED_VALUE"""),"General - Bearing NATA5902; IKO; -; 1 pc")</f>
        <v>General - Bearing NATA5902; IKO; -; 1 pc</v>
      </c>
      <c r="C1974" s="2" t="str">
        <f>IFERROR(__xludf.DUMMYFUNCTION("""COMPUTED_VALUE"""),"P-19410-00")</f>
        <v>P-19410-00</v>
      </c>
      <c r="D1974" s="2" t="str">
        <f>if(isna(vlookup(C1974,'On Hand'!A:C,3,0)),"",vlookup(C1974,'On Hand'!A:C,3,0))</f>
        <v>pc</v>
      </c>
    </row>
    <row r="1975">
      <c r="A1975" s="2" t="str">
        <f>IFERROR(__xludf.DUMMYFUNCTION("""COMPUTED_VALUE"""),"P-19434-00")</f>
        <v>P-19434-00</v>
      </c>
      <c r="B1975" s="2" t="str">
        <f>IFERROR(__xludf.DUMMYFUNCTION("""COMPUTED_VALUE"""),"General - Chemical Cleaning; Kuclean; AC 101; 1 PL = 25 Kg")</f>
        <v>General - Chemical Cleaning; Kuclean; AC 101; 1 PL = 25 Kg</v>
      </c>
      <c r="C1975" s="2" t="str">
        <f>IFERROR(__xludf.DUMMYFUNCTION("""COMPUTED_VALUE"""),"P-19434-00")</f>
        <v>P-19434-00</v>
      </c>
      <c r="D1975" s="2" t="str">
        <f>if(isna(vlookup(C1975,'On Hand'!A:C,3,0)),"",vlookup(C1975,'On Hand'!A:C,3,0))</f>
        <v>PL</v>
      </c>
    </row>
    <row r="1976">
      <c r="A1976" s="2" t="str">
        <f>IFERROR(__xludf.DUMMYFUNCTION("""COMPUTED_VALUE"""),"P-19442-00")</f>
        <v>P-19442-00</v>
      </c>
      <c r="B1976" s="2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6" s="2" t="str">
        <f>IFERROR(__xludf.DUMMYFUNCTION("""COMPUTED_VALUE"""),"P-19442-00")</f>
        <v>P-19442-00</v>
      </c>
      <c r="D1976" s="2" t="str">
        <f>if(isna(vlookup(C1976,'On Hand'!A:C,3,0)),"",vlookup(C1976,'On Hand'!A:C,3,0))</f>
        <v>pc</v>
      </c>
    </row>
    <row r="1977">
      <c r="A1977" s="2" t="str">
        <f>IFERROR(__xludf.DUMMYFUNCTION("""COMPUTED_VALUE"""),"P-19443-00")</f>
        <v>P-19443-00</v>
      </c>
      <c r="B1977" s="2" t="str">
        <f>IFERROR(__xludf.DUMMYFUNCTION("""COMPUTED_VALUE"""),"General - Pneumatic Vacuum Ejector; EMC; E-CV-05-R; 1 Pc")</f>
        <v>General - Pneumatic Vacuum Ejector; EMC; E-CV-05-R; 1 Pc</v>
      </c>
      <c r="C1977" s="2" t="str">
        <f>IFERROR(__xludf.DUMMYFUNCTION("""COMPUTED_VALUE"""),"P-19443-00")</f>
        <v>P-19443-00</v>
      </c>
      <c r="D1977" s="2" t="str">
        <f>if(isna(vlookup(C1977,'On Hand'!A:C,3,0)),"",vlookup(C1977,'On Hand'!A:C,3,0))</f>
        <v>pc</v>
      </c>
    </row>
    <row r="1978">
      <c r="A1978" s="2" t="str">
        <f>IFERROR(__xludf.DUMMYFUNCTION("""COMPUTED_VALUE"""),"P-19449-00")</f>
        <v>P-19449-00</v>
      </c>
      <c r="B1978" s="2" t="str">
        <f>IFERROR(__xludf.DUMMYFUNCTION("""COMPUTED_VALUE"""),"Mesin Chamber - Coil Evaporator Uk. 52 X 22 X 11; Custom/Lokal; -; 1 Pc")</f>
        <v>Mesin Chamber - Coil Evaporator Uk. 52 X 22 X 11; Custom/Lokal; -; 1 Pc</v>
      </c>
      <c r="C1978" s="2" t="str">
        <f>IFERROR(__xludf.DUMMYFUNCTION("""COMPUTED_VALUE"""),"P-19449-00")</f>
        <v>P-19449-00</v>
      </c>
      <c r="D1978" s="2" t="str">
        <f>if(isna(vlookup(C1978,'On Hand'!A:C,3,0)),"",vlookup(C1978,'On Hand'!A:C,3,0))</f>
        <v/>
      </c>
    </row>
    <row r="1979">
      <c r="A1979" s="2" t="str">
        <f>IFERROR(__xludf.DUMMYFUNCTION("""COMPUTED_VALUE"""),"P-19483-00")</f>
        <v>P-19483-00</v>
      </c>
      <c r="B1979" s="2" t="str">
        <f>IFERROR(__xludf.DUMMYFUNCTION("""COMPUTED_VALUE"""),"General - Float Vent 1/2 Inch; Yoshitake; TA-22; 1 Pc")</f>
        <v>General - Float Vent 1/2 Inch; Yoshitake; TA-22; 1 Pc</v>
      </c>
      <c r="C1979" s="2" t="str">
        <f>IFERROR(__xludf.DUMMYFUNCTION("""COMPUTED_VALUE"""),"P-19483-00")</f>
        <v>P-19483-00</v>
      </c>
      <c r="D1979" s="2" t="str">
        <f>if(isna(vlookup(C1979,'On Hand'!A:C,3,0)),"",vlookup(C1979,'On Hand'!A:C,3,0))</f>
        <v>pc</v>
      </c>
    </row>
    <row r="1980">
      <c r="A1980" s="2" t="str">
        <f>IFERROR(__xludf.DUMMYFUNCTION("""COMPUTED_VALUE"""),"P-19484-00")</f>
        <v>P-19484-00</v>
      </c>
      <c r="B1980" s="2" t="str">
        <f>IFERROR(__xludf.DUMMYFUNCTION("""COMPUTED_VALUE"""),"General - Sliding Pintu Lift Barang Uk. 50 x 32 mm; Custom/Lokal; -; 1 Pc")</f>
        <v>General - Sliding Pintu Lift Barang Uk. 50 x 32 mm; Custom/Lokal; -; 1 Pc</v>
      </c>
      <c r="C1980" s="2" t="str">
        <f>IFERROR(__xludf.DUMMYFUNCTION("""COMPUTED_VALUE"""),"P-19484-00")</f>
        <v>P-19484-00</v>
      </c>
      <c r="D1980" s="2" t="str">
        <f>if(isna(vlookup(C1980,'On Hand'!A:C,3,0)),"",vlookup(C1980,'On Hand'!A:C,3,0))</f>
        <v>pc</v>
      </c>
    </row>
    <row r="1981">
      <c r="A1981" s="2" t="str">
        <f>IFERROR(__xludf.DUMMYFUNCTION("""COMPUTED_VALUE"""),"P-19512-00")</f>
        <v>P-19512-00</v>
      </c>
      <c r="B1981" s="2" t="str">
        <f>IFERROR(__xludf.DUMMYFUNCTION("""COMPUTED_VALUE"""),"General - Karet Pintu Kaca Strip Silikon H 10mm; Lokal; -; 1 meter")</f>
        <v>General - Karet Pintu Kaca Strip Silikon H 10mm; Lokal; -; 1 meter</v>
      </c>
      <c r="C1981" s="2" t="str">
        <f>IFERROR(__xludf.DUMMYFUNCTION("""COMPUTED_VALUE"""),"P-19512-00")</f>
        <v>P-19512-00</v>
      </c>
      <c r="D1981" s="2" t="str">
        <f>if(isna(vlookup(C1981,'On Hand'!A:C,3,0)),"",vlookup(C1981,'On Hand'!A:C,3,0))</f>
        <v>m</v>
      </c>
    </row>
    <row r="1982">
      <c r="A1982" s="2" t="str">
        <f>IFERROR(__xludf.DUMMYFUNCTION("""COMPUTED_VALUE"""),"P-19521-00")</f>
        <v>P-19521-00</v>
      </c>
      <c r="B1982" s="2" t="str">
        <f>IFERROR(__xludf.DUMMYFUNCTION("""COMPUTED_VALUE"""),"General - Regulator Gas Hydrogen; Harris; 25GX-15-H2; 1 pcs")</f>
        <v>General - Regulator Gas Hydrogen; Harris; 25GX-15-H2; 1 pcs</v>
      </c>
      <c r="C1982" s="2" t="str">
        <f>IFERROR(__xludf.DUMMYFUNCTION("""COMPUTED_VALUE"""),"P-19521-00")</f>
        <v>P-19521-00</v>
      </c>
      <c r="D1982" s="2" t="str">
        <f>if(isna(vlookup(C1982,'On Hand'!A:C,3,0)),"",vlookup(C1982,'On Hand'!A:C,3,0))</f>
        <v/>
      </c>
    </row>
    <row r="1983">
      <c r="A1983" s="2" t="str">
        <f>IFERROR(__xludf.DUMMYFUNCTION("""COMPUTED_VALUE"""),"P-19539-00")</f>
        <v>P-19539-00</v>
      </c>
      <c r="B1983" s="2" t="str">
        <f>IFERROR(__xludf.DUMMYFUNCTION("""COMPUTED_VALUE"""),"General - Roda Pu 3 Inch 75X32 Mm Tanpa Bracket  -  -")</f>
        <v>General - Roda Pu 3 Inch 75X32 Mm Tanpa Bracket  -  -</v>
      </c>
      <c r="C1983" s="2" t="str">
        <f>IFERROR(__xludf.DUMMYFUNCTION("""COMPUTED_VALUE"""),"P-19539-00")</f>
        <v>P-19539-00</v>
      </c>
      <c r="D1983" s="2" t="str">
        <f>if(isna(vlookup(C1983,'On Hand'!A:C,3,0)),"",vlookup(C1983,'On Hand'!A:C,3,0))</f>
        <v>pc</v>
      </c>
    </row>
    <row r="1984">
      <c r="A1984" s="2" t="str">
        <f>IFERROR(__xludf.DUMMYFUNCTION("""COMPUTED_VALUE"""),"P-19540-00")</f>
        <v>P-19540-00</v>
      </c>
      <c r="B1984" s="2" t="str">
        <f>IFERROR(__xludf.DUMMYFUNCTION("""COMPUTED_VALUE"""),"General - Roda Pu 3 Inch Drat 1/2 Inch X 30Mm  -  -")</f>
        <v>General - Roda Pu 3 Inch Drat 1/2 Inch X 30Mm  -  -</v>
      </c>
      <c r="C1984" s="2" t="str">
        <f>IFERROR(__xludf.DUMMYFUNCTION("""COMPUTED_VALUE"""),"P-19540-00")</f>
        <v>P-19540-00</v>
      </c>
      <c r="D1984" s="2" t="str">
        <f>if(isna(vlookup(C1984,'On Hand'!A:C,3,0)),"",vlookup(C1984,'On Hand'!A:C,3,0))</f>
        <v/>
      </c>
    </row>
    <row r="1985">
      <c r="A1985" s="2" t="str">
        <f>IFERROR(__xludf.DUMMYFUNCTION("""COMPUTED_VALUE"""),"P-19542-00")</f>
        <v>P-19542-00</v>
      </c>
      <c r="B1985" s="2" t="str">
        <f>IFERROR(__xludf.DUMMYFUNCTION("""COMPUTED_VALUE"""),"General - Regulator Gas Helium, 96-15M-He; Morris; -; 1 pc")</f>
        <v>General - Regulator Gas Helium, 96-15M-He; Morris; -; 1 pc</v>
      </c>
      <c r="C1985" s="2" t="str">
        <f>IFERROR(__xludf.DUMMYFUNCTION("""COMPUTED_VALUE"""),"P-19542-00")</f>
        <v>P-19542-00</v>
      </c>
      <c r="D1985" s="2" t="str">
        <f>if(isna(vlookup(C1985,'On Hand'!A:C,3,0)),"",vlookup(C1985,'On Hand'!A:C,3,0))</f>
        <v>pc</v>
      </c>
    </row>
    <row r="1986">
      <c r="A1986" s="2" t="str">
        <f>IFERROR(__xludf.DUMMYFUNCTION("""COMPUTED_VALUE"""),"P-19569-00")</f>
        <v>P-19569-00</v>
      </c>
      <c r="B1986" s="2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6" s="2" t="str">
        <f>IFERROR(__xludf.DUMMYFUNCTION("""COMPUTED_VALUE"""),"P-19569-00")</f>
        <v>P-19569-00</v>
      </c>
      <c r="D1986" s="2" t="str">
        <f>if(isna(vlookup(C1986,'On Hand'!A:C,3,0)),"",vlookup(C1986,'On Hand'!A:C,3,0))</f>
        <v>pc</v>
      </c>
    </row>
    <row r="1987">
      <c r="A1987" s="2" t="str">
        <f>IFERROR(__xludf.DUMMYFUNCTION("""COMPUTED_VALUE"""),"P-19570-00")</f>
        <v>P-19570-00</v>
      </c>
      <c r="B1987" s="2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7" s="2" t="str">
        <f>IFERROR(__xludf.DUMMYFUNCTION("""COMPUTED_VALUE"""),"P-19570-00")</f>
        <v>P-19570-00</v>
      </c>
      <c r="D1987" s="2" t="str">
        <f>if(isna(vlookup(C1987,'On Hand'!A:C,3,0)),"",vlookup(C1987,'On Hand'!A:C,3,0))</f>
        <v>pc</v>
      </c>
    </row>
    <row r="1988">
      <c r="A1988" s="2" t="str">
        <f>IFERROR(__xludf.DUMMYFUNCTION("""COMPUTED_VALUE"""),"P-19571-00")</f>
        <v>P-19571-00</v>
      </c>
      <c r="B1988" s="2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8" s="2" t="str">
        <f>IFERROR(__xludf.DUMMYFUNCTION("""COMPUTED_VALUE"""),"P-19571-00")</f>
        <v>P-19571-00</v>
      </c>
      <c r="D1988" s="2" t="str">
        <f>if(isna(vlookup(C1988,'On Hand'!A:C,3,0)),"",vlookup(C1988,'On Hand'!A:C,3,0))</f>
        <v>pc</v>
      </c>
    </row>
    <row r="1989">
      <c r="A1989" s="2" t="str">
        <f>IFERROR(__xludf.DUMMYFUNCTION("""COMPUTED_VALUE"""),"P-19600-00")</f>
        <v>P-19600-00</v>
      </c>
      <c r="B1989" s="2" t="str">
        <f>IFERROR(__xludf.DUMMYFUNCTION("""COMPUTED_VALUE"""),"General - Tubing TLM0604N-100; SMC; -; 1 meter")</f>
        <v>General - Tubing TLM0604N-100; SMC; -; 1 meter</v>
      </c>
      <c r="C1989" s="2" t="str">
        <f>IFERROR(__xludf.DUMMYFUNCTION("""COMPUTED_VALUE"""),"P-19600-00")</f>
        <v>P-19600-00</v>
      </c>
      <c r="D1989" s="2" t="str">
        <f>if(isna(vlookup(C1989,'On Hand'!A:C,3,0)),"",vlookup(C1989,'On Hand'!A:C,3,0))</f>
        <v/>
      </c>
    </row>
    <row r="1990">
      <c r="A1990" s="2" t="str">
        <f>IFERROR(__xludf.DUMMYFUNCTION("""COMPUTED_VALUE"""),"P-19622-00")</f>
        <v>P-19622-00</v>
      </c>
      <c r="B1990" s="2" t="str">
        <f>IFERROR(__xludf.DUMMYFUNCTION("""COMPUTED_VALUE"""),"General - Hollow SS 304 Uk. 40 x 40 x 1,2mm x 6m; No Brand; -; 1 pc")</f>
        <v>General - Hollow SS 304 Uk. 40 x 40 x 1,2mm x 6m; No Brand; -; 1 pc</v>
      </c>
      <c r="C1990" s="2" t="str">
        <f>IFERROR(__xludf.DUMMYFUNCTION("""COMPUTED_VALUE"""),"P-19622-00")</f>
        <v>P-19622-00</v>
      </c>
      <c r="D1990" s="2" t="str">
        <f>if(isna(vlookup(C1990,'On Hand'!A:C,3,0)),"",vlookup(C1990,'On Hand'!A:C,3,0))</f>
        <v>pc</v>
      </c>
    </row>
    <row r="1991">
      <c r="A1991" s="2" t="str">
        <f>IFERROR(__xludf.DUMMYFUNCTION("""COMPUTED_VALUE"""),"P-19623-00")</f>
        <v>P-19623-00</v>
      </c>
      <c r="B1991" s="2" t="str">
        <f>IFERROR(__xludf.DUMMYFUNCTION("""COMPUTED_VALUE"""),"General - Air Gun 10 Inch; Tekiro; -; 1 pc")</f>
        <v>General - Air Gun 10 Inch; Tekiro; -; 1 pc</v>
      </c>
      <c r="C1991" s="2" t="str">
        <f>IFERROR(__xludf.DUMMYFUNCTION("""COMPUTED_VALUE"""),"P-19623-00")</f>
        <v>P-19623-00</v>
      </c>
      <c r="D1991" s="2" t="str">
        <f>if(isna(vlookup(C1991,'On Hand'!A:C,3,0)),"",vlookup(C1991,'On Hand'!A:C,3,0))</f>
        <v>pc</v>
      </c>
    </row>
    <row r="1992">
      <c r="A1992" s="2" t="str">
        <f>IFERROR(__xludf.DUMMYFUNCTION("""COMPUTED_VALUE"""),"P-19637-00")</f>
        <v>P-19637-00</v>
      </c>
      <c r="B1992" s="2" t="str">
        <f>IFERROR(__xludf.DUMMYFUNCTION("""COMPUTED_VALUE"""),"General - Recoil Spiral Hose dia. 5 x 8mm x 12 meter; No Brand; -; 1 pc")</f>
        <v>General - Recoil Spiral Hose dia. 5 x 8mm x 12 meter; No Brand; -; 1 pc</v>
      </c>
      <c r="C1992" s="2" t="str">
        <f>IFERROR(__xludf.DUMMYFUNCTION("""COMPUTED_VALUE"""),"P-19637-00")</f>
        <v>P-19637-00</v>
      </c>
      <c r="D1992" s="2" t="str">
        <f>if(isna(vlookup(C1992,'On Hand'!A:C,3,0)),"",vlookup(C1992,'On Hand'!A:C,3,0))</f>
        <v>pc</v>
      </c>
    </row>
    <row r="1993">
      <c r="A1993" s="2" t="str">
        <f>IFERROR(__xludf.DUMMYFUNCTION("""COMPUTED_VALUE"""),"P-19638-00")</f>
        <v>P-19638-00</v>
      </c>
      <c r="B1993" s="2" t="str">
        <f>IFERROR(__xludf.DUMMYFUNCTION("""COMPUTED_VALUE"""),"General - Mini Regulator for Spray Gun with Filter; No Brand; -; 1 pc")</f>
        <v>General - Mini Regulator for Spray Gun with Filter; No Brand; -; 1 pc</v>
      </c>
      <c r="C1993" s="2" t="str">
        <f>IFERROR(__xludf.DUMMYFUNCTION("""COMPUTED_VALUE"""),"P-19638-00")</f>
        <v>P-19638-00</v>
      </c>
      <c r="D1993" s="2" t="str">
        <f>if(isna(vlookup(C1993,'On Hand'!A:C,3,0)),"",vlookup(C1993,'On Hand'!A:C,3,0))</f>
        <v>pc</v>
      </c>
    </row>
    <row r="1994">
      <c r="A1994" s="2" t="str">
        <f>IFERROR(__xludf.DUMMYFUNCTION("""COMPUTED_VALUE"""),"P-19647-00")</f>
        <v>P-19647-00</v>
      </c>
      <c r="B1994" s="2" t="str">
        <f>IFERROR(__xludf.DUMMYFUNCTION("""COMPUTED_VALUE"""),"General - Gasket Ferrule EPDM 6inch; Lokal; -; 1 pc")</f>
        <v>General - Gasket Ferrule EPDM 6inch; Lokal; -; 1 pc</v>
      </c>
      <c r="C1994" s="2" t="str">
        <f>IFERROR(__xludf.DUMMYFUNCTION("""COMPUTED_VALUE"""),"P-19647-00")</f>
        <v>P-19647-00</v>
      </c>
      <c r="D1994" s="2" t="str">
        <f>if(isna(vlookup(C1994,'On Hand'!A:C,3,0)),"",vlookup(C1994,'On Hand'!A:C,3,0))</f>
        <v>pc</v>
      </c>
    </row>
    <row r="1995">
      <c r="A1995" s="2" t="str">
        <f>IFERROR(__xludf.DUMMYFUNCTION("""COMPUTED_VALUE"""),"P-19659-00")</f>
        <v>P-19659-00</v>
      </c>
      <c r="B1995" s="2" t="str">
        <f>IFERROR(__xludf.DUMMYFUNCTION("""COMPUTED_VALUE"""),"General - Dop, PVC AW, 3/4""; No Brand; -; 1 pc")</f>
        <v>General - Dop, PVC AW, 3/4"; No Brand; -; 1 pc</v>
      </c>
      <c r="C1995" s="2" t="str">
        <f>IFERROR(__xludf.DUMMYFUNCTION("""COMPUTED_VALUE"""),"P-19659-00")</f>
        <v>P-19659-00</v>
      </c>
      <c r="D1995" s="2" t="str">
        <f>if(isna(vlookup(C1995,'On Hand'!A:C,3,0)),"",vlookup(C1995,'On Hand'!A:C,3,0))</f>
        <v>pc</v>
      </c>
    </row>
    <row r="1996">
      <c r="A1996" s="2" t="str">
        <f>IFERROR(__xludf.DUMMYFUNCTION("""COMPUTED_VALUE"""),"P-19660-00")</f>
        <v>P-19660-00</v>
      </c>
      <c r="B1996" s="2" t="str">
        <f>IFERROR(__xludf.DUMMYFUNCTION("""COMPUTED_VALUE"""),"Fitting PVC - Tee PVC 2.5 Inch; Rucika; -; 1 pc")</f>
        <v>Fitting PVC - Tee PVC 2.5 Inch; Rucika; -; 1 pc</v>
      </c>
      <c r="C1996" s="2" t="str">
        <f>IFERROR(__xludf.DUMMYFUNCTION("""COMPUTED_VALUE"""),"P-19660-00")</f>
        <v>P-19660-00</v>
      </c>
      <c r="D1996" s="2" t="str">
        <f>if(isna(vlookup(C1996,'On Hand'!A:C,3,0)),"",vlookup(C1996,'On Hand'!A:C,3,0))</f>
        <v>pc</v>
      </c>
    </row>
    <row r="1997">
      <c r="A1997" s="2" t="str">
        <f>IFERROR(__xludf.DUMMYFUNCTION("""COMPUTED_VALUE"""),"P-19678-00")</f>
        <v>P-19678-00</v>
      </c>
      <c r="B1997" s="2" t="str">
        <f>IFERROR(__xludf.DUMMYFUNCTION("""COMPUTED_VALUE"""),"General - Kompresor Udata Gun 1/4inch; Lokal; -; 1 pc")</f>
        <v>General - Kompresor Udata Gun 1/4inch; Lokal; -; 1 pc</v>
      </c>
      <c r="C1997" s="2" t="str">
        <f>IFERROR(__xludf.DUMMYFUNCTION("""COMPUTED_VALUE"""),"P-19678-00")</f>
        <v>P-19678-00</v>
      </c>
      <c r="D1997" s="2" t="str">
        <f>if(isna(vlookup(C1997,'On Hand'!A:C,3,0)),"",vlookup(C1997,'On Hand'!A:C,3,0))</f>
        <v/>
      </c>
    </row>
    <row r="1998">
      <c r="A1998" s="2" t="str">
        <f>IFERROR(__xludf.DUMMYFUNCTION("""COMPUTED_VALUE"""),"P-19693-00")</f>
        <v>P-19693-00</v>
      </c>
      <c r="B1998" s="2" t="str">
        <f>IFERROR(__xludf.DUMMYFUNCTION("""COMPUTED_VALUE"""),"General - Lem Adhesive; Superlon; -; 1kg/can")</f>
        <v>General - Lem Adhesive; Superlon; -; 1kg/can</v>
      </c>
      <c r="C1998" s="2" t="str">
        <f>IFERROR(__xludf.DUMMYFUNCTION("""COMPUTED_VALUE"""),"P-19693-00")</f>
        <v>P-19693-00</v>
      </c>
      <c r="D1998" s="2" t="str">
        <f>if(isna(vlookup(C1998,'On Hand'!A:C,3,0)),"",vlookup(C1998,'On Hand'!A:C,3,0))</f>
        <v>pc</v>
      </c>
    </row>
    <row r="1999">
      <c r="A1999" s="2" t="str">
        <f>IFERROR(__xludf.DUMMYFUNCTION("""COMPUTED_VALUE"""),"P-19731-00")</f>
        <v>P-19731-00</v>
      </c>
      <c r="B1999" s="2" t="str">
        <f>IFERROR(__xludf.DUMMYFUNCTION("""COMPUTED_VALUE"""),"General - Solenoid Valve 1 inch SS 304, UWS-25-E2; EMC; -; 1 pc")</f>
        <v>General - Solenoid Valve 1 inch SS 304, UWS-25-E2; EMC; -; 1 pc</v>
      </c>
      <c r="C1999" s="2" t="str">
        <f>IFERROR(__xludf.DUMMYFUNCTION("""COMPUTED_VALUE"""),"P-19731-00")</f>
        <v>P-19731-00</v>
      </c>
      <c r="D1999" s="2" t="str">
        <f>if(isna(vlookup(C1999,'On Hand'!A:C,3,0)),"",vlookup(C1999,'On Hand'!A:C,3,0))</f>
        <v>pc</v>
      </c>
    </row>
    <row r="2000">
      <c r="A2000" s="2" t="str">
        <f>IFERROR(__xludf.DUMMYFUNCTION("""COMPUTED_VALUE"""),"P-19757-00")</f>
        <v>P-19757-00</v>
      </c>
      <c r="B2000" s="2" t="str">
        <f>IFERROR(__xludf.DUMMYFUNCTION("""COMPUTED_VALUE"""),"General - Filter Panel Size 4inch; No Brand; -; 1 pc")</f>
        <v>General - Filter Panel Size 4inch; No Brand; -; 1 pc</v>
      </c>
      <c r="C2000" s="2" t="str">
        <f>IFERROR(__xludf.DUMMYFUNCTION("""COMPUTED_VALUE"""),"P-19757-00")</f>
        <v>P-19757-00</v>
      </c>
      <c r="D2000" s="2" t="str">
        <f>if(isna(vlookup(C2000,'On Hand'!A:C,3,0)),"",vlookup(C2000,'On Hand'!A:C,3,0))</f>
        <v>pc</v>
      </c>
    </row>
    <row r="2001">
      <c r="A2001" s="2" t="str">
        <f>IFERROR(__xludf.DUMMYFUNCTION("""COMPUTED_VALUE"""),"P-19770-00")</f>
        <v>P-19770-00</v>
      </c>
      <c r="B2001" s="2" t="str">
        <f>IFERROR(__xludf.DUMMYFUNCTION("""COMPUTED_VALUE"""),"General - Centering Ring DN25 ISO-KF with Fine Filter; No Brand; -; 1 pc")</f>
        <v>General - Centering Ring DN25 ISO-KF with Fine Filter; No Brand; -; 1 pc</v>
      </c>
      <c r="C2001" s="2" t="str">
        <f>IFERROR(__xludf.DUMMYFUNCTION("""COMPUTED_VALUE"""),"P-19770-00")</f>
        <v>P-19770-00</v>
      </c>
      <c r="D2001" s="2" t="str">
        <f>if(isna(vlookup(C2001,'On Hand'!A:C,3,0)),"",vlookup(C2001,'On Hand'!A:C,3,0))</f>
        <v/>
      </c>
    </row>
    <row r="2002">
      <c r="A2002" s="2" t="str">
        <f>IFERROR(__xludf.DUMMYFUNCTION("""COMPUTED_VALUE"""),"P-19771-00")</f>
        <v>P-19771-00</v>
      </c>
      <c r="B2002" s="2" t="str">
        <f>IFERROR(__xludf.DUMMYFUNCTION("""COMPUTED_VALUE"""),"General - Clamping Ring DN20-25 ISO-KF; No Brand; -; 1 pc")</f>
        <v>General - Clamping Ring DN20-25 ISO-KF; No Brand; -; 1 pc</v>
      </c>
      <c r="C2002" s="2" t="str">
        <f>IFERROR(__xludf.DUMMYFUNCTION("""COMPUTED_VALUE"""),"P-19771-00")</f>
        <v>P-19771-00</v>
      </c>
      <c r="D2002" s="2" t="str">
        <f>if(isna(vlookup(C2002,'On Hand'!A:C,3,0)),"",vlookup(C2002,'On Hand'!A:C,3,0))</f>
        <v/>
      </c>
    </row>
    <row r="2003">
      <c r="A2003" s="2" t="str">
        <f>IFERROR(__xludf.DUMMYFUNCTION("""COMPUTED_VALUE"""),"P-19772-00")</f>
        <v>P-19772-00</v>
      </c>
      <c r="B2003" s="2" t="str">
        <f>IFERROR(__xludf.DUMMYFUNCTION("""COMPUTED_VALUE"""),"General - Centering Ring DN25 ISO-KF SS/FPM; No Brand; -; 1 pc")</f>
        <v>General - Centering Ring DN25 ISO-KF SS/FPM; No Brand; -; 1 pc</v>
      </c>
      <c r="C2003" s="2" t="str">
        <f>IFERROR(__xludf.DUMMYFUNCTION("""COMPUTED_VALUE"""),"P-19772-00")</f>
        <v>P-19772-00</v>
      </c>
      <c r="D2003" s="2" t="str">
        <f>if(isna(vlookup(C2003,'On Hand'!A:C,3,0)),"",vlookup(C2003,'On Hand'!A:C,3,0))</f>
        <v/>
      </c>
    </row>
    <row r="2004">
      <c r="A2004" s="2" t="str">
        <f>IFERROR(__xludf.DUMMYFUNCTION("""COMPUTED_VALUE"""),"P-19777-00")</f>
        <v>P-19777-00</v>
      </c>
      <c r="B2004" s="2" t="str">
        <f>IFERROR(__xludf.DUMMYFUNCTION("""COMPUTED_VALUE"""),"General - Coupling Adapter Mixer SS 304 SMBS Uk. 35x100mm; Custom; -; 1 pc")</f>
        <v>General - Coupling Adapter Mixer SS 304 SMBS Uk. 35x100mm; Custom; -; 1 pc</v>
      </c>
      <c r="C2004" s="2" t="str">
        <f>IFERROR(__xludf.DUMMYFUNCTION("""COMPUTED_VALUE"""),"P-19777-00")</f>
        <v>P-19777-00</v>
      </c>
      <c r="D2004" s="2" t="str">
        <f>if(isna(vlookup(C2004,'On Hand'!A:C,3,0)),"",vlookup(C2004,'On Hand'!A:C,3,0))</f>
        <v>pc</v>
      </c>
    </row>
    <row r="2005">
      <c r="A2005" s="2" t="str">
        <f>IFERROR(__xludf.DUMMYFUNCTION("""COMPUTED_VALUE"""),"P-19778-00")</f>
        <v>P-19778-00</v>
      </c>
      <c r="B2005" s="2" t="str">
        <f>IFERROR(__xludf.DUMMYFUNCTION("""COMPUTED_VALUE"""),"General - Mesh 30 SS 304; No Brand; -; 1 meter")</f>
        <v>General - Mesh 30 SS 304; No Brand; -; 1 meter</v>
      </c>
      <c r="C2005" s="2" t="str">
        <f>IFERROR(__xludf.DUMMYFUNCTION("""COMPUTED_VALUE"""),"P-19778-00")</f>
        <v>P-19778-00</v>
      </c>
      <c r="D2005" s="2" t="str">
        <f>if(isna(vlookup(C2005,'On Hand'!A:C,3,0)),"",vlookup(C2005,'On Hand'!A:C,3,0))</f>
        <v/>
      </c>
    </row>
    <row r="2006">
      <c r="A2006" s="2" t="str">
        <f>IFERROR(__xludf.DUMMYFUNCTION("""COMPUTED_VALUE"""),"P-19779-00")</f>
        <v>P-19779-00</v>
      </c>
      <c r="B2006" s="2" t="str">
        <f>IFERROR(__xludf.DUMMYFUNCTION("""COMPUTED_VALUE"""),"General - PVC Hose cpl., DN25 ISO-KF, 2000 mm; Inficon; 211-412; 1 pc")</f>
        <v>General - PVC Hose cpl., DN25 ISO-KF, 2000 mm; Inficon; 211-412; 1 pc</v>
      </c>
      <c r="C2006" s="2" t="str">
        <f>IFERROR(__xludf.DUMMYFUNCTION("""COMPUTED_VALUE"""),"P-19779-00")</f>
        <v>P-19779-00</v>
      </c>
      <c r="D2006" s="2" t="str">
        <f>if(isna(vlookup(C2006,'On Hand'!A:C,3,0)),"",vlookup(C2006,'On Hand'!A:C,3,0))</f>
        <v>pc</v>
      </c>
    </row>
    <row r="2007">
      <c r="A2007" s="2" t="str">
        <f>IFERROR(__xludf.DUMMYFUNCTION("""COMPUTED_VALUE"""),"P-19784-00")</f>
        <v>P-19784-00</v>
      </c>
      <c r="B2007" s="2" t="str">
        <f>IFERROR(__xludf.DUMMYFUNCTION("""COMPUTED_VALUE"""),"General - Male Connector M6 x 1/4inch NPT SS 316; Lokal; MC-NPT4-316; 1 pc")</f>
        <v>General - Male Connector M6 x 1/4inch NPT SS 316; Lokal; MC-NPT4-316; 1 pc</v>
      </c>
      <c r="C2007" s="2" t="str">
        <f>IFERROR(__xludf.DUMMYFUNCTION("""COMPUTED_VALUE"""),"P-19784-00")</f>
        <v>P-19784-00</v>
      </c>
      <c r="D2007" s="2" t="str">
        <f>if(isna(vlookup(C2007,'On Hand'!A:C,3,0)),"",vlookup(C2007,'On Hand'!A:C,3,0))</f>
        <v>pc</v>
      </c>
    </row>
    <row r="2008">
      <c r="A2008" s="2" t="str">
        <f>IFERROR(__xludf.DUMMYFUNCTION("""COMPUTED_VALUE"""),"P-19791-00")</f>
        <v>P-19791-00</v>
      </c>
      <c r="B2008" s="2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8" s="2" t="str">
        <f>IFERROR(__xludf.DUMMYFUNCTION("""COMPUTED_VALUE"""),"P-19791-00")</f>
        <v>P-19791-00</v>
      </c>
      <c r="D2008" s="2" t="str">
        <f>if(isna(vlookup(C2008,'On Hand'!A:C,3,0)),"",vlookup(C2008,'On Hand'!A:C,3,0))</f>
        <v/>
      </c>
    </row>
    <row r="2009">
      <c r="A2009" s="2" t="str">
        <f>IFERROR(__xludf.DUMMYFUNCTION("""COMPUTED_VALUE"""),"P-19811-00")</f>
        <v>P-19811-00</v>
      </c>
      <c r="B2009" s="2" t="str">
        <f>IFERROR(__xludf.DUMMYFUNCTION("""COMPUTED_VALUE"""),"General - Clamp Ferrule Sanitary 3/4 Inch; No Brand; -; 1 pc")</f>
        <v>General - Clamp Ferrule Sanitary 3/4 Inch; No Brand; -; 1 pc</v>
      </c>
      <c r="C2009" s="2" t="str">
        <f>IFERROR(__xludf.DUMMYFUNCTION("""COMPUTED_VALUE"""),"P-19811-00")</f>
        <v>P-19811-00</v>
      </c>
      <c r="D2009" s="2" t="str">
        <f>if(isna(vlookup(C2009,'On Hand'!A:C,3,0)),"",vlookup(C2009,'On Hand'!A:C,3,0))</f>
        <v>pc</v>
      </c>
    </row>
    <row r="2010">
      <c r="A2010" s="2" t="str">
        <f>IFERROR(__xludf.DUMMYFUNCTION("""COMPUTED_VALUE"""),"P-19818-00")</f>
        <v>P-19818-00</v>
      </c>
      <c r="B2010" s="2" t="str">
        <f>IFERROR(__xludf.DUMMYFUNCTION("""COMPUTED_VALUE"""),"General - Regulator AR2000-02 Uk. 1/4inch; ITAC; -; 1 pc")</f>
        <v>General - Regulator AR2000-02 Uk. 1/4inch; ITAC; -; 1 pc</v>
      </c>
      <c r="C2010" s="2" t="str">
        <f>IFERROR(__xludf.DUMMYFUNCTION("""COMPUTED_VALUE"""),"P-19818-00")</f>
        <v>P-19818-00</v>
      </c>
      <c r="D2010" s="2" t="str">
        <f>if(isna(vlookup(C2010,'On Hand'!A:C,3,0)),"",vlookup(C2010,'On Hand'!A:C,3,0))</f>
        <v/>
      </c>
    </row>
    <row r="2011">
      <c r="A2011" s="2" t="str">
        <f>IFERROR(__xludf.DUMMYFUNCTION("""COMPUTED_VALUE"""),"P-19819-00")</f>
        <v>P-19819-00</v>
      </c>
      <c r="B2011" s="2" t="str">
        <f>IFERROR(__xludf.DUMMYFUNCTION("""COMPUTED_VALUE"""),"General - Drain Pan Humidity Chamber SS304; Custom; -; 1 unit")</f>
        <v>General - Drain Pan Humidity Chamber SS304; Custom; -; 1 unit</v>
      </c>
      <c r="C2011" s="2" t="str">
        <f>IFERROR(__xludf.DUMMYFUNCTION("""COMPUTED_VALUE"""),"P-19819-00")</f>
        <v>P-19819-00</v>
      </c>
      <c r="D2011" s="2" t="str">
        <f>if(isna(vlookup(C2011,'On Hand'!A:C,3,0)),"",vlookup(C2011,'On Hand'!A:C,3,0))</f>
        <v/>
      </c>
    </row>
    <row r="2012">
      <c r="A2012" s="2" t="str">
        <f>IFERROR(__xludf.DUMMYFUNCTION("""COMPUTED_VALUE"""),"P-19820-00")</f>
        <v>P-19820-00</v>
      </c>
      <c r="B2012" s="2" t="str">
        <f>IFERROR(__xludf.DUMMYFUNCTION("""COMPUTED_VALUE"""),"General - Baut L Tanam M5 x 10 x 0.8 SS 304; No Brand; -; 100pcs/pack")</f>
        <v>General - Baut L Tanam M5 x 10 x 0.8 SS 304; No Brand; -; 100pcs/pack</v>
      </c>
      <c r="C2012" s="2" t="str">
        <f>IFERROR(__xludf.DUMMYFUNCTION("""COMPUTED_VALUE"""),"P-19820-00")</f>
        <v>P-19820-00</v>
      </c>
      <c r="D2012" s="2" t="str">
        <f>if(isna(vlookup(C2012,'On Hand'!A:C,3,0)),"",vlookup(C2012,'On Hand'!A:C,3,0))</f>
        <v/>
      </c>
    </row>
    <row r="2013">
      <c r="A2013" s="2" t="str">
        <f>IFERROR(__xludf.DUMMYFUNCTION("""COMPUTED_VALUE"""),"P-19826-00")</f>
        <v>P-19826-00</v>
      </c>
      <c r="B2013" s="2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3" s="2" t="str">
        <f>IFERROR(__xludf.DUMMYFUNCTION("""COMPUTED_VALUE"""),"P-19826-00")</f>
        <v>P-19826-00</v>
      </c>
      <c r="D2013" s="2" t="str">
        <f>if(isna(vlookup(C2013,'On Hand'!A:C,3,0)),"",vlookup(C2013,'On Hand'!A:C,3,0))</f>
        <v/>
      </c>
    </row>
    <row r="2014">
      <c r="A2014" s="2" t="str">
        <f>IFERROR(__xludf.DUMMYFUNCTION("""COMPUTED_VALUE"""),"P-19827-00")</f>
        <v>P-19827-00</v>
      </c>
      <c r="B2014" s="2" t="str">
        <f>IFERROR(__xludf.DUMMYFUNCTION("""COMPUTED_VALUE"""),"General - Valve Aktuator Stroke 40mm; Siemens; SKC62 2800N; 1 pc")</f>
        <v>General - Valve Aktuator Stroke 40mm; Siemens; SKC62 2800N; 1 pc</v>
      </c>
      <c r="C2014" s="2" t="str">
        <f>IFERROR(__xludf.DUMMYFUNCTION("""COMPUTED_VALUE"""),"P-19827-00")</f>
        <v>P-19827-00</v>
      </c>
      <c r="D2014" s="2" t="str">
        <f>if(isna(vlookup(C2014,'On Hand'!A:C,3,0)),"",vlookup(C2014,'On Hand'!A:C,3,0))</f>
        <v/>
      </c>
    </row>
    <row r="2015">
      <c r="A2015" s="2" t="str">
        <f>IFERROR(__xludf.DUMMYFUNCTION("""COMPUTED_VALUE"""),"P-19844-00")</f>
        <v>P-19844-00</v>
      </c>
      <c r="B2015" s="2" t="str">
        <f>IFERROR(__xludf.DUMMYFUNCTION("""COMPUTED_VALUE"""),"General - Drain Pan WIHC; Custom Agru Farma; -; 1 pc")</f>
        <v>General - Drain Pan WIHC; Custom Agru Farma; -; 1 pc</v>
      </c>
      <c r="C2015" s="2" t="str">
        <f>IFERROR(__xludf.DUMMYFUNCTION("""COMPUTED_VALUE"""),"P-19844-00")</f>
        <v>P-19844-00</v>
      </c>
      <c r="D2015" s="2" t="str">
        <f>if(isna(vlookup(C2015,'On Hand'!A:C,3,0)),"",vlookup(C2015,'On Hand'!A:C,3,0))</f>
        <v>pc</v>
      </c>
    </row>
    <row r="2016">
      <c r="A2016" s="2" t="str">
        <f>IFERROR(__xludf.DUMMYFUNCTION("""COMPUTED_VALUE"""),"P-19845-00")</f>
        <v>P-19845-00</v>
      </c>
      <c r="B2016" s="2" t="str">
        <f>IFERROR(__xludf.DUMMYFUNCTION("""COMPUTED_VALUE"""),"General - Roda PU 2 Inch tebal 25mm (Hanya Roda); No Brand; -; 1 pc")</f>
        <v>General - Roda PU 2 Inch tebal 25mm (Hanya Roda); No Brand; -; 1 pc</v>
      </c>
      <c r="C2016" s="2" t="str">
        <f>IFERROR(__xludf.DUMMYFUNCTION("""COMPUTED_VALUE"""),"P-19845-00")</f>
        <v>P-19845-00</v>
      </c>
      <c r="D2016" s="2" t="str">
        <f>if(isna(vlookup(C2016,'On Hand'!A:C,3,0)),"",vlookup(C2016,'On Hand'!A:C,3,0))</f>
        <v>pc</v>
      </c>
    </row>
    <row r="2017">
      <c r="A2017" s="2" t="str">
        <f>IFERROR(__xludf.DUMMYFUNCTION("""COMPUTED_VALUE"""),"P-19846-00")</f>
        <v>P-19846-00</v>
      </c>
      <c r="B2017" s="2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7" s="2" t="str">
        <f>IFERROR(__xludf.DUMMYFUNCTION("""COMPUTED_VALUE"""),"P-19846-00")</f>
        <v>P-19846-00</v>
      </c>
      <c r="D2017" s="2" t="str">
        <f>if(isna(vlookup(C2017,'On Hand'!A:C,3,0)),"",vlookup(C2017,'On Hand'!A:C,3,0))</f>
        <v>pc</v>
      </c>
    </row>
    <row r="2018">
      <c r="A2018" s="2" t="str">
        <f>IFERROR(__xludf.DUMMYFUNCTION("""COMPUTED_VALUE"""),"P-19847-00")</f>
        <v>P-19847-00</v>
      </c>
      <c r="B2018" s="2" t="str">
        <f>IFERROR(__xludf.DUMMYFUNCTION("""COMPUTED_VALUE"""),"General - Baut L Tanam M4x4mm SS304; No Brand; -; 100pcs/pack")</f>
        <v>General - Baut L Tanam M4x4mm SS304; No Brand; -; 100pcs/pack</v>
      </c>
      <c r="C2018" s="2" t="str">
        <f>IFERROR(__xludf.DUMMYFUNCTION("""COMPUTED_VALUE"""),"P-19847-00")</f>
        <v>P-19847-00</v>
      </c>
      <c r="D2018" s="2" t="str">
        <f>if(isna(vlookup(C2018,'On Hand'!A:C,3,0)),"",vlookup(C2018,'On Hand'!A:C,3,0))</f>
        <v/>
      </c>
    </row>
    <row r="2019">
      <c r="A2019" s="2" t="str">
        <f>IFERROR(__xludf.DUMMYFUNCTION("""COMPUTED_VALUE"""),"P-19848-00")</f>
        <v>P-19848-00</v>
      </c>
      <c r="B2019" s="2" t="str">
        <f>IFERROR(__xludf.DUMMYFUNCTION("""COMPUTED_VALUE"""),"General - Kawat Las Elektrode uk. 2,6x300mm; Niko Steel; NSN-308; 1 pc")</f>
        <v>General - Kawat Las Elektrode uk. 2,6x300mm; Niko Steel; NSN-308; 1 pc</v>
      </c>
      <c r="C2019" s="2" t="str">
        <f>IFERROR(__xludf.DUMMYFUNCTION("""COMPUTED_VALUE"""),"P-19848-00")</f>
        <v>P-19848-00</v>
      </c>
      <c r="D2019" s="2" t="str">
        <f>if(isna(vlookup(C2019,'On Hand'!A:C,3,0)),"",vlookup(C2019,'On Hand'!A:C,3,0))</f>
        <v>pc</v>
      </c>
    </row>
    <row r="2020">
      <c r="A2020" s="2" t="str">
        <f>IFERROR(__xludf.DUMMYFUNCTION("""COMPUTED_VALUE"""),"P-19849-00")</f>
        <v>P-19849-00</v>
      </c>
      <c r="B2020" s="2" t="str">
        <f>IFERROR(__xludf.DUMMYFUNCTION("""COMPUTED_VALUE"""),"General - Reducer Pneumatic Fitting 14-12 mm; EMC; -; 1 pc")</f>
        <v>General - Reducer Pneumatic Fitting 14-12 mm; EMC; -; 1 pc</v>
      </c>
      <c r="C2020" s="2" t="str">
        <f>IFERROR(__xludf.DUMMYFUNCTION("""COMPUTED_VALUE"""),"P-19849-00")</f>
        <v>P-19849-00</v>
      </c>
      <c r="D2020" s="2" t="str">
        <f>if(isna(vlookup(C2020,'On Hand'!A:C,3,0)),"",vlookup(C2020,'On Hand'!A:C,3,0))</f>
        <v>pc</v>
      </c>
    </row>
    <row r="2021">
      <c r="A2021" s="2" t="str">
        <f>IFERROR(__xludf.DUMMYFUNCTION("""COMPUTED_VALUE"""),"P-19850-00")</f>
        <v>P-19850-00</v>
      </c>
      <c r="B2021" s="2" t="str">
        <f>IFERROR(__xludf.DUMMYFUNCTION("""COMPUTED_VALUE"""),"General - Bearing 629ZZ; SKF; -; 1 pc")</f>
        <v>General - Bearing 629ZZ; SKF; -; 1 pc</v>
      </c>
      <c r="C2021" s="2" t="str">
        <f>IFERROR(__xludf.DUMMYFUNCTION("""COMPUTED_VALUE"""),"P-19850-00")</f>
        <v>P-19850-00</v>
      </c>
      <c r="D2021" s="2" t="str">
        <f>if(isna(vlookup(C2021,'On Hand'!A:C,3,0)),"",vlookup(C2021,'On Hand'!A:C,3,0))</f>
        <v>pc</v>
      </c>
    </row>
    <row r="2022">
      <c r="A2022" s="2" t="str">
        <f>IFERROR(__xludf.DUMMYFUNCTION("""COMPUTED_VALUE"""),"P-19868-00")</f>
        <v>P-19868-00</v>
      </c>
      <c r="B2022" s="2" t="str">
        <f>IFERROR(__xludf.DUMMYFUNCTION("""COMPUTED_VALUE"""),"General - Blind Plate KF25 SS; Lokal; -; 1 pc")</f>
        <v>General - Blind Plate KF25 SS; Lokal; -; 1 pc</v>
      </c>
      <c r="C2022" s="2" t="str">
        <f>IFERROR(__xludf.DUMMYFUNCTION("""COMPUTED_VALUE"""),"P-19868-00")</f>
        <v>P-19868-00</v>
      </c>
      <c r="D2022" s="2" t="str">
        <f>if(isna(vlookup(C2022,'On Hand'!A:C,3,0)),"",vlookup(C2022,'On Hand'!A:C,3,0))</f>
        <v/>
      </c>
    </row>
    <row r="2023">
      <c r="A2023" s="2" t="str">
        <f>IFERROR(__xludf.DUMMYFUNCTION("""COMPUTED_VALUE"""),"P-19877-00")</f>
        <v>P-19877-00</v>
      </c>
      <c r="B2023" s="2" t="str">
        <f>IFERROR(__xludf.DUMMYFUNCTION("""COMPUTED_VALUE"""),"General - Flexible Ducting Pipa Alumunium 4inch; No Brand; -; 1 pc")</f>
        <v>General - Flexible Ducting Pipa Alumunium 4inch; No Brand; -; 1 pc</v>
      </c>
      <c r="C2023" s="2" t="str">
        <f>IFERROR(__xludf.DUMMYFUNCTION("""COMPUTED_VALUE"""),"P-19877-00")</f>
        <v>P-19877-00</v>
      </c>
      <c r="D2023" s="2" t="str">
        <f>if(isna(vlookup(C2023,'On Hand'!A:C,3,0)),"",vlookup(C2023,'On Hand'!A:C,3,0))</f>
        <v>pc</v>
      </c>
    </row>
    <row r="2024">
      <c r="A2024" s="2" t="str">
        <f>IFERROR(__xludf.DUMMYFUNCTION("""COMPUTED_VALUE"""),"P-19879-00")</f>
        <v>P-19879-00</v>
      </c>
      <c r="B2024" s="2" t="str">
        <f>IFERROR(__xludf.DUMMYFUNCTION("""COMPUTED_VALUE"""),"General - Clamp Pipa Gantung 2,5inch; No Brand; -; 1 pc")</f>
        <v>General - Clamp Pipa Gantung 2,5inch; No Brand; -; 1 pc</v>
      </c>
      <c r="C2024" s="2" t="str">
        <f>IFERROR(__xludf.DUMMYFUNCTION("""COMPUTED_VALUE"""),"P-19879-00")</f>
        <v>P-19879-00</v>
      </c>
      <c r="D2024" s="2" t="str">
        <f>if(isna(vlookup(C2024,'On Hand'!A:C,3,0)),"",vlookup(C2024,'On Hand'!A:C,3,0))</f>
        <v>pc</v>
      </c>
    </row>
    <row r="2025">
      <c r="A2025" s="2" t="str">
        <f>IFERROR(__xludf.DUMMYFUNCTION("""COMPUTED_VALUE"""),"P-19882-00")</f>
        <v>P-19882-00</v>
      </c>
      <c r="B2025" s="2" t="str">
        <f>IFERROR(__xludf.DUMMYFUNCTION("""COMPUTED_VALUE"""),"General - Socket Pipa PVC JIS AW 2inch; Rucika; -; 1 pc")</f>
        <v>General - Socket Pipa PVC JIS AW 2inch; Rucika; -; 1 pc</v>
      </c>
      <c r="C2025" s="2" t="str">
        <f>IFERROR(__xludf.DUMMYFUNCTION("""COMPUTED_VALUE"""),"P-19882-00")</f>
        <v>P-19882-00</v>
      </c>
      <c r="D2025" s="2" t="str">
        <f>if(isna(vlookup(C2025,'On Hand'!A:C,3,0)),"",vlookup(C2025,'On Hand'!A:C,3,0))</f>
        <v>pc</v>
      </c>
    </row>
    <row r="2026">
      <c r="A2026" s="2" t="str">
        <f>IFERROR(__xludf.DUMMYFUNCTION("""COMPUTED_VALUE"""),"P-19885-00")</f>
        <v>P-19885-00</v>
      </c>
      <c r="B2026" s="2" t="str">
        <f>IFERROR(__xludf.DUMMYFUNCTION("""COMPUTED_VALUE"""),"General - Kabel Duct Oval, Size: 50x15, Panjang 2.9meter; Stindo; -; 1 pc")</f>
        <v>General - Kabel Duct Oval, Size: 50x15, Panjang 2.9meter; Stindo; -; 1 pc</v>
      </c>
      <c r="C2026" s="2" t="str">
        <f>IFERROR(__xludf.DUMMYFUNCTION("""COMPUTED_VALUE"""),"P-19885-00")</f>
        <v>P-19885-00</v>
      </c>
      <c r="D2026" s="2" t="str">
        <f>if(isna(vlookup(C2026,'On Hand'!A:C,3,0)),"",vlookup(C2026,'On Hand'!A:C,3,0))</f>
        <v>pc</v>
      </c>
    </row>
    <row r="2027">
      <c r="A2027" s="2" t="str">
        <f>IFERROR(__xludf.DUMMYFUNCTION("""COMPUTED_VALUE"""),"P-19889-00")</f>
        <v>P-19889-00</v>
      </c>
      <c r="B2027" s="2" t="str">
        <f>IFERROR(__xludf.DUMMYFUNCTION("""COMPUTED_VALUE"""),"General - Air Accu Merah; DeQuua; -; 20L/can")</f>
        <v>General - Air Accu Merah; DeQuua; -; 20L/can</v>
      </c>
      <c r="C2027" s="2" t="str">
        <f>IFERROR(__xludf.DUMMYFUNCTION("""COMPUTED_VALUE"""),"P-19889-00")</f>
        <v>P-19889-00</v>
      </c>
      <c r="D2027" s="2" t="str">
        <f>if(isna(vlookup(C2027,'On Hand'!A:C,3,0)),"",vlookup(C2027,'On Hand'!A:C,3,0))</f>
        <v>Can</v>
      </c>
    </row>
    <row r="2028">
      <c r="A2028" s="2" t="str">
        <f>IFERROR(__xludf.DUMMYFUNCTION("""COMPUTED_VALUE"""),"P-19892-00")</f>
        <v>P-19892-00</v>
      </c>
      <c r="B2028" s="2" t="str">
        <f>IFERROR(__xludf.DUMMYFUNCTION("""COMPUTED_VALUE"""),"General - Plug Silincer 1/4inch; No Brand; -; 1 pc")</f>
        <v>General - Plug Silincer 1/4inch; No Brand; -; 1 pc</v>
      </c>
      <c r="C2028" s="2" t="str">
        <f>IFERROR(__xludf.DUMMYFUNCTION("""COMPUTED_VALUE"""),"P-19892-00")</f>
        <v>P-19892-00</v>
      </c>
      <c r="D2028" s="2" t="str">
        <f>if(isna(vlookup(C2028,'On Hand'!A:C,3,0)),"",vlookup(C2028,'On Hand'!A:C,3,0))</f>
        <v/>
      </c>
    </row>
    <row r="2029">
      <c r="A2029" s="2" t="str">
        <f>IFERROR(__xludf.DUMMYFUNCTION("""COMPUTED_VALUE"""),"P-19893-00")</f>
        <v>P-19893-00</v>
      </c>
      <c r="B2029" s="2" t="str">
        <f>IFERROR(__xludf.DUMMYFUNCTION("""COMPUTED_VALUE"""),"General - Plug Silincer 1/8inch SS304; No Brand; -; 1 pc")</f>
        <v>General - Plug Silincer 1/8inch SS304; No Brand; -; 1 pc</v>
      </c>
      <c r="C2029" s="2" t="str">
        <f>IFERROR(__xludf.DUMMYFUNCTION("""COMPUTED_VALUE"""),"P-19893-00")</f>
        <v>P-19893-00</v>
      </c>
      <c r="D2029" s="2" t="str">
        <f>if(isna(vlookup(C2029,'On Hand'!A:C,3,0)),"",vlookup(C2029,'On Hand'!A:C,3,0))</f>
        <v/>
      </c>
    </row>
    <row r="2030">
      <c r="A2030" s="2" t="str">
        <f>IFERROR(__xludf.DUMMYFUNCTION("""COMPUTED_VALUE"""),"P-19894-00")</f>
        <v>P-19894-00</v>
      </c>
      <c r="B2030" s="2" t="str">
        <f>IFERROR(__xludf.DUMMYFUNCTION("""COMPUTED_VALUE"""),"General - Fitting QS 1/8 x 6mm; EMC; -; 1 pc")</f>
        <v>General - Fitting QS 1/8 x 6mm; EMC; -; 1 pc</v>
      </c>
      <c r="C2030" s="2" t="str">
        <f>IFERROR(__xludf.DUMMYFUNCTION("""COMPUTED_VALUE"""),"P-19894-00")</f>
        <v>P-19894-00</v>
      </c>
      <c r="D2030" s="2" t="str">
        <f>if(isna(vlookup(C2030,'On Hand'!A:C,3,0)),"",vlookup(C2030,'On Hand'!A:C,3,0))</f>
        <v/>
      </c>
    </row>
    <row r="2031">
      <c r="A2031" s="2" t="str">
        <f>IFERROR(__xludf.DUMMYFUNCTION("""COMPUTED_VALUE"""),"P-19895-00")</f>
        <v>P-19895-00</v>
      </c>
      <c r="B2031" s="2" t="str">
        <f>IFERROR(__xludf.DUMMYFUNCTION("""COMPUTED_VALUE"""),"General - Baut M4 x 60mm + Mur + Ring; No Brand; -; 1 pc")</f>
        <v>General - Baut M4 x 60mm + Mur + Ring; No Brand; -; 1 pc</v>
      </c>
      <c r="C2031" s="2" t="str">
        <f>IFERROR(__xludf.DUMMYFUNCTION("""COMPUTED_VALUE"""),"P-19895-00")</f>
        <v>P-19895-00</v>
      </c>
      <c r="D2031" s="2" t="str">
        <f>if(isna(vlookup(C2031,'On Hand'!A:C,3,0)),"",vlookup(C2031,'On Hand'!A:C,3,0))</f>
        <v/>
      </c>
    </row>
    <row r="2032">
      <c r="A2032" s="2" t="str">
        <f>IFERROR(__xludf.DUMMYFUNCTION("""COMPUTED_VALUE"""),"P-19896-00")</f>
        <v>P-19896-00</v>
      </c>
      <c r="B2032" s="2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2" s="2" t="str">
        <f>IFERROR(__xludf.DUMMYFUNCTION("""COMPUTED_VALUE"""),"P-19896-00")</f>
        <v>P-19896-00</v>
      </c>
      <c r="D2032" s="2" t="str">
        <f>if(isna(vlookup(C2032,'On Hand'!A:C,3,0)),"",vlookup(C2032,'On Hand'!A:C,3,0))</f>
        <v/>
      </c>
    </row>
    <row r="2033">
      <c r="A2033" s="2" t="str">
        <f>IFERROR(__xludf.DUMMYFUNCTION("""COMPUTED_VALUE"""),"P-19897-00")</f>
        <v>P-19897-00</v>
      </c>
      <c r="B2033" s="2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3" s="2" t="str">
        <f>IFERROR(__xludf.DUMMYFUNCTION("""COMPUTED_VALUE"""),"P-19897-00")</f>
        <v>P-19897-00</v>
      </c>
      <c r="D2033" s="2" t="str">
        <f>if(isna(vlookup(C2033,'On Hand'!A:C,3,0)),"",vlookup(C2033,'On Hand'!A:C,3,0))</f>
        <v/>
      </c>
    </row>
    <row r="2034">
      <c r="A2034" s="2" t="str">
        <f>IFERROR(__xludf.DUMMYFUNCTION("""COMPUTED_VALUE"""),"P-19898-00")</f>
        <v>P-19898-00</v>
      </c>
      <c r="B2034" s="2" t="str">
        <f>IFERROR(__xludf.DUMMYFUNCTION("""COMPUTED_VALUE"""),"General - Bushing VAV dia. 24 x 26mm; Custom Agru Farma; -; 1 pc")</f>
        <v>General - Bushing VAV dia. 24 x 26mm; Custom Agru Farma; -; 1 pc</v>
      </c>
      <c r="C2034" s="2" t="str">
        <f>IFERROR(__xludf.DUMMYFUNCTION("""COMPUTED_VALUE"""),"P-19898-00")</f>
        <v>P-19898-00</v>
      </c>
      <c r="D2034" s="2" t="str">
        <f>if(isna(vlookup(C2034,'On Hand'!A:C,3,0)),"",vlookup(C2034,'On Hand'!A:C,3,0))</f>
        <v>pc</v>
      </c>
    </row>
    <row r="2035">
      <c r="A2035" s="2" t="str">
        <f>IFERROR(__xludf.DUMMYFUNCTION("""COMPUTED_VALUE"""),"P-19899-00")</f>
        <v>P-19899-00</v>
      </c>
      <c r="B2035" s="2" t="str">
        <f>IFERROR(__xludf.DUMMYFUNCTION("""COMPUTED_VALUE"""),"General - Teflon Sheet 6 x 1000 x 1000mm; No Brand; -; 1 pc")</f>
        <v>General - Teflon Sheet 6 x 1000 x 1000mm; No Brand; -; 1 pc</v>
      </c>
      <c r="C2035" s="2" t="str">
        <f>IFERROR(__xludf.DUMMYFUNCTION("""COMPUTED_VALUE"""),"P-19899-00")</f>
        <v>P-19899-00</v>
      </c>
      <c r="D2035" s="2" t="str">
        <f>if(isna(vlookup(C2035,'On Hand'!A:C,3,0)),"",vlookup(C2035,'On Hand'!A:C,3,0))</f>
        <v>pc</v>
      </c>
    </row>
    <row r="2036">
      <c r="A2036" s="2" t="str">
        <f>IFERROR(__xludf.DUMMYFUNCTION("""COMPUTED_VALUE"""),"P-19908-00")</f>
        <v>P-19908-00</v>
      </c>
      <c r="B2036" s="2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6" s="2" t="str">
        <f>IFERROR(__xludf.DUMMYFUNCTION("""COMPUTED_VALUE"""),"P-19908-00")</f>
        <v>P-19908-00</v>
      </c>
      <c r="D2036" s="2" t="str">
        <f>if(isna(vlookup(C2036,'On Hand'!A:C,3,0)),"",vlookup(C2036,'On Hand'!A:C,3,0))</f>
        <v/>
      </c>
    </row>
    <row r="2037">
      <c r="A2037" s="2" t="str">
        <f>IFERROR(__xludf.DUMMYFUNCTION("""COMPUTED_VALUE"""),"P-19949-00")</f>
        <v>P-19949-00</v>
      </c>
      <c r="B2037" s="2" t="str">
        <f>IFERROR(__xludf.DUMMYFUNCTION("""COMPUTED_VALUE"""),"General - Label Maker Cable CAT6A; No Brand; -; 1 pc")</f>
        <v>General - Label Maker Cable CAT6A; No Brand; -; 1 pc</v>
      </c>
      <c r="C2037" s="2" t="str">
        <f>IFERROR(__xludf.DUMMYFUNCTION("""COMPUTED_VALUE"""),"P-19949-00")</f>
        <v>P-19949-00</v>
      </c>
      <c r="D2037" s="2" t="str">
        <f>if(isna(vlookup(C2037,'On Hand'!A:C,3,0)),"",vlookup(C2037,'On Hand'!A:C,3,0))</f>
        <v>pc</v>
      </c>
    </row>
    <row r="2038">
      <c r="A2038" s="2" t="str">
        <f>IFERROR(__xludf.DUMMYFUNCTION("""COMPUTED_VALUE"""),"P-19950-00")</f>
        <v>P-19950-00</v>
      </c>
      <c r="B2038" s="2" t="str">
        <f>IFERROR(__xludf.DUMMYFUNCTION("""COMPUTED_VALUE"""),"General - Directional Valve Pin Lock; SMC; VHL210W-02; 1 pc")</f>
        <v>General - Directional Valve Pin Lock; SMC; VHL210W-02; 1 pc</v>
      </c>
      <c r="C2038" s="2" t="str">
        <f>IFERROR(__xludf.DUMMYFUNCTION("""COMPUTED_VALUE"""),"P-19950-00")</f>
        <v>P-19950-00</v>
      </c>
      <c r="D2038" s="2" t="str">
        <f>if(isna(vlookup(C2038,'On Hand'!A:C,3,0)),"",vlookup(C2038,'On Hand'!A:C,3,0))</f>
        <v/>
      </c>
    </row>
    <row r="2039">
      <c r="A2039" s="2" t="str">
        <f>IFERROR(__xludf.DUMMYFUNCTION("""COMPUTED_VALUE"""),"P-19951-00")</f>
        <v>P-19951-00</v>
      </c>
      <c r="B2039" s="2" t="str">
        <f>IFERROR(__xludf.DUMMYFUNCTION("""COMPUTED_VALUE"""),"General - Check Valve SMC; -; AKH08A-025; 1 pc")</f>
        <v>General - Check Valve SMC; -; AKH08A-025; 1 pc</v>
      </c>
      <c r="C2039" s="2" t="str">
        <f>IFERROR(__xludf.DUMMYFUNCTION("""COMPUTED_VALUE"""),"P-19951-00")</f>
        <v>P-19951-00</v>
      </c>
      <c r="D2039" s="2" t="str">
        <f>if(isna(vlookup(C2039,'On Hand'!A:C,3,0)),"",vlookup(C2039,'On Hand'!A:C,3,0))</f>
        <v/>
      </c>
    </row>
    <row r="2040">
      <c r="A2040" s="2" t="str">
        <f>IFERROR(__xludf.DUMMYFUNCTION("""COMPUTED_VALUE"""),"P-19952-00")</f>
        <v>P-19952-00</v>
      </c>
      <c r="B2040" s="2" t="str">
        <f>IFERROR(__xludf.DUMMYFUNCTION("""COMPUTED_VALUE"""),"General - Fitting SMC; SMC; KQ2U08-00A; 1 pc")</f>
        <v>General - Fitting SMC; SMC; KQ2U08-00A; 1 pc</v>
      </c>
      <c r="C2040" s="2" t="str">
        <f>IFERROR(__xludf.DUMMYFUNCTION("""COMPUTED_VALUE"""),"P-19952-00")</f>
        <v>P-19952-00</v>
      </c>
      <c r="D2040" s="2" t="str">
        <f>if(isna(vlookup(C2040,'On Hand'!A:C,3,0)),"",vlookup(C2040,'On Hand'!A:C,3,0))</f>
        <v>pc</v>
      </c>
    </row>
    <row r="2041">
      <c r="A2041" s="2" t="str">
        <f>IFERROR(__xludf.DUMMYFUNCTION("""COMPUTED_VALUE"""),"P-19953-00")</f>
        <v>P-19953-00</v>
      </c>
      <c r="B2041" s="2" t="str">
        <f>IFERROR(__xludf.DUMMYFUNCTION("""COMPUTED_VALUE"""),"General - Plug 1/4inch; SMC; -; 1 pc")</f>
        <v>General - Plug 1/4inch; SMC; -; 1 pc</v>
      </c>
      <c r="C2041" s="2" t="str">
        <f>IFERROR(__xludf.DUMMYFUNCTION("""COMPUTED_VALUE"""),"P-19953-00")</f>
        <v>P-19953-00</v>
      </c>
      <c r="D2041" s="2" t="str">
        <f>if(isna(vlookup(C2041,'On Hand'!A:C,3,0)),"",vlookup(C2041,'On Hand'!A:C,3,0))</f>
        <v/>
      </c>
    </row>
    <row r="2042">
      <c r="A2042" s="2" t="str">
        <f>IFERROR(__xludf.DUMMYFUNCTION("""COMPUTED_VALUE"""),"P-19954-00")</f>
        <v>P-19954-00</v>
      </c>
      <c r="B2042" s="2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2" s="2" t="str">
        <f>IFERROR(__xludf.DUMMYFUNCTION("""COMPUTED_VALUE"""),"P-19954-00")</f>
        <v>P-19954-00</v>
      </c>
      <c r="D2042" s="2" t="str">
        <f>if(isna(vlookup(C2042,'On Hand'!A:C,3,0)),"",vlookup(C2042,'On Hand'!A:C,3,0))</f>
        <v>pc</v>
      </c>
    </row>
    <row r="2043">
      <c r="A2043" s="2" t="str">
        <f>IFERROR(__xludf.DUMMYFUNCTION("""COMPUTED_VALUE"""),"P-19955-00")</f>
        <v>P-19955-00</v>
      </c>
      <c r="B2043" s="2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3" s="2" t="str">
        <f>IFERROR(__xludf.DUMMYFUNCTION("""COMPUTED_VALUE"""),"P-19955-00")</f>
        <v>P-19955-00</v>
      </c>
      <c r="D2043" s="2" t="str">
        <f>if(isna(vlookup(C2043,'On Hand'!A:C,3,0)),"",vlookup(C2043,'On Hand'!A:C,3,0))</f>
        <v/>
      </c>
    </row>
    <row r="2044">
      <c r="A2044" s="2" t="str">
        <f>IFERROR(__xludf.DUMMYFUNCTION("""COMPUTED_VALUE"""),"P-19957-00")</f>
        <v>P-19957-00</v>
      </c>
      <c r="B2044" s="2" t="str">
        <f>IFERROR(__xludf.DUMMYFUNCTION("""COMPUTED_VALUE"""),"General - Vacuum Ferrule KF25; No Brand; -; 1 pc")</f>
        <v>General - Vacuum Ferrule KF25; No Brand; -; 1 pc</v>
      </c>
      <c r="C2044" s="2" t="str">
        <f>IFERROR(__xludf.DUMMYFUNCTION("""COMPUTED_VALUE"""),"P-19957-00")</f>
        <v>P-19957-00</v>
      </c>
      <c r="D2044" s="2" t="str">
        <f>if(isna(vlookup(C2044,'On Hand'!A:C,3,0)),"",vlookup(C2044,'On Hand'!A:C,3,0))</f>
        <v/>
      </c>
    </row>
    <row r="2045">
      <c r="A2045" s="2" t="str">
        <f>IFERROR(__xludf.DUMMYFUNCTION("""COMPUTED_VALUE"""),"P-19958-00")</f>
        <v>P-19958-00</v>
      </c>
      <c r="B2045" s="2" t="str">
        <f>IFERROR(__xludf.DUMMYFUNCTION("""COMPUTED_VALUE"""),"General - Vacuum Ferrule KF16; No Brand; -; 1 pc")</f>
        <v>General - Vacuum Ferrule KF16; No Brand; -; 1 pc</v>
      </c>
      <c r="C2045" s="2" t="str">
        <f>IFERROR(__xludf.DUMMYFUNCTION("""COMPUTED_VALUE"""),"P-19958-00")</f>
        <v>P-19958-00</v>
      </c>
      <c r="D2045" s="2" t="str">
        <f>if(isna(vlookup(C2045,'On Hand'!A:C,3,0)),"",vlookup(C2045,'On Hand'!A:C,3,0))</f>
        <v/>
      </c>
    </row>
    <row r="2046">
      <c r="A2046" s="2" t="str">
        <f>IFERROR(__xludf.DUMMYFUNCTION("""COMPUTED_VALUE"""),"P-19987-00")</f>
        <v>P-19987-00</v>
      </c>
      <c r="B2046" s="2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6" s="2" t="str">
        <f>IFERROR(__xludf.DUMMYFUNCTION("""COMPUTED_VALUE"""),"P-19987-00")</f>
        <v>P-19987-00</v>
      </c>
      <c r="D2046" s="2" t="str">
        <f>if(isna(vlookup(C2046,'On Hand'!A:C,3,0)),"",vlookup(C2046,'On Hand'!A:C,3,0))</f>
        <v/>
      </c>
    </row>
    <row r="2047">
      <c r="A2047" s="2" t="str">
        <f>IFERROR(__xludf.DUMMYFUNCTION("""COMPUTED_VALUE"""),"P-20014-00")</f>
        <v>P-20014-00</v>
      </c>
      <c r="B2047" s="2" t="str">
        <f>IFERROR(__xludf.DUMMYFUNCTION("""COMPUTED_VALUE"""),"General - Double Nepple Kuningan Drat 3/8 inch - 3/8inch; No Brand; -; 1 pc")</f>
        <v>General - Double Nepple Kuningan Drat 3/8 inch - 3/8inch; No Brand; -; 1 pc</v>
      </c>
      <c r="C2047" s="2" t="str">
        <f>IFERROR(__xludf.DUMMYFUNCTION("""COMPUTED_VALUE"""),"P-20014-00")</f>
        <v>P-20014-00</v>
      </c>
      <c r="D2047" s="2" t="str">
        <f>if(isna(vlookup(C2047,'On Hand'!A:C,3,0)),"",vlookup(C2047,'On Hand'!A:C,3,0))</f>
        <v>pc</v>
      </c>
    </row>
    <row r="2048">
      <c r="A2048" s="2" t="str">
        <f>IFERROR(__xludf.DUMMYFUNCTION("""COMPUTED_VALUE"""),"P-20015-00")</f>
        <v>P-20015-00</v>
      </c>
      <c r="B2048" s="2" t="str">
        <f>IFERROR(__xludf.DUMMYFUNCTION("""COMPUTED_VALUE"""),"General - Pressure Gauge 0-6 Bar, Drat 1/2inch; WIKA; -; 1 pc")</f>
        <v>General - Pressure Gauge 0-6 Bar, Drat 1/2inch; WIKA; -; 1 pc</v>
      </c>
      <c r="C2048" s="2" t="str">
        <f>IFERROR(__xludf.DUMMYFUNCTION("""COMPUTED_VALUE"""),"P-20015-00")</f>
        <v>P-20015-00</v>
      </c>
      <c r="D2048" s="2" t="str">
        <f>if(isna(vlookup(C2048,'On Hand'!A:C,3,0)),"",vlookup(C2048,'On Hand'!A:C,3,0))</f>
        <v>pc</v>
      </c>
    </row>
    <row r="2049">
      <c r="A2049" s="2" t="str">
        <f>IFERROR(__xludf.DUMMYFUNCTION("""COMPUTED_VALUE"""),"P-20016-00")</f>
        <v>P-20016-00</v>
      </c>
      <c r="B2049" s="2" t="str">
        <f>IFERROR(__xludf.DUMMYFUNCTION("""COMPUTED_VALUE"""),"General - Mur Baja M14; No Brand; -; 1 pc")</f>
        <v>General - Mur Baja M14; No Brand; -; 1 pc</v>
      </c>
      <c r="C2049" s="2" t="str">
        <f>IFERROR(__xludf.DUMMYFUNCTION("""COMPUTED_VALUE"""),"P-20016-00")</f>
        <v>P-20016-00</v>
      </c>
      <c r="D2049" s="2" t="str">
        <f>if(isna(vlookup(C2049,'On Hand'!A:C,3,0)),"",vlookup(C2049,'On Hand'!A:C,3,0))</f>
        <v>pc</v>
      </c>
    </row>
    <row r="2050">
      <c r="A2050" s="2" t="str">
        <f>IFERROR(__xludf.DUMMYFUNCTION("""COMPUTED_VALUE"""),"P-20018-00")</f>
        <v>P-20018-00</v>
      </c>
      <c r="B2050" s="2" t="str">
        <f>IFERROR(__xludf.DUMMYFUNCTION("""COMPUTED_VALUE"""),"General - Penutup Flexible Ducting 4inch; No Brand; -; 1 pc")</f>
        <v>General - Penutup Flexible Ducting 4inch; No Brand; -; 1 pc</v>
      </c>
      <c r="C2050" s="2" t="str">
        <f>IFERROR(__xludf.DUMMYFUNCTION("""COMPUTED_VALUE"""),"P-20018-00")</f>
        <v>P-20018-00</v>
      </c>
      <c r="D2050" s="2" t="str">
        <f>if(isna(vlookup(C2050,'On Hand'!A:C,3,0)),"",vlookup(C2050,'On Hand'!A:C,3,0))</f>
        <v>pc</v>
      </c>
    </row>
    <row r="2051">
      <c r="A2051" s="2" t="str">
        <f>IFERROR(__xludf.DUMMYFUNCTION("""COMPUTED_VALUE"""),"P-20019-00")</f>
        <v>P-20019-00</v>
      </c>
      <c r="B2051" s="2" t="str">
        <f>IFERROR(__xludf.DUMMYFUNCTION("""COMPUTED_VALUE"""),"General - Door Sticker T30-X; Austar; -; 1 pc")</f>
        <v>General - Door Sticker T30-X; Austar; -; 1 pc</v>
      </c>
      <c r="C2051" s="2" t="str">
        <f>IFERROR(__xludf.DUMMYFUNCTION("""COMPUTED_VALUE"""),"P-20019-00")</f>
        <v>P-20019-00</v>
      </c>
      <c r="D2051" s="2" t="str">
        <f>if(isna(vlookup(C2051,'On Hand'!A:C,3,0)),"",vlookup(C2051,'On Hand'!A:C,3,0))</f>
        <v/>
      </c>
    </row>
    <row r="2052">
      <c r="A2052" s="2" t="str">
        <f>IFERROR(__xludf.DUMMYFUNCTION("""COMPUTED_VALUE"""),"P-20020-00")</f>
        <v>P-20020-00</v>
      </c>
      <c r="B2052" s="2" t="str">
        <f>IFERROR(__xludf.DUMMYFUNCTION("""COMPUTED_VALUE"""),"General - Besi UNP 100 x 50 x 3mm; No Brand; -; 1 pc")</f>
        <v>General - Besi UNP 100 x 50 x 3mm; No Brand; -; 1 pc</v>
      </c>
      <c r="C2052" s="2" t="str">
        <f>IFERROR(__xludf.DUMMYFUNCTION("""COMPUTED_VALUE"""),"P-20020-00")</f>
        <v>P-20020-00</v>
      </c>
      <c r="D2052" s="2" t="str">
        <f>if(isna(vlookup(C2052,'On Hand'!A:C,3,0)),"",vlookup(C2052,'On Hand'!A:C,3,0))</f>
        <v>pc</v>
      </c>
    </row>
    <row r="2053">
      <c r="A2053" s="2" t="str">
        <f>IFERROR(__xludf.DUMMYFUNCTION("""COMPUTED_VALUE"""),"P-20021-00")</f>
        <v>P-20021-00</v>
      </c>
      <c r="B2053" s="2" t="str">
        <f>IFERROR(__xludf.DUMMYFUNCTION("""COMPUTED_VALUE"""),"General - Plat Strip 50 x 6 x 6000mm; No Brand; -; 1 pc")</f>
        <v>General - Plat Strip 50 x 6 x 6000mm; No Brand; -; 1 pc</v>
      </c>
      <c r="C2053" s="2" t="str">
        <f>IFERROR(__xludf.DUMMYFUNCTION("""COMPUTED_VALUE"""),"P-20021-00")</f>
        <v>P-20021-00</v>
      </c>
      <c r="D2053" s="2" t="str">
        <f>if(isna(vlookup(C2053,'On Hand'!A:C,3,0)),"",vlookup(C2053,'On Hand'!A:C,3,0))</f>
        <v>pc</v>
      </c>
    </row>
    <row r="2054">
      <c r="A2054" s="2" t="str">
        <f>IFERROR(__xludf.DUMMYFUNCTION("""COMPUTED_VALUE"""),"P-20022-00")</f>
        <v>P-20022-00</v>
      </c>
      <c r="B2054" s="2" t="str">
        <f>IFERROR(__xludf.DUMMYFUNCTION("""COMPUTED_VALUE"""),"General - Long Drat 14mm x 1meter; No Brand; -; 1 pc")</f>
        <v>General - Long Drat 14mm x 1meter; No Brand; -; 1 pc</v>
      </c>
      <c r="C2054" s="2" t="str">
        <f>IFERROR(__xludf.DUMMYFUNCTION("""COMPUTED_VALUE"""),"P-20022-00")</f>
        <v>P-20022-00</v>
      </c>
      <c r="D2054" s="2" t="str">
        <f>if(isna(vlookup(C2054,'On Hand'!A:C,3,0)),"",vlookup(C2054,'On Hand'!A:C,3,0))</f>
        <v>pc</v>
      </c>
    </row>
    <row r="2055">
      <c r="A2055" s="2" t="str">
        <f>IFERROR(__xludf.DUMMYFUNCTION("""COMPUTED_VALUE"""),"P-20039-00")</f>
        <v>P-20039-00</v>
      </c>
      <c r="B2055" s="2" t="str">
        <f>IFERROR(__xludf.DUMMYFUNCTION("""COMPUTED_VALUE"""),"General - Baut Button Flange M5 x 10mm x 1.5mm; No Brand; -; 100pcs/pack")</f>
        <v>General - Baut Button Flange M5 x 10mm x 1.5mm; No Brand; -; 100pcs/pack</v>
      </c>
      <c r="C2055" s="2" t="str">
        <f>IFERROR(__xludf.DUMMYFUNCTION("""COMPUTED_VALUE"""),"P-20039-00")</f>
        <v>P-20039-00</v>
      </c>
      <c r="D2055" s="2" t="str">
        <f>if(isna(vlookup(C2055,'On Hand'!A:C,3,0)),"",vlookup(C2055,'On Hand'!A:C,3,0))</f>
        <v/>
      </c>
    </row>
    <row r="2056">
      <c r="A2056" s="2" t="str">
        <f>IFERROR(__xludf.DUMMYFUNCTION("""COMPUTED_VALUE"""),"P-20041-00")</f>
        <v>P-20041-00</v>
      </c>
      <c r="B2056" s="2" t="str">
        <f>IFERROR(__xludf.DUMMYFUNCTION("""COMPUTED_VALUE"""),"General - Cable Duct 15 x 30mm; No Brand; -; 1,7meter/pc")</f>
        <v>General - Cable Duct 15 x 30mm; No Brand; -; 1,7meter/pc</v>
      </c>
      <c r="C2056" s="2" t="str">
        <f>IFERROR(__xludf.DUMMYFUNCTION("""COMPUTED_VALUE"""),"P-20041-00")</f>
        <v>P-20041-00</v>
      </c>
      <c r="D2056" s="2" t="str">
        <f>if(isna(vlookup(C2056,'On Hand'!A:C,3,0)),"",vlookup(C2056,'On Hand'!A:C,3,0))</f>
        <v>pc</v>
      </c>
    </row>
    <row r="2057">
      <c r="A2057" s="2" t="str">
        <f>IFERROR(__xludf.DUMMYFUNCTION("""COMPUTED_VALUE"""),"P-20045-00")</f>
        <v>P-20045-00</v>
      </c>
      <c r="B2057" s="2" t="str">
        <f>IFERROR(__xludf.DUMMYFUNCTION("""COMPUTED_VALUE"""),"General - Pipa Ornamen SS304 1 inch x 1.2mm x 6m; No Brand; -; 1 pc")</f>
        <v>General - Pipa Ornamen SS304 1 inch x 1.2mm x 6m; No Brand; -; 1 pc</v>
      </c>
      <c r="C2057" s="2" t="str">
        <f>IFERROR(__xludf.DUMMYFUNCTION("""COMPUTED_VALUE"""),"P-20045-00")</f>
        <v>P-20045-00</v>
      </c>
      <c r="D2057" s="2" t="str">
        <f>if(isna(vlookup(C2057,'On Hand'!A:C,3,0)),"",vlookup(C2057,'On Hand'!A:C,3,0))</f>
        <v>pc</v>
      </c>
    </row>
    <row r="2058">
      <c r="A2058" s="2" t="str">
        <f>IFERROR(__xludf.DUMMYFUNCTION("""COMPUTED_VALUE"""),"P-20049-00")</f>
        <v>P-20049-00</v>
      </c>
      <c r="B2058" s="2" t="str">
        <f>IFERROR(__xludf.DUMMYFUNCTION("""COMPUTED_VALUE"""),"General - Bobbin Gulungan Kabel Jumbo 30cm; No Brand; -; 1 pc")</f>
        <v>General - Bobbin Gulungan Kabel Jumbo 30cm; No Brand; -; 1 pc</v>
      </c>
      <c r="C2058" s="2" t="str">
        <f>IFERROR(__xludf.DUMMYFUNCTION("""COMPUTED_VALUE"""),"P-20049-00")</f>
        <v>P-20049-00</v>
      </c>
      <c r="D2058" s="2" t="str">
        <f>if(isna(vlookup(C2058,'On Hand'!A:C,3,0)),"",vlookup(C2058,'On Hand'!A:C,3,0))</f>
        <v>pc</v>
      </c>
    </row>
    <row r="2059">
      <c r="A2059" s="2" t="str">
        <f>IFERROR(__xludf.DUMMYFUNCTION("""COMPUTED_VALUE"""),"P-20117-00")</f>
        <v>P-20117-00</v>
      </c>
      <c r="B2059" s="2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59" s="2" t="str">
        <f>IFERROR(__xludf.DUMMYFUNCTION("""COMPUTED_VALUE"""),"P-20117-00")</f>
        <v>P-20117-00</v>
      </c>
      <c r="D2059" s="2" t="str">
        <f>if(isna(vlookup(C2059,'On Hand'!A:C,3,0)),"",vlookup(C2059,'On Hand'!A:C,3,0))</f>
        <v/>
      </c>
    </row>
    <row r="2060">
      <c r="A2060" s="2" t="str">
        <f>IFERROR(__xludf.DUMMYFUNCTION("""COMPUTED_VALUE"""),"P-20129-00")</f>
        <v>P-20129-00</v>
      </c>
      <c r="B2060" s="2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0" s="2" t="str">
        <f>IFERROR(__xludf.DUMMYFUNCTION("""COMPUTED_VALUE"""),"P-20129-00")</f>
        <v>P-20129-00</v>
      </c>
      <c r="D2060" s="2" t="str">
        <f>if(isna(vlookup(C2060,'On Hand'!A:C,3,0)),"",vlookup(C2060,'On Hand'!A:C,3,0))</f>
        <v>pc</v>
      </c>
    </row>
    <row r="2061">
      <c r="A2061" s="2" t="str">
        <f>IFERROR(__xludf.DUMMYFUNCTION("""COMPUTED_VALUE"""),"P-20131-00")</f>
        <v>P-20131-00</v>
      </c>
      <c r="B2061" s="2" t="str">
        <f>IFERROR(__xludf.DUMMYFUNCTION("""COMPUTED_VALUE"""),"General - Kaca Las Bening; No Brand; -; 1 pc")</f>
        <v>General - Kaca Las Bening; No Brand; -; 1 pc</v>
      </c>
      <c r="C2061" s="2" t="str">
        <f>IFERROR(__xludf.DUMMYFUNCTION("""COMPUTED_VALUE"""),"P-20131-00")</f>
        <v>P-20131-00</v>
      </c>
      <c r="D2061" s="2" t="str">
        <f>if(isna(vlookup(C2061,'On Hand'!A:C,3,0)),"",vlookup(C2061,'On Hand'!A:C,3,0))</f>
        <v>pc</v>
      </c>
    </row>
    <row r="2062">
      <c r="A2062" s="2" t="str">
        <f>IFERROR(__xludf.DUMMYFUNCTION("""COMPUTED_VALUE"""),"P-20144-00")</f>
        <v>P-20144-00</v>
      </c>
      <c r="B2062" s="2" t="str">
        <f>IFERROR(__xludf.DUMMYFUNCTION("""COMPUTED_VALUE"""),"General - Flange SS304 JIS 10K STD 2,5inch; No Brand; -; 1 pc")</f>
        <v>General - Flange SS304 JIS 10K STD 2,5inch; No Brand; -; 1 pc</v>
      </c>
      <c r="C2062" s="2" t="str">
        <f>IFERROR(__xludf.DUMMYFUNCTION("""COMPUTED_VALUE"""),"P-20144-00")</f>
        <v>P-20144-00</v>
      </c>
      <c r="D2062" s="2" t="str">
        <f>if(isna(vlookup(C2062,'On Hand'!A:C,3,0)),"",vlookup(C2062,'On Hand'!A:C,3,0))</f>
        <v/>
      </c>
    </row>
    <row r="2063">
      <c r="A2063" s="2" t="str">
        <f>IFERROR(__xludf.DUMMYFUNCTION("""COMPUTED_VALUE"""),"P-20150-00")</f>
        <v>P-20150-00</v>
      </c>
      <c r="B2063" s="2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3" s="2" t="str">
        <f>IFERROR(__xludf.DUMMYFUNCTION("""COMPUTED_VALUE"""),"P-20150-00")</f>
        <v>P-20150-00</v>
      </c>
      <c r="D2063" s="2" t="str">
        <f>if(isna(vlookup(C2063,'On Hand'!A:C,3,0)),"",vlookup(C2063,'On Hand'!A:C,3,0))</f>
        <v>pc</v>
      </c>
    </row>
    <row r="2064">
      <c r="A2064" s="2" t="str">
        <f>IFERROR(__xludf.DUMMYFUNCTION("""COMPUTED_VALUE"""),"P-20181-00")</f>
        <v>P-20181-00</v>
      </c>
      <c r="B2064" s="2" t="str">
        <f>IFERROR(__xludf.DUMMYFUNCTION("""COMPUTED_VALUE"""),"General - Kunci Box Panel Uk. 110mm; Electrical Home; MS-104C-3-K; 1 pc")</f>
        <v>General - Kunci Box Panel Uk. 110mm; Electrical Home; MS-104C-3-K; 1 pc</v>
      </c>
      <c r="C2064" s="2" t="str">
        <f>IFERROR(__xludf.DUMMYFUNCTION("""COMPUTED_VALUE"""),"P-20181-00")</f>
        <v>P-20181-00</v>
      </c>
      <c r="D2064" s="2" t="str">
        <f>if(isna(vlookup(C2064,'On Hand'!A:C,3,0)),"",vlookup(C2064,'On Hand'!A:C,3,0))</f>
        <v>pc</v>
      </c>
    </row>
    <row r="2065">
      <c r="A2065" s="2" t="str">
        <f>IFERROR(__xludf.DUMMYFUNCTION("""COMPUTED_VALUE"""),"P-20182-00")</f>
        <v>P-20182-00</v>
      </c>
      <c r="B2065" s="2" t="str">
        <f>IFERROR(__xludf.DUMMYFUNCTION("""COMPUTED_VALUE"""),"General - Kawat Las SS E-308 2.0mm; No Brand; -; 1 kg/pack")</f>
        <v>General - Kawat Las SS E-308 2.0mm; No Brand; -; 1 kg/pack</v>
      </c>
      <c r="C2065" s="2" t="str">
        <f>IFERROR(__xludf.DUMMYFUNCTION("""COMPUTED_VALUE"""),"P-20182-00")</f>
        <v>P-20182-00</v>
      </c>
      <c r="D2065" s="2" t="str">
        <f>if(isna(vlookup(C2065,'On Hand'!A:C,3,0)),"",vlookup(C2065,'On Hand'!A:C,3,0))</f>
        <v>Pck</v>
      </c>
    </row>
    <row r="2066">
      <c r="A2066" s="2" t="str">
        <f>IFERROR(__xludf.DUMMYFUNCTION("""COMPUTED_VALUE"""),"P-20183-00")</f>
        <v>P-20183-00</v>
      </c>
      <c r="B2066" s="2" t="str">
        <f>IFERROR(__xludf.DUMMYFUNCTION("""COMPUTED_VALUE"""),"General - Kawat Las RB26 2mm 6013; Kobelco; -; 5kg/box")</f>
        <v>General - Kawat Las RB26 2mm 6013; Kobelco; -; 5kg/box</v>
      </c>
      <c r="C2066" s="2" t="str">
        <f>IFERROR(__xludf.DUMMYFUNCTION("""COMPUTED_VALUE"""),"P-20183-00")</f>
        <v>P-20183-00</v>
      </c>
      <c r="D2066" s="2" t="str">
        <f>if(isna(vlookup(C2066,'On Hand'!A:C,3,0)),"",vlookup(C2066,'On Hand'!A:C,3,0))</f>
        <v>Box</v>
      </c>
    </row>
    <row r="2067">
      <c r="A2067" s="2" t="str">
        <f>IFERROR(__xludf.DUMMYFUNCTION("""COMPUTED_VALUE"""),"P-20184-00")</f>
        <v>P-20184-00</v>
      </c>
      <c r="B2067" s="2" t="str">
        <f>IFERROR(__xludf.DUMMYFUNCTION("""COMPUTED_VALUE"""),"General - Hollow SS304 Uk. 40 x 40 x 1.5 x 3000mm; No Brand; -; 1 pc")</f>
        <v>General - Hollow SS304 Uk. 40 x 40 x 1.5 x 3000mm; No Brand; -; 1 pc</v>
      </c>
      <c r="C2067" s="2" t="str">
        <f>IFERROR(__xludf.DUMMYFUNCTION("""COMPUTED_VALUE"""),"P-20184-00")</f>
        <v>P-20184-00</v>
      </c>
      <c r="D2067" s="2" t="str">
        <f>if(isna(vlookup(C2067,'On Hand'!A:C,3,0)),"",vlookup(C2067,'On Hand'!A:C,3,0))</f>
        <v>pc</v>
      </c>
    </row>
    <row r="2068">
      <c r="A2068" s="2" t="str">
        <f>IFERROR(__xludf.DUMMYFUNCTION("""COMPUTED_VALUE"""),"P-20185-00")</f>
        <v>P-20185-00</v>
      </c>
      <c r="B2068" s="2" t="str">
        <f>IFERROR(__xludf.DUMMYFUNCTION("""COMPUTED_VALUE"""),"General - Siku SS304 30 x 30 x 3 x 6000mm; No Brand; -; 1 pc")</f>
        <v>General - Siku SS304 30 x 30 x 3 x 6000mm; No Brand; -; 1 pc</v>
      </c>
      <c r="C2068" s="2" t="str">
        <f>IFERROR(__xludf.DUMMYFUNCTION("""COMPUTED_VALUE"""),"P-20185-00")</f>
        <v>P-20185-00</v>
      </c>
      <c r="D2068" s="2" t="str">
        <f>if(isna(vlookup(C2068,'On Hand'!A:C,3,0)),"",vlookup(C2068,'On Hand'!A:C,3,0))</f>
        <v>pc</v>
      </c>
    </row>
    <row r="2069">
      <c r="A2069" s="2" t="str">
        <f>IFERROR(__xludf.DUMMYFUNCTION("""COMPUTED_VALUE"""),"P-20186-00")</f>
        <v>P-20186-00</v>
      </c>
      <c r="B2069" s="2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69" s="2" t="str">
        <f>IFERROR(__xludf.DUMMYFUNCTION("""COMPUTED_VALUE"""),"P-20186-00")</f>
        <v>P-20186-00</v>
      </c>
      <c r="D2069" s="2" t="str">
        <f>if(isna(vlookup(C2069,'On Hand'!A:C,3,0)),"",vlookup(C2069,'On Hand'!A:C,3,0))</f>
        <v>pc</v>
      </c>
    </row>
    <row r="2070">
      <c r="A2070" s="2" t="str">
        <f>IFERROR(__xludf.DUMMYFUNCTION("""COMPUTED_VALUE"""),"P-20188-00")</f>
        <v>P-20188-00</v>
      </c>
      <c r="B2070" s="2" t="str">
        <f>IFERROR(__xludf.DUMMYFUNCTION("""COMPUTED_VALUE"""),"General - Solenoid 2 Way; EMC; 2V025-08; 1 pc")</f>
        <v>General - Solenoid 2 Way; EMC; 2V025-08; 1 pc</v>
      </c>
      <c r="C2070" s="2" t="str">
        <f>IFERROR(__xludf.DUMMYFUNCTION("""COMPUTED_VALUE"""),"P-20188-00")</f>
        <v>P-20188-00</v>
      </c>
      <c r="D2070" s="2" t="str">
        <f>if(isna(vlookup(C2070,'On Hand'!A:C,3,0)),"",vlookup(C2070,'On Hand'!A:C,3,0))</f>
        <v/>
      </c>
    </row>
    <row r="2071">
      <c r="A2071" s="2" t="str">
        <f>IFERROR(__xludf.DUMMYFUNCTION("""COMPUTED_VALUE"""),"P-20191-00")</f>
        <v>P-20191-00</v>
      </c>
      <c r="B2071" s="2" t="str">
        <f>IFERROR(__xludf.DUMMYFUNCTION("""COMPUTED_VALUE"""),"General - Besi CNP 100 x 50 x 2mm x 6000mm; No Brand; -; 1 batang")</f>
        <v>General - Besi CNP 100 x 50 x 2mm x 6000mm; No Brand; -; 1 batang</v>
      </c>
      <c r="C2071" s="2" t="str">
        <f>IFERROR(__xludf.DUMMYFUNCTION("""COMPUTED_VALUE"""),"P-20191-00")</f>
        <v>P-20191-00</v>
      </c>
      <c r="D2071" s="2" t="str">
        <f>if(isna(vlookup(C2071,'On Hand'!A:C,3,0)),"",vlookup(C2071,'On Hand'!A:C,3,0))</f>
        <v>pc</v>
      </c>
    </row>
    <row r="2072">
      <c r="A2072" s="2" t="str">
        <f>IFERROR(__xludf.DUMMYFUNCTION("""COMPUTED_VALUE"""),"P-20233-00")</f>
        <v>P-20233-00</v>
      </c>
      <c r="B2072" s="2" t="str">
        <f>IFERROR(__xludf.DUMMYFUNCTION("""COMPUTED_VALUE"""),"General - Baut + Mur Tembaga M10 x 20 Kunci 17; No Brand; -; 20pcs/pack")</f>
        <v>General - Baut + Mur Tembaga M10 x 20 Kunci 17; No Brand; -; 20pcs/pack</v>
      </c>
      <c r="C2072" s="2" t="str">
        <f>IFERROR(__xludf.DUMMYFUNCTION("""COMPUTED_VALUE"""),"P-20233-00")</f>
        <v>P-20233-00</v>
      </c>
      <c r="D2072" s="2" t="str">
        <f>if(isna(vlookup(C2072,'On Hand'!A:C,3,0)),"",vlookup(C2072,'On Hand'!A:C,3,0))</f>
        <v/>
      </c>
    </row>
    <row r="2073">
      <c r="A2073" s="2" t="str">
        <f>IFERROR(__xludf.DUMMYFUNCTION("""COMPUTED_VALUE"""),"P-20236-00")</f>
        <v>P-20236-00</v>
      </c>
      <c r="B2073" s="2" t="str">
        <f>IFERROR(__xludf.DUMMYFUNCTION("""COMPUTED_VALUE"""),"General - Tee Reducer PVC 2 x 3/4inch; Rucika; -; 1 pc")</f>
        <v>General - Tee Reducer PVC 2 x 3/4inch; Rucika; -; 1 pc</v>
      </c>
      <c r="C2073" s="2" t="str">
        <f>IFERROR(__xludf.DUMMYFUNCTION("""COMPUTED_VALUE"""),"P-20236-00")</f>
        <v>P-20236-00</v>
      </c>
      <c r="D2073" s="2" t="str">
        <f>if(isna(vlookup(C2073,'On Hand'!A:C,3,0)),"",vlookup(C2073,'On Hand'!A:C,3,0))</f>
        <v>pc</v>
      </c>
    </row>
    <row r="2074">
      <c r="A2074" s="2" t="str">
        <f>IFERROR(__xludf.DUMMYFUNCTION("""COMPUTED_VALUE"""),"P-20238-00")</f>
        <v>P-20238-00</v>
      </c>
      <c r="B2074" s="2" t="str">
        <f>IFERROR(__xludf.DUMMYFUNCTION("""COMPUTED_VALUE"""),"General - Gate Valve Kuningan 1/2 Inch ASA; KITZ; -; 1 pc")</f>
        <v>General - Gate Valve Kuningan 1/2 Inch ASA; KITZ; -; 1 pc</v>
      </c>
      <c r="C2074" s="2" t="str">
        <f>IFERROR(__xludf.DUMMYFUNCTION("""COMPUTED_VALUE"""),"P-20238-00")</f>
        <v>P-20238-00</v>
      </c>
      <c r="D2074" s="2" t="str">
        <f>if(isna(vlookup(C2074,'On Hand'!A:C,3,0)),"",vlookup(C2074,'On Hand'!A:C,3,0))</f>
        <v>pc</v>
      </c>
    </row>
    <row r="2075">
      <c r="A2075" s="2" t="str">
        <f>IFERROR(__xludf.DUMMYFUNCTION("""COMPUTED_VALUE"""),"P-20242-00")</f>
        <v>P-20242-00</v>
      </c>
      <c r="B2075" s="2" t="str">
        <f>IFERROR(__xludf.DUMMYFUNCTION("""COMPUTED_VALUE"""),"General - Plate SS304 Uk. 1,2 x 1220 x 2440mm F2B; No Brand; -; 1 pc")</f>
        <v>General - Plate SS304 Uk. 1,2 x 1220 x 2440mm F2B; No Brand; -; 1 pc</v>
      </c>
      <c r="C2075" s="2" t="str">
        <f>IFERROR(__xludf.DUMMYFUNCTION("""COMPUTED_VALUE"""),"P-20242-00")</f>
        <v>P-20242-00</v>
      </c>
      <c r="D2075" s="2" t="str">
        <f>if(isna(vlookup(C2075,'On Hand'!A:C,3,0)),"",vlookup(C2075,'On Hand'!A:C,3,0))</f>
        <v>pc</v>
      </c>
    </row>
    <row r="2076">
      <c r="A2076" s="2" t="str">
        <f>IFERROR(__xludf.DUMMYFUNCTION("""COMPUTED_VALUE"""),"P-20252-00")</f>
        <v>P-20252-00</v>
      </c>
      <c r="B2076" s="2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6" s="2" t="str">
        <f>IFERROR(__xludf.DUMMYFUNCTION("""COMPUTED_VALUE"""),"P-20252-00")</f>
        <v>P-20252-00</v>
      </c>
      <c r="D2076" s="2" t="str">
        <f>if(isna(vlookup(C2076,'On Hand'!A:C,3,0)),"",vlookup(C2076,'On Hand'!A:C,3,0))</f>
        <v>pc</v>
      </c>
    </row>
    <row r="2077">
      <c r="A2077" s="2" t="str">
        <f>IFERROR(__xludf.DUMMYFUNCTION("""COMPUTED_VALUE"""),"P-20258-00")</f>
        <v>P-20258-00</v>
      </c>
      <c r="B2077" s="2" t="str">
        <f>IFERROR(__xludf.DUMMYFUNCTION("""COMPUTED_VALUE"""),"PW SKID - Seal Mainhole Tank; Custom Bentala; -; 1 pc")</f>
        <v>PW SKID - Seal Mainhole Tank; Custom Bentala; -; 1 pc</v>
      </c>
      <c r="C2077" s="2" t="str">
        <f>IFERROR(__xludf.DUMMYFUNCTION("""COMPUTED_VALUE"""),"P-20258-00")</f>
        <v>P-20258-00</v>
      </c>
      <c r="D2077" s="2" t="str">
        <f>if(isna(vlookup(C2077,'On Hand'!A:C,3,0)),"",vlookup(C2077,'On Hand'!A:C,3,0))</f>
        <v/>
      </c>
    </row>
    <row r="2078">
      <c r="A2078" s="2" t="str">
        <f>IFERROR(__xludf.DUMMYFUNCTION("""COMPUTED_VALUE"""),"P-20272-00")</f>
        <v>P-20272-00</v>
      </c>
      <c r="B2078" s="2" t="str">
        <f>IFERROR(__xludf.DUMMYFUNCTION("""COMPUTED_VALUE"""),"General - V Belt SPA 1132; Mitsuboshi; -; 1 pc")</f>
        <v>General - V Belt SPA 1132; Mitsuboshi; -; 1 pc</v>
      </c>
      <c r="C2078" s="2" t="str">
        <f>IFERROR(__xludf.DUMMYFUNCTION("""COMPUTED_VALUE"""),"P-20272-00")</f>
        <v>P-20272-00</v>
      </c>
      <c r="D2078" s="2" t="str">
        <f>if(isna(vlookup(C2078,'On Hand'!A:C,3,0)),"",vlookup(C2078,'On Hand'!A:C,3,0))</f>
        <v>pc</v>
      </c>
    </row>
    <row r="2079">
      <c r="A2079" s="2" t="str">
        <f>IFERROR(__xludf.DUMMYFUNCTION("""COMPUTED_VALUE"""),"P-20283-00")</f>
        <v>P-20283-00</v>
      </c>
      <c r="B2079" s="2" t="str">
        <f>IFERROR(__xludf.DUMMYFUNCTION("""COMPUTED_VALUE"""),"General - Filter Regulator AW30-03-A; SMC; -; 1 pc")</f>
        <v>General - Filter Regulator AW30-03-A; SMC; -; 1 pc</v>
      </c>
      <c r="C2079" s="2" t="str">
        <f>IFERROR(__xludf.DUMMYFUNCTION("""COMPUTED_VALUE"""),"P-20283-00")</f>
        <v>P-20283-00</v>
      </c>
      <c r="D2079" s="2" t="str">
        <f>if(isna(vlookup(C2079,'On Hand'!A:C,3,0)),"",vlookup(C2079,'On Hand'!A:C,3,0))</f>
        <v/>
      </c>
    </row>
    <row r="2080">
      <c r="A2080" s="2" t="str">
        <f>IFERROR(__xludf.DUMMYFUNCTION("""COMPUTED_VALUE"""),"P-20284-00")</f>
        <v>P-20284-00</v>
      </c>
      <c r="B2080" s="2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0" s="2" t="str">
        <f>IFERROR(__xludf.DUMMYFUNCTION("""COMPUTED_VALUE"""),"P-20284-00")</f>
        <v>P-20284-00</v>
      </c>
      <c r="D2080" s="2" t="str">
        <f>if(isna(vlookup(C2080,'On Hand'!A:C,3,0)),"",vlookup(C2080,'On Hand'!A:C,3,0))</f>
        <v>pc</v>
      </c>
    </row>
    <row r="2081">
      <c r="A2081" s="2" t="str">
        <f>IFERROR(__xludf.DUMMYFUNCTION("""COMPUTED_VALUE"""),"P-20285-00")</f>
        <v>P-20285-00</v>
      </c>
      <c r="B2081" s="2" t="str">
        <f>IFERROR(__xludf.DUMMYFUNCTION("""COMPUTED_VALUE"""),"General - Cover Sensor Temp RH 110 x 150mm; Custom Agru; -; 1 pc")</f>
        <v>General - Cover Sensor Temp RH 110 x 150mm; Custom Agru; -; 1 pc</v>
      </c>
      <c r="C2081" s="2" t="str">
        <f>IFERROR(__xludf.DUMMYFUNCTION("""COMPUTED_VALUE"""),"P-20285-00")</f>
        <v>P-20285-00</v>
      </c>
      <c r="D2081" s="2" t="str">
        <f>if(isna(vlookup(C2081,'On Hand'!A:C,3,0)),"",vlookup(C2081,'On Hand'!A:C,3,0))</f>
        <v>pc</v>
      </c>
    </row>
    <row r="2082">
      <c r="A2082" s="2" t="str">
        <f>IFERROR(__xludf.DUMMYFUNCTION("""COMPUTED_VALUE"""),"P-20309-00")</f>
        <v>P-20309-00</v>
      </c>
      <c r="B2082" s="2" t="str">
        <f>IFERROR(__xludf.DUMMYFUNCTION("""COMPUTED_VALUE"""),"General - Hole Saw TCT Kugel 100 mm; Kugel; ;")</f>
        <v>General - Hole Saw TCT Kugel 100 mm; Kugel; ;</v>
      </c>
      <c r="C2082" s="2" t="str">
        <f>IFERROR(__xludf.DUMMYFUNCTION("""COMPUTED_VALUE"""),"P-20309-00")</f>
        <v>P-20309-00</v>
      </c>
      <c r="D2082" s="2" t="str">
        <f>if(isna(vlookup(C2082,'On Hand'!A:C,3,0)),"",vlookup(C2082,'On Hand'!A:C,3,0))</f>
        <v>pc</v>
      </c>
    </row>
    <row r="2083">
      <c r="A2083" s="2" t="str">
        <f>IFERROR(__xludf.DUMMYFUNCTION("""COMPUTED_VALUE"""),"P-20358-00")</f>
        <v>P-20358-00</v>
      </c>
      <c r="B2083" s="2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3" s="2" t="str">
        <f>IFERROR(__xludf.DUMMYFUNCTION("""COMPUTED_VALUE"""),"P-20358-00")</f>
        <v>P-20358-00</v>
      </c>
      <c r="D2083" s="2" t="str">
        <f>if(isna(vlookup(C2083,'On Hand'!A:C,3,0)),"",vlookup(C2083,'On Hand'!A:C,3,0))</f>
        <v>pc</v>
      </c>
    </row>
    <row r="2084">
      <c r="A2084" s="2" t="str">
        <f>IFERROR(__xludf.DUMMYFUNCTION("""COMPUTED_VALUE"""),"P-20359-00")</f>
        <v>P-20359-00</v>
      </c>
      <c r="B2084" s="2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4" s="2" t="str">
        <f>IFERROR(__xludf.DUMMYFUNCTION("""COMPUTED_VALUE"""),"P-20359-00")</f>
        <v>P-20359-00</v>
      </c>
      <c r="D2084" s="2" t="str">
        <f>if(isna(vlookup(C2084,'On Hand'!A:C,3,0)),"",vlookup(C2084,'On Hand'!A:C,3,0))</f>
        <v>pc</v>
      </c>
    </row>
    <row r="2085">
      <c r="A2085" s="2" t="str">
        <f>IFERROR(__xludf.DUMMYFUNCTION("""COMPUTED_VALUE"""),"P-20360-00")</f>
        <v>P-20360-00</v>
      </c>
      <c r="B2085" s="2" t="str">
        <f>IFERROR(__xludf.DUMMYFUNCTION("""COMPUTED_VALUE"""),"General - Liquid Gasket; Threebond; -; 75g/tube")</f>
        <v>General - Liquid Gasket; Threebond; -; 75g/tube</v>
      </c>
      <c r="C2085" s="2" t="str">
        <f>IFERROR(__xludf.DUMMYFUNCTION("""COMPUTED_VALUE"""),"P-20360-00")</f>
        <v>P-20360-00</v>
      </c>
      <c r="D2085" s="2" t="str">
        <f>if(isna(vlookup(C2085,'On Hand'!A:C,3,0)),"",vlookup(C2085,'On Hand'!A:C,3,0))</f>
        <v>pc</v>
      </c>
    </row>
    <row r="2086">
      <c r="A2086" s="2" t="str">
        <f>IFERROR(__xludf.DUMMYFUNCTION("""COMPUTED_VALUE"""),"P-20361-00")</f>
        <v>P-20361-00</v>
      </c>
      <c r="B2086" s="2" t="str">
        <f>IFERROR(__xludf.DUMMYFUNCTION("""COMPUTED_VALUE"""),"General - Ball Valve PVC 1 Inch Gagang Stainless; No Brand; -; 1 pc")</f>
        <v>General - Ball Valve PVC 1 Inch Gagang Stainless; No Brand; -; 1 pc</v>
      </c>
      <c r="C2086" s="2" t="str">
        <f>IFERROR(__xludf.DUMMYFUNCTION("""COMPUTED_VALUE"""),"P-20361-00")</f>
        <v>P-20361-00</v>
      </c>
      <c r="D2086" s="2" t="str">
        <f>if(isna(vlookup(C2086,'On Hand'!A:C,3,0)),"",vlookup(C2086,'On Hand'!A:C,3,0))</f>
        <v>pc</v>
      </c>
    </row>
    <row r="2087">
      <c r="A2087" s="2" t="str">
        <f>IFERROR(__xludf.DUMMYFUNCTION("""COMPUTED_VALUE"""),"P-20362-00")</f>
        <v>P-20362-00</v>
      </c>
      <c r="B2087" s="2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7" s="2" t="str">
        <f>IFERROR(__xludf.DUMMYFUNCTION("""COMPUTED_VALUE"""),"P-20362-00")</f>
        <v>P-20362-00</v>
      </c>
      <c r="D2087" s="2" t="str">
        <f>if(isna(vlookup(C2087,'On Hand'!A:C,3,0)),"",vlookup(C2087,'On Hand'!A:C,3,0))</f>
        <v/>
      </c>
    </row>
    <row r="2088">
      <c r="A2088" s="2" t="str">
        <f>IFERROR(__xludf.DUMMYFUNCTION("""COMPUTED_VALUE"""),"P-20363-00")</f>
        <v>P-20363-00</v>
      </c>
      <c r="B2088" s="2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8" s="2" t="str">
        <f>IFERROR(__xludf.DUMMYFUNCTION("""COMPUTED_VALUE"""),"P-20363-00")</f>
        <v>P-20363-00</v>
      </c>
      <c r="D2088" s="2" t="str">
        <f>if(isna(vlookup(C2088,'On Hand'!A:C,3,0)),"",vlookup(C2088,'On Hand'!A:C,3,0))</f>
        <v>pc</v>
      </c>
    </row>
    <row r="2089">
      <c r="A2089" s="2" t="str">
        <f>IFERROR(__xludf.DUMMYFUNCTION("""COMPUTED_VALUE"""),"P-20364-00")</f>
        <v>P-20364-00</v>
      </c>
      <c r="B2089" s="2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89" s="2" t="str">
        <f>IFERROR(__xludf.DUMMYFUNCTION("""COMPUTED_VALUE"""),"P-20364-00")</f>
        <v>P-20364-00</v>
      </c>
      <c r="D2089" s="2" t="str">
        <f>if(isna(vlookup(C2089,'On Hand'!A:C,3,0)),"",vlookup(C2089,'On Hand'!A:C,3,0))</f>
        <v/>
      </c>
    </row>
    <row r="2090">
      <c r="A2090" s="2" t="str">
        <f>IFERROR(__xludf.DUMMYFUNCTION("""COMPUTED_VALUE"""),"P-20365-00")</f>
        <v>P-20365-00</v>
      </c>
      <c r="B2090" s="2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0" s="2" t="str">
        <f>IFERROR(__xludf.DUMMYFUNCTION("""COMPUTED_VALUE"""),"P-20365-00")</f>
        <v>P-20365-00</v>
      </c>
      <c r="D2090" s="2" t="str">
        <f>if(isna(vlookup(C2090,'On Hand'!A:C,3,0)),"",vlookup(C2090,'On Hand'!A:C,3,0))</f>
        <v/>
      </c>
    </row>
    <row r="2091">
      <c r="A2091" s="2" t="str">
        <f>IFERROR(__xludf.DUMMYFUNCTION("""COMPUTED_VALUE"""),"P-20366-00")</f>
        <v>P-20366-00</v>
      </c>
      <c r="B2091" s="2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1" s="2" t="str">
        <f>IFERROR(__xludf.DUMMYFUNCTION("""COMPUTED_VALUE"""),"P-20366-00")</f>
        <v>P-20366-00</v>
      </c>
      <c r="D2091" s="2" t="str">
        <f>if(isna(vlookup(C2091,'On Hand'!A:C,3,0)),"",vlookup(C2091,'On Hand'!A:C,3,0))</f>
        <v>pc</v>
      </c>
    </row>
    <row r="2092">
      <c r="A2092" s="2" t="str">
        <f>IFERROR(__xludf.DUMMYFUNCTION("""COMPUTED_VALUE"""),"P-20367-00")</f>
        <v>P-20367-00</v>
      </c>
      <c r="B2092" s="2" t="str">
        <f>IFERROR(__xludf.DUMMYFUNCTION("""COMPUTED_VALUE"""),"General - Oring 8 x 400 x 416mm NBR; Custom Trenade; -; 1 pc")</f>
        <v>General - Oring 8 x 400 x 416mm NBR; Custom Trenade; -; 1 pc</v>
      </c>
      <c r="C2092" s="2" t="str">
        <f>IFERROR(__xludf.DUMMYFUNCTION("""COMPUTED_VALUE"""),"P-20367-00")</f>
        <v>P-20367-00</v>
      </c>
      <c r="D2092" s="2" t="str">
        <f>if(isna(vlookup(C2092,'On Hand'!A:C,3,0)),"",vlookup(C2092,'On Hand'!A:C,3,0))</f>
        <v>pc</v>
      </c>
    </row>
    <row r="2093">
      <c r="A2093" s="2" t="str">
        <f>IFERROR(__xludf.DUMMYFUNCTION("""COMPUTED_VALUE"""),"P-20368-00")</f>
        <v>P-20368-00</v>
      </c>
      <c r="B2093" s="2" t="str">
        <f>IFERROR(__xludf.DUMMYFUNCTION("""COMPUTED_VALUE"""),"General - Junction Box 220 x 150 x 75mm; No Brand; -; 1 pc")</f>
        <v>General - Junction Box 220 x 150 x 75mm; No Brand; -; 1 pc</v>
      </c>
      <c r="C2093" s="2" t="str">
        <f>IFERROR(__xludf.DUMMYFUNCTION("""COMPUTED_VALUE"""),"P-20368-00")</f>
        <v>P-20368-00</v>
      </c>
      <c r="D2093" s="2" t="str">
        <f>if(isna(vlookup(C2093,'On Hand'!A:C,3,0)),"",vlookup(C2093,'On Hand'!A:C,3,0))</f>
        <v/>
      </c>
    </row>
    <row r="2094">
      <c r="A2094" s="2" t="str">
        <f>IFERROR(__xludf.DUMMYFUNCTION("""COMPUTED_VALUE"""),"P-20369-00")</f>
        <v>P-20369-00</v>
      </c>
      <c r="B2094" s="2" t="str">
        <f>IFERROR(__xludf.DUMMYFUNCTION("""COMPUTED_VALUE"""),"General - Terminal Viking Grounding 4mm; Legrand; -; 1 pc")</f>
        <v>General - Terminal Viking Grounding 4mm; Legrand; -; 1 pc</v>
      </c>
      <c r="C2094" s="2" t="str">
        <f>IFERROR(__xludf.DUMMYFUNCTION("""COMPUTED_VALUE"""),"P-20369-00")</f>
        <v>P-20369-00</v>
      </c>
      <c r="D2094" s="2" t="str">
        <f>if(isna(vlookup(C2094,'On Hand'!A:C,3,0)),"",vlookup(C2094,'On Hand'!A:C,3,0))</f>
        <v>pc</v>
      </c>
    </row>
    <row r="2095">
      <c r="A2095" s="2" t="str">
        <f>IFERROR(__xludf.DUMMYFUNCTION("""COMPUTED_VALUE"""),"P-20392-00")</f>
        <v>P-20392-00</v>
      </c>
      <c r="B2095" s="2" t="str">
        <f>IFERROR(__xludf.DUMMYFUNCTION("""COMPUTED_VALUE"""),"General - Sock Drat Luar PVC 3/4 x 1/2 inch; Rucika; -; 1 pc")</f>
        <v>General - Sock Drat Luar PVC 3/4 x 1/2 inch; Rucika; -; 1 pc</v>
      </c>
      <c r="C2095" s="2" t="str">
        <f>IFERROR(__xludf.DUMMYFUNCTION("""COMPUTED_VALUE"""),"P-20392-00")</f>
        <v>P-20392-00</v>
      </c>
      <c r="D2095" s="2" t="str">
        <f>if(isna(vlookup(C2095,'On Hand'!A:C,3,0)),"",vlookup(C2095,'On Hand'!A:C,3,0))</f>
        <v>pc</v>
      </c>
    </row>
    <row r="2096">
      <c r="A2096" s="2" t="str">
        <f>IFERROR(__xludf.DUMMYFUNCTION("""COMPUTED_VALUE"""),"P-20393-00")</f>
        <v>P-20393-00</v>
      </c>
      <c r="B2096" s="2" t="str">
        <f>IFERROR(__xludf.DUMMYFUNCTION("""COMPUTED_VALUE"""),"General - Tee Reducer PVC 2 1/2 x 3/4 inch; ; ;")</f>
        <v>General - Tee Reducer PVC 2 1/2 x 3/4 inch; ; ;</v>
      </c>
      <c r="C2096" s="2" t="str">
        <f>IFERROR(__xludf.DUMMYFUNCTION("""COMPUTED_VALUE"""),"P-20393-00")</f>
        <v>P-20393-00</v>
      </c>
      <c r="D2096" s="2" t="str">
        <f>if(isna(vlookup(C2096,'On Hand'!A:C,3,0)),"",vlookup(C2096,'On Hand'!A:C,3,0))</f>
        <v>pc</v>
      </c>
    </row>
    <row r="2097">
      <c r="A2097" s="2" t="str">
        <f>IFERROR(__xludf.DUMMYFUNCTION("""COMPUTED_VALUE"""),"P-20408-00")</f>
        <v>P-20408-00</v>
      </c>
      <c r="B2097" s="2" t="str">
        <f>IFERROR(__xludf.DUMMYFUNCTION("""COMPUTED_VALUE"""),"General - Pressure Gauge 10 Bar 3/4 Inch; GMT; -; 1 pc")</f>
        <v>General - Pressure Gauge 10 Bar 3/4 Inch; GMT; -; 1 pc</v>
      </c>
      <c r="C2097" s="2" t="str">
        <f>IFERROR(__xludf.DUMMYFUNCTION("""COMPUTED_VALUE"""),"P-20408-00")</f>
        <v>P-20408-00</v>
      </c>
      <c r="D2097" s="2" t="str">
        <f>if(isna(vlookup(C2097,'On Hand'!A:C,3,0)),"",vlookup(C2097,'On Hand'!A:C,3,0))</f>
        <v>pc</v>
      </c>
    </row>
    <row r="2098">
      <c r="A2098" s="2" t="str">
        <f>IFERROR(__xludf.DUMMYFUNCTION("""COMPUTED_VALUE"""),"P-20409-00")</f>
        <v>P-20409-00</v>
      </c>
      <c r="B2098" s="2" t="str">
        <f>IFERROR(__xludf.DUMMYFUNCTION("""COMPUTED_VALUE"""),"Pompa Grundfos - Shaft Seal CR/N 32/45/64/90 HQQE; Grundfos; -; 1 pc")</f>
        <v>Pompa Grundfos - Shaft Seal CR/N 32/45/64/90 HQQE; Grundfos; -; 1 pc</v>
      </c>
      <c r="C2098" s="2" t="str">
        <f>IFERROR(__xludf.DUMMYFUNCTION("""COMPUTED_VALUE"""),"P-20409-00")</f>
        <v>P-20409-00</v>
      </c>
      <c r="D2098" s="2" t="str">
        <f>if(isna(vlookup(C2098,'On Hand'!A:C,3,0)),"",vlookup(C2098,'On Hand'!A:C,3,0))</f>
        <v>pc</v>
      </c>
    </row>
    <row r="2099">
      <c r="A2099" s="2" t="str">
        <f>IFERROR(__xludf.DUMMYFUNCTION("""COMPUTED_VALUE"""),"P-20431-00")</f>
        <v>P-20431-00</v>
      </c>
      <c r="B2099" s="2" t="str">
        <f>IFERROR(__xludf.DUMMYFUNCTION("""COMPUTED_VALUE"""),"General - Elbow Ornamen SS201 dia. 4 inch; No Brand; -; 1 pc")</f>
        <v>General - Elbow Ornamen SS201 dia. 4 inch; No Brand; -; 1 pc</v>
      </c>
      <c r="C2099" s="2" t="str">
        <f>IFERROR(__xludf.DUMMYFUNCTION("""COMPUTED_VALUE"""),"P-20431-00")</f>
        <v>P-20431-00</v>
      </c>
      <c r="D2099" s="2" t="str">
        <f>if(isna(vlookup(C2099,'On Hand'!A:C,3,0)),"",vlookup(C2099,'On Hand'!A:C,3,0))</f>
        <v/>
      </c>
    </row>
    <row r="2100">
      <c r="A2100" s="2" t="str">
        <f>IFERROR(__xludf.DUMMYFUNCTION("""COMPUTED_VALUE"""),"P-20432-00")</f>
        <v>P-20432-00</v>
      </c>
      <c r="B2100" s="2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0" s="2" t="str">
        <f>IFERROR(__xludf.DUMMYFUNCTION("""COMPUTED_VALUE"""),"P-20432-00")</f>
        <v>P-20432-00</v>
      </c>
      <c r="D2100" s="2" t="str">
        <f>if(isna(vlookup(C2100,'On Hand'!A:C,3,0)),"",vlookup(C2100,'On Hand'!A:C,3,0))</f>
        <v/>
      </c>
    </row>
    <row r="2101">
      <c r="A2101" s="2" t="str">
        <f>IFERROR(__xludf.DUMMYFUNCTION("""COMPUTED_VALUE"""),"P-20443-00")</f>
        <v>P-20443-00</v>
      </c>
      <c r="B2101" s="2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1" s="2" t="str">
        <f>IFERROR(__xludf.DUMMYFUNCTION("""COMPUTED_VALUE"""),"P-20443-00")</f>
        <v>P-20443-00</v>
      </c>
      <c r="D2101" s="2" t="str">
        <f>if(isna(vlookup(C2101,'On Hand'!A:C,3,0)),"",vlookup(C2101,'On Hand'!A:C,3,0))</f>
        <v>pc</v>
      </c>
    </row>
    <row r="2102">
      <c r="A2102" s="2" t="str">
        <f>IFERROR(__xludf.DUMMYFUNCTION("""COMPUTED_VALUE"""),"P-20444-00")</f>
        <v>P-20444-00</v>
      </c>
      <c r="B2102" s="2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2" s="2" t="str">
        <f>IFERROR(__xludf.DUMMYFUNCTION("""COMPUTED_VALUE"""),"P-20444-00")</f>
        <v>P-20444-00</v>
      </c>
      <c r="D2102" s="2" t="str">
        <f>if(isna(vlookup(C2102,'On Hand'!A:C,3,0)),"",vlookup(C2102,'On Hand'!A:C,3,0))</f>
        <v>pc</v>
      </c>
    </row>
    <row r="2103">
      <c r="A2103" s="2" t="str">
        <f>IFERROR(__xludf.DUMMYFUNCTION("""COMPUTED_VALUE"""),"P-20445-00")</f>
        <v>P-20445-00</v>
      </c>
      <c r="B2103" s="2" t="str">
        <f>IFERROR(__xludf.DUMMYFUNCTION("""COMPUTED_VALUE"""),"General - Caustic Soda (NaOH), Flakes; Tjiwi; -; 1 kg")</f>
        <v>General - Caustic Soda (NaOH), Flakes; Tjiwi; -; 1 kg</v>
      </c>
      <c r="C2103" s="2" t="str">
        <f>IFERROR(__xludf.DUMMYFUNCTION("""COMPUTED_VALUE"""),"P-20445-00")</f>
        <v>P-20445-00</v>
      </c>
      <c r="D2103" s="2" t="str">
        <f>if(isna(vlookup(C2103,'On Hand'!A:C,3,0)),"",vlookup(C2103,'On Hand'!A:C,3,0))</f>
        <v/>
      </c>
    </row>
    <row r="2104">
      <c r="A2104" s="2" t="str">
        <f>IFERROR(__xludf.DUMMYFUNCTION("""COMPUTED_VALUE"""),"P-20448-00")</f>
        <v>P-20448-00</v>
      </c>
      <c r="B2104" s="2" t="str">
        <f>IFERROR(__xludf.DUMMYFUNCTION("""COMPUTED_VALUE"""),"General - Insulation Ducting Tebal 20mm Uk. 1.2 x 0.9m; Proflex; -; 1 pc")</f>
        <v>General - Insulation Ducting Tebal 20mm Uk. 1.2 x 0.9m; Proflex; -; 1 pc</v>
      </c>
      <c r="C2104" s="2" t="str">
        <f>IFERROR(__xludf.DUMMYFUNCTION("""COMPUTED_VALUE"""),"P-20448-00")</f>
        <v>P-20448-00</v>
      </c>
      <c r="D2104" s="2" t="str">
        <f>if(isna(vlookup(C2104,'On Hand'!A:C,3,0)),"",vlookup(C2104,'On Hand'!A:C,3,0))</f>
        <v>pc</v>
      </c>
    </row>
    <row r="2105">
      <c r="A2105" s="2" t="str">
        <f>IFERROR(__xludf.DUMMYFUNCTION("""COMPUTED_VALUE"""),"P-20449-00")</f>
        <v>P-20449-00</v>
      </c>
      <c r="B2105" s="2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5" s="2" t="str">
        <f>IFERROR(__xludf.DUMMYFUNCTION("""COMPUTED_VALUE"""),"P-20449-00")</f>
        <v>P-20449-00</v>
      </c>
      <c r="D2105" s="2" t="str">
        <f>if(isna(vlookup(C2105,'On Hand'!A:C,3,0)),"",vlookup(C2105,'On Hand'!A:C,3,0))</f>
        <v>pc</v>
      </c>
    </row>
    <row r="2106">
      <c r="A2106" s="2" t="str">
        <f>IFERROR(__xludf.DUMMYFUNCTION("""COMPUTED_VALUE"""),"P-20509-00")</f>
        <v>P-20509-00</v>
      </c>
      <c r="B2106" s="2" t="str">
        <f>IFERROR(__xludf.DUMMYFUNCTION("""COMPUTED_VALUE"""),"General - Pressure Regulator AR20-F02G-D; SMC; -; 1 pc")</f>
        <v>General - Pressure Regulator AR20-F02G-D; SMC; -; 1 pc</v>
      </c>
      <c r="C2106" s="2" t="str">
        <f>IFERROR(__xludf.DUMMYFUNCTION("""COMPUTED_VALUE"""),"P-20509-00")</f>
        <v>P-20509-00</v>
      </c>
      <c r="D2106" s="2" t="str">
        <f>if(isna(vlookup(C2106,'On Hand'!A:C,3,0)),"",vlookup(C2106,'On Hand'!A:C,3,0))</f>
        <v/>
      </c>
    </row>
    <row r="2107">
      <c r="A2107" s="2" t="str">
        <f>IFERROR(__xludf.DUMMYFUNCTION("""COMPUTED_VALUE"""),"P-20517-00")</f>
        <v>P-20517-00</v>
      </c>
      <c r="B2107" s="2" t="str">
        <f>IFERROR(__xludf.DUMMYFUNCTION("""COMPUTED_VALUE"""),"General - Hole Saw SS TCT 23mm; Kugel; -; 1 pc")</f>
        <v>General - Hole Saw SS TCT 23mm; Kugel; -; 1 pc</v>
      </c>
      <c r="C2107" s="2" t="str">
        <f>IFERROR(__xludf.DUMMYFUNCTION("""COMPUTED_VALUE"""),"P-20517-00")</f>
        <v>P-20517-00</v>
      </c>
      <c r="D2107" s="2" t="str">
        <f>if(isna(vlookup(C2107,'On Hand'!A:C,3,0)),"",vlookup(C2107,'On Hand'!A:C,3,0))</f>
        <v>pc</v>
      </c>
    </row>
    <row r="2108">
      <c r="A2108" s="2" t="str">
        <f>IFERROR(__xludf.DUMMYFUNCTION("""COMPUTED_VALUE"""),"P-20527-00")</f>
        <v>P-20527-00</v>
      </c>
      <c r="B2108" s="2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8" s="2" t="str">
        <f>IFERROR(__xludf.DUMMYFUNCTION("""COMPUTED_VALUE"""),"P-20527-00")</f>
        <v>P-20527-00</v>
      </c>
      <c r="D2108" s="2" t="str">
        <f>if(isna(vlookup(C2108,'On Hand'!A:C,3,0)),"",vlookup(C2108,'On Hand'!A:C,3,0))</f>
        <v/>
      </c>
    </row>
    <row r="2109">
      <c r="A2109" s="2" t="str">
        <f>IFERROR(__xludf.DUMMYFUNCTION("""COMPUTED_VALUE"""),"P-20528-00")</f>
        <v>P-20528-00</v>
      </c>
      <c r="B2109" s="2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09" s="2" t="str">
        <f>IFERROR(__xludf.DUMMYFUNCTION("""COMPUTED_VALUE"""),"P-20528-00")</f>
        <v>P-20528-00</v>
      </c>
      <c r="D2109" s="2" t="str">
        <f>if(isna(vlookup(C2109,'On Hand'!A:C,3,0)),"",vlookup(C2109,'On Hand'!A:C,3,0))</f>
        <v/>
      </c>
    </row>
    <row r="2110">
      <c r="A2110" s="2" t="str">
        <f>IFERROR(__xludf.DUMMYFUNCTION("""COMPUTED_VALUE"""),"P-20529-00")</f>
        <v>P-20529-00</v>
      </c>
      <c r="B2110" s="2" t="str">
        <f>IFERROR(__xludf.DUMMYFUNCTION("""COMPUTED_VALUE"""),"General - Oring Port Sampling 8 x 61 x 77mm; Custom Agru; -; 1 pc")</f>
        <v>General - Oring Port Sampling 8 x 61 x 77mm; Custom Agru; -; 1 pc</v>
      </c>
      <c r="C2110" s="2" t="str">
        <f>IFERROR(__xludf.DUMMYFUNCTION("""COMPUTED_VALUE"""),"P-20529-00")</f>
        <v>P-20529-00</v>
      </c>
      <c r="D2110" s="2" t="str">
        <f>if(isna(vlookup(C2110,'On Hand'!A:C,3,0)),"",vlookup(C2110,'On Hand'!A:C,3,0))</f>
        <v>pc</v>
      </c>
    </row>
    <row r="2111">
      <c r="A2111" s="2" t="str">
        <f>IFERROR(__xludf.DUMMYFUNCTION("""COMPUTED_VALUE"""),"P-20530-00")</f>
        <v>P-20530-00</v>
      </c>
      <c r="B2111" s="2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1" s="2" t="str">
        <f>IFERROR(__xludf.DUMMYFUNCTION("""COMPUTED_VALUE"""),"P-20530-00")</f>
        <v>P-20530-00</v>
      </c>
      <c r="D2111" s="2" t="str">
        <f>if(isna(vlookup(C2111,'On Hand'!A:C,3,0)),"",vlookup(C2111,'On Hand'!A:C,3,0))</f>
        <v>pc</v>
      </c>
    </row>
    <row r="2112">
      <c r="A2112" s="2" t="str">
        <f>IFERROR(__xludf.DUMMYFUNCTION("""COMPUTED_VALUE"""),"P-20531-00")</f>
        <v>P-20531-00</v>
      </c>
      <c r="B2112" s="2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2" s="2" t="str">
        <f>IFERROR(__xludf.DUMMYFUNCTION("""COMPUTED_VALUE"""),"P-20531-00")</f>
        <v>P-20531-00</v>
      </c>
      <c r="D2112" s="2" t="str">
        <f>if(isna(vlookup(C2112,'On Hand'!A:C,3,0)),"",vlookup(C2112,'On Hand'!A:C,3,0))</f>
        <v>pc</v>
      </c>
    </row>
    <row r="2113">
      <c r="A2113" s="2" t="str">
        <f>IFERROR(__xludf.DUMMYFUNCTION("""COMPUTED_VALUE"""),"P-20532-00")</f>
        <v>P-20532-00</v>
      </c>
      <c r="B2113" s="2" t="str">
        <f>IFERROR(__xludf.DUMMYFUNCTION("""COMPUTED_VALUE"""),"General - Hand Tap M3 x 0.5; Yamawa; -; 3pcs/pack")</f>
        <v>General - Hand Tap M3 x 0.5; Yamawa; -; 3pcs/pack</v>
      </c>
      <c r="C2113" s="2" t="str">
        <f>IFERROR(__xludf.DUMMYFUNCTION("""COMPUTED_VALUE"""),"P-20532-00")</f>
        <v>P-20532-00</v>
      </c>
      <c r="D2113" s="2" t="str">
        <f>if(isna(vlookup(C2113,'On Hand'!A:C,3,0)),"",vlookup(C2113,'On Hand'!A:C,3,0))</f>
        <v>Pck</v>
      </c>
    </row>
    <row r="2114">
      <c r="A2114" s="2" t="str">
        <f>IFERROR(__xludf.DUMMYFUNCTION("""COMPUTED_VALUE"""),"P-20533-00")</f>
        <v>P-20533-00</v>
      </c>
      <c r="B2114" s="2" t="str">
        <f>IFERROR(__xludf.DUMMYFUNCTION("""COMPUTED_VALUE"""),"General - Chain Lube; WD-40 Specialist; -; 360ml/can")</f>
        <v>General - Chain Lube; WD-40 Specialist; -; 360ml/can</v>
      </c>
      <c r="C2114" s="2" t="str">
        <f>IFERROR(__xludf.DUMMYFUNCTION("""COMPUTED_VALUE"""),"P-20533-00")</f>
        <v>P-20533-00</v>
      </c>
      <c r="D2114" s="2" t="str">
        <f>if(isna(vlookup(C2114,'On Hand'!A:C,3,0)),"",vlookup(C2114,'On Hand'!A:C,3,0))</f>
        <v>Can</v>
      </c>
    </row>
    <row r="2115">
      <c r="A2115" s="2" t="str">
        <f>IFERROR(__xludf.DUMMYFUNCTION("""COMPUTED_VALUE"""),"P-20540-00")</f>
        <v>P-20540-00</v>
      </c>
      <c r="B2115" s="2" t="str">
        <f>IFERROR(__xludf.DUMMYFUNCTION("""COMPUTED_VALUE"""),"General - Handle Pintu Panel H3-60-221-050; Soutcho; -; 1 pc")</f>
        <v>General - Handle Pintu Panel H3-60-221-050; Soutcho; -; 1 pc</v>
      </c>
      <c r="C2115" s="2" t="str">
        <f>IFERROR(__xludf.DUMMYFUNCTION("""COMPUTED_VALUE"""),"P-20540-00")</f>
        <v>P-20540-00</v>
      </c>
      <c r="D2115" s="2" t="str">
        <f>if(isna(vlookup(C2115,'On Hand'!A:C,3,0)),"",vlookup(C2115,'On Hand'!A:C,3,0))</f>
        <v>pc</v>
      </c>
    </row>
    <row r="2116">
      <c r="A2116" s="2" t="str">
        <f>IFERROR(__xludf.DUMMYFUNCTION("""COMPUTED_VALUE"""),"P-20541-00")</f>
        <v>P-20541-00</v>
      </c>
      <c r="B2116" s="2" t="str">
        <f>IFERROR(__xludf.DUMMYFUNCTION("""COMPUTED_VALUE"""),"General - Lidah Handle Panel E5-6110; Southco; -; 1 pc")</f>
        <v>General - Lidah Handle Panel E5-6110; Southco; -; 1 pc</v>
      </c>
      <c r="C2116" s="2" t="str">
        <f>IFERROR(__xludf.DUMMYFUNCTION("""COMPUTED_VALUE"""),"P-20541-00")</f>
        <v>P-20541-00</v>
      </c>
    </row>
    <row r="2117">
      <c r="A2117" s="2" t="str">
        <f>IFERROR(__xludf.DUMMYFUNCTION("""COMPUTED_VALUE"""),"P-20542-00")</f>
        <v>P-20542-00</v>
      </c>
      <c r="B2117" s="2" t="str">
        <f>IFERROR(__xludf.DUMMYFUNCTION("""COMPUTED_VALUE"""),"General - Constant Air Volume EN Uk. 600 x 200mm; Trox; 918-3672; 1 pc")</f>
        <v>General - Constant Air Volume EN Uk. 600 x 200mm; Trox; 918-3672; 1 pc</v>
      </c>
      <c r="C2117" s="2" t="str">
        <f>IFERROR(__xludf.DUMMYFUNCTION("""COMPUTED_VALUE"""),"P-20542-00")</f>
        <v>P-20542-00</v>
      </c>
    </row>
    <row r="2118">
      <c r="A2118" s="2" t="str">
        <f>IFERROR(__xludf.DUMMYFUNCTION("""COMPUTED_VALUE"""),"P-20543-00")</f>
        <v>P-20543-00</v>
      </c>
      <c r="B2118" s="2" t="str">
        <f>IFERROR(__xludf.DUMMYFUNCTION("""COMPUTED_VALUE"""),"General - Constant Air Volume EN Uk. 500x300mm; Trox; 1350-5400; 1 pc")</f>
        <v>General - Constant Air Volume EN Uk. 500x300mm; Trox; 1350-5400; 1 pc</v>
      </c>
      <c r="C2118" s="2" t="str">
        <f>IFERROR(__xludf.DUMMYFUNCTION("""COMPUTED_VALUE"""),"P-20543-00")</f>
        <v>P-20543-00</v>
      </c>
    </row>
    <row r="2119">
      <c r="A2119" s="2" t="str">
        <f>IFERROR(__xludf.DUMMYFUNCTION("""COMPUTED_VALUE"""),"P-20544-00")</f>
        <v>P-20544-00</v>
      </c>
      <c r="B2119" s="2" t="str">
        <f>IFERROR(__xludf.DUMMYFUNCTION("""COMPUTED_VALUE"""),"General - General Ferrule EPDM NW200; No Brand; -; 1pc")</f>
        <v>General - General Ferrule EPDM NW200; No Brand; -; 1pc</v>
      </c>
      <c r="C2119" s="2" t="str">
        <f>IFERROR(__xludf.DUMMYFUNCTION("""COMPUTED_VALUE"""),"P-20544-00")</f>
        <v>P-20544-00</v>
      </c>
    </row>
    <row r="2120">
      <c r="A2120" s="2" t="str">
        <f>IFERROR(__xludf.DUMMYFUNCTION("""COMPUTED_VALUE"""),"P-20556-00")</f>
        <v>P-20556-00</v>
      </c>
      <c r="B2120" s="2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0" s="2" t="str">
        <f>IFERROR(__xludf.DUMMYFUNCTION("""COMPUTED_VALUE"""),"P-20556-00")</f>
        <v>P-20556-00</v>
      </c>
    </row>
    <row r="2121">
      <c r="A2121" s="2" t="str">
        <f>IFERROR(__xludf.DUMMYFUNCTION("""COMPUTED_VALUE"""),"P-20557-00")</f>
        <v>P-20557-00</v>
      </c>
      <c r="B2121" s="2" t="str">
        <f>IFERROR(__xludf.DUMMYFUNCTION("""COMPUTED_VALUE"""),"General - Reducer Ducting BJLS 6.4 x 3inch; No Brand; -; 1 pc")</f>
        <v>General - Reducer Ducting BJLS 6.4 x 3inch; No Brand; -; 1 pc</v>
      </c>
      <c r="C2121" s="2" t="str">
        <f>IFERROR(__xludf.DUMMYFUNCTION("""COMPUTED_VALUE"""),"P-20557-00")</f>
        <v>P-20557-00</v>
      </c>
    </row>
    <row r="2122">
      <c r="A2122" s="2" t="str">
        <f>IFERROR(__xludf.DUMMYFUNCTION("""COMPUTED_VALUE"""),"P-20570-00")</f>
        <v>P-20570-00</v>
      </c>
      <c r="B2122" s="2" t="str">
        <f>IFERROR(__xludf.DUMMYFUNCTION("""COMPUTED_VALUE"""),"General - Dudukan Equinok Uk. 50 x 90 x 160mm; Custom Agru; -; 1 pc")</f>
        <v>General - Dudukan Equinok Uk. 50 x 90 x 160mm; Custom Agru; -; 1 pc</v>
      </c>
      <c r="C2122" s="2" t="str">
        <f>IFERROR(__xludf.DUMMYFUNCTION("""COMPUTED_VALUE"""),"P-20570-00")</f>
        <v>P-20570-00</v>
      </c>
    </row>
    <row r="2123">
      <c r="A2123" s="2" t="str">
        <f>IFERROR(__xludf.DUMMYFUNCTION("""COMPUTED_VALUE"""),"P-20571-00")</f>
        <v>P-20571-00</v>
      </c>
      <c r="B2123" s="2" t="str">
        <f>IFERROR(__xludf.DUMMYFUNCTION("""COMPUTED_VALUE"""),"General - Force Gauge Digital 50kg; No Brand; AMF-500; 1 pc")</f>
        <v>General - Force Gauge Digital 50kg; No Brand; AMF-500; 1 pc</v>
      </c>
      <c r="C2123" s="2" t="str">
        <f>IFERROR(__xludf.DUMMYFUNCTION("""COMPUTED_VALUE"""),"P-20571-00")</f>
        <v>P-20571-00</v>
      </c>
    </row>
    <row r="2124">
      <c r="A2124" s="2" t="str">
        <f>IFERROR(__xludf.DUMMYFUNCTION("""COMPUTED_VALUE"""),"P-20574-00")</f>
        <v>P-20574-00</v>
      </c>
      <c r="B2124" s="2" t="str">
        <f>IFERROR(__xludf.DUMMYFUNCTION("""COMPUTED_VALUE"""),"General - Rivet Nut M10 SS304; Lokal; -; 1 pc")</f>
        <v>General - Rivet Nut M10 SS304; Lokal; -; 1 pc</v>
      </c>
      <c r="C2124" s="2" t="str">
        <f>IFERROR(__xludf.DUMMYFUNCTION("""COMPUTED_VALUE"""),"P-20574-00")</f>
        <v>P-20574-00</v>
      </c>
    </row>
    <row r="2125">
      <c r="A2125" s="2" t="str">
        <f>IFERROR(__xludf.DUMMYFUNCTION("""COMPUTED_VALUE"""),"P-20575-00")</f>
        <v>P-20575-00</v>
      </c>
      <c r="B2125" s="2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5" s="2" t="str">
        <f>IFERROR(__xludf.DUMMYFUNCTION("""COMPUTED_VALUE"""),"P-20575-00")</f>
        <v>P-20575-00</v>
      </c>
    </row>
    <row r="2126">
      <c r="A2126" s="2" t="str">
        <f>IFERROR(__xludf.DUMMYFUNCTION("""COMPUTED_VALUE"""),"P-20576-00")</f>
        <v>P-20576-00</v>
      </c>
      <c r="B2126" s="2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6" s="2" t="str">
        <f>IFERROR(__xludf.DUMMYFUNCTION("""COMPUTED_VALUE"""),"P-20576-00")</f>
        <v>P-20576-00</v>
      </c>
    </row>
    <row r="2127">
      <c r="A2127" s="2" t="str">
        <f>IFERROR(__xludf.DUMMYFUNCTION("""COMPUTED_VALUE"""),"P-20577-00")</f>
        <v>P-20577-00</v>
      </c>
      <c r="B2127" s="2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7" s="2" t="str">
        <f>IFERROR(__xludf.DUMMYFUNCTION("""COMPUTED_VALUE"""),"P-20577-00")</f>
        <v>P-20577-00</v>
      </c>
    </row>
    <row r="2128">
      <c r="A2128" s="2" t="str">
        <f>IFERROR(__xludf.DUMMYFUNCTION("""COMPUTED_VALUE"""),"P-20578-00")</f>
        <v>P-20578-00</v>
      </c>
      <c r="B2128" s="2" t="str">
        <f>IFERROR(__xludf.DUMMYFUNCTION("""COMPUTED_VALUE"""),"General - Mur Rivet SS304 M5; No Brand; -; 100pcs/pck")</f>
        <v>General - Mur Rivet SS304 M5; No Brand; -; 100pcs/pck</v>
      </c>
      <c r="C2128" s="2" t="str">
        <f>IFERROR(__xludf.DUMMYFUNCTION("""COMPUTED_VALUE"""),"P-20578-00")</f>
        <v>P-20578-00</v>
      </c>
    </row>
    <row r="2129">
      <c r="A2129" s="2" t="str">
        <f>IFERROR(__xludf.DUMMYFUNCTION("""COMPUTED_VALUE"""),"P-20579-00")</f>
        <v>P-20579-00</v>
      </c>
      <c r="B2129" s="2" t="str">
        <f>IFERROR(__xludf.DUMMYFUNCTION("""COMPUTED_VALUE"""),"General - Serrated Hexagon Bolt SS304 M5 x 16; No Brand; -; 100pcs/pck")</f>
        <v>General - Serrated Hexagon Bolt SS304 M5 x 16; No Brand; -; 100pcs/pck</v>
      </c>
      <c r="C2129" s="2" t="str">
        <f>IFERROR(__xludf.DUMMYFUNCTION("""COMPUTED_VALUE"""),"P-20579-00")</f>
        <v>P-20579-00</v>
      </c>
    </row>
    <row r="2130">
      <c r="A2130" s="2" t="str">
        <f>IFERROR(__xludf.DUMMYFUNCTION("""COMPUTED_VALUE"""),"P-20580-00")</f>
        <v>P-20580-00</v>
      </c>
      <c r="B2130" s="2" t="str">
        <f>IFERROR(__xludf.DUMMYFUNCTION("""COMPUTED_VALUE"""),"General - Bracket Timbangan VGA Uk. 50 x 320 x 450mm; Custom Agru; -; 1 pc")</f>
        <v>General - Bracket Timbangan VGA Uk. 50 x 320 x 450mm; Custom Agru; -; 1 pc</v>
      </c>
      <c r="C2130" s="2" t="str">
        <f>IFERROR(__xludf.DUMMYFUNCTION("""COMPUTED_VALUE"""),"P-20580-00")</f>
        <v>P-20580-00</v>
      </c>
    </row>
    <row r="2131">
      <c r="A2131" s="2" t="str">
        <f>IFERROR(__xludf.DUMMYFUNCTION("""COMPUTED_VALUE"""),"P-20634-00")</f>
        <v>P-20634-00</v>
      </c>
      <c r="B2131" s="2" t="str">
        <f>IFERROR(__xludf.DUMMYFUNCTION("""COMPUTED_VALUE"""),"General - Socket Tester Pro Voltage HT106D; Habotest; -; 1 pc")</f>
        <v>General - Socket Tester Pro Voltage HT106D; Habotest; -; 1 pc</v>
      </c>
      <c r="C2131" s="2" t="str">
        <f>IFERROR(__xludf.DUMMYFUNCTION("""COMPUTED_VALUE"""),"P-20634-00")</f>
        <v>P-20634-00</v>
      </c>
    </row>
    <row r="2132">
      <c r="A2132" s="2" t="str">
        <f>IFERROR(__xludf.DUMMYFUNCTION("""COMPUTED_VALUE"""),"P-20635-00")</f>
        <v>P-20635-00</v>
      </c>
      <c r="B2132" s="2" t="str">
        <f>IFERROR(__xludf.DUMMYFUNCTION("""COMPUTED_VALUE"""),"General - Belt Dressing; Prestone; -; 250ml/can")</f>
        <v>General - Belt Dressing; Prestone; -; 250ml/can</v>
      </c>
      <c r="C2132" s="2" t="str">
        <f>IFERROR(__xludf.DUMMYFUNCTION("""COMPUTED_VALUE"""),"P-20635-00")</f>
        <v>P-20635-00</v>
      </c>
    </row>
    <row r="2133">
      <c r="A2133" s="2" t="str">
        <f>IFERROR(__xludf.DUMMYFUNCTION("""COMPUTED_VALUE"""),"P-20637-00")</f>
        <v>P-20637-00</v>
      </c>
      <c r="B2133" s="2" t="str">
        <f>IFERROR(__xludf.DUMMYFUNCTION("""COMPUTED_VALUE"""),"General - Motorize Valve; Belimo; NMX 120-3; 1 pc")</f>
        <v>General - Motorize Valve; Belimo; NMX 120-3; 1 pc</v>
      </c>
      <c r="C2133" s="2" t="str">
        <f>IFERROR(__xludf.DUMMYFUNCTION("""COMPUTED_VALUE"""),"P-20637-00")</f>
        <v>P-20637-00</v>
      </c>
    </row>
    <row r="2134">
      <c r="A2134" s="2" t="str">
        <f>IFERROR(__xludf.DUMMYFUNCTION("""COMPUTED_VALUE"""),"P-20638-00")</f>
        <v>P-20638-00</v>
      </c>
      <c r="B2134" s="2" t="str">
        <f>IFERROR(__xludf.DUMMYFUNCTION("""COMPUTED_VALUE"""),"General - Mata Bor Socket Hex Nut; No Brand; -; 9 pcs/set")</f>
        <v>General - Mata Bor Socket Hex Nut; No Brand; -; 9 pcs/set</v>
      </c>
      <c r="C2134" s="2" t="str">
        <f>IFERROR(__xludf.DUMMYFUNCTION("""COMPUTED_VALUE"""),"P-20638-00")</f>
        <v>P-20638-00</v>
      </c>
    </row>
    <row r="2135">
      <c r="A2135" s="2" t="str">
        <f>IFERROR(__xludf.DUMMYFUNCTION("""COMPUTED_VALUE"""),"P-20639-00")</f>
        <v>P-20639-00</v>
      </c>
      <c r="B2135" s="2" t="str">
        <f>IFERROR(__xludf.DUMMYFUNCTION("""COMPUTED_VALUE"""),"General - Pipa Tembaga Dia. 4mm; No Brand; -; 1 meter")</f>
        <v>General - Pipa Tembaga Dia. 4mm; No Brand; -; 1 meter</v>
      </c>
      <c r="C2135" s="2" t="str">
        <f>IFERROR(__xludf.DUMMYFUNCTION("""COMPUTED_VALUE"""),"P-20639-00")</f>
        <v>P-20639-00</v>
      </c>
    </row>
    <row r="2136">
      <c r="A2136" s="2" t="str">
        <f>IFERROR(__xludf.DUMMYFUNCTION("""COMPUTED_VALUE"""),"P-20640-00")</f>
        <v>P-20640-00</v>
      </c>
      <c r="B2136" s="2" t="str">
        <f>IFERROR(__xludf.DUMMYFUNCTION("""COMPUTED_VALUE"""),"General - Tee Tembaga 1/4inch; No Brand; -; 1 pc")</f>
        <v>General - Tee Tembaga 1/4inch; No Brand; -; 1 pc</v>
      </c>
      <c r="C2136" s="2" t="str">
        <f>IFERROR(__xludf.DUMMYFUNCTION("""COMPUTED_VALUE"""),"P-20640-00")</f>
        <v>P-20640-00</v>
      </c>
    </row>
    <row r="2137">
      <c r="A2137" s="2" t="str">
        <f>IFERROR(__xludf.DUMMYFUNCTION("""COMPUTED_VALUE"""),"P-20641-00")</f>
        <v>P-20641-00</v>
      </c>
      <c r="B2137" s="2" t="str">
        <f>IFERROR(__xludf.DUMMYFUNCTION("""COMPUTED_VALUE"""),"General - Regulator Gas 300 Bar; Harris`; 901; 1 pc")</f>
        <v>General - Regulator Gas 300 Bar; Harris`; 901; 1 pc</v>
      </c>
      <c r="C2137" s="2" t="str">
        <f>IFERROR(__xludf.DUMMYFUNCTION("""COMPUTED_VALUE"""),"P-20641-00")</f>
        <v>P-20641-00</v>
      </c>
    </row>
    <row r="2138">
      <c r="A2138" s="2" t="str">
        <f>IFERROR(__xludf.DUMMYFUNCTION("""COMPUTED_VALUE"""),"P-20642-00")</f>
        <v>P-20642-00</v>
      </c>
      <c r="B2138" s="2" t="str">
        <f>IFERROR(__xludf.DUMMYFUNCTION("""COMPUTED_VALUE"""),"General - Quick Connector STWM 1/4 Male JIC; Swagelok; -; 1 pc")</f>
        <v>General - Quick Connector STWM 1/4 Male JIC; Swagelok; -; 1 pc</v>
      </c>
      <c r="C2138" s="2" t="str">
        <f>IFERROR(__xludf.DUMMYFUNCTION("""COMPUTED_VALUE"""),"P-20642-00")</f>
        <v>P-20642-00</v>
      </c>
    </row>
    <row r="2139">
      <c r="A2139" s="2" t="str">
        <f>IFERROR(__xludf.DUMMYFUNCTION("""COMPUTED_VALUE"""),"P-20643-00")</f>
        <v>P-20643-00</v>
      </c>
      <c r="B2139" s="2" t="str">
        <f>IFERROR(__xludf.DUMMYFUNCTION("""COMPUTED_VALUE"""),"General - Pressure Gauge Switch 4 inch, 10kg, Drat 1/2inch; No Brand; -; 1 pc")</f>
        <v>General - Pressure Gauge Switch 4 inch, 10kg, Drat 1/2inch; No Brand; -; 1 pc</v>
      </c>
      <c r="C2139" s="2" t="str">
        <f>IFERROR(__xludf.DUMMYFUNCTION("""COMPUTED_VALUE"""),"P-20643-00")</f>
        <v>P-20643-00</v>
      </c>
    </row>
    <row r="2140">
      <c r="A2140" s="2" t="str">
        <f>IFERROR(__xludf.DUMMYFUNCTION("""COMPUTED_VALUE"""),"P-20651-00")</f>
        <v>P-20651-00</v>
      </c>
      <c r="B2140" s="2" t="str">
        <f>IFERROR(__xludf.DUMMYFUNCTION("""COMPUTED_VALUE"""),"General - Wire Brush Mata Bor; JLD; 263; 3pcs/set")</f>
        <v>General - Wire Brush Mata Bor; JLD; 263; 3pcs/set</v>
      </c>
      <c r="C2140" s="2" t="str">
        <f>IFERROR(__xludf.DUMMYFUNCTION("""COMPUTED_VALUE"""),"P-20651-00")</f>
        <v>P-20651-00</v>
      </c>
    </row>
    <row r="2141">
      <c r="A2141" s="2" t="str">
        <f>IFERROR(__xludf.DUMMYFUNCTION("""COMPUTED_VALUE"""),"P-20660-00")</f>
        <v>P-20660-00</v>
      </c>
      <c r="B2141" s="2" t="str">
        <f>IFERROR(__xludf.DUMMYFUNCTION("""COMPUTED_VALUE"""),"General - Gas Spring FGSS22200B; Misumi; -; 1 pc")</f>
        <v>General - Gas Spring FGSS22200B; Misumi; -; 1 pc</v>
      </c>
      <c r="C2141" s="2" t="str">
        <f>IFERROR(__xludf.DUMMYFUNCTION("""COMPUTED_VALUE"""),"P-20660-00")</f>
        <v>P-20660-00</v>
      </c>
    </row>
    <row r="2142">
      <c r="A2142" s="2" t="str">
        <f>IFERROR(__xludf.DUMMYFUNCTION("""COMPUTED_VALUE"""),"P-20695-00")</f>
        <v>P-20695-00</v>
      </c>
      <c r="B2142" s="2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2" s="2" t="str">
        <f>IFERROR(__xludf.DUMMYFUNCTION("""COMPUTED_VALUE"""),"P-20695-00")</f>
        <v>P-20695-00</v>
      </c>
    </row>
    <row r="2143">
      <c r="A2143" s="2" t="str">
        <f>IFERROR(__xludf.DUMMYFUNCTION("""COMPUTED_VALUE"""),"P-20696-00")</f>
        <v>P-20696-00</v>
      </c>
      <c r="B2143" s="2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3" s="2" t="str">
        <f>IFERROR(__xludf.DUMMYFUNCTION("""COMPUTED_VALUE"""),"P-20696-00")</f>
        <v>P-20696-00</v>
      </c>
    </row>
    <row r="2144">
      <c r="A2144" s="2" t="str">
        <f>IFERROR(__xludf.DUMMYFUNCTION("""COMPUTED_VALUE"""),"P-20697-00")</f>
        <v>P-20697-00</v>
      </c>
      <c r="B2144" s="2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4" s="2" t="str">
        <f>IFERROR(__xludf.DUMMYFUNCTION("""COMPUTED_VALUE"""),"P-20697-00")</f>
        <v>P-20697-00</v>
      </c>
    </row>
    <row r="2145">
      <c r="A2145" s="2" t="str">
        <f>IFERROR(__xludf.DUMMYFUNCTION("""COMPUTED_VALUE"""),"P-20698-00")</f>
        <v>P-20698-00</v>
      </c>
      <c r="B2145" s="2" t="str">
        <f>IFERROR(__xludf.DUMMYFUNCTION("""COMPUTED_VALUE"""),"General - Elbow Thermaflex 2 1/2 Inch x 3/4 Inch; No Brand; -; 1 pc")</f>
        <v>General - Elbow Thermaflex 2 1/2 Inch x 3/4 Inch; No Brand; -; 1 pc</v>
      </c>
      <c r="C2145" s="2" t="str">
        <f>IFERROR(__xludf.DUMMYFUNCTION("""COMPUTED_VALUE"""),"P-20698-00")</f>
        <v>P-20698-00</v>
      </c>
    </row>
    <row r="2146">
      <c r="A2146" s="2" t="str">
        <f>IFERROR(__xludf.DUMMYFUNCTION("""COMPUTED_VALUE"""),"P-20699-00")</f>
        <v>P-20699-00</v>
      </c>
      <c r="B2146" s="2" t="str">
        <f>IFERROR(__xludf.DUMMYFUNCTION("""COMPUTED_VALUE"""),"General - Elbow Thermaflex 1 Inch x 3/4 Inch; No Brand; -; 1 pc")</f>
        <v>General - Elbow Thermaflex 1 Inch x 3/4 Inch; No Brand; -; 1 pc</v>
      </c>
      <c r="C2146" s="2" t="str">
        <f>IFERROR(__xludf.DUMMYFUNCTION("""COMPUTED_VALUE"""),"P-20699-00")</f>
        <v>P-20699-00</v>
      </c>
    </row>
    <row r="2147">
      <c r="A2147" s="2" t="str">
        <f>IFERROR(__xludf.DUMMYFUNCTION("""COMPUTED_VALUE"""),"P-20700-00")</f>
        <v>P-20700-00</v>
      </c>
      <c r="B2147" s="2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7" s="2" t="str">
        <f>IFERROR(__xludf.DUMMYFUNCTION("""COMPUTED_VALUE"""),"P-20700-00")</f>
        <v>P-20700-00</v>
      </c>
    </row>
    <row r="2148">
      <c r="A2148" s="2" t="str">
        <f>IFERROR(__xludf.DUMMYFUNCTION("""COMPUTED_VALUE"""),"P-20720-00")</f>
        <v>P-20720-00</v>
      </c>
      <c r="B2148" s="2" t="str">
        <f>IFERROR(__xludf.DUMMYFUNCTION("""COMPUTED_VALUE"""),"General - Dudukan Sensor ORP Ukuran 58 x 27 mm; Custom Agru; -; 1 pc")</f>
        <v>General - Dudukan Sensor ORP Ukuran 58 x 27 mm; Custom Agru; -; 1 pc</v>
      </c>
      <c r="C2148" s="2" t="str">
        <f>IFERROR(__xludf.DUMMYFUNCTION("""COMPUTED_VALUE"""),"P-20720-00")</f>
        <v>P-20720-00</v>
      </c>
    </row>
    <row r="2149">
      <c r="A2149" s="2" t="str">
        <f>IFERROR(__xludf.DUMMYFUNCTION("""COMPUTED_VALUE"""),"P-20751-00")</f>
        <v>P-20751-00</v>
      </c>
      <c r="B2149" s="2" t="str">
        <f>IFERROR(__xludf.DUMMYFUNCTION("""COMPUTED_VALUE"""),"General - Door Shoe Car Door; Schindler; IWU-000528; 1 pc")</f>
        <v>General - Door Shoe Car Door; Schindler; IWU-000528; 1 pc</v>
      </c>
      <c r="C2149" s="2" t="str">
        <f>IFERROR(__xludf.DUMMYFUNCTION("""COMPUTED_VALUE"""),"P-20751-00")</f>
        <v>P-20751-00</v>
      </c>
    </row>
    <row r="2150">
      <c r="A2150" s="2" t="str">
        <f>IFERROR(__xludf.DUMMYFUNCTION("""COMPUTED_VALUE"""),"P-20753-00")</f>
        <v>P-20753-00</v>
      </c>
      <c r="B2150" s="2" t="str">
        <f>IFERROR(__xludf.DUMMYFUNCTION("""COMPUTED_VALUE"""),"General - Heater Heating Plate; Lokal; 220V+PT100; 1 pc")</f>
        <v>General - Heater Heating Plate; Lokal; 220V+PT100; 1 pc</v>
      </c>
      <c r="C2150" s="2" t="str">
        <f>IFERROR(__xludf.DUMMYFUNCTION("""COMPUTED_VALUE"""),"P-20753-00")</f>
        <v>P-20753-00</v>
      </c>
    </row>
    <row r="2151">
      <c r="A2151" s="2" t="str">
        <f>IFERROR(__xludf.DUMMYFUNCTION("""COMPUTED_VALUE"""),"P-20754-00")</f>
        <v>P-20754-00</v>
      </c>
      <c r="B2151" s="2" t="str">
        <f>IFERROR(__xludf.DUMMYFUNCTION("""COMPUTED_VALUE"""),"General - Oring 200 Viton Tebal 5.7 ID 199.3 OD 210.7 mm; Custom; -; 1 pc")</f>
        <v>General - Oring 200 Viton Tebal 5.7 ID 199.3 OD 210.7 mm; Custom; -; 1 pc</v>
      </c>
      <c r="C2151" s="2" t="str">
        <f>IFERROR(__xludf.DUMMYFUNCTION("""COMPUTED_VALUE"""),"P-20754-00")</f>
        <v>P-20754-00</v>
      </c>
    </row>
    <row r="2152">
      <c r="A2152" s="2" t="str">
        <f>IFERROR(__xludf.DUMMYFUNCTION("""COMPUTED_VALUE"""),"P-20755-00")</f>
        <v>P-20755-00</v>
      </c>
      <c r="B2152" s="2" t="str">
        <f>IFERROR(__xludf.DUMMYFUNCTION("""COMPUTED_VALUE"""),"General - Oring 260 Viton Tebal 5.7 ID 259.3 OD 270.7 mm; Custom; -; 1 pc")</f>
        <v>General - Oring 260 Viton Tebal 5.7 ID 259.3 OD 270.7 mm; Custom; -; 1 pc</v>
      </c>
      <c r="C2152" s="2" t="str">
        <f>IFERROR(__xludf.DUMMYFUNCTION("""COMPUTED_VALUE"""),"P-20755-00")</f>
        <v>P-20755-00</v>
      </c>
    </row>
    <row r="2153">
      <c r="A2153" s="2" t="str">
        <f>IFERROR(__xludf.DUMMYFUNCTION("""COMPUTED_VALUE"""),"P-20847-00")</f>
        <v>P-20847-00</v>
      </c>
      <c r="B2153" s="2" t="str">
        <f>IFERROR(__xludf.DUMMYFUNCTION("""COMPUTED_VALUE"""),"General - Bearing R4-2RS; EZO; -; 1 pc")</f>
        <v>General - Bearing R4-2RS; EZO; -; 1 pc</v>
      </c>
      <c r="C2153" s="2" t="str">
        <f>IFERROR(__xludf.DUMMYFUNCTION("""COMPUTED_VALUE"""),"P-20847-00")</f>
        <v>P-20847-00</v>
      </c>
    </row>
    <row r="2154">
      <c r="A2154" s="2" t="str">
        <f>IFERROR(__xludf.DUMMYFUNCTION("""COMPUTED_VALUE"""),"P-20848-00")</f>
        <v>P-20848-00</v>
      </c>
      <c r="B2154" s="2" t="str">
        <f>IFERROR(__xludf.DUMMYFUNCTION("""COMPUTED_VALUE"""),"General - Paku Rivet 529 4mm x 8mm; SIP; -; 1000pcs/box")</f>
        <v>General - Paku Rivet 529 4mm x 8mm; SIP; -; 1000pcs/box</v>
      </c>
      <c r="C2154" s="2" t="str">
        <f>IFERROR(__xludf.DUMMYFUNCTION("""COMPUTED_VALUE"""),"P-20848-00")</f>
        <v>P-20848-00</v>
      </c>
    </row>
    <row r="2155">
      <c r="A2155" s="2" t="str">
        <f>IFERROR(__xludf.DUMMYFUNCTION("""COMPUTED_VALUE"""),"P-20849-00")</f>
        <v>P-20849-00</v>
      </c>
      <c r="B2155" s="2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5" s="2" t="str">
        <f>IFERROR(__xludf.DUMMYFUNCTION("""COMPUTED_VALUE"""),"P-20849-00")</f>
        <v>P-20849-00</v>
      </c>
    </row>
    <row r="2156">
      <c r="A2156" s="2" t="str">
        <f>IFERROR(__xludf.DUMMYFUNCTION("""COMPUTED_VALUE"""),"P-20850-00")</f>
        <v>P-20850-00</v>
      </c>
      <c r="B2156" s="2" t="str">
        <f>IFERROR(__xludf.DUMMYFUNCTION("""COMPUTED_VALUE"""),"General - Paku Rivet 435 3,2mm x 9,5mm x 8mm; SIP; -; 1000pcs/box")</f>
        <v>General - Paku Rivet 435 3,2mm x 9,5mm x 8mm; SIP; -; 1000pcs/box</v>
      </c>
      <c r="C2156" s="2" t="str">
        <f>IFERROR(__xludf.DUMMYFUNCTION("""COMPUTED_VALUE"""),"P-20850-00")</f>
        <v>P-20850-00</v>
      </c>
    </row>
    <row r="2157">
      <c r="A2157" s="2" t="str">
        <f>IFERROR(__xludf.DUMMYFUNCTION("""COMPUTED_VALUE"""),"P-20851-00")</f>
        <v>P-20851-00</v>
      </c>
      <c r="B2157" s="2" t="str">
        <f>IFERROR(__xludf.DUMMYFUNCTION("""COMPUTED_VALUE"""),"General - Rivet Nut Aluminium M4; No Brand; -; 50pcs/box")</f>
        <v>General - Rivet Nut Aluminium M4; No Brand; -; 50pcs/box</v>
      </c>
      <c r="C2157" s="2" t="str">
        <f>IFERROR(__xludf.DUMMYFUNCTION("""COMPUTED_VALUE"""),"P-20851-00")</f>
        <v>P-20851-00</v>
      </c>
    </row>
    <row r="2158">
      <c r="A2158" s="2" t="str">
        <f>IFERROR(__xludf.DUMMYFUNCTION("""COMPUTED_VALUE"""),"P-20852-00")</f>
        <v>P-20852-00</v>
      </c>
      <c r="B2158" s="2" t="str">
        <f>IFERROR(__xludf.DUMMYFUNCTION("""COMPUTED_VALUE"""),"General - Tungsten Electrode WT20-2.4mm x 150mm; No Brand; -; 10 pcs/pack")</f>
        <v>General - Tungsten Electrode WT20-2.4mm x 150mm; No Brand; -; 10 pcs/pack</v>
      </c>
      <c r="C2158" s="2" t="str">
        <f>IFERROR(__xludf.DUMMYFUNCTION("""COMPUTED_VALUE"""),"P-20852-00")</f>
        <v>P-20852-00</v>
      </c>
    </row>
    <row r="2159">
      <c r="A2159" s="2" t="str">
        <f>IFERROR(__xludf.DUMMYFUNCTION("""COMPUTED_VALUE"""),"P-20853-00")</f>
        <v>P-20853-00</v>
      </c>
      <c r="B2159" s="2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59" s="2" t="str">
        <f>IFERROR(__xludf.DUMMYFUNCTION("""COMPUTED_VALUE"""),"P-20853-00")</f>
        <v>P-20853-00</v>
      </c>
    </row>
    <row r="2160">
      <c r="A2160" s="2" t="str">
        <f>IFERROR(__xludf.DUMMYFUNCTION("""COMPUTED_VALUE"""),"P-20854-00")</f>
        <v>P-20854-00</v>
      </c>
      <c r="B2160" s="2" t="str">
        <f>IFERROR(__xludf.DUMMYFUNCTION("""COMPUTED_VALUE"""),"General - Silicone Rubber Sheet 5mm x 1000mm x 1000mm; No Brand; -; 1 pc")</f>
        <v>General - Silicone Rubber Sheet 5mm x 1000mm x 1000mm; No Brand; -; 1 pc</v>
      </c>
      <c r="C2160" s="2" t="str">
        <f>IFERROR(__xludf.DUMMYFUNCTION("""COMPUTED_VALUE"""),"P-20854-00")</f>
        <v>P-20854-00</v>
      </c>
    </row>
    <row r="2161">
      <c r="A2161" s="2" t="str">
        <f>IFERROR(__xludf.DUMMYFUNCTION("""COMPUTED_VALUE"""),"P-20855-00")</f>
        <v>P-20855-00</v>
      </c>
      <c r="B2161" s="2" t="str">
        <f>IFERROR(__xludf.DUMMYFUNCTION("""COMPUTED_VALUE"""),"General - Mur M10 SS304 A2-70; No Brand; -; 50pcs/box")</f>
        <v>General - Mur M10 SS304 A2-70; No Brand; -; 50pcs/box</v>
      </c>
      <c r="C2161" s="2" t="str">
        <f>IFERROR(__xludf.DUMMYFUNCTION("""COMPUTED_VALUE"""),"P-20855-00")</f>
        <v>P-20855-00</v>
      </c>
    </row>
    <row r="2162">
      <c r="A2162" s="2" t="str">
        <f>IFERROR(__xludf.DUMMYFUNCTION("""COMPUTED_VALUE"""),"P-20883-00")</f>
        <v>P-20883-00</v>
      </c>
      <c r="B2162" s="2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2" s="2" t="str">
        <f>IFERROR(__xludf.DUMMYFUNCTION("""COMPUTED_VALUE"""),"P-20883-00")</f>
        <v>P-20883-00</v>
      </c>
    </row>
    <row r="2163">
      <c r="A2163" s="2" t="str">
        <f>IFERROR(__xludf.DUMMYFUNCTION("""COMPUTED_VALUE"""),"P-20884-00")</f>
        <v>P-20884-00</v>
      </c>
      <c r="B2163" s="2" t="str">
        <f>IFERROR(__xludf.DUMMYFUNCTION("""COMPUTED_VALUE"""),"General - Spray Ball Tanko-S20 360Deg, BSP Thread 1/8inch; AWH; 711136; 1 pc")</f>
        <v>General - Spray Ball Tanko-S20 360Deg, BSP Thread 1/8inch; AWH; 711136; 1 pc</v>
      </c>
      <c r="C2163" s="2" t="str">
        <f>IFERROR(__xludf.DUMMYFUNCTION("""COMPUTED_VALUE"""),"P-20884-00")</f>
        <v>P-20884-00</v>
      </c>
    </row>
    <row r="2164">
      <c r="A2164" s="2" t="str">
        <f>IFERROR(__xludf.DUMMYFUNCTION("""COMPUTED_VALUE"""),"P-20913-00")</f>
        <v>P-20913-00</v>
      </c>
      <c r="B2164" s="2" t="str">
        <f>IFERROR(__xludf.DUMMYFUNCTION("""COMPUTED_VALUE"""),"Chemical - Spotcheck Red Penetrant; Magnaflux; SKL-SP2; 400ml/can")</f>
        <v>Chemical - Spotcheck Red Penetrant; Magnaflux; SKL-SP2; 400ml/can</v>
      </c>
      <c r="C2164" s="2" t="str">
        <f>IFERROR(__xludf.DUMMYFUNCTION("""COMPUTED_VALUE"""),"P-20913-00")</f>
        <v>P-20913-00</v>
      </c>
    </row>
    <row r="2165">
      <c r="A2165" s="2" t="str">
        <f>IFERROR(__xludf.DUMMYFUNCTION("""COMPUTED_VALUE"""),"P-20914-00")</f>
        <v>P-20914-00</v>
      </c>
      <c r="B2165" s="2" t="str">
        <f>IFERROR(__xludf.DUMMYFUNCTION("""COMPUTED_VALUE"""),"Chemical - Spotcheck Cleaner; Magnaflux; SKC-S; 400ml/can")</f>
        <v>Chemical - Spotcheck Cleaner; Magnaflux; SKC-S; 400ml/can</v>
      </c>
      <c r="C2165" s="2" t="str">
        <f>IFERROR(__xludf.DUMMYFUNCTION("""COMPUTED_VALUE"""),"P-20914-00")</f>
        <v>P-20914-00</v>
      </c>
    </row>
    <row r="2166">
      <c r="A2166" s="2" t="str">
        <f>IFERROR(__xludf.DUMMYFUNCTION("""COMPUTED_VALUE"""),"P-20927-00")</f>
        <v>P-20927-00</v>
      </c>
      <c r="B2166" s="2" t="str">
        <f>IFERROR(__xludf.DUMMYFUNCTION("""COMPUTED_VALUE"""),"General - Besi Siku L 4 x 4cm; No Brand; -; 4 meter/pc")</f>
        <v>General - Besi Siku L 4 x 4cm; No Brand; -; 4 meter/pc</v>
      </c>
      <c r="C2166" s="2" t="str">
        <f>IFERROR(__xludf.DUMMYFUNCTION("""COMPUTED_VALUE"""),"P-20927-00")</f>
        <v>P-20927-00</v>
      </c>
    </row>
    <row r="2167">
      <c r="A2167" s="2" t="str">
        <f>IFERROR(__xludf.DUMMYFUNCTION("""COMPUTED_VALUE"""),"P-20928-00")</f>
        <v>P-20928-00</v>
      </c>
      <c r="B2167" s="2" t="str">
        <f>IFERROR(__xludf.DUMMYFUNCTION("""COMPUTED_VALUE"""),"General - Plat Galvanis 1mm x 1.2m x 4.2m; No Brand; -; 1 pc")</f>
        <v>General - Plat Galvanis 1mm x 1.2m x 4.2m; No Brand; -; 1 pc</v>
      </c>
      <c r="C2167" s="2" t="str">
        <f>IFERROR(__xludf.DUMMYFUNCTION("""COMPUTED_VALUE"""),"P-20928-00")</f>
        <v>P-20928-00</v>
      </c>
    </row>
    <row r="2168">
      <c r="A2168" s="2" t="str">
        <f>IFERROR(__xludf.DUMMYFUNCTION("""COMPUTED_VALUE"""),"P-20929-00")</f>
        <v>P-20929-00</v>
      </c>
      <c r="B2168" s="2" t="str">
        <f>IFERROR(__xludf.DUMMYFUNCTION("""COMPUTED_VALUE"""),"General - Spotcheck Developer; Magnaflux; SKD-S2; 400 ml/can")</f>
        <v>General - Spotcheck Developer; Magnaflux; SKD-S2; 400 ml/can</v>
      </c>
      <c r="C2168" s="2" t="str">
        <f>IFERROR(__xludf.DUMMYFUNCTION("""COMPUTED_VALUE"""),"P-20929-00")</f>
        <v>P-20929-00</v>
      </c>
    </row>
    <row r="2169">
      <c r="A2169" s="2" t="str">
        <f>IFERROR(__xludf.DUMMYFUNCTION("""COMPUTED_VALUE"""),"P-50023-00")</f>
        <v>P-50023-00</v>
      </c>
      <c r="B2169" s="2" t="str">
        <f>IFERROR(__xludf.DUMMYFUNCTION("""COMPUTED_VALUE"""),"Lampu T8 30W/765; Philips; ;")</f>
        <v>Lampu T8 30W/765; Philips; ;</v>
      </c>
      <c r="C2169" s="2" t="str">
        <f>IFERROR(__xludf.DUMMYFUNCTION("""COMPUTED_VALUE"""),"P-50023-00")</f>
        <v>P-50023-00</v>
      </c>
    </row>
    <row r="2170">
      <c r="A2170" s="2" t="str">
        <f>IFERROR(__xludf.DUMMYFUNCTION("""COMPUTED_VALUE"""),"P-50026-00")</f>
        <v>P-50026-00</v>
      </c>
      <c r="B2170" s="2" t="str">
        <f>IFERROR(__xludf.DUMMYFUNCTION("""COMPUTED_VALUE"""),"Battery UPS 12460 12V 460W 9.5AH")</f>
        <v>Battery UPS 12460 12V 460W 9.5AH</v>
      </c>
      <c r="C2170" s="2" t="str">
        <f>IFERROR(__xludf.DUMMYFUNCTION("""COMPUTED_VALUE"""),"P-50026-00")</f>
        <v>P-50026-00</v>
      </c>
    </row>
    <row r="2171">
      <c r="A2171" s="2" t="str">
        <f>IFERROR(__xludf.DUMMYFUNCTION("""COMPUTED_VALUE"""),"P-50027-00")</f>
        <v>P-50027-00</v>
      </c>
      <c r="B2171" s="2" t="str">
        <f>IFERROR(__xludf.DUMMYFUNCTION("""COMPUTED_VALUE"""),"PCI Firewire 3port 6pin + 1port 4pin Card IEEE 1394")</f>
        <v>PCI Firewire 3port 6pin + 1port 4pin Card IEEE 1394</v>
      </c>
      <c r="C2171" s="2" t="str">
        <f>IFERROR(__xludf.DUMMYFUNCTION("""COMPUTED_VALUE"""),"P-50027-00")</f>
        <v>P-50027-00</v>
      </c>
    </row>
    <row r="2172">
      <c r="A2172" s="2" t="str">
        <f>IFERROR(__xludf.DUMMYFUNCTION("""COMPUTED_VALUE"""),"P-50033-00")</f>
        <v>P-50033-00</v>
      </c>
      <c r="B2172" s="2" t="str">
        <f>IFERROR(__xludf.DUMMYFUNCTION("""COMPUTED_VALUE"""),"LCD Display 7 Inch TM070RDH10")</f>
        <v>LCD Display 7 Inch TM070RDH10</v>
      </c>
      <c r="C2172" s="2" t="str">
        <f>IFERROR(__xludf.DUMMYFUNCTION("""COMPUTED_VALUE"""),"P-50033-00")</f>
        <v>P-50033-00</v>
      </c>
    </row>
    <row r="2173">
      <c r="A2173" s="2" t="str">
        <f>IFERROR(__xludf.DUMMYFUNCTION("""COMPUTED_VALUE"""),"P-50034-00")</f>
        <v>P-50034-00</v>
      </c>
      <c r="B2173" s="2" t="str">
        <f>IFERROR(__xludf.DUMMYFUNCTION("""COMPUTED_VALUE"""),"Pelampung Air Otomatis 1/2 Inch")</f>
        <v>Pelampung Air Otomatis 1/2 Inch</v>
      </c>
      <c r="C2173" s="2" t="str">
        <f>IFERROR(__xludf.DUMMYFUNCTION("""COMPUTED_VALUE"""),"P-50034-00")</f>
        <v>P-50034-00</v>
      </c>
    </row>
    <row r="2174">
      <c r="A2174" s="2" t="str">
        <f>IFERROR(__xludf.DUMMYFUNCTION("""COMPUTED_VALUE"""),"P-50091-00")</f>
        <v>P-50091-00</v>
      </c>
      <c r="B2174" s="2" t="str">
        <f>IFERROR(__xludf.DUMMYFUNCTION("""COMPUTED_VALUE"""),"Contactor Telemecanique  LC1 D25 M7 220V 25A")</f>
        <v>Contactor Telemecanique  LC1 D25 M7 220V 25A</v>
      </c>
      <c r="C2174" s="2" t="str">
        <f>IFERROR(__xludf.DUMMYFUNCTION("""COMPUTED_VALUE"""),"P-50091-00")</f>
        <v>P-50091-00</v>
      </c>
    </row>
    <row r="2175">
      <c r="A2175" s="2" t="str">
        <f>IFERROR(__xludf.DUMMYFUNCTION("""COMPUTED_VALUE"""),"P-50099-00")</f>
        <v>P-50099-00</v>
      </c>
      <c r="B2175" s="2" t="str">
        <f>IFERROR(__xludf.DUMMYFUNCTION("""COMPUTED_VALUE"""),"MCB 10A 10 KA 1 Phase NC45")</f>
        <v>MCB 10A 10 KA 1 Phase NC45</v>
      </c>
      <c r="C2175" s="2" t="str">
        <f>IFERROR(__xludf.DUMMYFUNCTION("""COMPUTED_VALUE"""),"P-50099-00")</f>
        <v>P-50099-00</v>
      </c>
    </row>
    <row r="2176">
      <c r="A2176" s="2" t="str">
        <f>IFERROR(__xludf.DUMMYFUNCTION("""COMPUTED_VALUE"""),"P-50122-00")</f>
        <v>P-50122-00</v>
      </c>
      <c r="B2176" s="2" t="str">
        <f>IFERROR(__xludf.DUMMYFUNCTION("""COMPUTED_VALUE"""),"Balast Quitronick Osram 1x18/20/ 220 - 240V")</f>
        <v>Balast Quitronick Osram 1x18/20/ 220 - 240V</v>
      </c>
      <c r="C2176" s="2" t="str">
        <f>IFERROR(__xludf.DUMMYFUNCTION("""COMPUTED_VALUE"""),"P-50122-00")</f>
        <v>P-50122-00</v>
      </c>
    </row>
    <row r="2177">
      <c r="A2177" s="2" t="str">
        <f>IFERROR(__xludf.DUMMYFUNCTION("""COMPUTED_VALUE"""),"P-50138-00")</f>
        <v>P-50138-00</v>
      </c>
      <c r="B2177" s="2" t="str">
        <f>IFERROR(__xludf.DUMMYFUNCTION("""COMPUTED_VALUE"""),"Battery Lithium / Buffer TL-2150 size 1/2 AA")</f>
        <v>Battery Lithium / Buffer TL-2150 size 1/2 AA</v>
      </c>
      <c r="C2177" s="2" t="str">
        <f>IFERROR(__xludf.DUMMYFUNCTION("""COMPUTED_VALUE"""),"P-50138-00")</f>
        <v>P-50138-00</v>
      </c>
    </row>
    <row r="2178">
      <c r="A2178" s="2" t="str">
        <f>IFERROR(__xludf.DUMMYFUNCTION("""COMPUTED_VALUE"""),"P-50140-00")</f>
        <v>P-50140-00</v>
      </c>
      <c r="B2178" s="2" t="str">
        <f>IFERROR(__xludf.DUMMYFUNCTION("""COMPUTED_VALUE"""),"General - Accu NP9-12, Baterai Kering, 12 V, 9 Ah; Yuasa; -; 1 pcs")</f>
        <v>General - Accu NP9-12, Baterai Kering, 12 V, 9 Ah; Yuasa; -; 1 pcs</v>
      </c>
      <c r="C2178" s="2" t="str">
        <f>IFERROR(__xludf.DUMMYFUNCTION("""COMPUTED_VALUE"""),"P-50140-00")</f>
        <v>P-50140-00</v>
      </c>
    </row>
    <row r="2179">
      <c r="A2179" s="2" t="str">
        <f>IFERROR(__xludf.DUMMYFUNCTION("""COMPUTED_VALUE"""),"P-50182-00")</f>
        <v>P-50182-00</v>
      </c>
      <c r="B2179" s="2" t="str">
        <f>IFERROR(__xludf.DUMMYFUNCTION("""COMPUTED_VALUE"""),"Socket")</f>
        <v>Socket</v>
      </c>
      <c r="C2179" s="2" t="str">
        <f>IFERROR(__xludf.DUMMYFUNCTION("""COMPUTED_VALUE"""),"P-50182-00")</f>
        <v>P-50182-00</v>
      </c>
    </row>
    <row r="2180">
      <c r="A2180" s="2" t="str">
        <f>IFERROR(__xludf.DUMMYFUNCTION("""COMPUTED_VALUE"""),"P-50229-00")</f>
        <v>P-50229-00</v>
      </c>
      <c r="B2180" s="2" t="str">
        <f>IFERROR(__xludf.DUMMYFUNCTION("""COMPUTED_VALUE"""),"Emergency Switch")</f>
        <v>Emergency Switch</v>
      </c>
      <c r="C2180" s="2" t="str">
        <f>IFERROR(__xludf.DUMMYFUNCTION("""COMPUTED_VALUE"""),"P-50229-00")</f>
        <v>P-50229-00</v>
      </c>
    </row>
    <row r="2181">
      <c r="A2181" s="2" t="str">
        <f>IFERROR(__xludf.DUMMYFUNCTION("""COMPUTED_VALUE"""),"P-50248-00")</f>
        <v>P-50248-00</v>
      </c>
      <c r="B2181" s="2" t="str">
        <f>IFERROR(__xludf.DUMMYFUNCTION("""COMPUTED_VALUE"""),"Fuse Keramik 13 A 250 V")</f>
        <v>Fuse Keramik 13 A 250 V</v>
      </c>
      <c r="C2181" s="2" t="str">
        <f>IFERROR(__xludf.DUMMYFUNCTION("""COMPUTED_VALUE"""),"P-50248-00")</f>
        <v>P-50248-00</v>
      </c>
    </row>
    <row r="2182">
      <c r="A2182" s="2" t="str">
        <f>IFERROR(__xludf.DUMMYFUNCTION("""COMPUTED_VALUE"""),"P-50263-00")</f>
        <v>P-50263-00</v>
      </c>
      <c r="B2182" s="2" t="str">
        <f>IFERROR(__xludf.DUMMYFUNCTION("""COMPUTED_VALUE"""),"Gland Cable")</f>
        <v>Gland Cable</v>
      </c>
      <c r="C2182" s="2" t="str">
        <f>IFERROR(__xludf.DUMMYFUNCTION("""COMPUTED_VALUE"""),"P-50263-00")</f>
        <v>P-50263-00</v>
      </c>
    </row>
    <row r="2183">
      <c r="A2183" s="2" t="str">
        <f>IFERROR(__xludf.DUMMYFUNCTION("""COMPUTED_VALUE"""),"P-50274-00")</f>
        <v>P-50274-00</v>
      </c>
      <c r="B2183" s="2" t="str">
        <f>IFERROR(__xludf.DUMMYFUNCTION("""COMPUTED_VALUE"""),"General - Kabel NYAF Uk. 1 x 0.75mm, Warna Merah; Supreme; -; 100meter/roll")</f>
        <v>General - Kabel NYAF Uk. 1 x 0.75mm, Warna Merah; Supreme; -; 100meter/roll</v>
      </c>
      <c r="C2183" s="2" t="str">
        <f>IFERROR(__xludf.DUMMYFUNCTION("""COMPUTED_VALUE"""),"P-50274-00")</f>
        <v>P-50274-00</v>
      </c>
    </row>
    <row r="2184">
      <c r="A2184" s="2" t="str">
        <f>IFERROR(__xludf.DUMMYFUNCTION("""COMPUTED_VALUE"""),"P-50277-00")</f>
        <v>P-50277-00</v>
      </c>
      <c r="B2184" s="2" t="str">
        <f>IFERROR(__xludf.DUMMYFUNCTION("""COMPUTED_VALUE"""),"General - Kabel NYAF 1 x 1.5 Hitam; Supreme; -; 50m/roll")</f>
        <v>General - Kabel NYAF 1 x 1.5 Hitam; Supreme; -; 50m/roll</v>
      </c>
      <c r="C2184" s="2" t="str">
        <f>IFERROR(__xludf.DUMMYFUNCTION("""COMPUTED_VALUE"""),"P-50277-00")</f>
        <v>P-50277-00</v>
      </c>
    </row>
    <row r="2185">
      <c r="A2185" s="2" t="str">
        <f>IFERROR(__xludf.DUMMYFUNCTION("""COMPUTED_VALUE"""),"P-50283-00")</f>
        <v>P-50283-00</v>
      </c>
      <c r="B2185" s="2" t="str">
        <f>IFERROR(__xludf.DUMMYFUNCTION("""COMPUTED_VALUE"""),"General - Kabel NYMHY 3 x 1.5mm; SUPREME; -; 1 meter")</f>
        <v>General - Kabel NYMHY 3 x 1.5mm; SUPREME; -; 1 meter</v>
      </c>
      <c r="C2185" s="2" t="str">
        <f>IFERROR(__xludf.DUMMYFUNCTION("""COMPUTED_VALUE"""),"P-50283-00")</f>
        <v>P-50283-00</v>
      </c>
    </row>
    <row r="2186">
      <c r="A2186" s="2" t="str">
        <f>IFERROR(__xludf.DUMMYFUNCTION("""COMPUTED_VALUE"""),"P-50286-00")</f>
        <v>P-50286-00</v>
      </c>
      <c r="B2186" s="2" t="str">
        <f>IFERROR(__xludf.DUMMYFUNCTION("""COMPUTED_VALUE"""),"General - Kabel NYYHY 3 x 1.5mm; SUPREME; -; 1 meter")</f>
        <v>General - Kabel NYYHY 3 x 1.5mm; SUPREME; -; 1 meter</v>
      </c>
      <c r="C2186" s="2" t="str">
        <f>IFERROR(__xludf.DUMMYFUNCTION("""COMPUTED_VALUE"""),"P-50286-00")</f>
        <v>P-50286-00</v>
      </c>
    </row>
    <row r="2187">
      <c r="A2187" s="2" t="str">
        <f>IFERROR(__xludf.DUMMYFUNCTION("""COMPUTED_VALUE"""),"P-50288-00")</f>
        <v>P-50288-00</v>
      </c>
      <c r="B2187" s="2" t="str">
        <f>IFERROR(__xludf.DUMMYFUNCTION("""COMPUTED_VALUE"""),"General - Lampu Halogen 20 W; Osram; -; 1 unt")</f>
        <v>General - Lampu Halogen 20 W; Osram; -; 1 unt</v>
      </c>
      <c r="C2187" s="2" t="str">
        <f>IFERROR(__xludf.DUMMYFUNCTION("""COMPUTED_VALUE"""),"P-50288-00")</f>
        <v>P-50288-00</v>
      </c>
    </row>
    <row r="2188">
      <c r="A2188" s="2" t="str">
        <f>IFERROR(__xludf.DUMMYFUNCTION("""COMPUTED_VALUE"""),"P-50307-00")</f>
        <v>P-50307-00</v>
      </c>
      <c r="B2188" s="2" t="str">
        <f>IFERROR(__xludf.DUMMYFUNCTION("""COMPUTED_VALUE"""),"General - Lampu SL Tornado 24 W / 220-240 V; Philips; -; 1 unt")</f>
        <v>General - Lampu SL Tornado 24 W / 220-240 V; Philips; -; 1 unt</v>
      </c>
      <c r="C2188" s="2" t="str">
        <f>IFERROR(__xludf.DUMMYFUNCTION("""COMPUTED_VALUE"""),"P-50307-00")</f>
        <v>P-50307-00</v>
      </c>
    </row>
    <row r="2189">
      <c r="A2189" s="2" t="str">
        <f>IFERROR(__xludf.DUMMYFUNCTION("""COMPUTED_VALUE"""),"P-50325-00")</f>
        <v>P-50325-00</v>
      </c>
      <c r="B2189" s="2" t="str">
        <f>IFERROR(__xludf.DUMMYFUNCTION("""COMPUTED_VALUE"""),"Limit Switch Z - 15GQ 22 - B 15 A / 125 / 250 VAC Highly")</f>
        <v>Limit Switch Z - 15GQ 22 - B 15 A / 125 / 250 VAC Highly</v>
      </c>
      <c r="C2189" s="2" t="str">
        <f>IFERROR(__xludf.DUMMYFUNCTION("""COMPUTED_VALUE"""),"P-50325-00")</f>
        <v>P-50325-00</v>
      </c>
    </row>
    <row r="2190">
      <c r="A2190" s="2" t="str">
        <f>IFERROR(__xludf.DUMMYFUNCTION("""COMPUTED_VALUE"""),"P-50424-00")</f>
        <v>P-50424-00</v>
      </c>
      <c r="B2190" s="2" t="str">
        <f>IFERROR(__xludf.DUMMYFUNCTION("""COMPUTED_VALUE"""),"Photo Sensor WF2 - 40B410 Sensick")</f>
        <v>Photo Sensor WF2 - 40B410 Sensick</v>
      </c>
      <c r="C2190" s="2" t="str">
        <f>IFERROR(__xludf.DUMMYFUNCTION("""COMPUTED_VALUE"""),"P-50424-00")</f>
        <v>P-50424-00</v>
      </c>
    </row>
    <row r="2191">
      <c r="A2191" s="2" t="str">
        <f>IFERROR(__xludf.DUMMYFUNCTION("""COMPUTED_VALUE"""),"P-50426-00")</f>
        <v>P-50426-00</v>
      </c>
      <c r="B2191" s="2" t="str">
        <f>IFERROR(__xludf.DUMMYFUNCTION("""COMPUTED_VALUE"""),"Pilot Lamps / Green / 220 VAC / AD22-22DS / AXLE")</f>
        <v>Pilot Lamps / Green / 220 VAC / AD22-22DS / AXLE</v>
      </c>
      <c r="C2191" s="2" t="str">
        <f>IFERROR(__xludf.DUMMYFUNCTION("""COMPUTED_VALUE"""),"P-50426-00")</f>
        <v>P-50426-00</v>
      </c>
    </row>
    <row r="2192">
      <c r="A2192" s="2" t="str">
        <f>IFERROR(__xludf.DUMMYFUNCTION("""COMPUTED_VALUE"""),"P-50427-00")</f>
        <v>P-50427-00</v>
      </c>
      <c r="B2192" s="2" t="str">
        <f>IFERROR(__xludf.DUMMYFUNCTION("""COMPUTED_VALUE"""),"Pilot Lamps / Red / 220 VAC / AD22-221DS / AXLE")</f>
        <v>Pilot Lamps / Red / 220 VAC / AD22-221DS / AXLE</v>
      </c>
      <c r="C2192" s="2" t="str">
        <f>IFERROR(__xludf.DUMMYFUNCTION("""COMPUTED_VALUE"""),"P-50427-00")</f>
        <v>P-50427-00</v>
      </c>
    </row>
    <row r="2193">
      <c r="A2193" s="2" t="str">
        <f>IFERROR(__xludf.DUMMYFUNCTION("""COMPUTED_VALUE"""),"P-50428-00")</f>
        <v>P-50428-00</v>
      </c>
      <c r="B2193" s="2" t="str">
        <f>IFERROR(__xludf.DUMMYFUNCTION("""COMPUTED_VALUE"""),"Pilot Lamps / Yellow / 220 VAC / AD22-22DS / AXLE")</f>
        <v>Pilot Lamps / Yellow / 220 VAC / AD22-22DS / AXLE</v>
      </c>
      <c r="C2193" s="2" t="str">
        <f>IFERROR(__xludf.DUMMYFUNCTION("""COMPUTED_VALUE"""),"P-50428-00")</f>
        <v>P-50428-00</v>
      </c>
    </row>
    <row r="2194">
      <c r="A2194" s="2" t="str">
        <f>IFERROR(__xludf.DUMMYFUNCTION("""COMPUTED_VALUE"""),"P-50430-00")</f>
        <v>P-50430-00</v>
      </c>
      <c r="B2194" s="2" t="str">
        <f>IFERROR(__xludf.DUMMYFUNCTION("""COMPUTED_VALUE"""),"Pilot Lamps / Red / 24 VDC / AD22-221DSI / AXLE")</f>
        <v>Pilot Lamps / Red / 24 VDC / AD22-221DSI / AXLE</v>
      </c>
      <c r="C2194" s="2" t="str">
        <f>IFERROR(__xludf.DUMMYFUNCTION("""COMPUTED_VALUE"""),"P-50430-00")</f>
        <v>P-50430-00</v>
      </c>
    </row>
    <row r="2195">
      <c r="A2195" s="2" t="str">
        <f>IFERROR(__xludf.DUMMYFUNCTION("""COMPUTED_VALUE"""),"P-50491-00")</f>
        <v>P-50491-00</v>
      </c>
      <c r="B2195" s="2" t="str">
        <f>IFERROR(__xludf.DUMMYFUNCTION("""COMPUTED_VALUE"""),"Relay / MY2N / 24 VDC OMRON")</f>
        <v>Relay / MY2N / 24 VDC OMRON</v>
      </c>
      <c r="C2195" s="2" t="str">
        <f>IFERROR(__xludf.DUMMYFUNCTION("""COMPUTED_VALUE"""),"P-50491-00")</f>
        <v>P-50491-00</v>
      </c>
    </row>
    <row r="2196">
      <c r="A2196" s="2" t="str">
        <f>IFERROR(__xludf.DUMMYFUNCTION("""COMPUTED_VALUE"""),"P-50495-00")</f>
        <v>P-50495-00</v>
      </c>
      <c r="B2196" s="2" t="str">
        <f>IFERROR(__xludf.DUMMYFUNCTION("""COMPUTED_VALUE"""),"Relay / RXM 2AB2P7 / 230 V / 50-60 Hz / 12 A / 250 VAC")</f>
        <v>Relay / RXM 2AB2P7 / 230 V / 50-60 Hz / 12 A / 250 VAC</v>
      </c>
      <c r="C2196" s="2" t="str">
        <f>IFERROR(__xludf.DUMMYFUNCTION("""COMPUTED_VALUE"""),"P-50495-00")</f>
        <v>P-50495-00</v>
      </c>
    </row>
    <row r="2197">
      <c r="A2197" s="2" t="str">
        <f>IFERROR(__xludf.DUMMYFUNCTION("""COMPUTED_VALUE"""),"P-50505-00")</f>
        <v>P-50505-00</v>
      </c>
      <c r="B2197" s="2" t="str">
        <f>IFERROR(__xludf.DUMMYFUNCTION("""COMPUTED_VALUE"""),"Saklar Seri / 250 V / Clipsal")</f>
        <v>Saklar Seri / 250 V / Clipsal</v>
      </c>
      <c r="C2197" s="2" t="str">
        <f>IFERROR(__xludf.DUMMYFUNCTION("""COMPUTED_VALUE"""),"P-50505-00")</f>
        <v>P-50505-00</v>
      </c>
    </row>
    <row r="2198">
      <c r="A2198" s="2" t="str">
        <f>IFERROR(__xludf.DUMMYFUNCTION("""COMPUTED_VALUE"""),"P-50506-00")</f>
        <v>P-50506-00</v>
      </c>
      <c r="B2198" s="2" t="str">
        <f>IFERROR(__xludf.DUMMYFUNCTION("""COMPUTED_VALUE"""),"Saklar Tunggal / 250 V / Clipsal")</f>
        <v>Saklar Tunggal / 250 V / Clipsal</v>
      </c>
      <c r="C2198" s="2" t="str">
        <f>IFERROR(__xludf.DUMMYFUNCTION("""COMPUTED_VALUE"""),"P-50506-00")</f>
        <v>P-50506-00</v>
      </c>
    </row>
    <row r="2199">
      <c r="A2199" s="2" t="str">
        <f>IFERROR(__xludf.DUMMYFUNCTION("""COMPUTED_VALUE"""),"P-50562-00")</f>
        <v>P-50562-00</v>
      </c>
      <c r="B2199" s="2" t="str">
        <f>IFERROR(__xludf.DUMMYFUNCTION("""COMPUTED_VALUE"""),"Socket Relay PF083A-E; Omron; PF083A; 1 pieces")</f>
        <v>Socket Relay PF083A-E; Omron; PF083A; 1 pieces</v>
      </c>
      <c r="C2199" s="2" t="str">
        <f>IFERROR(__xludf.DUMMYFUNCTION("""COMPUTED_VALUE"""),"P-50562-00")</f>
        <v>P-50562-00</v>
      </c>
    </row>
    <row r="2200">
      <c r="A2200" s="2" t="str">
        <f>IFERROR(__xludf.DUMMYFUNCTION("""COMPUTED_VALUE"""),"P-50594-00")</f>
        <v>P-50594-00</v>
      </c>
      <c r="B2200" s="2" t="str">
        <f>IFERROR(__xludf.DUMMYFUNCTION("""COMPUTED_VALUE"""),"Stop Kontak-socket  / 1 Hole / 10-16A / 250V / Clipsal")</f>
        <v>Stop Kontak-socket  / 1 Hole / 10-16A / 250V / Clipsal</v>
      </c>
      <c r="C2200" s="2" t="str">
        <f>IFERROR(__xludf.DUMMYFUNCTION("""COMPUTED_VALUE"""),"P-50594-00")</f>
        <v>P-50594-00</v>
      </c>
    </row>
    <row r="2201">
      <c r="A2201" s="2" t="str">
        <f>IFERROR(__xludf.DUMMYFUNCTION("""COMPUTED_VALUE"""),"P-50633-00")</f>
        <v>P-50633-00</v>
      </c>
      <c r="B2201" s="2" t="str">
        <f>IFERROR(__xludf.DUMMYFUNCTION("""COMPUTED_VALUE"""),"General - Timer AC100-240/DC100-125; Omron ; H3CR - A8; 1 pc")</f>
        <v>General - Timer AC100-240/DC100-125; Omron ; H3CR - A8; 1 pc</v>
      </c>
      <c r="C2201" s="2" t="str">
        <f>IFERROR(__xludf.DUMMYFUNCTION("""COMPUTED_VALUE"""),"P-50633-00")</f>
        <v>P-50633-00</v>
      </c>
    </row>
    <row r="2202">
      <c r="A2202" s="2" t="str">
        <f>IFERROR(__xludf.DUMMYFUNCTION("""COMPUTED_VALUE"""),"P-50700-00")</f>
        <v>P-50700-00</v>
      </c>
      <c r="B2202" s="2" t="str">
        <f>IFERROR(__xludf.DUMMYFUNCTION("""COMPUTED_VALUE"""),"Lampu TLD 36W/54 PHILIPS")</f>
        <v>Lampu TLD 36W/54 PHILIPS</v>
      </c>
      <c r="C2202" s="2" t="str">
        <f>IFERROR(__xludf.DUMMYFUNCTION("""COMPUTED_VALUE"""),"P-50700-00")</f>
        <v>P-50700-00</v>
      </c>
    </row>
    <row r="2203">
      <c r="A2203" s="2" t="str">
        <f>IFERROR(__xludf.DUMMYFUNCTION("""COMPUTED_VALUE"""),"P-50717-00")</f>
        <v>P-50717-00</v>
      </c>
      <c r="B2203" s="2" t="str">
        <f>IFERROR(__xludf.DUMMYFUNCTION("""COMPUTED_VALUE"""),"General - Kabel UTP 4 Pairs Cat 6; Belden; -; 305m/roll")</f>
        <v>General - Kabel UTP 4 Pairs Cat 6; Belden; -; 305m/roll</v>
      </c>
      <c r="C2203" s="2" t="str">
        <f>IFERROR(__xludf.DUMMYFUNCTION("""COMPUTED_VALUE"""),"P-50717-00")</f>
        <v>P-50717-00</v>
      </c>
    </row>
    <row r="2204">
      <c r="A2204" s="2" t="str">
        <f>IFERROR(__xludf.DUMMYFUNCTION("""COMPUTED_VALUE"""),"P-50740-00")</f>
        <v>P-50740-00</v>
      </c>
      <c r="B2204" s="2" t="str">
        <f>IFERROR(__xludf.DUMMYFUNCTION("""COMPUTED_VALUE"""),"Stop Kontak 3lubang 220 volt, 6A UTICON")</f>
        <v>Stop Kontak 3lubang 220 volt, 6A UTICON</v>
      </c>
      <c r="C2204" s="2" t="str">
        <f>IFERROR(__xludf.DUMMYFUNCTION("""COMPUTED_VALUE"""),"P-50740-00")</f>
        <v>P-50740-00</v>
      </c>
    </row>
    <row r="2205">
      <c r="A2205" s="2" t="str">
        <f>IFERROR(__xludf.DUMMYFUNCTION("""COMPUTED_VALUE"""),"P-50762-00")</f>
        <v>P-50762-00</v>
      </c>
      <c r="B2205" s="2" t="str">
        <f>IFERROR(__xludf.DUMMYFUNCTION("""COMPUTED_VALUE"""),"ABC - Battery 9V HD")</f>
        <v>ABC - Battery 9V HD</v>
      </c>
      <c r="C2205" s="2" t="str">
        <f>IFERROR(__xludf.DUMMYFUNCTION("""COMPUTED_VALUE"""),"P-50762-00")</f>
        <v>P-50762-00</v>
      </c>
    </row>
    <row r="2206">
      <c r="A2206" s="2" t="str">
        <f>IFERROR(__xludf.DUMMYFUNCTION("""COMPUTED_VALUE"""),"P-50768-00")</f>
        <v>P-50768-00</v>
      </c>
      <c r="B2206" s="2" t="str">
        <f>IFERROR(__xludf.DUMMYFUNCTION("""COMPUTED_VALUE"""),"AUTONIC - Counter timer CT6S")</f>
        <v>AUTONIC - Counter timer CT6S</v>
      </c>
      <c r="C2206" s="2" t="str">
        <f>IFERROR(__xludf.DUMMYFUNCTION("""COMPUTED_VALUE"""),"P-50768-00")</f>
        <v>P-50768-00</v>
      </c>
    </row>
    <row r="2207">
      <c r="A2207" s="2" t="str">
        <f>IFERROR(__xludf.DUMMYFUNCTION("""COMPUTED_VALUE"""),"P-50780-00")</f>
        <v>P-50780-00</v>
      </c>
      <c r="B2207" s="2" t="str">
        <f>IFERROR(__xludf.DUMMYFUNCTION("""COMPUTED_VALUE"""),"Battery 12 V 12 AH YUASA")</f>
        <v>Battery 12 V 12 AH YUASA</v>
      </c>
      <c r="C2207" s="2" t="str">
        <f>IFERROR(__xludf.DUMMYFUNCTION("""COMPUTED_VALUE"""),"P-50780-00")</f>
        <v>P-50780-00</v>
      </c>
    </row>
    <row r="2208">
      <c r="A2208" s="2" t="str">
        <f>IFERROR(__xludf.DUMMYFUNCTION("""COMPUTED_VALUE"""),"P-50781-00")</f>
        <v>P-50781-00</v>
      </c>
      <c r="B2208" s="2" t="str">
        <f>IFERROR(__xludf.DUMMYFUNCTION("""COMPUTED_VALUE"""),"Battery 12V 18AH merk LONG")</f>
        <v>Battery 12V 18AH merk LONG</v>
      </c>
      <c r="C2208" s="2" t="str">
        <f>IFERROR(__xludf.DUMMYFUNCTION("""COMPUTED_VALUE"""),"P-50781-00")</f>
        <v>P-50781-00</v>
      </c>
    </row>
    <row r="2209">
      <c r="A2209" s="2" t="str">
        <f>IFERROR(__xludf.DUMMYFUNCTION("""COMPUTED_VALUE"""),"P-50797-00")</f>
        <v>P-50797-00</v>
      </c>
      <c r="B2209" s="2" t="str">
        <f>IFERROR(__xludf.DUMMYFUNCTION("""COMPUTED_VALUE"""),"Bola lampu 24V 5 Watt")</f>
        <v>Bola lampu 24V 5 Watt</v>
      </c>
      <c r="C2209" s="2" t="str">
        <f>IFERROR(__xludf.DUMMYFUNCTION("""COMPUTED_VALUE"""),"P-50797-00")</f>
        <v>P-50797-00</v>
      </c>
    </row>
    <row r="2210">
      <c r="A2210" s="2" t="str">
        <f>IFERROR(__xludf.DUMMYFUNCTION("""COMPUTED_VALUE"""),"P-50810-00")</f>
        <v>P-50810-00</v>
      </c>
      <c r="B2210" s="2" t="str">
        <f>IFERROR(__xludf.DUMMYFUNCTION("""COMPUTED_VALUE"""),"General - Buzzer AD22-22MSD red with lamp; FORT; -; 1 pcs")</f>
        <v>General - Buzzer AD22-22MSD red with lamp; FORT; -; 1 pcs</v>
      </c>
      <c r="C2210" s="2" t="str">
        <f>IFERROR(__xludf.DUMMYFUNCTION("""COMPUTED_VALUE"""),"P-50810-00")</f>
        <v>P-50810-00</v>
      </c>
    </row>
    <row r="2211">
      <c r="A2211" s="2" t="str">
        <f>IFERROR(__xludf.DUMMYFUNCTION("""COMPUTED_VALUE"""),"P-50930-00")</f>
        <v>P-50930-00</v>
      </c>
      <c r="B2211" s="2" t="str">
        <f>IFERROR(__xludf.DUMMYFUNCTION("""COMPUTED_VALUE"""),"General - One-way Flow Control Valve GRLA-M5-QS-4-RS-D; Festo; 197577; 1 pc")</f>
        <v>General - One-way Flow Control Valve GRLA-M5-QS-4-RS-D; Festo; 197577; 1 pc</v>
      </c>
      <c r="C2211" s="2" t="str">
        <f>IFERROR(__xludf.DUMMYFUNCTION("""COMPUTED_VALUE"""),"P-50930-00")</f>
        <v>P-50930-00</v>
      </c>
    </row>
    <row r="2212">
      <c r="A2212" s="2" t="str">
        <f>IFERROR(__xludf.DUMMYFUNCTION("""COMPUTED_VALUE"""),"P-50943-00")</f>
        <v>P-50943-00</v>
      </c>
      <c r="B2212" s="2" t="str">
        <f>IFERROR(__xludf.DUMMYFUNCTION("""COMPUTED_VALUE"""),"Flexible conduit dia 20 mm")</f>
        <v>Flexible conduit dia 20 mm</v>
      </c>
      <c r="C2212" s="2" t="str">
        <f>IFERROR(__xludf.DUMMYFUNCTION("""COMPUTED_VALUE"""),"P-50943-00")</f>
        <v>P-50943-00</v>
      </c>
    </row>
    <row r="2213">
      <c r="A2213" s="2" t="str">
        <f>IFERROR(__xludf.DUMMYFUNCTION("""COMPUTED_VALUE"""),"P-50951-00")</f>
        <v>P-50951-00</v>
      </c>
      <c r="B2213" s="2" t="str">
        <f>IFERROR(__xludf.DUMMYFUNCTION("""COMPUTED_VALUE"""),"Fuse kaca 10 A 6x 30")</f>
        <v>Fuse kaca 10 A 6x 30</v>
      </c>
      <c r="C2213" s="2" t="str">
        <f>IFERROR(__xludf.DUMMYFUNCTION("""COMPUTED_VALUE"""),"P-50951-00")</f>
        <v>P-50951-00</v>
      </c>
    </row>
    <row r="2214">
      <c r="A2214" s="2" t="str">
        <f>IFERROR(__xludf.DUMMYFUNCTION("""COMPUTED_VALUE"""),"P-50956-00")</f>
        <v>P-50956-00</v>
      </c>
      <c r="B2214" s="2" t="str">
        <f>IFERROR(__xludf.DUMMYFUNCTION("""COMPUTED_VALUE"""),"Fuse kaca 2A 6x30")</f>
        <v>Fuse kaca 2A 6x30</v>
      </c>
      <c r="C2214" s="2" t="str">
        <f>IFERROR(__xludf.DUMMYFUNCTION("""COMPUTED_VALUE"""),"P-50956-00")</f>
        <v>P-50956-00</v>
      </c>
    </row>
    <row r="2215">
      <c r="A2215" s="2" t="str">
        <f>IFERROR(__xludf.DUMMYFUNCTION("""COMPUTED_VALUE"""),"P-50957-00")</f>
        <v>P-50957-00</v>
      </c>
      <c r="B2215" s="2" t="str">
        <f>IFERROR(__xludf.DUMMYFUNCTION("""COMPUTED_VALUE"""),"Fuse kaca 3 A 5x 20")</f>
        <v>Fuse kaca 3 A 5x 20</v>
      </c>
      <c r="C2215" s="2" t="str">
        <f>IFERROR(__xludf.DUMMYFUNCTION("""COMPUTED_VALUE"""),"P-50957-00")</f>
        <v>P-50957-00</v>
      </c>
    </row>
    <row r="2216">
      <c r="A2216" s="2" t="str">
        <f>IFERROR(__xludf.DUMMYFUNCTION("""COMPUTED_VALUE"""),"P-50959-00")</f>
        <v>P-50959-00</v>
      </c>
      <c r="B2216" s="2" t="str">
        <f>IFERROR(__xludf.DUMMYFUNCTION("""COMPUTED_VALUE"""),"Fuse kaca 3A 6x30")</f>
        <v>Fuse kaca 3A 6x30</v>
      </c>
      <c r="C2216" s="2" t="str">
        <f>IFERROR(__xludf.DUMMYFUNCTION("""COMPUTED_VALUE"""),"P-50959-00")</f>
        <v>P-50959-00</v>
      </c>
    </row>
    <row r="2217">
      <c r="A2217" s="2" t="str">
        <f>IFERROR(__xludf.DUMMYFUNCTION("""COMPUTED_VALUE"""),"P-50961-00")</f>
        <v>P-50961-00</v>
      </c>
      <c r="B2217" s="2" t="str">
        <f>IFERROR(__xludf.DUMMYFUNCTION("""COMPUTED_VALUE"""),"Fuse kaca 5 A 5x20")</f>
        <v>Fuse kaca 5 A 5x20</v>
      </c>
      <c r="C2217" s="2" t="str">
        <f>IFERROR(__xludf.DUMMYFUNCTION("""COMPUTED_VALUE"""),"P-50961-00")</f>
        <v>P-50961-00</v>
      </c>
    </row>
    <row r="2218">
      <c r="A2218" s="2" t="str">
        <f>IFERROR(__xludf.DUMMYFUNCTION("""COMPUTED_VALUE"""),"P-50962-00")</f>
        <v>P-50962-00</v>
      </c>
      <c r="B2218" s="2" t="str">
        <f>IFERROR(__xludf.DUMMYFUNCTION("""COMPUTED_VALUE"""),"General - Fuse kaca 5A x 6 x 30mm; Lokal; -; 1 pc")</f>
        <v>General - Fuse kaca 5A x 6 x 30mm; Lokal; -; 1 pc</v>
      </c>
      <c r="C2218" s="2" t="str">
        <f>IFERROR(__xludf.DUMMYFUNCTION("""COMPUTED_VALUE"""),"P-50962-00")</f>
        <v>P-50962-00</v>
      </c>
    </row>
    <row r="2219">
      <c r="A2219" s="2" t="str">
        <f>IFERROR(__xludf.DUMMYFUNCTION("""COMPUTED_VALUE"""),"P-51027-00")</f>
        <v>P-51027-00</v>
      </c>
      <c r="B2219" s="2" t="str">
        <f>IFERROR(__xludf.DUMMYFUNCTION("""COMPUTED_VALUE"""),"General - IsoLasi Kabel Hitam 33 (19mm x 20mm x 0.177mm); Scotch; -; 1 Pcs")</f>
        <v>General - IsoLasi Kabel Hitam 33 (19mm x 20mm x 0.177mm); Scotch; -; 1 Pcs</v>
      </c>
      <c r="C2219" s="2" t="str">
        <f>IFERROR(__xludf.DUMMYFUNCTION("""COMPUTED_VALUE"""),"P-51027-00")</f>
        <v>P-51027-00</v>
      </c>
    </row>
    <row r="2220">
      <c r="A2220" s="2" t="str">
        <f>IFERROR(__xludf.DUMMYFUNCTION("""COMPUTED_VALUE"""),"P-51030-00")</f>
        <v>P-51030-00</v>
      </c>
      <c r="B2220" s="2" t="str">
        <f>IFERROR(__xludf.DUMMYFUNCTION("""COMPUTED_VALUE"""),"General - Kabel NYAF 1x0.75mm, Warna Biru; JEMBO; -; 1 meter")</f>
        <v>General - Kabel NYAF 1x0.75mm, Warna Biru; JEMBO; -; 1 meter</v>
      </c>
      <c r="C2220" s="2" t="str">
        <f>IFERROR(__xludf.DUMMYFUNCTION("""COMPUTED_VALUE"""),"P-51030-00")</f>
        <v>P-51030-00</v>
      </c>
    </row>
    <row r="2221">
      <c r="A2221" s="2" t="str">
        <f>IFERROR(__xludf.DUMMYFUNCTION("""COMPUTED_VALUE"""),"P-51197-00")</f>
        <v>P-51197-00</v>
      </c>
      <c r="B2221" s="2" t="str">
        <f>IFERROR(__xludf.DUMMYFUNCTION("""COMPUTED_VALUE"""),"OSRAM - Lampu Halogen 24V 20W 64435U")</f>
        <v>OSRAM - Lampu Halogen 24V 20W 64435U</v>
      </c>
      <c r="C2221" s="2" t="str">
        <f>IFERROR(__xludf.DUMMYFUNCTION("""COMPUTED_VALUE"""),"P-51197-00")</f>
        <v>P-51197-00</v>
      </c>
    </row>
    <row r="2222">
      <c r="A2222" s="2" t="str">
        <f>IFERROR(__xludf.DUMMYFUNCTION("""COMPUTED_VALUE"""),"P-51216-00")</f>
        <v>P-51216-00</v>
      </c>
      <c r="B2222" s="2" t="str">
        <f>IFERROR(__xludf.DUMMYFUNCTION("""COMPUTED_VALUE"""),"Pipa conduit 20mm")</f>
        <v>Pipa conduit 20mm</v>
      </c>
      <c r="C2222" s="2" t="str">
        <f>IFERROR(__xludf.DUMMYFUNCTION("""COMPUTED_VALUE"""),"P-51216-00")</f>
        <v>P-51216-00</v>
      </c>
    </row>
    <row r="2223">
      <c r="A2223" s="2" t="str">
        <f>IFERROR(__xludf.DUMMYFUNCTION("""COMPUTED_VALUE"""),"P-51236-00")</f>
        <v>P-51236-00</v>
      </c>
      <c r="B2223" s="2" t="str">
        <f>IFERROR(__xludf.DUMMYFUNCTION("""COMPUTED_VALUE"""),"Skun ( I ) pin dia 0.75 mm")</f>
        <v>Skun ( I ) pin dia 0.75 mm</v>
      </c>
      <c r="C2223" s="2" t="str">
        <f>IFERROR(__xludf.DUMMYFUNCTION("""COMPUTED_VALUE"""),"P-51236-00")</f>
        <v>P-51236-00</v>
      </c>
    </row>
    <row r="2224">
      <c r="A2224" s="2" t="str">
        <f>IFERROR(__xludf.DUMMYFUNCTION("""COMPUTED_VALUE"""),"P-51239-00")</f>
        <v>P-51239-00</v>
      </c>
      <c r="B2224" s="2" t="str">
        <f>IFERROR(__xludf.DUMMYFUNCTION("""COMPUTED_VALUE"""),"Skun ( I ) Pin uk.2.5-5 m hitam")</f>
        <v>Skun ( I ) Pin uk.2.5-5 m hitam</v>
      </c>
      <c r="C2224" s="2" t="str">
        <f>IFERROR(__xludf.DUMMYFUNCTION("""COMPUTED_VALUE"""),"P-51239-00")</f>
        <v>P-51239-00</v>
      </c>
    </row>
    <row r="2225">
      <c r="A2225" s="2" t="str">
        <f>IFERROR(__xludf.DUMMYFUNCTION("""COMPUTED_VALUE"""),"P-51252-00")</f>
        <v>P-51252-00</v>
      </c>
      <c r="B2225" s="2" t="str">
        <f>IFERROR(__xludf.DUMMYFUNCTION("""COMPUTED_VALUE"""),"Skun O dia 2.5 mm")</f>
        <v>Skun O dia 2.5 mm</v>
      </c>
      <c r="C2225" s="2" t="str">
        <f>IFERROR(__xludf.DUMMYFUNCTION("""COMPUTED_VALUE"""),"P-51252-00")</f>
        <v>P-51252-00</v>
      </c>
    </row>
    <row r="2226">
      <c r="A2226" s="2" t="str">
        <f>IFERROR(__xludf.DUMMYFUNCTION("""COMPUTED_VALUE"""),"P-51253-00")</f>
        <v>P-51253-00</v>
      </c>
      <c r="B2226" s="2" t="str">
        <f>IFERROR(__xludf.DUMMYFUNCTION("""COMPUTED_VALUE"""),"General - Skun Y 0.75mm; No Brand; -; 100pcs/pack")</f>
        <v>General - Skun Y 0.75mm; No Brand; -; 100pcs/pack</v>
      </c>
      <c r="C2226" s="2" t="str">
        <f>IFERROR(__xludf.DUMMYFUNCTION("""COMPUTED_VALUE"""),"P-51253-00")</f>
        <v>P-51253-00</v>
      </c>
    </row>
    <row r="2227">
      <c r="A2227" s="2" t="str">
        <f>IFERROR(__xludf.DUMMYFUNCTION("""COMPUTED_VALUE"""),"P-51269-00")</f>
        <v>P-51269-00</v>
      </c>
      <c r="B2227" s="2" t="str">
        <f>IFERROR(__xludf.DUMMYFUNCTION("""COMPUTED_VALUE"""),"Stecker 3 phase 16A 5 PIN (male&amp;female) type surface mounting")</f>
        <v>Stecker 3 phase 16A 5 PIN (male&amp;female) type surface mounting</v>
      </c>
      <c r="C2227" s="2" t="str">
        <f>IFERROR(__xludf.DUMMYFUNCTION("""COMPUTED_VALUE"""),"P-51269-00")</f>
        <v>P-51269-00</v>
      </c>
    </row>
    <row r="2228">
      <c r="A2228" s="2" t="str">
        <f>IFERROR(__xludf.DUMMYFUNCTION("""COMPUTED_VALUE"""),"P-51295-00")</f>
        <v>P-51295-00</v>
      </c>
      <c r="B2228" s="2" t="str">
        <f>IFERROR(__xludf.DUMMYFUNCTION("""COMPUTED_VALUE"""),"Terminal blok kuningan 4 pin 600V25A")</f>
        <v>Terminal blok kuningan 4 pin 600V25A</v>
      </c>
      <c r="C2228" s="2" t="str">
        <f>IFERROR(__xludf.DUMMYFUNCTION("""COMPUTED_VALUE"""),"P-51295-00")</f>
        <v>P-51295-00</v>
      </c>
    </row>
    <row r="2229">
      <c r="A2229" s="2" t="str">
        <f>IFERROR(__xludf.DUMMYFUNCTION("""COMPUTED_VALUE"""),"P-51296-00")</f>
        <v>P-51296-00</v>
      </c>
      <c r="B2229" s="2" t="str">
        <f>IFERROR(__xludf.DUMMYFUNCTION("""COMPUTED_VALUE"""),"Terminal blok kuningan 6 pin 600 v 25A")</f>
        <v>Terminal blok kuningan 6 pin 600 v 25A</v>
      </c>
      <c r="C2229" s="2" t="str">
        <f>IFERROR(__xludf.DUMMYFUNCTION("""COMPUTED_VALUE"""),"P-51296-00")</f>
        <v>P-51296-00</v>
      </c>
    </row>
    <row r="2230">
      <c r="A2230" s="2" t="str">
        <f>IFERROR(__xludf.DUMMYFUNCTION("""COMPUTED_VALUE"""),"P-51298-00")</f>
        <v>P-51298-00</v>
      </c>
      <c r="B2230" s="2" t="str">
        <f>IFERROR(__xludf.DUMMYFUNCTION("""COMPUTED_VALUE"""),"General - Terminal Plastik, dia. 4 mm; No Brand; -; 1 pcs")</f>
        <v>General - Terminal Plastik, dia. 4 mm; No Brand; -; 1 pcs</v>
      </c>
      <c r="C2230" s="2" t="str">
        <f>IFERROR(__xludf.DUMMYFUNCTION("""COMPUTED_VALUE"""),"P-51298-00")</f>
        <v>P-51298-00</v>
      </c>
    </row>
    <row r="2231">
      <c r="A2231" s="2" t="str">
        <f>IFERROR(__xludf.DUMMYFUNCTION("""COMPUTED_VALUE"""),"P-51299-00")</f>
        <v>P-51299-00</v>
      </c>
      <c r="B2231" s="2" t="str">
        <f>IFERROR(__xludf.DUMMYFUNCTION("""COMPUTED_VALUE"""),"General - Terminal Plastik, dia. 6 mm; No Brand; -; 1 pcs")</f>
        <v>General - Terminal Plastik, dia. 6 mm; No Brand; -; 1 pcs</v>
      </c>
      <c r="C2231" s="2" t="str">
        <f>IFERROR(__xludf.DUMMYFUNCTION("""COMPUTED_VALUE"""),"P-51299-00")</f>
        <v>P-51299-00</v>
      </c>
    </row>
    <row r="2232">
      <c r="A2232" s="2" t="str">
        <f>IFERROR(__xludf.DUMMYFUNCTION("""COMPUTED_VALUE"""),"P-51302-00")</f>
        <v>P-51302-00</v>
      </c>
      <c r="B2232" s="2" t="str">
        <f>IFERROR(__xludf.DUMMYFUNCTION("""COMPUTED_VALUE"""),"Timah Solder dia 1 mm")</f>
        <v>Timah Solder dia 1 mm</v>
      </c>
      <c r="C2232" s="2" t="str">
        <f>IFERROR(__xludf.DUMMYFUNCTION("""COMPUTED_VALUE"""),"P-51302-00")</f>
        <v>P-51302-00</v>
      </c>
    </row>
    <row r="2233">
      <c r="A2233" s="2" t="str">
        <f>IFERROR(__xludf.DUMMYFUNCTION("""COMPUTED_VALUE"""),"P-51310-00")</f>
        <v>P-51310-00</v>
      </c>
      <c r="B2233" s="2" t="str">
        <f>IFERROR(__xludf.DUMMYFUNCTION("""COMPUTED_VALUE"""),"Travo 3A 220V-24V")</f>
        <v>Travo 3A 220V-24V</v>
      </c>
      <c r="C2233" s="2" t="str">
        <f>IFERROR(__xludf.DUMMYFUNCTION("""COMPUTED_VALUE"""),"P-51310-00")</f>
        <v>P-51310-00</v>
      </c>
    </row>
    <row r="2234">
      <c r="A2234" s="2" t="str">
        <f>IFERROR(__xludf.DUMMYFUNCTION("""COMPUTED_VALUE"""),"P-51311-00")</f>
        <v>P-51311-00</v>
      </c>
      <c r="B2234" s="2" t="str">
        <f>IFERROR(__xludf.DUMMYFUNCTION("""COMPUTED_VALUE"""),"Travo 5A Out : 12,18,24,32 VAC")</f>
        <v>Travo 5A Out : 12,18,24,32 VAC</v>
      </c>
      <c r="C2234" s="2" t="str">
        <f>IFERROR(__xludf.DUMMYFUNCTION("""COMPUTED_VALUE"""),"P-51311-00")</f>
        <v>P-51311-00</v>
      </c>
    </row>
    <row r="2235">
      <c r="A2235" s="2" t="str">
        <f>IFERROR(__xludf.DUMMYFUNCTION("""COMPUTED_VALUE"""),"P-51321-00")</f>
        <v>P-51321-00</v>
      </c>
      <c r="B2235" s="2" t="str">
        <f>IFERROR(__xludf.DUMMYFUNCTION("""COMPUTED_VALUE"""),"General - Analog Smoke Detector; Nohmi Bosai; FDK38U; 1 pcs")</f>
        <v>General - Analog Smoke Detector; Nohmi Bosai; FDK38U; 1 pcs</v>
      </c>
      <c r="C2235" s="2" t="str">
        <f>IFERROR(__xludf.DUMMYFUNCTION("""COMPUTED_VALUE"""),"P-51321-00")</f>
        <v>P-51321-00</v>
      </c>
    </row>
    <row r="2236">
      <c r="A2236" s="2" t="str">
        <f>IFERROR(__xludf.DUMMYFUNCTION("""COMPUTED_VALUE"""),"P-51410-00")</f>
        <v>P-51410-00</v>
      </c>
      <c r="B2236" s="2" t="str">
        <f>IFERROR(__xludf.DUMMYFUNCTION("""COMPUTED_VALUE"""),"OMRON - Relay MY4N 220/240VAC")</f>
        <v>OMRON - Relay MY4N 220/240VAC</v>
      </c>
      <c r="C2236" s="2" t="str">
        <f>IFERROR(__xludf.DUMMYFUNCTION("""COMPUTED_VALUE"""),"P-51410-00")</f>
        <v>P-51410-00</v>
      </c>
    </row>
    <row r="2237">
      <c r="A2237" s="2" t="str">
        <f>IFERROR(__xludf.DUMMYFUNCTION("""COMPUTED_VALUE"""),"P-51426-00")</f>
        <v>P-51426-00</v>
      </c>
      <c r="B2237" s="2" t="str">
        <f>IFERROR(__xludf.DUMMYFUNCTION("""COMPUTED_VALUE"""),"Autonics - Power Supply ? SPA-075-24 ? 24VDC 3.2A")</f>
        <v>Autonics - Power Supply ? SPA-075-24 ? 24VDC 3.2A</v>
      </c>
      <c r="C2237" s="2" t="str">
        <f>IFERROR(__xludf.DUMMYFUNCTION("""COMPUTED_VALUE"""),"P-51426-00")</f>
        <v>P-51426-00</v>
      </c>
    </row>
    <row r="2238">
      <c r="A2238" s="2" t="str">
        <f>IFERROR(__xludf.DUMMYFUNCTION("""COMPUTED_VALUE"""),"P-51529-00")</f>
        <v>P-51529-00</v>
      </c>
      <c r="B2238" s="2" t="str">
        <f>IFERROR(__xludf.DUMMYFUNCTION("""COMPUTED_VALUE"""),"5um Filter, 30"" 5um PP for PWG")</f>
        <v>5um Filter, 30" 5um PP for PWG</v>
      </c>
      <c r="C2238" s="2" t="str">
        <f>IFERROR(__xludf.DUMMYFUNCTION("""COMPUTED_VALUE"""),"P-51529-00")</f>
        <v>P-51529-00</v>
      </c>
    </row>
    <row r="2239">
      <c r="A2239" s="2" t="str">
        <f>IFERROR(__xludf.DUMMYFUNCTION("""COMPUTED_VALUE"""),"P-51559-00")</f>
        <v>P-51559-00</v>
      </c>
      <c r="B2239" s="2" t="str">
        <f>IFERROR(__xludf.DUMMYFUNCTION("""COMPUTED_VALUE"""),"General - Lampu TL T5 14 W White; Philips; -; 1 unt")</f>
        <v>General - Lampu TL T5 14 W White; Philips; -; 1 unt</v>
      </c>
      <c r="C2239" s="2" t="str">
        <f>IFERROR(__xludf.DUMMYFUNCTION("""COMPUTED_VALUE"""),"P-51559-00")</f>
        <v>P-51559-00</v>
      </c>
    </row>
    <row r="2240">
      <c r="A2240" s="2" t="str">
        <f>IFERROR(__xludf.DUMMYFUNCTION("""COMPUTED_VALUE"""),"P-51560-00")</f>
        <v>P-51560-00</v>
      </c>
      <c r="B2240" s="2" t="str">
        <f>IFERROR(__xludf.DUMMYFUNCTION("""COMPUTED_VALUE"""),"General - Lampu TL T5 28W White; Philips; -; 1 unt")</f>
        <v>General - Lampu TL T5 28W White; Philips; -; 1 unt</v>
      </c>
      <c r="C2240" s="2" t="str">
        <f>IFERROR(__xludf.DUMMYFUNCTION("""COMPUTED_VALUE"""),"P-51560-00")</f>
        <v>P-51560-00</v>
      </c>
    </row>
    <row r="2241">
      <c r="A2241" s="2" t="str">
        <f>IFERROR(__xludf.DUMMYFUNCTION("""COMPUTED_VALUE"""),"P-51561-00")</f>
        <v>P-51561-00</v>
      </c>
      <c r="B2241" s="2" t="str">
        <f>IFERROR(__xludf.DUMMYFUNCTION("""COMPUTED_VALUE"""),"Lampu Essential GENIE (pendek) 11watt/E27 Putih; Phillips; ;")</f>
        <v>Lampu Essential GENIE (pendek) 11watt/E27 Putih; Phillips; ;</v>
      </c>
      <c r="C2241" s="2" t="str">
        <f>IFERROR(__xludf.DUMMYFUNCTION("""COMPUTED_VALUE"""),"P-51561-00")</f>
        <v>P-51561-00</v>
      </c>
    </row>
    <row r="2242">
      <c r="A2242" s="2" t="str">
        <f>IFERROR(__xludf.DUMMYFUNCTION("""COMPUTED_VALUE"""),"P-51574-00")</f>
        <v>P-51574-00</v>
      </c>
      <c r="B2242" s="2" t="str">
        <f>IFERROR(__xludf.DUMMYFUNCTION("""COMPUTED_VALUE"""),"Motorized Valve 2 Way, DFCM-220X/4.6 3/4 inch 220V 50 HZ REGIN; ; ;")</f>
        <v>Motorized Valve 2 Way, DFCM-220X/4.6 3/4 inch 220V 50 HZ REGIN; ; ;</v>
      </c>
      <c r="C2242" s="2" t="str">
        <f>IFERROR(__xludf.DUMMYFUNCTION("""COMPUTED_VALUE"""),"P-51574-00")</f>
        <v>P-51574-00</v>
      </c>
    </row>
    <row r="2243">
      <c r="A2243" s="2" t="str">
        <f>IFERROR(__xludf.DUMMYFUNCTION("""COMPUTED_VALUE"""),"P-51704-00")</f>
        <v>P-51704-00</v>
      </c>
      <c r="B2243" s="2" t="str">
        <f>IFERROR(__xludf.DUMMYFUNCTION("""COMPUTED_VALUE"""),"Terminal Krustin 6 Terminal; ; ;")</f>
        <v>Terminal Krustin 6 Terminal; ; ;</v>
      </c>
      <c r="C2243" s="2" t="str">
        <f>IFERROR(__xludf.DUMMYFUNCTION("""COMPUTED_VALUE"""),"P-51704-00")</f>
        <v>P-51704-00</v>
      </c>
    </row>
    <row r="2244">
      <c r="A2244" s="2" t="str">
        <f>IFERROR(__xludf.DUMMYFUNCTION("""COMPUTED_VALUE"""),"P-51705-00")</f>
        <v>P-51705-00</v>
      </c>
      <c r="B2244" s="2" t="str">
        <f>IFERROR(__xludf.DUMMYFUNCTION("""COMPUTED_VALUE"""),"Relay 110-120 V AC; ; ;")</f>
        <v>Relay 110-120 V AC; ; ;</v>
      </c>
      <c r="C2244" s="2" t="str">
        <f>IFERROR(__xludf.DUMMYFUNCTION("""COMPUTED_VALUE"""),"P-51705-00")</f>
        <v>P-51705-00</v>
      </c>
    </row>
    <row r="2245">
      <c r="A2245" s="2" t="str">
        <f>IFERROR(__xludf.DUMMYFUNCTION("""COMPUTED_VALUE"""),"P-51706-00")</f>
        <v>P-51706-00</v>
      </c>
      <c r="B2245" s="2" t="str">
        <f>IFERROR(__xludf.DUMMYFUNCTION("""COMPUTED_VALUE"""),"General - Terminal Block, 4 Pin; No Brand; -; 1 pcs")</f>
        <v>General - Terminal Block, 4 Pin; No Brand; -; 1 pcs</v>
      </c>
      <c r="C2245" s="2" t="str">
        <f>IFERROR(__xludf.DUMMYFUNCTION("""COMPUTED_VALUE"""),"P-51706-00")</f>
        <v>P-51706-00</v>
      </c>
    </row>
    <row r="2246">
      <c r="A2246" s="2" t="str">
        <f>IFERROR(__xludf.DUMMYFUNCTION("""COMPUTED_VALUE"""),"P-51708-00")</f>
        <v>P-51708-00</v>
      </c>
      <c r="B2246" s="2" t="str">
        <f>IFERROR(__xludf.DUMMYFUNCTION("""COMPUTED_VALUE"""),"Regulator Angin AER2000")</f>
        <v>Regulator Angin AER2000</v>
      </c>
      <c r="C2246" s="2" t="str">
        <f>IFERROR(__xludf.DUMMYFUNCTION("""COMPUTED_VALUE"""),"P-51708-00")</f>
        <v>P-51708-00</v>
      </c>
    </row>
    <row r="2247">
      <c r="A2247" s="2" t="str">
        <f>IFERROR(__xludf.DUMMYFUNCTION("""COMPUTED_VALUE"""),"P-51718-00")</f>
        <v>P-51718-00</v>
      </c>
      <c r="B2247" s="2" t="str">
        <f>IFERROR(__xludf.DUMMYFUNCTION("""COMPUTED_VALUE"""),"Lampu LED 12 VDC P. 30 cm; ; ;")</f>
        <v>Lampu LED 12 VDC P. 30 cm; ; ;</v>
      </c>
      <c r="C2247" s="2" t="str">
        <f>IFERROR(__xludf.DUMMYFUNCTION("""COMPUTED_VALUE"""),"P-51718-00")</f>
        <v>P-51718-00</v>
      </c>
    </row>
    <row r="2248">
      <c r="A2248" s="2" t="str">
        <f>IFERROR(__xludf.DUMMYFUNCTION("""COMPUTED_VALUE"""),"P-51736-00")</f>
        <v>P-51736-00</v>
      </c>
      <c r="B2248" s="2" t="str">
        <f>IFERROR(__xludf.DUMMYFUNCTION("""COMPUTED_VALUE"""),"Kabel UTP isi 8 Cat 5e merk BELDEN; ; ;")</f>
        <v>Kabel UTP isi 8 Cat 5e merk BELDEN; ; ;</v>
      </c>
      <c r="C2248" s="2" t="str">
        <f>IFERROR(__xludf.DUMMYFUNCTION("""COMPUTED_VALUE"""),"P-51736-00")</f>
        <v>P-51736-00</v>
      </c>
    </row>
    <row r="2249">
      <c r="A2249" s="2" t="str">
        <f>IFERROR(__xludf.DUMMYFUNCTION("""COMPUTED_VALUE"""),"P-51738-00")</f>
        <v>P-51738-00</v>
      </c>
      <c r="B2249" s="2" t="str">
        <f>IFERROR(__xludf.DUMMYFUNCTION("""COMPUTED_VALUE"""),"Limit Switch CZ7311 10 A 220 V; ; ;")</f>
        <v>Limit Switch CZ7311 10 A 220 V; ; ;</v>
      </c>
      <c r="C2249" s="2" t="str">
        <f>IFERROR(__xludf.DUMMYFUNCTION("""COMPUTED_VALUE"""),"P-51738-00")</f>
        <v>P-51738-00</v>
      </c>
    </row>
    <row r="2250">
      <c r="A2250" s="2" t="str">
        <f>IFERROR(__xludf.DUMMYFUNCTION("""COMPUTED_VALUE"""),"P-51739-00")</f>
        <v>P-51739-00</v>
      </c>
      <c r="B2250" s="2" t="str">
        <f>IFERROR(__xludf.DUMMYFUNCTION("""COMPUTED_VALUE"""),"TOR Schneider LRD05 0,63 - 1,0 A; ; ;")</f>
        <v>TOR Schneider LRD05 0,63 - 1,0 A; ; ;</v>
      </c>
      <c r="C2250" s="2" t="str">
        <f>IFERROR(__xludf.DUMMYFUNCTION("""COMPUTED_VALUE"""),"P-51739-00")</f>
        <v>P-51739-00</v>
      </c>
    </row>
    <row r="2251">
      <c r="A2251" s="2" t="str">
        <f>IFERROR(__xludf.DUMMYFUNCTION("""COMPUTED_VALUE"""),"P-51740-00")</f>
        <v>P-51740-00</v>
      </c>
      <c r="B2251" s="2" t="str">
        <f>IFERROR(__xludf.DUMMYFUNCTION("""COMPUTED_VALUE"""),"Timer + Socket Omron 43BA-A8 220 VAC; ; ;")</f>
        <v>Timer + Socket Omron 43BA-A8 220 VAC; ; ;</v>
      </c>
      <c r="C2251" s="2" t="str">
        <f>IFERROR(__xludf.DUMMYFUNCTION("""COMPUTED_VALUE"""),"P-51740-00")</f>
        <v>P-51740-00</v>
      </c>
    </row>
    <row r="2252">
      <c r="A2252" s="2" t="str">
        <f>IFERROR(__xludf.DUMMYFUNCTION("""COMPUTED_VALUE"""),"P-51741-00")</f>
        <v>P-51741-00</v>
      </c>
      <c r="B2252" s="2" t="str">
        <f>IFERROR(__xludf.DUMMYFUNCTION("""COMPUTED_VALUE"""),"Lampu Phillips PHP LED; 710 7w E27 White 220-240v; ; ;")</f>
        <v>Lampu Phillips PHP LED; 710 7w E27 White 220-240v; ; ;</v>
      </c>
      <c r="C2252" s="2" t="str">
        <f>IFERROR(__xludf.DUMMYFUNCTION("""COMPUTED_VALUE"""),"P-51741-00")</f>
        <v>P-51741-00</v>
      </c>
    </row>
    <row r="2253">
      <c r="A2253" s="2" t="str">
        <f>IFERROR(__xludf.DUMMYFUNCTION("""COMPUTED_VALUE"""),"P-51742-00")</f>
        <v>P-51742-00</v>
      </c>
      <c r="B2253" s="2" t="str">
        <f>IFERROR(__xludf.DUMMYFUNCTION("""COMPUTED_VALUE"""),"G24 - E27 Converter Fitting Lampu PLC Bohlam Extension")</f>
        <v>G24 - E27 Converter Fitting Lampu PLC Bohlam Extension</v>
      </c>
      <c r="C2253" s="2" t="str">
        <f>IFERROR(__xludf.DUMMYFUNCTION("""COMPUTED_VALUE"""),"P-51742-00")</f>
        <v>P-51742-00</v>
      </c>
    </row>
    <row r="2254">
      <c r="A2254" s="2" t="str">
        <f>IFERROR(__xludf.DUMMYFUNCTION("""COMPUTED_VALUE"""),"P-51743-00")</f>
        <v>P-51743-00</v>
      </c>
      <c r="B2254" s="2" t="str">
        <f>IFERROR(__xludf.DUMMYFUNCTION("""COMPUTED_VALUE"""),"Capasitor bulat 5 mF; 400 V; ; ;")</f>
        <v>Capasitor bulat 5 mF; 400 V; ; ;</v>
      </c>
      <c r="C2254" s="2" t="str">
        <f>IFERROR(__xludf.DUMMYFUNCTION("""COMPUTED_VALUE"""),"P-51743-00")</f>
        <v>P-51743-00</v>
      </c>
    </row>
    <row r="2255">
      <c r="A2255" s="2" t="str">
        <f>IFERROR(__xludf.DUMMYFUNCTION("""COMPUTED_VALUE"""),"P-51744-00")</f>
        <v>P-51744-00</v>
      </c>
      <c r="B2255" s="2" t="str">
        <f>IFERROR(__xludf.DUMMYFUNCTION("""COMPUTED_VALUE"""),"Exhaust Fan; SUNON; 12 VDC, KD 1205; ; ;")</f>
        <v>Exhaust Fan; SUNON; 12 VDC, KD 1205; ; ;</v>
      </c>
      <c r="C2255" s="2" t="str">
        <f>IFERROR(__xludf.DUMMYFUNCTION("""COMPUTED_VALUE"""),"P-51744-00")</f>
        <v>P-51744-00</v>
      </c>
    </row>
    <row r="2256">
      <c r="A2256" s="2" t="str">
        <f>IFERROR(__xludf.DUMMYFUNCTION("""COMPUTED_VALUE"""),"P-51745-00")</f>
        <v>P-51745-00</v>
      </c>
      <c r="B2256" s="2" t="str">
        <f>IFERROR(__xludf.DUMMYFUNCTION("""COMPUTED_VALUE"""),"MCB Schneider C60H 1 phase 1 pole 6A 10000A; ; ;")</f>
        <v>MCB Schneider C60H 1 phase 1 pole 6A 10000A; ; ;</v>
      </c>
      <c r="C2256" s="2" t="str">
        <f>IFERROR(__xludf.DUMMYFUNCTION("""COMPUTED_VALUE"""),"P-51745-00")</f>
        <v>P-51745-00</v>
      </c>
    </row>
    <row r="2257">
      <c r="A2257" s="2" t="str">
        <f>IFERROR(__xludf.DUMMYFUNCTION("""COMPUTED_VALUE"""),"P-51752-00")</f>
        <v>P-51752-00</v>
      </c>
      <c r="B2257" s="2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7" s="2" t="str">
        <f>IFERROR(__xludf.DUMMYFUNCTION("""COMPUTED_VALUE"""),"P-51752-00")</f>
        <v>P-51752-00</v>
      </c>
    </row>
    <row r="2258">
      <c r="A2258" s="2" t="str">
        <f>IFERROR(__xludf.DUMMYFUNCTION("""COMPUTED_VALUE"""),"P-51756-00")</f>
        <v>P-51756-00</v>
      </c>
      <c r="B2258" s="2" t="str">
        <f>IFERROR(__xludf.DUMMYFUNCTION("""COMPUTED_VALUE"""),"General - Kabel NYYHY 3 x 0.75mm; Jembo; -; 1 meter")</f>
        <v>General - Kabel NYYHY 3 x 0.75mm; Jembo; -; 1 meter</v>
      </c>
      <c r="C2258" s="2" t="str">
        <f>IFERROR(__xludf.DUMMYFUNCTION("""COMPUTED_VALUE"""),"P-51756-00")</f>
        <v>P-51756-00</v>
      </c>
    </row>
    <row r="2259">
      <c r="A2259" s="2" t="str">
        <f>IFERROR(__xludf.DUMMYFUNCTION("""COMPUTED_VALUE"""),"P-51760-00")</f>
        <v>P-51760-00</v>
      </c>
      <c r="B2259" s="2" t="str">
        <f>IFERROR(__xludf.DUMMYFUNCTION("""COMPUTED_VALUE"""),"UHI FINNED HEATER W FORM; DIA. 11X260X140MM; Power : 1,5KW - 240V; ; ;")</f>
        <v>UHI FINNED HEATER W FORM; DIA. 11X260X140MM; Power : 1,5KW - 240V; ; ;</v>
      </c>
      <c r="C2259" s="2" t="str">
        <f>IFERROR(__xludf.DUMMYFUNCTION("""COMPUTED_VALUE"""),"P-51760-00")</f>
        <v>P-51760-00</v>
      </c>
    </row>
    <row r="2260">
      <c r="A2260" s="2" t="str">
        <f>IFERROR(__xludf.DUMMYFUNCTION("""COMPUTED_VALUE"""),"P-51770-00")</f>
        <v>P-51770-00</v>
      </c>
      <c r="B2260" s="2" t="str">
        <f>IFERROR(__xludf.DUMMYFUNCTION("""COMPUTED_VALUE"""),"Digital Thermostat Type RCF230D/L20V REGIN pc")</f>
        <v>Digital Thermostat Type RCF230D/L20V REGIN pc</v>
      </c>
      <c r="C2260" s="2" t="str">
        <f>IFERROR(__xludf.DUMMYFUNCTION("""COMPUTED_VALUE"""),"P-51770-00")</f>
        <v>P-51770-00</v>
      </c>
    </row>
    <row r="2261">
      <c r="A2261" s="2" t="str">
        <f>IFERROR(__xludf.DUMMYFUNCTION("""COMPUTED_VALUE"""),"P-51779-00")</f>
        <v>P-51779-00</v>
      </c>
      <c r="B2261" s="2" t="str">
        <f>IFERROR(__xludf.DUMMYFUNCTION("""COMPUTED_VALUE"""),"Temperature Loop Controller; Type : 16C-3; Output : Relay; Mfg : Dwyer; ; ;")</f>
        <v>Temperature Loop Controller; Type : 16C-3; Output : Relay; Mfg : Dwyer; ; ;</v>
      </c>
      <c r="C2261" s="2" t="str">
        <f>IFERROR(__xludf.DUMMYFUNCTION("""COMPUTED_VALUE"""),"P-51779-00")</f>
        <v>P-51779-00</v>
      </c>
    </row>
    <row r="2262">
      <c r="A2262" s="2" t="str">
        <f>IFERROR(__xludf.DUMMYFUNCTION("""COMPUTED_VALUE"""),"P-51780-00")</f>
        <v>P-51780-00</v>
      </c>
      <c r="B2262" s="2" t="str">
        <f>IFERROR(__xludf.DUMMYFUNCTION("""COMPUTED_VALUE"""),"Temperature Controller type E5CN; Merk Omron; ;")</f>
        <v>Temperature Controller type E5CN; Merk Omron; ;</v>
      </c>
      <c r="C2262" s="2" t="str">
        <f>IFERROR(__xludf.DUMMYFUNCTION("""COMPUTED_VALUE"""),"P-51780-00")</f>
        <v>P-51780-00</v>
      </c>
    </row>
    <row r="2263">
      <c r="A2263" s="2" t="str">
        <f>IFERROR(__xludf.DUMMYFUNCTION("""COMPUTED_VALUE"""),"P-51781-00")</f>
        <v>P-51781-00</v>
      </c>
      <c r="B2263" s="2" t="str">
        <f>IFERROR(__xludf.DUMMYFUNCTION("""COMPUTED_VALUE"""),"Digital Temperature Switch Type : TS2-021; Voltage : 230 VAC; Brand: Dwyer; ;")</f>
        <v>Digital Temperature Switch Type : TS2-021; Voltage : 230 VAC; Brand: Dwyer; ;</v>
      </c>
      <c r="C2263" s="2" t="str">
        <f>IFERROR(__xludf.DUMMYFUNCTION("""COMPUTED_VALUE"""),"P-51781-00")</f>
        <v>P-51781-00</v>
      </c>
    </row>
    <row r="2264">
      <c r="A2264" s="2" t="str">
        <f>IFERROR(__xludf.DUMMYFUNCTION("""COMPUTED_VALUE"""),"P-51782-00")</f>
        <v>P-51782-00</v>
      </c>
      <c r="B2264" s="2" t="str">
        <f>IFERROR(__xludf.DUMMYFUNCTION("""COMPUTED_VALUE"""),"SRV66 MAINTENANCE KIT 1"" 1.0-5.0 BAR; 6404999UA; ; ;")</f>
        <v>SRV66 MAINTENANCE KIT 1" 1.0-5.0 BAR; 6404999UA; ; ;</v>
      </c>
      <c r="C2264" s="2" t="str">
        <f>IFERROR(__xludf.DUMMYFUNCTION("""COMPUTED_VALUE"""),"P-51782-00")</f>
        <v>P-51782-00</v>
      </c>
    </row>
    <row r="2265">
      <c r="A2265" s="2" t="str">
        <f>IFERROR(__xludf.DUMMYFUNCTION("""COMPUTED_VALUE"""),"P-51784-00")</f>
        <v>P-51784-00</v>
      </c>
      <c r="B2265" s="2" t="str">
        <f>IFERROR(__xludf.DUMMYFUNCTION("""COMPUTED_VALUE"""),"Acessoris GEMU 687; Type 1215 order No. 1215000Z1110X; ; ;")</f>
        <v>Acessoris GEMU 687; Type 1215 order No. 1215000Z1110X; ; ;</v>
      </c>
      <c r="C2265" s="2" t="str">
        <f>IFERROR(__xludf.DUMMYFUNCTION("""COMPUTED_VALUE"""),"P-51784-00")</f>
        <v>P-51784-00</v>
      </c>
    </row>
    <row r="2266">
      <c r="A2266" s="2" t="str">
        <f>IFERROR(__xludf.DUMMYFUNCTION("""COMPUTED_VALUE"""),"P-51785-00")</f>
        <v>P-51785-00</v>
      </c>
      <c r="B2266" s="2" t="str">
        <f>IFERROR(__xludf.DUMMYFUNCTION("""COMPUTED_VALUE"""),"Hour Meter LE8N-BF Autonics; ; ;")</f>
        <v>Hour Meter LE8N-BF Autonics; ; ;</v>
      </c>
      <c r="C2266" s="2" t="str">
        <f>IFERROR(__xludf.DUMMYFUNCTION("""COMPUTED_VALUE"""),"P-51785-00")</f>
        <v>P-51785-00</v>
      </c>
    </row>
    <row r="2267">
      <c r="A2267" s="2" t="str">
        <f>IFERROR(__xludf.DUMMYFUNCTION("""COMPUTED_VALUE"""),"P-51786-00")</f>
        <v>P-51786-00</v>
      </c>
      <c r="B2267" s="2" t="str">
        <f>IFERROR(__xludf.DUMMYFUNCTION("""COMPUTED_VALUE"""),"Jumper Terminal viking uk. 2,5 mm; ; ;")</f>
        <v>Jumper Terminal viking uk. 2,5 mm; ; ;</v>
      </c>
      <c r="C2267" s="2" t="str">
        <f>IFERROR(__xludf.DUMMYFUNCTION("""COMPUTED_VALUE"""),"P-51786-00")</f>
        <v>P-51786-00</v>
      </c>
    </row>
    <row r="2268">
      <c r="A2268" s="2" t="str">
        <f>IFERROR(__xludf.DUMMYFUNCTION("""COMPUTED_VALUE"""),"P-51793-00")</f>
        <v>P-51793-00</v>
      </c>
      <c r="B2268" s="2" t="str">
        <f>IFERROR(__xludf.DUMMYFUNCTION("""COMPUTED_VALUE"""),"General - Panel Box Uk. 20 x 30 x 15cm; No Brand; -; 1 pc")</f>
        <v>General - Panel Box Uk. 20 x 30 x 15cm; No Brand; -; 1 pc</v>
      </c>
      <c r="C2268" s="2" t="str">
        <f>IFERROR(__xludf.DUMMYFUNCTION("""COMPUTED_VALUE"""),"P-51793-00")</f>
        <v>P-51793-00</v>
      </c>
    </row>
    <row r="2269">
      <c r="A2269" s="2" t="str">
        <f>IFERROR(__xludf.DUMMYFUNCTION("""COMPUTED_VALUE"""),"P-51810-00")</f>
        <v>P-51810-00</v>
      </c>
      <c r="B2269" s="2" t="str">
        <f>IFERROR(__xludf.DUMMYFUNCTION("""COMPUTED_VALUE"""),"Key switch for On/ Off Indoor sirene; ; ;")</f>
        <v>Key switch for On/ Off Indoor sirene; ; ;</v>
      </c>
      <c r="C2269" s="2" t="str">
        <f>IFERROR(__xludf.DUMMYFUNCTION("""COMPUTED_VALUE"""),"P-51810-00")</f>
        <v>P-51810-00</v>
      </c>
    </row>
    <row r="2270">
      <c r="A2270" s="2" t="str">
        <f>IFERROR(__xludf.DUMMYFUNCTION("""COMPUTED_VALUE"""),"P-51811-00")</f>
        <v>P-51811-00</v>
      </c>
      <c r="B2270" s="2" t="str">
        <f>IFERROR(__xludf.DUMMYFUNCTION("""COMPUTED_VALUE"""),"Modul emergency exit; ; ;")</f>
        <v>Modul emergency exit; ; ;</v>
      </c>
      <c r="C2270" s="2" t="str">
        <f>IFERROR(__xludf.DUMMYFUNCTION("""COMPUTED_VALUE"""),"P-51811-00")</f>
        <v>P-51811-00</v>
      </c>
    </row>
    <row r="2271">
      <c r="A2271" s="2" t="str">
        <f>IFERROR(__xludf.DUMMYFUNCTION("""COMPUTED_VALUE"""),"P-51812-00")</f>
        <v>P-51812-00</v>
      </c>
      <c r="B2271" s="2" t="str">
        <f>IFERROR(__xludf.DUMMYFUNCTION("""COMPUTED_VALUE"""),"Indoor Sirene; ; ;")</f>
        <v>Indoor Sirene; ; ;</v>
      </c>
      <c r="C2271" s="2" t="str">
        <f>IFERROR(__xludf.DUMMYFUNCTION("""COMPUTED_VALUE"""),"P-51812-00")</f>
        <v>P-51812-00</v>
      </c>
    </row>
    <row r="2272">
      <c r="A2272" s="2" t="str">
        <f>IFERROR(__xludf.DUMMYFUNCTION("""COMPUTED_VALUE"""),"P-51813-00")</f>
        <v>P-51813-00</v>
      </c>
      <c r="B2272" s="2" t="str">
        <f>IFERROR(__xludf.DUMMYFUNCTION("""COMPUTED_VALUE"""),"Heavy Duty Door contact; ; ;")</f>
        <v>Heavy Duty Door contact; ; ;</v>
      </c>
      <c r="C2272" s="2" t="str">
        <f>IFERROR(__xludf.DUMMYFUNCTION("""COMPUTED_VALUE"""),"P-51813-00")</f>
        <v>P-51813-00</v>
      </c>
    </row>
    <row r="2273">
      <c r="A2273" s="2" t="str">
        <f>IFERROR(__xludf.DUMMYFUNCTION("""COMPUTED_VALUE"""),"P-51840-00")</f>
        <v>P-51840-00</v>
      </c>
      <c r="B2273" s="2" t="str">
        <f>IFERROR(__xludf.DUMMYFUNCTION("""COMPUTED_VALUE"""),"Button Box 3 hole dia 22 mm; ; ;")</f>
        <v>Button Box 3 hole dia 22 mm; ; ;</v>
      </c>
      <c r="C2273" s="2" t="str">
        <f>IFERROR(__xludf.DUMMYFUNCTION("""COMPUTED_VALUE"""),"P-51840-00")</f>
        <v>P-51840-00</v>
      </c>
    </row>
    <row r="2274">
      <c r="A2274" s="2" t="str">
        <f>IFERROR(__xludf.DUMMYFUNCTION("""COMPUTED_VALUE"""),"P-51841-00")</f>
        <v>P-51841-00</v>
      </c>
      <c r="B2274" s="2" t="str">
        <f>IFERROR(__xludf.DUMMYFUNCTION("""COMPUTED_VALUE"""),"Power Supply LED Rainproof 250W/12VDC")</f>
        <v>Power Supply LED Rainproof 250W/12VDC</v>
      </c>
      <c r="C2274" s="2" t="str">
        <f>IFERROR(__xludf.DUMMYFUNCTION("""COMPUTED_VALUE"""),"P-51841-00")</f>
        <v>P-51841-00</v>
      </c>
    </row>
    <row r="2275">
      <c r="A2275" s="2" t="str">
        <f>IFERROR(__xludf.DUMMYFUNCTION("""COMPUTED_VALUE"""),"P-51842-00")</f>
        <v>P-51842-00</v>
      </c>
      <c r="B2275" s="2" t="str">
        <f>IFERROR(__xludf.DUMMYFUNCTION("""COMPUTED_VALUE"""),"Lampu Pemanas/Heating Lamp Mesin Laminating")</f>
        <v>Lampu Pemanas/Heating Lamp Mesin Laminating</v>
      </c>
      <c r="C2275" s="2" t="str">
        <f>IFERROR(__xludf.DUMMYFUNCTION("""COMPUTED_VALUE"""),"P-51842-00")</f>
        <v>P-51842-00</v>
      </c>
    </row>
    <row r="2276">
      <c r="A2276" s="2" t="str">
        <f>IFERROR(__xludf.DUMMYFUNCTION("""COMPUTED_VALUE"""),"P-51843-00")</f>
        <v>P-51843-00</v>
      </c>
      <c r="B2276" s="2" t="str">
        <f>IFERROR(__xludf.DUMMYFUNCTION("""COMPUTED_VALUE"""),"Push Button /XA2EA42/240V/Merah Schneider")</f>
        <v>Push Button /XA2EA42/240V/Merah Schneider</v>
      </c>
      <c r="C2276" s="2" t="str">
        <f>IFERROR(__xludf.DUMMYFUNCTION("""COMPUTED_VALUE"""),"P-51843-00")</f>
        <v>P-51843-00</v>
      </c>
    </row>
    <row r="2277">
      <c r="A2277" s="2" t="str">
        <f>IFERROR(__xludf.DUMMYFUNCTION("""COMPUTED_VALUE"""),"P-51844-00")</f>
        <v>P-51844-00</v>
      </c>
      <c r="B2277" s="2" t="str">
        <f>IFERROR(__xludf.DUMMYFUNCTION("""COMPUTED_VALUE"""),"Push Button /XA2EA31/240V/Hijau Schneider")</f>
        <v>Push Button /XA2EA31/240V/Hijau Schneider</v>
      </c>
      <c r="C2277" s="2" t="str">
        <f>IFERROR(__xludf.DUMMYFUNCTION("""COMPUTED_VALUE"""),"P-51844-00")</f>
        <v>P-51844-00</v>
      </c>
    </row>
    <row r="2278">
      <c r="A2278" s="2" t="str">
        <f>IFERROR(__xludf.DUMMYFUNCTION("""COMPUTED_VALUE"""),"P-51851-00")</f>
        <v>P-51851-00</v>
      </c>
      <c r="B2278" s="2" t="str">
        <f>IFERROR(__xludf.DUMMYFUNCTION("""COMPUTED_VALUE"""),"Capasitor/Kapasitor 2 micro Farad 400 VAC; ; ; pc")</f>
        <v>Capasitor/Kapasitor 2 micro Farad 400 VAC; ; ; pc</v>
      </c>
      <c r="C2278" s="2" t="str">
        <f>IFERROR(__xludf.DUMMYFUNCTION("""COMPUTED_VALUE"""),"P-51851-00")</f>
        <v>P-51851-00</v>
      </c>
    </row>
    <row r="2279">
      <c r="A2279" s="2" t="str">
        <f>IFERROR(__xludf.DUMMYFUNCTION("""COMPUTED_VALUE"""),"P-51855-00")</f>
        <v>P-51855-00</v>
      </c>
      <c r="B2279" s="2" t="str">
        <f>IFERROR(__xludf.DUMMYFUNCTION("""COMPUTED_VALUE"""),"Switch Accessory SA-SB1 Autonics")</f>
        <v>Switch Accessory SA-SB1 Autonics</v>
      </c>
      <c r="C2279" s="2" t="str">
        <f>IFERROR(__xludf.DUMMYFUNCTION("""COMPUTED_VALUE"""),"P-51855-00")</f>
        <v>P-51855-00</v>
      </c>
    </row>
    <row r="2280">
      <c r="A2280" s="2" t="str">
        <f>IFERROR(__xludf.DUMMYFUNCTION("""COMPUTED_VALUE"""),"P-51856-00")</f>
        <v>P-51856-00</v>
      </c>
      <c r="B2280" s="2" t="str">
        <f>IFERROR(__xludf.DUMMYFUNCTION("""COMPUTED_VALUE"""),"General - Key Selector Switch; Autonics; S2KR-4CK2AM; 1 pc")</f>
        <v>General - Key Selector Switch; Autonics; S2KR-4CK2AM; 1 pc</v>
      </c>
      <c r="C2280" s="2" t="str">
        <f>IFERROR(__xludf.DUMMYFUNCTION("""COMPUTED_VALUE"""),"P-51856-00")</f>
        <v>P-51856-00</v>
      </c>
    </row>
    <row r="2281">
      <c r="A2281" s="2" t="str">
        <f>IFERROR(__xludf.DUMMYFUNCTION("""COMPUTED_VALUE"""),"P-51857-00")</f>
        <v>P-51857-00</v>
      </c>
      <c r="B2281" s="2" t="str">
        <f>IFERROR(__xludf.DUMMYFUNCTION("""COMPUTED_VALUE"""),"Contact Block SA-CBM Autonics")</f>
        <v>Contact Block SA-CBM Autonics</v>
      </c>
      <c r="C2281" s="2" t="str">
        <f>IFERROR(__xludf.DUMMYFUNCTION("""COMPUTED_VALUE"""),"P-51857-00")</f>
        <v>P-51857-00</v>
      </c>
    </row>
    <row r="2282">
      <c r="A2282" s="2" t="str">
        <f>IFERROR(__xludf.DUMMYFUNCTION("""COMPUTED_VALUE"""),"P-51865-00")</f>
        <v>P-51865-00</v>
      </c>
      <c r="B2282" s="2" t="str">
        <f>IFERROR(__xludf.DUMMYFUNCTION("""COMPUTED_VALUE"""),"Lampu LED Floodlight 50 watt")</f>
        <v>Lampu LED Floodlight 50 watt</v>
      </c>
      <c r="C2282" s="2" t="str">
        <f>IFERROR(__xludf.DUMMYFUNCTION("""COMPUTED_VALUE"""),"P-51865-00")</f>
        <v>P-51865-00</v>
      </c>
    </row>
    <row r="2283">
      <c r="A2283" s="2" t="str">
        <f>IFERROR(__xludf.DUMMYFUNCTION("""COMPUTED_VALUE"""),"P-51866-00")</f>
        <v>P-51866-00</v>
      </c>
      <c r="B2283" s="2" t="str">
        <f>IFERROR(__xludf.DUMMYFUNCTION("""COMPUTED_VALUE"""),"Adaptor 220 VAC - 12 VAC 3 A")</f>
        <v>Adaptor 220 VAC - 12 VAC 3 A</v>
      </c>
      <c r="C2283" s="2" t="str">
        <f>IFERROR(__xludf.DUMMYFUNCTION("""COMPUTED_VALUE"""),"P-51866-00")</f>
        <v>P-51866-00</v>
      </c>
    </row>
    <row r="2284">
      <c r="A2284" s="2" t="str">
        <f>IFERROR(__xludf.DUMMYFUNCTION("""COMPUTED_VALUE"""),"P-51867-00")</f>
        <v>P-51867-00</v>
      </c>
      <c r="B2284" s="2" t="str">
        <f>IFERROR(__xludf.DUMMYFUNCTION("""COMPUTED_VALUE"""),"Lampu Osram P-VIP 240/0.8 for Infocus IN124a")</f>
        <v>Lampu Osram P-VIP 240/0.8 for Infocus IN124a</v>
      </c>
      <c r="C2284" s="2" t="str">
        <f>IFERROR(__xludf.DUMMYFUNCTION("""COMPUTED_VALUE"""),"P-51867-00")</f>
        <v>P-51867-00</v>
      </c>
    </row>
    <row r="2285">
      <c r="A2285" s="2" t="str">
        <f>IFERROR(__xludf.DUMMYFUNCTION("""COMPUTED_VALUE"""),"P-51880-00")</f>
        <v>P-51880-00</v>
      </c>
      <c r="B2285" s="2" t="str">
        <f>IFERROR(__xludf.DUMMYFUNCTION("""COMPUTED_VALUE"""),"Battery 2500mAH 1.2V")</f>
        <v>Battery 2500mAH 1.2V</v>
      </c>
      <c r="C2285" s="2" t="str">
        <f>IFERROR(__xludf.DUMMYFUNCTION("""COMPUTED_VALUE"""),"P-51880-00")</f>
        <v>P-51880-00</v>
      </c>
    </row>
    <row r="2286">
      <c r="A2286" s="2" t="str">
        <f>IFERROR(__xludf.DUMMYFUNCTION("""COMPUTED_VALUE"""),"P-51883-00")</f>
        <v>P-51883-00</v>
      </c>
      <c r="B2286" s="2" t="str">
        <f>IFERROR(__xludf.DUMMYFUNCTION("""COMPUTED_VALUE"""),"Lampu LED Floodlight 100 watt")</f>
        <v>Lampu LED Floodlight 100 watt</v>
      </c>
      <c r="C2286" s="2" t="str">
        <f>IFERROR(__xludf.DUMMYFUNCTION("""COMPUTED_VALUE"""),"P-51883-00")</f>
        <v>P-51883-00</v>
      </c>
    </row>
    <row r="2287">
      <c r="A2287" s="2" t="str">
        <f>IFERROR(__xludf.DUMMYFUNCTION("""COMPUTED_VALUE"""),"P-51889-00")</f>
        <v>P-51889-00</v>
      </c>
      <c r="B2287" s="2" t="str">
        <f>IFERROR(__xludf.DUMMYFUNCTION("""COMPUTED_VALUE"""),"General - Power Supply SPA-050-24VDC; Autonics; -; 1 pc")</f>
        <v>General - Power Supply SPA-050-24VDC; Autonics; -; 1 pc</v>
      </c>
      <c r="C2287" s="2" t="str">
        <f>IFERROR(__xludf.DUMMYFUNCTION("""COMPUTED_VALUE"""),"P-51889-00")</f>
        <v>P-51889-00</v>
      </c>
    </row>
    <row r="2288">
      <c r="A2288" s="2" t="str">
        <f>IFERROR(__xludf.DUMMYFUNCTION("""COMPUTED_VALUE"""),"P-51891-00")</f>
        <v>P-51891-00</v>
      </c>
      <c r="B2288" s="2" t="str">
        <f>IFERROR(__xludf.DUMMYFUNCTION("""COMPUTED_VALUE"""),"General - Exhaust Fan Panel 240VAC; TW; -; 1 pc")</f>
        <v>General - Exhaust Fan Panel 240VAC; TW; -; 1 pc</v>
      </c>
      <c r="C2288" s="2" t="str">
        <f>IFERROR(__xludf.DUMMYFUNCTION("""COMPUTED_VALUE"""),"P-51891-00")</f>
        <v>P-51891-00</v>
      </c>
    </row>
    <row r="2289">
      <c r="A2289" s="2" t="str">
        <f>IFERROR(__xludf.DUMMYFUNCTION("""COMPUTED_VALUE"""),"P-51893-00")</f>
        <v>P-51893-00</v>
      </c>
      <c r="B2289" s="2" t="str">
        <f>IFERROR(__xludf.DUMMYFUNCTION("""COMPUTED_VALUE"""),"Power Supply TXS1.12F4 24VDC Siemens")</f>
        <v>Power Supply TXS1.12F4 24VDC Siemens</v>
      </c>
      <c r="C2289" s="2" t="str">
        <f>IFERROR(__xludf.DUMMYFUNCTION("""COMPUTED_VALUE"""),"P-51893-00")</f>
        <v>P-51893-00</v>
      </c>
    </row>
    <row r="2290">
      <c r="A2290" s="2" t="str">
        <f>IFERROR(__xludf.DUMMYFUNCTION("""COMPUTED_VALUE"""),"P-51894-00")</f>
        <v>P-51894-00</v>
      </c>
      <c r="B2290" s="2" t="str">
        <f>IFERROR(__xludf.DUMMYFUNCTION("""COMPUTED_VALUE"""),"General - Lampu TL LED Bright Boost 18 W; Philips; -; 1 unt")</f>
        <v>General - Lampu TL LED Bright Boost 18 W; Philips; -; 1 unt</v>
      </c>
      <c r="C2290" s="2" t="str">
        <f>IFERROR(__xludf.DUMMYFUNCTION("""COMPUTED_VALUE"""),"P-51894-00")</f>
        <v>P-51894-00</v>
      </c>
    </row>
    <row r="2291">
      <c r="A2291" s="2" t="str">
        <f>IFERROR(__xludf.DUMMYFUNCTION("""COMPUTED_VALUE"""),"P-51895-00")</f>
        <v>P-51895-00</v>
      </c>
      <c r="B2291" s="2" t="str">
        <f>IFERROR(__xludf.DUMMYFUNCTION("""COMPUTED_VALUE"""),"Pressure Switch 0-10 bar 1/4 inch Out: 4...20 mA In: 24(7...33) VDC")</f>
        <v>Pressure Switch 0-10 bar 1/4 inch Out: 4...20 mA In: 24(7...33) VDC</v>
      </c>
      <c r="C2291" s="2" t="str">
        <f>IFERROR(__xludf.DUMMYFUNCTION("""COMPUTED_VALUE"""),"P-51895-00")</f>
        <v>P-51895-00</v>
      </c>
    </row>
    <row r="2292">
      <c r="A2292" s="2" t="str">
        <f>IFERROR(__xludf.DUMMYFUNCTION("""COMPUTED_VALUE"""),"P-51896-00")</f>
        <v>P-51896-00</v>
      </c>
      <c r="B2292" s="2" t="str">
        <f>IFERROR(__xludf.DUMMYFUNCTION("""COMPUTED_VALUE"""),"Switch Lamp Hijau 220 VAC")</f>
        <v>Switch Lamp Hijau 220 VAC</v>
      </c>
      <c r="C2292" s="2" t="str">
        <f>IFERROR(__xludf.DUMMYFUNCTION("""COMPUTED_VALUE"""),"P-51896-00")</f>
        <v>P-51896-00</v>
      </c>
    </row>
    <row r="2293">
      <c r="A2293" s="2" t="str">
        <f>IFERROR(__xludf.DUMMYFUNCTION("""COMPUTED_VALUE"""),"P-51902-00")</f>
        <v>P-51902-00</v>
      </c>
      <c r="B2293" s="2" t="str">
        <f>IFERROR(__xludf.DUMMYFUNCTION("""COMPUTED_VALUE"""),"Saklar AC 13A 3 kaki")</f>
        <v>Saklar AC 13A 3 kaki</v>
      </c>
      <c r="C2293" s="2" t="str">
        <f>IFERROR(__xludf.DUMMYFUNCTION("""COMPUTED_VALUE"""),"P-51902-00")</f>
        <v>P-51902-00</v>
      </c>
    </row>
    <row r="2294">
      <c r="A2294" s="2" t="str">
        <f>IFERROR(__xludf.DUMMYFUNCTION("""COMPUTED_VALUE"""),"P-51903-00")</f>
        <v>P-51903-00</v>
      </c>
      <c r="B2294" s="2" t="str">
        <f>IFERROR(__xludf.DUMMYFUNCTION("""COMPUTED_VALUE"""),"UHI Band Heater dia.100x250 mm 220V-1000W")</f>
        <v>UHI Band Heater dia.100x250 mm 220V-1000W</v>
      </c>
      <c r="C2294" s="2" t="str">
        <f>IFERROR(__xludf.DUMMYFUNCTION("""COMPUTED_VALUE"""),"P-51903-00")</f>
        <v>P-51903-00</v>
      </c>
    </row>
    <row r="2295">
      <c r="A2295" s="2" t="str">
        <f>IFERROR(__xludf.DUMMYFUNCTION("""COMPUTED_VALUE"""),"P-51908-00")</f>
        <v>P-51908-00</v>
      </c>
      <c r="B2295" s="2" t="str">
        <f>IFERROR(__xludf.DUMMYFUNCTION("""COMPUTED_VALUE"""),"Control Switch Model: S2SR-S4W2A Autonics")</f>
        <v>Control Switch Model: S2SR-S4W2A Autonics</v>
      </c>
      <c r="C2295" s="2" t="str">
        <f>IFERROR(__xludf.DUMMYFUNCTION("""COMPUTED_VALUE"""),"P-51908-00")</f>
        <v>P-51908-00</v>
      </c>
    </row>
    <row r="2296">
      <c r="A2296" s="2" t="str">
        <f>IFERROR(__xludf.DUMMYFUNCTION("""COMPUTED_VALUE"""),"P-51912-00")</f>
        <v>P-51912-00</v>
      </c>
      <c r="B2296" s="2" t="str">
        <f>IFERROR(__xludf.DUMMYFUNCTION("""COMPUTED_VALUE"""),"Compressor CAJ4492Y")</f>
        <v>Compressor CAJ4492Y</v>
      </c>
      <c r="C2296" s="2" t="str">
        <f>IFERROR(__xludf.DUMMYFUNCTION("""COMPUTED_VALUE"""),"P-51912-00")</f>
        <v>P-51912-00</v>
      </c>
    </row>
    <row r="2297">
      <c r="A2297" s="2" t="str">
        <f>IFERROR(__xludf.DUMMYFUNCTION("""COMPUTED_VALUE"""),"P-51916-00")</f>
        <v>P-51916-00</v>
      </c>
      <c r="B2297" s="2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7" s="2" t="str">
        <f>IFERROR(__xludf.DUMMYFUNCTION("""COMPUTED_VALUE"""),"P-51916-00")</f>
        <v>P-51916-00</v>
      </c>
    </row>
    <row r="2298">
      <c r="A2298" s="2" t="str">
        <f>IFERROR(__xludf.DUMMYFUNCTION("""COMPUTED_VALUE"""),"P-51918-00")</f>
        <v>P-51918-00</v>
      </c>
      <c r="B2298" s="2" t="str">
        <f>IFERROR(__xludf.DUMMYFUNCTION("""COMPUTED_VALUE"""),"Inverter VLT Drive Danfoss-Type FC-302 7.5 Kw, 3x380-480 V 50/60Hz; ; ;")</f>
        <v>Inverter VLT Drive Danfoss-Type FC-302 7.5 Kw, 3x380-480 V 50/60Hz; ; ;</v>
      </c>
      <c r="C2298" s="2" t="str">
        <f>IFERROR(__xludf.DUMMYFUNCTION("""COMPUTED_VALUE"""),"P-51918-00")</f>
        <v>P-51918-00</v>
      </c>
    </row>
    <row r="2299">
      <c r="A2299" s="2" t="str">
        <f>IFERROR(__xludf.DUMMYFUNCTION("""COMPUTED_VALUE"""),"P-51920-00")</f>
        <v>P-51920-00</v>
      </c>
      <c r="B2299" s="2" t="str">
        <f>IFERROR(__xludf.DUMMYFUNCTION("""COMPUTED_VALUE"""),"Lampu LED 6.5W Putih 12 Vac 2700K Philips")</f>
        <v>Lampu LED 6.5W Putih 12 Vac 2700K Philips</v>
      </c>
      <c r="C2299" s="2" t="str">
        <f>IFERROR(__xludf.DUMMYFUNCTION("""COMPUTED_VALUE"""),"P-51920-00")</f>
        <v>P-51920-00</v>
      </c>
    </row>
    <row r="2300">
      <c r="A2300" s="2" t="str">
        <f>IFERROR(__xludf.DUMMYFUNCTION("""COMPUTED_VALUE"""),"P-51921-00")</f>
        <v>P-51921-00</v>
      </c>
      <c r="B2300" s="2" t="str">
        <f>IFERROR(__xludf.DUMMYFUNCTION("""COMPUTED_VALUE"""),"SSR RSO4890 Carlo Gavazzi")</f>
        <v>SSR RSO4890 Carlo Gavazzi</v>
      </c>
      <c r="C2300" s="2" t="str">
        <f>IFERROR(__xludf.DUMMYFUNCTION("""COMPUTED_VALUE"""),"P-51921-00")</f>
        <v>P-51921-00</v>
      </c>
    </row>
    <row r="2301">
      <c r="A2301" s="2" t="str">
        <f>IFERROR(__xludf.DUMMYFUNCTION("""COMPUTED_VALUE"""),"P-51928-00")</f>
        <v>P-51928-00</v>
      </c>
      <c r="B2301" s="2" t="str">
        <f>IFERROR(__xludf.DUMMYFUNCTION("""COMPUTED_VALUE"""),"Battery Lithium 3V CR2477N; ; ;")</f>
        <v>Battery Lithium 3V CR2477N; ; ;</v>
      </c>
      <c r="C2301" s="2" t="str">
        <f>IFERROR(__xludf.DUMMYFUNCTION("""COMPUTED_VALUE"""),"P-51928-00")</f>
        <v>P-51928-00</v>
      </c>
    </row>
    <row r="2302">
      <c r="A2302" s="2" t="str">
        <f>IFERROR(__xludf.DUMMYFUNCTION("""COMPUTED_VALUE"""),"P-51929-00")</f>
        <v>P-51929-00</v>
      </c>
      <c r="B2302" s="2" t="str">
        <f>IFERROR(__xludf.DUMMYFUNCTION("""COMPUTED_VALUE"""),"General - Lampu TL5 14 W G5; Philips; -; 1 unt")</f>
        <v>General - Lampu TL5 14 W G5; Philips; -; 1 unt</v>
      </c>
      <c r="C2302" s="2" t="str">
        <f>IFERROR(__xludf.DUMMYFUNCTION("""COMPUTED_VALUE"""),"P-51929-00")</f>
        <v>P-51929-00</v>
      </c>
    </row>
    <row r="2303">
      <c r="A2303" s="2" t="str">
        <f>IFERROR(__xludf.DUMMYFUNCTION("""COMPUTED_VALUE"""),"P-51930-00")</f>
        <v>P-51930-00</v>
      </c>
      <c r="B2303" s="2" t="str">
        <f>IFERROR(__xludf.DUMMYFUNCTION("""COMPUTED_VALUE"""),"Accu (Battery kering) 12V - 7Ah")</f>
        <v>Accu (Battery kering) 12V - 7Ah</v>
      </c>
      <c r="C2303" s="2" t="str">
        <f>IFERROR(__xludf.DUMMYFUNCTION("""COMPUTED_VALUE"""),"P-51930-00")</f>
        <v>P-51930-00</v>
      </c>
    </row>
    <row r="2304">
      <c r="A2304" s="2" t="str">
        <f>IFERROR(__xludf.DUMMYFUNCTION("""COMPUTED_VALUE"""),"P-51999-00")</f>
        <v>P-51999-00</v>
      </c>
      <c r="B2304" s="2" t="str">
        <f>IFERROR(__xludf.DUMMYFUNCTION("""COMPUTED_VALUE"""),"Manifold u/ R410 A dan R 32 Refco Refco")</f>
        <v>Manifold u/ R410 A dan R 32 Refco Refco</v>
      </c>
      <c r="C2304" s="2" t="str">
        <f>IFERROR(__xludf.DUMMYFUNCTION("""COMPUTED_VALUE"""),"P-51999-00")</f>
        <v>P-51999-00</v>
      </c>
    </row>
    <row r="2305">
      <c r="A2305" s="2" t="str">
        <f>IFERROR(__xludf.DUMMYFUNCTION("""COMPUTED_VALUE"""),"P-52000-00")</f>
        <v>P-52000-00</v>
      </c>
      <c r="B2305" s="2" t="str">
        <f>IFERROR(__xludf.DUMMYFUNCTION("""COMPUTED_VALUE"""),"Mata Solder")</f>
        <v>Mata Solder</v>
      </c>
      <c r="C2305" s="2" t="str">
        <f>IFERROR(__xludf.DUMMYFUNCTION("""COMPUTED_VALUE"""),"P-52000-00")</f>
        <v>P-52000-00</v>
      </c>
    </row>
    <row r="2306">
      <c r="A2306" s="2" t="str">
        <f>IFERROR(__xludf.DUMMYFUNCTION("""COMPUTED_VALUE"""),"P-52001-00")</f>
        <v>P-52001-00</v>
      </c>
      <c r="B2306" s="2" t="str">
        <f>IFERROR(__xludf.DUMMYFUNCTION("""COMPUTED_VALUE"""),"Switch Lamp Merah 220 VAC; ; ;")</f>
        <v>Switch Lamp Merah 220 VAC; ; ;</v>
      </c>
      <c r="C2306" s="2" t="str">
        <f>IFERROR(__xludf.DUMMYFUNCTION("""COMPUTED_VALUE"""),"P-52001-00")</f>
        <v>P-52001-00</v>
      </c>
    </row>
    <row r="2307">
      <c r="A2307" s="2" t="str">
        <f>IFERROR(__xludf.DUMMYFUNCTION("""COMPUTED_VALUE"""),"P-52003-00")</f>
        <v>P-52003-00</v>
      </c>
      <c r="B2307" s="2" t="str">
        <f>IFERROR(__xludf.DUMMYFUNCTION("""COMPUTED_VALUE"""),"Klem Pipa Conduit Merk. Clipsal Warna Putih Uk. 20 mm; Clipsal; ; pack")</f>
        <v>Klem Pipa Conduit Merk. Clipsal Warna Putih Uk. 20 mm; Clipsal; ; pack</v>
      </c>
      <c r="C2307" s="2" t="str">
        <f>IFERROR(__xludf.DUMMYFUNCTION("""COMPUTED_VALUE"""),"P-52003-00")</f>
        <v>P-52003-00</v>
      </c>
    </row>
    <row r="2308">
      <c r="A2308" s="2" t="str">
        <f>IFERROR(__xludf.DUMMYFUNCTION("""COMPUTED_VALUE"""),"P-52009-00")</f>
        <v>P-52009-00</v>
      </c>
      <c r="B2308" s="2" t="str">
        <f>IFERROR(__xludf.DUMMYFUNCTION("""COMPUTED_VALUE"""),"Limit Switch;; Omron; Part No. D4MC-1000; 1 pc/pack")</f>
        <v>Limit Switch;; Omron; Part No. D4MC-1000; 1 pc/pack</v>
      </c>
      <c r="C2308" s="2" t="str">
        <f>IFERROR(__xludf.DUMMYFUNCTION("""COMPUTED_VALUE"""),"P-52009-00")</f>
        <v>P-52009-00</v>
      </c>
    </row>
    <row r="2309">
      <c r="A2309" s="2" t="str">
        <f>IFERROR(__xludf.DUMMYFUNCTION("""COMPUTED_VALUE"""),"P-52017-00")</f>
        <v>P-52017-00</v>
      </c>
      <c r="B2309" s="2" t="str">
        <f>IFERROR(__xludf.DUMMYFUNCTION("""COMPUTED_VALUE"""),"General - Rotary Air Damper Actuator GDB166.1E; Siemens; S55499-D377; 1 pcs")</f>
        <v>General - Rotary Air Damper Actuator GDB166.1E; Siemens; S55499-D377; 1 pcs</v>
      </c>
      <c r="C2309" s="2" t="str">
        <f>IFERROR(__xludf.DUMMYFUNCTION("""COMPUTED_VALUE"""),"P-52017-00")</f>
        <v>P-52017-00</v>
      </c>
    </row>
    <row r="2310">
      <c r="A2310" s="2" t="str">
        <f>IFERROR(__xludf.DUMMYFUNCTION("""COMPUTED_VALUE"""),"P-52033-00")</f>
        <v>P-52033-00</v>
      </c>
      <c r="B2310" s="2" t="str">
        <f>IFERROR(__xludf.DUMMYFUNCTION("""COMPUTED_VALUE"""),"Inverter HVAC Drives FC-102 2,2 kw 380-480 V Danfoss; ; ;")</f>
        <v>Inverter HVAC Drives FC-102 2,2 kw 380-480 V Danfoss; ; ;</v>
      </c>
      <c r="C2310" s="2" t="str">
        <f>IFERROR(__xludf.DUMMYFUNCTION("""COMPUTED_VALUE"""),"P-52033-00")</f>
        <v>P-52033-00</v>
      </c>
    </row>
    <row r="2311">
      <c r="A2311" s="2" t="str">
        <f>IFERROR(__xludf.DUMMYFUNCTION("""COMPUTED_VALUE"""),"P-52054-00")</f>
        <v>P-52054-00</v>
      </c>
      <c r="B2311" s="2" t="str">
        <f>IFERROR(__xludf.DUMMYFUNCTION("""COMPUTED_VALUE"""),"Fan Panel Oval 150x50mm 220 VAC")</f>
        <v>Fan Panel Oval 150x50mm 220 VAC</v>
      </c>
      <c r="C2311" s="2" t="str">
        <f>IFERROR(__xludf.DUMMYFUNCTION("""COMPUTED_VALUE"""),"P-52054-00")</f>
        <v>P-52054-00</v>
      </c>
    </row>
    <row r="2312">
      <c r="A2312" s="2" t="str">
        <f>IFERROR(__xludf.DUMMYFUNCTION("""COMPUTED_VALUE"""),"P-52064-00")</f>
        <v>P-52064-00</v>
      </c>
      <c r="B2312" s="2" t="str">
        <f>IFERROR(__xludf.DUMMYFUNCTION("""COMPUTED_VALUE"""),"SCHINDLER ELEVATOR - PCB SMIC 62.Q")</f>
        <v>SCHINDLER ELEVATOR - PCB SMIC 62.Q</v>
      </c>
      <c r="C2312" s="2" t="str">
        <f>IFERROR(__xludf.DUMMYFUNCTION("""COMPUTED_VALUE"""),"P-52064-00")</f>
        <v>P-52064-00</v>
      </c>
    </row>
    <row r="2313">
      <c r="A2313" s="2" t="str">
        <f>IFERROR(__xludf.DUMMYFUNCTION("""COMPUTED_VALUE"""),"P-52068-00")</f>
        <v>P-52068-00</v>
      </c>
      <c r="B2313" s="2" t="str">
        <f>IFERROR(__xludf.DUMMYFUNCTION("""COMPUTED_VALUE"""),"Regin Pulser Basic SCR Heater Controller 230/400 V 16 A; ; ; unit")</f>
        <v>Regin Pulser Basic SCR Heater Controller 230/400 V 16 A; ; ; unit</v>
      </c>
      <c r="C2313" s="2" t="str">
        <f>IFERROR(__xludf.DUMMYFUNCTION("""COMPUTED_VALUE"""),"P-52068-00")</f>
        <v>P-52068-00</v>
      </c>
    </row>
    <row r="2314">
      <c r="A2314" s="2" t="str">
        <f>IFERROR(__xludf.DUMMYFUNCTION("""COMPUTED_VALUE"""),"P-52069-00")</f>
        <v>P-52069-00</v>
      </c>
      <c r="B2314" s="2" t="str">
        <f>IFERROR(__xludf.DUMMYFUNCTION("""COMPUTED_VALUE"""),"Over Load Schneider LRD08; ; ; pcs")</f>
        <v>Over Load Schneider LRD08; ; ; pcs</v>
      </c>
      <c r="C2314" s="2" t="str">
        <f>IFERROR(__xludf.DUMMYFUNCTION("""COMPUTED_VALUE"""),"P-52069-00")</f>
        <v>P-52069-00</v>
      </c>
    </row>
    <row r="2315">
      <c r="A2315" s="2" t="str">
        <f>IFERROR(__xludf.DUMMYFUNCTION("""COMPUTED_VALUE"""),"P-52079-00")</f>
        <v>P-52079-00</v>
      </c>
      <c r="B2315" s="2" t="str">
        <f>IFERROR(__xludf.DUMMYFUNCTION("""COMPUTED_VALUE"""),"Temperature Tranducer For Flow Meter Ultrasonic SHM")</f>
        <v>Temperature Tranducer For Flow Meter Ultrasonic SHM</v>
      </c>
      <c r="C2315" s="2" t="str">
        <f>IFERROR(__xludf.DUMMYFUNCTION("""COMPUTED_VALUE"""),"P-52079-00")</f>
        <v>P-52079-00</v>
      </c>
    </row>
    <row r="2316">
      <c r="A2316" s="2" t="str">
        <f>IFERROR(__xludf.DUMMYFUNCTION("""COMPUTED_VALUE"""),"P-52080-00")</f>
        <v>P-52080-00</v>
      </c>
      <c r="B2316" s="2" t="str">
        <f>IFERROR(__xludf.DUMMYFUNCTION("""COMPUTED_VALUE"""),"USB Adapter Wifi Wireless TP LINK WN725N")</f>
        <v>USB Adapter Wifi Wireless TP LINK WN725N</v>
      </c>
      <c r="C2316" s="2" t="str">
        <f>IFERROR(__xludf.DUMMYFUNCTION("""COMPUTED_VALUE"""),"P-52080-00")</f>
        <v>P-52080-00</v>
      </c>
    </row>
    <row r="2317">
      <c r="A2317" s="2" t="str">
        <f>IFERROR(__xludf.DUMMYFUNCTION("""COMPUTED_VALUE"""),"P-52081-00")</f>
        <v>P-52081-00</v>
      </c>
      <c r="B2317" s="2" t="str">
        <f>IFERROR(__xludf.DUMMYFUNCTION("""COMPUTED_VALUE"""),"Reed Switch Magnetical")</f>
        <v>Reed Switch Magnetical</v>
      </c>
      <c r="C2317" s="2" t="str">
        <f>IFERROR(__xludf.DUMMYFUNCTION("""COMPUTED_VALUE"""),"P-52081-00")</f>
        <v>P-52081-00</v>
      </c>
    </row>
    <row r="2318">
      <c r="A2318" s="2" t="str">
        <f>IFERROR(__xludf.DUMMYFUNCTION("""COMPUTED_VALUE"""),"P-52082-00")</f>
        <v>P-52082-00</v>
      </c>
      <c r="B2318" s="2" t="str">
        <f>IFERROR(__xludf.DUMMYFUNCTION("""COMPUTED_VALUE"""),"Watt Meter (Pengukur Voltage,KWH dan Tegangan Arus Daya Listrik); ; ;")</f>
        <v>Watt Meter (Pengukur Voltage,KWH dan Tegangan Arus Daya Listrik); ; ;</v>
      </c>
      <c r="C2318" s="2" t="str">
        <f>IFERROR(__xludf.DUMMYFUNCTION("""COMPUTED_VALUE"""),"P-52082-00")</f>
        <v>P-52082-00</v>
      </c>
    </row>
    <row r="2319">
      <c r="A2319" s="2" t="str">
        <f>IFERROR(__xludf.DUMMYFUNCTION("""COMPUTED_VALUE"""),"P-52083-00")</f>
        <v>P-52083-00</v>
      </c>
      <c r="B2319" s="2" t="str">
        <f>IFERROR(__xludf.DUMMYFUNCTION("""COMPUTED_VALUE"""),"Kabel LeadProbe Multitester Universal")</f>
        <v>Kabel LeadProbe Multitester Universal</v>
      </c>
      <c r="C2319" s="2" t="str">
        <f>IFERROR(__xludf.DUMMYFUNCTION("""COMPUTED_VALUE"""),"P-52083-00")</f>
        <v>P-52083-00</v>
      </c>
    </row>
    <row r="2320">
      <c r="A2320" s="2" t="str">
        <f>IFERROR(__xludf.DUMMYFUNCTION("""COMPUTED_VALUE"""),"P-52084-00")</f>
        <v>P-52084-00</v>
      </c>
      <c r="B2320" s="2" t="str">
        <f>IFERROR(__xludf.DUMMYFUNCTION("""COMPUTED_VALUE"""),"Speaker Soundbar Mini Sonigrear")</f>
        <v>Speaker Soundbar Mini Sonigrear</v>
      </c>
      <c r="C2320" s="2" t="str">
        <f>IFERROR(__xludf.DUMMYFUNCTION("""COMPUTED_VALUE"""),"P-52084-00")</f>
        <v>P-52084-00</v>
      </c>
    </row>
    <row r="2321">
      <c r="A2321" s="2" t="str">
        <f>IFERROR(__xludf.DUMMYFUNCTION("""COMPUTED_VALUE"""),"P-52110-00")</f>
        <v>P-52110-00</v>
      </c>
      <c r="B2321" s="2" t="str">
        <f>IFERROR(__xludf.DUMMYFUNCTION("""COMPUTED_VALUE"""),"General - Capacitor, 5 uF, 500 V, 50/60 Hz; No Brand; -; 1 pcs")</f>
        <v>General - Capacitor, 5 uF, 500 V, 50/60 Hz; No Brand; -; 1 pcs</v>
      </c>
      <c r="C2321" s="2" t="str">
        <f>IFERROR(__xludf.DUMMYFUNCTION("""COMPUTED_VALUE"""),"P-52110-00")</f>
        <v>P-52110-00</v>
      </c>
    </row>
    <row r="2322">
      <c r="A2322" s="2" t="str">
        <f>IFERROR(__xludf.DUMMYFUNCTION("""COMPUTED_VALUE"""),"P-52119-00")</f>
        <v>P-52119-00</v>
      </c>
      <c r="B2322" s="2" t="str">
        <f>IFERROR(__xludf.DUMMYFUNCTION("""COMPUTED_VALUE"""),"General - Accu 6FM40, Baterai Kering, 12 V, 40 Ah; Vision; -; 1 pcs")</f>
        <v>General - Accu 6FM40, Baterai Kering, 12 V, 40 Ah; Vision; -; 1 pcs</v>
      </c>
      <c r="C2322" s="2" t="str">
        <f>IFERROR(__xludf.DUMMYFUNCTION("""COMPUTED_VALUE"""),"P-52119-00")</f>
        <v>P-52119-00</v>
      </c>
    </row>
    <row r="2323">
      <c r="A2323" s="2" t="str">
        <f>IFERROR(__xludf.DUMMYFUNCTION("""COMPUTED_VALUE"""),"P-52123-00")</f>
        <v>P-52123-00</v>
      </c>
      <c r="B2323" s="2" t="str">
        <f>IFERROR(__xludf.DUMMYFUNCTION("""COMPUTED_VALUE"""),"Selenoid Valve 2 Way , 24VDC, 1/8 inch; EMC; ;")</f>
        <v>Selenoid Valve 2 Way , 24VDC, 1/8 inch; EMC; ;</v>
      </c>
      <c r="C2323" s="2" t="str">
        <f>IFERROR(__xludf.DUMMYFUNCTION("""COMPUTED_VALUE"""),"P-52123-00")</f>
        <v>P-52123-00</v>
      </c>
    </row>
    <row r="2324">
      <c r="A2324" s="2" t="str">
        <f>IFERROR(__xludf.DUMMYFUNCTION("""COMPUTED_VALUE"""),"P-52160-00")</f>
        <v>P-52160-00</v>
      </c>
      <c r="B2324" s="2" t="str">
        <f>IFERROR(__xludf.DUMMYFUNCTION("""COMPUTED_VALUE"""),"Valve Actuator 1000N Stroke 20mm Siemens Type : SKD60")</f>
        <v>Valve Actuator 1000N Stroke 20mm Siemens Type : SKD60</v>
      </c>
      <c r="C2324" s="2" t="str">
        <f>IFERROR(__xludf.DUMMYFUNCTION("""COMPUTED_VALUE"""),"P-52160-00")</f>
        <v>P-52160-00</v>
      </c>
    </row>
    <row r="2325">
      <c r="A2325" s="2" t="str">
        <f>IFERROR(__xludf.DUMMYFUNCTION("""COMPUTED_VALUE"""),"P-52193-00")</f>
        <v>P-52193-00</v>
      </c>
      <c r="B2325" s="2" t="str">
        <f>IFERROR(__xludf.DUMMYFUNCTION("""COMPUTED_VALUE"""),"Lampu UV 8 Watt; ; ;")</f>
        <v>Lampu UV 8 Watt; ; ;</v>
      </c>
      <c r="C2325" s="2" t="str">
        <f>IFERROR(__xludf.DUMMYFUNCTION("""COMPUTED_VALUE"""),"P-52193-00")</f>
        <v>P-52193-00</v>
      </c>
    </row>
    <row r="2326">
      <c r="A2326" s="2" t="str">
        <f>IFERROR(__xludf.DUMMYFUNCTION("""COMPUTED_VALUE"""),"P-52202-00")</f>
        <v>P-52202-00</v>
      </c>
      <c r="B2326" s="2" t="str">
        <f>IFERROR(__xludf.DUMMYFUNCTION("""COMPUTED_VALUE"""),"Lampu TL5 21W/865 Philips")</f>
        <v>Lampu TL5 21W/865 Philips</v>
      </c>
      <c r="C2326" s="2" t="str">
        <f>IFERROR(__xludf.DUMMYFUNCTION("""COMPUTED_VALUE"""),"P-52202-00")</f>
        <v>P-52202-00</v>
      </c>
    </row>
    <row r="2327">
      <c r="A2327" s="2" t="str">
        <f>IFERROR(__xludf.DUMMYFUNCTION("""COMPUTED_VALUE"""),"P-52208-00")</f>
        <v>P-52208-00</v>
      </c>
      <c r="B2327" s="2" t="str">
        <f>IFERROR(__xludf.DUMMYFUNCTION("""COMPUTED_VALUE"""),"Solid State Relay SSR-150A 480VAC 3-32Vdc MaxWell")</f>
        <v>Solid State Relay SSR-150A 480VAC 3-32Vdc MaxWell</v>
      </c>
      <c r="C2327" s="2" t="str">
        <f>IFERROR(__xludf.DUMMYFUNCTION("""COMPUTED_VALUE"""),"P-52208-00")</f>
        <v>P-52208-00</v>
      </c>
    </row>
    <row r="2328">
      <c r="A2328" s="2" t="str">
        <f>IFERROR(__xludf.DUMMYFUNCTION("""COMPUTED_VALUE"""),"P-52214-00")</f>
        <v>P-52214-00</v>
      </c>
      <c r="B2328" s="2" t="str">
        <f>IFERROR(__xludf.DUMMYFUNCTION("""COMPUTED_VALUE"""),"Thermocouple Type PT100 dia. 6x1200mm")</f>
        <v>Thermocouple Type PT100 dia. 6x1200mm</v>
      </c>
      <c r="C2328" s="2" t="str">
        <f>IFERROR(__xludf.DUMMYFUNCTION("""COMPUTED_VALUE"""),"P-52214-00")</f>
        <v>P-52214-00</v>
      </c>
    </row>
    <row r="2329">
      <c r="A2329" s="2" t="str">
        <f>IFERROR(__xludf.DUMMYFUNCTION("""COMPUTED_VALUE"""),"P-52228-00")</f>
        <v>P-52228-00</v>
      </c>
      <c r="B2329" s="2" t="str">
        <f>IFERROR(__xludf.DUMMYFUNCTION("""COMPUTED_VALUE"""),"General - Inline Duct Fan 6""; CKE; CDI-150; 1 pcs")</f>
        <v>General - Inline Duct Fan 6"; CKE; CDI-150; 1 pcs</v>
      </c>
      <c r="C2329" s="2" t="str">
        <f>IFERROR(__xludf.DUMMYFUNCTION("""COMPUTED_VALUE"""),"P-52228-00")</f>
        <v>P-52228-00</v>
      </c>
    </row>
    <row r="2330">
      <c r="A2330" s="2" t="str">
        <f>IFERROR(__xludf.DUMMYFUNCTION("""COMPUTED_VALUE"""),"P-52229-00")</f>
        <v>P-52229-00</v>
      </c>
      <c r="B2330" s="2" t="str">
        <f>IFERROR(__xludf.DUMMYFUNCTION("""COMPUTED_VALUE"""),"Flow Sensor S401 Insertion Type Flow Sensor,220 mm; SUTO; ;")</f>
        <v>Flow Sensor S401 Insertion Type Flow Sensor,220 mm; SUTO; ;</v>
      </c>
      <c r="C2330" s="2" t="str">
        <f>IFERROR(__xludf.DUMMYFUNCTION("""COMPUTED_VALUE"""),"P-52229-00")</f>
        <v>P-52229-00</v>
      </c>
    </row>
    <row r="2331">
      <c r="A2331" s="2" t="str">
        <f>IFERROR(__xludf.DUMMYFUNCTION("""COMPUTED_VALUE"""),"P-52242-00")</f>
        <v>P-52242-00</v>
      </c>
      <c r="B2331" s="2" t="str">
        <f>IFERROR(__xludf.DUMMYFUNCTION("""COMPUTED_VALUE"""),"Inverter FC202 Aqua Drives 5.5KW 3x380 VAC Danfoss")</f>
        <v>Inverter FC202 Aqua Drives 5.5KW 3x380 VAC Danfoss</v>
      </c>
      <c r="C2331" s="2" t="str">
        <f>IFERROR(__xludf.DUMMYFUNCTION("""COMPUTED_VALUE"""),"P-52242-00")</f>
        <v>P-52242-00</v>
      </c>
    </row>
    <row r="2332">
      <c r="A2332" s="2" t="str">
        <f>IFERROR(__xludf.DUMMYFUNCTION("""COMPUTED_VALUE"""),"P-52254-00")</f>
        <v>P-52254-00</v>
      </c>
      <c r="B2332" s="2" t="str">
        <f>IFERROR(__xludf.DUMMYFUNCTION("""COMPUTED_VALUE"""),"General - Capacitor, 40 mF, 400/450 VAC; No Brand; -; 1 pcs")</f>
        <v>General - Capacitor, 40 mF, 400/450 VAC; No Brand; -; 1 pcs</v>
      </c>
      <c r="C2332" s="2" t="str">
        <f>IFERROR(__xludf.DUMMYFUNCTION("""COMPUTED_VALUE"""),"P-52254-00")</f>
        <v>P-52254-00</v>
      </c>
    </row>
    <row r="2333">
      <c r="A2333" s="2" t="str">
        <f>IFERROR(__xludf.DUMMYFUNCTION("""COMPUTED_VALUE"""),"P-52265-00")</f>
        <v>P-52265-00</v>
      </c>
      <c r="B2333" s="2" t="str">
        <f>IFERROR(__xludf.DUMMYFUNCTION("""COMPUTED_VALUE"""),"Flow Switch Model FS-1 Screw NPT 1 Inch Wingel")</f>
        <v>Flow Switch Model FS-1 Screw NPT 1 Inch Wingel</v>
      </c>
      <c r="C2333" s="2" t="str">
        <f>IFERROR(__xludf.DUMMYFUNCTION("""COMPUTED_VALUE"""),"P-52265-00")</f>
        <v>P-52265-00</v>
      </c>
    </row>
    <row r="2334">
      <c r="A2334" s="2" t="str">
        <f>IFERROR(__xludf.DUMMYFUNCTION("""COMPUTED_VALUE"""),"P-52267-00")</f>
        <v>P-52267-00</v>
      </c>
      <c r="B2334" s="2" t="str">
        <f>IFERROR(__xludf.DUMMYFUNCTION("""COMPUTED_VALUE"""),"Exhaust Fan NVF-BC1030 220-240V 30W Max Flow: 300CMH NICOTRA")</f>
        <v>Exhaust Fan NVF-BC1030 220-240V 30W Max Flow: 300CMH NICOTRA</v>
      </c>
      <c r="C2334" s="2" t="str">
        <f>IFERROR(__xludf.DUMMYFUNCTION("""COMPUTED_VALUE"""),"P-52267-00")</f>
        <v>P-52267-00</v>
      </c>
    </row>
    <row r="2335">
      <c r="A2335" s="2" t="str">
        <f>IFERROR(__xludf.DUMMYFUNCTION("""COMPUTED_VALUE"""),"P-52278-00")</f>
        <v>P-52278-00</v>
      </c>
      <c r="B2335" s="2" t="str">
        <f>IFERROR(__xludf.DUMMYFUNCTION("""COMPUTED_VALUE"""),"Capacitor 50F 250VAC 25A 5% Screw (KMT) P/N : 6R 01502010; ; ;")</f>
        <v>Capacitor 50F 250VAC 25A 5% Screw (KMT) P/N : 6R 01502010; ; ;</v>
      </c>
      <c r="C2335" s="2" t="str">
        <f>IFERROR(__xludf.DUMMYFUNCTION("""COMPUTED_VALUE"""),"P-52278-00")</f>
        <v>P-52278-00</v>
      </c>
    </row>
    <row r="2336">
      <c r="A2336" s="2" t="str">
        <f>IFERROR(__xludf.DUMMYFUNCTION("""COMPUTED_VALUE"""),"P-52328-00")</f>
        <v>P-52328-00</v>
      </c>
      <c r="B2336" s="2" t="str">
        <f>IFERROR(__xludf.DUMMYFUNCTION("""COMPUTED_VALUE"""),"Fan Panel 9x9x2 CM 12VDC + Adaptor; ; ;")</f>
        <v>Fan Panel 9x9x2 CM 12VDC + Adaptor; ; ;</v>
      </c>
      <c r="C2336" s="2" t="str">
        <f>IFERROR(__xludf.DUMMYFUNCTION("""COMPUTED_VALUE"""),"P-52328-00")</f>
        <v>P-52328-00</v>
      </c>
    </row>
    <row r="2337">
      <c r="A2337" s="2" t="str">
        <f>IFERROR(__xludf.DUMMYFUNCTION("""COMPUTED_VALUE"""),"P-52336-00")</f>
        <v>P-52336-00</v>
      </c>
      <c r="B2337" s="2" t="str">
        <f>IFERROR(__xludf.DUMMYFUNCTION("""COMPUTED_VALUE"""),"Saklar Lampu Sensor Gerak Motion Detector Plafon; ; ;")</f>
        <v>Saklar Lampu Sensor Gerak Motion Detector Plafon; ; ;</v>
      </c>
      <c r="C2337" s="2" t="str">
        <f>IFERROR(__xludf.DUMMYFUNCTION("""COMPUTED_VALUE"""),"P-52336-00")</f>
        <v>P-52336-00</v>
      </c>
    </row>
    <row r="2338">
      <c r="A2338" s="2" t="str">
        <f>IFERROR(__xludf.DUMMYFUNCTION("""COMPUTED_VALUE"""),"P-52359-00")</f>
        <v>P-52359-00</v>
      </c>
      <c r="B2338" s="2" t="str">
        <f>IFERROR(__xludf.DUMMYFUNCTION("""COMPUTED_VALUE"""),"PH Controller Industrial ORP Meter Monitor Digital")</f>
        <v>PH Controller Industrial ORP Meter Monitor Digital</v>
      </c>
      <c r="C2338" s="2" t="str">
        <f>IFERROR(__xludf.DUMMYFUNCTION("""COMPUTED_VALUE"""),"P-52359-00")</f>
        <v>P-52359-00</v>
      </c>
    </row>
    <row r="2339">
      <c r="A2339" s="2" t="str">
        <f>IFERROR(__xludf.DUMMYFUNCTION("""COMPUTED_VALUE"""),"P-52369-00")</f>
        <v>P-52369-00</v>
      </c>
      <c r="B2339" s="2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39" s="2" t="str">
        <f>IFERROR(__xludf.DUMMYFUNCTION("""COMPUTED_VALUE"""),"P-52369-00")</f>
        <v>P-52369-00</v>
      </c>
    </row>
    <row r="2340">
      <c r="A2340" s="2" t="str">
        <f>IFERROR(__xludf.DUMMYFUNCTION("""COMPUTED_VALUE"""),"P-52374-00")</f>
        <v>P-52374-00</v>
      </c>
      <c r="B2340" s="2" t="str">
        <f>IFERROR(__xludf.DUMMYFUNCTION("""COMPUTED_VALUE"""),"SCHNEIDER - MCB 4A 2Phase")</f>
        <v>SCHNEIDER - MCB 4A 2Phase</v>
      </c>
      <c r="C2340" s="2" t="str">
        <f>IFERROR(__xludf.DUMMYFUNCTION("""COMPUTED_VALUE"""),"P-52374-00")</f>
        <v>P-52374-00</v>
      </c>
    </row>
    <row r="2341">
      <c r="A2341" s="2" t="str">
        <f>IFERROR(__xludf.DUMMYFUNCTION("""COMPUTED_VALUE"""),"P-52375-00")</f>
        <v>P-52375-00</v>
      </c>
      <c r="B2341" s="2" t="str">
        <f>IFERROR(__xludf.DUMMYFUNCTION("""COMPUTED_VALUE"""),"SCHNEIDER - MCB 4A 1Phase; ; ;")</f>
        <v>SCHNEIDER - MCB 4A 1Phase; ; ;</v>
      </c>
      <c r="C2341" s="2" t="str">
        <f>IFERROR(__xludf.DUMMYFUNCTION("""COMPUTED_VALUE"""),"P-52375-00")</f>
        <v>P-52375-00</v>
      </c>
    </row>
    <row r="2342">
      <c r="A2342" s="2" t="str">
        <f>IFERROR(__xludf.DUMMYFUNCTION("""COMPUTED_VALUE"""),"P-52379-00")</f>
        <v>P-52379-00</v>
      </c>
      <c r="B2342" s="2" t="str">
        <f>IFERROR(__xludf.DUMMYFUNCTION("""COMPUTED_VALUE"""),"Selenoid Valve DS2120-5G-01 1/8inch 24VDC TPC")</f>
        <v>Selenoid Valve DS2120-5G-01 1/8inch 24VDC TPC</v>
      </c>
      <c r="C2342" s="2" t="str">
        <f>IFERROR(__xludf.DUMMYFUNCTION("""COMPUTED_VALUE"""),"P-52379-00")</f>
        <v>P-52379-00</v>
      </c>
    </row>
    <row r="2343">
      <c r="A2343" s="2" t="str">
        <f>IFERROR(__xludf.DUMMYFUNCTION("""COMPUTED_VALUE"""),"P-52380-00")</f>
        <v>P-52380-00</v>
      </c>
      <c r="B2343" s="2" t="str">
        <f>IFERROR(__xludf.DUMMYFUNCTION("""COMPUTED_VALUE"""),"Adaptor AC Universal Power Supply 12VDC s/d 24VDC; ; ;")</f>
        <v>Adaptor AC Universal Power Supply 12VDC s/d 24VDC; ; ;</v>
      </c>
      <c r="C2343" s="2" t="str">
        <f>IFERROR(__xludf.DUMMYFUNCTION("""COMPUTED_VALUE"""),"P-52380-00")</f>
        <v>P-52380-00</v>
      </c>
    </row>
    <row r="2344">
      <c r="A2344" s="2" t="str">
        <f>IFERROR(__xludf.DUMMYFUNCTION("""COMPUTED_VALUE"""),"P-52388-00")</f>
        <v>P-52388-00</v>
      </c>
      <c r="B2344" s="2" t="str">
        <f>IFERROR(__xludf.DUMMYFUNCTION("""COMPUTED_VALUE"""),"Camera Endoscope Wifi Wireles Android Kabel 5M")</f>
        <v>Camera Endoscope Wifi Wireles Android Kabel 5M</v>
      </c>
      <c r="C2344" s="2" t="str">
        <f>IFERROR(__xludf.DUMMYFUNCTION("""COMPUTED_VALUE"""),"P-52388-00")</f>
        <v>P-52388-00</v>
      </c>
    </row>
    <row r="2345">
      <c r="A2345" s="2" t="str">
        <f>IFERROR(__xludf.DUMMYFUNCTION("""COMPUTED_VALUE"""),"P-52420-00")</f>
        <v>P-52420-00</v>
      </c>
      <c r="B2345" s="2" t="str">
        <f>IFERROR(__xludf.DUMMYFUNCTION("""COMPUTED_VALUE"""),"General - Ceiling Exhaust Fan; KDK; FV-25TGU5; 1 Pc")</f>
        <v>General - Ceiling Exhaust Fan; KDK; FV-25TGU5; 1 Pc</v>
      </c>
      <c r="C2345" s="2" t="str">
        <f>IFERROR(__xludf.DUMMYFUNCTION("""COMPUTED_VALUE"""),"P-52420-00")</f>
        <v>P-52420-00</v>
      </c>
    </row>
    <row r="2346">
      <c r="A2346" s="2" t="str">
        <f>IFERROR(__xludf.DUMMYFUNCTION("""COMPUTED_VALUE"""),"P-52421-00")</f>
        <v>P-52421-00</v>
      </c>
      <c r="B2346" s="2" t="str">
        <f>IFERROR(__xludf.DUMMYFUNCTION("""COMPUTED_VALUE"""),"Heater Cold Storage Door 4 mtr 300 Watt 220V")</f>
        <v>Heater Cold Storage Door 4 mtr 300 Watt 220V</v>
      </c>
      <c r="C2346" s="2" t="str">
        <f>IFERROR(__xludf.DUMMYFUNCTION("""COMPUTED_VALUE"""),"P-52421-00")</f>
        <v>P-52421-00</v>
      </c>
    </row>
    <row r="2347">
      <c r="A2347" s="2" t="str">
        <f>IFERROR(__xludf.DUMMYFUNCTION("""COMPUTED_VALUE"""),"P-52422-00")</f>
        <v>P-52422-00</v>
      </c>
      <c r="B2347" s="2" t="str">
        <f>IFERROR(__xludf.DUMMYFUNCTION("""COMPUTED_VALUE"""),"Thermostat 0 - 100 derajat C")</f>
        <v>Thermostat 0 - 100 derajat C</v>
      </c>
      <c r="C2347" s="2" t="str">
        <f>IFERROR(__xludf.DUMMYFUNCTION("""COMPUTED_VALUE"""),"P-52422-00")</f>
        <v>P-52422-00</v>
      </c>
    </row>
    <row r="2348">
      <c r="A2348" s="2" t="str">
        <f>IFERROR(__xludf.DUMMYFUNCTION("""COMPUTED_VALUE"""),"P-52436-00")</f>
        <v>P-52436-00</v>
      </c>
      <c r="B2348" s="2" t="str">
        <f>IFERROR(__xludf.DUMMYFUNCTION("""COMPUTED_VALUE"""),"General - Kabel NYYHY 4 x 1.5mm; SUPREME; -; 1 meter")</f>
        <v>General - Kabel NYYHY 4 x 1.5mm; SUPREME; -; 1 meter</v>
      </c>
      <c r="C2348" s="2" t="str">
        <f>IFERROR(__xludf.DUMMYFUNCTION("""COMPUTED_VALUE"""),"P-52436-00")</f>
        <v>P-52436-00</v>
      </c>
    </row>
    <row r="2349">
      <c r="A2349" s="2" t="str">
        <f>IFERROR(__xludf.DUMMYFUNCTION("""COMPUTED_VALUE"""),"P-52477-00")</f>
        <v>P-52477-00</v>
      </c>
      <c r="B2349" s="2" t="str">
        <f>IFERROR(__xludf.DUMMYFUNCTION("""COMPUTED_VALUE"""),"Battery Walkie Talkie Motorola Type IXNN4002B, 4.8V 600 mAh; ; ;")</f>
        <v>Battery Walkie Talkie Motorola Type IXNN4002B, 4.8V 600 mAh; ; ;</v>
      </c>
      <c r="C2349" s="2" t="str">
        <f>IFERROR(__xludf.DUMMYFUNCTION("""COMPUTED_VALUE"""),"P-52477-00")</f>
        <v>P-52477-00</v>
      </c>
    </row>
    <row r="2350">
      <c r="A2350" s="2" t="str">
        <f>IFERROR(__xludf.DUMMYFUNCTION("""COMPUTED_VALUE"""),"P-52488-00")</f>
        <v>P-52488-00</v>
      </c>
      <c r="B2350" s="2" t="str">
        <f>IFERROR(__xludf.DUMMYFUNCTION("""COMPUTED_VALUE"""),"Clean Phone Room SHP")</f>
        <v>Clean Phone Room SHP</v>
      </c>
      <c r="C2350" s="2" t="str">
        <f>IFERROR(__xludf.DUMMYFUNCTION("""COMPUTED_VALUE"""),"P-52488-00")</f>
        <v>P-52488-00</v>
      </c>
    </row>
    <row r="2351">
      <c r="A2351" s="2" t="str">
        <f>IFERROR(__xludf.DUMMYFUNCTION("""COMPUTED_VALUE"""),"P-52489-00")</f>
        <v>P-52489-00</v>
      </c>
      <c r="B2351" s="2" t="str">
        <f>IFERROR(__xludf.DUMMYFUNCTION("""COMPUTED_VALUE"""),"Converter Cleanphone Phone; Yeastar; ;")</f>
        <v>Converter Cleanphone Phone; Yeastar; ;</v>
      </c>
      <c r="C2351" s="2" t="str">
        <f>IFERROR(__xludf.DUMMYFUNCTION("""COMPUTED_VALUE"""),"P-52489-00")</f>
        <v>P-52489-00</v>
      </c>
    </row>
    <row r="2352">
      <c r="A2352" s="2" t="str">
        <f>IFERROR(__xludf.DUMMYFUNCTION("""COMPUTED_VALUE"""),"P-52501-00")</f>
        <v>P-52501-00</v>
      </c>
      <c r="B2352" s="2" t="str">
        <f>IFERROR(__xludf.DUMMYFUNCTION("""COMPUTED_VALUE"""),"OMRON - TIMER H3CR- A8 220 VAC; ; ;")</f>
        <v>OMRON - TIMER H3CR- A8 220 VAC; ; ;</v>
      </c>
      <c r="C2352" s="2" t="str">
        <f>IFERROR(__xludf.DUMMYFUNCTION("""COMPUTED_VALUE"""),"P-52501-00")</f>
        <v>P-52501-00</v>
      </c>
    </row>
    <row r="2353">
      <c r="A2353" s="2" t="str">
        <f>IFERROR(__xludf.DUMMYFUNCTION("""COMPUTED_VALUE"""),"P-52513-00")</f>
        <v>P-52513-00</v>
      </c>
      <c r="B2353" s="2" t="str">
        <f>IFERROR(__xludf.DUMMYFUNCTION("""COMPUTED_VALUE"""),"General - Emergency Stop 22mm; IDEC; -; 1 pc")</f>
        <v>General - Emergency Stop 22mm; IDEC; -; 1 pc</v>
      </c>
      <c r="C2353" s="2" t="str">
        <f>IFERROR(__xludf.DUMMYFUNCTION("""COMPUTED_VALUE"""),"P-52513-00")</f>
        <v>P-52513-00</v>
      </c>
    </row>
    <row r="2354">
      <c r="A2354" s="2" t="str">
        <f>IFERROR(__xludf.DUMMYFUNCTION("""COMPUTED_VALUE"""),"P-52514-00")</f>
        <v>P-52514-00</v>
      </c>
      <c r="B2354" s="2" t="str">
        <f>IFERROR(__xludf.DUMMYFUNCTION("""COMPUTED_VALUE"""),"Flow Transmitter Type 8025 (Remote/Panel Version); Burkert; ;")</f>
        <v>Flow Transmitter Type 8025 (Remote/Panel Version); Burkert; ;</v>
      </c>
      <c r="C2354" s="2" t="str">
        <f>IFERROR(__xludf.DUMMYFUNCTION("""COMPUTED_VALUE"""),"P-52514-00")</f>
        <v>P-52514-00</v>
      </c>
    </row>
    <row r="2355">
      <c r="A2355" s="2" t="str">
        <f>IFERROR(__xludf.DUMMYFUNCTION("""COMPUTED_VALUE"""),"P-52515-00")</f>
        <v>P-52515-00</v>
      </c>
      <c r="B2355" s="2" t="str">
        <f>IFERROR(__xludf.DUMMYFUNCTION("""COMPUTED_VALUE"""),"Flow Sensor Type SE30-HT (High Temperature Version); Burkert; ;")</f>
        <v>Flow Sensor Type SE30-HT (High Temperature Version); Burkert; ;</v>
      </c>
      <c r="C2355" s="2" t="str">
        <f>IFERROR(__xludf.DUMMYFUNCTION("""COMPUTED_VALUE"""),"P-52515-00")</f>
        <v>P-52515-00</v>
      </c>
    </row>
    <row r="2356">
      <c r="A2356" s="2" t="str">
        <f>IFERROR(__xludf.DUMMYFUNCTION("""COMPUTED_VALUE"""),"P-52519-00")</f>
        <v>P-52519-00</v>
      </c>
      <c r="B2356" s="2" t="str">
        <f>IFERROR(__xludf.DUMMYFUNCTION("""COMPUTED_VALUE"""),"CAPACITOR 3.5 uF, 450V, 2 kutub; ; ;")</f>
        <v>CAPACITOR 3.5 uF, 450V, 2 kutub; ; ;</v>
      </c>
      <c r="C2356" s="2" t="str">
        <f>IFERROR(__xludf.DUMMYFUNCTION("""COMPUTED_VALUE"""),"P-52519-00")</f>
        <v>P-52519-00</v>
      </c>
    </row>
    <row r="2357">
      <c r="A2357" s="2" t="str">
        <f>IFERROR(__xludf.DUMMYFUNCTION("""COMPUTED_VALUE"""),"P-52529-00")</f>
        <v>P-52529-00</v>
      </c>
      <c r="B2357" s="2" t="str">
        <f>IFERROR(__xludf.DUMMYFUNCTION("""COMPUTED_VALUE"""),"HDMI NSH-35 s/n 1308744 P/n: PWS6A00T-P; ; ;")</f>
        <v>HDMI NSH-35 s/n 1308744 P/n: PWS6A00T-P; ; ;</v>
      </c>
      <c r="C2357" s="2" t="str">
        <f>IFERROR(__xludf.DUMMYFUNCTION("""COMPUTED_VALUE"""),"P-52529-00")</f>
        <v>P-52529-00</v>
      </c>
    </row>
    <row r="2358">
      <c r="A2358" s="2" t="str">
        <f>IFERROR(__xludf.DUMMYFUNCTION("""COMPUTED_VALUE"""),"P-52569-00")</f>
        <v>P-52569-00</v>
      </c>
      <c r="B2358" s="2" t="str">
        <f>IFERROR(__xludf.DUMMYFUNCTION("""COMPUTED_VALUE"""),"Limit Switch LX19-001  250 VAC; ; ;")</f>
        <v>Limit Switch LX19-001  250 VAC; ; ;</v>
      </c>
      <c r="C2358" s="2" t="str">
        <f>IFERROR(__xludf.DUMMYFUNCTION("""COMPUTED_VALUE"""),"P-52569-00")</f>
        <v>P-52569-00</v>
      </c>
    </row>
    <row r="2359">
      <c r="A2359" s="2" t="str">
        <f>IFERROR(__xludf.DUMMYFUNCTION("""COMPUTED_VALUE"""),"P-52579-00")</f>
        <v>P-52579-00</v>
      </c>
      <c r="B2359" s="2" t="str">
        <f>IFERROR(__xludf.DUMMYFUNCTION("""COMPUTED_VALUE"""),"Dosing Pump (Peristaltic Pump) 24 VDC 0-19 ml/min RZ1030-BX; ; ;")</f>
        <v>Dosing Pump (Peristaltic Pump) 24 VDC 0-19 ml/min RZ1030-BX; ; ;</v>
      </c>
      <c r="C2359" s="2" t="str">
        <f>IFERROR(__xludf.DUMMYFUNCTION("""COMPUTED_VALUE"""),"P-52579-00")</f>
        <v>P-52579-00</v>
      </c>
    </row>
    <row r="2360">
      <c r="A2360" s="2" t="str">
        <f>IFERROR(__xludf.DUMMYFUNCTION("""COMPUTED_VALUE"""),"P-52590-00")</f>
        <v>P-52590-00</v>
      </c>
      <c r="B2360" s="2" t="str">
        <f>IFERROR(__xludf.DUMMYFUNCTION("""COMPUTED_VALUE"""),"General - Heater Ducting Dia. 11.2 x 300mm 220V 5000W; No Brand; -; 1 Pc")</f>
        <v>General - Heater Ducting Dia. 11.2 x 300mm 220V 5000W; No Brand; -; 1 Pc</v>
      </c>
      <c r="C2360" s="2" t="str">
        <f>IFERROR(__xludf.DUMMYFUNCTION("""COMPUTED_VALUE"""),"P-52590-00")</f>
        <v>P-52590-00</v>
      </c>
    </row>
    <row r="2361">
      <c r="A2361" s="2" t="str">
        <f>IFERROR(__xludf.DUMMYFUNCTION("""COMPUTED_VALUE"""),"P-52591-00")</f>
        <v>P-52591-00</v>
      </c>
      <c r="B2361" s="2" t="str">
        <f>IFERROR(__xludf.DUMMYFUNCTION("""COMPUTED_VALUE"""),"Relay APF 30324; Panasonic; ;")</f>
        <v>Relay APF 30324; Panasonic; ;</v>
      </c>
      <c r="C2361" s="2" t="str">
        <f>IFERROR(__xludf.DUMMYFUNCTION("""COMPUTED_VALUE"""),"P-52591-00")</f>
        <v>P-52591-00</v>
      </c>
    </row>
    <row r="2362">
      <c r="A2362" s="2" t="str">
        <f>IFERROR(__xludf.DUMMYFUNCTION("""COMPUTED_VALUE"""),"P-52639-00")</f>
        <v>P-52639-00</v>
      </c>
      <c r="B2362" s="2" t="str">
        <f>IFERROR(__xludf.DUMMYFUNCTION("""COMPUTED_VALUE"""),"ELCB 40A 4P; Schneider; ;")</f>
        <v>ELCB 40A 4P; Schneider; ;</v>
      </c>
      <c r="C2362" s="2" t="str">
        <f>IFERROR(__xludf.DUMMYFUNCTION("""COMPUTED_VALUE"""),"P-52639-00")</f>
        <v>P-52639-00</v>
      </c>
    </row>
    <row r="2363">
      <c r="A2363" s="2" t="str">
        <f>IFERROR(__xludf.DUMMYFUNCTION("""COMPUTED_VALUE"""),"P-52640-00")</f>
        <v>P-52640-00</v>
      </c>
      <c r="B2363" s="2" t="str">
        <f>IFERROR(__xludf.DUMMYFUNCTION("""COMPUTED_VALUE"""),"Bola lampu 220 V 5 Watt for Cartoning Machine; ; ;")</f>
        <v>Bola lampu 220 V 5 Watt for Cartoning Machine; ; ;</v>
      </c>
      <c r="C2363" s="2" t="str">
        <f>IFERROR(__xludf.DUMMYFUNCTION("""COMPUTED_VALUE"""),"P-52640-00")</f>
        <v>P-52640-00</v>
      </c>
    </row>
    <row r="2364">
      <c r="A2364" s="2" t="str">
        <f>IFERROR(__xludf.DUMMYFUNCTION("""COMPUTED_VALUE"""),"P-52642-00")</f>
        <v>P-52642-00</v>
      </c>
      <c r="B2364" s="2" t="str">
        <f>IFERROR(__xludf.DUMMYFUNCTION("""COMPUTED_VALUE"""),"General - Kabel NYYHY 2 x 0.75mm; SUPREME; -; 1 meter")</f>
        <v>General - Kabel NYYHY 2 x 0.75mm; SUPREME; -; 1 meter</v>
      </c>
      <c r="C2364" s="2" t="str">
        <f>IFERROR(__xludf.DUMMYFUNCTION("""COMPUTED_VALUE"""),"P-52642-00")</f>
        <v>P-52642-00</v>
      </c>
    </row>
    <row r="2365">
      <c r="A2365" s="2" t="str">
        <f>IFERROR(__xludf.DUMMYFUNCTION("""COMPUTED_VALUE"""),"P-52651-00")</f>
        <v>P-52651-00</v>
      </c>
      <c r="B2365" s="2" t="str">
        <f>IFERROR(__xludf.DUMMYFUNCTION("""COMPUTED_VALUE"""),"Selenoid Valve 1 inch, 220VAC; UNI-D; ;")</f>
        <v>Selenoid Valve 1 inch, 220VAC; UNI-D; ;</v>
      </c>
      <c r="C2365" s="2" t="str">
        <f>IFERROR(__xludf.DUMMYFUNCTION("""COMPUTED_VALUE"""),"P-52651-00")</f>
        <v>P-52651-00</v>
      </c>
    </row>
    <row r="2366">
      <c r="A2366" s="2" t="str">
        <f>IFERROR(__xludf.DUMMYFUNCTION("""COMPUTED_VALUE"""),"P-52662-00")</f>
        <v>P-52662-00</v>
      </c>
      <c r="B2366" s="2" t="str">
        <f>IFERROR(__xludf.DUMMYFUNCTION("""COMPUTED_VALUE"""),"General - Temperature Controller TK4S- 14SN 100-240 VAC; Autonics; -; 1 pc")</f>
        <v>General - Temperature Controller TK4S- 14SN 100-240 VAC; Autonics; -; 1 pc</v>
      </c>
      <c r="C2366" s="2" t="str">
        <f>IFERROR(__xludf.DUMMYFUNCTION("""COMPUTED_VALUE"""),"P-52662-00")</f>
        <v>P-52662-00</v>
      </c>
    </row>
    <row r="2367">
      <c r="A2367" s="2" t="str">
        <f>IFERROR(__xludf.DUMMYFUNCTION("""COMPUTED_VALUE"""),"P-52663-00")</f>
        <v>P-52663-00</v>
      </c>
      <c r="B2367" s="2" t="str">
        <f>IFERROR(__xludf.DUMMYFUNCTION("""COMPUTED_VALUE"""),"General - Solid State Relay (SSR) 3-32VDC 24-330VAC 40A; No Brand; -; 1 Pc")</f>
        <v>General - Solid State Relay (SSR) 3-32VDC 24-330VAC 40A; No Brand; -; 1 Pc</v>
      </c>
      <c r="C2367" s="2" t="str">
        <f>IFERROR(__xludf.DUMMYFUNCTION("""COMPUTED_VALUE"""),"P-52663-00")</f>
        <v>P-52663-00</v>
      </c>
    </row>
    <row r="2368">
      <c r="A2368" s="2" t="str">
        <f>IFERROR(__xludf.DUMMYFUNCTION("""COMPUTED_VALUE"""),"P-52664-00")</f>
        <v>P-52664-00</v>
      </c>
      <c r="B2368" s="2" t="str">
        <f>IFERROR(__xludf.DUMMYFUNCTION("""COMPUTED_VALUE"""),"General - Pelampung Air Radar Float Switch 2m; No Brand; -; 1 Pc")</f>
        <v>General - Pelampung Air Radar Float Switch 2m; No Brand; -; 1 Pc</v>
      </c>
      <c r="C2368" s="2" t="str">
        <f>IFERROR(__xludf.DUMMYFUNCTION("""COMPUTED_VALUE"""),"P-52664-00")</f>
        <v>P-52664-00</v>
      </c>
    </row>
    <row r="2369">
      <c r="A2369" s="2" t="str">
        <f>IFERROR(__xludf.DUMMYFUNCTION("""COMPUTED_VALUE"""),"P-52665-00")</f>
        <v>P-52665-00</v>
      </c>
      <c r="B2369" s="2" t="str">
        <f>IFERROR(__xludf.DUMMYFUNCTION("""COMPUTED_VALUE"""),"Buzzer Electronic Siren PW-235; TAB; ;")</f>
        <v>Buzzer Electronic Siren PW-235; TAB; ;</v>
      </c>
      <c r="C2369" s="2" t="str">
        <f>IFERROR(__xludf.DUMMYFUNCTION("""COMPUTED_VALUE"""),"P-52665-00")</f>
        <v>P-52665-00</v>
      </c>
    </row>
    <row r="2370">
      <c r="A2370" s="2" t="str">
        <f>IFERROR(__xludf.DUMMYFUNCTION("""COMPUTED_VALUE"""),"P-52685-00")</f>
        <v>P-52685-00</v>
      </c>
      <c r="B2370" s="2" t="str">
        <f>IFERROR(__xludf.DUMMYFUNCTION("""COMPUTED_VALUE"""),"General - Power Supply 24VDC, 6A; Fort; S-145-24; 1 pc")</f>
        <v>General - Power Supply 24VDC, 6A; Fort; S-145-24; 1 pc</v>
      </c>
      <c r="C2370" s="2" t="str">
        <f>IFERROR(__xludf.DUMMYFUNCTION("""COMPUTED_VALUE"""),"P-52685-00")</f>
        <v>P-52685-00</v>
      </c>
    </row>
    <row r="2371">
      <c r="A2371" s="2" t="str">
        <f>IFERROR(__xludf.DUMMYFUNCTION("""COMPUTED_VALUE"""),"P-52694-00")</f>
        <v>P-52694-00</v>
      </c>
      <c r="B2371" s="2" t="str">
        <f>IFERROR(__xludf.DUMMYFUNCTION("""COMPUTED_VALUE"""),"ORP Transmitter (Field mounted) Type: 202551/05-8-01-4-0-00-25/000; JUMO; ;")</f>
        <v>ORP Transmitter (Field mounted) Type: 202551/05-8-01-4-0-00-25/000; JUMO; ;</v>
      </c>
      <c r="C2371" s="2" t="str">
        <f>IFERROR(__xludf.DUMMYFUNCTION("""COMPUTED_VALUE"""),"P-52694-00")</f>
        <v>P-52694-00</v>
      </c>
    </row>
    <row r="2372">
      <c r="A2372" s="2" t="str">
        <f>IFERROR(__xludf.DUMMYFUNCTION("""COMPUTED_VALUE"""),"P-52695-00")</f>
        <v>P-52695-00</v>
      </c>
      <c r="B2372" s="2" t="str">
        <f>IFERROR(__xludf.DUMMYFUNCTION("""COMPUTED_VALUE"""),"ORP Electrode Type: 201027/10-22-07-82-120/000; JUMO; ;")</f>
        <v>ORP Electrode Type: 201027/10-22-07-82-120/000; JUMO; ;</v>
      </c>
      <c r="C2372" s="2" t="str">
        <f>IFERROR(__xludf.DUMMYFUNCTION("""COMPUTED_VALUE"""),"P-52695-00")</f>
        <v>P-52695-00</v>
      </c>
    </row>
    <row r="2373">
      <c r="A2373" s="2" t="str">
        <f>IFERROR(__xludf.DUMMYFUNCTION("""COMPUTED_VALUE"""),"P-52696-00")</f>
        <v>P-52696-00</v>
      </c>
      <c r="B2373" s="2" t="str">
        <f>IFERROR(__xludf.DUMMYFUNCTION("""COMPUTED_VALUE"""),"ORP Cable Type: 202990/02; JUMO; ;")</f>
        <v>ORP Cable Type: 202990/02; JUMO; ;</v>
      </c>
      <c r="C2373" s="2" t="str">
        <f>IFERROR(__xludf.DUMMYFUNCTION("""COMPUTED_VALUE"""),"P-52696-00")</f>
        <v>P-52696-00</v>
      </c>
    </row>
    <row r="2374">
      <c r="A2374" s="2" t="str">
        <f>IFERROR(__xludf.DUMMYFUNCTION("""COMPUTED_VALUE"""),"P-52708-00")</f>
        <v>P-52708-00</v>
      </c>
      <c r="B2374" s="2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4" s="2" t="str">
        <f>IFERROR(__xludf.DUMMYFUNCTION("""COMPUTED_VALUE"""),"P-52708-00")</f>
        <v>P-52708-00</v>
      </c>
    </row>
    <row r="2375">
      <c r="A2375" s="2" t="str">
        <f>IFERROR(__xludf.DUMMYFUNCTION("""COMPUTED_VALUE"""),"P-52709-00")</f>
        <v>P-52709-00</v>
      </c>
      <c r="B2375" s="2" t="str">
        <f>IFERROR(__xludf.DUMMYFUNCTION("""COMPUTED_VALUE"""),"General - Pressure Transmitter TPS30-G27AR2-00; Autonics; -; 1 pc")</f>
        <v>General - Pressure Transmitter TPS30-G27AR2-00; Autonics; -; 1 pc</v>
      </c>
      <c r="C2375" s="2" t="str">
        <f>IFERROR(__xludf.DUMMYFUNCTION("""COMPUTED_VALUE"""),"P-52709-00")</f>
        <v>P-52709-00</v>
      </c>
    </row>
    <row r="2376">
      <c r="A2376" s="2" t="str">
        <f>IFERROR(__xludf.DUMMYFUNCTION("""COMPUTED_VALUE"""),"P-52710-00")</f>
        <v>P-52710-00</v>
      </c>
      <c r="B2376" s="2" t="str">
        <f>IFERROR(__xludf.DUMMYFUNCTION("""COMPUTED_VALUE"""),"USB Extension Cable Waterproof IP6; ; ;")</f>
        <v>USB Extension Cable Waterproof IP6; ; ;</v>
      </c>
      <c r="C2376" s="2" t="str">
        <f>IFERROR(__xludf.DUMMYFUNCTION("""COMPUTED_VALUE"""),"P-52710-00")</f>
        <v>P-52710-00</v>
      </c>
    </row>
    <row r="2377">
      <c r="A2377" s="2" t="str">
        <f>IFERROR(__xludf.DUMMYFUNCTION("""COMPUTED_VALUE"""),"P-52711-00")</f>
        <v>P-52711-00</v>
      </c>
      <c r="B2377" s="2" t="str">
        <f>IFERROR(__xludf.DUMMYFUNCTION("""COMPUTED_VALUE"""),"General - Accu NS70, Baterai Kering, 12 V, 65 Ah; GS Astra; -; 1 pcs")</f>
        <v>General - Accu NS70, Baterai Kering, 12 V, 65 Ah; GS Astra; -; 1 pcs</v>
      </c>
      <c r="C2377" s="2" t="str">
        <f>IFERROR(__xludf.DUMMYFUNCTION("""COMPUTED_VALUE"""),"P-52711-00")</f>
        <v>P-52711-00</v>
      </c>
    </row>
    <row r="2378">
      <c r="A2378" s="2" t="str">
        <f>IFERROR(__xludf.DUMMYFUNCTION("""COMPUTED_VALUE"""),"P-52713-00")</f>
        <v>P-52713-00</v>
      </c>
      <c r="B2378" s="2" t="str">
        <f>IFERROR(__xludf.DUMMYFUNCTION("""COMPUTED_VALUE"""),"Sensor Ammonia 0-50/500 PPM (200 PPM Standard) Type : 00-1010; ATI; ;")</f>
        <v>Sensor Ammonia 0-50/500 PPM (200 PPM Standard) Type : 00-1010; ATI; ;</v>
      </c>
      <c r="C2378" s="2" t="str">
        <f>IFERROR(__xludf.DUMMYFUNCTION("""COMPUTED_VALUE"""),"P-52713-00")</f>
        <v>P-52713-00</v>
      </c>
    </row>
    <row r="2379">
      <c r="A2379" s="2" t="str">
        <f>IFERROR(__xludf.DUMMYFUNCTION("""COMPUTED_VALUE"""),"P-52731-00")</f>
        <v>P-52731-00</v>
      </c>
      <c r="B2379" s="2" t="str">
        <f>IFERROR(__xludf.DUMMYFUNCTION("""COMPUTED_VALUE"""),"Spliter CN-6100-C2 AUTONICS; ; ;")</f>
        <v>Spliter CN-6100-C2 AUTONICS; ; ;</v>
      </c>
      <c r="C2379" s="2" t="str">
        <f>IFERROR(__xludf.DUMMYFUNCTION("""COMPUTED_VALUE"""),"P-52731-00")</f>
        <v>P-52731-00</v>
      </c>
    </row>
    <row r="2380">
      <c r="A2380" s="2" t="str">
        <f>IFERROR(__xludf.DUMMYFUNCTION("""COMPUTED_VALUE"""),"P-52766-00")</f>
        <v>P-52766-00</v>
      </c>
      <c r="B2380" s="2" t="str">
        <f>IFERROR(__xludf.DUMMYFUNCTION("""COMPUTED_VALUE"""),"Drain Pump AC M1 Merk Value; ; -; 1 pcs")</f>
        <v>Drain Pump AC M1 Merk Value; ; -; 1 pcs</v>
      </c>
      <c r="C2380" s="2" t="str">
        <f>IFERROR(__xludf.DUMMYFUNCTION("""COMPUTED_VALUE"""),"P-52766-00")</f>
        <v>P-52766-00</v>
      </c>
    </row>
    <row r="2381">
      <c r="A2381" s="2" t="str">
        <f>IFERROR(__xludf.DUMMYFUNCTION("""COMPUTED_VALUE"""),"P-52767-00")</f>
        <v>P-52767-00</v>
      </c>
      <c r="B2381" s="2" t="str">
        <f>IFERROR(__xludf.DUMMYFUNCTION("""COMPUTED_VALUE"""),"Freeze Dryer MBE1207 - Solenoid Valve 5/8 Inch EVR 15 032F1228; Danfoss; ;")</f>
        <v>Freeze Dryer MBE1207 - Solenoid Valve 5/8 Inch EVR 15 032F1228; Danfoss; ;</v>
      </c>
      <c r="C2381" s="2" t="str">
        <f>IFERROR(__xludf.DUMMYFUNCTION("""COMPUTED_VALUE"""),"P-52767-00")</f>
        <v>P-52767-00</v>
      </c>
    </row>
    <row r="2382">
      <c r="A2382" s="2" t="str">
        <f>IFERROR(__xludf.DUMMYFUNCTION("""COMPUTED_VALUE"""),"P-52791-00")</f>
        <v>P-52791-00</v>
      </c>
      <c r="B2382" s="2" t="str">
        <f>IFERROR(__xludf.DUMMYFUNCTION("""COMPUTED_VALUE"""),"IC Components LTC2411IMS; ; ;")</f>
        <v>IC Components LTC2411IMS; ; ;</v>
      </c>
      <c r="C2382" s="2" t="str">
        <f>IFERROR(__xludf.DUMMYFUNCTION("""COMPUTED_VALUE"""),"P-52791-00")</f>
        <v>P-52791-00</v>
      </c>
    </row>
    <row r="2383">
      <c r="A2383" s="2" t="str">
        <f>IFERROR(__xludf.DUMMYFUNCTION("""COMPUTED_VALUE"""),"P-52807-00")</f>
        <v>P-52807-00</v>
      </c>
      <c r="B2383" s="2" t="str">
        <f>IFERROR(__xludf.DUMMYFUNCTION("""COMPUTED_VALUE"""),"4"" Inline Hydrophonic Fan 0,04kw 220V; ; ;")</f>
        <v>4" Inline Hydrophonic Fan 0,04kw 220V; ; ;</v>
      </c>
      <c r="C2383" s="2" t="str">
        <f>IFERROR(__xludf.DUMMYFUNCTION("""COMPUTED_VALUE"""),"P-52807-00")</f>
        <v>P-52807-00</v>
      </c>
    </row>
    <row r="2384">
      <c r="A2384" s="2" t="str">
        <f>IFERROR(__xludf.DUMMYFUNCTION("""COMPUTED_VALUE"""),"P-52833-00")</f>
        <v>P-52833-00</v>
      </c>
      <c r="B2384" s="2" t="str">
        <f>IFERROR(__xludf.DUMMYFUNCTION("""COMPUTED_VALUE"""),"MCB Merek Schneider Type : IC60H 25A 3 Phase; ; ;")</f>
        <v>MCB Merek Schneider Type : IC60H 25A 3 Phase; ; ;</v>
      </c>
      <c r="C2384" s="2" t="str">
        <f>IFERROR(__xludf.DUMMYFUNCTION("""COMPUTED_VALUE"""),"P-52833-00")</f>
        <v>P-52833-00</v>
      </c>
    </row>
    <row r="2385">
      <c r="A2385" s="2" t="str">
        <f>IFERROR(__xludf.DUMMYFUNCTION("""COMPUTED_VALUE"""),"P-52844-00")</f>
        <v>P-52844-00</v>
      </c>
      <c r="B2385" s="2" t="str">
        <f>IFERROR(__xludf.DUMMYFUNCTION("""COMPUTED_VALUE"""),"Doshing Pump BT4B Merk Prominent; ; ;")</f>
        <v>Doshing Pump BT4B Merk Prominent; ; ;</v>
      </c>
      <c r="C2385" s="2" t="str">
        <f>IFERROR(__xludf.DUMMYFUNCTION("""COMPUTED_VALUE"""),"P-52844-00")</f>
        <v>P-52844-00</v>
      </c>
    </row>
    <row r="2386">
      <c r="A2386" s="2" t="str">
        <f>IFERROR(__xludf.DUMMYFUNCTION("""COMPUTED_VALUE"""),"P-52854-00")</f>
        <v>P-52854-00</v>
      </c>
      <c r="B2386" s="2" t="str">
        <f>IFERROR(__xludf.DUMMYFUNCTION("""COMPUTED_VALUE"""),"General - Socket RJ45 Cat 6; Belden; -; 50pcs/pack")</f>
        <v>General - Socket RJ45 Cat 6; Belden; -; 50pcs/pack</v>
      </c>
      <c r="C2386" s="2" t="str">
        <f>IFERROR(__xludf.DUMMYFUNCTION("""COMPUTED_VALUE"""),"P-52854-00")</f>
        <v>P-52854-00</v>
      </c>
    </row>
    <row r="2387">
      <c r="A2387" s="2" t="str">
        <f>IFERROR(__xludf.DUMMYFUNCTION("""COMPUTED_VALUE"""),"P-52865-00")</f>
        <v>P-52865-00</v>
      </c>
      <c r="B2387" s="2" t="str">
        <f>IFERROR(__xludf.DUMMYFUNCTION("""COMPUTED_VALUE"""),"Vacuum Pump 2 Stage 8,9 Cfm (252 liter/menit), 220V; Tasco; Type : TA150XL;")</f>
        <v>Vacuum Pump 2 Stage 8,9 Cfm (252 liter/menit), 220V; Tasco; Type : TA150XL;</v>
      </c>
      <c r="C2387" s="2" t="str">
        <f>IFERROR(__xludf.DUMMYFUNCTION("""COMPUTED_VALUE"""),"P-52865-00")</f>
        <v>P-52865-00</v>
      </c>
    </row>
    <row r="2388">
      <c r="A2388" s="2" t="str">
        <f>IFERROR(__xludf.DUMMYFUNCTION("""COMPUTED_VALUE"""),"P-52903-00")</f>
        <v>P-52903-00</v>
      </c>
      <c r="B2388" s="2" t="str">
        <f>IFERROR(__xludf.DUMMYFUNCTION("""COMPUTED_VALUE"""),"Vacuum Pump LiquidRing 1,1kW 1,5HP; ROTOR; CDF 120-0;")</f>
        <v>Vacuum Pump LiquidRing 1,1kW 1,5HP; ROTOR; CDF 120-0;</v>
      </c>
      <c r="C2388" s="2" t="str">
        <f>IFERROR(__xludf.DUMMYFUNCTION("""COMPUTED_VALUE"""),"P-52903-00")</f>
        <v>P-52903-00</v>
      </c>
    </row>
    <row r="2389">
      <c r="A2389" s="2" t="str">
        <f>IFERROR(__xludf.DUMMYFUNCTION("""COMPUTED_VALUE"""),"P-52928-00")</f>
        <v>P-52928-00</v>
      </c>
      <c r="B2389" s="2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89" s="2" t="str">
        <f>IFERROR(__xludf.DUMMYFUNCTION("""COMPUTED_VALUE"""),"P-52928-00")</f>
        <v>P-52928-00</v>
      </c>
    </row>
    <row r="2390">
      <c r="A2390" s="2" t="str">
        <f>IFERROR(__xludf.DUMMYFUNCTION("""COMPUTED_VALUE"""),"P-52964-00")</f>
        <v>P-52964-00</v>
      </c>
      <c r="B2390" s="2" t="str">
        <f>IFERROR(__xludf.DUMMYFUNCTION("""COMPUTED_VALUE"""),"Temperatur Control Continuous Sealer FRB-700; MC; TEQD-2301B;")</f>
        <v>Temperatur Control Continuous Sealer FRB-700; MC; TEQD-2301B;</v>
      </c>
      <c r="C2390" s="2" t="str">
        <f>IFERROR(__xludf.DUMMYFUNCTION("""COMPUTED_VALUE"""),"P-52964-00")</f>
        <v>P-52964-00</v>
      </c>
    </row>
    <row r="2391">
      <c r="A2391" s="2" t="str">
        <f>IFERROR(__xludf.DUMMYFUNCTION("""COMPUTED_VALUE"""),"P-52975-00")</f>
        <v>P-52975-00</v>
      </c>
      <c r="B2391" s="2" t="str">
        <f>IFERROR(__xludf.DUMMYFUNCTION("""COMPUTED_VALUE"""),"General - Limit Switch IP65; EWIG; E8108; 1 pc")</f>
        <v>General - Limit Switch IP65; EWIG; E8108; 1 pc</v>
      </c>
      <c r="C2391" s="2" t="str">
        <f>IFERROR(__xludf.DUMMYFUNCTION("""COMPUTED_VALUE"""),"P-52975-00")</f>
        <v>P-52975-00</v>
      </c>
    </row>
    <row r="2392">
      <c r="A2392" s="2" t="str">
        <f>IFERROR(__xludf.DUMMYFUNCTION("""COMPUTED_VALUE"""),"P-52990-00")</f>
        <v>P-52990-00</v>
      </c>
      <c r="B2392" s="2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2" s="2" t="str">
        <f>IFERROR(__xludf.DUMMYFUNCTION("""COMPUTED_VALUE"""),"P-52990-00")</f>
        <v>P-52990-00</v>
      </c>
    </row>
    <row r="2393">
      <c r="A2393" s="2" t="str">
        <f>IFERROR(__xludf.DUMMYFUNCTION("""COMPUTED_VALUE"""),"P-52991-00")</f>
        <v>P-52991-00</v>
      </c>
      <c r="B2393" s="2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3" s="2" t="str">
        <f>IFERROR(__xludf.DUMMYFUNCTION("""COMPUTED_VALUE"""),"P-52991-00")</f>
        <v>P-52991-00</v>
      </c>
    </row>
    <row r="2394">
      <c r="A2394" s="2" t="str">
        <f>IFERROR(__xludf.DUMMYFUNCTION("""COMPUTED_VALUE"""),"P-52992-00")</f>
        <v>P-52992-00</v>
      </c>
      <c r="B2394" s="2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4" s="2" t="str">
        <f>IFERROR(__xludf.DUMMYFUNCTION("""COMPUTED_VALUE"""),"P-52992-00")</f>
        <v>P-52992-00</v>
      </c>
    </row>
    <row r="2395">
      <c r="A2395" s="2" t="str">
        <f>IFERROR(__xludf.DUMMYFUNCTION("""COMPUTED_VALUE"""),"P-52994-00")</f>
        <v>P-52994-00</v>
      </c>
      <c r="B2395" s="2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5" s="2" t="str">
        <f>IFERROR(__xludf.DUMMYFUNCTION("""COMPUTED_VALUE"""),"P-52994-00")</f>
        <v>P-52994-00</v>
      </c>
    </row>
    <row r="2396">
      <c r="A2396" s="2" t="str">
        <f>IFERROR(__xludf.DUMMYFUNCTION("""COMPUTED_VALUE"""),"P-52999-00")</f>
        <v>P-52999-00</v>
      </c>
      <c r="B2396" s="2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6" s="2" t="str">
        <f>IFERROR(__xludf.DUMMYFUNCTION("""COMPUTED_VALUE"""),"P-52999-00")</f>
        <v>P-52999-00</v>
      </c>
    </row>
    <row r="2397">
      <c r="A2397" s="2" t="str">
        <f>IFERROR(__xludf.DUMMYFUNCTION("""COMPUTED_VALUE"""),"P-53000-00")</f>
        <v>P-53000-00</v>
      </c>
      <c r="B2397" s="2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7" s="2" t="str">
        <f>IFERROR(__xludf.DUMMYFUNCTION("""COMPUTED_VALUE"""),"P-53000-00")</f>
        <v>P-53000-00</v>
      </c>
    </row>
    <row r="2398">
      <c r="A2398" s="2" t="str">
        <f>IFERROR(__xludf.DUMMYFUNCTION("""COMPUTED_VALUE"""),"P-53023-00")</f>
        <v>P-53023-00</v>
      </c>
      <c r="B2398" s="2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8" s="2" t="str">
        <f>IFERROR(__xludf.DUMMYFUNCTION("""COMPUTED_VALUE"""),"P-53023-00")</f>
        <v>P-53023-00</v>
      </c>
    </row>
    <row r="2399">
      <c r="A2399" s="2" t="str">
        <f>IFERROR(__xludf.DUMMYFUNCTION("""COMPUTED_VALUE"""),"P-53031-00")</f>
        <v>P-53031-00</v>
      </c>
      <c r="B2399" s="2" t="str">
        <f>IFERROR(__xludf.DUMMYFUNCTION("""COMPUTED_VALUE"""),"General - Cooling Fan; Fulltech; UF15AC23-BTH; 1 Pc")</f>
        <v>General - Cooling Fan; Fulltech; UF15AC23-BTH; 1 Pc</v>
      </c>
      <c r="C2399" s="2" t="str">
        <f>IFERROR(__xludf.DUMMYFUNCTION("""COMPUTED_VALUE"""),"P-53031-00")</f>
        <v>P-53031-00</v>
      </c>
    </row>
    <row r="2400">
      <c r="A2400" s="2" t="str">
        <f>IFERROR(__xludf.DUMMYFUNCTION("""COMPUTED_VALUE"""),"P-53050-00")</f>
        <v>P-53050-00</v>
      </c>
      <c r="B2400" s="2" t="str">
        <f>IFERROR(__xludf.DUMMYFUNCTION("""COMPUTED_VALUE"""),"General - Pompa Magnetik 150W 1 phase; Sanso; PMD 1564; 1 Unit")</f>
        <v>General - Pompa Magnetik 150W 1 phase; Sanso; PMD 1564; 1 Unit</v>
      </c>
      <c r="C2400" s="2" t="str">
        <f>IFERROR(__xludf.DUMMYFUNCTION("""COMPUTED_VALUE"""),"P-53050-00")</f>
        <v>P-53050-00</v>
      </c>
    </row>
    <row r="2401">
      <c r="A2401" s="2" t="str">
        <f>IFERROR(__xludf.DUMMYFUNCTION("""COMPUTED_VALUE"""),"P-53051-00")</f>
        <v>P-53051-00</v>
      </c>
      <c r="B2401" s="2" t="str">
        <f>IFERROR(__xludf.DUMMYFUNCTION("""COMPUTED_VALUE"""),"General - Baterai NiCad Emergency TL 6V; Hokistar; BT-006; 1 Pc")</f>
        <v>General - Baterai NiCad Emergency TL 6V; Hokistar; BT-006; 1 Pc</v>
      </c>
      <c r="C2401" s="2" t="str">
        <f>IFERROR(__xludf.DUMMYFUNCTION("""COMPUTED_VALUE"""),"P-53051-00")</f>
        <v>P-53051-00</v>
      </c>
    </row>
    <row r="2402">
      <c r="A2402" s="2" t="str">
        <f>IFERROR(__xludf.DUMMYFUNCTION("""COMPUTED_VALUE"""),"P-53055-00")</f>
        <v>P-53055-00</v>
      </c>
      <c r="B2402" s="2" t="str">
        <f>IFERROR(__xludf.DUMMYFUNCTION("""COMPUTED_VALUE"""),"General - Fuse Keramik Double 160A 690VAC Bussman FEE160")</f>
        <v>General - Fuse Keramik Double 160A 690VAC Bussman FEE160</v>
      </c>
      <c r="C2402" s="2" t="str">
        <f>IFERROR(__xludf.DUMMYFUNCTION("""COMPUTED_VALUE"""),"P-53055-00")</f>
        <v>P-53055-00</v>
      </c>
    </row>
    <row r="2403">
      <c r="A2403" s="2" t="str">
        <f>IFERROR(__xludf.DUMMYFUNCTION("""COMPUTED_VALUE"""),"P-53059-00")</f>
        <v>P-53059-00</v>
      </c>
      <c r="B2403" s="2" t="str">
        <f>IFERROR(__xludf.DUMMYFUNCTION("""COMPUTED_VALUE"""),"General - Mainboard Photometer 2I SN 23425 ATI P/N : 0400170")</f>
        <v>General - Mainboard Photometer 2I SN 23425 ATI P/N : 0400170</v>
      </c>
      <c r="C2403" s="2" t="str">
        <f>IFERROR(__xludf.DUMMYFUNCTION("""COMPUTED_VALUE"""),"P-53059-00")</f>
        <v>P-53059-00</v>
      </c>
    </row>
    <row r="2404">
      <c r="A2404" s="2" t="str">
        <f>IFERROR(__xludf.DUMMYFUNCTION("""COMPUTED_VALUE"""),"P-53094-00")</f>
        <v>P-53094-00</v>
      </c>
      <c r="B2404" s="2" t="str">
        <f>IFERROR(__xludf.DUMMYFUNCTION("""COMPUTED_VALUE"""),"General - Actuator; Belimo; GMX120-3; 1 pcs")</f>
        <v>General - Actuator; Belimo; GMX120-3; 1 pcs</v>
      </c>
      <c r="C2404" s="2" t="str">
        <f>IFERROR(__xludf.DUMMYFUNCTION("""COMPUTED_VALUE"""),"P-53094-00")</f>
        <v>P-53094-00</v>
      </c>
    </row>
    <row r="2405">
      <c r="A2405" s="2" t="str">
        <f>IFERROR(__xludf.DUMMYFUNCTION("""COMPUTED_VALUE"""),"P-53102-00")</f>
        <v>P-53102-00</v>
      </c>
      <c r="B2405" s="2" t="str">
        <f>IFERROR(__xludf.DUMMYFUNCTION("""COMPUTED_VALUE"""),"Lampu PLC 13watt/E27 Putih; Phillips; ;")</f>
        <v>Lampu PLC 13watt/E27 Putih; Phillips; ;</v>
      </c>
      <c r="C2405" s="2" t="str">
        <f>IFERROR(__xludf.DUMMYFUNCTION("""COMPUTED_VALUE"""),"P-53102-00")</f>
        <v>P-53102-00</v>
      </c>
    </row>
    <row r="2406">
      <c r="A2406" s="2" t="str">
        <f>IFERROR(__xludf.DUMMYFUNCTION("""COMPUTED_VALUE"""),"P-53104-00")</f>
        <v>P-53104-00</v>
      </c>
      <c r="B2406" s="2" t="str">
        <f>IFERROR(__xludf.DUMMYFUNCTION("""COMPUTED_VALUE"""),"Fitting Keramik Lampu Mercury SON-T 70W PHILIPS")</f>
        <v>Fitting Keramik Lampu Mercury SON-T 70W PHILIPS</v>
      </c>
      <c r="C2406" s="2" t="str">
        <f>IFERROR(__xludf.DUMMYFUNCTION("""COMPUTED_VALUE"""),"P-53104-00")</f>
        <v>P-53104-00</v>
      </c>
    </row>
    <row r="2407">
      <c r="A2407" s="2" t="str">
        <f>IFERROR(__xludf.DUMMYFUNCTION("""COMPUTED_VALUE"""),"P-53133-00")</f>
        <v>P-53133-00</v>
      </c>
      <c r="B2407" s="2" t="str">
        <f>IFERROR(__xludf.DUMMYFUNCTION("""COMPUTED_VALUE"""),"General - Kabel Belden AWG 22 2 Pair; Belden; 8723; 305m/roll")</f>
        <v>General - Kabel Belden AWG 22 2 Pair; Belden; 8723; 305m/roll</v>
      </c>
      <c r="C2407" s="2" t="str">
        <f>IFERROR(__xludf.DUMMYFUNCTION("""COMPUTED_VALUE"""),"P-53133-00")</f>
        <v>P-53133-00</v>
      </c>
    </row>
    <row r="2408">
      <c r="A2408" s="2" t="str">
        <f>IFERROR(__xludf.DUMMYFUNCTION("""COMPUTED_VALUE"""),"P-53149-00")</f>
        <v>P-53149-00</v>
      </c>
      <c r="B2408" s="2" t="str">
        <f>IFERROR(__xludf.DUMMYFUNCTION("""COMPUTED_VALUE"""),"General - Kabel NYAF 3 x 2.5mm; Jembo; -; 1 meter")</f>
        <v>General - Kabel NYAF 3 x 2.5mm; Jembo; -; 1 meter</v>
      </c>
      <c r="C2408" s="2" t="str">
        <f>IFERROR(__xludf.DUMMYFUNCTION("""COMPUTED_VALUE"""),"P-53149-00")</f>
        <v>P-53149-00</v>
      </c>
    </row>
    <row r="2409">
      <c r="A2409" s="2" t="str">
        <f>IFERROR(__xludf.DUMMYFUNCTION("""COMPUTED_VALUE"""),"P-53167-00")</f>
        <v>P-53167-00</v>
      </c>
      <c r="B2409" s="2" t="str">
        <f>IFERROR(__xludf.DUMMYFUNCTION("""COMPUTED_VALUE"""),"Ballast Electronic EB-C 236 TL5, 2x36W; Phillips; ;")</f>
        <v>Ballast Electronic EB-C 236 TL5, 2x36W; Phillips; ;</v>
      </c>
      <c r="C2409" s="2" t="str">
        <f>IFERROR(__xludf.DUMMYFUNCTION("""COMPUTED_VALUE"""),"P-53167-00")</f>
        <v>P-53167-00</v>
      </c>
    </row>
    <row r="2410">
      <c r="A2410" s="2" t="str">
        <f>IFERROR(__xludf.DUMMYFUNCTION("""COMPUTED_VALUE"""),"P-53168-00")</f>
        <v>P-53168-00</v>
      </c>
      <c r="B2410" s="2" t="str">
        <f>IFERROR(__xludf.DUMMYFUNCTION("""COMPUTED_VALUE"""),"Ballast Electronic EB-C 136 TL5, 1x36W; Phillips; ;")</f>
        <v>Ballast Electronic EB-C 136 TL5, 1x36W; Phillips; ;</v>
      </c>
      <c r="C2410" s="2" t="str">
        <f>IFERROR(__xludf.DUMMYFUNCTION("""COMPUTED_VALUE"""),"P-53168-00")</f>
        <v>P-53168-00</v>
      </c>
    </row>
    <row r="2411">
      <c r="A2411" s="2" t="str">
        <f>IFERROR(__xludf.DUMMYFUNCTION("""COMPUTED_VALUE"""),"P-53169-00")</f>
        <v>P-53169-00</v>
      </c>
      <c r="B2411" s="2" t="str">
        <f>IFERROR(__xludf.DUMMYFUNCTION("""COMPUTED_VALUE"""),"Ballast Electronic EB-C 228 TL5, 2x28W; Phillips; ;")</f>
        <v>Ballast Electronic EB-C 228 TL5, 2x28W; Phillips; ;</v>
      </c>
      <c r="C2411" s="2" t="str">
        <f>IFERROR(__xludf.DUMMYFUNCTION("""COMPUTED_VALUE"""),"P-53169-00")</f>
        <v>P-53169-00</v>
      </c>
    </row>
    <row r="2412">
      <c r="A2412" s="2" t="str">
        <f>IFERROR(__xludf.DUMMYFUNCTION("""COMPUTED_VALUE"""),"P-53170-00")</f>
        <v>P-53170-00</v>
      </c>
      <c r="B2412" s="2" t="str">
        <f>IFERROR(__xludf.DUMMYFUNCTION("""COMPUTED_VALUE"""),"Ballast Electronic EB-C 128 TL5, 1x28W; Phillips; ;")</f>
        <v>Ballast Electronic EB-C 128 TL5, 1x28W; Phillips; ;</v>
      </c>
      <c r="C2412" s="2" t="str">
        <f>IFERROR(__xludf.DUMMYFUNCTION("""COMPUTED_VALUE"""),"P-53170-00")</f>
        <v>P-53170-00</v>
      </c>
    </row>
    <row r="2413">
      <c r="A2413" s="2" t="str">
        <f>IFERROR(__xludf.DUMMYFUNCTION("""COMPUTED_VALUE"""),"P-53171-00")</f>
        <v>P-53171-00</v>
      </c>
      <c r="B2413" s="2" t="str">
        <f>IFERROR(__xludf.DUMMYFUNCTION("""COMPUTED_VALUE"""),"Ballast Electronic EB-C 218 TL5, 2x18W; Phillips; ;")</f>
        <v>Ballast Electronic EB-C 218 TL5, 2x18W; Phillips; ;</v>
      </c>
      <c r="C2413" s="2" t="str">
        <f>IFERROR(__xludf.DUMMYFUNCTION("""COMPUTED_VALUE"""),"P-53171-00")</f>
        <v>P-53171-00</v>
      </c>
    </row>
    <row r="2414">
      <c r="A2414" s="2" t="str">
        <f>IFERROR(__xludf.DUMMYFUNCTION("""COMPUTED_VALUE"""),"P-53173-00")</f>
        <v>P-53173-00</v>
      </c>
      <c r="B2414" s="2" t="str">
        <f>IFERROR(__xludf.DUMMYFUNCTION("""COMPUTED_VALUE"""),"Ballast Electronic EB-C 214 TL5, 2x14W; Phillips; ;")</f>
        <v>Ballast Electronic EB-C 214 TL5, 2x14W; Phillips; ;</v>
      </c>
      <c r="C2414" s="2" t="str">
        <f>IFERROR(__xludf.DUMMYFUNCTION("""COMPUTED_VALUE"""),"P-53173-00")</f>
        <v>P-53173-00</v>
      </c>
    </row>
    <row r="2415">
      <c r="A2415" s="2" t="str">
        <f>IFERROR(__xludf.DUMMYFUNCTION("""COMPUTED_VALUE"""),"P-53174-00")</f>
        <v>P-53174-00</v>
      </c>
      <c r="B2415" s="2" t="str">
        <f>IFERROR(__xludf.DUMMYFUNCTION("""COMPUTED_VALUE"""),"Ballast Electronic EB-C 114 TL5, 1x14W; Phillips; ;")</f>
        <v>Ballast Electronic EB-C 114 TL5, 1x14W; Phillips; ;</v>
      </c>
      <c r="C2415" s="2" t="str">
        <f>IFERROR(__xludf.DUMMYFUNCTION("""COMPUTED_VALUE"""),"P-53174-00")</f>
        <v>P-53174-00</v>
      </c>
    </row>
    <row r="2416">
      <c r="A2416" s="2" t="str">
        <f>IFERROR(__xludf.DUMMYFUNCTION("""COMPUTED_VALUE"""),"P-53180-00")</f>
        <v>P-53180-00</v>
      </c>
      <c r="B2416" s="2" t="str">
        <f>IFERROR(__xludf.DUMMYFUNCTION("""COMPUTED_VALUE"""),"Ballast Hanovia UV System; HANOVIA; p/n 27010400G;")</f>
        <v>Ballast Hanovia UV System; HANOVIA; p/n 27010400G;</v>
      </c>
      <c r="C2416" s="2" t="str">
        <f>IFERROR(__xludf.DUMMYFUNCTION("""COMPUTED_VALUE"""),"P-53180-00")</f>
        <v>P-53180-00</v>
      </c>
    </row>
    <row r="2417">
      <c r="A2417" s="2" t="str">
        <f>IFERROR(__xludf.DUMMYFUNCTION("""COMPUTED_VALUE"""),"P-53181-00")</f>
        <v>P-53181-00</v>
      </c>
      <c r="B2417" s="2" t="str">
        <f>IFERROR(__xludf.DUMMYFUNCTION("""COMPUTED_VALUE"""),"UV Sensor Hanovia UV System; HANOVIA; p/n 270264040;")</f>
        <v>UV Sensor Hanovia UV System; HANOVIA; p/n 270264040;</v>
      </c>
      <c r="C2417" s="2" t="str">
        <f>IFERROR(__xludf.DUMMYFUNCTION("""COMPUTED_VALUE"""),"P-53181-00")</f>
        <v>P-53181-00</v>
      </c>
    </row>
    <row r="2418">
      <c r="A2418" s="2" t="str">
        <f>IFERROR(__xludf.DUMMYFUNCTION("""COMPUTED_VALUE"""),"P-53182-00")</f>
        <v>P-53182-00</v>
      </c>
      <c r="B2418" s="2" t="str">
        <f>IFERROR(__xludf.DUMMYFUNCTION("""COMPUTED_VALUE"""),"Arc tube Hanovia UV System; HANOVIA; p/n 130071 - 0320 - 01;")</f>
        <v>Arc tube Hanovia UV System; HANOVIA; p/n 130071 - 0320 - 01;</v>
      </c>
      <c r="C2418" s="2" t="str">
        <f>IFERROR(__xludf.DUMMYFUNCTION("""COMPUTED_VALUE"""),"P-53182-00")</f>
        <v>P-53182-00</v>
      </c>
    </row>
    <row r="2419">
      <c r="A2419" s="2" t="str">
        <f>IFERROR(__xludf.DUMMYFUNCTION("""COMPUTED_VALUE"""),"P-53202-00")</f>
        <v>P-53202-00</v>
      </c>
      <c r="B2419" s="2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19" s="2" t="str">
        <f>IFERROR(__xludf.DUMMYFUNCTION("""COMPUTED_VALUE"""),"P-53202-00")</f>
        <v>P-53202-00</v>
      </c>
    </row>
    <row r="2420">
      <c r="A2420" s="2" t="str">
        <f>IFERROR(__xludf.DUMMYFUNCTION("""COMPUTED_VALUE"""),"P-53209-00")</f>
        <v>P-53209-00</v>
      </c>
      <c r="B2420" s="2" t="str">
        <f>IFERROR(__xludf.DUMMYFUNCTION("""COMPUTED_VALUE"""),"CAPACITOR 3 uF, 220 V, 2 kutub; ; ;")</f>
        <v>CAPACITOR 3 uF, 220 V, 2 kutub; ; ;</v>
      </c>
      <c r="C2420" s="2" t="str">
        <f>IFERROR(__xludf.DUMMYFUNCTION("""COMPUTED_VALUE"""),"P-53209-00")</f>
        <v>P-53209-00</v>
      </c>
    </row>
    <row r="2421">
      <c r="A2421" s="2" t="str">
        <f>IFERROR(__xludf.DUMMYFUNCTION("""COMPUTED_VALUE"""),"P-53210-00")</f>
        <v>P-53210-00</v>
      </c>
      <c r="B2421" s="2" t="str">
        <f>IFERROR(__xludf.DUMMYFUNCTION("""COMPUTED_VALUE"""),"General - Capacitor, 5 uF, 220 V, 2 kutub; No Brand; -; 1 pcs")</f>
        <v>General - Capacitor, 5 uF, 220 V, 2 kutub; No Brand; -; 1 pcs</v>
      </c>
      <c r="C2421" s="2" t="str">
        <f>IFERROR(__xludf.DUMMYFUNCTION("""COMPUTED_VALUE"""),"P-53210-00")</f>
        <v>P-53210-00</v>
      </c>
    </row>
    <row r="2422">
      <c r="A2422" s="2" t="str">
        <f>IFERROR(__xludf.DUMMYFUNCTION("""COMPUTED_VALUE"""),"P-53211-00")</f>
        <v>P-53211-00</v>
      </c>
      <c r="B2422" s="2" t="str">
        <f>IFERROR(__xludf.DUMMYFUNCTION("""COMPUTED_VALUE"""),"LOCTITE High Temperature @ 50 ml")</f>
        <v>LOCTITE High Temperature @ 50 ml</v>
      </c>
      <c r="C2422" s="2" t="str">
        <f>IFERROR(__xludf.DUMMYFUNCTION("""COMPUTED_VALUE"""),"P-53211-00")</f>
        <v>P-53211-00</v>
      </c>
    </row>
    <row r="2423">
      <c r="A2423" s="2" t="str">
        <f>IFERROR(__xludf.DUMMYFUNCTION("""COMPUTED_VALUE"""),"P-53212-00")</f>
        <v>P-53212-00</v>
      </c>
      <c r="B2423" s="2" t="str">
        <f>IFERROR(__xludf.DUMMYFUNCTION("""COMPUTED_VALUE"""),"Ballast PHILIPS TL-D 1x36 Watt")</f>
        <v>Ballast PHILIPS TL-D 1x36 Watt</v>
      </c>
      <c r="C2423" s="2" t="str">
        <f>IFERROR(__xludf.DUMMYFUNCTION("""COMPUTED_VALUE"""),"P-53212-00")</f>
        <v>P-53212-00</v>
      </c>
    </row>
    <row r="2424">
      <c r="A2424" s="2" t="str">
        <f>IFERROR(__xludf.DUMMYFUNCTION("""COMPUTED_VALUE"""),"P-53213-00")</f>
        <v>P-53213-00</v>
      </c>
      <c r="B2424" s="2" t="str">
        <f>IFERROR(__xludf.DUMMYFUNCTION("""COMPUTED_VALUE"""),"Lem Pipa PVC")</f>
        <v>Lem Pipa PVC</v>
      </c>
      <c r="C2424" s="2" t="str">
        <f>IFERROR(__xludf.DUMMYFUNCTION("""COMPUTED_VALUE"""),"P-53213-00")</f>
        <v>P-53213-00</v>
      </c>
    </row>
    <row r="2425">
      <c r="A2425" s="2" t="str">
        <f>IFERROR(__xludf.DUMMYFUNCTION("""COMPUTED_VALUE"""),"P-53214-00")</f>
        <v>P-53214-00</v>
      </c>
      <c r="B2425" s="2" t="str">
        <f>IFERROR(__xludf.DUMMYFUNCTION("""COMPUTED_VALUE"""),"Epoxy Adhesive DEXTONE; ; ;")</f>
        <v>Epoxy Adhesive DEXTONE; ; ;</v>
      </c>
      <c r="C2425" s="2" t="str">
        <f>IFERROR(__xludf.DUMMYFUNCTION("""COMPUTED_VALUE"""),"P-53214-00")</f>
        <v>P-53214-00</v>
      </c>
    </row>
    <row r="2426">
      <c r="A2426" s="2" t="str">
        <f>IFERROR(__xludf.DUMMYFUNCTION("""COMPUTED_VALUE"""),"P-53215-00")</f>
        <v>P-53215-00</v>
      </c>
      <c r="B2426" s="2" t="str">
        <f>IFERROR(__xludf.DUMMYFUNCTION("""COMPUTED_VALUE"""),"Silicon Lembaran, tebal 5 mm, size: 1 meter X 1 meter; ; ;")</f>
        <v>Silicon Lembaran, tebal 5 mm, size: 1 meter X 1 meter; ; ;</v>
      </c>
      <c r="C2426" s="2" t="str">
        <f>IFERROR(__xludf.DUMMYFUNCTION("""COMPUTED_VALUE"""),"P-53215-00")</f>
        <v>P-53215-00</v>
      </c>
    </row>
    <row r="2427">
      <c r="A2427" s="2" t="str">
        <f>IFERROR(__xludf.DUMMYFUNCTION("""COMPUTED_VALUE"""),"P-53216-00")</f>
        <v>P-53216-00</v>
      </c>
      <c r="B2427" s="2" t="str">
        <f>IFERROR(__xludf.DUMMYFUNCTION("""COMPUTED_VALUE"""),"Silicon Lembaran, tebal 3 mm, size: 1 meter X 1 meter; ; ;")</f>
        <v>Silicon Lembaran, tebal 3 mm, size: 1 meter X 1 meter; ; ;</v>
      </c>
      <c r="C2427" s="2" t="str">
        <f>IFERROR(__xludf.DUMMYFUNCTION("""COMPUTED_VALUE"""),"P-53216-00")</f>
        <v>P-53216-00</v>
      </c>
    </row>
    <row r="2428">
      <c r="A2428" s="2" t="str">
        <f>IFERROR(__xludf.DUMMYFUNCTION("""COMPUTED_VALUE"""),"P-53217-00")</f>
        <v>P-53217-00</v>
      </c>
      <c r="B2428" s="2" t="str">
        <f>IFERROR(__xludf.DUMMYFUNCTION("""COMPUTED_VALUE"""),"Sealent Gun PROHEX")</f>
        <v>Sealent Gun PROHEX</v>
      </c>
      <c r="C2428" s="2" t="str">
        <f>IFERROR(__xludf.DUMMYFUNCTION("""COMPUTED_VALUE"""),"P-53217-00")</f>
        <v>P-53217-00</v>
      </c>
    </row>
    <row r="2429">
      <c r="A2429" s="2" t="str">
        <f>IFERROR(__xludf.DUMMYFUNCTION("""COMPUTED_VALUE"""),"P-53218-00")</f>
        <v>P-53218-00</v>
      </c>
      <c r="B2429" s="2" t="str">
        <f>IFERROR(__xludf.DUMMYFUNCTION("""COMPUTED_VALUE"""),"Ballast PHILIPS TL-D 1x10 Watt; ; ;")</f>
        <v>Ballast PHILIPS TL-D 1x10 Watt; ; ;</v>
      </c>
      <c r="C2429" s="2" t="str">
        <f>IFERROR(__xludf.DUMMYFUNCTION("""COMPUTED_VALUE"""),"P-53218-00")</f>
        <v>P-53218-00</v>
      </c>
    </row>
    <row r="2430">
      <c r="A2430" s="2" t="str">
        <f>IFERROR(__xludf.DUMMYFUNCTION("""COMPUTED_VALUE"""),"P-53221-00")</f>
        <v>P-53221-00</v>
      </c>
      <c r="B2430" s="2" t="str">
        <f>IFERROR(__xludf.DUMMYFUNCTION("""COMPUTED_VALUE"""),"Ball Float Steam Trap 3/4 inch connection : Screwed BSP")</f>
        <v>Ball Float Steam Trap 3/4 inch connection : Screwed BSP</v>
      </c>
      <c r="C2430" s="2" t="str">
        <f>IFERROR(__xludf.DUMMYFUNCTION("""COMPUTED_VALUE"""),"P-53221-00")</f>
        <v>P-53221-00</v>
      </c>
    </row>
    <row r="2431">
      <c r="A2431" s="2" t="str">
        <f>IFERROR(__xludf.DUMMYFUNCTION("""COMPUTED_VALUE"""),"P-53222-00")</f>
        <v>P-53222-00</v>
      </c>
      <c r="B2431" s="2" t="str">
        <f>IFERROR(__xludf.DUMMYFUNCTION("""COMPUTED_VALUE"""),"Ball Float Steam Trap 1/2 inch connection : Screwed BSP")</f>
        <v>Ball Float Steam Trap 1/2 inch connection : Screwed BSP</v>
      </c>
      <c r="C2431" s="2" t="str">
        <f>IFERROR(__xludf.DUMMYFUNCTION("""COMPUTED_VALUE"""),"P-53222-00")</f>
        <v>P-53222-00</v>
      </c>
    </row>
    <row r="2432">
      <c r="A2432" s="2" t="str">
        <f>IFERROR(__xludf.DUMMYFUNCTION("""COMPUTED_VALUE"""),"P-53259-00")</f>
        <v>P-53259-00</v>
      </c>
      <c r="B2432" s="2" t="str">
        <f>IFERROR(__xludf.DUMMYFUNCTION("""COMPUTED_VALUE"""),"UV Sensor PIN : 270264040; Hanovia; ;")</f>
        <v>UV Sensor PIN : 270264040; Hanovia; ;</v>
      </c>
      <c r="C2432" s="2" t="str">
        <f>IFERROR(__xludf.DUMMYFUNCTION("""COMPUTED_VALUE"""),"P-53259-00")</f>
        <v>P-53259-00</v>
      </c>
    </row>
    <row r="2433">
      <c r="A2433" s="2" t="str">
        <f>IFERROR(__xludf.DUMMYFUNCTION("""COMPUTED_VALUE"""),"P-53260-00")</f>
        <v>P-53260-00</v>
      </c>
      <c r="B2433" s="2" t="str">
        <f>IFERROR(__xludf.DUMMYFUNCTION("""COMPUTED_VALUE"""),"Ballast P/N : 270104006 Hanovia")</f>
        <v>Ballast P/N : 270104006 Hanovia</v>
      </c>
      <c r="C2433" s="2" t="str">
        <f>IFERROR(__xludf.DUMMYFUNCTION("""COMPUTED_VALUE"""),"P-53260-00")</f>
        <v>P-53260-00</v>
      </c>
    </row>
    <row r="2434">
      <c r="A2434" s="2" t="str">
        <f>IFERROR(__xludf.DUMMYFUNCTION("""COMPUTED_VALUE"""),"P-53261-00")</f>
        <v>P-53261-00</v>
      </c>
      <c r="B2434" s="2" t="str">
        <f>IFERROR(__xludf.DUMMYFUNCTION("""COMPUTED_VALUE"""),"Junction Box uk 30x40x20cm; ; ;")</f>
        <v>Junction Box uk 30x40x20cm; ; ;</v>
      </c>
      <c r="C2434" s="2" t="str">
        <f>IFERROR(__xludf.DUMMYFUNCTION("""COMPUTED_VALUE"""),"P-53261-00")</f>
        <v>P-53261-00</v>
      </c>
    </row>
    <row r="2435">
      <c r="A2435" s="2" t="str">
        <f>IFERROR(__xludf.DUMMYFUNCTION("""COMPUTED_VALUE"""),"P-53262-00")</f>
        <v>P-53262-00</v>
      </c>
      <c r="B2435" s="2" t="str">
        <f>IFERROR(__xludf.DUMMYFUNCTION("""COMPUTED_VALUE"""),"General - Din Rail MCB; No Brand; -; 1 pc")</f>
        <v>General - Din Rail MCB; No Brand; -; 1 pc</v>
      </c>
      <c r="C2435" s="2" t="str">
        <f>IFERROR(__xludf.DUMMYFUNCTION("""COMPUTED_VALUE"""),"P-53262-00")</f>
        <v>P-53262-00</v>
      </c>
    </row>
    <row r="2436">
      <c r="A2436" s="2" t="str">
        <f>IFERROR(__xludf.DUMMYFUNCTION("""COMPUTED_VALUE"""),"P-53263-00")</f>
        <v>P-53263-00</v>
      </c>
      <c r="B2436" s="2" t="str">
        <f>IFERROR(__xludf.DUMMYFUNCTION("""COMPUTED_VALUE"""),"General - Terminal Block, 4 mm; No Brand; -; 1 pcs")</f>
        <v>General - Terminal Block, 4 mm; No Brand; -; 1 pcs</v>
      </c>
      <c r="C2436" s="2" t="str">
        <f>IFERROR(__xludf.DUMMYFUNCTION("""COMPUTED_VALUE"""),"P-53263-00")</f>
        <v>P-53263-00</v>
      </c>
    </row>
    <row r="2437">
      <c r="A2437" s="2" t="str">
        <f>IFERROR(__xludf.DUMMYFUNCTION("""COMPUTED_VALUE"""),"P-53293-00")</f>
        <v>P-53293-00</v>
      </c>
      <c r="B2437" s="2" t="str">
        <f>IFERROR(__xludf.DUMMYFUNCTION("""COMPUTED_VALUE"""),"General - Lampu Emergency TL LED 16W Waterproof IP65; Briliant; -; 1 pc")</f>
        <v>General - Lampu Emergency TL LED 16W Waterproof IP65; Briliant; -; 1 pc</v>
      </c>
      <c r="C2437" s="2" t="str">
        <f>IFERROR(__xludf.DUMMYFUNCTION("""COMPUTED_VALUE"""),"P-53293-00")</f>
        <v>P-53293-00</v>
      </c>
    </row>
    <row r="2438">
      <c r="A2438" s="2" t="str">
        <f>IFERROR(__xludf.DUMMYFUNCTION("""COMPUTED_VALUE"""),"P-53294-00")</f>
        <v>P-53294-00</v>
      </c>
      <c r="B2438" s="2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8" s="2" t="str">
        <f>IFERROR(__xludf.DUMMYFUNCTION("""COMPUTED_VALUE"""),"P-53294-00")</f>
        <v>P-53294-00</v>
      </c>
    </row>
    <row r="2439">
      <c r="A2439" s="2" t="str">
        <f>IFERROR(__xludf.DUMMYFUNCTION("""COMPUTED_VALUE"""),"P-53298-00")</f>
        <v>P-53298-00</v>
      </c>
      <c r="B2439" s="2" t="str">
        <f>IFERROR(__xludf.DUMMYFUNCTION("""COMPUTED_VALUE"""),"General - Solenoid Valve DP-10; Yoshitake; -; 1 pc")</f>
        <v>General - Solenoid Valve DP-10; Yoshitake; -; 1 pc</v>
      </c>
      <c r="C2439" s="2" t="str">
        <f>IFERROR(__xludf.DUMMYFUNCTION("""COMPUTED_VALUE"""),"P-53298-00")</f>
        <v>P-53298-00</v>
      </c>
    </row>
    <row r="2440">
      <c r="A2440" s="2" t="str">
        <f>IFERROR(__xludf.DUMMYFUNCTION("""COMPUTED_VALUE"""),"P-53357-00")</f>
        <v>P-53357-00</v>
      </c>
      <c r="B2440" s="2" t="str">
        <f>IFERROR(__xludf.DUMMYFUNCTION("""COMPUTED_VALUE"""),"General - Battery Kering / Accu MF N100 12V 100Ah; GS Astra; 95E41R; 1 unit")</f>
        <v>General - Battery Kering / Accu MF N100 12V 100Ah; GS Astra; 95E41R; 1 unit</v>
      </c>
      <c r="C2440" s="2" t="str">
        <f>IFERROR(__xludf.DUMMYFUNCTION("""COMPUTED_VALUE"""),"P-53357-00")</f>
        <v>P-53357-00</v>
      </c>
    </row>
    <row r="2441">
      <c r="A2441" s="2" t="str">
        <f>IFERROR(__xludf.DUMMYFUNCTION("""COMPUTED_VALUE"""),"P-53362-00")</f>
        <v>P-53362-00</v>
      </c>
      <c r="B2441" s="2" t="str">
        <f>IFERROR(__xludf.DUMMYFUNCTION("""COMPUTED_VALUE"""),"Contactor Schneider LC1D09M7 Coil 220 VAC; ; ;")</f>
        <v>Contactor Schneider LC1D09M7 Coil 220 VAC; ; ;</v>
      </c>
      <c r="C2441" s="2" t="str">
        <f>IFERROR(__xludf.DUMMYFUNCTION("""COMPUTED_VALUE"""),"P-53362-00")</f>
        <v>P-53362-00</v>
      </c>
    </row>
    <row r="2442">
      <c r="A2442" s="2" t="str">
        <f>IFERROR(__xludf.DUMMYFUNCTION("""COMPUTED_VALUE"""),"P-53363-00")</f>
        <v>P-53363-00</v>
      </c>
      <c r="B2442" s="2" t="str">
        <f>IFERROR(__xludf.DUMMYFUNCTION("""COMPUTED_VALUE"""),"Contactor Schneider LC1D12M7 Coil 220 VAC; ; ;")</f>
        <v>Contactor Schneider LC1D12M7 Coil 220 VAC; ; ;</v>
      </c>
      <c r="C2442" s="2" t="str">
        <f>IFERROR(__xludf.DUMMYFUNCTION("""COMPUTED_VALUE"""),"P-53363-00")</f>
        <v>P-53363-00</v>
      </c>
    </row>
    <row r="2443">
      <c r="A2443" s="2" t="str">
        <f>IFERROR(__xludf.DUMMYFUNCTION("""COMPUTED_VALUE"""),"P-53381-00")</f>
        <v>P-53381-00</v>
      </c>
      <c r="B2443" s="2" t="str">
        <f>IFERROR(__xludf.DUMMYFUNCTION("""COMPUTED_VALUE"""),"General - Display Inverter LCP 02; Danfoss; 130B1107; 1 pc")</f>
        <v>General - Display Inverter LCP 02; Danfoss; 130B1107; 1 pc</v>
      </c>
      <c r="C2443" s="2" t="str">
        <f>IFERROR(__xludf.DUMMYFUNCTION("""COMPUTED_VALUE"""),"P-53381-00")</f>
        <v>P-53381-00</v>
      </c>
    </row>
    <row r="2444">
      <c r="A2444" s="2" t="str">
        <f>IFERROR(__xludf.DUMMYFUNCTION("""COMPUTED_VALUE"""),"P-53382-00")</f>
        <v>P-53382-00</v>
      </c>
      <c r="B2444" s="2" t="str">
        <f>IFERROR(__xludf.DUMMYFUNCTION("""COMPUTED_VALUE"""),"General - Exhaust Fan; KDK; 24CDQNA; 1 unit")</f>
        <v>General - Exhaust Fan; KDK; 24CDQNA; 1 unit</v>
      </c>
      <c r="C2444" s="2" t="str">
        <f>IFERROR(__xludf.DUMMYFUNCTION("""COMPUTED_VALUE"""),"P-53382-00")</f>
        <v>P-53382-00</v>
      </c>
    </row>
    <row r="2445">
      <c r="A2445" s="2" t="str">
        <f>IFERROR(__xludf.DUMMYFUNCTION("""COMPUTED_VALUE"""),"P-53383-00")</f>
        <v>P-53383-00</v>
      </c>
      <c r="B2445" s="2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5" s="2" t="str">
        <f>IFERROR(__xludf.DUMMYFUNCTION("""COMPUTED_VALUE"""),"P-53383-00")</f>
        <v>P-53383-00</v>
      </c>
    </row>
    <row r="2446">
      <c r="A2446" s="2" t="str">
        <f>IFERROR(__xludf.DUMMYFUNCTION("""COMPUTED_VALUE"""),"P-53398-00")</f>
        <v>P-53398-00</v>
      </c>
      <c r="B2446" s="2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6" s="2" t="str">
        <f>IFERROR(__xludf.DUMMYFUNCTION("""COMPUTED_VALUE"""),"P-53398-00")</f>
        <v>P-53398-00</v>
      </c>
    </row>
    <row r="2447">
      <c r="A2447" s="2" t="str">
        <f>IFERROR(__xludf.DUMMYFUNCTION("""COMPUTED_VALUE"""),"P-53399-00")</f>
        <v>P-53399-00</v>
      </c>
      <c r="B2447" s="2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7" s="2" t="str">
        <f>IFERROR(__xludf.DUMMYFUNCTION("""COMPUTED_VALUE"""),"P-53399-00")</f>
        <v>P-53399-00</v>
      </c>
    </row>
    <row r="2448">
      <c r="A2448" s="2" t="str">
        <f>IFERROR(__xludf.DUMMYFUNCTION("""COMPUTED_VALUE"""),"P-53400-00")</f>
        <v>P-53400-00</v>
      </c>
      <c r="B2448" s="2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8" s="2" t="str">
        <f>IFERROR(__xludf.DUMMYFUNCTION("""COMPUTED_VALUE"""),"P-53400-00")</f>
        <v>P-53400-00</v>
      </c>
    </row>
    <row r="2449">
      <c r="A2449" s="2" t="str">
        <f>IFERROR(__xludf.DUMMYFUNCTION("""COMPUTED_VALUE"""),"P-53401-00")</f>
        <v>P-53401-00</v>
      </c>
      <c r="B2449" s="2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49" s="2" t="str">
        <f>IFERROR(__xludf.DUMMYFUNCTION("""COMPUTED_VALUE"""),"P-53401-00")</f>
        <v>P-53401-00</v>
      </c>
    </row>
    <row r="2450">
      <c r="A2450" s="2" t="str">
        <f>IFERROR(__xludf.DUMMYFUNCTION("""COMPUTED_VALUE"""),"P-53404-00")</f>
        <v>P-53404-00</v>
      </c>
      <c r="B2450" s="2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0" s="2" t="str">
        <f>IFERROR(__xludf.DUMMYFUNCTION("""COMPUTED_VALUE"""),"P-53404-00")</f>
        <v>P-53404-00</v>
      </c>
    </row>
    <row r="2451">
      <c r="A2451" s="2" t="str">
        <f>IFERROR(__xludf.DUMMYFUNCTION("""COMPUTED_VALUE"""),"P-53411-00")</f>
        <v>P-53411-00</v>
      </c>
      <c r="B2451" s="2" t="str">
        <f>IFERROR(__xludf.DUMMYFUNCTION("""COMPUTED_VALUE"""),"General - Power Supply ECO 1-PH 24VDC 5A; Wago; 787-722; 1 pc")</f>
        <v>General - Power Supply ECO 1-PH 24VDC 5A; Wago; 787-722; 1 pc</v>
      </c>
      <c r="C2451" s="2" t="str">
        <f>IFERROR(__xludf.DUMMYFUNCTION("""COMPUTED_VALUE"""),"P-53411-00")</f>
        <v>P-53411-00</v>
      </c>
    </row>
    <row r="2452">
      <c r="A2452" s="2" t="str">
        <f>IFERROR(__xludf.DUMMYFUNCTION("""COMPUTED_VALUE"""),"P-53415-00")</f>
        <v>P-53415-00</v>
      </c>
      <c r="B2452" s="2" t="str">
        <f>IFERROR(__xludf.DUMMYFUNCTION("""COMPUTED_VALUE"""),"General - LED Module 5730 SMD; Samsung; -; 1 pc")</f>
        <v>General - LED Module 5730 SMD; Samsung; -; 1 pc</v>
      </c>
      <c r="C2452" s="2" t="str">
        <f>IFERROR(__xludf.DUMMYFUNCTION("""COMPUTED_VALUE"""),"P-53415-00")</f>
        <v>P-53415-00</v>
      </c>
    </row>
    <row r="2453">
      <c r="A2453" s="2" t="str">
        <f>IFERROR(__xludf.DUMMYFUNCTION("""COMPUTED_VALUE"""),"P-53416-00")</f>
        <v>P-53416-00</v>
      </c>
      <c r="B2453" s="2" t="str">
        <f>IFERROR(__xludf.DUMMYFUNCTION("""COMPUTED_VALUE"""),"General - Ballast SMPS 300 TLD Driver LED 12VDC IP68; Talled; -; 1 pc")</f>
        <v>General - Ballast SMPS 300 TLD Driver LED 12VDC IP68; Talled; -; 1 pc</v>
      </c>
      <c r="C2453" s="2" t="str">
        <f>IFERROR(__xludf.DUMMYFUNCTION("""COMPUTED_VALUE"""),"P-53416-00")</f>
        <v>P-53416-00</v>
      </c>
    </row>
    <row r="2454">
      <c r="A2454" s="2" t="str">
        <f>IFERROR(__xludf.DUMMYFUNCTION("""COMPUTED_VALUE"""),"P-53417-00")</f>
        <v>P-53417-00</v>
      </c>
      <c r="B2454" s="2" t="str">
        <f>IFERROR(__xludf.DUMMYFUNCTION("""COMPUTED_VALUE"""),"General - Kabel Audio 8471 Shielded; Belden; -; 1 pc")</f>
        <v>General - Kabel Audio 8471 Shielded; Belden; -; 1 pc</v>
      </c>
      <c r="C2454" s="2" t="str">
        <f>IFERROR(__xludf.DUMMYFUNCTION("""COMPUTED_VALUE"""),"P-53417-00")</f>
        <v>P-53417-00</v>
      </c>
    </row>
    <row r="2455">
      <c r="A2455" s="2" t="str">
        <f>IFERROR(__xludf.DUMMYFUNCTION("""COMPUTED_VALUE"""),"P-53418-00")</f>
        <v>P-53418-00</v>
      </c>
      <c r="B2455" s="2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5" s="2" t="str">
        <f>IFERROR(__xludf.DUMMYFUNCTION("""COMPUTED_VALUE"""),"P-53418-00")</f>
        <v>P-53418-00</v>
      </c>
    </row>
    <row r="2456">
      <c r="A2456" s="2" t="str">
        <f>IFERROR(__xludf.DUMMYFUNCTION("""COMPUTED_VALUE"""),"P-53660-00")</f>
        <v>P-53660-00</v>
      </c>
      <c r="B2456" s="2" t="str">
        <f>IFERROR(__xludf.DUMMYFUNCTION("""COMPUTED_VALUE"""),"Heat Shrink dia. 3 mm Warna Hitam (1 roll = 100 mtr)")</f>
        <v>Heat Shrink dia. 3 mm Warna Hitam (1 roll = 100 mtr)</v>
      </c>
      <c r="C2456" s="2" t="str">
        <f>IFERROR(__xludf.DUMMYFUNCTION("""COMPUTED_VALUE"""),"P-53660-00")</f>
        <v>P-53660-00</v>
      </c>
    </row>
    <row r="2457">
      <c r="A2457" s="2" t="str">
        <f>IFERROR(__xludf.DUMMYFUNCTION("""COMPUTED_VALUE"""),"P-53661-00")</f>
        <v>P-53661-00</v>
      </c>
      <c r="B2457" s="2" t="str">
        <f>IFERROR(__xludf.DUMMYFUNCTION("""COMPUTED_VALUE"""),"Heat Shrink dia. 4 mm Warna Hitam (1 roll = 100 mtr)")</f>
        <v>Heat Shrink dia. 4 mm Warna Hitam (1 roll = 100 mtr)</v>
      </c>
      <c r="C2457" s="2" t="str">
        <f>IFERROR(__xludf.DUMMYFUNCTION("""COMPUTED_VALUE"""),"P-53661-00")</f>
        <v>P-53661-00</v>
      </c>
    </row>
    <row r="2458">
      <c r="A2458" s="2" t="str">
        <f>IFERROR(__xludf.DUMMYFUNCTION("""COMPUTED_VALUE"""),"P-53663-00")</f>
        <v>P-53663-00</v>
      </c>
      <c r="B2458" s="2" t="str">
        <f>IFERROR(__xludf.DUMMYFUNCTION("""COMPUTED_VALUE"""),"Heat Shrink dia. 6 mm Warna Hitam (1 roll = 100 mtr)")</f>
        <v>Heat Shrink dia. 6 mm Warna Hitam (1 roll = 100 mtr)</v>
      </c>
      <c r="C2458" s="2" t="str">
        <f>IFERROR(__xludf.DUMMYFUNCTION("""COMPUTED_VALUE"""),"P-53663-00")</f>
        <v>P-53663-00</v>
      </c>
    </row>
    <row r="2459">
      <c r="A2459" s="2" t="str">
        <f>IFERROR(__xludf.DUMMYFUNCTION("""COMPUTED_VALUE"""),"P-53976-00")</f>
        <v>P-53976-00</v>
      </c>
      <c r="B2459" s="2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59" s="2" t="str">
        <f>IFERROR(__xludf.DUMMYFUNCTION("""COMPUTED_VALUE"""),"P-53976-00")</f>
        <v>P-53976-00</v>
      </c>
    </row>
    <row r="2460">
      <c r="A2460" s="2" t="str">
        <f>IFERROR(__xludf.DUMMYFUNCTION("""COMPUTED_VALUE"""),"P-54065-00")</f>
        <v>P-54065-00</v>
      </c>
      <c r="B2460" s="2" t="str">
        <f>IFERROR(__xludf.DUMMYFUNCTION("""COMPUTED_VALUE"""),"Flow Switch Stainless 1/8 inch Kabel Tahan Panas @4mtr")</f>
        <v>Flow Switch Stainless 1/8 inch Kabel Tahan Panas @4mtr</v>
      </c>
      <c r="C2460" s="2" t="str">
        <f>IFERROR(__xludf.DUMMYFUNCTION("""COMPUTED_VALUE"""),"P-54065-00")</f>
        <v>P-54065-00</v>
      </c>
    </row>
    <row r="2461">
      <c r="A2461" s="2" t="str">
        <f>IFERROR(__xludf.DUMMYFUNCTION("""COMPUTED_VALUE"""),"P-54066-00")</f>
        <v>P-54066-00</v>
      </c>
      <c r="B2461" s="2" t="str">
        <f>IFERROR(__xludf.DUMMYFUNCTION("""COMPUTED_VALUE"""),"Junction Panel Box Ukuran 150x150x150 mm")</f>
        <v>Junction Panel Box Ukuran 150x150x150 mm</v>
      </c>
      <c r="C2461" s="2" t="str">
        <f>IFERROR(__xludf.DUMMYFUNCTION("""COMPUTED_VALUE"""),"P-54066-00")</f>
        <v>P-54066-00</v>
      </c>
    </row>
    <row r="2462">
      <c r="A2462" s="2" t="str">
        <f>IFERROR(__xludf.DUMMYFUNCTION("""COMPUTED_VALUE"""),"P-54094-00")</f>
        <v>P-54094-00</v>
      </c>
      <c r="B2462" s="2" t="str">
        <f>IFERROR(__xludf.DUMMYFUNCTION("""COMPUTED_VALUE"""),"Hepa Filter - H14 ( 99.999% ) size: 610x610x70 mm Hencolin")</f>
        <v>Hepa Filter - H14 ( 99.999% ) size: 610x610x70 mm Hencolin</v>
      </c>
      <c r="C2462" s="2" t="str">
        <f>IFERROR(__xludf.DUMMYFUNCTION("""COMPUTED_VALUE"""),"P-54094-00")</f>
        <v>P-54094-00</v>
      </c>
    </row>
    <row r="2463">
      <c r="A2463" s="2" t="str">
        <f>IFERROR(__xludf.DUMMYFUNCTION("""COMPUTED_VALUE"""),"P-54158-00")</f>
        <v>P-54158-00</v>
      </c>
      <c r="B2463" s="2" t="str">
        <f>IFERROR(__xludf.DUMMYFUNCTION("""COMPUTED_VALUE"""),"Float Level Switch VSS-2FJ-S3-L900-FS40S-0 Flange 2 inch; WINGEL; ;")</f>
        <v>Float Level Switch VSS-2FJ-S3-L900-FS40S-0 Flange 2 inch; WINGEL; ;</v>
      </c>
      <c r="C2463" s="2" t="str">
        <f>IFERROR(__xludf.DUMMYFUNCTION("""COMPUTED_VALUE"""),"P-54158-00")</f>
        <v>P-54158-00</v>
      </c>
    </row>
    <row r="2464">
      <c r="A2464" s="2" t="str">
        <f>IFERROR(__xludf.DUMMYFUNCTION("""COMPUTED_VALUE"""),"P-54159-00")</f>
        <v>P-54159-00</v>
      </c>
      <c r="B2464" s="2" t="str">
        <f>IFERROR(__xludf.DUMMYFUNCTION("""COMPUTED_VALUE"""),"Digital Controller CU-3 WINGEL")</f>
        <v>Digital Controller CU-3 WINGEL</v>
      </c>
      <c r="C2464" s="2" t="str">
        <f>IFERROR(__xludf.DUMMYFUNCTION("""COMPUTED_VALUE"""),"P-54159-00")</f>
        <v>P-54159-00</v>
      </c>
    </row>
    <row r="2465">
      <c r="A2465" s="2" t="str">
        <f>IFERROR(__xludf.DUMMYFUNCTION("""COMPUTED_VALUE"""),"P-54174-00")</f>
        <v>P-54174-00</v>
      </c>
      <c r="B2465" s="2" t="str">
        <f>IFERROR(__xludf.DUMMYFUNCTION("""COMPUTED_VALUE"""),"Switch Hub SF95D-16 Cisco")</f>
        <v>Switch Hub SF95D-16 Cisco</v>
      </c>
      <c r="C2465" s="2" t="str">
        <f>IFERROR(__xludf.DUMMYFUNCTION("""COMPUTED_VALUE"""),"P-54174-00")</f>
        <v>P-54174-00</v>
      </c>
    </row>
    <row r="2466">
      <c r="A2466" s="2" t="str">
        <f>IFERROR(__xludf.DUMMYFUNCTION("""COMPUTED_VALUE"""),"P-54181-00")</f>
        <v>P-54181-00</v>
      </c>
      <c r="B2466" s="2" t="str">
        <f>IFERROR(__xludf.DUMMYFUNCTION("""COMPUTED_VALUE"""),"UV lamp for TOC Sievers M500; TOC Sievers; ; pack size per pc")</f>
        <v>UV lamp for TOC Sievers M500; TOC Sievers; ; pack size per pc</v>
      </c>
      <c r="C2466" s="2" t="str">
        <f>IFERROR(__xludf.DUMMYFUNCTION("""COMPUTED_VALUE"""),"P-54181-00")</f>
        <v>P-54181-00</v>
      </c>
    </row>
    <row r="2467">
      <c r="A2467" s="2" t="str">
        <f>IFERROR(__xludf.DUMMYFUNCTION("""COMPUTED_VALUE"""),"P-54185-00")</f>
        <v>P-54185-00</v>
      </c>
      <c r="B2467" s="2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7" s="2" t="str">
        <f>IFERROR(__xludf.DUMMYFUNCTION("""COMPUTED_VALUE"""),"P-54185-00")</f>
        <v>P-54185-00</v>
      </c>
    </row>
    <row r="2468">
      <c r="A2468" s="2" t="str">
        <f>IFERROR(__xludf.DUMMYFUNCTION("""COMPUTED_VALUE"""),"P-54186-00")</f>
        <v>P-54186-00</v>
      </c>
      <c r="B2468" s="2" t="str">
        <f>IFERROR(__xludf.DUMMYFUNCTION("""COMPUTED_VALUE"""),"Vacuum Pump 1HP 220V 12CFM; Value; ;")</f>
        <v>Vacuum Pump 1HP 220V 12CFM; Value; ;</v>
      </c>
      <c r="C2468" s="2" t="str">
        <f>IFERROR(__xludf.DUMMYFUNCTION("""COMPUTED_VALUE"""),"P-54186-00")</f>
        <v>P-54186-00</v>
      </c>
    </row>
    <row r="2469">
      <c r="A2469" s="2" t="str">
        <f>IFERROR(__xludf.DUMMYFUNCTION("""COMPUTED_VALUE"""),"P-54190-00")</f>
        <v>P-54190-00</v>
      </c>
      <c r="B2469" s="2" t="str">
        <f>IFERROR(__xludf.DUMMYFUNCTION("""COMPUTED_VALUE"""),"Stop Kontak IP55 16A; Legrand; ;")</f>
        <v>Stop Kontak IP55 16A; Legrand; ;</v>
      </c>
      <c r="C2469" s="2" t="str">
        <f>IFERROR(__xludf.DUMMYFUNCTION("""COMPUTED_VALUE"""),"P-54190-00")</f>
        <v>P-54190-00</v>
      </c>
    </row>
    <row r="2470">
      <c r="A2470" s="2" t="str">
        <f>IFERROR(__xludf.DUMMYFUNCTION("""COMPUTED_VALUE"""),"P-54199-00")</f>
        <v>P-54199-00</v>
      </c>
      <c r="B2470" s="2" t="str">
        <f>IFERROR(__xludf.DUMMYFUNCTION("""COMPUTED_VALUE"""),"Stop Kontak AC Kaki 3 Broco; Broco; ;")</f>
        <v>Stop Kontak AC Kaki 3 Broco; Broco; ;</v>
      </c>
      <c r="C2470" s="2" t="str">
        <f>IFERROR(__xludf.DUMMYFUNCTION("""COMPUTED_VALUE"""),"P-54199-00")</f>
        <v>P-54199-00</v>
      </c>
    </row>
    <row r="2471">
      <c r="A2471" s="2" t="str">
        <f>IFERROR(__xludf.DUMMYFUNCTION("""COMPUTED_VALUE"""),"P-54210-00")</f>
        <v>P-54210-00</v>
      </c>
      <c r="B2471" s="2" t="str">
        <f>IFERROR(__xludf.DUMMYFUNCTION("""COMPUTED_VALUE"""),"General - Cover Stop Kontak; Schneider; IEC 60529 BS5733; 1 pcs")</f>
        <v>General - Cover Stop Kontak; Schneider; IEC 60529 BS5733; 1 pcs</v>
      </c>
      <c r="C2471" s="2" t="str">
        <f>IFERROR(__xludf.DUMMYFUNCTION("""COMPUTED_VALUE"""),"P-54210-00")</f>
        <v>P-54210-00</v>
      </c>
    </row>
    <row r="2472">
      <c r="A2472" s="2" t="str">
        <f>IFERROR(__xludf.DUMMYFUNCTION("""COMPUTED_VALUE"""),"P-54214-00")</f>
        <v>P-54214-00</v>
      </c>
      <c r="B2472" s="2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2" s="2" t="str">
        <f>IFERROR(__xludf.DUMMYFUNCTION("""COMPUTED_VALUE"""),"P-54214-00")</f>
        <v>P-54214-00</v>
      </c>
    </row>
    <row r="2473">
      <c r="A2473" s="2" t="str">
        <f>IFERROR(__xludf.DUMMYFUNCTION("""COMPUTED_VALUE"""),"P-54218-00")</f>
        <v>P-54218-00</v>
      </c>
      <c r="B2473" s="2" t="str">
        <f>IFERROR(__xludf.DUMMYFUNCTION("""COMPUTED_VALUE"""),"General - Vertical Float Level Switch; Wingel; VSS-2FJ-S4-L720-FS45-HT; 1 Pc")</f>
        <v>General - Vertical Float Level Switch; Wingel; VSS-2FJ-S4-L720-FS45-HT; 1 Pc</v>
      </c>
      <c r="C2473" s="2" t="str">
        <f>IFERROR(__xludf.DUMMYFUNCTION("""COMPUTED_VALUE"""),"P-54218-00")</f>
        <v>P-54218-00</v>
      </c>
    </row>
    <row r="2474">
      <c r="A2474" s="2" t="str">
        <f>IFERROR(__xludf.DUMMYFUNCTION("""COMPUTED_VALUE"""),"P-54221-00")</f>
        <v>P-54221-00</v>
      </c>
      <c r="B2474" s="2" t="str">
        <f>IFERROR(__xludf.DUMMYFUNCTION("""COMPUTED_VALUE"""),"Oxygen Sensor PPM - IGS N2 SMC; Nexuz; OC 300-7;")</f>
        <v>Oxygen Sensor PPM - IGS N2 SMC; Nexuz; OC 300-7;</v>
      </c>
      <c r="C2474" s="2" t="str">
        <f>IFERROR(__xludf.DUMMYFUNCTION("""COMPUTED_VALUE"""),"P-54221-00")</f>
        <v>P-54221-00</v>
      </c>
    </row>
    <row r="2475">
      <c r="A2475" s="2" t="str">
        <f>IFERROR(__xludf.DUMMYFUNCTION("""COMPUTED_VALUE"""),"P-54222-00")</f>
        <v>P-54222-00</v>
      </c>
      <c r="B2475" s="2" t="str">
        <f>IFERROR(__xludf.DUMMYFUNCTION("""COMPUTED_VALUE"""),"Module Voltage Monitoring Relay; Siemens; 3UG4512-1AR20;")</f>
        <v>Module Voltage Monitoring Relay; Siemens; 3UG4512-1AR20;</v>
      </c>
      <c r="C2475" s="2" t="str">
        <f>IFERROR(__xludf.DUMMYFUNCTION("""COMPUTED_VALUE"""),"P-54222-00")</f>
        <v>P-54222-00</v>
      </c>
    </row>
    <row r="2476">
      <c r="A2476" s="2" t="str">
        <f>IFERROR(__xludf.DUMMYFUNCTION("""COMPUTED_VALUE"""),"P-54223-00")</f>
        <v>P-54223-00</v>
      </c>
      <c r="B2476" s="2" t="str">
        <f>IFERROR(__xludf.DUMMYFUNCTION("""COMPUTED_VALUE"""),"Socket Charger SB175A grey; Anderson; ;")</f>
        <v>Socket Charger SB175A grey; Anderson; ;</v>
      </c>
      <c r="C2476" s="2" t="str">
        <f>IFERROR(__xludf.DUMMYFUNCTION("""COMPUTED_VALUE"""),"P-54223-00")</f>
        <v>P-54223-00</v>
      </c>
    </row>
    <row r="2477">
      <c r="A2477" s="2" t="str">
        <f>IFERROR(__xludf.DUMMYFUNCTION("""COMPUTED_VALUE"""),"P-54224-00")</f>
        <v>P-54224-00</v>
      </c>
      <c r="B2477" s="2" t="str">
        <f>IFERROR(__xludf.DUMMYFUNCTION("""COMPUTED_VALUE"""),"Lampu TL Emergency 18W; Custom; ;")</f>
        <v>Lampu TL Emergency 18W; Custom; ;</v>
      </c>
      <c r="C2477" s="2" t="str">
        <f>IFERROR(__xludf.DUMMYFUNCTION("""COMPUTED_VALUE"""),"P-54224-00")</f>
        <v>P-54224-00</v>
      </c>
    </row>
    <row r="2478">
      <c r="A2478" s="2" t="str">
        <f>IFERROR(__xludf.DUMMYFUNCTION("""COMPUTED_VALUE"""),"P-54225-00")</f>
        <v>P-54225-00</v>
      </c>
      <c r="B2478" s="2" t="str">
        <f>IFERROR(__xludf.DUMMYFUNCTION("""COMPUTED_VALUE"""),"Face Plate HDMI to VGA Skrup; AMP; AMP; ;")</f>
        <v>Face Plate HDMI to VGA Skrup; AMP; AMP; ;</v>
      </c>
      <c r="C2478" s="2" t="str">
        <f>IFERROR(__xludf.DUMMYFUNCTION("""COMPUTED_VALUE"""),"P-54225-00")</f>
        <v>P-54225-00</v>
      </c>
    </row>
    <row r="2479">
      <c r="A2479" s="2" t="str">
        <f>IFERROR(__xludf.DUMMYFUNCTION("""COMPUTED_VALUE"""),"P-54226-00")</f>
        <v>P-54226-00</v>
      </c>
      <c r="B2479" s="2" t="str">
        <f>IFERROR(__xludf.DUMMYFUNCTION("""COMPUTED_VALUE"""),"Pompa Celup SS SE-268 San-Ei; San-Ei; ;")</f>
        <v>Pompa Celup SS SE-268 San-Ei; San-Ei; ;</v>
      </c>
      <c r="C2479" s="2" t="str">
        <f>IFERROR(__xludf.DUMMYFUNCTION("""COMPUTED_VALUE"""),"P-54226-00")</f>
        <v>P-54226-00</v>
      </c>
    </row>
    <row r="2480">
      <c r="A2480" s="2" t="str">
        <f>IFERROR(__xludf.DUMMYFUNCTION("""COMPUTED_VALUE"""),"P-54254-00")</f>
        <v>P-54254-00</v>
      </c>
      <c r="B2480" s="2" t="str">
        <f>IFERROR(__xludf.DUMMYFUNCTION("""COMPUTED_VALUE"""),"General - Control Valve DN20 with Actuator; Regin; DFCM-220X; 1 pcs")</f>
        <v>General - Control Valve DN20 with Actuator; Regin; DFCM-220X; 1 pcs</v>
      </c>
      <c r="C2480" s="2" t="str">
        <f>IFERROR(__xludf.DUMMYFUNCTION("""COMPUTED_VALUE"""),"P-54254-00")</f>
        <v>P-54254-00</v>
      </c>
    </row>
    <row r="2481">
      <c r="A2481" s="2" t="str">
        <f>IFERROR(__xludf.DUMMYFUNCTION("""COMPUTED_VALUE"""),"P-54256-00")</f>
        <v>P-54256-00</v>
      </c>
      <c r="B2481" s="2" t="str">
        <f>IFERROR(__xludf.DUMMYFUNCTION("""COMPUTED_VALUE"""),"General - Centrifugal Fan R3G220-RD53-03; EBMPAST; 8115613807; 1 unit")</f>
        <v>General - Centrifugal Fan R3G220-RD53-03; EBMPAST; 8115613807; 1 unit</v>
      </c>
      <c r="C2481" s="2" t="str">
        <f>IFERROR(__xludf.DUMMYFUNCTION("""COMPUTED_VALUE"""),"P-54256-00")</f>
        <v>P-54256-00</v>
      </c>
    </row>
    <row r="2482">
      <c r="A2482" s="2" t="str">
        <f>IFERROR(__xludf.DUMMYFUNCTION("""COMPUTED_VALUE"""),"P-54257-00")</f>
        <v>P-54257-00</v>
      </c>
      <c r="B2482" s="2" t="str">
        <f>IFERROR(__xludf.DUMMYFUNCTION("""COMPUTED_VALUE"""),"General - Instrument Cooling Fan R3G 250 AK41-71; EBMPAST; 8115610923; 1 unit")</f>
        <v>General - Instrument Cooling Fan R3G 250 AK41-71; EBMPAST; 8115610923; 1 unit</v>
      </c>
      <c r="C2482" s="2" t="str">
        <f>IFERROR(__xludf.DUMMYFUNCTION("""COMPUTED_VALUE"""),"P-54257-00")</f>
        <v>P-54257-00</v>
      </c>
    </row>
    <row r="2483">
      <c r="A2483" s="2" t="str">
        <f>IFERROR(__xludf.DUMMYFUNCTION("""COMPUTED_VALUE"""),"P-54269-00")</f>
        <v>P-54269-00</v>
      </c>
      <c r="B2483" s="2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3" s="2" t="str">
        <f>IFERROR(__xludf.DUMMYFUNCTION("""COMPUTED_VALUE"""),"P-54269-00")</f>
        <v>P-54269-00</v>
      </c>
    </row>
    <row r="2484">
      <c r="A2484" s="2" t="str">
        <f>IFERROR(__xludf.DUMMYFUNCTION("""COMPUTED_VALUE"""),"P-54284-00")</f>
        <v>P-54284-00</v>
      </c>
      <c r="B2484" s="2" t="str">
        <f>IFERROR(__xludf.DUMMYFUNCTION("""COMPUTED_VALUE"""),"SCHINDLER ELEVATOR - Interphone; Schindler; -; 1 pc")</f>
        <v>SCHINDLER ELEVATOR - Interphone; Schindler; -; 1 pc</v>
      </c>
      <c r="C2484" s="2" t="str">
        <f>IFERROR(__xludf.DUMMYFUNCTION("""COMPUTED_VALUE"""),"P-54284-00")</f>
        <v>P-54284-00</v>
      </c>
    </row>
    <row r="2485">
      <c r="A2485" s="2" t="str">
        <f>IFERROR(__xludf.DUMMYFUNCTION("""COMPUTED_VALUE"""),"P-54306-00")</f>
        <v>P-54306-00</v>
      </c>
      <c r="B2485" s="2" t="str">
        <f>IFERROR(__xludf.DUMMYFUNCTION("""COMPUTED_VALUE"""),"General - Kapacitor AC 40+2uF; Philips; 3PN15960-4; 1 pc")</f>
        <v>General - Kapacitor AC 40+2uF; Philips; 3PN15960-4; 1 pc</v>
      </c>
      <c r="C2485" s="2" t="str">
        <f>IFERROR(__xludf.DUMMYFUNCTION("""COMPUTED_VALUE"""),"P-54306-00")</f>
        <v>P-54306-00</v>
      </c>
    </row>
    <row r="2486">
      <c r="A2486" s="2" t="str">
        <f>IFERROR(__xludf.DUMMYFUNCTION("""COMPUTED_VALUE"""),"P-54311-00")</f>
        <v>P-54311-00</v>
      </c>
      <c r="B2486" s="2" t="str">
        <f>IFERROR(__xludf.DUMMYFUNCTION("""COMPUTED_VALUE"""),"General - Selenoid 1/8inch, 24VDC; Airtac; 4V210-06; 1 pc")</f>
        <v>General - Selenoid 1/8inch, 24VDC; Airtac; 4V210-06; 1 pc</v>
      </c>
      <c r="C2486" s="2" t="str">
        <f>IFERROR(__xludf.DUMMYFUNCTION("""COMPUTED_VALUE"""),"P-54311-00")</f>
        <v>P-54311-00</v>
      </c>
    </row>
    <row r="2487">
      <c r="A2487" s="2" t="str">
        <f>IFERROR(__xludf.DUMMYFUNCTION("""COMPUTED_VALUE"""),"P-54312-00")</f>
        <v>P-54312-00</v>
      </c>
      <c r="B2487" s="2" t="str">
        <f>IFERROR(__xludf.DUMMYFUNCTION("""COMPUTED_VALUE"""),"General - Level Switch ERV 1/8 Inch Steris; Austar; -; 1 pc")</f>
        <v>General - Level Switch ERV 1/8 Inch Steris; Austar; -; 1 pc</v>
      </c>
      <c r="C2487" s="2" t="str">
        <f>IFERROR(__xludf.DUMMYFUNCTION("""COMPUTED_VALUE"""),"P-54312-00")</f>
        <v>P-54312-00</v>
      </c>
    </row>
    <row r="2488">
      <c r="A2488" s="2" t="str">
        <f>IFERROR(__xludf.DUMMYFUNCTION("""COMPUTED_VALUE"""),"P-54327-00")</f>
        <v>P-54327-00</v>
      </c>
      <c r="B2488" s="2" t="str">
        <f>IFERROR(__xludf.DUMMYFUNCTION("""COMPUTED_VALUE"""),"General - Kap Lampu Waterptoof T8 1x18 IP65; No Brand; -; 1 pc")</f>
        <v>General - Kap Lampu Waterptoof T8 1x18 IP65; No Brand; -; 1 pc</v>
      </c>
      <c r="C2488" s="2" t="str">
        <f>IFERROR(__xludf.DUMMYFUNCTION("""COMPUTED_VALUE"""),"P-54327-00")</f>
        <v>P-54327-00</v>
      </c>
    </row>
    <row r="2489">
      <c r="A2489" s="2" t="str">
        <f>IFERROR(__xludf.DUMMYFUNCTION("""COMPUTED_VALUE"""),"P-54328-00")</f>
        <v>P-54328-00</v>
      </c>
      <c r="B2489" s="2" t="str">
        <f>IFERROR(__xludf.DUMMYFUNCTION("""COMPUTED_VALUE"""),"General - Lampu LED T8 9W Kuning 3000K; Hannochs; -; 1 pc")</f>
        <v>General - Lampu LED T8 9W Kuning 3000K; Hannochs; -; 1 pc</v>
      </c>
      <c r="C2489" s="2" t="str">
        <f>IFERROR(__xludf.DUMMYFUNCTION("""COMPUTED_VALUE"""),"P-54328-00")</f>
        <v>P-54328-00</v>
      </c>
    </row>
    <row r="2490">
      <c r="A2490" s="2" t="str">
        <f>IFERROR(__xludf.DUMMYFUNCTION("""COMPUTED_VALUE"""),"P-54334-00")</f>
        <v>P-54334-00</v>
      </c>
      <c r="B2490" s="2" t="str">
        <f>IFERROR(__xludf.DUMMYFUNCTION("""COMPUTED_VALUE"""),"General - Socket Relay PYFZ-14-E; Omron; -; 1 pc")</f>
        <v>General - Socket Relay PYFZ-14-E; Omron; -; 1 pc</v>
      </c>
      <c r="C2490" s="2" t="str">
        <f>IFERROR(__xludf.DUMMYFUNCTION("""COMPUTED_VALUE"""),"P-54334-00")</f>
        <v>P-54334-00</v>
      </c>
    </row>
    <row r="2491">
      <c r="A2491" s="2" t="str">
        <f>IFERROR(__xludf.DUMMYFUNCTION("""COMPUTED_VALUE"""),"P-54348-00")</f>
        <v>P-54348-00</v>
      </c>
      <c r="B2491" s="2" t="str">
        <f>IFERROR(__xludf.DUMMYFUNCTION("""COMPUTED_VALUE"""),"General - Exhaust Fan 4414M; EBMPast; -; 1 pc")</f>
        <v>General - Exhaust Fan 4414M; EBMPast; -; 1 pc</v>
      </c>
      <c r="C2491" s="2" t="str">
        <f>IFERROR(__xludf.DUMMYFUNCTION("""COMPUTED_VALUE"""),"P-54348-00")</f>
        <v>P-54348-00</v>
      </c>
    </row>
    <row r="2492">
      <c r="A2492" s="2" t="str">
        <f>IFERROR(__xludf.DUMMYFUNCTION("""COMPUTED_VALUE"""),"P-54349-00")</f>
        <v>P-54349-00</v>
      </c>
      <c r="B2492" s="2" t="str">
        <f>IFERROR(__xludf.DUMMYFUNCTION("""COMPUTED_VALUE"""),"General - Threaded 3 Port Valve; Siemens; VXG44.32-16; 1 pc")</f>
        <v>General - Threaded 3 Port Valve; Siemens; VXG44.32-16; 1 pc</v>
      </c>
      <c r="C2492" s="2" t="str">
        <f>IFERROR(__xludf.DUMMYFUNCTION("""COMPUTED_VALUE"""),"P-54349-00")</f>
        <v>P-54349-00</v>
      </c>
    </row>
    <row r="2493">
      <c r="A2493" s="2" t="str">
        <f>IFERROR(__xludf.DUMMYFUNCTION("""COMPUTED_VALUE"""),"P-54351-00")</f>
        <v>P-54351-00</v>
      </c>
      <c r="B2493" s="2" t="str">
        <f>IFERROR(__xludf.DUMMYFUNCTION("""COMPUTED_VALUE"""),"General - Carbon Brush Set Mini Grinder MG005; No Brand; -; 1 set")</f>
        <v>General - Carbon Brush Set Mini Grinder MG005; No Brand; -; 1 set</v>
      </c>
      <c r="C2493" s="2" t="str">
        <f>IFERROR(__xludf.DUMMYFUNCTION("""COMPUTED_VALUE"""),"P-54351-00")</f>
        <v>P-54351-00</v>
      </c>
    </row>
    <row r="2494">
      <c r="A2494" s="2" t="str">
        <f>IFERROR(__xludf.DUMMYFUNCTION("""COMPUTED_VALUE"""),"P-54352-00")</f>
        <v>P-54352-00</v>
      </c>
      <c r="B2494" s="2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4" s="2" t="str">
        <f>IFERROR(__xludf.DUMMYFUNCTION("""COMPUTED_VALUE"""),"P-54352-00")</f>
        <v>P-54352-00</v>
      </c>
    </row>
    <row r="2495">
      <c r="A2495" s="2" t="str">
        <f>IFERROR(__xludf.DUMMYFUNCTION("""COMPUTED_VALUE"""),"P-54353-00")</f>
        <v>P-54353-00</v>
      </c>
      <c r="B2495" s="2" t="str">
        <f>IFERROR(__xludf.DUMMYFUNCTION("""COMPUTED_VALUE"""),"General - Relay MKS2P + Socket; Omron; -; 1 set")</f>
        <v>General - Relay MKS2P + Socket; Omron; -; 1 set</v>
      </c>
      <c r="C2495" s="2" t="str">
        <f>IFERROR(__xludf.DUMMYFUNCTION("""COMPUTED_VALUE"""),"P-54353-00")</f>
        <v>P-54353-00</v>
      </c>
    </row>
    <row r="2496">
      <c r="A2496" s="2" t="str">
        <f>IFERROR(__xludf.DUMMYFUNCTION("""COMPUTED_VALUE"""),"P-54354-00")</f>
        <v>P-54354-00</v>
      </c>
      <c r="B2496" s="2" t="str">
        <f>IFERROR(__xludf.DUMMYFUNCTION("""COMPUTED_VALUE"""),"General - UX52 Variable Speed Controller 90W; Houle; -; 1 pc")</f>
        <v>General - UX52 Variable Speed Controller 90W; Houle; -; 1 pc</v>
      </c>
      <c r="C2496" s="2" t="str">
        <f>IFERROR(__xludf.DUMMYFUNCTION("""COMPUTED_VALUE"""),"P-54354-00")</f>
        <v>P-54354-00</v>
      </c>
    </row>
    <row r="2497">
      <c r="A2497" s="2" t="str">
        <f>IFERROR(__xludf.DUMMYFUNCTION("""COMPUTED_VALUE"""),"P-54355-00")</f>
        <v>P-54355-00</v>
      </c>
      <c r="B2497" s="2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7" s="2" t="str">
        <f>IFERROR(__xludf.DUMMYFUNCTION("""COMPUTED_VALUE"""),"P-54355-00")</f>
        <v>P-54355-00</v>
      </c>
    </row>
    <row r="2498">
      <c r="A2498" s="2" t="str">
        <f>IFERROR(__xludf.DUMMYFUNCTION("""COMPUTED_VALUE"""),"P-54357-00")</f>
        <v>P-54357-00</v>
      </c>
      <c r="B2498" s="2" t="str">
        <f>IFERROR(__xludf.DUMMYFUNCTION("""COMPUTED_VALUE"""),"General - Battery Rechargeable 6V 6000mAh; NI-MH Battery; -; 1 pc")</f>
        <v>General - Battery Rechargeable 6V 6000mAh; NI-MH Battery; -; 1 pc</v>
      </c>
      <c r="C2498" s="2" t="str">
        <f>IFERROR(__xludf.DUMMYFUNCTION("""COMPUTED_VALUE"""),"P-54357-00")</f>
        <v>P-54357-00</v>
      </c>
    </row>
    <row r="2499">
      <c r="A2499" s="2" t="str">
        <f>IFERROR(__xludf.DUMMYFUNCTION("""COMPUTED_VALUE"""),"P-54370-00")</f>
        <v>P-54370-00</v>
      </c>
      <c r="B2499" s="2" t="str">
        <f>IFERROR(__xludf.DUMMYFUNCTION("""COMPUTED_VALUE"""),"General - Lampu Indikator 24V 5W 1kaki; Hella; -; 10pcs/box")</f>
        <v>General - Lampu Indikator 24V 5W 1kaki; Hella; -; 10pcs/box</v>
      </c>
      <c r="C2499" s="2" t="str">
        <f>IFERROR(__xludf.DUMMYFUNCTION("""COMPUTED_VALUE"""),"P-54370-00")</f>
        <v>P-54370-00</v>
      </c>
    </row>
    <row r="2500">
      <c r="A2500" s="2" t="str">
        <f>IFERROR(__xludf.DUMMYFUNCTION("""COMPUTED_VALUE"""),"P-54372-00")</f>
        <v>P-54372-00</v>
      </c>
      <c r="B2500" s="2" t="str">
        <f>IFERROR(__xludf.DUMMYFUNCTION("""COMPUTED_VALUE"""),"General - Fuse Holder 10 x 38, 32A; Fort; -; 1 pc")</f>
        <v>General - Fuse Holder 10 x 38, 32A; Fort; -; 1 pc</v>
      </c>
      <c r="C2500" s="2" t="str">
        <f>IFERROR(__xludf.DUMMYFUNCTION("""COMPUTED_VALUE"""),"P-54372-00")</f>
        <v>P-54372-00</v>
      </c>
    </row>
    <row r="2501">
      <c r="A2501" s="2" t="str">
        <f>IFERROR(__xludf.DUMMYFUNCTION("""COMPUTED_VALUE"""),"P-54402-00")</f>
        <v>P-54402-00</v>
      </c>
      <c r="B2501" s="2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1" s="2" t="str">
        <f>IFERROR(__xludf.DUMMYFUNCTION("""COMPUTED_VALUE"""),"P-54402-00")</f>
        <v>P-54402-00</v>
      </c>
    </row>
    <row r="2502">
      <c r="A2502" s="2" t="str">
        <f>IFERROR(__xludf.DUMMYFUNCTION("""COMPUTED_VALUE"""),"P-54410-00")</f>
        <v>P-54410-00</v>
      </c>
      <c r="B2502" s="2" t="str">
        <f>IFERROR(__xludf.DUMMYFUNCTION("""COMPUTED_VALUE"""),"General - Fuse Kaca 1.5A, 250V, 5 x 20mm; No Brand; -; 1 pc")</f>
        <v>General - Fuse Kaca 1.5A, 250V, 5 x 20mm; No Brand; -; 1 pc</v>
      </c>
      <c r="C2502" s="2" t="str">
        <f>IFERROR(__xludf.DUMMYFUNCTION("""COMPUTED_VALUE"""),"P-54410-00")</f>
        <v>P-54410-00</v>
      </c>
    </row>
    <row r="2503">
      <c r="A2503" s="2" t="str">
        <f>IFERROR(__xludf.DUMMYFUNCTION("""COMPUTED_VALUE"""),"P-54446-00")</f>
        <v>P-54446-00</v>
      </c>
      <c r="B2503" s="2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3" s="2" t="str">
        <f>IFERROR(__xludf.DUMMYFUNCTION("""COMPUTED_VALUE"""),"P-54446-00")</f>
        <v>P-54446-00</v>
      </c>
    </row>
    <row r="2504">
      <c r="A2504" s="2" t="str">
        <f>IFERROR(__xludf.DUMMYFUNCTION("""COMPUTED_VALUE"""),"P-54447-00")</f>
        <v>P-54447-00</v>
      </c>
      <c r="B2504" s="2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4" s="2" t="str">
        <f>IFERROR(__xludf.DUMMYFUNCTION("""COMPUTED_VALUE"""),"P-54447-00")</f>
        <v>P-54447-00</v>
      </c>
    </row>
    <row r="2505">
      <c r="A2505" s="2" t="str">
        <f>IFERROR(__xludf.DUMMYFUNCTION("""COMPUTED_VALUE"""),"P-54462-00")</f>
        <v>P-54462-00</v>
      </c>
      <c r="B2505" s="2" t="str">
        <f>IFERROR(__xludf.DUMMYFUNCTION("""COMPUTED_VALUE"""),"General - MCB 6A 1Phase Domae; Schneider; DOMF01106; 1 pc")</f>
        <v>General - MCB 6A 1Phase Domae; Schneider; DOMF01106; 1 pc</v>
      </c>
      <c r="C2505" s="2" t="str">
        <f>IFERROR(__xludf.DUMMYFUNCTION("""COMPUTED_VALUE"""),"P-54462-00")</f>
        <v>P-54462-00</v>
      </c>
    </row>
    <row r="2506">
      <c r="A2506" s="2" t="str">
        <f>IFERROR(__xludf.DUMMYFUNCTION("""COMPUTED_VALUE"""),"P-54463-00")</f>
        <v>P-54463-00</v>
      </c>
      <c r="B2506" s="2" t="str">
        <f>IFERROR(__xludf.DUMMYFUNCTION("""COMPUTED_VALUE"""),"General - MCB 4A 1Phase Domae; Schneider; DOMF01104; 1 pc")</f>
        <v>General - MCB 4A 1Phase Domae; Schneider; DOMF01104; 1 pc</v>
      </c>
      <c r="C2506" s="2" t="str">
        <f>IFERROR(__xludf.DUMMYFUNCTION("""COMPUTED_VALUE"""),"P-54463-00")</f>
        <v>P-54463-00</v>
      </c>
    </row>
    <row r="2507">
      <c r="A2507" s="2" t="str">
        <f>IFERROR(__xludf.DUMMYFUNCTION("""COMPUTED_VALUE"""),"P-54464-00")</f>
        <v>P-54464-00</v>
      </c>
      <c r="B2507" s="2" t="str">
        <f>IFERROR(__xludf.DUMMYFUNCTION("""COMPUTED_VALUE"""),"General - MCB 32A 3Phase Domae; Schneider; DOMF01332; 1 pc")</f>
        <v>General - MCB 32A 3Phase Domae; Schneider; DOMF01332; 1 pc</v>
      </c>
      <c r="C2507" s="2" t="str">
        <f>IFERROR(__xludf.DUMMYFUNCTION("""COMPUTED_VALUE"""),"P-54464-00")</f>
        <v>P-54464-00</v>
      </c>
    </row>
    <row r="2508">
      <c r="A2508" s="2" t="str">
        <f>IFERROR(__xludf.DUMMYFUNCTION("""COMPUTED_VALUE"""),"P-54465-00")</f>
        <v>P-54465-00</v>
      </c>
      <c r="B2508" s="2" t="str">
        <f>IFERROR(__xludf.DUMMYFUNCTION("""COMPUTED_VALUE"""),"General - MCB 6A 3Phase C 6000A Domae; Schneider; -; 1 pc")</f>
        <v>General - MCB 6A 3Phase C 6000A Domae; Schneider; -; 1 pc</v>
      </c>
      <c r="C2508" s="2" t="str">
        <f>IFERROR(__xludf.DUMMYFUNCTION("""COMPUTED_VALUE"""),"P-54465-00")</f>
        <v>P-54465-00</v>
      </c>
    </row>
    <row r="2509">
      <c r="A2509" s="2" t="str">
        <f>IFERROR(__xludf.DUMMYFUNCTION("""COMPUTED_VALUE"""),"P-54466-00")</f>
        <v>P-54466-00</v>
      </c>
      <c r="B2509" s="2" t="str">
        <f>IFERROR(__xludf.DUMMYFUNCTION("""COMPUTED_VALUE"""),"General - MCB 10A 1Phase Domae; Schneider; DOMF01110; 1 pc")</f>
        <v>General - MCB 10A 1Phase Domae; Schneider; DOMF01110; 1 pc</v>
      </c>
      <c r="C2509" s="2" t="str">
        <f>IFERROR(__xludf.DUMMYFUNCTION("""COMPUTED_VALUE"""),"P-54466-00")</f>
        <v>P-54466-00</v>
      </c>
    </row>
    <row r="2510">
      <c r="A2510" s="2" t="str">
        <f>IFERROR(__xludf.DUMMYFUNCTION("""COMPUTED_VALUE"""),"P-54467-00")</f>
        <v>P-54467-00</v>
      </c>
      <c r="B2510" s="2" t="str">
        <f>IFERROR(__xludf.DUMMYFUNCTION("""COMPUTED_VALUE"""),"General - Selector Switch 3 Posisi 22mm; Idec; YW1S-3E20; 1 pc")</f>
        <v>General - Selector Switch 3 Posisi 22mm; Idec; YW1S-3E20; 1 pc</v>
      </c>
      <c r="C2510" s="2" t="str">
        <f>IFERROR(__xludf.DUMMYFUNCTION("""COMPUTED_VALUE"""),"P-54467-00")</f>
        <v>P-54467-00</v>
      </c>
    </row>
    <row r="2511">
      <c r="A2511" s="2" t="str">
        <f>IFERROR(__xludf.DUMMYFUNCTION("""COMPUTED_VALUE"""),"P-54468-00")</f>
        <v>P-54468-00</v>
      </c>
      <c r="B2511" s="2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1" s="2" t="str">
        <f>IFERROR(__xludf.DUMMYFUNCTION("""COMPUTED_VALUE"""),"P-54468-00")</f>
        <v>P-54468-00</v>
      </c>
    </row>
    <row r="2512">
      <c r="A2512" s="2" t="str">
        <f>IFERROR(__xludf.DUMMYFUNCTION("""COMPUTED_VALUE"""),"P-54491-00")</f>
        <v>P-54491-00</v>
      </c>
      <c r="B2512" s="2" t="str">
        <f>IFERROR(__xludf.DUMMYFUNCTION("""COMPUTED_VALUE"""),"Lift Schindler - LOP Button Set; Schindler; IWU-000869; 1 set")</f>
        <v>Lift Schindler - LOP Button Set; Schindler; IWU-000869; 1 set</v>
      </c>
      <c r="C2512" s="2" t="str">
        <f>IFERROR(__xludf.DUMMYFUNCTION("""COMPUTED_VALUE"""),"P-54491-00")</f>
        <v>P-54491-00</v>
      </c>
    </row>
    <row r="2513">
      <c r="A2513" s="2" t="str">
        <f>IFERROR(__xludf.DUMMYFUNCTION("""COMPUTED_VALUE"""),"P-54505-00")</f>
        <v>P-54505-00</v>
      </c>
      <c r="B2513" s="2" t="str">
        <f>IFERROR(__xludf.DUMMYFUNCTION("""COMPUTED_VALUE"""),"General - Lampu LED Downlight DN027B G3 D125 6W; Phillips; -; 1 pc")</f>
        <v>General - Lampu LED Downlight DN027B G3 D125 6W; Phillips; -; 1 pc</v>
      </c>
      <c r="C2513" s="2" t="str">
        <f>IFERROR(__xludf.DUMMYFUNCTION("""COMPUTED_VALUE"""),"P-54505-00")</f>
        <v>P-54505-00</v>
      </c>
    </row>
    <row r="2514">
      <c r="A2514" s="2" t="str">
        <f>IFERROR(__xludf.DUMMYFUNCTION("""COMPUTED_VALUE"""),"P-54506-00")</f>
        <v>P-54506-00</v>
      </c>
      <c r="B2514" s="2" t="str">
        <f>IFERROR(__xludf.DUMMYFUNCTION("""COMPUTED_VALUE"""),"General - Sensor Stick Flow Probe MFS-R-500; Micatrone; -; 1 unit")</f>
        <v>General - Sensor Stick Flow Probe MFS-R-500; Micatrone; -; 1 unit</v>
      </c>
      <c r="C2514" s="2" t="str">
        <f>IFERROR(__xludf.DUMMYFUNCTION("""COMPUTED_VALUE"""),"P-54506-00")</f>
        <v>P-54506-00</v>
      </c>
    </row>
    <row r="2515">
      <c r="A2515" s="2" t="str">
        <f>IFERROR(__xludf.DUMMYFUNCTION("""COMPUTED_VALUE"""),"P-54507-00")</f>
        <v>P-54507-00</v>
      </c>
      <c r="B2515" s="2" t="str">
        <f>IFERROR(__xludf.DUMMYFUNCTION("""COMPUTED_VALUE"""),"General - Relay MY2N-GS-R AC24 BY OMZ; Omron; -; 1 pc")</f>
        <v>General - Relay MY2N-GS-R AC24 BY OMZ; Omron; -; 1 pc</v>
      </c>
      <c r="C2515" s="2" t="str">
        <f>IFERROR(__xludf.DUMMYFUNCTION("""COMPUTED_VALUE"""),"P-54507-00")</f>
        <v>P-54507-00</v>
      </c>
    </row>
    <row r="2516">
      <c r="A2516" s="2" t="str">
        <f>IFERROR(__xludf.DUMMYFUNCTION("""COMPUTED_VALUE"""),"P-54508-00")</f>
        <v>P-54508-00</v>
      </c>
      <c r="B2516" s="2" t="str">
        <f>IFERROR(__xludf.DUMMYFUNCTION("""COMPUTED_VALUE"""),"General - Comb Busbar Sisir, 3 Phase, 63A, 10391; Schneider; -; 1 pc")</f>
        <v>General - Comb Busbar Sisir, 3 Phase, 63A, 10391; Schneider; -; 1 pc</v>
      </c>
      <c r="C2516" s="2" t="str">
        <f>IFERROR(__xludf.DUMMYFUNCTION("""COMPUTED_VALUE"""),"P-54508-00")</f>
        <v>P-54508-00</v>
      </c>
    </row>
    <row r="2517">
      <c r="A2517" s="2" t="str">
        <f>IFERROR(__xludf.DUMMYFUNCTION("""COMPUTED_VALUE"""),"P-54509-00")</f>
        <v>P-54509-00</v>
      </c>
      <c r="B2517" s="2" t="str">
        <f>IFERROR(__xludf.DUMMYFUNCTION("""COMPUTED_VALUE"""),"General - Buzzer Panel, 12VDC, 22mm, SCB-22; Shemco; -; 1 pc")</f>
        <v>General - Buzzer Panel, 12VDC, 22mm, SCB-22; Shemco; -; 1 pc</v>
      </c>
      <c r="C2517" s="2" t="str">
        <f>IFERROR(__xludf.DUMMYFUNCTION("""COMPUTED_VALUE"""),"P-54509-00")</f>
        <v>P-54509-00</v>
      </c>
    </row>
    <row r="2518">
      <c r="A2518" s="2" t="str">
        <f>IFERROR(__xludf.DUMMYFUNCTION("""COMPUTED_VALUE"""),"P-54510-00")</f>
        <v>P-54510-00</v>
      </c>
      <c r="B2518" s="2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8" s="2" t="str">
        <f>IFERROR(__xludf.DUMMYFUNCTION("""COMPUTED_VALUE"""),"P-54510-00")</f>
        <v>P-54510-00</v>
      </c>
    </row>
    <row r="2519">
      <c r="A2519" s="2" t="str">
        <f>IFERROR(__xludf.DUMMYFUNCTION("""COMPUTED_VALUE"""),"P-54512-00")</f>
        <v>P-54512-00</v>
      </c>
      <c r="B2519" s="2" t="str">
        <f>IFERROR(__xludf.DUMMYFUNCTION("""COMPUTED_VALUE"""),"General - Kabel Duct PVC, Lubang, Uk. 32 x 32mm; No Brand; -; 1 pc")</f>
        <v>General - Kabel Duct PVC, Lubang, Uk. 32 x 32mm; No Brand; -; 1 pc</v>
      </c>
      <c r="C2519" s="2" t="str">
        <f>IFERROR(__xludf.DUMMYFUNCTION("""COMPUTED_VALUE"""),"P-54512-00")</f>
        <v>P-54512-00</v>
      </c>
    </row>
    <row r="2520">
      <c r="A2520" s="2" t="str">
        <f>IFERROR(__xludf.DUMMYFUNCTION("""COMPUTED_VALUE"""),"P-54513-00")</f>
        <v>P-54513-00</v>
      </c>
      <c r="B2520" s="2" t="str">
        <f>IFERROR(__xludf.DUMMYFUNCTION("""COMPUTED_VALUE"""),"General - Kabel Gland PG25; No Brand; -; 1 pc")</f>
        <v>General - Kabel Gland PG25; No Brand; -; 1 pc</v>
      </c>
      <c r="C2520" s="2" t="str">
        <f>IFERROR(__xludf.DUMMYFUNCTION("""COMPUTED_VALUE"""),"P-54513-00")</f>
        <v>P-54513-00</v>
      </c>
    </row>
    <row r="2521">
      <c r="A2521" s="2" t="str">
        <f>IFERROR(__xludf.DUMMYFUNCTION("""COMPUTED_VALUE"""),"P-54514-00")</f>
        <v>P-54514-00</v>
      </c>
      <c r="B2521" s="2" t="str">
        <f>IFERROR(__xludf.DUMMYFUNCTION("""COMPUTED_VALUE"""),"General - Skun Y, 2.5mm, Hijau; Ewig; -; 100pcs/pack")</f>
        <v>General - Skun Y, 2.5mm, Hijau; Ewig; -; 100pcs/pack</v>
      </c>
      <c r="C2521" s="2" t="str">
        <f>IFERROR(__xludf.DUMMYFUNCTION("""COMPUTED_VALUE"""),"P-54514-00")</f>
        <v>P-54514-00</v>
      </c>
    </row>
    <row r="2522">
      <c r="A2522" s="2" t="str">
        <f>IFERROR(__xludf.DUMMYFUNCTION("""COMPUTED_VALUE"""),"P-54515-00")</f>
        <v>P-54515-00</v>
      </c>
      <c r="B2522" s="2" t="str">
        <f>IFERROR(__xludf.DUMMYFUNCTION("""COMPUTED_VALUE"""),"General - Skun Y, 2.5mm, Kuning; Ewig; -; 100pcs/pack")</f>
        <v>General - Skun Y, 2.5mm, Kuning; Ewig; -; 100pcs/pack</v>
      </c>
      <c r="C2522" s="2" t="str">
        <f>IFERROR(__xludf.DUMMYFUNCTION("""COMPUTED_VALUE"""),"P-54515-00")</f>
        <v>P-54515-00</v>
      </c>
    </row>
    <row r="2523">
      <c r="A2523" s="2" t="str">
        <f>IFERROR(__xludf.DUMMYFUNCTION("""COMPUTED_VALUE"""),"P-54516-00")</f>
        <v>P-54516-00</v>
      </c>
      <c r="B2523" s="2" t="str">
        <f>IFERROR(__xludf.DUMMYFUNCTION("""COMPUTED_VALUE"""),"General - Skun Y, 2.5mm, Merah; Ewig; -; 100pcs/pack")</f>
        <v>General - Skun Y, 2.5mm, Merah; Ewig; -; 100pcs/pack</v>
      </c>
      <c r="C2523" s="2" t="str">
        <f>IFERROR(__xludf.DUMMYFUNCTION("""COMPUTED_VALUE"""),"P-54516-00")</f>
        <v>P-54516-00</v>
      </c>
    </row>
    <row r="2524">
      <c r="A2524" s="2" t="str">
        <f>IFERROR(__xludf.DUMMYFUNCTION("""COMPUTED_VALUE"""),"P-54517-00")</f>
        <v>P-54517-00</v>
      </c>
      <c r="B2524" s="2" t="str">
        <f>IFERROR(__xludf.DUMMYFUNCTION("""COMPUTED_VALUE"""),"General - Socket Terminal, 3 Pin, Block Lurus, 2EDG 5.08mm; No Brand; -; 1 pc")</f>
        <v>General - Socket Terminal, 3 Pin, Block Lurus, 2EDG 5.08mm; No Brand; -; 1 pc</v>
      </c>
      <c r="C2524" s="2" t="str">
        <f>IFERROR(__xludf.DUMMYFUNCTION("""COMPUTED_VALUE"""),"P-54517-00")</f>
        <v>P-54517-00</v>
      </c>
    </row>
    <row r="2525">
      <c r="A2525" s="2" t="str">
        <f>IFERROR(__xludf.DUMMYFUNCTION("""COMPUTED_VALUE"""),"P-54518-00")</f>
        <v>P-54518-00</v>
      </c>
      <c r="B2525" s="2" t="str">
        <f>IFERROR(__xludf.DUMMYFUNCTION("""COMPUTED_VALUE"""),"General - Stop Kontak Panel Mounting 2Phase, 16A, 220V; Fort; CEE112; 1 pc")</f>
        <v>General - Stop Kontak Panel Mounting 2Phase, 16A, 220V; Fort; CEE112; 1 pc</v>
      </c>
      <c r="C2525" s="2" t="str">
        <f>IFERROR(__xludf.DUMMYFUNCTION("""COMPUTED_VALUE"""),"P-54518-00")</f>
        <v>P-54518-00</v>
      </c>
    </row>
    <row r="2526">
      <c r="A2526" s="2" t="str">
        <f>IFERROR(__xludf.DUMMYFUNCTION("""COMPUTED_VALUE"""),"P-54519-00")</f>
        <v>P-54519-00</v>
      </c>
      <c r="B2526" s="2" t="str">
        <f>IFERROR(__xludf.DUMMYFUNCTION("""COMPUTED_VALUE"""),"General - Terminal Block TBR20; Fort; -; 50pcs/pack")</f>
        <v>General - Terminal Block TBR20; Fort; -; 50pcs/pack</v>
      </c>
      <c r="C2526" s="2" t="str">
        <f>IFERROR(__xludf.DUMMYFUNCTION("""COMPUTED_VALUE"""),"P-54519-00")</f>
        <v>P-54519-00</v>
      </c>
    </row>
    <row r="2527">
      <c r="A2527" s="2" t="str">
        <f>IFERROR(__xludf.DUMMYFUNCTION("""COMPUTED_VALUE"""),"P-54535-00")</f>
        <v>P-54535-00</v>
      </c>
      <c r="B2527" s="2" t="str">
        <f>IFERROR(__xludf.DUMMYFUNCTION("""COMPUTED_VALUE"""),"General - Stopper Din Rail 20mm; No Brand; -; 1 pc")</f>
        <v>General - Stopper Din Rail 20mm; No Brand; -; 1 pc</v>
      </c>
      <c r="C2527" s="2" t="str">
        <f>IFERROR(__xludf.DUMMYFUNCTION("""COMPUTED_VALUE"""),"P-54535-00")</f>
        <v>P-54535-00</v>
      </c>
    </row>
    <row r="2528">
      <c r="A2528" s="2" t="str">
        <f>IFERROR(__xludf.DUMMYFUNCTION("""COMPUTED_VALUE"""),"P-54536-00")</f>
        <v>P-54536-00</v>
      </c>
      <c r="B2528" s="2" t="str">
        <f>IFERROR(__xludf.DUMMYFUNCTION("""COMPUTED_VALUE"""),"General - Lampu TL-D 58W 6500K 1500mm; Philips; -; 1 pc")</f>
        <v>General - Lampu TL-D 58W 6500K 1500mm; Philips; -; 1 pc</v>
      </c>
      <c r="C2528" s="2" t="str">
        <f>IFERROR(__xludf.DUMMYFUNCTION("""COMPUTED_VALUE"""),"P-54536-00")</f>
        <v>P-54536-00</v>
      </c>
    </row>
    <row r="2529">
      <c r="A2529" s="2" t="str">
        <f>IFERROR(__xludf.DUMMYFUNCTION("""COMPUTED_VALUE"""),"P-54543-00")</f>
        <v>P-54543-00</v>
      </c>
      <c r="B2529" s="2" t="str">
        <f>IFERROR(__xludf.DUMMYFUNCTION("""COMPUTED_VALUE"""),"General - Junction Box MG 33 x 22 x 12cm; Duradus; -; 1 pc")</f>
        <v>General - Junction Box MG 33 x 22 x 12cm; Duradus; -; 1 pc</v>
      </c>
      <c r="C2529" s="2" t="str">
        <f>IFERROR(__xludf.DUMMYFUNCTION("""COMPUTED_VALUE"""),"P-54543-00")</f>
        <v>P-54543-00</v>
      </c>
    </row>
    <row r="2530">
      <c r="A2530" s="2" t="str">
        <f>IFERROR(__xludf.DUMMYFUNCTION("""COMPUTED_VALUE"""),"P-54550-00")</f>
        <v>P-54550-00</v>
      </c>
      <c r="B2530" s="2" t="str">
        <f>IFERROR(__xludf.DUMMYFUNCTION("""COMPUTED_VALUE"""),"General - Inline Fan Duct Size 6,4 Inch 755CMH; CKE; CI CDI160AZ; 1 pc")</f>
        <v>General - Inline Fan Duct Size 6,4 Inch 755CMH; CKE; CI CDI160AZ; 1 pc</v>
      </c>
      <c r="C2530" s="2" t="str">
        <f>IFERROR(__xludf.DUMMYFUNCTION("""COMPUTED_VALUE"""),"P-54550-00")</f>
        <v>P-54550-00</v>
      </c>
    </row>
    <row r="2531">
      <c r="A2531" s="2" t="str">
        <f>IFERROR(__xludf.DUMMYFUNCTION("""COMPUTED_VALUE"""),"P-54554-00")</f>
        <v>P-54554-00</v>
      </c>
      <c r="B2531" s="2" t="str">
        <f>IFERROR(__xludf.DUMMYFUNCTION("""COMPUTED_VALUE"""),"General - Lampu Tl LED Slimliner II T5 10W Cool Light; Hannoch; -; 1 pc")</f>
        <v>General - Lampu Tl LED Slimliner II T5 10W Cool Light; Hannoch; -; 1 pc</v>
      </c>
      <c r="C2531" s="2" t="str">
        <f>IFERROR(__xludf.DUMMYFUNCTION("""COMPUTED_VALUE"""),"P-54554-00")</f>
        <v>P-54554-00</v>
      </c>
    </row>
    <row r="2532">
      <c r="A2532" s="2" t="str">
        <f>IFERROR(__xludf.DUMMYFUNCTION("""COMPUTED_VALUE"""),"P-54557-00")</f>
        <v>P-54557-00</v>
      </c>
      <c r="B2532" s="2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2" s="2" t="str">
        <f>IFERROR(__xludf.DUMMYFUNCTION("""COMPUTED_VALUE"""),"P-54557-00")</f>
        <v>P-54557-00</v>
      </c>
    </row>
    <row r="2533">
      <c r="A2533" s="2" t="str">
        <f>IFERROR(__xludf.DUMMYFUNCTION("""COMPUTED_VALUE"""),"P-54558-00")</f>
        <v>P-54558-00</v>
      </c>
      <c r="B2533" s="2" t="str">
        <f>IFERROR(__xludf.DUMMYFUNCTION("""COMPUTED_VALUE"""),"General - Trafo Step Up Down 5A Nol B; Kurae; -; 1 pc")</f>
        <v>General - Trafo Step Up Down 5A Nol B; Kurae; -; 1 pc</v>
      </c>
      <c r="C2533" s="2" t="str">
        <f>IFERROR(__xludf.DUMMYFUNCTION("""COMPUTED_VALUE"""),"P-54558-00")</f>
        <v>P-54558-00</v>
      </c>
    </row>
    <row r="2534">
      <c r="A2534" s="2" t="str">
        <f>IFERROR(__xludf.DUMMYFUNCTION("""COMPUTED_VALUE"""),"P-54559-00")</f>
        <v>P-54559-00</v>
      </c>
      <c r="B2534" s="2" t="str">
        <f>IFERROR(__xludf.DUMMYFUNCTION("""COMPUTED_VALUE"""),"General - Automatic Circuit Breaker Finder; Nofaya; NF-827S; 1 pc")</f>
        <v>General - Automatic Circuit Breaker Finder; Nofaya; NF-827S; 1 pc</v>
      </c>
      <c r="C2534" s="2" t="str">
        <f>IFERROR(__xludf.DUMMYFUNCTION("""COMPUTED_VALUE"""),"P-54559-00")</f>
        <v>P-54559-00</v>
      </c>
    </row>
    <row r="2535">
      <c r="A2535" s="2" t="str">
        <f>IFERROR(__xludf.DUMMYFUNCTION("""COMPUTED_VALUE"""),"P-54575-00")</f>
        <v>P-54575-00</v>
      </c>
      <c r="B2535" s="2" t="str">
        <f>IFERROR(__xludf.DUMMYFUNCTION("""COMPUTED_VALUE"""),"General - Fitting Lampu Halogen MR16 Socket GY5.3; No Brand; -; 1 pc")</f>
        <v>General - Fitting Lampu Halogen MR16 Socket GY5.3; No Brand; -; 1 pc</v>
      </c>
      <c r="C2535" s="2" t="str">
        <f>IFERROR(__xludf.DUMMYFUNCTION("""COMPUTED_VALUE"""),"P-54575-00")</f>
        <v>P-54575-00</v>
      </c>
    </row>
    <row r="2536">
      <c r="A2536" s="2" t="str">
        <f>IFERROR(__xludf.DUMMYFUNCTION("""COMPUTED_VALUE"""),"P-54576-00")</f>
        <v>P-54576-00</v>
      </c>
      <c r="B2536" s="2" t="str">
        <f>IFERROR(__xludf.DUMMYFUNCTION("""COMPUTED_VALUE"""),"General - End Plate for Terminal Blok TBR20; No Brand; -; 1 pc")</f>
        <v>General - End Plate for Terminal Blok TBR20; No Brand; -; 1 pc</v>
      </c>
      <c r="C2536" s="2" t="str">
        <f>IFERROR(__xludf.DUMMYFUNCTION("""COMPUTED_VALUE"""),"P-54576-00")</f>
        <v>P-54576-00</v>
      </c>
    </row>
    <row r="2537">
      <c r="A2537" s="2" t="str">
        <f>IFERROR(__xludf.DUMMYFUNCTION("""COMPUTED_VALUE"""),"P-54577-00")</f>
        <v>P-54577-00</v>
      </c>
      <c r="B2537" s="2" t="str">
        <f>IFERROR(__xludf.DUMMYFUNCTION("""COMPUTED_VALUE"""),"General - Lampu Neon LED Silinder II T5 16W Putih; Hannochs; -; 1 pc")</f>
        <v>General - Lampu Neon LED Silinder II T5 16W Putih; Hannochs; -; 1 pc</v>
      </c>
      <c r="C2537" s="2" t="str">
        <f>IFERROR(__xludf.DUMMYFUNCTION("""COMPUTED_VALUE"""),"P-54577-00")</f>
        <v>P-54577-00</v>
      </c>
    </row>
    <row r="2538">
      <c r="A2538" s="2" t="str">
        <f>IFERROR(__xludf.DUMMYFUNCTION("""COMPUTED_VALUE"""),"P-54584-00")</f>
        <v>P-54584-00</v>
      </c>
      <c r="B2538" s="2" t="str">
        <f>IFERROR(__xludf.DUMMYFUNCTION("""COMPUTED_VALUE"""),"AHU - Centrifugal Duct Inline Blower 8inch; Nicotra; GCIL 200; 1 unit")</f>
        <v>AHU - Centrifugal Duct Inline Blower 8inch; Nicotra; GCIL 200; 1 unit</v>
      </c>
      <c r="C2538" s="2" t="str">
        <f>IFERROR(__xludf.DUMMYFUNCTION("""COMPUTED_VALUE"""),"P-54584-00")</f>
        <v>P-54584-00</v>
      </c>
    </row>
    <row r="2539">
      <c r="A2539" s="2" t="str">
        <f>IFERROR(__xludf.DUMMYFUNCTION("""COMPUTED_VALUE"""),"P-54592-00")</f>
        <v>P-54592-00</v>
      </c>
      <c r="B2539" s="2" t="str">
        <f>IFERROR(__xludf.DUMMYFUNCTION("""COMPUTED_VALUE"""),"General - Fan Motor F61-10; Polytron; -; 1 unit")</f>
        <v>General - Fan Motor F61-10; Polytron; -; 1 unit</v>
      </c>
      <c r="C2539" s="2" t="str">
        <f>IFERROR(__xludf.DUMMYFUNCTION("""COMPUTED_VALUE"""),"P-54592-00")</f>
        <v>P-54592-00</v>
      </c>
    </row>
    <row r="2540">
      <c r="A2540" s="2" t="str">
        <f>IFERROR(__xludf.DUMMYFUNCTION("""COMPUTED_VALUE"""),"P-54610-00")</f>
        <v>P-54610-00</v>
      </c>
      <c r="B2540" s="2" t="str">
        <f>IFERROR(__xludf.DUMMYFUNCTION("""COMPUTED_VALUE"""),"Liebherr - Programmed Electronic for LGPv 6520; Liebherr; 9290451; 1 pc")</f>
        <v>Liebherr - Programmed Electronic for LGPv 6520; Liebherr; 9290451; 1 pc</v>
      </c>
      <c r="C2540" s="2" t="str">
        <f>IFERROR(__xludf.DUMMYFUNCTION("""COMPUTED_VALUE"""),"P-54610-00")</f>
        <v>P-54610-00</v>
      </c>
    </row>
    <row r="2541">
      <c r="A2541" s="2" t="str">
        <f>IFERROR(__xludf.DUMMYFUNCTION("""COMPUTED_VALUE"""),"P-54627-00")</f>
        <v>P-54627-00</v>
      </c>
      <c r="B2541" s="2" t="str">
        <f>IFERROR(__xludf.DUMMYFUNCTION("""COMPUTED_VALUE"""),"General - Solenoid Valve Welded EVR3 1/4 Inch; Danfoss; -; 1 pc")</f>
        <v>General - Solenoid Valve Welded EVR3 1/4 Inch; Danfoss; -; 1 pc</v>
      </c>
      <c r="C2541" s="2" t="str">
        <f>IFERROR(__xludf.DUMMYFUNCTION("""COMPUTED_VALUE"""),"P-54627-00")</f>
        <v>P-54627-00</v>
      </c>
    </row>
    <row r="2542">
      <c r="A2542" s="2" t="str">
        <f>IFERROR(__xludf.DUMMYFUNCTION("""COMPUTED_VALUE"""),"P-54628-00")</f>
        <v>P-54628-00</v>
      </c>
      <c r="B2542" s="2" t="str">
        <f>IFERROR(__xludf.DUMMYFUNCTION("""COMPUTED_VALUE"""),"General - Solenoid Coil 018F6282 220V; No Brand; -; 1 pc")</f>
        <v>General - Solenoid Coil 018F6282 220V; No Brand; -; 1 pc</v>
      </c>
      <c r="C2542" s="2" t="str">
        <f>IFERROR(__xludf.DUMMYFUNCTION("""COMPUTED_VALUE"""),"P-54628-00")</f>
        <v>P-54628-00</v>
      </c>
    </row>
    <row r="2543">
      <c r="A2543" s="2" t="str">
        <f>IFERROR(__xludf.DUMMYFUNCTION("""COMPUTED_VALUE"""),"P-54634-00")</f>
        <v>P-54634-00</v>
      </c>
      <c r="B2543" s="2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3" s="2" t="str">
        <f>IFERROR(__xludf.DUMMYFUNCTION("""COMPUTED_VALUE"""),"P-54634-00")</f>
        <v>P-54634-00</v>
      </c>
    </row>
    <row r="2544">
      <c r="A2544" s="2" t="str">
        <f>IFERROR(__xludf.DUMMYFUNCTION("""COMPUTED_VALUE"""),"P-54651-00")</f>
        <v>P-54651-00</v>
      </c>
      <c r="B2544" s="2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4" s="2" t="str">
        <f>IFERROR(__xludf.DUMMYFUNCTION("""COMPUTED_VALUE"""),"P-54651-00")</f>
        <v>P-54651-00</v>
      </c>
    </row>
    <row r="2545">
      <c r="A2545" s="2" t="str">
        <f>IFERROR(__xludf.DUMMYFUNCTION("""COMPUTED_VALUE"""),"P-54652-00")</f>
        <v>P-54652-00</v>
      </c>
      <c r="B2545" s="2" t="str">
        <f>IFERROR(__xludf.DUMMYFUNCTION("""COMPUTED_VALUE"""),"General - Power Supply Switching 24VDC; Autonics; SPA-075-24; 1 pc")</f>
        <v>General - Power Supply Switching 24VDC; Autonics; SPA-075-24; 1 pc</v>
      </c>
      <c r="C2545" s="2" t="str">
        <f>IFERROR(__xludf.DUMMYFUNCTION("""COMPUTED_VALUE"""),"P-54652-00")</f>
        <v>P-54652-00</v>
      </c>
    </row>
    <row r="2546">
      <c r="A2546" s="2" t="str">
        <f>IFERROR(__xludf.DUMMYFUNCTION("""COMPUTED_VALUE"""),"P-54672-00")</f>
        <v>P-54672-00</v>
      </c>
      <c r="B2546" s="2" t="str">
        <f>IFERROR(__xludf.DUMMYFUNCTION("""COMPUTED_VALUE"""),"General - Box Panel 950 x 600 x 300mm Tebal 1mm; No Brand; -; 1 pc")</f>
        <v>General - Box Panel 950 x 600 x 300mm Tebal 1mm; No Brand; -; 1 pc</v>
      </c>
      <c r="C2546" s="2" t="str">
        <f>IFERROR(__xludf.DUMMYFUNCTION("""COMPUTED_VALUE"""),"P-54672-00")</f>
        <v>P-54672-00</v>
      </c>
    </row>
    <row r="2547">
      <c r="A2547" s="2" t="str">
        <f>IFERROR(__xludf.DUMMYFUNCTION("""COMPUTED_VALUE"""),"P-54685-00")</f>
        <v>P-54685-00</v>
      </c>
      <c r="B2547" s="2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7" s="2" t="str">
        <f>IFERROR(__xludf.DUMMYFUNCTION("""COMPUTED_VALUE"""),"P-54685-00")</f>
        <v>P-54685-00</v>
      </c>
    </row>
    <row r="2548">
      <c r="A2548" s="2" t="str">
        <f>IFERROR(__xludf.DUMMYFUNCTION("""COMPUTED_VALUE"""),"P-54688-00")</f>
        <v>P-54688-00</v>
      </c>
      <c r="B2548" s="2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8" s="2" t="str">
        <f>IFERROR(__xludf.DUMMYFUNCTION("""COMPUTED_VALUE"""),"P-54688-00")</f>
        <v>P-54688-00</v>
      </c>
    </row>
    <row r="2549">
      <c r="A2549" s="2" t="str">
        <f>IFERROR(__xludf.DUMMYFUNCTION("""COMPUTED_VALUE"""),"P-54699-00")</f>
        <v>P-54699-00</v>
      </c>
      <c r="B2549" s="2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49" s="2" t="str">
        <f>IFERROR(__xludf.DUMMYFUNCTION("""COMPUTED_VALUE"""),"P-54699-00")</f>
        <v>P-54699-00</v>
      </c>
    </row>
    <row r="2550">
      <c r="A2550" s="2" t="str">
        <f>IFERROR(__xludf.DUMMYFUNCTION("""COMPUTED_VALUE"""),"P-54703-00")</f>
        <v>P-54703-00</v>
      </c>
      <c r="B2550" s="2" t="str">
        <f>IFERROR(__xludf.DUMMYFUNCTION("""COMPUTED_VALUE"""),"General - Pompa Submersible V750; York; -; 1 pc")</f>
        <v>General - Pompa Submersible V750; York; -; 1 pc</v>
      </c>
      <c r="C2550" s="2" t="str">
        <f>IFERROR(__xludf.DUMMYFUNCTION("""COMPUTED_VALUE"""),"P-54703-00")</f>
        <v>P-54703-00</v>
      </c>
    </row>
    <row r="2551">
      <c r="A2551" s="2" t="str">
        <f>IFERROR(__xludf.DUMMYFUNCTION("""COMPUTED_VALUE"""),"P-54704-00")</f>
        <v>P-54704-00</v>
      </c>
      <c r="B2551" s="2" t="str">
        <f>IFERROR(__xludf.DUMMYFUNCTION("""COMPUTED_VALUE"""),"General - Saklar Emergency Stop Panel Box 1NC + 1NO; Fort; -; 1 set")</f>
        <v>General - Saklar Emergency Stop Panel Box 1NC + 1NO; Fort; -; 1 set</v>
      </c>
      <c r="C2551" s="2" t="str">
        <f>IFERROR(__xludf.DUMMYFUNCTION("""COMPUTED_VALUE"""),"P-54704-00")</f>
        <v>P-54704-00</v>
      </c>
    </row>
    <row r="2552">
      <c r="A2552" s="2" t="str">
        <f>IFERROR(__xludf.DUMMYFUNCTION("""COMPUTED_VALUE"""),"P-54707-00")</f>
        <v>P-54707-00</v>
      </c>
      <c r="B2552" s="2" t="str">
        <f>IFERROR(__xludf.DUMMYFUNCTION("""COMPUTED_VALUE"""),"General - Lampu Panel LED 30 x 120cm; Philips; RC081VLED30S/865; 1 pc")</f>
        <v>General - Lampu Panel LED 30 x 120cm; Philips; RC081VLED30S/865; 1 pc</v>
      </c>
      <c r="C2552" s="2" t="str">
        <f>IFERROR(__xludf.DUMMYFUNCTION("""COMPUTED_VALUE"""),"P-54707-00")</f>
        <v>P-54707-00</v>
      </c>
    </row>
    <row r="2553">
      <c r="A2553" s="2" t="str">
        <f>IFERROR(__xludf.DUMMYFUNCTION("""COMPUTED_VALUE"""),"P-54712-00")</f>
        <v>P-54712-00</v>
      </c>
      <c r="B2553" s="2" t="str">
        <f>IFERROR(__xludf.DUMMYFUNCTION("""COMPUTED_VALUE"""),"General - Mesin Drain Cleaner 30 Meter; STG; GQ75; 1 unit")</f>
        <v>General - Mesin Drain Cleaner 30 Meter; STG; GQ75; 1 unit</v>
      </c>
      <c r="C2553" s="2" t="str">
        <f>IFERROR(__xludf.DUMMYFUNCTION("""COMPUTED_VALUE"""),"P-54712-00")</f>
        <v>P-54712-00</v>
      </c>
    </row>
    <row r="2554">
      <c r="A2554" s="2" t="str">
        <f>IFERROR(__xludf.DUMMYFUNCTION("""COMPUTED_VALUE"""),"P-54713-00")</f>
        <v>P-54713-00</v>
      </c>
      <c r="B2554" s="2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4" s="2" t="str">
        <f>IFERROR(__xludf.DUMMYFUNCTION("""COMPUTED_VALUE"""),"P-54713-00")</f>
        <v>P-54713-00</v>
      </c>
    </row>
    <row r="2555">
      <c r="A2555" s="2" t="str">
        <f>IFERROR(__xludf.DUMMYFUNCTION("""COMPUTED_VALUE"""),"P-60000-00")</f>
        <v>P-60000-00</v>
      </c>
      <c r="B2555" s="2" t="str">
        <f>IFERROR(__xludf.DUMMYFUNCTION("""COMPUTED_VALUE"""),"Pembuatan Port terminal BIBO (Integrity)")</f>
        <v>Pembuatan Port terminal BIBO (Integrity)</v>
      </c>
      <c r="C2555" s="2" t="str">
        <f>IFERROR(__xludf.DUMMYFUNCTION("""COMPUTED_VALUE"""),"P-60000-00")</f>
        <v>P-60000-00</v>
      </c>
    </row>
    <row r="2556">
      <c r="A2556" s="2" t="str">
        <f>IFERROR(__xludf.DUMMYFUNCTION("""COMPUTED_VALUE"""),"P-70002-00")</f>
        <v>P-70002-00</v>
      </c>
      <c r="B2556" s="2" t="str">
        <f>IFERROR(__xludf.DUMMYFUNCTION("""COMPUTED_VALUE"""),"Forklift Jungheinrich - Filter Cartridge; Jungheinrich; 5140412; 1 pc")</f>
        <v>Forklift Jungheinrich - Filter Cartridge; Jungheinrich; 5140412; 1 pc</v>
      </c>
      <c r="C2556" s="2" t="str">
        <f>IFERROR(__xludf.DUMMYFUNCTION("""COMPUTED_VALUE"""),"P-70002-00")</f>
        <v>P-70002-00</v>
      </c>
    </row>
    <row r="2557">
      <c r="A2557" s="2" t="str">
        <f>IFERROR(__xludf.DUMMYFUNCTION("""COMPUTED_VALUE"""),"P-70003-00")</f>
        <v>P-70003-00</v>
      </c>
      <c r="B2557" s="2" t="str">
        <f>IFERROR(__xludf.DUMMYFUNCTION("""COMPUTED_VALUE"""),"Forklift Jungheinrich - Filter Air; Jungheinrich; 51440858; 1 pc")</f>
        <v>Forklift Jungheinrich - Filter Air; Jungheinrich; 51440858; 1 pc</v>
      </c>
      <c r="C2557" s="2" t="str">
        <f>IFERROR(__xludf.DUMMYFUNCTION("""COMPUTED_VALUE"""),"P-70003-00")</f>
        <v>P-70003-00</v>
      </c>
    </row>
    <row r="2558">
      <c r="A2558" s="2" t="str">
        <f>IFERROR(__xludf.DUMMYFUNCTION("""COMPUTED_VALUE"""),"P-70004-00")</f>
        <v>P-70004-00</v>
      </c>
      <c r="B2558" s="2" t="str">
        <f>IFERROR(__xludf.DUMMYFUNCTION("""COMPUTED_VALUE"""),"Forklift Jungheinrich - Oil Hidraulic UG 46 (C); Jungheinrich; -; 1 pc")</f>
        <v>Forklift Jungheinrich - Oil Hidraulic UG 46 (C); Jungheinrich; -; 1 pc</v>
      </c>
      <c r="C2558" s="2" t="str">
        <f>IFERROR(__xludf.DUMMYFUNCTION("""COMPUTED_VALUE"""),"P-70004-00")</f>
        <v>P-70004-00</v>
      </c>
    </row>
    <row r="2559">
      <c r="A2559" s="2" t="str">
        <f>IFERROR(__xludf.DUMMYFUNCTION("""COMPUTED_VALUE"""),"P-70005-00")</f>
        <v>P-70005-00</v>
      </c>
      <c r="B2559" s="2" t="str">
        <f>IFERROR(__xludf.DUMMYFUNCTION("""COMPUTED_VALUE"""),"Forklift Jungheinrich - Oil Transmission 80W 90 (L); Jungheinrich; -; 1 pc")</f>
        <v>Forklift Jungheinrich - Oil Transmission 80W 90 (L); Jungheinrich; -; 1 pc</v>
      </c>
      <c r="C2559" s="2" t="str">
        <f>IFERROR(__xludf.DUMMYFUNCTION("""COMPUTED_VALUE"""),"P-70005-00")</f>
        <v>P-70005-00</v>
      </c>
    </row>
    <row r="2560">
      <c r="A2560" s="2" t="str">
        <f>IFERROR(__xludf.DUMMYFUNCTION("""COMPUTED_VALUE"""),"Q-10005-00")</f>
        <v>Q-10005-00</v>
      </c>
      <c r="B2560" s="2" t="str">
        <f>IFERROR(__xludf.DUMMYFUNCTION("""COMPUTED_VALUE"""),"Polyfloor PFT-213 Ivory @ 20 KG")</f>
        <v>Polyfloor PFT-213 Ivory @ 20 KG</v>
      </c>
      <c r="C2560" s="2" t="str">
        <f>IFERROR(__xludf.DUMMYFUNCTION("""COMPUTED_VALUE"""),"Q-10005-00")</f>
        <v>Q-10005-00</v>
      </c>
    </row>
    <row r="2561">
      <c r="A2561" s="2" t="str">
        <f>IFERROR(__xludf.DUMMYFUNCTION("""COMPUTED_VALUE"""),"Q-10012-00")</f>
        <v>Q-10012-00</v>
      </c>
      <c r="B2561" s="2" t="str">
        <f>IFERROR(__xludf.DUMMYFUNCTION("""COMPUTED_VALUE"""),"Multipox MX-94 White @ 20 KG")</f>
        <v>Multipox MX-94 White @ 20 KG</v>
      </c>
      <c r="C2561" s="2" t="str">
        <f>IFERROR(__xludf.DUMMYFUNCTION("""COMPUTED_VALUE"""),"Q-10012-00")</f>
        <v>Q-10012-00</v>
      </c>
    </row>
    <row r="2562">
      <c r="A2562" s="2" t="str">
        <f>IFERROR(__xludf.DUMMYFUNCTION("""COMPUTED_VALUE"""),"Q-10042-00")</f>
        <v>Q-10042-00</v>
      </c>
      <c r="B2562" s="2" t="str">
        <f>IFERROR(__xludf.DUMMYFUNCTION("""COMPUTED_VALUE"""),"Thiner Epoxy @ 1 galon")</f>
        <v>Thiner Epoxy @ 1 galon</v>
      </c>
      <c r="C2562" s="2" t="str">
        <f>IFERROR(__xludf.DUMMYFUNCTION("""COMPUTED_VALUE"""),"Q-10042-00")</f>
        <v>Q-10042-00</v>
      </c>
    </row>
    <row r="2563">
      <c r="A2563" s="2" t="str">
        <f>IFERROR(__xludf.DUMMYFUNCTION("""COMPUTED_VALUE"""),"Q-10064-00")</f>
        <v>Q-10064-00</v>
      </c>
      <c r="B2563" s="2" t="str">
        <f>IFERROR(__xludf.DUMMYFUNCTION("""COMPUTED_VALUE"""),"Cat Ftalit 113 Primrose @1kg")</f>
        <v>Cat Ftalit 113 Primrose @1kg</v>
      </c>
      <c r="C2563" s="2" t="str">
        <f>IFERROR(__xludf.DUMMYFUNCTION("""COMPUTED_VALUE"""),"Q-10064-00")</f>
        <v>Q-10064-00</v>
      </c>
    </row>
    <row r="2564">
      <c r="A2564" s="2" t="str">
        <f>IFERROR(__xludf.DUMMYFUNCTION("""COMPUTED_VALUE"""),"Q-10090-00")</f>
        <v>Q-10090-00</v>
      </c>
      <c r="B2564" s="2" t="str">
        <f>IFERROR(__xludf.DUMMYFUNCTION("""COMPUTED_VALUE"""),"GypsumJaya Board")</f>
        <v>GypsumJaya Board</v>
      </c>
      <c r="C2564" s="2" t="str">
        <f>IFERROR(__xludf.DUMMYFUNCTION("""COMPUTED_VALUE"""),"Q-10090-00")</f>
        <v>Q-10090-00</v>
      </c>
    </row>
    <row r="2565">
      <c r="A2565" s="2" t="str">
        <f>IFERROR(__xludf.DUMMYFUNCTION("""COMPUTED_VALUE"""),"Q-10128-00")</f>
        <v>Q-10128-00</v>
      </c>
      <c r="B2565" s="2" t="str">
        <f>IFERROR(__xludf.DUMMYFUNCTION("""COMPUTED_VALUE"""),"Thinner Super End/Impala @ 1 Liter")</f>
        <v>Thinner Super End/Impala @ 1 Liter</v>
      </c>
      <c r="C2565" s="2" t="str">
        <f>IFERROR(__xludf.DUMMYFUNCTION("""COMPUTED_VALUE"""),"Q-10128-00")</f>
        <v>Q-10128-00</v>
      </c>
    </row>
    <row r="2566">
      <c r="A2566" s="2" t="str">
        <f>IFERROR(__xludf.DUMMYFUNCTION("""COMPUTED_VALUE"""),"Q-10130-00")</f>
        <v>Q-10130-00</v>
      </c>
      <c r="B2566" s="2" t="str">
        <f>IFERROR(__xludf.DUMMYFUNCTION("""COMPUTED_VALUE"""),"TOTO - Kran Wastafel Faucet TX 126 LE")</f>
        <v>TOTO - Kran Wastafel Faucet TX 126 LE</v>
      </c>
      <c r="C2566" s="2" t="str">
        <f>IFERROR(__xludf.DUMMYFUNCTION("""COMPUTED_VALUE"""),"Q-10130-00")</f>
        <v>Q-10130-00</v>
      </c>
    </row>
    <row r="2567">
      <c r="A2567" s="2" t="str">
        <f>IFERROR(__xludf.DUMMYFUNCTION("""COMPUTED_VALUE"""),"Q-10134-00")</f>
        <v>Q-10134-00</v>
      </c>
      <c r="B2567" s="2" t="str">
        <f>IFERROR(__xludf.DUMMYFUNCTION("""COMPUTED_VALUE"""),"TOTO - Jet Shower spray TX 403S")</f>
        <v>TOTO - Jet Shower spray TX 403S</v>
      </c>
      <c r="C2567" s="2" t="str">
        <f>IFERROR(__xludf.DUMMYFUNCTION("""COMPUTED_VALUE"""),"Q-10134-00")</f>
        <v>Q-10134-00</v>
      </c>
    </row>
    <row r="2568">
      <c r="A2568" s="2" t="str">
        <f>IFERROR(__xludf.DUMMYFUNCTION("""COMPUTED_VALUE"""),"Q-10136-00")</f>
        <v>Q-10136-00</v>
      </c>
      <c r="B2568" s="2" t="str">
        <f>IFERROR(__xludf.DUMMYFUNCTION("""COMPUTED_VALUE"""),"TOTO - Kran T23BQ13N")</f>
        <v>TOTO - Kran T23BQ13N</v>
      </c>
      <c r="C2568" s="2" t="str">
        <f>IFERROR(__xludf.DUMMYFUNCTION("""COMPUTED_VALUE"""),"Q-10136-00")</f>
        <v>Q-10136-00</v>
      </c>
    </row>
    <row r="2569">
      <c r="A2569" s="2" t="str">
        <f>IFERROR(__xludf.DUMMYFUNCTION("""COMPUTED_VALUE"""),"Q-10153-00")</f>
        <v>Q-10153-00</v>
      </c>
      <c r="B2569" s="2" t="str">
        <f>IFERROR(__xludf.DUMMYFUNCTION("""COMPUTED_VALUE"""),"Kuas Cat Roller uk. 110 mm;No Brand;;pack size per set")</f>
        <v>Kuas Cat Roller uk. 110 mm;No Brand;;pack size per set</v>
      </c>
      <c r="C2569" s="2" t="str">
        <f>IFERROR(__xludf.DUMMYFUNCTION("""COMPUTED_VALUE"""),"Q-10153-00")</f>
        <v>Q-10153-00</v>
      </c>
    </row>
    <row r="2570">
      <c r="A2570" s="2" t="str">
        <f>IFERROR(__xludf.DUMMYFUNCTION("""COMPUTED_VALUE"""),"Q-10154-00")</f>
        <v>Q-10154-00</v>
      </c>
      <c r="B2570" s="2" t="str">
        <f>IFERROR(__xludf.DUMMYFUNCTION("""COMPUTED_VALUE"""),"Kuas Cat Roller uk. 230 mm;No Brand;;pack size per set")</f>
        <v>Kuas Cat Roller uk. 230 mm;No Brand;;pack size per set</v>
      </c>
      <c r="C2570" s="2" t="str">
        <f>IFERROR(__xludf.DUMMYFUNCTION("""COMPUTED_VALUE"""),"Q-10154-00")</f>
        <v>Q-10154-00</v>
      </c>
    </row>
    <row r="2571">
      <c r="A2571" s="2" t="str">
        <f>IFERROR(__xludf.DUMMYFUNCTION("""COMPUTED_VALUE"""),"Q-10172-00")</f>
        <v>Q-10172-00</v>
      </c>
      <c r="B2571" s="2" t="str">
        <f>IFERROR(__xludf.DUMMYFUNCTION("""COMPUTED_VALUE"""),"Polyfloor PFT-213 Light blue @ 20 KG")</f>
        <v>Polyfloor PFT-213 Light blue @ 20 KG</v>
      </c>
      <c r="C2571" s="2" t="str">
        <f>IFERROR(__xludf.DUMMYFUNCTION("""COMPUTED_VALUE"""),"Q-10172-00")</f>
        <v>Q-10172-00</v>
      </c>
    </row>
    <row r="2572">
      <c r="A2572" s="2" t="str">
        <f>IFERROR(__xludf.DUMMYFUNCTION("""COMPUTED_VALUE"""),"Q-10192-00")</f>
        <v>Q-10192-00</v>
      </c>
      <c r="B2572" s="2" t="str">
        <f>IFERROR(__xludf.DUMMYFUNCTION("""COMPUTED_VALUE"""),"Dynabolt 8 X 40; ; ;")</f>
        <v>Dynabolt 8 X 40; ; ;</v>
      </c>
      <c r="C2572" s="2" t="str">
        <f>IFERROR(__xludf.DUMMYFUNCTION("""COMPUTED_VALUE"""),"Q-10192-00")</f>
        <v>Q-10192-00</v>
      </c>
    </row>
    <row r="2573">
      <c r="A2573" s="2" t="str">
        <f>IFERROR(__xludf.DUMMYFUNCTION("""COMPUTED_VALUE"""),"Q-10207-00")</f>
        <v>Q-10207-00</v>
      </c>
      <c r="B2573" s="2" t="str">
        <f>IFERROR(__xludf.DUMMYFUNCTION("""COMPUTED_VALUE"""),"Keramik Roman Warna Putih 40 x 40 cm;Roman;CN: 447106;pack size per pack")</f>
        <v>Keramik Roman Warna Putih 40 x 40 cm;Roman;CN: 447106;pack size per pack</v>
      </c>
      <c r="C2573" s="2" t="str">
        <f>IFERROR(__xludf.DUMMYFUNCTION("""COMPUTED_VALUE"""),"Q-10207-00")</f>
        <v>Q-10207-00</v>
      </c>
    </row>
    <row r="2574">
      <c r="A2574" s="2" t="str">
        <f>IFERROR(__xludf.DUMMYFUNCTION("""COMPUTED_VALUE"""),"Q-10232-00")</f>
        <v>Q-10232-00</v>
      </c>
      <c r="B2574" s="2" t="str">
        <f>IFERROR(__xludf.DUMMYFUNCTION("""COMPUTED_VALUE"""),"Silicone Sealant N10 White")</f>
        <v>Silicone Sealant N10 White</v>
      </c>
      <c r="C2574" s="2" t="str">
        <f>IFERROR(__xludf.DUMMYFUNCTION("""COMPUTED_VALUE"""),"Q-10232-00")</f>
        <v>Q-10232-00</v>
      </c>
    </row>
    <row r="2575">
      <c r="A2575" s="2" t="str">
        <f>IFERROR(__xludf.DUMMYFUNCTION("""COMPUTED_VALUE"""),"Q-10233-00")</f>
        <v>Q-10233-00</v>
      </c>
      <c r="B2575" s="2" t="str">
        <f>IFERROR(__xludf.DUMMYFUNCTION("""COMPUTED_VALUE"""),"Silicone Sealant N10 Clear")</f>
        <v>Silicone Sealant N10 Clear</v>
      </c>
      <c r="C2575" s="2" t="str">
        <f>IFERROR(__xludf.DUMMYFUNCTION("""COMPUTED_VALUE"""),"Q-10233-00")</f>
        <v>Q-10233-00</v>
      </c>
    </row>
    <row r="2576">
      <c r="A2576" s="2" t="str">
        <f>IFERROR(__xludf.DUMMYFUNCTION("""COMPUTED_VALUE"""),"Q-10234-00")</f>
        <v>Q-10234-00</v>
      </c>
      <c r="B2576" s="2" t="str">
        <f>IFERROR(__xludf.DUMMYFUNCTION("""COMPUTED_VALUE"""),"Silicone Sealant N10 Grey")</f>
        <v>Silicone Sealant N10 Grey</v>
      </c>
      <c r="C2576" s="2" t="str">
        <f>IFERROR(__xludf.DUMMYFUNCTION("""COMPUTED_VALUE"""),"Q-10234-00")</f>
        <v>Q-10234-00</v>
      </c>
    </row>
    <row r="2577">
      <c r="A2577" s="2" t="str">
        <f>IFERROR(__xludf.DUMMYFUNCTION("""COMPUTED_VALUE"""),"Q-10236-00")</f>
        <v>Q-10236-00</v>
      </c>
      <c r="B2577" s="2" t="str">
        <f>IFERROR(__xludf.DUMMYFUNCTION("""COMPUTED_VALUE"""),"Door Closer Dekson 302 NHO")</f>
        <v>Door Closer Dekson 302 NHO</v>
      </c>
      <c r="C2577" s="2" t="str">
        <f>IFERROR(__xludf.DUMMYFUNCTION("""COMPUTED_VALUE"""),"Q-10236-00")</f>
        <v>Q-10236-00</v>
      </c>
    </row>
    <row r="2578">
      <c r="A2578" s="2" t="str">
        <f>IFERROR(__xludf.DUMMYFUNCTION("""COMPUTED_VALUE"""),"Q-10249-00")</f>
        <v>Q-10249-00</v>
      </c>
      <c r="B2578" s="2" t="str">
        <f>IFERROR(__xludf.DUMMYFUNCTION("""COMPUTED_VALUE"""),"Lem Power Glue; ; ;")</f>
        <v>Lem Power Glue; ; ;</v>
      </c>
      <c r="C2578" s="2" t="str">
        <f>IFERROR(__xludf.DUMMYFUNCTION("""COMPUTED_VALUE"""),"Q-10249-00")</f>
        <v>Q-10249-00</v>
      </c>
    </row>
    <row r="2579">
      <c r="A2579" s="2" t="str">
        <f>IFERROR(__xludf.DUMMYFUNCTION("""COMPUTED_VALUE"""),"Q-10271-00")</f>
        <v>Q-10271-00</v>
      </c>
      <c r="B2579" s="2" t="str">
        <f>IFERROR(__xludf.DUMMYFUNCTION("""COMPUTED_VALUE"""),"Kuas 3 inch")</f>
        <v>Kuas 3 inch</v>
      </c>
      <c r="C2579" s="2" t="str">
        <f>IFERROR(__xludf.DUMMYFUNCTION("""COMPUTED_VALUE"""),"Q-10271-00")</f>
        <v>Q-10271-00</v>
      </c>
    </row>
    <row r="2580">
      <c r="A2580" s="2" t="str">
        <f>IFERROR(__xludf.DUMMYFUNCTION("""COMPUTED_VALUE"""),"Q-10272-00")</f>
        <v>Q-10272-00</v>
      </c>
      <c r="B2580" s="2" t="str">
        <f>IFERROR(__xludf.DUMMYFUNCTION("""COMPUTED_VALUE"""),"Cat epoxy Polyfloor PFT 253 Propan")</f>
        <v>Cat epoxy Polyfloor PFT 253 Propan</v>
      </c>
      <c r="C2580" s="2" t="str">
        <f>IFERROR(__xludf.DUMMYFUNCTION("""COMPUTED_VALUE"""),"Q-10272-00")</f>
        <v>Q-10272-00</v>
      </c>
    </row>
    <row r="2581">
      <c r="A2581" s="2" t="str">
        <f>IFERROR(__xludf.DUMMYFUNCTION("""COMPUTED_VALUE"""),"Q-10282-00")</f>
        <v>Q-10282-00</v>
      </c>
      <c r="B2581" s="2" t="str">
        <f>IFERROR(__xludf.DUMMYFUNCTION("""COMPUTED_VALUE"""),"Semen MU Perekat Bata Ringan Mortar Utama 1zak")</f>
        <v>Semen MU Perekat Bata Ringan Mortar Utama 1zak</v>
      </c>
      <c r="C2581" s="2" t="str">
        <f>IFERROR(__xludf.DUMMYFUNCTION("""COMPUTED_VALUE"""),"Q-10282-00")</f>
        <v>Q-10282-00</v>
      </c>
    </row>
    <row r="2582">
      <c r="A2582" s="2" t="str">
        <f>IFERROR(__xludf.DUMMYFUNCTION("""COMPUTED_VALUE"""),"Q-10284-00")</f>
        <v>Q-10284-00</v>
      </c>
      <c r="B2582" s="2" t="str">
        <f>IFERROR(__xludf.DUMMYFUNCTION("""COMPUTED_VALUE"""),"Tile Grout AM 54; ; ;")</f>
        <v>Tile Grout AM 54; ; ;</v>
      </c>
      <c r="C2582" s="2" t="str">
        <f>IFERROR(__xludf.DUMMYFUNCTION("""COMPUTED_VALUE"""),"Q-10284-00")</f>
        <v>Q-10284-00</v>
      </c>
    </row>
    <row r="2583">
      <c r="A2583" s="2" t="str">
        <f>IFERROR(__xludf.DUMMYFUNCTION("""COMPUTED_VALUE"""),"Q-10302-00")</f>
        <v>Q-10302-00</v>
      </c>
      <c r="B2583" s="2" t="str">
        <f>IFERROR(__xludf.DUMMYFUNCTION("""COMPUTED_VALUE"""),"Compound / Kompon Gypsum;No Brand;;pack size 20 kg per pck")</f>
        <v>Compound / Kompon Gypsum;No Brand;;pack size 20 kg per pck</v>
      </c>
      <c r="C2583" s="2" t="str">
        <f>IFERROR(__xludf.DUMMYFUNCTION("""COMPUTED_VALUE"""),"Q-10302-00")</f>
        <v>Q-10302-00</v>
      </c>
    </row>
    <row r="2584">
      <c r="A2584" s="2" t="str">
        <f>IFERROR(__xludf.DUMMYFUNCTION("""COMPUTED_VALUE"""),"Q-10305-00")</f>
        <v>Q-10305-00</v>
      </c>
      <c r="B2584" s="2" t="str">
        <f>IFERROR(__xludf.DUMMYFUNCTION("""COMPUTED_VALUE"""),"Raven Door Seal (balon) RP48 Brown/White 50mtr x 2; ; ;")</f>
        <v>Raven Door Seal (balon) RP48 Brown/White 50mtr x 2; ; ;</v>
      </c>
      <c r="C2584" s="2" t="str">
        <f>IFERROR(__xludf.DUMMYFUNCTION("""COMPUTED_VALUE"""),"Q-10305-00")</f>
        <v>Q-10305-00</v>
      </c>
    </row>
    <row r="2585">
      <c r="A2585" s="2" t="str">
        <f>IFERROR(__xludf.DUMMYFUNCTION("""COMPUTED_VALUE"""),"Q-10331-00")</f>
        <v>Q-10331-00</v>
      </c>
      <c r="B2585" s="2" t="str">
        <f>IFERROR(__xludf.DUMMYFUNCTION("""COMPUTED_VALUE"""),"Cat F-Talit Hella Grey KF-611 Netto : 1 kg")</f>
        <v>Cat F-Talit Hella Grey KF-611 Netto : 1 kg</v>
      </c>
      <c r="C2585" s="2" t="str">
        <f>IFERROR(__xludf.DUMMYFUNCTION("""COMPUTED_VALUE"""),"Q-10331-00")</f>
        <v>Q-10331-00</v>
      </c>
    </row>
    <row r="2586">
      <c r="A2586" s="2" t="str">
        <f>IFERROR(__xludf.DUMMYFUNCTION("""COMPUTED_VALUE"""),"Q-10377-00")</f>
        <v>Q-10377-00</v>
      </c>
      <c r="B2586" s="2" t="str">
        <f>IFERROR(__xludf.DUMMYFUNCTION("""COMPUTED_VALUE"""),"Door Seal Brush PVC Hitam Ukuran 100 x 2,5 cm; No Brand; ; pack size per pcs")</f>
        <v>Door Seal Brush PVC Hitam Ukuran 100 x 2,5 cm; No Brand; ; pack size per pcs</v>
      </c>
      <c r="C2586" s="2" t="str">
        <f>IFERROR(__xludf.DUMMYFUNCTION("""COMPUTED_VALUE"""),"Q-10377-00")</f>
        <v>Q-10377-00</v>
      </c>
    </row>
    <row r="2587">
      <c r="A2587" s="2" t="str">
        <f>IFERROR(__xludf.DUMMYFUNCTION("""COMPUTED_VALUE"""),"Q-10378-00")</f>
        <v>Q-10378-00</v>
      </c>
      <c r="B2587" s="2" t="str">
        <f>IFERROR(__xludf.DUMMYFUNCTION("""COMPUTED_VALUE"""),"Kunci Laci Cam Lock;Huben;PN: HL 103-25 mm;pack size per pcs")</f>
        <v>Kunci Laci Cam Lock;Huben;PN: HL 103-25 mm;pack size per pcs</v>
      </c>
      <c r="C2587" s="2" t="str">
        <f>IFERROR(__xludf.DUMMYFUNCTION("""COMPUTED_VALUE"""),"Q-10378-00")</f>
        <v>Q-10378-00</v>
      </c>
    </row>
    <row r="2588">
      <c r="A2588" s="2" t="str">
        <f>IFERROR(__xludf.DUMMYFUNCTION("""COMPUTED_VALUE"""),"Q-10379-00")</f>
        <v>Q-10379-00</v>
      </c>
      <c r="B2588" s="2" t="str">
        <f>IFERROR(__xludf.DUMMYFUNCTION("""COMPUTED_VALUE"""),"Bak Cat")</f>
        <v>Bak Cat</v>
      </c>
      <c r="C2588" s="2" t="str">
        <f>IFERROR(__xludf.DUMMYFUNCTION("""COMPUTED_VALUE"""),"Q-10379-00")</f>
        <v>Q-10379-00</v>
      </c>
    </row>
    <row r="2589">
      <c r="A2589" s="2" t="str">
        <f>IFERROR(__xludf.DUMMYFUNCTION("""COMPUTED_VALUE"""),"Q-10401-00")</f>
        <v>Q-10401-00</v>
      </c>
      <c r="B2589" s="2" t="str">
        <f>IFERROR(__xludf.DUMMYFUNCTION("""COMPUTED_VALUE"""),"Kuas Cat Uk. 3 inch;Eterna;Tipe 611;pack size per pcs")</f>
        <v>Kuas Cat Uk. 3 inch;Eterna;Tipe 611;pack size per pcs</v>
      </c>
      <c r="C2589" s="2" t="str">
        <f>IFERROR(__xludf.DUMMYFUNCTION("""COMPUTED_VALUE"""),"Q-10401-00")</f>
        <v>Q-10401-00</v>
      </c>
    </row>
    <row r="2590">
      <c r="A2590" s="2" t="str">
        <f>IFERROR(__xludf.DUMMYFUNCTION("""COMPUTED_VALUE"""),"Q-10410-00")</f>
        <v>Q-10410-00</v>
      </c>
      <c r="B2590" s="2" t="str">
        <f>IFERROR(__xludf.DUMMYFUNCTION("""COMPUTED_VALUE"""),"Roll Epoxy dia. 9")</f>
        <v>Roll Epoxy dia. 9</v>
      </c>
      <c r="C2590" s="2" t="str">
        <f>IFERROR(__xludf.DUMMYFUNCTION("""COMPUTED_VALUE"""),"Q-10410-00")</f>
        <v>Q-10410-00</v>
      </c>
    </row>
    <row r="2591">
      <c r="A2591" s="2" t="str">
        <f>IFERROR(__xludf.DUMMYFUNCTION("""COMPUTED_VALUE"""),"Q-10429-00")</f>
        <v>Q-10429-00</v>
      </c>
      <c r="B2591" s="2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1" s="2" t="str">
        <f>IFERROR(__xludf.DUMMYFUNCTION("""COMPUTED_VALUE"""),"Q-10429-00")</f>
        <v>Q-10429-00</v>
      </c>
    </row>
    <row r="2592">
      <c r="A2592" s="2" t="str">
        <f>IFERROR(__xludf.DUMMYFUNCTION("""COMPUTED_VALUE"""),"Q-10433-00")</f>
        <v>Q-10433-00</v>
      </c>
      <c r="B2592" s="2" t="str">
        <f>IFERROR(__xludf.DUMMYFUNCTION("""COMPUTED_VALUE"""),"Lampu Neon Philips TLD 15W/54-765 Cool Daylight; PHILIPS; TLD15W/54-765;")</f>
        <v>Lampu Neon Philips TLD 15W/54-765 Cool Daylight; PHILIPS; TLD15W/54-765;</v>
      </c>
      <c r="C2592" s="2" t="str">
        <f>IFERROR(__xludf.DUMMYFUNCTION("""COMPUTED_VALUE"""),"Q-10433-00")</f>
        <v>Q-10433-00</v>
      </c>
    </row>
    <row r="2593">
      <c r="A2593" s="2" t="str">
        <f>IFERROR(__xludf.DUMMYFUNCTION("""COMPUTED_VALUE"""),"Q-10434-00")</f>
        <v>Q-10434-00</v>
      </c>
      <c r="B2593" s="2" t="str">
        <f>IFERROR(__xludf.DUMMYFUNCTION("""COMPUTED_VALUE"""),"Lampu Tornado Philips 27 W Cool Daylight; PHILIPS; 27WATTS;")</f>
        <v>Lampu Tornado Philips 27 W Cool Daylight; PHILIPS; 27WATTS;</v>
      </c>
      <c r="C2593" s="2" t="str">
        <f>IFERROR(__xludf.DUMMYFUNCTION("""COMPUTED_VALUE"""),"Q-10434-00")</f>
        <v>Q-10434-00</v>
      </c>
    </row>
    <row r="2594">
      <c r="A2594" s="2" t="str">
        <f>IFERROR(__xludf.DUMMYFUNCTION("""COMPUTED_VALUE"""),"Q-10460-00")</f>
        <v>Q-10460-00</v>
      </c>
      <c r="B2594" s="2" t="str">
        <f>IFERROR(__xludf.DUMMYFUNCTION("""COMPUTED_VALUE"""),"Magnetic door stopper; Dekson; Part No. MDS 889 SN;")</f>
        <v>Magnetic door stopper; Dekson; Part No. MDS 889 SN;</v>
      </c>
      <c r="C2594" s="2" t="str">
        <f>IFERROR(__xludf.DUMMYFUNCTION("""COMPUTED_VALUE"""),"Q-10460-00")</f>
        <v>Q-10460-00</v>
      </c>
    </row>
    <row r="2595">
      <c r="A2595" s="2" t="str">
        <f>IFERROR(__xludf.DUMMYFUNCTION("""COMPUTED_VALUE"""),"Q-10471-00")</f>
        <v>Q-10471-00</v>
      </c>
      <c r="B2595" s="2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5" s="2" t="str">
        <f>IFERROR(__xludf.DUMMYFUNCTION("""COMPUTED_VALUE"""),"Q-10471-00")</f>
        <v>Q-10471-00</v>
      </c>
    </row>
    <row r="2596">
      <c r="A2596" s="2" t="str">
        <f>IFERROR(__xludf.DUMMYFUNCTION("""COMPUTED_VALUE"""),"Q-10472-00")</f>
        <v>Q-10472-00</v>
      </c>
      <c r="B2596" s="2" t="str">
        <f>IFERROR(__xludf.DUMMYFUNCTION("""COMPUTED_VALUE"""),"Kunci Loker Huben HL-103 30mm; ; ;")</f>
        <v>Kunci Loker Huben HL-103 30mm; ; ;</v>
      </c>
      <c r="C2596" s="2" t="str">
        <f>IFERROR(__xludf.DUMMYFUNCTION("""COMPUTED_VALUE"""),"Q-10472-00")</f>
        <v>Q-10472-00</v>
      </c>
    </row>
    <row r="2597">
      <c r="A2597" s="2" t="str">
        <f>IFERROR(__xludf.DUMMYFUNCTION("""COMPUTED_VALUE"""),"Q-10475-00")</f>
        <v>Q-10475-00</v>
      </c>
      <c r="B2597" s="2" t="str">
        <f>IFERROR(__xludf.DUMMYFUNCTION("""COMPUTED_VALUE"""),"Cat Tembok; ; ; - Cat Dulux Ambiance Brilliant White @ 20 Ltr")</f>
        <v>Cat Tembok; ; ; - Cat Dulux Ambiance Brilliant White @ 20 Ltr</v>
      </c>
      <c r="C2597" s="2" t="str">
        <f>IFERROR(__xludf.DUMMYFUNCTION("""COMPUTED_VALUE"""),"Q-10475-00")</f>
        <v>Q-10475-00</v>
      </c>
    </row>
    <row r="2598">
      <c r="A2598" s="2" t="str">
        <f>IFERROR(__xludf.DUMMYFUNCTION("""COMPUTED_VALUE"""),"Q-10485-00")</f>
        <v>Q-10485-00</v>
      </c>
      <c r="B2598" s="2" t="str">
        <f>IFERROR(__xludf.DUMMYFUNCTION("""COMPUTED_VALUE"""),"Ball Valve Kuningan 1/2 inch Kitz; ; ;")</f>
        <v>Ball Valve Kuningan 1/2 inch Kitz; ; ;</v>
      </c>
      <c r="C2598" s="2" t="str">
        <f>IFERROR(__xludf.DUMMYFUNCTION("""COMPUTED_VALUE"""),"Q-10485-00")</f>
        <v>Q-10485-00</v>
      </c>
    </row>
    <row r="2599">
      <c r="A2599" s="2" t="str">
        <f>IFERROR(__xludf.DUMMYFUNCTION("""COMPUTED_VALUE"""),"Q-10486-00")</f>
        <v>Q-10486-00</v>
      </c>
      <c r="B2599" s="2" t="str">
        <f>IFERROR(__xludf.DUMMYFUNCTION("""COMPUTED_VALUE"""),"Neple selang Kuningan 1/2 inch x 1/2 inch")</f>
        <v>Neple selang Kuningan 1/2 inch x 1/2 inch</v>
      </c>
      <c r="C2599" s="2" t="str">
        <f>IFERROR(__xludf.DUMMYFUNCTION("""COMPUTED_VALUE"""),"Q-10486-00")</f>
        <v>Q-10486-00</v>
      </c>
    </row>
    <row r="2600">
      <c r="A2600" s="2" t="str">
        <f>IFERROR(__xludf.DUMMYFUNCTION("""COMPUTED_VALUE"""),"Q-10487-00")</f>
        <v>Q-10487-00</v>
      </c>
      <c r="B2600" s="2" t="str">
        <f>IFERROR(__xludf.DUMMYFUNCTION("""COMPUTED_VALUE"""),"Tutup Wastafel TOTO; ; ;")</f>
        <v>Tutup Wastafel TOTO; ; ;</v>
      </c>
      <c r="C2600" s="2" t="str">
        <f>IFERROR(__xludf.DUMMYFUNCTION("""COMPUTED_VALUE"""),"Q-10487-00")</f>
        <v>Q-10487-00</v>
      </c>
    </row>
    <row r="2601">
      <c r="A2601" s="2" t="str">
        <f>IFERROR(__xludf.DUMMYFUNCTION("""COMPUTED_VALUE"""),"Q-10488-00")</f>
        <v>Q-10488-00</v>
      </c>
      <c r="B2601" s="2" t="str">
        <f>IFERROR(__xludf.DUMMYFUNCTION("""COMPUTED_VALUE"""),"Selang Wastafel TOTO; ; ;")</f>
        <v>Selang Wastafel TOTO; ; ;</v>
      </c>
      <c r="C2601" s="2" t="str">
        <f>IFERROR(__xludf.DUMMYFUNCTION("""COMPUTED_VALUE"""),"Q-10488-00")</f>
        <v>Q-10488-00</v>
      </c>
    </row>
    <row r="2602">
      <c r="A2602" s="2" t="str">
        <f>IFERROR(__xludf.DUMMYFUNCTION("""COMPUTED_VALUE"""),"Q-10489-00")</f>
        <v>Q-10489-00</v>
      </c>
      <c r="B2602" s="2" t="str">
        <f>IFERROR(__xludf.DUMMYFUNCTION("""COMPUTED_VALUE"""),"AM 54 CAIRAN; ; ; Can")</f>
        <v>AM 54 CAIRAN; ; ; Can</v>
      </c>
      <c r="C2602" s="2" t="str">
        <f>IFERROR(__xludf.DUMMYFUNCTION("""COMPUTED_VALUE"""),"Q-10489-00")</f>
        <v>Q-10489-00</v>
      </c>
    </row>
    <row r="2603">
      <c r="A2603" s="2" t="str">
        <f>IFERROR(__xludf.DUMMYFUNCTION("""COMPUTED_VALUE"""),"Q-10492-00")</f>
        <v>Q-10492-00</v>
      </c>
      <c r="B2603" s="2" t="str">
        <f>IFERROR(__xludf.DUMMYFUNCTION("""COMPUTED_VALUE"""),"Amplas")</f>
        <v>Amplas</v>
      </c>
      <c r="C2603" s="2" t="str">
        <f>IFERROR(__xludf.DUMMYFUNCTION("""COMPUTED_VALUE"""),"Q-10492-00")</f>
        <v>Q-10492-00</v>
      </c>
    </row>
    <row r="2604">
      <c r="A2604" s="2" t="str">
        <f>IFERROR(__xludf.DUMMYFUNCTION("""COMPUTED_VALUE"""),"Q-10493-00")</f>
        <v>Q-10493-00</v>
      </c>
      <c r="B2604" s="2" t="str">
        <f>IFERROR(__xludf.DUMMYFUNCTION("""COMPUTED_VALUE"""),"Tile Grout AM 53")</f>
        <v>Tile Grout AM 53</v>
      </c>
      <c r="C2604" s="2" t="str">
        <f>IFERROR(__xludf.DUMMYFUNCTION("""COMPUTED_VALUE"""),"Q-10493-00")</f>
        <v>Q-10493-00</v>
      </c>
    </row>
    <row r="2605">
      <c r="A2605" s="2" t="str">
        <f>IFERROR(__xludf.DUMMYFUNCTION("""COMPUTED_VALUE"""),"Q-10496-00")</f>
        <v>Q-10496-00</v>
      </c>
      <c r="B2605" s="2" t="str">
        <f>IFERROR(__xludf.DUMMYFUNCTION("""COMPUTED_VALUE"""),"Sirocco Ventilating Fan 24CHF KDK; ; ;")</f>
        <v>Sirocco Ventilating Fan 24CHF KDK; ; ;</v>
      </c>
      <c r="C2605" s="2" t="str">
        <f>IFERROR(__xludf.DUMMYFUNCTION("""COMPUTED_VALUE"""),"Q-10496-00")</f>
        <v>Q-10496-00</v>
      </c>
    </row>
    <row r="2606">
      <c r="A2606" s="2" t="str">
        <f>IFERROR(__xludf.DUMMYFUNCTION("""COMPUTED_VALUE"""),"Q-10509-00")</f>
        <v>Q-10509-00</v>
      </c>
      <c r="B2606" s="2" t="str">
        <f>IFERROR(__xludf.DUMMYFUNCTION("""COMPUTED_VALUE"""),"Cable Ducting")</f>
        <v>Cable Ducting</v>
      </c>
      <c r="C2606" s="2" t="str">
        <f>IFERROR(__xludf.DUMMYFUNCTION("""COMPUTED_VALUE"""),"Q-10509-00")</f>
        <v>Q-10509-00</v>
      </c>
    </row>
    <row r="2607">
      <c r="A2607" s="2" t="str">
        <f>IFERROR(__xludf.DUMMYFUNCTION("""COMPUTED_VALUE"""),"Q-10510-00")</f>
        <v>Q-10510-00</v>
      </c>
      <c r="B2607" s="2" t="str">
        <f>IFERROR(__xludf.DUMMYFUNCTION("""COMPUTED_VALUE"""),"Junction Box Plastik 12x12x10 cm; ; ;")</f>
        <v>Junction Box Plastik 12x12x10 cm; ; ;</v>
      </c>
      <c r="C2607" s="2" t="str">
        <f>IFERROR(__xludf.DUMMYFUNCTION("""COMPUTED_VALUE"""),"Q-10510-00")</f>
        <v>Q-10510-00</v>
      </c>
    </row>
    <row r="2608">
      <c r="A2608" s="2" t="str">
        <f>IFERROR(__xludf.DUMMYFUNCTION("""COMPUTED_VALUE"""),"Q-10511-00")</f>
        <v>Q-10511-00</v>
      </c>
      <c r="B2608" s="2" t="str">
        <f>IFERROR(__xludf.DUMMYFUNCTION("""COMPUTED_VALUE"""),"Probe Sensor Temperatur PT100 3 wire; range -15 degC sampai 150 degC; ; ;")</f>
        <v>Probe Sensor Temperatur PT100 3 wire; range -15 degC sampai 150 degC; ; ;</v>
      </c>
      <c r="C2608" s="2" t="str">
        <f>IFERROR(__xludf.DUMMYFUNCTION("""COMPUTED_VALUE"""),"Q-10511-00")</f>
        <v>Q-10511-00</v>
      </c>
    </row>
    <row r="2609">
      <c r="A2609" s="2" t="str">
        <f>IFERROR(__xludf.DUMMYFUNCTION("""COMPUTED_VALUE"""),"Q-10514-00")</f>
        <v>Q-10514-00</v>
      </c>
      <c r="B2609" s="2" t="str">
        <f>IFERROR(__xludf.DUMMYFUNCTION("""COMPUTED_VALUE"""),"Hollow SUS304 30x30x3.0mm")</f>
        <v>Hollow SUS304 30x30x3.0mm</v>
      </c>
      <c r="C2609" s="2" t="str">
        <f>IFERROR(__xludf.DUMMYFUNCTION("""COMPUTED_VALUE"""),"Q-10514-00")</f>
        <v>Q-10514-00</v>
      </c>
    </row>
    <row r="2610">
      <c r="A2610" s="2" t="str">
        <f>IFERROR(__xludf.DUMMYFUNCTION("""COMPUTED_VALUE"""),"Q-10516-00")</f>
        <v>Q-10516-00</v>
      </c>
      <c r="B2610" s="2" t="str">
        <f>IFERROR(__xludf.DUMMYFUNCTION("""COMPUTED_VALUE"""),"Pahat Besi / Cold Chisel")</f>
        <v>Pahat Besi / Cold Chisel</v>
      </c>
      <c r="C2610" s="2" t="str">
        <f>IFERROR(__xludf.DUMMYFUNCTION("""COMPUTED_VALUE"""),"Q-10516-00")</f>
        <v>Q-10516-00</v>
      </c>
    </row>
    <row r="2611">
      <c r="A2611" s="2" t="str">
        <f>IFERROR(__xludf.DUMMYFUNCTION("""COMPUTED_VALUE"""),"Q-10517-00")</f>
        <v>Q-10517-00</v>
      </c>
      <c r="B2611" s="2" t="str">
        <f>IFERROR(__xludf.DUMMYFUNCTION("""COMPUTED_VALUE"""),"Kape Besi / Scraper / Skrap Besi;No Brand;;pack size per pcs")</f>
        <v>Kape Besi / Scraper / Skrap Besi;No Brand;;pack size per pcs</v>
      </c>
      <c r="C2611" s="2" t="str">
        <f>IFERROR(__xludf.DUMMYFUNCTION("""COMPUTED_VALUE"""),"Q-10517-00")</f>
        <v>Q-10517-00</v>
      </c>
    </row>
    <row r="2612">
      <c r="A2612" s="2" t="str">
        <f>IFERROR(__xludf.DUMMYFUNCTION("""COMPUTED_VALUE"""),"Q-10518-00")</f>
        <v>Q-10518-00</v>
      </c>
      <c r="B2612" s="2" t="str">
        <f>IFERROR(__xludf.DUMMYFUNCTION("""COMPUTED_VALUE"""),"Dempul")</f>
        <v>Dempul</v>
      </c>
      <c r="C2612" s="2" t="str">
        <f>IFERROR(__xludf.DUMMYFUNCTION("""COMPUTED_VALUE"""),"Q-10518-00")</f>
        <v>Q-10518-00</v>
      </c>
    </row>
    <row r="2613">
      <c r="A2613" s="2" t="str">
        <f>IFERROR(__xludf.DUMMYFUNCTION("""COMPUTED_VALUE"""),"Q-10523-00")</f>
        <v>Q-10523-00</v>
      </c>
      <c r="B2613" s="2" t="str">
        <f>IFERROR(__xludf.DUMMYFUNCTION("""COMPUTED_VALUE"""),"Cat Nippon Paint Nippe 2000 318T; Nipon; ;")</f>
        <v>Cat Nippon Paint Nippe 2000 318T; Nipon; ;</v>
      </c>
      <c r="C2613" s="2" t="str">
        <f>IFERROR(__xludf.DUMMYFUNCTION("""COMPUTED_VALUE"""),"Q-10523-00")</f>
        <v>Q-10523-00</v>
      </c>
    </row>
    <row r="2614">
      <c r="A2614" s="2" t="str">
        <f>IFERROR(__xludf.DUMMYFUNCTION("""COMPUTED_VALUE"""),"Q-10524-00")</f>
        <v>Q-10524-00</v>
      </c>
      <c r="B2614" s="2" t="str">
        <f>IFERROR(__xludf.DUMMYFUNCTION("""COMPUTED_VALUE"""),"Dulux Wallfiller; Dulux; ;")</f>
        <v>Dulux Wallfiller; Dulux; ;</v>
      </c>
      <c r="C2614" s="2" t="str">
        <f>IFERROR(__xludf.DUMMYFUNCTION("""COMPUTED_VALUE"""),"Q-10524-00")</f>
        <v>Q-10524-00</v>
      </c>
    </row>
    <row r="2615">
      <c r="A2615" s="2" t="str">
        <f>IFERROR(__xludf.DUMMYFUNCTION("""COMPUTED_VALUE"""),"Q-10525-00")</f>
        <v>Q-10525-00</v>
      </c>
      <c r="B2615" s="2" t="str">
        <f>IFERROR(__xludf.DUMMYFUNCTION("""COMPUTED_VALUE"""),"Waterpass Magnet 9 inch; ; ;")</f>
        <v>Waterpass Magnet 9 inch; ; ;</v>
      </c>
      <c r="C2615" s="2" t="str">
        <f>IFERROR(__xludf.DUMMYFUNCTION("""COMPUTED_VALUE"""),"Q-10525-00")</f>
        <v>Q-10525-00</v>
      </c>
    </row>
    <row r="2616">
      <c r="A2616" s="2" t="str">
        <f>IFERROR(__xludf.DUMMYFUNCTION("""COMPUTED_VALUE"""),"Q-10526-00")</f>
        <v>Q-10526-00</v>
      </c>
      <c r="B2616" s="2" t="str">
        <f>IFERROR(__xludf.DUMMYFUNCTION("""COMPUTED_VALUE"""),"Cat Dustproof Propan Decor DAE 550 Peacock Blue; ; ; - TEAL-5412")</f>
        <v>Cat Dustproof Propan Decor DAE 550 Peacock Blue; ; ; - TEAL-5412</v>
      </c>
      <c r="C2616" s="2" t="str">
        <f>IFERROR(__xludf.DUMMYFUNCTION("""COMPUTED_VALUE"""),"Q-10526-00")</f>
        <v>Q-10526-00</v>
      </c>
    </row>
    <row r="2617">
      <c r="A2617" s="2" t="str">
        <f>IFERROR(__xludf.DUMMYFUNCTION("""COMPUTED_VALUE"""),"Q-10528-00")</f>
        <v>Q-10528-00</v>
      </c>
      <c r="B2617" s="2" t="str">
        <f>IFERROR(__xludf.DUMMYFUNCTION("""COMPUTED_VALUE"""),"Kaca Cermin; Lokal; Ukuran custom; pack size per pcs")</f>
        <v>Kaca Cermin; Lokal; Ukuran custom; pack size per pcs</v>
      </c>
      <c r="C2617" s="2" t="str">
        <f>IFERROR(__xludf.DUMMYFUNCTION("""COMPUTED_VALUE"""),"Q-10528-00")</f>
        <v>Q-10528-00</v>
      </c>
    </row>
    <row r="2618">
      <c r="A2618" s="2" t="str">
        <f>IFERROR(__xludf.DUMMYFUNCTION("""COMPUTED_VALUE"""),"Q-10549-00")</f>
        <v>Q-10549-00</v>
      </c>
      <c r="B2618" s="2" t="str">
        <f>IFERROR(__xludf.DUMMYFUNCTION("""COMPUTED_VALUE"""),"TOTO - Piston Flush Valve Closet Type T150NL / TV150NSJ")</f>
        <v>TOTO - Piston Flush Valve Closet Type T150NL / TV150NSJ</v>
      </c>
      <c r="C2618" s="2" t="str">
        <f>IFERROR(__xludf.DUMMYFUNCTION("""COMPUTED_VALUE"""),"Q-10549-00")</f>
        <v>Q-10549-00</v>
      </c>
    </row>
    <row r="2619">
      <c r="A2619" s="2" t="str">
        <f>IFERROR(__xludf.DUMMYFUNCTION("""COMPUTED_VALUE"""),"Q-10550-00")</f>
        <v>Q-10550-00</v>
      </c>
      <c r="B2619" s="2" t="str">
        <f>IFERROR(__xludf.DUMMYFUNCTION("""COMPUTED_VALUE"""),"Door Closer TS 2000V Hold Open GEZE; ; ;")</f>
        <v>Door Closer TS 2000V Hold Open GEZE; ; ;</v>
      </c>
      <c r="C2619" s="2" t="str">
        <f>IFERROR(__xludf.DUMMYFUNCTION("""COMPUTED_VALUE"""),"Q-10550-00")</f>
        <v>Q-10550-00</v>
      </c>
    </row>
    <row r="2620">
      <c r="A2620" s="2" t="str">
        <f>IFERROR(__xludf.DUMMYFUNCTION("""COMPUTED_VALUE"""),"Q-10552-00")</f>
        <v>Q-10552-00</v>
      </c>
      <c r="B2620" s="2" t="str">
        <f>IFERROR(__xludf.DUMMYFUNCTION("""COMPUTED_VALUE"""),"Stiker Kaca Sandblast")</f>
        <v>Stiker Kaca Sandblast</v>
      </c>
      <c r="C2620" s="2" t="str">
        <f>IFERROR(__xludf.DUMMYFUNCTION("""COMPUTED_VALUE"""),"Q-10552-00")</f>
        <v>Q-10552-00</v>
      </c>
    </row>
    <row r="2621">
      <c r="A2621" s="2" t="str">
        <f>IFERROR(__xludf.DUMMYFUNCTION("""COMPUTED_VALUE"""),"Q-10562-00")</f>
        <v>Q-10562-00</v>
      </c>
      <c r="B2621" s="2" t="str">
        <f>IFERROR(__xludf.DUMMYFUNCTION("""COMPUTED_VALUE"""),"Proseal PAS-100 White Propan")</f>
        <v>Proseal PAS-100 White Propan</v>
      </c>
      <c r="C2621" s="2" t="str">
        <f>IFERROR(__xludf.DUMMYFUNCTION("""COMPUTED_VALUE"""),"Q-10562-00")</f>
        <v>Q-10562-00</v>
      </c>
    </row>
    <row r="2622">
      <c r="A2622" s="2" t="str">
        <f>IFERROR(__xludf.DUMMYFUNCTION("""COMPUTED_VALUE"""),"Q-10563-00")</f>
        <v>Q-10563-00</v>
      </c>
      <c r="B2622" s="2" t="str">
        <f>IFERROR(__xludf.DUMMYFUNCTION("""COMPUTED_VALUE"""),"Cat Weathershield Merlin;Dulux;Type 40156M Merlin;pack size per 20L pail")</f>
        <v>Cat Weathershield Merlin;Dulux;Type 40156M Merlin;pack size per 20L pail</v>
      </c>
      <c r="C2622" s="2" t="str">
        <f>IFERROR(__xludf.DUMMYFUNCTION("""COMPUTED_VALUE"""),"Q-10563-00")</f>
        <v>Q-10563-00</v>
      </c>
    </row>
    <row r="2623">
      <c r="A2623" s="2" t="str">
        <f>IFERROR(__xludf.DUMMYFUNCTION("""COMPUTED_VALUE"""),"Q-10569-00")</f>
        <v>Q-10569-00</v>
      </c>
      <c r="B2623" s="2" t="str">
        <f>IFERROR(__xludf.DUMMYFUNCTION("""COMPUTED_VALUE"""),"Lampu LED Emergency 6 Watt Hannoch Genius")</f>
        <v>Lampu LED Emergency 6 Watt Hannoch Genius</v>
      </c>
      <c r="C2623" s="2" t="str">
        <f>IFERROR(__xludf.DUMMYFUNCTION("""COMPUTED_VALUE"""),"Q-10569-00")</f>
        <v>Q-10569-00</v>
      </c>
    </row>
    <row r="2624">
      <c r="A2624" s="2" t="str">
        <f>IFERROR(__xludf.DUMMYFUNCTION("""COMPUTED_VALUE"""),"Q-10570-00")</f>
        <v>Q-10570-00</v>
      </c>
      <c r="B2624" s="2" t="str">
        <f>IFERROR(__xludf.DUMMYFUNCTION("""COMPUTED_VALUE"""),"Kap Lampu TL RM 2X18 Watt")</f>
        <v>Kap Lampu TL RM 2X18 Watt</v>
      </c>
      <c r="C2624" s="2" t="str">
        <f>IFERROR(__xludf.DUMMYFUNCTION("""COMPUTED_VALUE"""),"Q-10570-00")</f>
        <v>Q-10570-00</v>
      </c>
    </row>
    <row r="2625">
      <c r="A2625" s="2" t="str">
        <f>IFERROR(__xludf.DUMMYFUNCTION("""COMPUTED_VALUE"""),"Q-10571-00")</f>
        <v>Q-10571-00</v>
      </c>
      <c r="B2625" s="2" t="str">
        <f>IFERROR(__xludf.DUMMYFUNCTION("""COMPUTED_VALUE"""),"PHILIPS - Kap Lampu Waterproof TCW 060 2X36 Watt")</f>
        <v>PHILIPS - Kap Lampu Waterproof TCW 060 2X36 Watt</v>
      </c>
      <c r="C2625" s="2" t="str">
        <f>IFERROR(__xludf.DUMMYFUNCTION("""COMPUTED_VALUE"""),"Q-10571-00")</f>
        <v>Q-10571-00</v>
      </c>
    </row>
    <row r="2626">
      <c r="A2626" s="2" t="str">
        <f>IFERROR(__xludf.DUMMYFUNCTION("""COMPUTED_VALUE"""),"Q-10572-00")</f>
        <v>Q-10572-00</v>
      </c>
      <c r="B2626" s="2" t="str">
        <f>IFERROR(__xludf.DUMMYFUNCTION("""COMPUTED_VALUE"""),"PHILIPS - Lampu LED TL T8 120 Cm 16 Watt; ; ;")</f>
        <v>PHILIPS - Lampu LED TL T8 120 Cm 16 Watt; ; ;</v>
      </c>
      <c r="C2626" s="2" t="str">
        <f>IFERROR(__xludf.DUMMYFUNCTION("""COMPUTED_VALUE"""),"Q-10572-00")</f>
        <v>Q-10572-00</v>
      </c>
    </row>
    <row r="2627">
      <c r="A2627" s="2" t="str">
        <f>IFERROR(__xludf.DUMMYFUNCTION("""COMPUTED_VALUE"""),"Q-10573-00")</f>
        <v>Q-10573-00</v>
      </c>
      <c r="B2627" s="2" t="str">
        <f>IFERROR(__xludf.DUMMYFUNCTION("""COMPUTED_VALUE"""),"PHILIPS - Lampu Emergency TWS 200; ; ;")</f>
        <v>PHILIPS - Lampu Emergency TWS 200; ; ;</v>
      </c>
      <c r="C2627" s="2" t="str">
        <f>IFERROR(__xludf.DUMMYFUNCTION("""COMPUTED_VALUE"""),"Q-10573-00")</f>
        <v>Q-10573-00</v>
      </c>
    </row>
    <row r="2628">
      <c r="A2628" s="2" t="str">
        <f>IFERROR(__xludf.DUMMYFUNCTION("""COMPUTED_VALUE"""),"Q-10580-00")</f>
        <v>Q-10580-00</v>
      </c>
      <c r="B2628" s="2" t="str">
        <f>IFERROR(__xludf.DUMMYFUNCTION("""COMPUTED_VALUE"""),"Cat Ftalit 444 Banana Yellow; ; ; 1 Kg per Can")</f>
        <v>Cat Ftalit 444 Banana Yellow; ; ; 1 Kg per Can</v>
      </c>
      <c r="C2628" s="2" t="str">
        <f>IFERROR(__xludf.DUMMYFUNCTION("""COMPUTED_VALUE"""),"Q-10580-00")</f>
        <v>Q-10580-00</v>
      </c>
    </row>
    <row r="2629">
      <c r="A2629" s="2" t="str">
        <f>IFERROR(__xludf.DUMMYFUNCTION("""COMPUTED_VALUE"""),"Q-10581-00")</f>
        <v>Q-10581-00</v>
      </c>
      <c r="B2629" s="2" t="str">
        <f>IFERROR(__xludf.DUMMYFUNCTION("""COMPUTED_VALUE"""),"Cat Ftalit 272 Antique Grey 1 Kg per Can")</f>
        <v>Cat Ftalit 272 Antique Grey 1 Kg per Can</v>
      </c>
      <c r="C2629" s="2" t="str">
        <f>IFERROR(__xludf.DUMMYFUNCTION("""COMPUTED_VALUE"""),"Q-10581-00")</f>
        <v>Q-10581-00</v>
      </c>
    </row>
    <row r="2630">
      <c r="A2630" s="2" t="str">
        <f>IFERROR(__xludf.DUMMYFUNCTION("""COMPUTED_VALUE"""),"Q-10585-00")</f>
        <v>Q-10585-00</v>
      </c>
      <c r="B2630" s="2" t="str">
        <f>IFERROR(__xludf.DUMMYFUNCTION("""COMPUTED_VALUE"""),"Lampu LED T5-18W-1200mm")</f>
        <v>Lampu LED T5-18W-1200mm</v>
      </c>
      <c r="C2630" s="2" t="str">
        <f>IFERROR(__xludf.DUMMYFUNCTION("""COMPUTED_VALUE"""),"Q-10585-00")</f>
        <v>Q-10585-00</v>
      </c>
    </row>
    <row r="2631">
      <c r="A2631" s="2" t="str">
        <f>IFERROR(__xludf.DUMMYFUNCTION("""COMPUTED_VALUE"""),"Q-10586-00")</f>
        <v>Q-10586-00</v>
      </c>
      <c r="B2631" s="2" t="str">
        <f>IFERROR(__xludf.DUMMYFUNCTION("""COMPUTED_VALUE"""),"Lampu LED T5-9W-600mm; ; ;")</f>
        <v>Lampu LED T5-9W-600mm; ; ;</v>
      </c>
      <c r="C2631" s="2" t="str">
        <f>IFERROR(__xludf.DUMMYFUNCTION("""COMPUTED_VALUE"""),"Q-10586-00")</f>
        <v>Q-10586-00</v>
      </c>
    </row>
    <row r="2632">
      <c r="A2632" s="2" t="str">
        <f>IFERROR(__xludf.DUMMYFUNCTION("""COMPUTED_VALUE"""),"Q-10588-00")</f>
        <v>Q-10588-00</v>
      </c>
      <c r="B2632" s="2" t="str">
        <f>IFERROR(__xludf.DUMMYFUNCTION("""COMPUTED_VALUE"""),"Sika Boom @750 ml")</f>
        <v>Sika Boom @750 ml</v>
      </c>
      <c r="C2632" s="2" t="str">
        <f>IFERROR(__xludf.DUMMYFUNCTION("""COMPUTED_VALUE"""),"Q-10588-00")</f>
        <v>Q-10588-00</v>
      </c>
    </row>
    <row r="2633">
      <c r="A2633" s="2" t="str">
        <f>IFERROR(__xludf.DUMMYFUNCTION("""COMPUTED_VALUE"""),"Q-10621-00")</f>
        <v>Q-10621-00</v>
      </c>
      <c r="B2633" s="2" t="str">
        <f>IFERROR(__xludf.DUMMYFUNCTION("""COMPUTED_VALUE"""),"Kap Downlight 5inch Osiwa")</f>
        <v>Kap Downlight 5inch Osiwa</v>
      </c>
      <c r="C2633" s="2" t="str">
        <f>IFERROR(__xludf.DUMMYFUNCTION("""COMPUTED_VALUE"""),"Q-10621-00")</f>
        <v>Q-10621-00</v>
      </c>
    </row>
    <row r="2634">
      <c r="A2634" s="2" t="str">
        <f>IFERROR(__xludf.DUMMYFUNCTION("""COMPUTED_VALUE"""),"Q-10623-00")</f>
        <v>Q-10623-00</v>
      </c>
      <c r="B2634" s="2" t="str">
        <f>IFERROR(__xludf.DUMMYFUNCTION("""COMPUTED_VALUE"""),"Engsel Spring SS304 4x3x3ml Dekson")</f>
        <v>Engsel Spring SS304 4x3x3ml Dekson</v>
      </c>
      <c r="C2634" s="2" t="str">
        <f>IFERROR(__xludf.DUMMYFUNCTION("""COMPUTED_VALUE"""),"Q-10623-00")</f>
        <v>Q-10623-00</v>
      </c>
    </row>
    <row r="2635">
      <c r="A2635" s="2" t="str">
        <f>IFERROR(__xludf.DUMMYFUNCTION("""COMPUTED_VALUE"""),"Q-10629-00")</f>
        <v>Q-10629-00</v>
      </c>
      <c r="B2635" s="2" t="str">
        <f>IFERROR(__xludf.DUMMYFUNCTION("""COMPUTED_VALUE"""),"Cat Lantai Light Blue BAP338 BITAFLOOR")</f>
        <v>Cat Lantai Light Blue BAP338 BITAFLOOR</v>
      </c>
      <c r="C2635" s="2" t="str">
        <f>IFERROR(__xludf.DUMMYFUNCTION("""COMPUTED_VALUE"""),"Q-10629-00")</f>
        <v>Q-10629-00</v>
      </c>
    </row>
    <row r="2636">
      <c r="A2636" s="2" t="str">
        <f>IFERROR(__xludf.DUMMYFUNCTION("""COMPUTED_VALUE"""),"Q-10630-00")</f>
        <v>Q-10630-00</v>
      </c>
      <c r="B2636" s="2" t="str">
        <f>IFERROR(__xludf.DUMMYFUNCTION("""COMPUTED_VALUE"""),"Pompa KP250A Grundfos")</f>
        <v>Pompa KP250A Grundfos</v>
      </c>
      <c r="C2636" s="2" t="str">
        <f>IFERROR(__xludf.DUMMYFUNCTION("""COMPUTED_VALUE"""),"Q-10630-00")</f>
        <v>Q-10630-00</v>
      </c>
    </row>
    <row r="2637">
      <c r="A2637" s="2" t="str">
        <f>IFERROR(__xludf.DUMMYFUNCTION("""COMPUTED_VALUE"""),"Q-10631-00")</f>
        <v>Q-10631-00</v>
      </c>
      <c r="B2637" s="2" t="str">
        <f>IFERROR(__xludf.DUMMYFUNCTION("""COMPUTED_VALUE"""),"Mesh 8 SS 304")</f>
        <v>Mesh 8 SS 304</v>
      </c>
      <c r="C2637" s="2" t="str">
        <f>IFERROR(__xludf.DUMMYFUNCTION("""COMPUTED_VALUE"""),"Q-10631-00")</f>
        <v>Q-10631-00</v>
      </c>
    </row>
    <row r="2638">
      <c r="A2638" s="2" t="str">
        <f>IFERROR(__xludf.DUMMYFUNCTION("""COMPUTED_VALUE"""),"Q-10633-00")</f>
        <v>Q-10633-00</v>
      </c>
      <c r="B2638" s="2" t="str">
        <f>IFERROR(__xludf.DUMMYFUNCTION("""COMPUTED_VALUE"""),"Tali Tambang")</f>
        <v>Tali Tambang</v>
      </c>
      <c r="C2638" s="2" t="str">
        <f>IFERROR(__xludf.DUMMYFUNCTION("""COMPUTED_VALUE"""),"Q-10633-00")</f>
        <v>Q-10633-00</v>
      </c>
    </row>
    <row r="2639">
      <c r="A2639" s="2" t="str">
        <f>IFERROR(__xludf.DUMMYFUNCTION("""COMPUTED_VALUE"""),"Q-10650-00")</f>
        <v>Q-10650-00</v>
      </c>
      <c r="B2639" s="2" t="str">
        <f>IFERROR(__xludf.DUMMYFUNCTION("""COMPUTED_VALUE"""),"Aquaproof Abu-Abu @4 Kg; ; ;")</f>
        <v>Aquaproof Abu-Abu @4 Kg; ; ;</v>
      </c>
      <c r="C2639" s="2" t="str">
        <f>IFERROR(__xludf.DUMMYFUNCTION("""COMPUTED_VALUE"""),"Q-10650-00")</f>
        <v>Q-10650-00</v>
      </c>
    </row>
    <row r="2640">
      <c r="A2640" s="2" t="str">
        <f>IFERROR(__xludf.DUMMYFUNCTION("""COMPUTED_VALUE"""),"Q-10651-00")</f>
        <v>Q-10651-00</v>
      </c>
      <c r="B2640" s="2" t="str">
        <f>IFERROR(__xludf.DUMMYFUNCTION("""COMPUTED_VALUE"""),"Aquaproof Putih @4 Kg")</f>
        <v>Aquaproof Putih @4 Kg</v>
      </c>
      <c r="C2640" s="2" t="str">
        <f>IFERROR(__xludf.DUMMYFUNCTION("""COMPUTED_VALUE"""),"Q-10651-00")</f>
        <v>Q-10651-00</v>
      </c>
    </row>
    <row r="2641">
      <c r="A2641" s="2" t="str">
        <f>IFERROR(__xludf.DUMMYFUNCTION("""COMPUTED_VALUE"""),"Q-10652-00")</f>
        <v>Q-10652-00</v>
      </c>
      <c r="B2641" s="2" t="str">
        <f>IFERROR(__xludf.DUMMYFUNCTION("""COMPUTED_VALUE"""),"Cat Multipurpose PU Acrylic Orange 101-1 Propan")</f>
        <v>Cat Multipurpose PU Acrylic Orange 101-1 Propan</v>
      </c>
      <c r="C2641" s="2" t="str">
        <f>IFERROR(__xludf.DUMMYFUNCTION("""COMPUTED_VALUE"""),"Q-10652-00")</f>
        <v>Q-10652-00</v>
      </c>
    </row>
    <row r="2642">
      <c r="A2642" s="2" t="str">
        <f>IFERROR(__xludf.DUMMYFUNCTION("""COMPUTED_VALUE"""),"Q-10655-00")</f>
        <v>Q-10655-00</v>
      </c>
      <c r="B2642" s="2" t="str">
        <f>IFERROR(__xludf.DUMMYFUNCTION("""COMPUTED_VALUE"""),"Cat Anti Karat dan Anti Bocor Seiv Flinkote 007")</f>
        <v>Cat Anti Karat dan Anti Bocor Seiv Flinkote 007</v>
      </c>
      <c r="C2642" s="2" t="str">
        <f>IFERROR(__xludf.DUMMYFUNCTION("""COMPUTED_VALUE"""),"Q-10655-00")</f>
        <v>Q-10655-00</v>
      </c>
    </row>
    <row r="2643">
      <c r="A2643" s="2" t="str">
        <f>IFERROR(__xludf.DUMMYFUNCTION("""COMPUTED_VALUE"""),"Q-10656-00")</f>
        <v>Q-10656-00</v>
      </c>
      <c r="B2643" s="2" t="str">
        <f>IFERROR(__xludf.DUMMYFUNCTION("""COMPUTED_VALUE"""),"Kuas Cat Uk. 5 inch;No Brand;;pack size per pcs")</f>
        <v>Kuas Cat Uk. 5 inch;No Brand;;pack size per pcs</v>
      </c>
      <c r="C2643" s="2" t="str">
        <f>IFERROR(__xludf.DUMMYFUNCTION("""COMPUTED_VALUE"""),"Q-10656-00")</f>
        <v>Q-10656-00</v>
      </c>
    </row>
    <row r="2644">
      <c r="A2644" s="2" t="str">
        <f>IFERROR(__xludf.DUMMYFUNCTION("""COMPUTED_VALUE"""),"Q-10657-00")</f>
        <v>Q-10657-00</v>
      </c>
      <c r="B2644" s="2" t="str">
        <f>IFERROR(__xludf.DUMMYFUNCTION("""COMPUTED_VALUE"""),"Mata Gerinda Amplas Poles Epoxy @11 pcs")</f>
        <v>Mata Gerinda Amplas Poles Epoxy @11 pcs</v>
      </c>
      <c r="C2644" s="2" t="str">
        <f>IFERROR(__xludf.DUMMYFUNCTION("""COMPUTED_VALUE"""),"Q-10657-00")</f>
        <v>Q-10657-00</v>
      </c>
    </row>
    <row r="2645">
      <c r="A2645" s="2" t="str">
        <f>IFERROR(__xludf.DUMMYFUNCTION("""COMPUTED_VALUE"""),"Q-10662-00")</f>
        <v>Q-10662-00</v>
      </c>
      <c r="B2645" s="2" t="str">
        <f>IFERROR(__xludf.DUMMYFUNCTION("""COMPUTED_VALUE"""),"Capit Udang Laci Solid")</f>
        <v>Capit Udang Laci Solid</v>
      </c>
      <c r="C2645" s="2" t="str">
        <f>IFERROR(__xludf.DUMMYFUNCTION("""COMPUTED_VALUE"""),"Q-10662-00")</f>
        <v>Q-10662-00</v>
      </c>
    </row>
    <row r="2646">
      <c r="A2646" s="2" t="str">
        <f>IFERROR(__xludf.DUMMYFUNCTION("""COMPUTED_VALUE"""),"Q-10683-00")</f>
        <v>Q-10683-00</v>
      </c>
      <c r="B2646" s="2" t="str">
        <f>IFERROR(__xludf.DUMMYFUNCTION("""COMPUTED_VALUE"""),"Stiker Vinil A3")</f>
        <v>Stiker Vinil A3</v>
      </c>
      <c r="C2646" s="2" t="str">
        <f>IFERROR(__xludf.DUMMYFUNCTION("""COMPUTED_VALUE"""),"Q-10683-00")</f>
        <v>Q-10683-00</v>
      </c>
    </row>
    <row r="2647">
      <c r="A2647" s="2" t="str">
        <f>IFERROR(__xludf.DUMMYFUNCTION("""COMPUTED_VALUE"""),"Q-10711-00")</f>
        <v>Q-10711-00</v>
      </c>
      <c r="B2647" s="2" t="str">
        <f>IFERROR(__xludf.DUMMYFUNCTION("""COMPUTED_VALUE"""),"Pipa PVC Abu Abu AW 4"" Rucika; ; ;")</f>
        <v>Pipa PVC Abu Abu AW 4" Rucika; ; ;</v>
      </c>
      <c r="C2647" s="2" t="str">
        <f>IFERROR(__xludf.DUMMYFUNCTION("""COMPUTED_VALUE"""),"Q-10711-00")</f>
        <v>Q-10711-00</v>
      </c>
    </row>
    <row r="2648">
      <c r="A2648" s="2" t="str">
        <f>IFERROR(__xludf.DUMMYFUNCTION("""COMPUTED_VALUE"""),"Q-10712-00")</f>
        <v>Q-10712-00</v>
      </c>
      <c r="B2648" s="2" t="str">
        <f>IFERROR(__xludf.DUMMYFUNCTION("""COMPUTED_VALUE"""),"Elbow PVC Abu Abu AW 4"" Rucika; ; ;")</f>
        <v>Elbow PVC Abu Abu AW 4" Rucika; ; ;</v>
      </c>
      <c r="C2648" s="2" t="str">
        <f>IFERROR(__xludf.DUMMYFUNCTION("""COMPUTED_VALUE"""),"Q-10712-00")</f>
        <v>Q-10712-00</v>
      </c>
    </row>
    <row r="2649">
      <c r="A2649" s="2" t="str">
        <f>IFERROR(__xludf.DUMMYFUNCTION("""COMPUTED_VALUE"""),"Q-10715-00")</f>
        <v>Q-10715-00</v>
      </c>
      <c r="B2649" s="2" t="str">
        <f>IFERROR(__xludf.DUMMYFUNCTION("""COMPUTED_VALUE"""),"Lem PVC Isarplas Kuas @400gr; ; ;")</f>
        <v>Lem PVC Isarplas Kuas @400gr; ; ;</v>
      </c>
      <c r="C2649" s="2" t="str">
        <f>IFERROR(__xludf.DUMMYFUNCTION("""COMPUTED_VALUE"""),"Q-10715-00")</f>
        <v>Q-10715-00</v>
      </c>
    </row>
    <row r="2650">
      <c r="A2650" s="2" t="str">
        <f>IFERROR(__xludf.DUMMYFUNCTION("""COMPUTED_VALUE"""),"Q-10724-00")</f>
        <v>Q-10724-00</v>
      </c>
      <c r="B2650" s="2" t="str">
        <f>IFERROR(__xludf.DUMMYFUNCTION("""COMPUTED_VALUE"""),"Semen MU 301 Plester Plus; ; ;")</f>
        <v>Semen MU 301 Plester Plus; ; ;</v>
      </c>
      <c r="C2650" s="2" t="str">
        <f>IFERROR(__xludf.DUMMYFUNCTION("""COMPUTED_VALUE"""),"Q-10724-00")</f>
        <v>Q-10724-00</v>
      </c>
    </row>
    <row r="2651">
      <c r="A2651" s="2" t="str">
        <f>IFERROR(__xludf.DUMMYFUNCTION("""COMPUTED_VALUE"""),"Q-10731-00")</f>
        <v>Q-10731-00</v>
      </c>
      <c r="B2651" s="2" t="str">
        <f>IFERROR(__xludf.DUMMYFUNCTION("""COMPUTED_VALUE"""),"Kunci Lemari Arsip Lion L33/ELITE LION")</f>
        <v>Kunci Lemari Arsip Lion L33/ELITE LION</v>
      </c>
      <c r="C2651" s="2" t="str">
        <f>IFERROR(__xludf.DUMMYFUNCTION("""COMPUTED_VALUE"""),"Q-10731-00")</f>
        <v>Q-10731-00</v>
      </c>
    </row>
    <row r="2652">
      <c r="A2652" s="2" t="str">
        <f>IFERROR(__xludf.DUMMYFUNCTION("""COMPUTED_VALUE"""),"Q-10745-00")</f>
        <v>Q-10745-00</v>
      </c>
      <c r="B2652" s="2" t="str">
        <f>IFERROR(__xludf.DUMMYFUNCTION("""COMPUTED_VALUE"""),"Lem ZAMITEX 500 gr")</f>
        <v>Lem ZAMITEX 500 gr</v>
      </c>
      <c r="C2652" s="2" t="str">
        <f>IFERROR(__xludf.DUMMYFUNCTION("""COMPUTED_VALUE"""),"Q-10745-00")</f>
        <v>Q-10745-00</v>
      </c>
    </row>
    <row r="2653">
      <c r="A2653" s="2" t="str">
        <f>IFERROR(__xludf.DUMMYFUNCTION("""COMPUTED_VALUE"""),"Q-10746-00")</f>
        <v>Q-10746-00</v>
      </c>
      <c r="B2653" s="2" t="str">
        <f>IFERROR(__xludf.DUMMYFUNCTION("""COMPUTED_VALUE"""),"Cat Tembok WeatherShield 40544M Day Break Dulux")</f>
        <v>Cat Tembok WeatherShield 40544M Day Break Dulux</v>
      </c>
      <c r="C2653" s="2" t="str">
        <f>IFERROR(__xludf.DUMMYFUNCTION("""COMPUTED_VALUE"""),"Q-10746-00")</f>
        <v>Q-10746-00</v>
      </c>
    </row>
    <row r="2654">
      <c r="A2654" s="2" t="str">
        <f>IFERROR(__xludf.DUMMYFUNCTION("""COMPUTED_VALUE"""),"Q-10750-00")</f>
        <v>Q-10750-00</v>
      </c>
      <c r="B2654" s="2" t="str">
        <f>IFERROR(__xludf.DUMMYFUNCTION("""COMPUTED_VALUE"""),"Hollow Baja Ringan 4x4cm, Tebal 0.5mm, Panjang 4m; ; ;")</f>
        <v>Hollow Baja Ringan 4x4cm, Tebal 0.5mm, Panjang 4m; ; ;</v>
      </c>
      <c r="C2654" s="2" t="str">
        <f>IFERROR(__xludf.DUMMYFUNCTION("""COMPUTED_VALUE"""),"Q-10750-00")</f>
        <v>Q-10750-00</v>
      </c>
    </row>
    <row r="2655">
      <c r="A2655" s="2" t="str">
        <f>IFERROR(__xludf.DUMMYFUNCTION("""COMPUTED_VALUE"""),"Q-10752-00")</f>
        <v>Q-10752-00</v>
      </c>
      <c r="B2655" s="2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5" s="2" t="str">
        <f>IFERROR(__xludf.DUMMYFUNCTION("""COMPUTED_VALUE"""),"Q-10752-00")</f>
        <v>Q-10752-00</v>
      </c>
    </row>
    <row r="2656">
      <c r="A2656" s="2" t="str">
        <f>IFERROR(__xludf.DUMMYFUNCTION("""COMPUTED_VALUE"""),"Q-10774-00")</f>
        <v>Q-10774-00</v>
      </c>
      <c r="B2656" s="2" t="str">
        <f>IFERROR(__xludf.DUMMYFUNCTION("""COMPUTED_VALUE"""),"Kansai Zinc Phospate Primer Light Grey @ 20 KG")</f>
        <v>Kansai Zinc Phospate Primer Light Grey @ 20 KG</v>
      </c>
      <c r="C2656" s="2" t="str">
        <f>IFERROR(__xludf.DUMMYFUNCTION("""COMPUTED_VALUE"""),"Q-10774-00")</f>
        <v>Q-10774-00</v>
      </c>
    </row>
    <row r="2657">
      <c r="A2657" s="2" t="str">
        <f>IFERROR(__xludf.DUMMYFUNCTION("""COMPUTED_VALUE"""),"Q-10775-00")</f>
        <v>Q-10775-00</v>
      </c>
      <c r="B2657" s="2" t="str">
        <f>IFERROR(__xludf.DUMMYFUNCTION("""COMPUTED_VALUE"""),"Metalkote Anti Karat Epoxy Primer EDP-551 @ 20 KG")</f>
        <v>Metalkote Anti Karat Epoxy Primer EDP-551 @ 20 KG</v>
      </c>
      <c r="C2657" s="2" t="str">
        <f>IFERROR(__xludf.DUMMYFUNCTION("""COMPUTED_VALUE"""),"Q-10775-00")</f>
        <v>Q-10775-00</v>
      </c>
    </row>
    <row r="2658">
      <c r="A2658" s="2" t="str">
        <f>IFERROR(__xludf.DUMMYFUNCTION("""COMPUTED_VALUE"""),"Q-10783-00")</f>
        <v>Q-10783-00</v>
      </c>
      <c r="B2658" s="2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8" s="2" t="str">
        <f>IFERROR(__xludf.DUMMYFUNCTION("""COMPUTED_VALUE"""),"Q-10783-00")</f>
        <v>Q-10783-00</v>
      </c>
    </row>
    <row r="2659">
      <c r="A2659" s="2" t="str">
        <f>IFERROR(__xludf.DUMMYFUNCTION("""COMPUTED_VALUE"""),"Q-10784-00")</f>
        <v>Q-10784-00</v>
      </c>
      <c r="B2659" s="2" t="str">
        <f>IFERROR(__xludf.DUMMYFUNCTION("""COMPUTED_VALUE"""),"Convex Mirror 80 CM (Cermin Cembung)")</f>
        <v>Convex Mirror 80 CM (Cermin Cembung)</v>
      </c>
      <c r="C2659" s="2" t="str">
        <f>IFERROR(__xludf.DUMMYFUNCTION("""COMPUTED_VALUE"""),"Q-10784-00")</f>
        <v>Q-10784-00</v>
      </c>
    </row>
    <row r="2660">
      <c r="A2660" s="2" t="str">
        <f>IFERROR(__xludf.DUMMYFUNCTION("""COMPUTED_VALUE"""),"Q-10785-00")</f>
        <v>Q-10785-00</v>
      </c>
      <c r="B2660" s="2" t="str">
        <f>IFERROR(__xludf.DUMMYFUNCTION("""COMPUTED_VALUE"""),"Hardisk Enclosure Case 3.5 Inch")</f>
        <v>Hardisk Enclosure Case 3.5 Inch</v>
      </c>
      <c r="C2660" s="2" t="str">
        <f>IFERROR(__xludf.DUMMYFUNCTION("""COMPUTED_VALUE"""),"Q-10785-00")</f>
        <v>Q-10785-00</v>
      </c>
    </row>
    <row r="2661">
      <c r="A2661" s="2" t="str">
        <f>IFERROR(__xludf.DUMMYFUNCTION("""COMPUTED_VALUE"""),"Q-10805-00")</f>
        <v>Q-10805-00</v>
      </c>
      <c r="B2661" s="2" t="str">
        <f>IFERROR(__xludf.DUMMYFUNCTION("""COMPUTED_VALUE"""),"Multipox MX-98-2K SB White;Propan;Type White;pack size per 20 kg pail")</f>
        <v>Multipox MX-98-2K SB White;Propan;Type White;pack size per 20 kg pail</v>
      </c>
      <c r="C2661" s="2" t="str">
        <f>IFERROR(__xludf.DUMMYFUNCTION("""COMPUTED_VALUE"""),"Q-10805-00")</f>
        <v>Q-10805-00</v>
      </c>
    </row>
    <row r="2662">
      <c r="A2662" s="2" t="str">
        <f>IFERROR(__xludf.DUMMYFUNCTION("""COMPUTED_VALUE"""),"Q-10817-00")</f>
        <v>Q-10817-00</v>
      </c>
      <c r="B2662" s="2" t="str">
        <f>IFERROR(__xludf.DUMMYFUNCTION("""COMPUTED_VALUE"""),"Door Closer Type: TS77 Hold Open; DORMA; ;")</f>
        <v>Door Closer Type: TS77 Hold Open; DORMA; ;</v>
      </c>
      <c r="C2662" s="2" t="str">
        <f>IFERROR(__xludf.DUMMYFUNCTION("""COMPUTED_VALUE"""),"Q-10817-00")</f>
        <v>Q-10817-00</v>
      </c>
    </row>
    <row r="2663">
      <c r="A2663" s="2" t="str">
        <f>IFERROR(__xludf.DUMMYFUNCTION("""COMPUTED_VALUE"""),"Q-10825-00")</f>
        <v>Q-10825-00</v>
      </c>
      <c r="B2663" s="2" t="str">
        <f>IFERROR(__xludf.DUMMYFUNCTION("""COMPUTED_VALUE"""),"Tali Karet Ban;No Brand;;pack size per pcs")</f>
        <v>Tali Karet Ban;No Brand;;pack size per pcs</v>
      </c>
      <c r="C2663" s="2" t="str">
        <f>IFERROR(__xludf.DUMMYFUNCTION("""COMPUTED_VALUE"""),"Q-10825-00")</f>
        <v>Q-10825-00</v>
      </c>
    </row>
    <row r="2664">
      <c r="A2664" s="2" t="str">
        <f>IFERROR(__xludf.DUMMYFUNCTION("""COMPUTED_VALUE"""),"Q-10827-00")</f>
        <v>Q-10827-00</v>
      </c>
      <c r="B2664" s="2" t="str">
        <f>IFERROR(__xludf.DUMMYFUNCTION("""COMPUTED_VALUE"""),"Jet Gun For Cleaning AC")</f>
        <v>Jet Gun For Cleaning AC</v>
      </c>
      <c r="C2664" s="2" t="str">
        <f>IFERROR(__xludf.DUMMYFUNCTION("""COMPUTED_VALUE"""),"Q-10827-00")</f>
        <v>Q-10827-00</v>
      </c>
    </row>
    <row r="2665">
      <c r="A2665" s="2" t="str">
        <f>IFERROR(__xludf.DUMMYFUNCTION("""COMPUTED_VALUE"""),"Q-10828-00")</f>
        <v>Q-10828-00</v>
      </c>
      <c r="B2665" s="2" t="str">
        <f>IFERROR(__xludf.DUMMYFUNCTION("""COMPUTED_VALUE"""),"Plastik AC 0,5-2 PK @5 meter; ; ;")</f>
        <v>Plastik AC 0,5-2 PK @5 meter; ; ;</v>
      </c>
      <c r="C2665" s="2" t="str">
        <f>IFERROR(__xludf.DUMMYFUNCTION("""COMPUTED_VALUE"""),"Q-10828-00")</f>
        <v>Q-10828-00</v>
      </c>
    </row>
    <row r="2666">
      <c r="A2666" s="2" t="str">
        <f>IFERROR(__xludf.DUMMYFUNCTION("""COMPUTED_VALUE"""),"Q-10829-00")</f>
        <v>Q-10829-00</v>
      </c>
      <c r="B2666" s="2" t="str">
        <f>IFERROR(__xludf.DUMMYFUNCTION("""COMPUTED_VALUE"""),"Cat Ambiance Lakestone 44537M Tinting; Dulux; ;")</f>
        <v>Cat Ambiance Lakestone 44537M Tinting; Dulux; ;</v>
      </c>
      <c r="C2666" s="2" t="str">
        <f>IFERROR(__xludf.DUMMYFUNCTION("""COMPUTED_VALUE"""),"Q-10829-00")</f>
        <v>Q-10829-00</v>
      </c>
    </row>
    <row r="2667">
      <c r="A2667" s="2" t="str">
        <f>IFERROR(__xludf.DUMMYFUNCTION("""COMPUTED_VALUE"""),"Q-10845-00")</f>
        <v>Q-10845-00</v>
      </c>
      <c r="B2667" s="2" t="str">
        <f>IFERROR(__xludf.DUMMYFUNCTION("""COMPUTED_VALUE"""),"Fitting Lampu Bholam E27; ; ; pcs")</f>
        <v>Fitting Lampu Bholam E27; ; ; pcs</v>
      </c>
      <c r="C2667" s="2" t="str">
        <f>IFERROR(__xludf.DUMMYFUNCTION("""COMPUTED_VALUE"""),"Q-10845-00")</f>
        <v>Q-10845-00</v>
      </c>
    </row>
    <row r="2668">
      <c r="A2668" s="2" t="str">
        <f>IFERROR(__xludf.DUMMYFUNCTION("""COMPUTED_VALUE"""),"Q-10855-00")</f>
        <v>Q-10855-00</v>
      </c>
      <c r="B2668" s="2" t="str">
        <f>IFERROR(__xludf.DUMMYFUNCTION("""COMPUTED_VALUE"""),"Apar Termatic Powder")</f>
        <v>Apar Termatic Powder</v>
      </c>
      <c r="C2668" s="2" t="str">
        <f>IFERROR(__xludf.DUMMYFUNCTION("""COMPUTED_VALUE"""),"Q-10855-00")</f>
        <v>Q-10855-00</v>
      </c>
    </row>
    <row r="2669">
      <c r="A2669" s="2" t="str">
        <f>IFERROR(__xludf.DUMMYFUNCTION("""COMPUTED_VALUE"""),"Q-10856-00")</f>
        <v>Q-10856-00</v>
      </c>
      <c r="B2669" s="2" t="str">
        <f>IFERROR(__xludf.DUMMYFUNCTION("""COMPUTED_VALUE"""),"SCHINDLER ELEVATOR - Guide Shoe Oil Box")</f>
        <v>SCHINDLER ELEVATOR - Guide Shoe Oil Box</v>
      </c>
      <c r="C2669" s="2" t="str">
        <f>IFERROR(__xludf.DUMMYFUNCTION("""COMPUTED_VALUE"""),"Q-10856-00")</f>
        <v>Q-10856-00</v>
      </c>
    </row>
    <row r="2670">
      <c r="A2670" s="2" t="str">
        <f>IFERROR(__xludf.DUMMYFUNCTION("""COMPUTED_VALUE"""),"Q-10857-00")</f>
        <v>Q-10857-00</v>
      </c>
      <c r="B2670" s="2" t="str">
        <f>IFERROR(__xludf.DUMMYFUNCTION("""COMPUTED_VALUE"""),"Nitric Acid (HNO3) 68 %")</f>
        <v>Nitric Acid (HNO3) 68 %</v>
      </c>
      <c r="C2670" s="2" t="str">
        <f>IFERROR(__xludf.DUMMYFUNCTION("""COMPUTED_VALUE"""),"Q-10857-00")</f>
        <v>Q-10857-00</v>
      </c>
    </row>
    <row r="2671">
      <c r="A2671" s="2" t="str">
        <f>IFERROR(__xludf.DUMMYFUNCTION("""COMPUTED_VALUE"""),"Q-10859-00")</f>
        <v>Q-10859-00</v>
      </c>
      <c r="B2671" s="2" t="str">
        <f>IFERROR(__xludf.DUMMYFUNCTION("""COMPUTED_VALUE"""),"Gembok 40 mm;No Brand;;pack size per pcs")</f>
        <v>Gembok 40 mm;No Brand;;pack size per pcs</v>
      </c>
      <c r="C2671" s="2" t="str">
        <f>IFERROR(__xludf.DUMMYFUNCTION("""COMPUTED_VALUE"""),"Q-10859-00")</f>
        <v>Q-10859-00</v>
      </c>
    </row>
    <row r="2672">
      <c r="A2672" s="2" t="str">
        <f>IFERROR(__xludf.DUMMYFUNCTION("""COMPUTED_VALUE"""),"Q-10860-00")</f>
        <v>Q-10860-00</v>
      </c>
      <c r="B2672" s="2" t="str">
        <f>IFERROR(__xludf.DUMMYFUNCTION("""COMPUTED_VALUE"""),"SCHINDLER ELEVATOR - Chime Bell")</f>
        <v>SCHINDLER ELEVATOR - Chime Bell</v>
      </c>
      <c r="C2672" s="2" t="str">
        <f>IFERROR(__xludf.DUMMYFUNCTION("""COMPUTED_VALUE"""),"Q-10860-00")</f>
        <v>Q-10860-00</v>
      </c>
    </row>
    <row r="2673">
      <c r="A2673" s="2" t="str">
        <f>IFERROR(__xludf.DUMMYFUNCTION("""COMPUTED_VALUE"""),"Q-10862-00")</f>
        <v>Q-10862-00</v>
      </c>
      <c r="B2673" s="2" t="str">
        <f>IFERROR(__xludf.DUMMYFUNCTION("""COMPUTED_VALUE"""),"Bracket TV Monitor LED 32-51 inch")</f>
        <v>Bracket TV Monitor LED 32-51 inch</v>
      </c>
      <c r="C2673" s="2" t="str">
        <f>IFERROR(__xludf.DUMMYFUNCTION("""COMPUTED_VALUE"""),"Q-10862-00")</f>
        <v>Q-10862-00</v>
      </c>
    </row>
    <row r="2674">
      <c r="A2674" s="2" t="str">
        <f>IFERROR(__xludf.DUMMYFUNCTION("""COMPUTED_VALUE"""),"Q-10863-00")</f>
        <v>Q-10863-00</v>
      </c>
      <c r="B2674" s="2" t="str">
        <f>IFERROR(__xludf.DUMMYFUNCTION("""COMPUTED_VALUE"""),"Wallmount Indorack WR5004S 4U 500MM Singel Door Rack Server")</f>
        <v>Wallmount Indorack WR5004S 4U 500MM Singel Door Rack Server</v>
      </c>
      <c r="C2674" s="2" t="str">
        <f>IFERROR(__xludf.DUMMYFUNCTION("""COMPUTED_VALUE"""),"Q-10863-00")</f>
        <v>Q-10863-00</v>
      </c>
    </row>
    <row r="2675">
      <c r="A2675" s="2" t="str">
        <f>IFERROR(__xludf.DUMMYFUNCTION("""COMPUTED_VALUE"""),"Q-10880-00")</f>
        <v>Q-10880-00</v>
      </c>
      <c r="B2675" s="2" t="str">
        <f>IFERROR(__xludf.DUMMYFUNCTION("""COMPUTED_VALUE"""),"Holder Vertical Blind Hanger 127 mm")</f>
        <v>Holder Vertical Blind Hanger 127 mm</v>
      </c>
      <c r="C2675" s="2" t="str">
        <f>IFERROR(__xludf.DUMMYFUNCTION("""COMPUTED_VALUE"""),"Q-10880-00")</f>
        <v>Q-10880-00</v>
      </c>
    </row>
    <row r="2676">
      <c r="A2676" s="2" t="str">
        <f>IFERROR(__xludf.DUMMYFUNCTION("""COMPUTED_VALUE"""),"Q-10885-00")</f>
        <v>Q-10885-00</v>
      </c>
      <c r="B2676" s="2" t="str">
        <f>IFERROR(__xludf.DUMMYFUNCTION("""COMPUTED_VALUE"""),"Kunci Grendel SS 1 1/2 Inch")</f>
        <v>Kunci Grendel SS 1 1/2 Inch</v>
      </c>
      <c r="C2676" s="2" t="str">
        <f>IFERROR(__xludf.DUMMYFUNCTION("""COMPUTED_VALUE"""),"Q-10885-00")</f>
        <v>Q-10885-00</v>
      </c>
    </row>
    <row r="2677">
      <c r="A2677" s="2" t="str">
        <f>IFERROR(__xludf.DUMMYFUNCTION("""COMPUTED_VALUE"""),"Q-10900-00")</f>
        <v>Q-10900-00</v>
      </c>
      <c r="B2677" s="2" t="str">
        <f>IFERROR(__xludf.DUMMYFUNCTION("""COMPUTED_VALUE"""),"Skrup Baja Hitam;No Brand;;pack size per pack")</f>
        <v>Skrup Baja Hitam;No Brand;;pack size per pack</v>
      </c>
      <c r="C2677" s="2" t="str">
        <f>IFERROR(__xludf.DUMMYFUNCTION("""COMPUTED_VALUE"""),"Q-10900-00")</f>
        <v>Q-10900-00</v>
      </c>
    </row>
    <row r="2678">
      <c r="A2678" s="2" t="str">
        <f>IFERROR(__xludf.DUMMYFUNCTION("""COMPUTED_VALUE"""),"Q-10901-00")</f>
        <v>Q-10901-00</v>
      </c>
      <c r="B2678" s="2" t="str">
        <f>IFERROR(__xludf.DUMMYFUNCTION("""COMPUTED_VALUE"""),"Lem Fox Kayu Putih")</f>
        <v>Lem Fox Kayu Putih</v>
      </c>
      <c r="C2678" s="2" t="str">
        <f>IFERROR(__xludf.DUMMYFUNCTION("""COMPUTED_VALUE"""),"Q-10901-00")</f>
        <v>Q-10901-00</v>
      </c>
    </row>
    <row r="2679">
      <c r="A2679" s="2" t="str">
        <f>IFERROR(__xludf.DUMMYFUNCTION("""COMPUTED_VALUE"""),"Q-10902-00")</f>
        <v>Q-10902-00</v>
      </c>
      <c r="B2679" s="2" t="str">
        <f>IFERROR(__xludf.DUMMYFUNCTION("""COMPUTED_VALUE"""),"Gypsum 9 mm;No Brand;;pack size per lembar")</f>
        <v>Gypsum 9 mm;No Brand;;pack size per lembar</v>
      </c>
      <c r="C2679" s="2" t="str">
        <f>IFERROR(__xludf.DUMMYFUNCTION("""COMPUTED_VALUE"""),"Q-10902-00")</f>
        <v>Q-10902-00</v>
      </c>
    </row>
    <row r="2680">
      <c r="A2680" s="2" t="str">
        <f>IFERROR(__xludf.DUMMYFUNCTION("""COMPUTED_VALUE"""),"Q-10903-00")</f>
        <v>Q-10903-00</v>
      </c>
      <c r="B2680" s="2" t="str">
        <f>IFERROR(__xludf.DUMMYFUNCTION("""COMPUTED_VALUE"""),"Lem Wall Papper BOSTIK")</f>
        <v>Lem Wall Papper BOSTIK</v>
      </c>
      <c r="C2680" s="2" t="str">
        <f>IFERROR(__xludf.DUMMYFUNCTION("""COMPUTED_VALUE"""),"Q-10903-00")</f>
        <v>Q-10903-00</v>
      </c>
    </row>
    <row r="2681">
      <c r="A2681" s="2" t="str">
        <f>IFERROR(__xludf.DUMMYFUNCTION("""COMPUTED_VALUE"""),"Q-10904-00")</f>
        <v>Q-10904-00</v>
      </c>
      <c r="B2681" s="2" t="str">
        <f>IFERROR(__xludf.DUMMYFUNCTION("""COMPUTED_VALUE"""),"Handle Pintu Kaca Deksson DK 82801; ; ;")</f>
        <v>Handle Pintu Kaca Deksson DK 82801; ; ;</v>
      </c>
      <c r="C2681" s="2" t="str">
        <f>IFERROR(__xludf.DUMMYFUNCTION("""COMPUTED_VALUE"""),"Q-10904-00")</f>
        <v>Q-10904-00</v>
      </c>
    </row>
    <row r="2682">
      <c r="A2682" s="2" t="str">
        <f>IFERROR(__xludf.DUMMYFUNCTION("""COMPUTED_VALUE"""),"Q-10905-00")</f>
        <v>Q-10905-00</v>
      </c>
      <c r="B2682" s="2" t="str">
        <f>IFERROR(__xludf.DUMMYFUNCTION("""COMPUTED_VALUE"""),"Kanal C Galvalum Baja Ringan 0.75")</f>
        <v>Kanal C Galvalum Baja Ringan 0.75</v>
      </c>
      <c r="C2682" s="2" t="str">
        <f>IFERROR(__xludf.DUMMYFUNCTION("""COMPUTED_VALUE"""),"Q-10905-00")</f>
        <v>Q-10905-00</v>
      </c>
    </row>
    <row r="2683">
      <c r="A2683" s="2" t="str">
        <f>IFERROR(__xludf.DUMMYFUNCTION("""COMPUTED_VALUE"""),"Q-10908-00")</f>
        <v>Q-10908-00</v>
      </c>
      <c r="B2683" s="2" t="str">
        <f>IFERROR(__xludf.DUMMYFUNCTION("""COMPUTED_VALUE"""),"Lan Card PCI Express TG-3468 Gigabit 10/100/1000 Mbps TG-3468 TP-Link")</f>
        <v>Lan Card PCI Express TG-3468 Gigabit 10/100/1000 Mbps TG-3468 TP-Link</v>
      </c>
      <c r="C2683" s="2" t="str">
        <f>IFERROR(__xludf.DUMMYFUNCTION("""COMPUTED_VALUE"""),"Q-10908-00")</f>
        <v>Q-10908-00</v>
      </c>
    </row>
    <row r="2684">
      <c r="A2684" s="2" t="str">
        <f>IFERROR(__xludf.DUMMYFUNCTION("""COMPUTED_VALUE"""),"Q-10909-00")</f>
        <v>Q-10909-00</v>
      </c>
      <c r="B2684" s="2" t="str">
        <f>IFERROR(__xludf.DUMMYFUNCTION("""COMPUTED_VALUE"""),"Cat Epoxy JOTAFLOOR TC RAL 5012 JOTUN")</f>
        <v>Cat Epoxy JOTAFLOOR TC RAL 5012 JOTUN</v>
      </c>
      <c r="C2684" s="2" t="str">
        <f>IFERROR(__xludf.DUMMYFUNCTION("""COMPUTED_VALUE"""),"Q-10909-00")</f>
        <v>Q-10909-00</v>
      </c>
    </row>
    <row r="2685">
      <c r="A2685" s="2" t="str">
        <f>IFERROR(__xludf.DUMMYFUNCTION("""COMPUTED_VALUE"""),"Q-10910-00")</f>
        <v>Q-10910-00</v>
      </c>
      <c r="B2685" s="2" t="str">
        <f>IFERROR(__xludf.DUMMYFUNCTION("""COMPUTED_VALUE"""),"Cat Epoxy JOTAFLOOR TC RAL 7035 JOTUN")</f>
        <v>Cat Epoxy JOTAFLOOR TC RAL 7035 JOTUN</v>
      </c>
      <c r="C2685" s="2" t="str">
        <f>IFERROR(__xludf.DUMMYFUNCTION("""COMPUTED_VALUE"""),"Q-10910-00")</f>
        <v>Q-10910-00</v>
      </c>
    </row>
    <row r="2686">
      <c r="A2686" s="2" t="str">
        <f>IFERROR(__xludf.DUMMYFUNCTION("""COMPUTED_VALUE"""),"Q-10911-00")</f>
        <v>Q-10911-00</v>
      </c>
      <c r="B2686" s="2" t="str">
        <f>IFERROR(__xludf.DUMMYFUNCTION("""COMPUTED_VALUE"""),"Cat Epoxy JOTAFLOOR TC SEALER CLEAR JOTUN")</f>
        <v>Cat Epoxy JOTAFLOOR TC SEALER CLEAR JOTUN</v>
      </c>
      <c r="C2686" s="2" t="str">
        <f>IFERROR(__xludf.DUMMYFUNCTION("""COMPUTED_VALUE"""),"Q-10911-00")</f>
        <v>Q-10911-00</v>
      </c>
    </row>
    <row r="2687">
      <c r="A2687" s="2" t="str">
        <f>IFERROR(__xludf.DUMMYFUNCTION("""COMPUTED_VALUE"""),"Q-10912-00")</f>
        <v>Q-10912-00</v>
      </c>
      <c r="B2687" s="2" t="str">
        <f>IFERROR(__xludf.DUMMYFUNCTION("""COMPUTED_VALUE"""),"Pompa Oil Manual Drum")</f>
        <v>Pompa Oil Manual Drum</v>
      </c>
      <c r="C2687" s="2" t="str">
        <f>IFERROR(__xludf.DUMMYFUNCTION("""COMPUTED_VALUE"""),"Q-10912-00")</f>
        <v>Q-10912-00</v>
      </c>
    </row>
    <row r="2688">
      <c r="A2688" s="2" t="str">
        <f>IFERROR(__xludf.DUMMYFUNCTION("""COMPUTED_VALUE"""),"Q-10924-00")</f>
        <v>Q-10924-00</v>
      </c>
      <c r="B2688" s="2" t="str">
        <f>IFERROR(__xludf.DUMMYFUNCTION("""COMPUTED_VALUE"""),"Cat Hardtop XP RAL 5018 Turquois Blue Jotun")</f>
        <v>Cat Hardtop XP RAL 5018 Turquois Blue Jotun</v>
      </c>
      <c r="C2688" s="2" t="str">
        <f>IFERROR(__xludf.DUMMYFUNCTION("""COMPUTED_VALUE"""),"Q-10924-00")</f>
        <v>Q-10924-00</v>
      </c>
    </row>
    <row r="2689">
      <c r="A2689" s="2" t="str">
        <f>IFERROR(__xludf.DUMMYFUNCTION("""COMPUTED_VALUE"""),"Q-10930-00")</f>
        <v>Q-10930-00</v>
      </c>
      <c r="B2689" s="2" t="str">
        <f>IFERROR(__xludf.DUMMYFUNCTION("""COMPUTED_VALUE"""),"PCI Usb Card 4 port usb 2.0 Konektor Panjang")</f>
        <v>PCI Usb Card 4 port usb 2.0 Konektor Panjang</v>
      </c>
      <c r="C2689" s="2" t="str">
        <f>IFERROR(__xludf.DUMMYFUNCTION("""COMPUTED_VALUE"""),"Q-10930-00")</f>
        <v>Q-10930-00</v>
      </c>
    </row>
    <row r="2690">
      <c r="A2690" s="2" t="str">
        <f>IFERROR(__xludf.DUMMYFUNCTION("""COMPUTED_VALUE"""),"Q-10931-00")</f>
        <v>Q-10931-00</v>
      </c>
      <c r="B2690" s="2" t="str">
        <f>IFERROR(__xludf.DUMMYFUNCTION("""COMPUTED_VALUE"""),"Grendel Slot Pintu Geser")</f>
        <v>Grendel Slot Pintu Geser</v>
      </c>
      <c r="C2690" s="2" t="str">
        <f>IFERROR(__xludf.DUMMYFUNCTION("""COMPUTED_VALUE"""),"Q-10931-00")</f>
        <v>Q-10931-00</v>
      </c>
    </row>
    <row r="2691">
      <c r="A2691" s="2" t="str">
        <f>IFERROR(__xludf.DUMMYFUNCTION("""COMPUTED_VALUE"""),"Q-10933-00")</f>
        <v>Q-10933-00</v>
      </c>
      <c r="B2691" s="2" t="str">
        <f>IFERROR(__xludf.DUMMYFUNCTION("""COMPUTED_VALUE"""),"Mesin Amplas GSS-1400 BOSCH")</f>
        <v>Mesin Amplas GSS-1400 BOSCH</v>
      </c>
      <c r="C2691" s="2" t="str">
        <f>IFERROR(__xludf.DUMMYFUNCTION("""COMPUTED_VALUE"""),"Q-10933-00")</f>
        <v>Q-10933-00</v>
      </c>
    </row>
    <row r="2692">
      <c r="A2692" s="2" t="str">
        <f>IFERROR(__xludf.DUMMYFUNCTION("""COMPUTED_VALUE"""),"Q-10946-00")</f>
        <v>Q-10946-00</v>
      </c>
      <c r="B2692" s="2" t="str">
        <f>IFERROR(__xludf.DUMMYFUNCTION("""COMPUTED_VALUE"""),"Silicone Sealant;Silglaze;Type N10 Light Grey;pack size per pcs")</f>
        <v>Silicone Sealant;Silglaze;Type N10 Light Grey;pack size per pcs</v>
      </c>
      <c r="C2692" s="2" t="str">
        <f>IFERROR(__xludf.DUMMYFUNCTION("""COMPUTED_VALUE"""),"Q-10946-00")</f>
        <v>Q-10946-00</v>
      </c>
    </row>
    <row r="2693">
      <c r="A2693" s="2" t="str">
        <f>IFERROR(__xludf.DUMMYFUNCTION("""COMPUTED_VALUE"""),"Q-10947-00")</f>
        <v>Q-10947-00</v>
      </c>
      <c r="B2693" s="2" t="str">
        <f>IFERROR(__xludf.DUMMYFUNCTION("""COMPUTED_VALUE"""),"Plastik Cor Bagunan;No Brand;;pack size per pcs - Per 10kg")</f>
        <v>Plastik Cor Bagunan;No Brand;;pack size per pcs - Per 10kg</v>
      </c>
      <c r="C2693" s="2" t="str">
        <f>IFERROR(__xludf.DUMMYFUNCTION("""COMPUTED_VALUE"""),"Q-10947-00")</f>
        <v>Q-10947-00</v>
      </c>
    </row>
    <row r="2694">
      <c r="A2694" s="2" t="str">
        <f>IFERROR(__xludf.DUMMYFUNCTION("""COMPUTED_VALUE"""),"Q-10949-00")</f>
        <v>Q-10949-00</v>
      </c>
      <c r="B2694" s="2" t="str">
        <f>IFERROR(__xludf.DUMMYFUNCTION("""COMPUTED_VALUE"""),"SCHINDLER ELEVATOR - Ceiling Lamp Cover; ; ;")</f>
        <v>SCHINDLER ELEVATOR - Ceiling Lamp Cover; ; ;</v>
      </c>
      <c r="C2694" s="2" t="str">
        <f>IFERROR(__xludf.DUMMYFUNCTION("""COMPUTED_VALUE"""),"Q-10949-00")</f>
        <v>Q-10949-00</v>
      </c>
    </row>
    <row r="2695">
      <c r="A2695" s="2" t="str">
        <f>IFERROR(__xludf.DUMMYFUNCTION("""COMPUTED_VALUE"""),"Q-10952-00")</f>
        <v>Q-10952-00</v>
      </c>
      <c r="B2695" s="2" t="str">
        <f>IFERROR(__xludf.DUMMYFUNCTION("""COMPUTED_VALUE"""),"Mesh Uk. 18x0.28mmx1000mm Material SS 304; ; ;")</f>
        <v>Mesh Uk. 18x0.28mmx1000mm Material SS 304; ; ;</v>
      </c>
      <c r="C2695" s="2" t="str">
        <f>IFERROR(__xludf.DUMMYFUNCTION("""COMPUTED_VALUE"""),"Q-10952-00")</f>
        <v>Q-10952-00</v>
      </c>
    </row>
    <row r="2696">
      <c r="A2696" s="2" t="str">
        <f>IFERROR(__xludf.DUMMYFUNCTION("""COMPUTED_VALUE"""),"Q-10963-00")</f>
        <v>Q-10963-00</v>
      </c>
      <c r="B2696" s="2" t="str">
        <f>IFERROR(__xludf.DUMMYFUNCTION("""COMPUTED_VALUE"""),"Keramik Granito Salsa Oasis Warna Ivory 40x40mm; Granito; ;")</f>
        <v>Keramik Granito Salsa Oasis Warna Ivory 40x40mm; Granito; ;</v>
      </c>
      <c r="C2696" s="2" t="str">
        <f>IFERROR(__xludf.DUMMYFUNCTION("""COMPUTED_VALUE"""),"Q-10963-00")</f>
        <v>Q-10963-00</v>
      </c>
    </row>
    <row r="2697">
      <c r="A2697" s="2" t="str">
        <f>IFERROR(__xludf.DUMMYFUNCTION("""COMPUTED_VALUE"""),"Q-10967-00")</f>
        <v>Q-10967-00</v>
      </c>
      <c r="B2697" s="2" t="str">
        <f>IFERROR(__xludf.DUMMYFUNCTION("""COMPUTED_VALUE"""),"Nat Keramik AM 53 Cream Lotus; ; ;")</f>
        <v>Nat Keramik AM 53 Cream Lotus; ; ;</v>
      </c>
      <c r="C2697" s="2" t="str">
        <f>IFERROR(__xludf.DUMMYFUNCTION("""COMPUTED_VALUE"""),"Q-10967-00")</f>
        <v>Q-10967-00</v>
      </c>
    </row>
    <row r="2698">
      <c r="A2698" s="2" t="str">
        <f>IFERROR(__xludf.DUMMYFUNCTION("""COMPUTED_VALUE"""),"Q-10971-00")</f>
        <v>Q-10971-00</v>
      </c>
      <c r="B2698" s="2" t="str">
        <f>IFERROR(__xludf.DUMMYFUNCTION("""COMPUTED_VALUE"""),"Magnet Kotak Pintu Lemari Small Stainless Steel 1.5x3.6cm; ; ;")</f>
        <v>Magnet Kotak Pintu Lemari Small Stainless Steel 1.5x3.6cm; ; ;</v>
      </c>
      <c r="C2698" s="2" t="str">
        <f>IFERROR(__xludf.DUMMYFUNCTION("""COMPUTED_VALUE"""),"Q-10971-00")</f>
        <v>Q-10971-00</v>
      </c>
    </row>
    <row r="2699">
      <c r="A2699" s="2" t="str">
        <f>IFERROR(__xludf.DUMMYFUNCTION("""COMPUTED_VALUE"""),"Q-10972-00")</f>
        <v>Q-10972-00</v>
      </c>
      <c r="B2699" s="2" t="str">
        <f>IFERROR(__xludf.DUMMYFUNCTION("""COMPUTED_VALUE"""),"Koper Penyimpan Alat Cashing Aluminium Uk. 215x215x655mm; ; ;")</f>
        <v>Koper Penyimpan Alat Cashing Aluminium Uk. 215x215x655mm; ; ;</v>
      </c>
      <c r="C2699" s="2" t="str">
        <f>IFERROR(__xludf.DUMMYFUNCTION("""COMPUTED_VALUE"""),"Q-10972-00")</f>
        <v>Q-10972-00</v>
      </c>
    </row>
    <row r="2700">
      <c r="A2700" s="2" t="str">
        <f>IFERROR(__xludf.DUMMYFUNCTION("""COMPUTED_VALUE"""),"Q-10982-00")</f>
        <v>Q-10982-00</v>
      </c>
      <c r="B2700" s="2" t="str">
        <f>IFERROR(__xludf.DUMMYFUNCTION("""COMPUTED_VALUE"""),"Spray Gun CSGLI2001 800cc; INGCO; ;")</f>
        <v>Spray Gun CSGLI2001 800cc; INGCO; ;</v>
      </c>
      <c r="C2700" s="2" t="str">
        <f>IFERROR(__xludf.DUMMYFUNCTION("""COMPUTED_VALUE"""),"Q-10982-00")</f>
        <v>Q-10982-00</v>
      </c>
    </row>
    <row r="2701">
      <c r="A2701" s="2" t="str">
        <f>IFERROR(__xludf.DUMMYFUNCTION("""COMPUTED_VALUE"""),"Q-10983-00")</f>
        <v>Q-10983-00</v>
      </c>
      <c r="B2701" s="2" t="str">
        <f>IFERROR(__xludf.DUMMYFUNCTION("""COMPUTED_VALUE"""),"Isolator Keramik Busbar Silinder 50x40; ; ;")</f>
        <v>Isolator Keramik Busbar Silinder 50x40; ; ;</v>
      </c>
      <c r="C2701" s="2" t="str">
        <f>IFERROR(__xludf.DUMMYFUNCTION("""COMPUTED_VALUE"""),"Q-10983-00")</f>
        <v>Q-10983-00</v>
      </c>
    </row>
    <row r="2702">
      <c r="A2702" s="2" t="str">
        <f>IFERROR(__xludf.DUMMYFUNCTION("""COMPUTED_VALUE"""),"Q-10984-00")</f>
        <v>Q-10984-00</v>
      </c>
      <c r="B2702" s="2" t="str">
        <f>IFERROR(__xludf.DUMMYFUNCTION("""COMPUTED_VALUE"""),"Door Seal Karet Penutup Bawah Pintu Abu 2,5 cm x 1 M; ; ;")</f>
        <v>Door Seal Karet Penutup Bawah Pintu Abu 2,5 cm x 1 M; ; ;</v>
      </c>
      <c r="C2702" s="2" t="str">
        <f>IFERROR(__xludf.DUMMYFUNCTION("""COMPUTED_VALUE"""),"Q-10984-00")</f>
        <v>Q-10984-00</v>
      </c>
    </row>
    <row r="2703">
      <c r="A2703" s="2" t="str">
        <f>IFERROR(__xludf.DUMMYFUNCTION("""COMPUTED_VALUE"""),"Q-10985-00")</f>
        <v>Q-10985-00</v>
      </c>
      <c r="B2703" s="2" t="str">
        <f>IFERROR(__xludf.DUMMYFUNCTION("""COMPUTED_VALUE"""),"Keramik Granito Warna Crystal White Sand 60x60; Granito; ;")</f>
        <v>Keramik Granito Warna Crystal White Sand 60x60; Granito; ;</v>
      </c>
      <c r="C2703" s="2" t="str">
        <f>IFERROR(__xludf.DUMMYFUNCTION("""COMPUTED_VALUE"""),"Q-10985-00")</f>
        <v>Q-10985-00</v>
      </c>
    </row>
    <row r="2704">
      <c r="A2704" s="2" t="str">
        <f>IFERROR(__xludf.DUMMYFUNCTION("""COMPUTED_VALUE"""),"Q-10986-00")</f>
        <v>Q-10986-00</v>
      </c>
      <c r="B2704" s="2" t="str">
        <f>IFERROR(__xludf.DUMMYFUNCTION("""COMPUTED_VALUE"""),"Face Plate HDMI to VGA Skrup; AMP; ;")</f>
        <v>Face Plate HDMI to VGA Skrup; AMP; ;</v>
      </c>
      <c r="C2704" s="2" t="str">
        <f>IFERROR(__xludf.DUMMYFUNCTION("""COMPUTED_VALUE"""),"Q-10986-00")</f>
        <v>Q-10986-00</v>
      </c>
    </row>
    <row r="2705">
      <c r="A2705" s="2" t="str">
        <f>IFERROR(__xludf.DUMMYFUNCTION("""COMPUTED_VALUE"""),"Q-10987-00")</f>
        <v>Q-10987-00</v>
      </c>
      <c r="B2705" s="2" t="str">
        <f>IFERROR(__xludf.DUMMYFUNCTION("""COMPUTED_VALUE"""),"HPL Edging Abu 2.2cm; Taco; ;")</f>
        <v>HPL Edging Abu 2.2cm; Taco; ;</v>
      </c>
      <c r="C2705" s="2" t="str">
        <f>IFERROR(__xludf.DUMMYFUNCTION("""COMPUTED_VALUE"""),"Q-10987-00")</f>
        <v>Q-10987-00</v>
      </c>
    </row>
    <row r="2706">
      <c r="A2706" s="2" t="str">
        <f>IFERROR(__xludf.DUMMYFUNCTION("""COMPUTED_VALUE"""),"Q-11000-00")</f>
        <v>Q-11000-00</v>
      </c>
      <c r="B2706" s="2" t="str">
        <f>IFERROR(__xludf.DUMMYFUNCTION("""COMPUTED_VALUE"""),"Jasa Perbaikan Gedung; ; ;")</f>
        <v>Jasa Perbaikan Gedung; ; ;</v>
      </c>
      <c r="C2706" s="2" t="str">
        <f>IFERROR(__xludf.DUMMYFUNCTION("""COMPUTED_VALUE"""),"Q-11000-00")</f>
        <v>Q-11000-00</v>
      </c>
    </row>
    <row r="2707">
      <c r="A2707" s="2" t="str">
        <f>IFERROR(__xludf.DUMMYFUNCTION("""COMPUTED_VALUE"""),"Q-11002-00")</f>
        <v>Q-11002-00</v>
      </c>
      <c r="B2707" s="2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7" s="2" t="str">
        <f>IFERROR(__xludf.DUMMYFUNCTION("""COMPUTED_VALUE"""),"Q-11002-00")</f>
        <v>Q-11002-00</v>
      </c>
    </row>
    <row r="2708">
      <c r="A2708" s="2" t="str">
        <f>IFERROR(__xludf.DUMMYFUNCTION("""COMPUTED_VALUE"""),"Q-12033-00")</f>
        <v>Q-12033-00</v>
      </c>
      <c r="B2708" s="2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8" s="2" t="str">
        <f>IFERROR(__xludf.DUMMYFUNCTION("""COMPUTED_VALUE"""),"Q-12033-00")</f>
        <v>Q-12033-00</v>
      </c>
    </row>
    <row r="2709">
      <c r="A2709" s="2" t="str">
        <f>IFERROR(__xludf.DUMMYFUNCTION("""COMPUTED_VALUE"""),"Q-12047-00")</f>
        <v>Q-12047-00</v>
      </c>
      <c r="B2709" s="2" t="str">
        <f>IFERROR(__xludf.DUMMYFUNCTION("""COMPUTED_VALUE"""),"Kape PVC / Scraper / Skrap PVC Ukuran 5 Inch;; Lokal; ; pc")</f>
        <v>Kape PVC / Scraper / Skrap PVC Ukuran 5 Inch;; Lokal; ; pc</v>
      </c>
      <c r="C2709" s="2" t="str">
        <f>IFERROR(__xludf.DUMMYFUNCTION("""COMPUTED_VALUE"""),"Q-12047-00")</f>
        <v>Q-12047-00</v>
      </c>
    </row>
    <row r="2710">
      <c r="A2710" s="2" t="str">
        <f>IFERROR(__xludf.DUMMYFUNCTION("""COMPUTED_VALUE"""),"Q-12050-00")</f>
        <v>Q-12050-00</v>
      </c>
      <c r="B2710" s="2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0" s="2" t="str">
        <f>IFERROR(__xludf.DUMMYFUNCTION("""COMPUTED_VALUE"""),"Q-12050-00")</f>
        <v>Q-12050-00</v>
      </c>
    </row>
    <row r="2711">
      <c r="A2711" s="2" t="str">
        <f>IFERROR(__xludf.DUMMYFUNCTION("""COMPUTED_VALUE"""),"Q-12060-00")</f>
        <v>Q-12060-00</v>
      </c>
      <c r="B2711" s="2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1" s="2" t="str">
        <f>IFERROR(__xludf.DUMMYFUNCTION("""COMPUTED_VALUE"""),"Q-12060-00")</f>
        <v>Q-12060-00</v>
      </c>
    </row>
    <row r="2712">
      <c r="A2712" s="2" t="str">
        <f>IFERROR(__xludf.DUMMYFUNCTION("""COMPUTED_VALUE"""),"Q-12073-00")</f>
        <v>Q-12073-00</v>
      </c>
      <c r="B2712" s="2" t="str">
        <f>IFERROR(__xludf.DUMMYFUNCTION("""COMPUTED_VALUE"""),"Door Seal Brush Alumunium; Lokal; Ukuran 100 cm x 3,5 cm; pc")</f>
        <v>Door Seal Brush Alumunium; Lokal; Ukuran 100 cm x 3,5 cm; pc</v>
      </c>
      <c r="C2712" s="2" t="str">
        <f>IFERROR(__xludf.DUMMYFUNCTION("""COMPUTED_VALUE"""),"Q-12073-00")</f>
        <v>Q-12073-00</v>
      </c>
    </row>
    <row r="2713">
      <c r="A2713" s="2" t="str">
        <f>IFERROR(__xludf.DUMMYFUNCTION("""COMPUTED_VALUE"""),"Q-12076-00")</f>
        <v>Q-12076-00</v>
      </c>
      <c r="B2713" s="2" t="str">
        <f>IFERROR(__xludf.DUMMYFUNCTION("""COMPUTED_VALUE"""),"Kunci Laci Lemari Loker Slide; Huben; HL-505; per set")</f>
        <v>Kunci Laci Lemari Loker Slide; Huben; HL-505; per set</v>
      </c>
      <c r="C2713" s="2" t="str">
        <f>IFERROR(__xludf.DUMMYFUNCTION("""COMPUTED_VALUE"""),"Q-12076-00")</f>
        <v>Q-12076-00</v>
      </c>
    </row>
    <row r="2714">
      <c r="A2714" s="2" t="str">
        <f>IFERROR(__xludf.DUMMYFUNCTION("""COMPUTED_VALUE"""),"Q-12077-00")</f>
        <v>Q-12077-00</v>
      </c>
      <c r="B2714" s="2" t="str">
        <f>IFERROR(__xludf.DUMMYFUNCTION("""COMPUTED_VALUE"""),"Piston Valve; Toto; S302; pc")</f>
        <v>Piston Valve; Toto; S302; pc</v>
      </c>
      <c r="C2714" s="2" t="str">
        <f>IFERROR(__xludf.DUMMYFUNCTION("""COMPUTED_VALUE"""),"Q-12077-00")</f>
        <v>Q-12077-00</v>
      </c>
    </row>
    <row r="2715">
      <c r="A2715" s="2" t="str">
        <f>IFERROR(__xludf.DUMMYFUNCTION("""COMPUTED_VALUE"""),"Q-12105-00")</f>
        <v>Q-12105-00</v>
      </c>
      <c r="B2715" s="2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5" s="2" t="str">
        <f>IFERROR(__xludf.DUMMYFUNCTION("""COMPUTED_VALUE"""),"Q-12105-00")</f>
        <v>Q-12105-00</v>
      </c>
    </row>
    <row r="2716">
      <c r="A2716" s="2" t="str">
        <f>IFERROR(__xludf.DUMMYFUNCTION("""COMPUTED_VALUE"""),"Q-12117-00")</f>
        <v>Q-12117-00</v>
      </c>
      <c r="B2716" s="2" t="str">
        <f>IFERROR(__xludf.DUMMYFUNCTION("""COMPUTED_VALUE"""),"Lem Anti Bocor Waterproof Nano Transparan; Aqualuxe; ; 1 kg")</f>
        <v>Lem Anti Bocor Waterproof Nano Transparan; Aqualuxe; ; 1 kg</v>
      </c>
      <c r="C2716" s="2" t="str">
        <f>IFERROR(__xludf.DUMMYFUNCTION("""COMPUTED_VALUE"""),"Q-12117-00")</f>
        <v>Q-12117-00</v>
      </c>
    </row>
    <row r="2717">
      <c r="A2717" s="2" t="str">
        <f>IFERROR(__xludf.DUMMYFUNCTION("""COMPUTED_VALUE"""),"Q-12123-00")</f>
        <v>Q-12123-00</v>
      </c>
      <c r="B2717" s="2" t="str">
        <f>IFERROR(__xludf.DUMMYFUNCTION("""COMPUTED_VALUE"""),"Lis Strip Pintu Seal Peredam Suara 6M; Lokal; 6M-SD6-Hitam; 6 meter/roll")</f>
        <v>Lis Strip Pintu Seal Peredam Suara 6M; Lokal; 6M-SD6-Hitam; 6 meter/roll</v>
      </c>
      <c r="C2717" s="2" t="str">
        <f>IFERROR(__xludf.DUMMYFUNCTION("""COMPUTED_VALUE"""),"Q-12123-00")</f>
        <v>Q-12123-00</v>
      </c>
    </row>
    <row r="2718">
      <c r="A2718" s="2" t="str">
        <f>IFERROR(__xludf.DUMMYFUNCTION("""COMPUTED_VALUE"""),"Q-12140-00")</f>
        <v>Q-12140-00</v>
      </c>
      <c r="B2718" s="2" t="str">
        <f>IFERROR(__xludf.DUMMYFUNCTION("""COMPUTED_VALUE"""),"Cat Semprot Signal Red 23; Samurai Paint; Signal Red 23; 400 ml per can")</f>
        <v>Cat Semprot Signal Red 23; Samurai Paint; Signal Red 23; 400 ml per can</v>
      </c>
      <c r="C2718" s="2" t="str">
        <f>IFERROR(__xludf.DUMMYFUNCTION("""COMPUTED_VALUE"""),"Q-12140-00")</f>
        <v>Q-12140-00</v>
      </c>
    </row>
    <row r="2719">
      <c r="A2719" s="2" t="str">
        <f>IFERROR(__xludf.DUMMYFUNCTION("""COMPUTED_VALUE"""),"Q-12141-00")</f>
        <v>Q-12141-00</v>
      </c>
      <c r="B2719" s="2" t="str">
        <f>IFERROR(__xludf.DUMMYFUNCTION("""COMPUTED_VALUE"""),"Cat Semprot Blue 312; Samurai Paint; Blue 312; 400 ml per can")</f>
        <v>Cat Semprot Blue 312; Samurai Paint; Blue 312; 400 ml per can</v>
      </c>
      <c r="C2719" s="2" t="str">
        <f>IFERROR(__xludf.DUMMYFUNCTION("""COMPUTED_VALUE"""),"Q-12141-00")</f>
        <v>Q-12141-00</v>
      </c>
    </row>
    <row r="2720">
      <c r="A2720" s="2" t="str">
        <f>IFERROR(__xludf.DUMMYFUNCTION("""COMPUTED_VALUE"""),"Q-12142-00")</f>
        <v>Q-12142-00</v>
      </c>
      <c r="B2720" s="2" t="str">
        <f>IFERROR(__xludf.DUMMYFUNCTION("""COMPUTED_VALUE"""),"Cat Semprot Grey 104; Samurai Paint; Grey 104; 400 ml per can")</f>
        <v>Cat Semprot Grey 104; Samurai Paint; Grey 104; 400 ml per can</v>
      </c>
      <c r="C2720" s="2" t="str">
        <f>IFERROR(__xludf.DUMMYFUNCTION("""COMPUTED_VALUE"""),"Q-12142-00")</f>
        <v>Q-12142-00</v>
      </c>
    </row>
    <row r="2721">
      <c r="A2721" s="2" t="str">
        <f>IFERROR(__xludf.DUMMYFUNCTION("""COMPUTED_VALUE"""),"Q-12143-00")</f>
        <v>Q-12143-00</v>
      </c>
      <c r="B2721" s="2" t="str">
        <f>IFERROR(__xludf.DUMMYFUNCTION("""COMPUTED_VALUE"""),"Cat Semprot Chrome Yellow; Samurai Paint; Chrome Yellow; 400 ml per can")</f>
        <v>Cat Semprot Chrome Yellow; Samurai Paint; Chrome Yellow; 400 ml per can</v>
      </c>
      <c r="C2721" s="2" t="str">
        <f>IFERROR(__xludf.DUMMYFUNCTION("""COMPUTED_VALUE"""),"Q-12143-00")</f>
        <v>Q-12143-00</v>
      </c>
    </row>
    <row r="2722">
      <c r="A2722" s="2" t="str">
        <f>IFERROR(__xludf.DUMMYFUNCTION("""COMPUTED_VALUE"""),"Q-12145-00")</f>
        <v>Q-12145-00</v>
      </c>
      <c r="B2722" s="2" t="str">
        <f>IFERROR(__xludf.DUMMYFUNCTION("""COMPUTED_VALUE"""),"Kasa Gypsum Tanpa Lem Ukuran 1 inch; Lokal; ; 20 meter per roll")</f>
        <v>Kasa Gypsum Tanpa Lem Ukuran 1 inch; Lokal; ; 20 meter per roll</v>
      </c>
      <c r="C2722" s="2" t="str">
        <f>IFERROR(__xludf.DUMMYFUNCTION("""COMPUTED_VALUE"""),"Q-12145-00")</f>
        <v>Q-12145-00</v>
      </c>
    </row>
    <row r="2723">
      <c r="A2723" s="2" t="str">
        <f>IFERROR(__xludf.DUMMYFUNCTION("""COMPUTED_VALUE"""),"Q-12150-00")</f>
        <v>Q-12150-00</v>
      </c>
      <c r="B2723" s="2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3" s="2" t="str">
        <f>IFERROR(__xludf.DUMMYFUNCTION("""COMPUTED_VALUE"""),"Q-12150-00")</f>
        <v>Q-12150-00</v>
      </c>
    </row>
    <row r="2724">
      <c r="A2724" s="2" t="str">
        <f>IFERROR(__xludf.DUMMYFUNCTION("""COMPUTED_VALUE"""),"Q-12151-00")</f>
        <v>Q-12151-00</v>
      </c>
      <c r="B2724" s="2" t="str">
        <f>IFERROR(__xludf.DUMMYFUNCTION("""COMPUTED_VALUE"""),"Keramik Dlucido Cream Uk. 20x25; Roman; Type W25107; pack size per 20 pcs box")</f>
        <v>Keramik Dlucido Cream Uk. 20x25; Roman; Type W25107; pack size per 20 pcs box</v>
      </c>
      <c r="C2724" s="2" t="str">
        <f>IFERROR(__xludf.DUMMYFUNCTION("""COMPUTED_VALUE"""),"Q-12151-00")</f>
        <v>Q-12151-00</v>
      </c>
    </row>
    <row r="2725">
      <c r="A2725" s="2" t="str">
        <f>IFERROR(__xludf.DUMMYFUNCTION("""COMPUTED_VALUE"""),"Q-12152-00")</f>
        <v>Q-12152-00</v>
      </c>
      <c r="B2725" s="2" t="str">
        <f>IFERROR(__xludf.DUMMYFUNCTION("""COMPUTED_VALUE"""),"Lem Kayu Putih 350 gram; Fox; ; 350 gram per pack")</f>
        <v>Lem Kayu Putih 350 gram; Fox; ; 350 gram per pack</v>
      </c>
      <c r="C2725" s="2" t="str">
        <f>IFERROR(__xludf.DUMMYFUNCTION("""COMPUTED_VALUE"""),"Q-12152-00")</f>
        <v>Q-12152-00</v>
      </c>
    </row>
    <row r="2726">
      <c r="A2726" s="2" t="str">
        <f>IFERROR(__xludf.DUMMYFUNCTION("""COMPUTED_VALUE"""),"Q-12153-00")</f>
        <v>Q-12153-00</v>
      </c>
      <c r="B2726" s="2" t="str">
        <f>IFERROR(__xludf.DUMMYFUNCTION("""COMPUTED_VALUE"""),"Door Seal Karet Penutup Bawah Pintu Hitam uk. 5 cm x 1 M; Lokal; ; pc")</f>
        <v>Door Seal Karet Penutup Bawah Pintu Hitam uk. 5 cm x 1 M; Lokal; ; pc</v>
      </c>
      <c r="C2726" s="2" t="str">
        <f>IFERROR(__xludf.DUMMYFUNCTION("""COMPUTED_VALUE"""),"Q-12153-00")</f>
        <v>Q-12153-00</v>
      </c>
    </row>
    <row r="2727">
      <c r="A2727" s="2" t="str">
        <f>IFERROR(__xludf.DUMMYFUNCTION("""COMPUTED_VALUE"""),"Q-12166-00")</f>
        <v>Q-12166-00</v>
      </c>
      <c r="B2727" s="2" t="str">
        <f>IFERROR(__xludf.DUMMYFUNCTION("""COMPUTED_VALUE"""),"Sandblast JT215 Buram 122cmx50m; Ruisitu; -; 1 Roll")</f>
        <v>Sandblast JT215 Buram 122cmx50m; Ruisitu; -; 1 Roll</v>
      </c>
      <c r="C2727" s="2" t="str">
        <f>IFERROR(__xludf.DUMMYFUNCTION("""COMPUTED_VALUE"""),"Q-12166-00")</f>
        <v>Q-12166-00</v>
      </c>
    </row>
    <row r="2728">
      <c r="A2728" s="2" t="str">
        <f>IFERROR(__xludf.DUMMYFUNCTION("""COMPUTED_VALUE"""),"Q-12181-00")</f>
        <v>Q-12181-00</v>
      </c>
      <c r="B2728" s="2" t="str">
        <f>IFERROR(__xludf.DUMMYFUNCTION("""COMPUTED_VALUE"""),"Flush Bolt 1625 + Stang; Griff; -; 1 Pc")</f>
        <v>Flush Bolt 1625 + Stang; Griff; -; 1 Pc</v>
      </c>
      <c r="C2728" s="2" t="str">
        <f>IFERROR(__xludf.DUMMYFUNCTION("""COMPUTED_VALUE"""),"Q-12181-00")</f>
        <v>Q-12181-00</v>
      </c>
    </row>
    <row r="2729">
      <c r="A2729" s="2" t="str">
        <f>IFERROR(__xludf.DUMMYFUNCTION("""COMPUTED_VALUE"""),"Q-20010-00")</f>
        <v>Q-20010-00</v>
      </c>
      <c r="B2729" s="2" t="str">
        <f>IFERROR(__xludf.DUMMYFUNCTION("""COMPUTED_VALUE"""),"Keramik Granito Warna Ivory")</f>
        <v>Keramik Granito Warna Ivory</v>
      </c>
      <c r="C2729" s="2" t="str">
        <f>IFERROR(__xludf.DUMMYFUNCTION("""COMPUTED_VALUE"""),"Q-20010-00")</f>
        <v>Q-20010-00</v>
      </c>
    </row>
    <row r="2730">
      <c r="A2730" s="2" t="str">
        <f>IFERROR(__xludf.DUMMYFUNCTION("""COMPUTED_VALUE"""),"Q-30005-00")</f>
        <v>Q-30005-00</v>
      </c>
      <c r="B2730" s="2" t="str">
        <f>IFERROR(__xludf.DUMMYFUNCTION("""COMPUTED_VALUE"""),"Lampu Highbay 150 Watt LED; Ecolink; ; pack size per pcs")</f>
        <v>Lampu Highbay 150 Watt LED; Ecolink; ; pack size per pcs</v>
      </c>
      <c r="C2730" s="2" t="str">
        <f>IFERROR(__xludf.DUMMYFUNCTION("""COMPUTED_VALUE"""),"Q-30005-00")</f>
        <v>Q-30005-00</v>
      </c>
    </row>
    <row r="2731">
      <c r="A2731" s="2" t="str">
        <f>IFERROR(__xludf.DUMMYFUNCTION("""COMPUTED_VALUE"""),"Q-50000-00")</f>
        <v>Q-50000-00</v>
      </c>
      <c r="B2731" s="2" t="str">
        <f>IFERROR(__xludf.DUMMYFUNCTION("""COMPUTED_VALUE"""),"Engsel Pintu SS")</f>
        <v>Engsel Pintu SS</v>
      </c>
      <c r="C2731" s="2" t="str">
        <f>IFERROR(__xludf.DUMMYFUNCTION("""COMPUTED_VALUE"""),"Q-50000-00")</f>
        <v>Q-50000-00</v>
      </c>
    </row>
    <row r="2732">
      <c r="A2732" s="2" t="str">
        <f>IFERROR(__xludf.DUMMYFUNCTION("""COMPUTED_VALUE"""),"Q-50012-00")</f>
        <v>Q-50012-00</v>
      </c>
      <c r="B2732" s="2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2" s="2" t="str">
        <f>IFERROR(__xludf.DUMMYFUNCTION("""COMPUTED_VALUE"""),"Q-50012-00")</f>
        <v>Q-50012-00</v>
      </c>
    </row>
    <row r="2733">
      <c r="A2733" s="2" t="str">
        <f>IFERROR(__xludf.DUMMYFUNCTION("""COMPUTED_VALUE"""),"Q-50013-00")</f>
        <v>Q-50013-00</v>
      </c>
      <c r="B2733" s="2" t="str">
        <f>IFERROR(__xludf.DUMMYFUNCTION("""COMPUTED_VALUE"""),"Frame or Perimeter Seal RP48 White; Raven; R48W6; 6 meter/pck")</f>
        <v>Frame or Perimeter Seal RP48 White; Raven; R48W6; 6 meter/pck</v>
      </c>
      <c r="C2733" s="2" t="str">
        <f>IFERROR(__xludf.DUMMYFUNCTION("""COMPUTED_VALUE"""),"Q-50013-00")</f>
        <v>Q-50013-00</v>
      </c>
    </row>
    <row r="2734">
      <c r="A2734" s="2" t="str">
        <f>IFERROR(__xludf.DUMMYFUNCTION("""COMPUTED_VALUE"""),"Q-50020-00")</f>
        <v>Q-50020-00</v>
      </c>
      <c r="B2734" s="2" t="str">
        <f>IFERROR(__xludf.DUMMYFUNCTION("""COMPUTED_VALUE"""),"Engsel Tanam Pintu D40; Dekkson; Type D40; pc")</f>
        <v>Engsel Tanam Pintu D40; Dekkson; Type D40; pc</v>
      </c>
      <c r="C2734" s="2" t="str">
        <f>IFERROR(__xludf.DUMMYFUNCTION("""COMPUTED_VALUE"""),"Q-50020-00")</f>
        <v>Q-50020-00</v>
      </c>
    </row>
    <row r="2735">
      <c r="A2735" s="2" t="str">
        <f>IFERROR(__xludf.DUMMYFUNCTION("""COMPUTED_VALUE"""),"Q-50025-00")</f>
        <v>Q-50025-00</v>
      </c>
      <c r="B2735" s="2" t="str">
        <f>IFERROR(__xludf.DUMMYFUNCTION("""COMPUTED_VALUE"""),"Flush Bolt 370mm; Dekkson; FB SQ 501; pc")</f>
        <v>Flush Bolt 370mm; Dekkson; FB SQ 501; pc</v>
      </c>
      <c r="C2735" s="2" t="str">
        <f>IFERROR(__xludf.DUMMYFUNCTION("""COMPUTED_VALUE"""),"Q-50025-00")</f>
        <v>Q-50025-00</v>
      </c>
    </row>
    <row r="2736">
      <c r="A2736" s="2" t="str">
        <f>IFERROR(__xludf.DUMMYFUNCTION("""COMPUTED_VALUE"""),"Q-50026-00")</f>
        <v>Q-50026-00</v>
      </c>
      <c r="B2736" s="2" t="str">
        <f>IFERROR(__xludf.DUMMYFUNCTION("""COMPUTED_VALUE"""),"Electric Dropbolt Lock door access 5 Kabel Delay; Lokal; ; pc")</f>
        <v>Electric Dropbolt Lock door access 5 Kabel Delay; Lokal; ; pc</v>
      </c>
      <c r="C2736" s="2" t="str">
        <f>IFERROR(__xludf.DUMMYFUNCTION("""COMPUTED_VALUE"""),"Q-50026-00")</f>
        <v>Q-50026-00</v>
      </c>
    </row>
    <row r="2737">
      <c r="A2737" s="2" t="str">
        <f>IFERROR(__xludf.DUMMYFUNCTION("""COMPUTED_VALUE"""),"Q-50027-00")</f>
        <v>Q-50027-00</v>
      </c>
      <c r="B2737" s="2" t="str">
        <f>IFERROR(__xludf.DUMMYFUNCTION("""COMPUTED_VALUE"""),"Glass Lock atau Grendel Pintu Kaca Tanpa Bingkai; Dekkson; GL621CP; pc")</f>
        <v>Glass Lock atau Grendel Pintu Kaca Tanpa Bingkai; Dekkson; GL621CP; pc</v>
      </c>
      <c r="C2737" s="2" t="str">
        <f>IFERROR(__xludf.DUMMYFUNCTION("""COMPUTED_VALUE"""),"Q-50027-00")</f>
        <v>Q-50027-00</v>
      </c>
    </row>
    <row r="2738">
      <c r="A2738" s="2" t="str">
        <f>IFERROR(__xludf.DUMMYFUNCTION("""COMPUTED_VALUE"""),"Q-50028-00")</f>
        <v>Q-50028-00</v>
      </c>
      <c r="B2738" s="2" t="str">
        <f>IFERROR(__xludf.DUMMYFUNCTION("""COMPUTED_VALUE"""),"Engsel Sendok Profil Hinge 40 mm; Ferrari; ; pc")</f>
        <v>Engsel Sendok Profil Hinge 40 mm; Ferrari; ; pc</v>
      </c>
      <c r="C2738" s="2" t="str">
        <f>IFERROR(__xludf.DUMMYFUNCTION("""COMPUTED_VALUE"""),"Q-50028-00")</f>
        <v>Q-50028-00</v>
      </c>
    </row>
    <row r="2739">
      <c r="A2739" s="2" t="str">
        <f>IFERROR(__xludf.DUMMYFUNCTION("""COMPUTED_VALUE"""),"Q-50029-00")</f>
        <v>Q-50029-00</v>
      </c>
      <c r="B2739" s="2" t="str">
        <f>IFERROR(__xludf.DUMMYFUNCTION("""COMPUTED_VALUE"""),"Kunci Tusuk Laci / Kunci Tekan (Push Lock) HL105; Huben; HL105; pc")</f>
        <v>Kunci Tusuk Laci / Kunci Tekan (Push Lock) HL105; Huben; HL105; pc</v>
      </c>
      <c r="C2739" s="2" t="str">
        <f>IFERROR(__xludf.DUMMYFUNCTION("""COMPUTED_VALUE"""),"Q-50029-00")</f>
        <v>Q-50029-00</v>
      </c>
    </row>
    <row r="2740">
      <c r="A2740" s="2" t="str">
        <f>IFERROR(__xludf.DUMMYFUNCTION("""COMPUTED_VALUE"""),"Q-54119-00")</f>
        <v>Q-54119-00</v>
      </c>
      <c r="B2740" s="2" t="str">
        <f>IFERROR(__xludf.DUMMYFUNCTION("""COMPUTED_VALUE"""),"Paint Remover;No Brand;;pack size per can - Kemasan 20L")</f>
        <v>Paint Remover;No Brand;;pack size per can - Kemasan 20L</v>
      </c>
      <c r="C2740" s="2" t="str">
        <f>IFERROR(__xludf.DUMMYFUNCTION("""COMPUTED_VALUE"""),"Q-54119-00")</f>
        <v>Q-54119-00</v>
      </c>
    </row>
    <row r="2741">
      <c r="A2741" s="2" t="str">
        <f>IFERROR(__xludf.DUMMYFUNCTION("""COMPUTED_VALUE"""),"Q-54128-00")</f>
        <v>Q-54128-00</v>
      </c>
      <c r="B2741" s="2" t="str">
        <f>IFERROR(__xludf.DUMMYFUNCTION("""COMPUTED_VALUE"""),"Kuas uk. 2.5 inch; No Brand; ; pack size per pc")</f>
        <v>Kuas uk. 2.5 inch; No Brand; ; pack size per pc</v>
      </c>
      <c r="C2741" s="2" t="str">
        <f>IFERROR(__xludf.DUMMYFUNCTION("""COMPUTED_VALUE"""),"Q-54128-00")</f>
        <v>Q-54128-00</v>
      </c>
    </row>
    <row r="2742">
      <c r="A2742" s="2" t="str">
        <f>IFERROR(__xludf.DUMMYFUNCTION("""COMPUTED_VALUE"""),"Q-54156-00")</f>
        <v>Q-54156-00</v>
      </c>
      <c r="B2742" s="2" t="str">
        <f>IFERROR(__xludf.DUMMYFUNCTION("""COMPUTED_VALUE"""),"PCB SCOPMA 5.Q; ; ;")</f>
        <v>PCB SCOPMA 5.Q; ; ;</v>
      </c>
      <c r="C2742" s="2" t="str">
        <f>IFERROR(__xludf.DUMMYFUNCTION("""COMPUTED_VALUE"""),"Q-54156-00")</f>
        <v>Q-54156-00</v>
      </c>
    </row>
    <row r="2743">
      <c r="A2743" s="2" t="str">
        <f>IFERROR(__xludf.DUMMYFUNCTION("""COMPUTED_VALUE"""),"Q-54157-00")</f>
        <v>Q-54157-00</v>
      </c>
      <c r="B2743" s="2" t="str">
        <f>IFERROR(__xludf.DUMMYFUNCTION("""COMPUTED_VALUE"""),"PCBA LIFT SCOPCA 5.Q;Schindler Elevator;;pack size per unit")</f>
        <v>PCBA LIFT SCOPCA 5.Q;Schindler Elevator;;pack size per unit</v>
      </c>
      <c r="C2743" s="2" t="str">
        <f>IFERROR(__xludf.DUMMYFUNCTION("""COMPUTED_VALUE"""),"Q-54157-00")</f>
        <v>Q-54157-00</v>
      </c>
    </row>
    <row r="2744">
      <c r="A2744" s="2" t="str">
        <f>IFERROR(__xludf.DUMMYFUNCTION("""COMPUTED_VALUE"""),"Q-60003-00")</f>
        <v>Q-60003-00</v>
      </c>
      <c r="B2744" s="2" t="str">
        <f>IFERROR(__xludf.DUMMYFUNCTION("""COMPUTED_VALUE"""),"Plakband Kertas")</f>
        <v>Plakband Kertas</v>
      </c>
      <c r="C2744" s="2" t="str">
        <f>IFERROR(__xludf.DUMMYFUNCTION("""COMPUTED_VALUE"""),"Q-60003-00")</f>
        <v>Q-60003-00</v>
      </c>
    </row>
    <row r="2745">
      <c r="A2745" s="2" t="str">
        <f>IFERROR(__xludf.DUMMYFUNCTION("""COMPUTED_VALUE"""),"Q-60006-00")</f>
        <v>Q-60006-00</v>
      </c>
      <c r="B2745" s="2" t="str">
        <f>IFERROR(__xludf.DUMMYFUNCTION("""COMPUTED_VALUE"""),"Dempul kayu sanpolac @ 1kg")</f>
        <v>Dempul kayu sanpolac @ 1kg</v>
      </c>
      <c r="C2745" s="2" t="str">
        <f>IFERROR(__xludf.DUMMYFUNCTION("""COMPUTED_VALUE"""),"Q-60006-00")</f>
        <v>Q-60006-00</v>
      </c>
    </row>
    <row r="2746">
      <c r="A2746" s="2" t="str">
        <f>IFERROR(__xludf.DUMMYFUNCTION("""COMPUTED_VALUE"""),"Q-60025-00")</f>
        <v>Q-60025-00</v>
      </c>
      <c r="B2746" s="2" t="str">
        <f>IFERROR(__xludf.DUMMYFUNCTION("""COMPUTED_VALUE"""),"Kuas Cat Uk. 1 inch;Eterna;Tipe 611;pack size per pcs")</f>
        <v>Kuas Cat Uk. 1 inch;Eterna;Tipe 611;pack size per pcs</v>
      </c>
      <c r="C2746" s="2" t="str">
        <f>IFERROR(__xludf.DUMMYFUNCTION("""COMPUTED_VALUE"""),"Q-60025-00")</f>
        <v>Q-60025-00</v>
      </c>
    </row>
    <row r="2747">
      <c r="A2747" s="2" t="str">
        <f>IFERROR(__xludf.DUMMYFUNCTION("""COMPUTED_VALUE"""),"Q-60026-00")</f>
        <v>Q-60026-00</v>
      </c>
      <c r="B2747" s="2" t="str">
        <f>IFERROR(__xludf.DUMMYFUNCTION("""COMPUTED_VALUE"""),"Kuas Cat Uk. 2 inch;Eterna;Tipe 611;pack size per pcs")</f>
        <v>Kuas Cat Uk. 2 inch;Eterna;Tipe 611;pack size per pcs</v>
      </c>
      <c r="C2747" s="2" t="str">
        <f>IFERROR(__xludf.DUMMYFUNCTION("""COMPUTED_VALUE"""),"Q-60026-00")</f>
        <v>Q-60026-00</v>
      </c>
    </row>
    <row r="2748">
      <c r="A2748" s="2" t="str">
        <f>IFERROR(__xludf.DUMMYFUNCTION("""COMPUTED_VALUE"""),"Q-60036-00")</f>
        <v>Q-60036-00</v>
      </c>
      <c r="B2748" s="2" t="str">
        <f>IFERROR(__xludf.DUMMYFUNCTION("""COMPUTED_VALUE"""),"Cat F-Talit KF-611 / Hellay Grey / 115-611 @ 1 KG")</f>
        <v>Cat F-Talit KF-611 / Hellay Grey / 115-611 @ 1 KG</v>
      </c>
      <c r="C2748" s="2" t="str">
        <f>IFERROR(__xludf.DUMMYFUNCTION("""COMPUTED_VALUE"""),"Q-60036-00")</f>
        <v>Q-60036-00</v>
      </c>
    </row>
    <row r="2749">
      <c r="A2749" s="2" t="str">
        <f>IFERROR(__xludf.DUMMYFUNCTION("""COMPUTED_VALUE"""),"Q-60061-00")</f>
        <v>Q-60061-00</v>
      </c>
      <c r="B2749" s="2" t="str">
        <f>IFERROR(__xludf.DUMMYFUNCTION("""COMPUTED_VALUE"""),"Cat Pilox 109 - Black")</f>
        <v>Cat Pilox 109 - Black</v>
      </c>
      <c r="C2749" s="2" t="str">
        <f>IFERROR(__xludf.DUMMYFUNCTION("""COMPUTED_VALUE"""),"Q-60061-00")</f>
        <v>Q-60061-00</v>
      </c>
    </row>
    <row r="2750">
      <c r="A2750" s="2" t="str">
        <f>IFERROR(__xludf.DUMMYFUNCTION("""COMPUTED_VALUE"""),"Q-60063-00")</f>
        <v>Q-60063-00</v>
      </c>
      <c r="B2750" s="2" t="str">
        <f>IFERROR(__xludf.DUMMYFUNCTION("""COMPUTED_VALUE"""),"Cat Pilox 102 - White")</f>
        <v>Cat Pilox 102 - White</v>
      </c>
      <c r="C2750" s="2" t="str">
        <f>IFERROR(__xludf.DUMMYFUNCTION("""COMPUTED_VALUE"""),"Q-60063-00")</f>
        <v>Q-60063-00</v>
      </c>
    </row>
    <row r="2751">
      <c r="A2751" s="2" t="str">
        <f>IFERROR(__xludf.DUMMYFUNCTION("""COMPUTED_VALUE"""),"Q-60067-00")</f>
        <v>Q-60067-00</v>
      </c>
      <c r="B2751" s="2" t="str">
        <f>IFERROR(__xludf.DUMMYFUNCTION("""COMPUTED_VALUE"""),"Cat Pilox 124 - Silver")</f>
        <v>Cat Pilox 124 - Silver</v>
      </c>
      <c r="C2751" s="2" t="str">
        <f>IFERROR(__xludf.DUMMYFUNCTION("""COMPUTED_VALUE"""),"Q-60067-00")</f>
        <v>Q-60067-00</v>
      </c>
    </row>
    <row r="2752">
      <c r="A2752" s="2" t="str">
        <f>IFERROR(__xludf.DUMMYFUNCTION("""COMPUTED_VALUE"""),"Q-60104-00")</f>
        <v>Q-60104-00</v>
      </c>
      <c r="B2752" s="2" t="str">
        <f>IFERROR(__xludf.DUMMYFUNCTION("""COMPUTED_VALUE"""),"Cat Hardtop XP PU Jotun")</f>
        <v>Cat Hardtop XP PU Jotun</v>
      </c>
      <c r="C2752" s="2" t="str">
        <f>IFERROR(__xludf.DUMMYFUNCTION("""COMPUTED_VALUE"""),"Q-60104-00")</f>
        <v>Q-60104-00</v>
      </c>
    </row>
    <row r="2753">
      <c r="A2753" s="2" t="str">
        <f>IFERROR(__xludf.DUMMYFUNCTION("""COMPUTED_VALUE"""),"Q-60105-00")</f>
        <v>Q-60105-00</v>
      </c>
      <c r="B2753" s="2" t="str">
        <f>IFERROR(__xludf.DUMMYFUNCTION("""COMPUTED_VALUE"""),"Cat Dulux Ambiance Brilliant White; Dulux; 2290; pack size per 20L")</f>
        <v>Cat Dulux Ambiance Brilliant White; Dulux; 2290; pack size per 20L</v>
      </c>
      <c r="C2753" s="2" t="str">
        <f>IFERROR(__xludf.DUMMYFUNCTION("""COMPUTED_VALUE"""),"Q-60105-00")</f>
        <v>Q-60105-00</v>
      </c>
    </row>
    <row r="2754">
      <c r="A2754" s="2" t="str">
        <f>IFERROR(__xludf.DUMMYFUNCTION("""COMPUTED_VALUE"""),"Q-60107-00")</f>
        <v>Q-60107-00</v>
      </c>
      <c r="B2754" s="2" t="str">
        <f>IFERROR(__xludf.DUMMYFUNCTION("""COMPUTED_VALUE"""),"Hardener / Obat dempul sanpolac; ; ; pack size per tube")</f>
        <v>Hardener / Obat dempul sanpolac; ; ; pack size per tube</v>
      </c>
      <c r="C2754" s="2" t="str">
        <f>IFERROR(__xludf.DUMMYFUNCTION("""COMPUTED_VALUE"""),"Q-60107-00")</f>
        <v>Q-60107-00</v>
      </c>
    </row>
    <row r="2755">
      <c r="A2755" s="2" t="str">
        <f>IFERROR(__xludf.DUMMYFUNCTION("""COMPUTED_VALUE"""),"Q-60113-00")</f>
        <v>Q-60113-00</v>
      </c>
      <c r="B2755" s="2" t="str">
        <f>IFERROR(__xludf.DUMMYFUNCTION("""COMPUTED_VALUE"""),"Cat Ambiance Base; Dulux; Type T914A Grey Universal; 20L/pail")</f>
        <v>Cat Ambiance Base; Dulux; Type T914A Grey Universal; 20L/pail</v>
      </c>
      <c r="C2755" s="2" t="str">
        <f>IFERROR(__xludf.DUMMYFUNCTION("""COMPUTED_VALUE"""),"Q-60113-00")</f>
        <v>Q-60113-00</v>
      </c>
    </row>
    <row r="2756">
      <c r="A2756" s="2" t="str">
        <f>IFERROR(__xludf.DUMMYFUNCTION("""COMPUTED_VALUE"""),"Q-60117-00")</f>
        <v>Q-60117-00</v>
      </c>
      <c r="B2756" s="2" t="str">
        <f>IFERROR(__xludf.DUMMYFUNCTION("""COMPUTED_VALUE"""),"Cat Epoxy PU-Crete Flowfresh MF Type Light Grey; Flowcrete; ; 20 kg/set")</f>
        <v>Cat Epoxy PU-Crete Flowfresh MF Type Light Grey; Flowcrete; ; 20 kg/set</v>
      </c>
      <c r="C2756" s="2" t="str">
        <f>IFERROR(__xludf.DUMMYFUNCTION("""COMPUTED_VALUE"""),"Q-60117-00")</f>
        <v>Q-60117-00</v>
      </c>
    </row>
    <row r="2757">
      <c r="A2757" s="2" t="str">
        <f>IFERROR(__xludf.DUMMYFUNCTION("""COMPUTED_VALUE"""),"Q-60213-00")</f>
        <v>Q-60213-00</v>
      </c>
      <c r="B2757" s="2" t="str">
        <f>IFERROR(__xludf.DUMMYFUNCTION("""COMPUTED_VALUE"""),"Cat F-Talit KF 125, F-Talit, Type Grass Green, pack size per 1 kg")</f>
        <v>Cat F-Talit KF 125, F-Talit, Type Grass Green, pack size per 1 kg</v>
      </c>
      <c r="C2757" s="2" t="str">
        <f>IFERROR(__xludf.DUMMYFUNCTION("""COMPUTED_VALUE"""),"Q-60213-00")</f>
        <v>Q-60213-00</v>
      </c>
    </row>
    <row r="2758">
      <c r="A2758" s="2" t="str">
        <f>IFERROR(__xludf.DUMMYFUNCTION("""COMPUTED_VALUE"""),"Q-60226-00")</f>
        <v>Q-60226-00</v>
      </c>
      <c r="B2758" s="2" t="str">
        <f>IFERROR(__xludf.DUMMYFUNCTION("""COMPUTED_VALUE"""),"Cat F-Talit KF 731, F-Talit, Type Super White 115-00, pack size per 1 kg")</f>
        <v>Cat F-Talit KF 731, F-Talit, Type Super White 115-00, pack size per 1 kg</v>
      </c>
      <c r="C2758" s="2" t="str">
        <f>IFERROR(__xludf.DUMMYFUNCTION("""COMPUTED_VALUE"""),"Q-60226-00")</f>
        <v>Q-60226-00</v>
      </c>
    </row>
    <row r="2759">
      <c r="A2759" s="2" t="str">
        <f>IFERROR(__xludf.DUMMYFUNCTION("""COMPUTED_VALUE"""),"Q-60234-00")</f>
        <v>Q-60234-00</v>
      </c>
      <c r="B2759" s="2" t="str">
        <f>IFERROR(__xludf.DUMMYFUNCTION("""COMPUTED_VALUE"""),"Cat F-Talit KF 582, F-Talit, Type Black, pack size per 1 kg")</f>
        <v>Cat F-Talit KF 582, F-Talit, Type Black, pack size per 1 kg</v>
      </c>
      <c r="C2759" s="2" t="str">
        <f>IFERROR(__xludf.DUMMYFUNCTION("""COMPUTED_VALUE"""),"Q-60234-00")</f>
        <v>Q-60234-00</v>
      </c>
    </row>
    <row r="2760">
      <c r="A2760" s="2" t="str">
        <f>IFERROR(__xludf.DUMMYFUNCTION("""COMPUTED_VALUE"""),"Q-60242-00")</f>
        <v>Q-60242-00</v>
      </c>
      <c r="B2760" s="2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0" s="2" t="str">
        <f>IFERROR(__xludf.DUMMYFUNCTION("""COMPUTED_VALUE"""),"Q-60242-00")</f>
        <v>Q-60242-00</v>
      </c>
    </row>
    <row r="2761">
      <c r="A2761" s="2" t="str">
        <f>IFERROR(__xludf.DUMMYFUNCTION("""COMPUTED_VALUE"""),"Q-60328-00")</f>
        <v>Q-60328-00</v>
      </c>
      <c r="B2761" s="2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1" s="2" t="str">
        <f>IFERROR(__xludf.DUMMYFUNCTION("""COMPUTED_VALUE"""),"Q-60328-00")</f>
        <v>Q-60328-00</v>
      </c>
    </row>
    <row r="2762">
      <c r="A2762" s="2" t="str">
        <f>IFERROR(__xludf.DUMMYFUNCTION("""COMPUTED_VALUE"""),"Q-60340-00")</f>
        <v>Q-60340-00</v>
      </c>
      <c r="B2762" s="2" t="str">
        <f>IFERROR(__xludf.DUMMYFUNCTION("""COMPUTED_VALUE"""),"Cat Semprot Chrome Stainless 360ml; No Brand; ; can")</f>
        <v>Cat Semprot Chrome Stainless 360ml; No Brand; ; can</v>
      </c>
      <c r="C2762" s="2" t="str">
        <f>IFERROR(__xludf.DUMMYFUNCTION("""COMPUTED_VALUE"""),"Q-60340-00")</f>
        <v>Q-60340-00</v>
      </c>
    </row>
    <row r="2763">
      <c r="A2763" s="2" t="str">
        <f>IFERROR(__xludf.DUMMYFUNCTION("""COMPUTED_VALUE"""),"Q-60342-00")</f>
        <v>Q-60342-00</v>
      </c>
      <c r="B2763" s="2" t="str">
        <f>IFERROR(__xludf.DUMMYFUNCTION("""COMPUTED_VALUE"""),"Cat Semprot Green Relax (V9488); Diton Premium; V9488; 400 ml")</f>
        <v>Cat Semprot Green Relax (V9488); Diton Premium; V9488; 400 ml</v>
      </c>
      <c r="C2763" s="2" t="str">
        <f>IFERROR(__xludf.DUMMYFUNCTION("""COMPUTED_VALUE"""),"Q-60342-00")</f>
        <v>Q-60342-00</v>
      </c>
    </row>
    <row r="2764">
      <c r="A2764" s="2" t="str">
        <f>IFERROR(__xludf.DUMMYFUNCTION("""COMPUTED_VALUE"""),"Q-60401-00")</f>
        <v>Q-60401-00</v>
      </c>
      <c r="B2764" s="2" t="str">
        <f>IFERROR(__xludf.DUMMYFUNCTION("""COMPUTED_VALUE"""),"Handle Pintu Bulat, Elbow Press Lock; Meroni; N13NE TB127;")</f>
        <v>Handle Pintu Bulat, Elbow Press Lock; Meroni; N13NE TB127;</v>
      </c>
      <c r="C2764" s="2" t="str">
        <f>IFERROR(__xludf.DUMMYFUNCTION("""COMPUTED_VALUE"""),"Q-60401-00")</f>
        <v>Q-60401-00</v>
      </c>
    </row>
    <row r="2765">
      <c r="A2765" s="2" t="str">
        <f>IFERROR(__xludf.DUMMYFUNCTION("""COMPUTED_VALUE"""),"Q-60402-00")</f>
        <v>Q-60402-00</v>
      </c>
      <c r="B2765" s="2" t="str">
        <f>IFERROR(__xludf.DUMMYFUNCTION("""COMPUTED_VALUE"""),"Aquaproof Abu Abu; Aquaproof; Type 061 Abu Abu; 20 liter/pail")</f>
        <v>Aquaproof Abu Abu; Aquaproof; Type 061 Abu Abu; 20 liter/pail</v>
      </c>
      <c r="C2765" s="2" t="str">
        <f>IFERROR(__xludf.DUMMYFUNCTION("""COMPUTED_VALUE"""),"Q-60402-00")</f>
        <v>Q-60402-00</v>
      </c>
    </row>
    <row r="2766">
      <c r="A2766" s="2" t="str">
        <f>IFERROR(__xludf.DUMMYFUNCTION("""COMPUTED_VALUE"""),"Q-60403-00")</f>
        <v>Q-60403-00</v>
      </c>
      <c r="B2766" s="2" t="str">
        <f>IFERROR(__xludf.DUMMYFUNCTION("""COMPUTED_VALUE"""),"Serat Fiber / Fiber Glass Matt; Aquaproof; ; 1 kg/pack")</f>
        <v>Serat Fiber / Fiber Glass Matt; Aquaproof; ; 1 kg/pack</v>
      </c>
      <c r="C2766" s="2" t="str">
        <f>IFERROR(__xludf.DUMMYFUNCTION("""COMPUTED_VALUE"""),"Q-60403-00")</f>
        <v>Q-60403-00</v>
      </c>
    </row>
    <row r="2767">
      <c r="A2767" s="2" t="str">
        <f>IFERROR(__xludf.DUMMYFUNCTION("""COMPUTED_VALUE"""),"Q-60404-00")</f>
        <v>Q-60404-00</v>
      </c>
      <c r="B2767" s="2" t="str">
        <f>IFERROR(__xludf.DUMMYFUNCTION("""COMPUTED_VALUE"""),"Cat Interior Catylac; Dulux; Type Putih 1501N; 25 kg/pail")</f>
        <v>Cat Interior Catylac; Dulux; Type Putih 1501N; 25 kg/pail</v>
      </c>
      <c r="C2767" s="2" t="str">
        <f>IFERROR(__xludf.DUMMYFUNCTION("""COMPUTED_VALUE"""),"Q-60404-00")</f>
        <v>Q-60404-00</v>
      </c>
    </row>
    <row r="2768">
      <c r="A2768" s="2" t="str">
        <f>IFERROR(__xludf.DUMMYFUNCTION("""COMPUTED_VALUE"""),"Q-60405-00")</f>
        <v>Q-60405-00</v>
      </c>
      <c r="B2768" s="2" t="str">
        <f>IFERROR(__xludf.DUMMYFUNCTION("""COMPUTED_VALUE"""),"Cat Durogloss DR-2000; Propan; Type Spiders Web 90YY 73/040; 0,9 L/can")</f>
        <v>Cat Durogloss DR-2000; Propan; Type Spiders Web 90YY 73/040; 0,9 L/can</v>
      </c>
      <c r="C2768" s="2" t="str">
        <f>IFERROR(__xludf.DUMMYFUNCTION("""COMPUTED_VALUE"""),"Q-60405-00")</f>
        <v>Q-60405-00</v>
      </c>
    </row>
    <row r="2769">
      <c r="A2769" s="2" t="str">
        <f>IFERROR(__xludf.DUMMYFUNCTION("""COMPUTED_VALUE"""),"Q-60406-00")</f>
        <v>Q-60406-00</v>
      </c>
      <c r="B2769" s="2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69" s="2" t="str">
        <f>IFERROR(__xludf.DUMMYFUNCTION("""COMPUTED_VALUE"""),"Q-60406-00")</f>
        <v>Q-60406-00</v>
      </c>
    </row>
    <row r="2770">
      <c r="A2770" s="2" t="str">
        <f>IFERROR(__xludf.DUMMYFUNCTION("""COMPUTED_VALUE"""),"Q-60434-00")</f>
        <v>Q-60434-00</v>
      </c>
      <c r="B2770" s="2" t="str">
        <f>IFERROR(__xludf.DUMMYFUNCTION("""COMPUTED_VALUE"""),"Semen putih / Acian Putih; Tiga Roda; TR-30; 40 kg/zak")</f>
        <v>Semen putih / Acian Putih; Tiga Roda; TR-30; 40 kg/zak</v>
      </c>
      <c r="C2770" s="2" t="str">
        <f>IFERROR(__xludf.DUMMYFUNCTION("""COMPUTED_VALUE"""),"Q-60434-00")</f>
        <v>Q-60434-00</v>
      </c>
    </row>
    <row r="2771">
      <c r="A2771" s="2" t="str">
        <f>IFERROR(__xludf.DUMMYFUNCTION("""COMPUTED_VALUE"""),"Q-60500-00")</f>
        <v>Q-60500-00</v>
      </c>
      <c r="B2771" s="2" t="str">
        <f>IFERROR(__xludf.DUMMYFUNCTION("""COMPUTED_VALUE"""),"Silicone Sealant, Silglaze, Type N10 Grey, pack size per pcs")</f>
        <v>Silicone Sealant, Silglaze, Type N10 Grey, pack size per pcs</v>
      </c>
      <c r="C2771" s="2" t="str">
        <f>IFERROR(__xludf.DUMMYFUNCTION("""COMPUTED_VALUE"""),"Q-60500-00")</f>
        <v>Q-60500-00</v>
      </c>
    </row>
    <row r="2772">
      <c r="A2772" s="2" t="str">
        <f>IFERROR(__xludf.DUMMYFUNCTION("""COMPUTED_VALUE"""),"Q-60501-00")</f>
        <v>Q-60501-00</v>
      </c>
      <c r="B2772" s="2" t="str">
        <f>IFERROR(__xludf.DUMMYFUNCTION("""COMPUTED_VALUE"""),"Silicone Sealant, Silglaze, Type N10 Clear, pack size per pcs")</f>
        <v>Silicone Sealant, Silglaze, Type N10 Clear, pack size per pcs</v>
      </c>
      <c r="C2772" s="2" t="str">
        <f>IFERROR(__xludf.DUMMYFUNCTION("""COMPUTED_VALUE"""),"Q-60501-00")</f>
        <v>Q-60501-00</v>
      </c>
    </row>
    <row r="2773">
      <c r="A2773" s="2" t="str">
        <f>IFERROR(__xludf.DUMMYFUNCTION("""COMPUTED_VALUE"""),"Q-60502-00")</f>
        <v>Q-60502-00</v>
      </c>
      <c r="B2773" s="2" t="str">
        <f>IFERROR(__xludf.DUMMYFUNCTION("""COMPUTED_VALUE"""),"Silicone Sealant;Silglaze;Type N10 White;pack size per pcs")</f>
        <v>Silicone Sealant;Silglaze;Type N10 White;pack size per pcs</v>
      </c>
      <c r="C2773" s="2" t="str">
        <f>IFERROR(__xludf.DUMMYFUNCTION("""COMPUTED_VALUE"""),"Q-60502-00")</f>
        <v>Q-60502-00</v>
      </c>
    </row>
    <row r="2774">
      <c r="A2774" s="2" t="str">
        <f>IFERROR(__xludf.DUMMYFUNCTION("""COMPUTED_VALUE"""),"Q-60503-00")</f>
        <v>Q-60503-00</v>
      </c>
      <c r="B2774" s="2" t="str">
        <f>IFERROR(__xludf.DUMMYFUNCTION("""COMPUTED_VALUE"""),"Silicone Sealant;Silglaze;Type N10 Grey;pack size per pcs")</f>
        <v>Silicone Sealant;Silglaze;Type N10 Grey;pack size per pcs</v>
      </c>
      <c r="C2774" s="2" t="str">
        <f>IFERROR(__xludf.DUMMYFUNCTION("""COMPUTED_VALUE"""),"Q-60503-00")</f>
        <v>Q-60503-00</v>
      </c>
    </row>
    <row r="2775">
      <c r="A2775" s="2" t="str">
        <f>IFERROR(__xludf.DUMMYFUNCTION("""COMPUTED_VALUE"""),"Q-70026-00")</f>
        <v>Q-70026-00</v>
      </c>
      <c r="B2775" s="2" t="str">
        <f>IFERROR(__xludf.DUMMYFUNCTION("""COMPUTED_VALUE"""),"Baterai Tester Micro 200 Pro; Lancol; ;")</f>
        <v>Baterai Tester Micro 200 Pro; Lancol; ;</v>
      </c>
      <c r="C2775" s="2" t="str">
        <f>IFERROR(__xludf.DUMMYFUNCTION("""COMPUTED_VALUE"""),"Q-70026-00")</f>
        <v>Q-70026-00</v>
      </c>
    </row>
    <row r="2776">
      <c r="A2776" s="2" t="str">
        <f>IFERROR(__xludf.DUMMYFUNCTION("""COMPUTED_VALUE"""),"Q-70039-00")</f>
        <v>Q-70039-00</v>
      </c>
      <c r="B2776" s="2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6" s="2" t="str">
        <f>IFERROR(__xludf.DUMMYFUNCTION("""COMPUTED_VALUE"""),"Q-70039-00")</f>
        <v>Q-70039-00</v>
      </c>
    </row>
    <row r="2777">
      <c r="A2777" s="2" t="str">
        <f>IFERROR(__xludf.DUMMYFUNCTION("""COMPUTED_VALUE"""),"Q-70040-00")</f>
        <v>Q-70040-00</v>
      </c>
      <c r="B2777" s="2" t="str">
        <f>IFERROR(__xludf.DUMMYFUNCTION("""COMPUTED_VALUE"""),"Tang Potong ukuran 6 inch, Merk : Tekiro; ; ;")</f>
        <v>Tang Potong ukuran 6 inch, Merk : Tekiro; ; ;</v>
      </c>
      <c r="C2777" s="2" t="str">
        <f>IFERROR(__xludf.DUMMYFUNCTION("""COMPUTED_VALUE"""),"Q-70040-00")</f>
        <v>Q-70040-00</v>
      </c>
    </row>
    <row r="2778">
      <c r="A2778" s="2" t="str">
        <f>IFERROR(__xludf.DUMMYFUNCTION("""COMPUTED_VALUE"""),"Q-70054-00")</f>
        <v>Q-70054-00</v>
      </c>
      <c r="B2778" s="2" t="str">
        <f>IFERROR(__xludf.DUMMYFUNCTION("""COMPUTED_VALUE"""),"Isi Kuas Cat Epoxy Roll; Rollset; Ukuran 4 Inch; pack size per pcs")</f>
        <v>Isi Kuas Cat Epoxy Roll; Rollset; Ukuran 4 Inch; pack size per pcs</v>
      </c>
      <c r="C2778" s="2" t="str">
        <f>IFERROR(__xludf.DUMMYFUNCTION("""COMPUTED_VALUE"""),"Q-70054-00")</f>
        <v>Q-70054-00</v>
      </c>
    </row>
    <row r="2779">
      <c r="A2779" s="2" t="str">
        <f>IFERROR(__xludf.DUMMYFUNCTION("""COMPUTED_VALUE"""),"Q-70055-00")</f>
        <v>Q-70055-00</v>
      </c>
      <c r="B2779" s="2" t="str">
        <f>IFERROR(__xludf.DUMMYFUNCTION("""COMPUTED_VALUE"""),"Isi Kuas Cat Epoxy Roll; Rollset; Ukuran 9 Inch; pack size per pcs")</f>
        <v>Isi Kuas Cat Epoxy Roll; Rollset; Ukuran 9 Inch; pack size per pcs</v>
      </c>
      <c r="C2779" s="2" t="str">
        <f>IFERROR(__xludf.DUMMYFUNCTION("""COMPUTED_VALUE"""),"Q-70055-00")</f>
        <v>Q-70055-00</v>
      </c>
    </row>
    <row r="2780">
      <c r="A2780" s="2" t="str">
        <f>IFERROR(__xludf.DUMMYFUNCTION("""COMPUTED_VALUE"""),"Q-70065-00")</f>
        <v>Q-70065-00</v>
      </c>
      <c r="B2780" s="2" t="str">
        <f>IFERROR(__xludf.DUMMYFUNCTION("""COMPUTED_VALUE"""),"Dynabolt Beton M8x60; M8; M8x60;")</f>
        <v>Dynabolt Beton M8x60; M8; M8x60;</v>
      </c>
      <c r="C2780" s="2" t="str">
        <f>IFERROR(__xludf.DUMMYFUNCTION("""COMPUTED_VALUE"""),"Q-70065-00")</f>
        <v>Q-70065-00</v>
      </c>
    </row>
    <row r="2781">
      <c r="A2781" s="2" t="str">
        <f>IFERROR(__xludf.DUMMYFUNCTION("""COMPUTED_VALUE"""),"Q-70066-00")</f>
        <v>Q-70066-00</v>
      </c>
      <c r="B2781" s="2" t="str">
        <f>IFERROR(__xludf.DUMMYFUNCTION("""COMPUTED_VALUE"""),"Dynabolt Beton M8x70; M8; M8x70;")</f>
        <v>Dynabolt Beton M8x70; M8; M8x70;</v>
      </c>
      <c r="C2781" s="2" t="str">
        <f>IFERROR(__xludf.DUMMYFUNCTION("""COMPUTED_VALUE"""),"Q-70066-00")</f>
        <v>Q-70066-00</v>
      </c>
    </row>
    <row r="2782">
      <c r="A2782" s="2" t="str">
        <f>IFERROR(__xludf.DUMMYFUNCTION("""COMPUTED_VALUE"""),"Q-70068-00")</f>
        <v>Q-70068-00</v>
      </c>
      <c r="B2782" s="2" t="str">
        <f>IFERROR(__xludf.DUMMYFUNCTION("""COMPUTED_VALUE"""),"Dynabolt Beton M10x60; M10; M10x60;")</f>
        <v>Dynabolt Beton M10x60; M10; M10x60;</v>
      </c>
      <c r="C2782" s="2" t="str">
        <f>IFERROR(__xludf.DUMMYFUNCTION("""COMPUTED_VALUE"""),"Q-70068-00")</f>
        <v>Q-70068-00</v>
      </c>
    </row>
    <row r="2783">
      <c r="A2783" s="2" t="str">
        <f>IFERROR(__xludf.DUMMYFUNCTION("""COMPUTED_VALUE"""),"Q-70069-00")</f>
        <v>Q-70069-00</v>
      </c>
      <c r="B2783" s="2" t="str">
        <f>IFERROR(__xludf.DUMMYFUNCTION("""COMPUTED_VALUE"""),"Dynabolt Beton M10x70; M10; M10x70;")</f>
        <v>Dynabolt Beton M10x70; M10; M10x70;</v>
      </c>
      <c r="C2783" s="2" t="str">
        <f>IFERROR(__xludf.DUMMYFUNCTION("""COMPUTED_VALUE"""),"Q-70069-00")</f>
        <v>Q-70069-00</v>
      </c>
    </row>
    <row r="2784">
      <c r="A2784" s="2" t="str">
        <f>IFERROR(__xludf.DUMMYFUNCTION("""COMPUTED_VALUE"""),"Q-70072-00")</f>
        <v>Q-70072-00</v>
      </c>
      <c r="B2784" s="2" t="str">
        <f>IFERROR(__xludf.DUMMYFUNCTION("""COMPUTED_VALUE"""),"Dynabolt Beton M12x70; M12; M12x70;")</f>
        <v>Dynabolt Beton M12x70; M12; M12x70;</v>
      </c>
      <c r="C2784" s="2" t="str">
        <f>IFERROR(__xludf.DUMMYFUNCTION("""COMPUTED_VALUE"""),"Q-70072-00")</f>
        <v>Q-70072-00</v>
      </c>
    </row>
    <row r="2785">
      <c r="A2785" s="2" t="str">
        <f>IFERROR(__xludf.DUMMYFUNCTION("""COMPUTED_VALUE"""),"Q-70084-00")</f>
        <v>Q-70084-00</v>
      </c>
      <c r="B2785" s="2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5" s="2" t="str">
        <f>IFERROR(__xludf.DUMMYFUNCTION("""COMPUTED_VALUE"""),"Q-70084-00")</f>
        <v>Q-70084-00</v>
      </c>
    </row>
    <row r="2786">
      <c r="A2786" s="2" t="str">
        <f>IFERROR(__xludf.DUMMYFUNCTION("""COMPUTED_VALUE"""),"Q-70085-00")</f>
        <v>Q-70085-00</v>
      </c>
      <c r="B2786" s="2" t="str">
        <f>IFERROR(__xludf.DUMMYFUNCTION("""COMPUTED_VALUE"""),"Super Wire Stripper; Kennedy; KEN5147970K; pack size per pcs")</f>
        <v>Super Wire Stripper; Kennedy; KEN5147970K; pack size per pcs</v>
      </c>
      <c r="C2786" s="2" t="str">
        <f>IFERROR(__xludf.DUMMYFUNCTION("""COMPUTED_VALUE"""),"Q-70085-00")</f>
        <v>Q-70085-00</v>
      </c>
    </row>
    <row r="2787">
      <c r="A2787" s="2" t="str">
        <f>IFERROR(__xludf.DUMMYFUNCTION("""COMPUTED_VALUE"""),"Q-70086-00")</f>
        <v>Q-70086-00</v>
      </c>
      <c r="B2787" s="2" t="str">
        <f>IFERROR(__xludf.DUMMYFUNCTION("""COMPUTED_VALUE"""),"8x200mm Engineers Screwdriver; Kennedy; KEN5723080K; pack size per pcs")</f>
        <v>8x200mm Engineers Screwdriver; Kennedy; KEN5723080K; pack size per pcs</v>
      </c>
      <c r="C2787" s="2" t="str">
        <f>IFERROR(__xludf.DUMMYFUNCTION("""COMPUTED_VALUE"""),"Q-70086-00")</f>
        <v>Q-70086-00</v>
      </c>
    </row>
    <row r="2788">
      <c r="A2788" s="2" t="str">
        <f>IFERROR(__xludf.DUMMYFUNCTION("""COMPUTED_VALUE"""),"Q-70087-00")</f>
        <v>Q-70087-00</v>
      </c>
      <c r="B2788" s="2" t="str">
        <f>IFERROR(__xludf.DUMMYFUNCTION("""COMPUTED_VALUE"""),"No.4 Cross PT Engineers Screwdriver; Kennedy; KEN5721040K; pack size per pcs")</f>
        <v>No.4 Cross PT Engineers Screwdriver; Kennedy; KEN5721040K; pack size per pcs</v>
      </c>
      <c r="C2788" s="2" t="str">
        <f>IFERROR(__xludf.DUMMYFUNCTION("""COMPUTED_VALUE"""),"Q-70087-00")</f>
        <v>Q-70087-00</v>
      </c>
    </row>
    <row r="2789">
      <c r="A2789" s="2" t="str">
        <f>IFERROR(__xludf.DUMMYFUNCTION("""COMPUTED_VALUE"""),"Q-70088-00")</f>
        <v>Q-70088-00</v>
      </c>
      <c r="B2789" s="2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89" s="2" t="str">
        <f>IFERROR(__xludf.DUMMYFUNCTION("""COMPUTED_VALUE"""),"Q-70088-00")</f>
        <v>Q-70088-00</v>
      </c>
    </row>
    <row r="2790">
      <c r="A2790" s="2" t="str">
        <f>IFERROR(__xludf.DUMMYFUNCTION("""COMPUTED_VALUE"""),"Q-70089-00")</f>
        <v>Q-70089-00</v>
      </c>
      <c r="B2790" s="2" t="str">
        <f>IFERROR(__xludf.DUMMYFUNCTION("""COMPUTED_VALUE"""),"4 Inch 20 Blade Metric Feeler Gauge; Kennedy; KEN5180780K; pack size per pcs")</f>
        <v>4 Inch 20 Blade Metric Feeler Gauge; Kennedy; KEN5180780K; pack size per pcs</v>
      </c>
      <c r="C2790" s="2" t="str">
        <f>IFERROR(__xludf.DUMMYFUNCTION("""COMPUTED_VALUE"""),"Q-70089-00")</f>
        <v>Q-70089-00</v>
      </c>
    </row>
    <row r="2791">
      <c r="A2791" s="2" t="str">
        <f>IFERROR(__xludf.DUMMYFUNCTION("""COMPUTED_VALUE"""),"Q-70090-00")</f>
        <v>Q-70090-00</v>
      </c>
      <c r="B2791" s="2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1" s="2" t="str">
        <f>IFERROR(__xludf.DUMMYFUNCTION("""COMPUTED_VALUE"""),"Q-70090-00")</f>
        <v>Q-70090-00</v>
      </c>
    </row>
    <row r="2792">
      <c r="A2792" s="2" t="str">
        <f>IFERROR(__xludf.DUMMYFUNCTION("""COMPUTED_VALUE"""),"Q-70091-00")</f>
        <v>Q-70091-00</v>
      </c>
      <c r="B2792" s="2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2" s="2" t="str">
        <f>IFERROR(__xludf.DUMMYFUNCTION("""COMPUTED_VALUE"""),"Q-70091-00")</f>
        <v>Q-70091-00</v>
      </c>
    </row>
    <row r="2793">
      <c r="A2793" s="2" t="str">
        <f>IFERROR(__xludf.DUMMYFUNCTION("""COMPUTED_VALUE"""),"Q-70092-00")</f>
        <v>Q-70092-00</v>
      </c>
      <c r="B2793" s="2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3" s="2" t="str">
        <f>IFERROR(__xludf.DUMMYFUNCTION("""COMPUTED_VALUE"""),"Q-70092-00")</f>
        <v>Q-70092-00</v>
      </c>
    </row>
    <row r="2794">
      <c r="A2794" s="2" t="str">
        <f>IFERROR(__xludf.DUMMYFUNCTION("""COMPUTED_VALUE"""),"Q-70093-00")</f>
        <v>Q-70093-00</v>
      </c>
      <c r="B2794" s="2" t="str">
        <f>IFERROR(__xludf.DUMMYFUNCTION("""COMPUTED_VALUE"""),"Flat Parallel Mini Srewdriver 3x65; Kennedy; KEN5725220K; pack size per pcs")</f>
        <v>Flat Parallel Mini Srewdriver 3x65; Kennedy; KEN5725220K; pack size per pcs</v>
      </c>
      <c r="C2794" s="2" t="str">
        <f>IFERROR(__xludf.DUMMYFUNCTION("""COMPUTED_VALUE"""),"Q-70093-00")</f>
        <v>Q-70093-00</v>
      </c>
    </row>
    <row r="2795">
      <c r="A2795" s="2" t="str">
        <f>IFERROR(__xludf.DUMMYFUNCTION("""COMPUTED_VALUE"""),"Q-70095-00")</f>
        <v>Q-70095-00</v>
      </c>
      <c r="B2795" s="2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5" s="2" t="str">
        <f>IFERROR(__xludf.DUMMYFUNCTION("""COMPUTED_VALUE"""),"Q-70095-00")</f>
        <v>Q-70095-00</v>
      </c>
    </row>
    <row r="2796">
      <c r="A2796" s="2" t="str">
        <f>IFERROR(__xludf.DUMMYFUNCTION("""COMPUTED_VALUE"""),"Q-70096-00")</f>
        <v>Q-70096-00</v>
      </c>
      <c r="B2796" s="2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6" s="2" t="str">
        <f>IFERROR(__xludf.DUMMYFUNCTION("""COMPUTED_VALUE"""),"Q-70096-00")</f>
        <v>Q-70096-00</v>
      </c>
    </row>
    <row r="2797">
      <c r="A2797" s="2" t="str">
        <f>IFERROR(__xludf.DUMMYFUNCTION("""COMPUTED_VALUE"""),"Q-70097-00")</f>
        <v>Q-70097-00</v>
      </c>
      <c r="B2797" s="2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7" s="2" t="str">
        <f>IFERROR(__xludf.DUMMYFUNCTION("""COMPUTED_VALUE"""),"Q-70097-00")</f>
        <v>Q-70097-00</v>
      </c>
    </row>
    <row r="2798">
      <c r="A2798" s="2" t="str">
        <f>IFERROR(__xludf.DUMMYFUNCTION("""COMPUTED_VALUE"""),"Q-70098-00")</f>
        <v>Q-70098-00</v>
      </c>
      <c r="B2798" s="2" t="str">
        <f>IFERROR(__xludf.DUMMYFUNCTION("""COMPUTED_VALUE"""),"Kunci Torsi Momen 20-120 Nm; Lakoni; 800422; pack size per set")</f>
        <v>Kunci Torsi Momen 20-120 Nm; Lakoni; 800422; pack size per set</v>
      </c>
      <c r="C2798" s="2" t="str">
        <f>IFERROR(__xludf.DUMMYFUNCTION("""COMPUTED_VALUE"""),"Q-70098-00")</f>
        <v>Q-70098-00</v>
      </c>
    </row>
    <row r="2799">
      <c r="A2799" s="2" t="str">
        <f>IFERROR(__xludf.DUMMYFUNCTION("""COMPUTED_VALUE"""),"Q-70103-00")</f>
        <v>Q-70103-00</v>
      </c>
      <c r="B2799" s="2" t="str">
        <f>IFERROR(__xludf.DUMMYFUNCTION("""COMPUTED_VALUE"""),"Mata Sock L Set 11 Pcs Dr.1/2 Inch; Tekiro; SC-HB0638; 11 pcs per set")</f>
        <v>Mata Sock L Set 11 Pcs Dr.1/2 Inch; Tekiro; SC-HB0638; 11 pcs per set</v>
      </c>
      <c r="C2799" s="2" t="str">
        <f>IFERROR(__xludf.DUMMYFUNCTION("""COMPUTED_VALUE"""),"Q-70103-00")</f>
        <v>Q-70103-00</v>
      </c>
    </row>
    <row r="2800">
      <c r="A2800" s="2" t="str">
        <f>IFERROR(__xludf.DUMMYFUNCTION("""COMPUTED_VALUE"""),"Q-70104-00")</f>
        <v>Q-70104-00</v>
      </c>
      <c r="B2800" s="2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0" s="2" t="str">
        <f>IFERROR(__xludf.DUMMYFUNCTION("""COMPUTED_VALUE"""),"Q-70104-00")</f>
        <v>Q-70104-00</v>
      </c>
    </row>
    <row r="2801">
      <c r="A2801" s="2" t="str">
        <f>IFERROR(__xludf.DUMMYFUNCTION("""COMPUTED_VALUE"""),"Q-70125-00")</f>
        <v>Q-70125-00</v>
      </c>
      <c r="B2801" s="2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1" s="2" t="str">
        <f>IFERROR(__xludf.DUMMYFUNCTION("""COMPUTED_VALUE"""),"Q-70125-00")</f>
        <v>Q-70125-00</v>
      </c>
    </row>
    <row r="2802">
      <c r="A2802" s="2" t="str">
        <f>IFERROR(__xludf.DUMMYFUNCTION("""COMPUTED_VALUE"""),"Q-70135-00")</f>
        <v>Q-70135-00</v>
      </c>
      <c r="B2802" s="2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2" s="2" t="str">
        <f>IFERROR(__xludf.DUMMYFUNCTION("""COMPUTED_VALUE"""),"Q-70135-00")</f>
        <v>Q-70135-00</v>
      </c>
    </row>
    <row r="2803">
      <c r="A2803" s="2" t="str">
        <f>IFERROR(__xludf.DUMMYFUNCTION("""COMPUTED_VALUE"""),"Q-70137-00")</f>
        <v>Q-70137-00</v>
      </c>
      <c r="B2803" s="2" t="str">
        <f>IFERROR(__xludf.DUMMYFUNCTION("""COMPUTED_VALUE"""),"Pipe Wrench 14 Inch LRPW14; Krisbow; KW0100366; pack size per pcs")</f>
        <v>Pipe Wrench 14 Inch LRPW14; Krisbow; KW0100366; pack size per pcs</v>
      </c>
      <c r="C2803" s="2" t="str">
        <f>IFERROR(__xludf.DUMMYFUNCTION("""COMPUTED_VALUE"""),"Q-70137-00")</f>
        <v>Q-70137-00</v>
      </c>
    </row>
    <row r="2804">
      <c r="A2804" s="2" t="str">
        <f>IFERROR(__xludf.DUMMYFUNCTION("""COMPUTED_VALUE"""),"Q-70148-00")</f>
        <v>Q-70148-00</v>
      </c>
      <c r="B2804" s="2" t="str">
        <f>IFERROR(__xludf.DUMMYFUNCTION("""COMPUTED_VALUE"""),"Kunci L Bintang / Tamper Torx Key; Tekiro; HK-TA1206; 9 pc/set")</f>
        <v>Kunci L Bintang / Tamper Torx Key; Tekiro; HK-TA1206; 9 pc/set</v>
      </c>
      <c r="C2804" s="2" t="str">
        <f>IFERROR(__xludf.DUMMYFUNCTION("""COMPUTED_VALUE"""),"Q-70148-00")</f>
        <v>Q-70148-00</v>
      </c>
    </row>
    <row r="2805">
      <c r="A2805" s="2" t="str">
        <f>IFERROR(__xludf.DUMMYFUNCTION("""COMPUTED_VALUE"""),"Q-70149-00")</f>
        <v>Q-70149-00</v>
      </c>
      <c r="B2805" s="2" t="str">
        <f>IFERROR(__xludf.DUMMYFUNCTION("""COMPUTED_VALUE"""),"Jangka Sorong Digital / Digital Caliper; Mitutoyo; CN: 500-197-30; pc")</f>
        <v>Jangka Sorong Digital / Digital Caliper; Mitutoyo; CN: 500-197-30; pc</v>
      </c>
      <c r="C2805" s="2" t="str">
        <f>IFERROR(__xludf.DUMMYFUNCTION("""COMPUTED_VALUE"""),"Q-70149-00")</f>
        <v>Q-70149-00</v>
      </c>
    </row>
    <row r="2806">
      <c r="A2806" s="2" t="str">
        <f>IFERROR(__xludf.DUMMYFUNCTION("""COMPUTED_VALUE"""),"Q-70156-00")</f>
        <v>Q-70156-00</v>
      </c>
      <c r="B2806" s="2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6" s="2" t="str">
        <f>IFERROR(__xludf.DUMMYFUNCTION("""COMPUTED_VALUE"""),"Q-70156-00")</f>
        <v>Q-70156-00</v>
      </c>
    </row>
    <row r="2807">
      <c r="A2807" s="2" t="str">
        <f>IFERROR(__xludf.DUMMYFUNCTION("""COMPUTED_VALUE"""),"Q-70158-00")</f>
        <v>Q-70158-00</v>
      </c>
      <c r="B2807" s="2" t="str">
        <f>IFERROR(__xludf.DUMMYFUNCTION("""COMPUTED_VALUE"""),"Bor Impact Drill GSB 600; Bosch; 06011A03K2; set")</f>
        <v>Bor Impact Drill GSB 600; Bosch; 06011A03K2; set</v>
      </c>
      <c r="C2807" s="2" t="str">
        <f>IFERROR(__xludf.DUMMYFUNCTION("""COMPUTED_VALUE"""),"Q-70158-00")</f>
        <v>Q-70158-00</v>
      </c>
    </row>
    <row r="2808">
      <c r="A2808" s="2" t="str">
        <f>IFERROR(__xludf.DUMMYFUNCTION("""COMPUTED_VALUE"""),"Q-70159-00")</f>
        <v>Q-70159-00</v>
      </c>
      <c r="B2808" s="2" t="str">
        <f>IFERROR(__xludf.DUMMYFUNCTION("""COMPUTED_VALUE"""),"Buckle CB5 Galvanized Steel 16mm; Lokal; ; pcs")</f>
        <v>Buckle CB5 Galvanized Steel 16mm; Lokal; ; pcs</v>
      </c>
      <c r="C2808" s="2" t="str">
        <f>IFERROR(__xludf.DUMMYFUNCTION("""COMPUTED_VALUE"""),"Q-70159-00")</f>
        <v>Q-70159-00</v>
      </c>
    </row>
    <row r="2809">
      <c r="A2809" s="2" t="str">
        <f>IFERROR(__xludf.DUMMYFUNCTION("""COMPUTED_VALUE"""),"Q-70160-00")</f>
        <v>Q-70160-00</v>
      </c>
      <c r="B2809" s="2" t="str">
        <f>IFERROR(__xludf.DUMMYFUNCTION("""COMPUTED_VALUE"""),"Tali Webbing 4mm; Lokal; ; 50 meter/rol")</f>
        <v>Tali Webbing 4mm; Lokal; ; 50 meter/rol</v>
      </c>
      <c r="C2809" s="2" t="str">
        <f>IFERROR(__xludf.DUMMYFUNCTION("""COMPUTED_VALUE"""),"Q-70160-00")</f>
        <v>Q-70160-00</v>
      </c>
    </row>
    <row r="2810">
      <c r="A2810" s="2" t="str">
        <f>IFERROR(__xludf.DUMMYFUNCTION("""COMPUTED_VALUE"""),"Q-70163-00")</f>
        <v>Q-70163-00</v>
      </c>
      <c r="B2810" s="2" t="str">
        <f>IFERROR(__xludf.DUMMYFUNCTION("""COMPUTED_VALUE"""),"Handle Tap Balik / Handle Tap M3-M12 mm; Tekiro; GT-TH1864; pc")</f>
        <v>Handle Tap Balik / Handle Tap M3-M12 mm; Tekiro; GT-TH1864; pc</v>
      </c>
      <c r="C2810" s="2" t="str">
        <f>IFERROR(__xludf.DUMMYFUNCTION("""COMPUTED_VALUE"""),"Q-70163-00")</f>
        <v>Q-70163-00</v>
      </c>
    </row>
    <row r="2811">
      <c r="A2811" s="2" t="str">
        <f>IFERROR(__xludf.DUMMYFUNCTION("""COMPUTED_VALUE"""),"Q-70167-00")</f>
        <v>Q-70167-00</v>
      </c>
      <c r="B2811" s="2" t="str">
        <f>IFERROR(__xludf.DUMMYFUNCTION("""COMPUTED_VALUE"""),"Kunci L Bintang / Torx Key Uk. 10 mm; Tekiro; HK-TL1221; pc")</f>
        <v>Kunci L Bintang / Torx Key Uk. 10 mm; Tekiro; HK-TL1221; pc</v>
      </c>
      <c r="C2811" s="2" t="str">
        <f>IFERROR(__xludf.DUMMYFUNCTION("""COMPUTED_VALUE"""),"Q-70167-00")</f>
        <v>Q-70167-00</v>
      </c>
    </row>
    <row r="2812">
      <c r="A2812" s="2" t="str">
        <f>IFERROR(__xludf.DUMMYFUNCTION("""COMPUTED_VALUE"""),"Q-70168-00")</f>
        <v>Q-70168-00</v>
      </c>
      <c r="B2812" s="2" t="str">
        <f>IFERROR(__xludf.DUMMYFUNCTION("""COMPUTED_VALUE"""),"Adjustable Wrench / Kunci Inggris Uk. 12 Inch; Krisbow; KW0101965; pc")</f>
        <v>Adjustable Wrench / Kunci Inggris Uk. 12 Inch; Krisbow; KW0101965; pc</v>
      </c>
      <c r="C2812" s="2" t="str">
        <f>IFERROR(__xludf.DUMMYFUNCTION("""COMPUTED_VALUE"""),"Q-70168-00")</f>
        <v>Q-70168-00</v>
      </c>
    </row>
    <row r="2813">
      <c r="A2813" s="2" t="str">
        <f>IFERROR(__xludf.DUMMYFUNCTION("""COMPUTED_VALUE"""),"Q-70169-00")</f>
        <v>Q-70169-00</v>
      </c>
      <c r="B2813" s="2" t="str">
        <f>IFERROR(__xludf.DUMMYFUNCTION("""COMPUTED_VALUE"""),"Kunci L Hex Key Stubby Uk. 1,5 - 10 mm; Tekiro; HK-ST1210 ; 9 pc/set")</f>
        <v>Kunci L Hex Key Stubby Uk. 1,5 - 10 mm; Tekiro; HK-ST1210 ; 9 pc/set</v>
      </c>
      <c r="C2813" s="2" t="str">
        <f>IFERROR(__xludf.DUMMYFUNCTION("""COMPUTED_VALUE"""),"Q-70169-00")</f>
        <v>Q-70169-00</v>
      </c>
    </row>
    <row r="2814">
      <c r="A2814" s="2" t="str">
        <f>IFERROR(__xludf.DUMMYFUNCTION("""COMPUTED_VALUE"""),"Q-70170-00")</f>
        <v>Q-70170-00</v>
      </c>
      <c r="B2814" s="2" t="str">
        <f>IFERROR(__xludf.DUMMYFUNCTION("""COMPUTED_VALUE"""),"Kunci L Uk. 1,5 mm; Tekiro; HK-LO1164; pc")</f>
        <v>Kunci L Uk. 1,5 mm; Tekiro; HK-LO1164; pc</v>
      </c>
      <c r="C2814" s="2" t="str">
        <f>IFERROR(__xludf.DUMMYFUNCTION("""COMPUTED_VALUE"""),"Q-70170-00")</f>
        <v>Q-70170-00</v>
      </c>
    </row>
    <row r="2815">
      <c r="A2815" s="2" t="str">
        <f>IFERROR(__xludf.DUMMYFUNCTION("""COMPUTED_VALUE"""),"Q-70171-00")</f>
        <v>Q-70171-00</v>
      </c>
      <c r="B2815" s="2" t="str">
        <f>IFERROR(__xludf.DUMMYFUNCTION("""COMPUTED_VALUE"""),"Kunci L Uk 2 mm; Tekiro; HK-LO1165; pc")</f>
        <v>Kunci L Uk 2 mm; Tekiro; HK-LO1165; pc</v>
      </c>
      <c r="C2815" s="2" t="str">
        <f>IFERROR(__xludf.DUMMYFUNCTION("""COMPUTED_VALUE"""),"Q-70171-00")</f>
        <v>Q-70171-00</v>
      </c>
    </row>
    <row r="2816">
      <c r="A2816" s="2" t="str">
        <f>IFERROR(__xludf.DUMMYFUNCTION("""COMPUTED_VALUE"""),"Q-70172-00")</f>
        <v>Q-70172-00</v>
      </c>
      <c r="B2816" s="2" t="str">
        <f>IFERROR(__xludf.DUMMYFUNCTION("""COMPUTED_VALUE"""),"Kunci L uk. 3 mm; Tekiro; HK-LO1166; pc")</f>
        <v>Kunci L uk. 3 mm; Tekiro; HK-LO1166; pc</v>
      </c>
      <c r="C2816" s="2" t="str">
        <f>IFERROR(__xludf.DUMMYFUNCTION("""COMPUTED_VALUE"""),"Q-70172-00")</f>
        <v>Q-70172-00</v>
      </c>
    </row>
    <row r="2817">
      <c r="A2817" s="2" t="str">
        <f>IFERROR(__xludf.DUMMYFUNCTION("""COMPUTED_VALUE"""),"Q-70173-00")</f>
        <v>Q-70173-00</v>
      </c>
      <c r="B2817" s="2" t="str">
        <f>IFERROR(__xludf.DUMMYFUNCTION("""COMPUTED_VALUE"""),"Kunci L Bintang / Torx Key Uk. 20 mm; Tekiro; HK-TL1223; pc")</f>
        <v>Kunci L Bintang / Torx Key Uk. 20 mm; Tekiro; HK-TL1223; pc</v>
      </c>
      <c r="C2817" s="2" t="str">
        <f>IFERROR(__xludf.DUMMYFUNCTION("""COMPUTED_VALUE"""),"Q-70173-00")</f>
        <v>Q-70173-00</v>
      </c>
    </row>
    <row r="2818">
      <c r="A2818" s="2" t="str">
        <f>IFERROR(__xludf.DUMMYFUNCTION("""COMPUTED_VALUE"""),"Q-70174-00")</f>
        <v>Q-70174-00</v>
      </c>
      <c r="B2818" s="2" t="str">
        <f>IFERROR(__xludf.DUMMYFUNCTION("""COMPUTED_VALUE"""),"Kunci L Bintang / Torx Key Uk. 25 mm; Tekiro; HK-TL1224; pc")</f>
        <v>Kunci L Bintang / Torx Key Uk. 25 mm; Tekiro; HK-TL1224; pc</v>
      </c>
      <c r="C2818" s="2" t="str">
        <f>IFERROR(__xludf.DUMMYFUNCTION("""COMPUTED_VALUE"""),"Q-70174-00")</f>
        <v>Q-70174-00</v>
      </c>
    </row>
    <row r="2819">
      <c r="A2819" s="2" t="str">
        <f>IFERROR(__xludf.DUMMYFUNCTION("""COMPUTED_VALUE"""),"Q-70175-00")</f>
        <v>Q-70175-00</v>
      </c>
      <c r="B2819" s="2" t="str">
        <f>IFERROR(__xludf.DUMMYFUNCTION("""COMPUTED_VALUE"""),"Kunci L Bintang / Torx Key Uk. 50 mm; Tekiro; HK-TL1228; pc")</f>
        <v>Kunci L Bintang / Torx Key Uk. 50 mm; Tekiro; HK-TL1228; pc</v>
      </c>
      <c r="C2819" s="2" t="str">
        <f>IFERROR(__xludf.DUMMYFUNCTION("""COMPUTED_VALUE"""),"Q-70175-00")</f>
        <v>Q-70175-00</v>
      </c>
    </row>
    <row r="2820">
      <c r="A2820" s="2" t="str">
        <f>IFERROR(__xludf.DUMMYFUNCTION("""COMPUTED_VALUE"""),"Q-70176-00")</f>
        <v>Q-70176-00</v>
      </c>
      <c r="B2820" s="2" t="str">
        <f>IFERROR(__xludf.DUMMYFUNCTION("""COMPUTED_VALUE"""),"Kunci Pas No 21 &amp; 23; Tekiro; WR-OE0086; pc")</f>
        <v>Kunci Pas No 21 &amp; 23; Tekiro; WR-OE0086; pc</v>
      </c>
      <c r="C2820" s="2" t="str">
        <f>IFERROR(__xludf.DUMMYFUNCTION("""COMPUTED_VALUE"""),"Q-70176-00")</f>
        <v>Q-70176-00</v>
      </c>
    </row>
    <row r="2821">
      <c r="A2821" s="2" t="str">
        <f>IFERROR(__xludf.DUMMYFUNCTION("""COMPUTED_VALUE"""),"Q-70177-00")</f>
        <v>Q-70177-00</v>
      </c>
      <c r="B2821" s="2" t="str">
        <f>IFERROR(__xludf.DUMMYFUNCTION("""COMPUTED_VALUE"""),"Obeng Listrik / Electrician Screwdriver PZ 6x100mm; Krisbow; KW0100765; pc")</f>
        <v>Obeng Listrik / Electrician Screwdriver PZ 6x100mm; Krisbow; KW0100765; pc</v>
      </c>
      <c r="C2821" s="2" t="str">
        <f>IFERROR(__xludf.DUMMYFUNCTION("""COMPUTED_VALUE"""),"Q-70177-00")</f>
        <v>Q-70177-00</v>
      </c>
    </row>
    <row r="2822">
      <c r="A2822" s="2" t="str">
        <f>IFERROR(__xludf.DUMMYFUNCTION("""COMPUTED_VALUE"""),"Q-70178-00")</f>
        <v>Q-70178-00</v>
      </c>
      <c r="B2822" s="2" t="str">
        <f>IFERROR(__xludf.DUMMYFUNCTION("""COMPUTED_VALUE"""),"Tang Potong Uk. 5 Inch; SATA; CN: 05522; pc")</f>
        <v>Tang Potong Uk. 5 Inch; SATA; CN: 05522; pc</v>
      </c>
      <c r="C2822" s="2" t="str">
        <f>IFERROR(__xludf.DUMMYFUNCTION("""COMPUTED_VALUE"""),"Q-70178-00")</f>
        <v>Q-70178-00</v>
      </c>
    </row>
    <row r="2823">
      <c r="A2823" s="2" t="str">
        <f>IFERROR(__xludf.DUMMYFUNCTION("""COMPUTED_VALUE"""),"Q-70181-00")</f>
        <v>Q-70181-00</v>
      </c>
      <c r="B2823" s="2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3" s="2" t="str">
        <f>IFERROR(__xludf.DUMMYFUNCTION("""COMPUTED_VALUE"""),"Q-70181-00")</f>
        <v>Q-70181-00</v>
      </c>
    </row>
    <row r="2824">
      <c r="A2824" s="2" t="str">
        <f>IFERROR(__xludf.DUMMYFUNCTION("""COMPUTED_VALUE"""),"Q-70184-00")</f>
        <v>Q-70184-00</v>
      </c>
      <c r="B2824" s="2" t="str">
        <f>IFERROR(__xludf.DUMMYFUNCTION("""COMPUTED_VALUE"""),"Obeng Listrik / Insulated Screwdriver Plus 2x100mm PH2; SATA; 61223; pc")</f>
        <v>Obeng Listrik / Insulated Screwdriver Plus 2x100mm PH2; SATA; 61223; pc</v>
      </c>
      <c r="C2824" s="2" t="str">
        <f>IFERROR(__xludf.DUMMYFUNCTION("""COMPUTED_VALUE"""),"Q-70184-00")</f>
        <v>Q-70184-00</v>
      </c>
    </row>
    <row r="2825">
      <c r="A2825" s="2" t="str">
        <f>IFERROR(__xludf.DUMMYFUNCTION("""COMPUTED_VALUE"""),"Q-70201-00")</f>
        <v>Q-70201-00</v>
      </c>
      <c r="B2825" s="2" t="str">
        <f>IFERROR(__xludf.DUMMYFUNCTION("""COMPUTED_VALUE"""),"Tang Kombinasi / Linesman Pliers Uk 7 inch; Tekiro; PL-LM0758; pc")</f>
        <v>Tang Kombinasi / Linesman Pliers Uk 7 inch; Tekiro; PL-LM0758; pc</v>
      </c>
      <c r="C2825" s="2" t="str">
        <f>IFERROR(__xludf.DUMMYFUNCTION("""COMPUTED_VALUE"""),"Q-70201-00")</f>
        <v>Q-70201-00</v>
      </c>
    </row>
    <row r="2826">
      <c r="A2826" s="2" t="str">
        <f>IFERROR(__xludf.DUMMYFUNCTION("""COMPUTED_VALUE"""),"Q-70222-00")</f>
        <v>Q-70222-00</v>
      </c>
      <c r="B2826" s="2" t="str">
        <f>IFERROR(__xludf.DUMMYFUNCTION("""COMPUTED_VALUE"""),"Insulated Screwdriver LPISS7; Krisbow; 10002071; 7 pc/set")</f>
        <v>Insulated Screwdriver LPISS7; Krisbow; 10002071; 7 pc/set</v>
      </c>
      <c r="C2826" s="2" t="str">
        <f>IFERROR(__xludf.DUMMYFUNCTION("""COMPUTED_VALUE"""),"Q-70222-00")</f>
        <v>Q-70222-00</v>
      </c>
    </row>
    <row r="2827">
      <c r="A2827" s="2" t="str">
        <f>IFERROR(__xludf.DUMMYFUNCTION("""COMPUTED_VALUE"""),"Q-70224-00")</f>
        <v>Q-70224-00</v>
      </c>
      <c r="B2827" s="2" t="str">
        <f>IFERROR(__xludf.DUMMYFUNCTION("""COMPUTED_VALUE"""),"Kunci L Mini Set; Tekiro; HK-EL1198; 7 pc/set")</f>
        <v>Kunci L Mini Set; Tekiro; HK-EL1198; 7 pc/set</v>
      </c>
      <c r="C2827" s="2" t="str">
        <f>IFERROR(__xludf.DUMMYFUNCTION("""COMPUTED_VALUE"""),"Q-70224-00")</f>
        <v>Q-70224-00</v>
      </c>
    </row>
    <row r="2828">
      <c r="A2828" s="2" t="str">
        <f>IFERROR(__xludf.DUMMYFUNCTION("""COMPUTED_VALUE"""),"Q-70238-00")</f>
        <v>Q-70238-00</v>
      </c>
      <c r="B2828" s="2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8" s="2" t="str">
        <f>IFERROR(__xludf.DUMMYFUNCTION("""COMPUTED_VALUE"""),"Q-70238-00")</f>
        <v>Q-70238-00</v>
      </c>
    </row>
    <row r="2829">
      <c r="A2829" s="2" t="str">
        <f>IFERROR(__xludf.DUMMYFUNCTION("""COMPUTED_VALUE"""),"Q-70239-00")</f>
        <v>Q-70239-00</v>
      </c>
      <c r="B2829" s="2" t="str">
        <f>IFERROR(__xludf.DUMMYFUNCTION("""COMPUTED_VALUE"""),"Tang Buaya Bengkok 10 Inch (Curved Jaw); Tekiro; PL-LG0770; pc")</f>
        <v>Tang Buaya Bengkok 10 Inch (Curved Jaw); Tekiro; PL-LG0770; pc</v>
      </c>
      <c r="C2829" s="2" t="str">
        <f>IFERROR(__xludf.DUMMYFUNCTION("""COMPUTED_VALUE"""),"Q-70239-00")</f>
        <v>Q-70239-00</v>
      </c>
    </row>
    <row r="2830">
      <c r="A2830" s="2" t="str">
        <f>IFERROR(__xludf.DUMMYFUNCTION("""COMPUTED_VALUE"""),"Q-70240-00")</f>
        <v>Q-70240-00</v>
      </c>
      <c r="B2830" s="2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0" s="2" t="str">
        <f>IFERROR(__xludf.DUMMYFUNCTION("""COMPUTED_VALUE"""),"Q-70240-00")</f>
        <v>Q-70240-00</v>
      </c>
    </row>
    <row r="2831">
      <c r="A2831" s="2" t="str">
        <f>IFERROR(__xludf.DUMMYFUNCTION("""COMPUTED_VALUE"""),"Q-70249-00")</f>
        <v>Q-70249-00</v>
      </c>
      <c r="B2831" s="2" t="str">
        <f>IFERROR(__xludf.DUMMYFUNCTION("""COMPUTED_VALUE"""),"Mata Kunci Impact Set 8-32mm (1/2"" Dr); Ecosen; ; 20 pc/set")</f>
        <v>Mata Kunci Impact Set 8-32mm (1/2" Dr); Ecosen; ; 20 pc/set</v>
      </c>
      <c r="C2831" s="2" t="str">
        <f>IFERROR(__xludf.DUMMYFUNCTION("""COMPUTED_VALUE"""),"Q-70249-00")</f>
        <v>Q-70249-00</v>
      </c>
    </row>
    <row r="2832">
      <c r="A2832" s="2" t="str">
        <f>IFERROR(__xludf.DUMMYFUNCTION("""COMPUTED_VALUE"""),"Q-70253-00")</f>
        <v>Q-70253-00</v>
      </c>
      <c r="B2832" s="2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2" s="2" t="str">
        <f>IFERROR(__xludf.DUMMYFUNCTION("""COMPUTED_VALUE"""),"Q-70253-00")</f>
        <v>Q-70253-00</v>
      </c>
    </row>
    <row r="2833">
      <c r="A2833" s="2" t="str">
        <f>IFERROR(__xludf.DUMMYFUNCTION("""COMPUTED_VALUE"""),"Q-70254-00")</f>
        <v>Q-70254-00</v>
      </c>
      <c r="B2833" s="2" t="str">
        <f>IFERROR(__xludf.DUMMYFUNCTION("""COMPUTED_VALUE"""),"Obeng Ketok/Impact Driver Set; Tekiro; SD-IM0921; 11 pc per set")</f>
        <v>Obeng Ketok/Impact Driver Set; Tekiro; SD-IM0921; 11 pc per set</v>
      </c>
      <c r="C2833" s="2" t="str">
        <f>IFERROR(__xludf.DUMMYFUNCTION("""COMPUTED_VALUE"""),"Q-70254-00")</f>
        <v>Q-70254-00</v>
      </c>
    </row>
    <row r="2834">
      <c r="A2834" s="2" t="str">
        <f>IFERROR(__xludf.DUMMYFUNCTION("""COMPUTED_VALUE"""),"Q-70255-00")</f>
        <v>Q-70255-00</v>
      </c>
      <c r="B2834" s="2" t="str">
        <f>IFERROR(__xludf.DUMMYFUNCTION("""COMPUTED_VALUE"""),"Kunci Sock T 13 mm; Tekiro; WR-TT0237; pc")</f>
        <v>Kunci Sock T 13 mm; Tekiro; WR-TT0237; pc</v>
      </c>
      <c r="C2834" s="2" t="str">
        <f>IFERROR(__xludf.DUMMYFUNCTION("""COMPUTED_VALUE"""),"Q-70255-00")</f>
        <v>Q-70255-00</v>
      </c>
    </row>
    <row r="2835">
      <c r="A2835" s="2" t="str">
        <f>IFERROR(__xludf.DUMMYFUNCTION("""COMPUTED_VALUE"""),"Q-90010-00")</f>
        <v>Q-90010-00</v>
      </c>
      <c r="B2835" s="2" t="str">
        <f>IFERROR(__xludf.DUMMYFUNCTION("""COMPUTED_VALUE"""),"Sendok Semen")</f>
        <v>Sendok Semen</v>
      </c>
      <c r="C2835" s="2" t="str">
        <f>IFERROR(__xludf.DUMMYFUNCTION("""COMPUTED_VALUE"""),"Q-90010-00")</f>
        <v>Q-90010-00</v>
      </c>
    </row>
    <row r="2836">
      <c r="A2836" s="2" t="str">
        <f>IFERROR(__xludf.DUMMYFUNCTION("""COMPUTED_VALUE"""),"Q-90013-00")</f>
        <v>Q-90013-00</v>
      </c>
      <c r="B2836" s="2" t="str">
        <f>IFERROR(__xludf.DUMMYFUNCTION("""COMPUTED_VALUE"""),"Apar CO2")</f>
        <v>Apar CO2</v>
      </c>
      <c r="C2836" s="2" t="str">
        <f>IFERROR(__xludf.DUMMYFUNCTION("""COMPUTED_VALUE"""),"Q-90013-00")</f>
        <v>Q-90013-00</v>
      </c>
    </row>
    <row r="2837">
      <c r="A2837" s="2" t="str">
        <f>IFERROR(__xludf.DUMMYFUNCTION("""COMPUTED_VALUE"""),"Q-90025-00")</f>
        <v>Q-90025-00</v>
      </c>
      <c r="B2837" s="2" t="str">
        <f>IFERROR(__xludf.DUMMYFUNCTION("""COMPUTED_VALUE"""),"SCHINDLER ELEVATOR - PCB SDIC; P/N: 591886; ; ;")</f>
        <v>SCHINDLER ELEVATOR - PCB SDIC; P/N: 591886; ; ;</v>
      </c>
      <c r="C2837" s="2" t="str">
        <f>IFERROR(__xludf.DUMMYFUNCTION("""COMPUTED_VALUE"""),"Q-90025-00")</f>
        <v>Q-90025-00</v>
      </c>
    </row>
    <row r="2838">
      <c r="A2838" s="2" t="str">
        <f>IFERROR(__xludf.DUMMYFUNCTION("""COMPUTED_VALUE"""),"Q-90026-00")</f>
        <v>Q-90026-00</v>
      </c>
      <c r="B2838" s="2" t="str">
        <f>IFERROR(__xludf.DUMMYFUNCTION("""COMPUTED_VALUE"""),"SCHINDLER ELEVATOR - Sensor PHS; Cedes, GLS 126 NT; ; ;")</f>
        <v>SCHINDLER ELEVATOR - Sensor PHS; Cedes, GLS 126 NT; ; ;</v>
      </c>
      <c r="C2838" s="2" t="str">
        <f>IFERROR(__xludf.DUMMYFUNCTION("""COMPUTED_VALUE"""),"Q-90026-00")</f>
        <v>Q-90026-00</v>
      </c>
    </row>
    <row r="2839">
      <c r="A2839" s="2" t="str">
        <f>IFERROR(__xludf.DUMMYFUNCTION("""COMPUTED_VALUE"""),"Q-90767-00")</f>
        <v>Q-90767-00</v>
      </c>
      <c r="B2839" s="2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39" s="2" t="str">
        <f>IFERROR(__xludf.DUMMYFUNCTION("""COMPUTED_VALUE"""),"Q-90767-00")</f>
        <v>Q-90767-00</v>
      </c>
    </row>
    <row r="2840">
      <c r="A2840" s="2" t="str">
        <f>IFERROR(__xludf.DUMMYFUNCTION("""COMPUTED_VALUE"""),"R-20023-00")</f>
        <v>R-20023-00</v>
      </c>
      <c r="B2840" s="2" t="str">
        <f>IFERROR(__xludf.DUMMYFUNCTION("""COMPUTED_VALUE"""),"Machine Change Parts; ; ;")</f>
        <v>Machine Change Parts; ; ;</v>
      </c>
      <c r="C2840" s="2" t="str">
        <f>IFERROR(__xludf.DUMMYFUNCTION("""COMPUTED_VALUE"""),"R-20023-00")</f>
        <v>R-20023-00</v>
      </c>
    </row>
    <row r="2841">
      <c r="A2841" s="2" t="str">
        <f>IFERROR(__xludf.DUMMYFUNCTION("""COMPUTED_VALUE"""),"R-22006-00")</f>
        <v>R-22006-00</v>
      </c>
      <c r="B2841" s="2" t="str">
        <f>IFERROR(__xludf.DUMMYFUNCTION("""COMPUTED_VALUE"""),"Racking")</f>
        <v>Racking</v>
      </c>
      <c r="C2841" s="2" t="str">
        <f>IFERROR(__xludf.DUMMYFUNCTION("""COMPUTED_VALUE"""),"R-22006-00")</f>
        <v>R-22006-00</v>
      </c>
    </row>
    <row r="2842">
      <c r="A2842" s="2" t="str">
        <f>IFERROR(__xludf.DUMMYFUNCTION("""COMPUTED_VALUE"""),"S-11400-00")</f>
        <v>S-11400-00</v>
      </c>
      <c r="B2842" s="2" t="str">
        <f>IFERROR(__xludf.DUMMYFUNCTION("""COMPUTED_VALUE"""),"Majun AA, No Brand, Budhi Supplies, pack size per kg")</f>
        <v>Majun AA, No Brand, Budhi Supplies, pack size per kg</v>
      </c>
      <c r="C2842" s="2" t="str">
        <f>IFERROR(__xludf.DUMMYFUNCTION("""COMPUTED_VALUE"""),"S-11400-00")</f>
        <v>S-11400-00</v>
      </c>
    </row>
    <row r="2843">
      <c r="A2843" s="2" t="str">
        <f>IFERROR(__xludf.DUMMYFUNCTION("""COMPUTED_VALUE"""),"S-11816-00")</f>
        <v>S-11816-00</v>
      </c>
      <c r="B2843" s="2" t="str">
        <f>IFERROR(__xludf.DUMMYFUNCTION("""COMPUTED_VALUE"""),"Cable Ties Nylon reusable (Colour Black) Lenght 20cm")</f>
        <v>Cable Ties Nylon reusable (Colour Black) Lenght 20cm</v>
      </c>
      <c r="C2843" s="2" t="str">
        <f>IFERROR(__xludf.DUMMYFUNCTION("""COMPUTED_VALUE"""),"S-11816-00")</f>
        <v>S-11816-00</v>
      </c>
    </row>
    <row r="2844">
      <c r="A2844" s="2" t="str">
        <f>IFERROR(__xludf.DUMMYFUNCTION("""COMPUTED_VALUE"""),"S-11976-00")</f>
        <v>S-11976-00</v>
      </c>
      <c r="B2844" s="2" t="str">
        <f>IFERROR(__xludf.DUMMYFUNCTION("""COMPUTED_VALUE"""),"Selang Hydrant")</f>
        <v>Selang Hydrant</v>
      </c>
      <c r="C2844" s="2" t="str">
        <f>IFERROR(__xludf.DUMMYFUNCTION("""COMPUTED_VALUE"""),"S-11976-00")</f>
        <v>S-11976-00</v>
      </c>
    </row>
    <row r="2845">
      <c r="A2845" s="2" t="str">
        <f>IFERROR(__xludf.DUMMYFUNCTION("""COMPUTED_VALUE"""),"S-20055-00")</f>
        <v>S-20055-00</v>
      </c>
      <c r="B2845" s="2" t="str">
        <f>IFERROR(__xludf.DUMMYFUNCTION("""COMPUTED_VALUE"""),"Safety Gloves; Promaster; pack size 10 pcs per box")</f>
        <v>Safety Gloves; Promaster; pack size 10 pcs per box</v>
      </c>
      <c r="C2845" s="2" t="str">
        <f>IFERROR(__xludf.DUMMYFUNCTION("""COMPUTED_VALUE"""),"S-20055-00")</f>
        <v>S-20055-00</v>
      </c>
    </row>
    <row r="2846">
      <c r="A2846" s="2" t="str">
        <f>IFERROR(__xludf.DUMMYFUNCTION("""COMPUTED_VALUE"""),"S-20105-00")</f>
        <v>S-20105-00</v>
      </c>
      <c r="B2846" s="2" t="str">
        <f>IFERROR(__xludf.DUMMYFUNCTION("""COMPUTED_VALUE"""),"Full Facepiece Reusable Respirator; 3M; 6800 Medium; pc")</f>
        <v>Full Facepiece Reusable Respirator; 3M; 6800 Medium; pc</v>
      </c>
      <c r="C2846" s="2" t="str">
        <f>IFERROR(__xludf.DUMMYFUNCTION("""COMPUTED_VALUE"""),"S-20105-00")</f>
        <v>S-20105-00</v>
      </c>
    </row>
    <row r="2847">
      <c r="A2847" s="2" t="str">
        <f>IFERROR(__xludf.DUMMYFUNCTION("""COMPUTED_VALUE"""),"S-20268-00")</f>
        <v>S-20268-00</v>
      </c>
      <c r="B2847" s="2" t="str">
        <f>IFERROR(__xludf.DUMMYFUNCTION("""COMPUTED_VALUE"""),"Face Shield Head Gear With Clear Visor; KW1000315; ; ;")</f>
        <v>Face Shield Head Gear With Clear Visor; KW1000315; ; ;</v>
      </c>
      <c r="C2847" s="2" t="str">
        <f>IFERROR(__xludf.DUMMYFUNCTION("""COMPUTED_VALUE"""),"S-20268-00")</f>
        <v>S-20268-00</v>
      </c>
    </row>
    <row r="2848">
      <c r="A2848" s="2" t="str">
        <f>IFERROR(__xludf.DUMMYFUNCTION("""COMPUTED_VALUE"""),"S-20499-00")</f>
        <v>S-20499-00</v>
      </c>
      <c r="B2848" s="2" t="str">
        <f>IFERROR(__xludf.DUMMYFUNCTION("""COMPUTED_VALUE"""),"Filter Retainer 501 (Plastik Penutup Prefilter 5N11); 3M; 501; 10 pc/pck")</f>
        <v>Filter Retainer 501 (Plastik Penutup Prefilter 5N11); 3M; 501; 10 pc/pck</v>
      </c>
      <c r="C2848" s="2" t="str">
        <f>IFERROR(__xludf.DUMMYFUNCTION("""COMPUTED_VALUE"""),"S-20499-00")</f>
        <v>S-20499-00</v>
      </c>
    </row>
    <row r="2849">
      <c r="A2849" s="2" t="str">
        <f>IFERROR(__xludf.DUMMYFUNCTION("""COMPUTED_VALUE"""),"S-20669-00")</f>
        <v>S-20669-00</v>
      </c>
      <c r="B2849" s="2" t="str">
        <f>IFERROR(__xludf.DUMMYFUNCTION("""COMPUTED_VALUE"""),"Multi Gas &amp; Vapor Cartridge; 3M; 6006M; pc")</f>
        <v>Multi Gas &amp; Vapor Cartridge; 3M; 6006M; pc</v>
      </c>
      <c r="C2849" s="2" t="str">
        <f>IFERROR(__xludf.DUMMYFUNCTION("""COMPUTED_VALUE"""),"S-20669-00")</f>
        <v>S-20669-00</v>
      </c>
    </row>
    <row r="2850">
      <c r="A2850" s="2" t="str">
        <f>IFERROR(__xludf.DUMMYFUNCTION("""COMPUTED_VALUE"""),"S-40009-00")</f>
        <v>S-40009-00</v>
      </c>
      <c r="B2850" s="2" t="str">
        <f>IFERROR(__xludf.DUMMYFUNCTION("""COMPUTED_VALUE"""),"Battery CR 2032 Maxell")</f>
        <v>Battery CR 2032 Maxell</v>
      </c>
      <c r="C2850" s="2" t="str">
        <f>IFERROR(__xludf.DUMMYFUNCTION("""COMPUTED_VALUE"""),"S-40009-00")</f>
        <v>S-40009-00</v>
      </c>
    </row>
    <row r="2851">
      <c r="A2851" s="2" t="str">
        <f>IFERROR(__xludf.DUMMYFUNCTION("""COMPUTED_VALUE"""),"S-40011-00")</f>
        <v>S-40011-00</v>
      </c>
      <c r="B2851" s="2" t="str">
        <f>IFERROR(__xludf.DUMMYFUNCTION("""COMPUTED_VALUE"""),"Battery Lithium 3,6 V LS 14250, Shaft")</f>
        <v>Battery Lithium 3,6 V LS 14250, Shaft</v>
      </c>
      <c r="C2851" s="2" t="str">
        <f>IFERROR(__xludf.DUMMYFUNCTION("""COMPUTED_VALUE"""),"S-40011-00")</f>
        <v>S-40011-00</v>
      </c>
    </row>
    <row r="2852">
      <c r="A2852" s="2" t="str">
        <f>IFERROR(__xludf.DUMMYFUNCTION("""COMPUTED_VALUE"""),"S-40335-00")</f>
        <v>S-40335-00</v>
      </c>
      <c r="B2852" s="2" t="str">
        <f>IFERROR(__xludf.DUMMYFUNCTION("""COMPUTED_VALUE"""),"Lem Insuflex Insulation; ; ;")</f>
        <v>Lem Insuflex Insulation; ; ;</v>
      </c>
      <c r="C2852" s="2" t="str">
        <f>IFERROR(__xludf.DUMMYFUNCTION("""COMPUTED_VALUE"""),"S-40335-00")</f>
        <v>S-40335-00</v>
      </c>
    </row>
    <row r="2853">
      <c r="A2853" s="2" t="str">
        <f>IFERROR(__xludf.DUMMYFUNCTION("""COMPUTED_VALUE"""),"S-40586-00")</f>
        <v>S-40586-00</v>
      </c>
      <c r="B2853" s="2" t="str">
        <f>IFERROR(__xludf.DUMMYFUNCTION("""COMPUTED_VALUE"""),"Container Box; Claris; ;")</f>
        <v>Container Box; Claris; ;</v>
      </c>
      <c r="C2853" s="2" t="str">
        <f>IFERROR(__xludf.DUMMYFUNCTION("""COMPUTED_VALUE"""),"S-40586-00")</f>
        <v>S-40586-00</v>
      </c>
    </row>
    <row r="2854">
      <c r="A2854" s="2" t="str">
        <f>IFERROR(__xludf.DUMMYFUNCTION("""COMPUTED_VALUE"""),"S-40640-00")</f>
        <v>S-40640-00</v>
      </c>
      <c r="B2854" s="2" t="str">
        <f>IFERROR(__xludf.DUMMYFUNCTION("""COMPUTED_VALUE"""),"Cable Ties, 150 x 3.6 mm; SIGMA; CS 150T; Putih;100 pcs/pack")</f>
        <v>Cable Ties, 150 x 3.6 mm; SIGMA; CS 150T; Putih;100 pcs/pack</v>
      </c>
      <c r="C2854" s="2" t="str">
        <f>IFERROR(__xludf.DUMMYFUNCTION("""COMPUTED_VALUE"""),"S-40640-00")</f>
        <v>S-40640-00</v>
      </c>
    </row>
    <row r="2855">
      <c r="A2855" s="2" t="str">
        <f>IFERROR(__xludf.DUMMYFUNCTION("""COMPUTED_VALUE"""),"S-40645-00")</f>
        <v>S-40645-00</v>
      </c>
      <c r="B2855" s="2" t="str">
        <f>IFERROR(__xludf.DUMMYFUNCTION("""COMPUTED_VALUE"""),"Cable Ties, 200 x 4.8 mm; SIGMA; CS 200L; Putih;100 pcs/pack")</f>
        <v>Cable Ties, 200 x 4.8 mm; SIGMA; CS 200L; Putih;100 pcs/pack</v>
      </c>
      <c r="C2855" s="2" t="str">
        <f>IFERROR(__xludf.DUMMYFUNCTION("""COMPUTED_VALUE"""),"S-40645-00")</f>
        <v>S-40645-00</v>
      </c>
    </row>
    <row r="2856">
      <c r="A2856" s="2" t="str">
        <f>IFERROR(__xludf.DUMMYFUNCTION("""COMPUTED_VALUE"""),"S-40760-00")</f>
        <v>S-40760-00</v>
      </c>
      <c r="B2856" s="2" t="str">
        <f>IFERROR(__xludf.DUMMYFUNCTION("""COMPUTED_VALUE"""),"Dry Fog - Oring Spray; P/N. 43100-097")</f>
        <v>Dry Fog - Oring Spray; P/N. 43100-097</v>
      </c>
      <c r="C2856" s="2" t="str">
        <f>IFERROR(__xludf.DUMMYFUNCTION("""COMPUTED_VALUE"""),"S-40760-00")</f>
        <v>S-40760-00</v>
      </c>
    </row>
    <row r="2857">
      <c r="A2857" s="2" t="str">
        <f>IFERROR(__xludf.DUMMYFUNCTION("""COMPUTED_VALUE"""),"S-40851-00")</f>
        <v>S-40851-00</v>
      </c>
      <c r="B2857" s="2" t="str">
        <f>IFERROR(__xludf.DUMMYFUNCTION("""COMPUTED_VALUE"""),"Flashdisk 4GB; Sandisk; ;")</f>
        <v>Flashdisk 4GB; Sandisk; ;</v>
      </c>
      <c r="C2857" s="2" t="str">
        <f>IFERROR(__xludf.DUMMYFUNCTION("""COMPUTED_VALUE"""),"S-40851-00")</f>
        <v>S-40851-00</v>
      </c>
    </row>
    <row r="2858">
      <c r="A2858" s="2" t="str">
        <f>IFERROR(__xludf.DUMMYFUNCTION("""COMPUTED_VALUE"""),"S-42148-00")</f>
        <v>S-42148-00</v>
      </c>
      <c r="B2858" s="2" t="str">
        <f>IFERROR(__xludf.DUMMYFUNCTION("""COMPUTED_VALUE"""),"Plakban Kuning Size 1""")</f>
        <v>Plakban Kuning Size 1"</v>
      </c>
      <c r="C2858" s="2" t="str">
        <f>IFERROR(__xludf.DUMMYFUNCTION("""COMPUTED_VALUE"""),"S-42148-00")</f>
        <v>S-42148-00</v>
      </c>
    </row>
    <row r="2859">
      <c r="A2859" s="2" t="str">
        <f>IFERROR(__xludf.DUMMYFUNCTION("""COMPUTED_VALUE"""),"S-44000-00")</f>
        <v>S-44000-00</v>
      </c>
      <c r="B2859" s="2" t="str">
        <f>IFERROR(__xludf.DUMMYFUNCTION("""COMPUTED_VALUE"""),"Packing &amp; Other Charges; ; ;")</f>
        <v>Packing &amp; Other Charges; ; ;</v>
      </c>
      <c r="C2859" s="2" t="str">
        <f>IFERROR(__xludf.DUMMYFUNCTION("""COMPUTED_VALUE"""),"S-44000-00")</f>
        <v>S-44000-00</v>
      </c>
    </row>
    <row r="2860">
      <c r="A2860" s="2" t="str">
        <f>IFERROR(__xludf.DUMMYFUNCTION("""COMPUTED_VALUE"""),"S-46129-00")</f>
        <v>S-46129-00</v>
      </c>
      <c r="B2860" s="2" t="str">
        <f>IFERROR(__xludf.DUMMYFUNCTION("""COMPUTED_VALUE"""),"Plastik Wrap Roll,  Size 50 x 200 cm x 17 micron")</f>
        <v>Plastik Wrap Roll,  Size 50 x 200 cm x 17 micron</v>
      </c>
      <c r="C2860" s="2" t="str">
        <f>IFERROR(__xludf.DUMMYFUNCTION("""COMPUTED_VALUE"""),"S-46129-00")</f>
        <v>S-46129-00</v>
      </c>
    </row>
    <row r="2861">
      <c r="A2861" s="2" t="str">
        <f>IFERROR(__xludf.DUMMYFUNCTION("""COMPUTED_VALUE"""),"S-46149-00")</f>
        <v>S-46149-00</v>
      </c>
      <c r="B2861" s="2" t="str">
        <f>IFERROR(__xludf.DUMMYFUNCTION("""COMPUTED_VALUE"""),"Plastik PE Murni Polos 75 cmx100cmx 0.08mm; No Brand; ; pack size per kg")</f>
        <v>Plastik PE Murni Polos 75 cmx100cmx 0.08mm; No Brand; ; pack size per kg</v>
      </c>
      <c r="C2861" s="2" t="str">
        <f>IFERROR(__xludf.DUMMYFUNCTION("""COMPUTED_VALUE"""),"S-46149-00")</f>
        <v>S-46149-00</v>
      </c>
    </row>
    <row r="2862">
      <c r="A2862" s="2" t="str">
        <f>IFERROR(__xludf.DUMMYFUNCTION("""COMPUTED_VALUE"""),"S-46525-00")</f>
        <v>S-46525-00</v>
      </c>
      <c r="B2862" s="2" t="str">
        <f>IFERROR(__xludf.DUMMYFUNCTION("""COMPUTED_VALUE"""),"Jolly Box ; JX-3 No. 300; Lion Star; ;")</f>
        <v>Jolly Box ; JX-3 No. 300; Lion Star; ;</v>
      </c>
      <c r="C2862" s="2" t="str">
        <f>IFERROR(__xludf.DUMMYFUNCTION("""COMPUTED_VALUE"""),"S-46525-00")</f>
        <v>S-46525-00</v>
      </c>
    </row>
    <row r="2863">
      <c r="A2863" s="2" t="str">
        <f>IFERROR(__xludf.DUMMYFUNCTION("""COMPUTED_VALUE"""),"S-46550-00")</f>
        <v>S-46550-00</v>
      </c>
      <c r="B2863" s="2" t="str">
        <f>IFERROR(__xludf.DUMMYFUNCTION("""COMPUTED_VALUE"""),"Ladder with Cushion Foam 4 Step BLKYS2462P; Krisbow; 294499;")</f>
        <v>Ladder with Cushion Foam 4 Step BLKYS2462P; Krisbow; 294499;</v>
      </c>
      <c r="C2863" s="2" t="str">
        <f>IFERROR(__xludf.DUMMYFUNCTION("""COMPUTED_VALUE"""),"S-46550-00")</f>
        <v>S-46550-00</v>
      </c>
    </row>
    <row r="2864">
      <c r="A2864" s="2" t="str">
        <f>IFERROR(__xludf.DUMMYFUNCTION("""COMPUTED_VALUE"""),"S-50264-00")</f>
        <v>S-50264-00</v>
      </c>
      <c r="B2864" s="2" t="str">
        <f>IFERROR(__xludf.DUMMYFUNCTION("""COMPUTED_VALUE"""),"Gelas Ukur 1000 ml Class A ; Brand : Iwaki ; CN : 3022-1000-N")</f>
        <v>Gelas Ukur 1000 ml Class A ; Brand : Iwaki ; CN : 3022-1000-N</v>
      </c>
      <c r="C2864" s="2" t="str">
        <f>IFERROR(__xludf.DUMMYFUNCTION("""COMPUTED_VALUE"""),"S-50264-00")</f>
        <v>S-50264-00</v>
      </c>
    </row>
    <row r="2865">
      <c r="A2865" s="2" t="str">
        <f>IFERROR(__xludf.DUMMYFUNCTION("""COMPUTED_VALUE"""),"S-50953-00")</f>
        <v>S-50953-00</v>
      </c>
      <c r="B2865" s="2" t="str">
        <f>IFERROR(__xludf.DUMMYFUNCTION("""COMPUTED_VALUE"""),"Silica Gel curah; ; ; pck")</f>
        <v>Silica Gel curah; ; ; pck</v>
      </c>
      <c r="C2865" s="2" t="str">
        <f>IFERROR(__xludf.DUMMYFUNCTION("""COMPUTED_VALUE"""),"S-50953-00")</f>
        <v>S-50953-00</v>
      </c>
    </row>
    <row r="2866">
      <c r="A2866" s="2" t="str">
        <f>IFERROR(__xludf.DUMMYFUNCTION("""COMPUTED_VALUE"""),"S-51937-00")</f>
        <v>S-51937-00</v>
      </c>
      <c r="B2866" s="2" t="str">
        <f>IFERROR(__xludf.DUMMYFUNCTION("""COMPUTED_VALUE"""),"Lid for Desicator, with Stopcock, dor ID 200mm; Normax; 4906324; pieces")</f>
        <v>Lid for Desicator, with Stopcock, dor ID 200mm; Normax; 4906324; pieces</v>
      </c>
      <c r="C2866" s="2" t="str">
        <f>IFERROR(__xludf.DUMMYFUNCTION("""COMPUTED_VALUE"""),"S-51937-00")</f>
        <v>S-51937-00</v>
      </c>
    </row>
    <row r="2867">
      <c r="A2867" s="2" t="str">
        <f>IFERROR(__xludf.DUMMYFUNCTION("""COMPUTED_VALUE"""),"S-62005-00")</f>
        <v>S-62005-00</v>
      </c>
      <c r="B2867" s="2" t="str">
        <f>IFERROR(__xludf.DUMMYFUNCTION("""COMPUTED_VALUE"""),"Gas Oksigen (O2) ; 6 M3; Refill; Industrial Grade; Purity ? 99.95%")</f>
        <v>Gas Oksigen (O2) ; 6 M3; Refill; Industrial Grade; Purity ? 99.95%</v>
      </c>
      <c r="C2867" s="2" t="str">
        <f>IFERROR(__xludf.DUMMYFUNCTION("""COMPUTED_VALUE"""),"S-62005-00")</f>
        <v>S-62005-00</v>
      </c>
    </row>
    <row r="2868">
      <c r="A2868" s="2" t="str">
        <f>IFERROR(__xludf.DUMMYFUNCTION("""COMPUTED_VALUE"""),"S-62027-00")</f>
        <v>S-62027-00</v>
      </c>
      <c r="B2868" s="2" t="str">
        <f>IFERROR(__xludf.DUMMYFUNCTION("""COMPUTED_VALUE"""),"Gas Nitrogen (N2); 6 M3; Refill; Ultra High Purity (UHP); Purity ? 99.999%")</f>
        <v>Gas Nitrogen (N2); 6 M3; Refill; Ultra High Purity (UHP); Purity ? 99.999%</v>
      </c>
      <c r="C2868" s="2" t="str">
        <f>IFERROR(__xludf.DUMMYFUNCTION("""COMPUTED_VALUE"""),"S-62027-00")</f>
        <v>S-62027-00</v>
      </c>
    </row>
    <row r="2869">
      <c r="A2869" s="2" t="str">
        <f>IFERROR(__xludf.DUMMYFUNCTION("""COMPUTED_VALUE"""),"S-62027-00")</f>
        <v>S-62027-00</v>
      </c>
      <c r="B2869" s="2" t="str">
        <f>IFERROR(__xludf.DUMMYFUNCTION("""COMPUTED_VALUE"""),"Gas Nitrogen (N2); 6 M3; Refill; Ultra High Purity (UHP); Purity ? 99.999%")</f>
        <v>Gas Nitrogen (N2); 6 M3; Refill; Ultra High Purity (UHP); Purity ? 99.999%</v>
      </c>
      <c r="C2869" s="2" t="str">
        <f>IFERROR(__xludf.DUMMYFUNCTION("""COMPUTED_VALUE"""),"S-62027-00")</f>
        <v>S-62027-00</v>
      </c>
    </row>
    <row r="2870">
      <c r="A2870" s="2" t="str">
        <f>IFERROR(__xludf.DUMMYFUNCTION("""COMPUTED_VALUE"""),"S-62032-00")</f>
        <v>S-62032-00</v>
      </c>
      <c r="B2870" s="2" t="str">
        <f>IFERROR(__xludf.DUMMYFUNCTION("""COMPUTED_VALUE"""),"Gas Argon (Ar); 1.5 M3; Refill;  Industrial Grade; Purity ? 99.95%")</f>
        <v>Gas Argon (Ar); 1.5 M3; Refill;  Industrial Grade; Purity ? 99.95%</v>
      </c>
      <c r="C2870" s="2" t="str">
        <f>IFERROR(__xludf.DUMMYFUNCTION("""COMPUTED_VALUE"""),"S-62032-00")</f>
        <v>S-62032-00</v>
      </c>
    </row>
    <row r="2871">
      <c r="A2871" s="2" t="str">
        <f>IFERROR(__xludf.DUMMYFUNCTION("""COMPUTED_VALUE"""),"S-62036-00")</f>
        <v>S-62036-00</v>
      </c>
      <c r="B2871" s="2" t="str">
        <f>IFERROR(__xludf.DUMMYFUNCTION("""COMPUTED_VALUE"""),"Gas Argon (Ar); 6 M3; Refill; High Purity (HP); Purity ? 99.995%")</f>
        <v>Gas Argon (Ar); 6 M3; Refill; High Purity (HP); Purity ? 99.995%</v>
      </c>
      <c r="C2871" s="2" t="str">
        <f>IFERROR(__xludf.DUMMYFUNCTION("""COMPUTED_VALUE"""),"S-62036-00")</f>
        <v>S-62036-00</v>
      </c>
    </row>
    <row r="2872">
      <c r="A2872" s="2" t="str">
        <f>IFERROR(__xludf.DUMMYFUNCTION("""COMPUTED_VALUE"""),"S-62052-00")</f>
        <v>S-62052-00</v>
      </c>
      <c r="B2872" s="2" t="str">
        <f>IFERROR(__xludf.DUMMYFUNCTION("""COMPUTED_VALUE"""),"Gas Acetylene (C2H2), Industrial Grade, 2kg; ; ;")</f>
        <v>Gas Acetylene (C2H2), Industrial Grade, 2kg; ; ;</v>
      </c>
      <c r="C2872" s="2" t="str">
        <f>IFERROR(__xludf.DUMMYFUNCTION("""COMPUTED_VALUE"""),"S-62052-00")</f>
        <v>S-62052-00</v>
      </c>
    </row>
    <row r="2873">
      <c r="A2873" s="2" t="str">
        <f>IFERROR(__xludf.DUMMYFUNCTION("""COMPUTED_VALUE"""),"S-62063-00")</f>
        <v>S-62063-00</v>
      </c>
      <c r="B2873" s="2" t="str">
        <f>IFERROR(__xludf.DUMMYFUNCTION("""COMPUTED_VALUE"""),"General - Helium Gas + Cylinder 1m3; No Brand; -; pcs")</f>
        <v>General - Helium Gas + Cylinder 1m3; No Brand; -; pcs</v>
      </c>
      <c r="C2873" s="2" t="str">
        <f>IFERROR(__xludf.DUMMYFUNCTION("""COMPUTED_VALUE"""),"S-62063-00")</f>
        <v>S-62063-00</v>
      </c>
    </row>
    <row r="2874">
      <c r="A2874" s="2" t="str">
        <f>IFERROR(__xludf.DUMMYFUNCTION("""COMPUTED_VALUE"""),"S-63035-00")</f>
        <v>S-63035-00</v>
      </c>
      <c r="B2874" s="2" t="str">
        <f>IFERROR(__xludf.DUMMYFUNCTION("""COMPUTED_VALUE"""),"Cover Penutup Saklar")</f>
        <v>Cover Penutup Saklar</v>
      </c>
      <c r="C2874" s="2" t="str">
        <f>IFERROR(__xludf.DUMMYFUNCTION("""COMPUTED_VALUE"""),"S-63035-00")</f>
        <v>S-63035-00</v>
      </c>
    </row>
    <row r="2875">
      <c r="A2875" s="2" t="str">
        <f>IFERROR(__xludf.DUMMYFUNCTION("""COMPUTED_VALUE"""),"T-10000-00")</f>
        <v>T-10000-00</v>
      </c>
      <c r="B2875" s="2" t="str">
        <f>IFERROR(__xludf.DUMMYFUNCTION("""COMPUTED_VALUE"""),"Motherboard Lenovo IS6XM Rev1.0")</f>
        <v>Motherboard Lenovo IS6XM Rev1.0</v>
      </c>
      <c r="C2875" s="2" t="str">
        <f>IFERROR(__xludf.DUMMYFUNCTION("""COMPUTED_VALUE"""),"T-10000-00")</f>
        <v>T-10000-00</v>
      </c>
    </row>
    <row r="2876">
      <c r="A2876" s="2" t="str">
        <f>IFERROR(__xludf.DUMMYFUNCTION("""COMPUTED_VALUE"""),"T-10005-00")</f>
        <v>T-10005-00</v>
      </c>
      <c r="B2876" s="2" t="str">
        <f>IFERROR(__xludf.DUMMYFUNCTION("""COMPUTED_VALUE"""),"Mouse; Logitech; M331 Silent Plus")</f>
        <v>Mouse; Logitech; M331 Silent Plus</v>
      </c>
      <c r="C2876" s="2" t="str">
        <f>IFERROR(__xludf.DUMMYFUNCTION("""COMPUTED_VALUE"""),"T-10005-00")</f>
        <v>T-10005-00</v>
      </c>
    </row>
    <row r="2877">
      <c r="A2877" s="2" t="str">
        <f>IFERROR(__xludf.DUMMYFUNCTION("""COMPUTED_VALUE"""),"T-10087-00")</f>
        <v>T-10087-00</v>
      </c>
      <c r="B2877" s="2" t="str">
        <f>IFERROR(__xludf.DUMMYFUNCTION("""COMPUTED_VALUE"""),"HDD Internal PC 500 GB")</f>
        <v>HDD Internal PC 500 GB</v>
      </c>
      <c r="C2877" s="2" t="str">
        <f>IFERROR(__xludf.DUMMYFUNCTION("""COMPUTED_VALUE"""),"T-10087-00")</f>
        <v>T-10087-00</v>
      </c>
    </row>
    <row r="2878">
      <c r="A2878" s="2" t="str">
        <f>IFERROR(__xludf.DUMMYFUNCTION("""COMPUTED_VALUE"""),"T-12000-00")</f>
        <v>T-12000-00</v>
      </c>
      <c r="B2878" s="2" t="str">
        <f>IFERROR(__xludf.DUMMYFUNCTION("""COMPUTED_VALUE"""),"HDD Internal - 4TB SATA Seagate SKYHAWK Surveilance 3.5 inch")</f>
        <v>HDD Internal - 4TB SATA Seagate SKYHAWK Surveilance 3.5 inch</v>
      </c>
      <c r="C2878" s="2" t="str">
        <f>IFERROR(__xludf.DUMMYFUNCTION("""COMPUTED_VALUE"""),"T-12000-00")</f>
        <v>T-12000-00</v>
      </c>
    </row>
    <row r="2879">
      <c r="A2879" s="2" t="str">
        <f>IFERROR(__xludf.DUMMYFUNCTION("""COMPUTED_VALUE"""),"T-12025-00")</f>
        <v>T-12025-00</v>
      </c>
      <c r="B2879" s="2" t="str">
        <f>IFERROR(__xludf.DUMMYFUNCTION("""COMPUTED_VALUE"""),"HDD Internal Notebook 500 GB Seagate")</f>
        <v>HDD Internal Notebook 500 GB Seagate</v>
      </c>
      <c r="C2879" s="2" t="str">
        <f>IFERROR(__xludf.DUMMYFUNCTION("""COMPUTED_VALUE"""),"T-12025-00")</f>
        <v>T-12025-00</v>
      </c>
    </row>
    <row r="2880">
      <c r="A2880" s="2" t="str">
        <f>IFERROR(__xludf.DUMMYFUNCTION("""COMPUTED_VALUE"""),"T-12045-00")</f>
        <v>T-12045-00</v>
      </c>
      <c r="B2880" s="2" t="str">
        <f>IFERROR(__xludf.DUMMYFUNCTION("""COMPUTED_VALUE"""),"Hard disk Desktop Internal Seagate 1TB SATA; Seagate; ;")</f>
        <v>Hard disk Desktop Internal Seagate 1TB SATA; Seagate; ;</v>
      </c>
      <c r="C2880" s="2" t="str">
        <f>IFERROR(__xludf.DUMMYFUNCTION("""COMPUTED_VALUE"""),"T-12045-00")</f>
        <v>T-12045-00</v>
      </c>
    </row>
    <row r="2881">
      <c r="A2881" s="2" t="str">
        <f>IFERROR(__xludf.DUMMYFUNCTION("""COMPUTED_VALUE"""),"T-12078-00")</f>
        <v>T-12078-00</v>
      </c>
      <c r="B2881" s="2" t="str">
        <f>IFERROR(__xludf.DUMMYFUNCTION("""COMPUTED_VALUE"""),"Belden RJ45 Connector CAT6/Kon")</f>
        <v>Belden RJ45 Connector CAT6/Kon</v>
      </c>
      <c r="C2881" s="2" t="str">
        <f>IFERROR(__xludf.DUMMYFUNCTION("""COMPUTED_VALUE"""),"T-12078-00")</f>
        <v>T-12078-00</v>
      </c>
    </row>
    <row r="2882">
      <c r="A2882" s="2" t="str">
        <f>IFERROR(__xludf.DUMMYFUNCTION("""COMPUTED_VALUE"""),"T-12097-00")</f>
        <v>T-12097-00</v>
      </c>
      <c r="B2882" s="2" t="str">
        <f>IFERROR(__xludf.DUMMYFUNCTION("""COMPUTED_VALUE"""),"SSD VGEN 128GB 2.5"" SATA; ; ;")</f>
        <v>SSD VGEN 128GB 2.5" SATA; ; ;</v>
      </c>
      <c r="C2882" s="2" t="str">
        <f>IFERROR(__xludf.DUMMYFUNCTION("""COMPUTED_VALUE"""),"T-12097-00")</f>
        <v>T-12097-00</v>
      </c>
    </row>
    <row r="2883">
      <c r="A2883" s="2" t="str">
        <f>IFERROR(__xludf.DUMMYFUNCTION("""COMPUTED_VALUE"""),"T-12099-00")</f>
        <v>T-12099-00</v>
      </c>
      <c r="B2883" s="2" t="str">
        <f>IFERROR(__xludf.DUMMYFUNCTION("""COMPUTED_VALUE"""),"Seagate BarraCuda Harddisk Internal PC 500GB SATA; ; ;")</f>
        <v>Seagate BarraCuda Harddisk Internal PC 500GB SATA; ; ;</v>
      </c>
      <c r="C2883" s="2" t="str">
        <f>IFERROR(__xludf.DUMMYFUNCTION("""COMPUTED_VALUE"""),"T-12099-00")</f>
        <v>T-12099-00</v>
      </c>
    </row>
    <row r="2884">
      <c r="A2884" s="2" t="str">
        <f>IFERROR(__xludf.DUMMYFUNCTION("""COMPUTED_VALUE"""),"T-12105-00")</f>
        <v>T-12105-00</v>
      </c>
      <c r="B2884" s="2" t="str">
        <f>IFERROR(__xludf.DUMMYFUNCTION("""COMPUTED_VALUE"""),"SSD SP 256GB 2.5 Inch SATA")</f>
        <v>SSD SP 256GB 2.5 Inch SATA</v>
      </c>
      <c r="C2884" s="2" t="str">
        <f>IFERROR(__xludf.DUMMYFUNCTION("""COMPUTED_VALUE"""),"T-12105-00")</f>
        <v>T-12105-00</v>
      </c>
    </row>
    <row r="2885">
      <c r="A2885" s="2" t="str">
        <f>IFERROR(__xludf.DUMMYFUNCTION("""COMPUTED_VALUE"""),"T-12106-00")</f>
        <v>T-12106-00</v>
      </c>
      <c r="B2885" s="2" t="str">
        <f>IFERROR(__xludf.DUMMYFUNCTION("""COMPUTED_VALUE"""),"HDD Internal 6 TB WD Purple")</f>
        <v>HDD Internal 6 TB WD Purple</v>
      </c>
      <c r="C2885" s="2" t="str">
        <f>IFERROR(__xludf.DUMMYFUNCTION("""COMPUTED_VALUE"""),"T-12106-00")</f>
        <v>T-12106-00</v>
      </c>
    </row>
    <row r="2886">
      <c r="A2886" s="2" t="str">
        <f>IFERROR(__xludf.DUMMYFUNCTION("""COMPUTED_VALUE"""),"T-12185-00")</f>
        <v>T-12185-00</v>
      </c>
      <c r="B2886" s="2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6" s="2" t="str">
        <f>IFERROR(__xludf.DUMMYFUNCTION("""COMPUTED_VALUE"""),"T-12185-00")</f>
        <v>T-12185-00</v>
      </c>
    </row>
    <row r="2887">
      <c r="A2887" s="2" t="str">
        <f>IFERROR(__xludf.DUMMYFUNCTION("""COMPUTED_VALUE"""),"T-12200-00")</f>
        <v>T-12200-00</v>
      </c>
      <c r="B2887" s="2" t="str">
        <f>IFERROR(__xludf.DUMMYFUNCTION("""COMPUTED_VALUE"""),"WD BLUE SSD 500GB 3D NAND SATA SSD; ; ;")</f>
        <v>WD BLUE SSD 500GB 3D NAND SATA SSD; ; ;</v>
      </c>
      <c r="C2887" s="2" t="str">
        <f>IFERROR(__xludf.DUMMYFUNCTION("""COMPUTED_VALUE"""),"T-12200-00")</f>
        <v>T-12200-00</v>
      </c>
    </row>
    <row r="2888">
      <c r="A2888" s="2" t="str">
        <f>IFERROR(__xludf.DUMMYFUNCTION("""COMPUTED_VALUE"""),"T-12204-00")</f>
        <v>T-12204-00</v>
      </c>
      <c r="B2888" s="2" t="str">
        <f>IFERROR(__xludf.DUMMYFUNCTION("""COMPUTED_VALUE"""),"Keyboard Wireless K270 Logitech; ; ;")</f>
        <v>Keyboard Wireless K270 Logitech; ; ;</v>
      </c>
      <c r="C2888" s="2" t="str">
        <f>IFERROR(__xludf.DUMMYFUNCTION("""COMPUTED_VALUE"""),"T-12204-00")</f>
        <v>T-12204-00</v>
      </c>
    </row>
    <row r="2889">
      <c r="A2889" s="2" t="str">
        <f>IFERROR(__xludf.DUMMYFUNCTION("""COMPUTED_VALUE"""),"T-12225-00")</f>
        <v>T-12225-00</v>
      </c>
      <c r="B2889" s="2" t="str">
        <f>IFERROR(__xludf.DUMMYFUNCTION("""COMPUTED_VALUE"""),"SSD 1TB WD Blue SA510 1,5 Inch; SATA; ;")</f>
        <v>SSD 1TB WD Blue SA510 1,5 Inch; SATA; ;</v>
      </c>
      <c r="C2889" s="2" t="str">
        <f>IFERROR(__xludf.DUMMYFUNCTION("""COMPUTED_VALUE"""),"T-12225-00")</f>
        <v>T-12225-00</v>
      </c>
    </row>
    <row r="2890">
      <c r="A2890" s="2" t="str">
        <f>IFERROR(__xludf.DUMMYFUNCTION("""COMPUTED_VALUE"""),"T-12277-00")</f>
        <v>T-12277-00</v>
      </c>
      <c r="B2890" s="2" t="str">
        <f>IFERROR(__xludf.DUMMYFUNCTION("""COMPUTED_VALUE"""),"Seagate One Touch 5TB External Hardisk; ; ;")</f>
        <v>Seagate One Touch 5TB External Hardisk; ; ;</v>
      </c>
      <c r="C2890" s="2" t="str">
        <f>IFERROR(__xludf.DUMMYFUNCTION("""COMPUTED_VALUE"""),"T-12277-00")</f>
        <v>T-12277-00</v>
      </c>
    </row>
    <row r="2891">
      <c r="A2891" s="2" t="str">
        <f>IFERROR(__xludf.DUMMYFUNCTION("""COMPUTED_VALUE"""),"T-12301-00")</f>
        <v>T-12301-00</v>
      </c>
      <c r="B2891" s="2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1" s="2" t="str">
        <f>IFERROR(__xludf.DUMMYFUNCTION("""COMPUTED_VALUE"""),"T-12301-00")</f>
        <v>T-12301-00</v>
      </c>
    </row>
    <row r="2892">
      <c r="A2892" s="2" t="str">
        <f>IFERROR(__xludf.DUMMYFUNCTION("""COMPUTED_VALUE"""),"T-12311-00")</f>
        <v>T-12311-00</v>
      </c>
      <c r="B2892" s="2" t="str">
        <f>IFERROR(__xludf.DUMMYFUNCTION("""COMPUTED_VALUE"""),"Thermal Paste for Processor/CPU; ; ;")</f>
        <v>Thermal Paste for Processor/CPU; ; ;</v>
      </c>
      <c r="C2892" s="2" t="str">
        <f>IFERROR(__xludf.DUMMYFUNCTION("""COMPUTED_VALUE"""),"T-12311-00")</f>
        <v>T-12311-00</v>
      </c>
    </row>
    <row r="2893">
      <c r="A2893" s="2" t="str">
        <f>IFERROR(__xludf.DUMMYFUNCTION("""COMPUTED_VALUE"""),"T-12314-00")</f>
        <v>T-12314-00</v>
      </c>
      <c r="B2893" s="2" t="str">
        <f>IFERROR(__xludf.DUMMYFUNCTION("""COMPUTED_VALUE"""),"Converter USB to RS232 UC232A; ; ;")</f>
        <v>Converter USB to RS232 UC232A; ; ;</v>
      </c>
      <c r="C2893" s="2" t="str">
        <f>IFERROR(__xludf.DUMMYFUNCTION("""COMPUTED_VALUE"""),"T-12314-00")</f>
        <v>T-12314-00</v>
      </c>
    </row>
    <row r="2894">
      <c r="A2894" s="2" t="str">
        <f>IFERROR(__xludf.DUMMYFUNCTION("""COMPUTED_VALUE"""),"T-12348-00")</f>
        <v>T-12348-00</v>
      </c>
      <c r="B2894" s="2" t="str">
        <f>IFERROR(__xludf.DUMMYFUNCTION("""COMPUTED_VALUE"""),"Kabel Power CPU Cord 1,5m; ; ;")</f>
        <v>Kabel Power CPU Cord 1,5m; ; ;</v>
      </c>
      <c r="C2894" s="2" t="str">
        <f>IFERROR(__xludf.DUMMYFUNCTION("""COMPUTED_VALUE"""),"T-12348-00")</f>
        <v>T-12348-00</v>
      </c>
    </row>
    <row r="2895">
      <c r="A2895" s="2" t="str">
        <f>IFERROR(__xludf.DUMMYFUNCTION("""COMPUTED_VALUE"""),"T-12352-00")</f>
        <v>T-12352-00</v>
      </c>
      <c r="B2895" s="2" t="str">
        <f>IFERROR(__xludf.DUMMYFUNCTION("""COMPUTED_VALUE"""),"Adapter converter LAN to Type C with Ethernet; UGREEN; ;")</f>
        <v>Adapter converter LAN to Type C with Ethernet; UGREEN; ;</v>
      </c>
      <c r="C2895" s="2" t="str">
        <f>IFERROR(__xludf.DUMMYFUNCTION("""COMPUTED_VALUE"""),"T-12352-00")</f>
        <v>T-12352-00</v>
      </c>
    </row>
    <row r="2896">
      <c r="A2896" s="2" t="str">
        <f>IFERROR(__xludf.DUMMYFUNCTION("""COMPUTED_VALUE"""),"T-20002-00")</f>
        <v>T-20002-00</v>
      </c>
      <c r="B2896" s="2" t="str">
        <f>IFERROR(__xludf.DUMMYFUNCTION("""COMPUTED_VALUE"""),"Jasa Perbaikan Alat Lab - Perbaikan Timbangan Lab")</f>
        <v>Jasa Perbaikan Alat Lab - Perbaikan Timbangan Lab</v>
      </c>
      <c r="C2896" s="2" t="str">
        <f>IFERROR(__xludf.DUMMYFUNCTION("""COMPUTED_VALUE"""),"T-20002-00")</f>
        <v>T-20002-00</v>
      </c>
    </row>
    <row r="2897">
      <c r="A2897" s="2" t="str">
        <f>IFERROR(__xludf.DUMMYFUNCTION("""COMPUTED_VALUE"""),"T-20041-00")</f>
        <v>T-20041-00</v>
      </c>
      <c r="B2897" s="2" t="str">
        <f>IFERROR(__xludf.DUMMYFUNCTION("""COMPUTED_VALUE"""),"Fitting SS; WATERS; c/n WAT025604; 5pc per pack")</f>
        <v>Fitting SS; WATERS; c/n WAT025604; 5pc per pack</v>
      </c>
      <c r="C2897" s="2" t="str">
        <f>IFERROR(__xludf.DUMMYFUNCTION("""COMPUTED_VALUE"""),"T-20041-00")</f>
        <v>T-20041-00</v>
      </c>
    </row>
    <row r="2898">
      <c r="A2898" s="2" t="str">
        <f>IFERROR(__xludf.DUMMYFUNCTION("""COMPUTED_VALUE"""),"T-20044-00")</f>
        <v>T-20044-00</v>
      </c>
      <c r="B2898" s="2" t="str">
        <f>IFERROR(__xludf.DUMMYFUNCTION("""COMPUTED_VALUE"""),"PEEK Tough Connector GL Sciences c/n 6010-48600 5 pcs per pack")</f>
        <v>PEEK Tough Connector GL Sciences c/n 6010-48600 5 pcs per pack</v>
      </c>
      <c r="C2898" s="2" t="str">
        <f>IFERROR(__xludf.DUMMYFUNCTION("""COMPUTED_VALUE"""),"T-20044-00")</f>
        <v>T-20044-00</v>
      </c>
    </row>
    <row r="2899">
      <c r="A2899" s="2" t="str">
        <f>IFERROR(__xludf.DUMMYFUNCTION("""COMPUTED_VALUE"""),"T-20055-00")</f>
        <v>T-20055-00</v>
      </c>
      <c r="B2899" s="2" t="str">
        <f>IFERROR(__xludf.DUMMYFUNCTION("""COMPUTED_VALUE"""),"PerformancePlus Check Valve Cartridge; Waters; p/n 700002399;")</f>
        <v>PerformancePlus Check Valve Cartridge; Waters; p/n 700002399;</v>
      </c>
      <c r="C2899" s="2" t="str">
        <f>IFERROR(__xludf.DUMMYFUNCTION("""COMPUTED_VALUE"""),"T-20055-00")</f>
        <v>T-20055-00</v>
      </c>
    </row>
    <row r="2900">
      <c r="A2900" s="2" t="str">
        <f>IFERROR(__xludf.DUMMYFUNCTION("""COMPUTED_VALUE"""),"T-20100-00")</f>
        <v>T-20100-00</v>
      </c>
      <c r="B2900" s="2" t="str">
        <f>IFERROR(__xludf.DUMMYFUNCTION("""COMPUTED_VALUE"""),"900 UV LAMP-SIEVERS 900 TOC part; SIEVERS 900; ;")</f>
        <v>900 UV LAMP-SIEVERS 900 TOC part; SIEVERS 900; ;</v>
      </c>
      <c r="C2900" s="2" t="str">
        <f>IFERROR(__xludf.DUMMYFUNCTION("""COMPUTED_VALUE"""),"T-20100-00")</f>
        <v>T-20100-00</v>
      </c>
    </row>
    <row r="2901">
      <c r="A2901" s="2" t="str">
        <f>IFERROR(__xludf.DUMMYFUNCTION("""COMPUTED_VALUE"""),"T-20105-00")</f>
        <v>T-20105-00</v>
      </c>
      <c r="B2901" s="2" t="str">
        <f>IFERROR(__xludf.DUMMYFUNCTION("""COMPUTED_VALUE"""),"900 Resin Bed for TOC Sievers; ; ;")</f>
        <v>900 Resin Bed for TOC Sievers; ; ;</v>
      </c>
      <c r="C2901" s="2" t="str">
        <f>IFERROR(__xludf.DUMMYFUNCTION("""COMPUTED_VALUE"""),"T-20105-00")</f>
        <v>T-20105-00</v>
      </c>
    </row>
    <row r="2902">
      <c r="A2902" s="2" t="str">
        <f>IFERROR(__xludf.DUMMYFUNCTION("""COMPUTED_VALUE"""),"T-20112-00")</f>
        <v>T-20112-00</v>
      </c>
      <c r="B2902" s="2" t="str">
        <f>IFERROR(__xludf.DUMMYFUNCTION("""COMPUTED_VALUE"""),"900 Sample pump tubing; Sievers; P/N CATU 96200; 1 pc")</f>
        <v>900 Sample pump tubing; Sievers; P/N CATU 96200; 1 pc</v>
      </c>
      <c r="C2902" s="2" t="str">
        <f>IFERROR(__xludf.DUMMYFUNCTION("""COMPUTED_VALUE"""),"T-20112-00")</f>
        <v>T-20112-00</v>
      </c>
    </row>
    <row r="2903">
      <c r="A2903" s="2" t="str">
        <f>IFERROR(__xludf.DUMMYFUNCTION("""COMPUTED_VALUE"""),"T-20113-00")</f>
        <v>T-20113-00</v>
      </c>
      <c r="B2903" s="2" t="str">
        <f>IFERROR(__xludf.DUMMYFUNCTION("""COMPUTED_VALUE"""),"900 UV lamp; Sievers; P/N CARK35010-01; 1 pc")</f>
        <v>900 UV lamp; Sievers; P/N CARK35010-01; 1 pc</v>
      </c>
      <c r="C2903" s="2" t="str">
        <f>IFERROR(__xludf.DUMMYFUNCTION("""COMPUTED_VALUE"""),"T-20113-00")</f>
        <v>T-20113-00</v>
      </c>
    </row>
    <row r="2904">
      <c r="A2904" s="2" t="str">
        <f>IFERROR(__xludf.DUMMYFUNCTION("""COMPUTED_VALUE"""),"T-20118-00")</f>
        <v>T-20118-00</v>
      </c>
      <c r="B2904" s="2" t="str">
        <f>IFERROR(__xludf.DUMMYFUNCTION("""COMPUTED_VALUE"""),"FILTER INSERT ASSY; Waters; P/N WAT088084; 1 pc")</f>
        <v>FILTER INSERT ASSY; Waters; P/N WAT088084; 1 pc</v>
      </c>
      <c r="C2904" s="2" t="str">
        <f>IFERROR(__xludf.DUMMYFUNCTION("""COMPUTED_VALUE"""),"T-20118-00")</f>
        <v>T-20118-00</v>
      </c>
    </row>
    <row r="2905">
      <c r="A2905" s="2" t="str">
        <f>IFERROR(__xludf.DUMMYFUNCTION("""COMPUTED_VALUE"""),"T-20123-00")</f>
        <v>T-20123-00</v>
      </c>
      <c r="B2905" s="2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5" s="2" t="str">
        <f>IFERROR(__xludf.DUMMYFUNCTION("""COMPUTED_VALUE"""),"T-20123-00")</f>
        <v>T-20123-00</v>
      </c>
    </row>
    <row r="2906">
      <c r="A2906" s="2" t="str">
        <f>IFERROR(__xludf.DUMMYFUNCTION("""COMPUTED_VALUE"""),"T-20127-00")</f>
        <v>T-20127-00</v>
      </c>
      <c r="B2906" s="2" t="str">
        <f>IFERROR(__xludf.DUMMYFUNCTION("""COMPUTED_VALUE"""),"High Pressure Motorized Valve Rebuild Kit Waters P/N : WAT045424")</f>
        <v>High Pressure Motorized Valve Rebuild Kit Waters P/N : WAT045424</v>
      </c>
      <c r="C2906" s="2" t="str">
        <f>IFERROR(__xludf.DUMMYFUNCTION("""COMPUTED_VALUE"""),"T-20127-00")</f>
        <v>T-20127-00</v>
      </c>
    </row>
    <row r="2907">
      <c r="A2907" s="2" t="str">
        <f>IFERROR(__xludf.DUMMYFUNCTION("""COMPUTED_VALUE"""),"T-20129-00")</f>
        <v>T-20129-00</v>
      </c>
      <c r="B2907" s="2" t="str">
        <f>IFERROR(__xludf.DUMMYFUNCTION("""COMPUTED_VALUE"""),"Deuterium Lamp L6380 80V; Shimadzu; c/n 062-65055-05; 1 pc")</f>
        <v>Deuterium Lamp L6380 80V; Shimadzu; c/n 062-65055-05; 1 pc</v>
      </c>
      <c r="C2907" s="2" t="str">
        <f>IFERROR(__xludf.DUMMYFUNCTION("""COMPUTED_VALUE"""),"T-20129-00")</f>
        <v>T-20129-00</v>
      </c>
    </row>
    <row r="2908">
      <c r="A2908" s="2" t="str">
        <f>IFERROR(__xludf.DUMMYFUNCTION("""COMPUTED_VALUE"""),"T-20134-00")</f>
        <v>T-20134-00</v>
      </c>
      <c r="B2908" s="2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8" s="2" t="str">
        <f>IFERROR(__xludf.DUMMYFUNCTION("""COMPUTED_VALUE"""),"T-20134-00")</f>
        <v>T-20134-00</v>
      </c>
    </row>
    <row r="2909">
      <c r="A2909" s="2" t="str">
        <f>IFERROR(__xludf.DUMMYFUNCTION("""COMPUTED_VALUE"""),"T-20135-00")</f>
        <v>T-20135-00</v>
      </c>
      <c r="B2909" s="2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09" s="2" t="str">
        <f>IFERROR(__xludf.DUMMYFUNCTION("""COMPUTED_VALUE"""),"T-20135-00")</f>
        <v>T-20135-00</v>
      </c>
    </row>
    <row r="2910">
      <c r="A2910" s="2" t="str">
        <f>IFERROR(__xludf.DUMMYFUNCTION("""COMPUTED_VALUE"""),"T-20136-00")</f>
        <v>T-20136-00</v>
      </c>
      <c r="B2910" s="2" t="str">
        <f>IFERROR(__xludf.DUMMYFUNCTION("""COMPUTED_VALUE"""),"2690 SEAL PACK REBUILD PKG; Waters; c/n WAT271019;")</f>
        <v>2690 SEAL PACK REBUILD PKG; Waters; c/n WAT271019;</v>
      </c>
      <c r="C2910" s="2" t="str">
        <f>IFERROR(__xludf.DUMMYFUNCTION("""COMPUTED_VALUE"""),"T-20136-00")</f>
        <v>T-20136-00</v>
      </c>
    </row>
    <row r="2911">
      <c r="A2911" s="2" t="str">
        <f>IFERROR(__xludf.DUMMYFUNCTION("""COMPUTED_VALUE"""),"T-20137-00")</f>
        <v>T-20137-00</v>
      </c>
      <c r="B2911" s="2" t="str">
        <f>IFERROR(__xludf.DUMMYFUNCTION("""COMPUTED_VALUE"""),"PRINTER/PCINTERFACE-TEMPERATURE-G02A01; 0202PPCT01; HSN # 90268090;; ; ;")</f>
        <v>PRINTER/PCINTERFACE-TEMPERATURE-G02A01; 0202PPCT01; HSN # 90268090;; ; ;</v>
      </c>
      <c r="C2911" s="2" t="str">
        <f>IFERROR(__xludf.DUMMYFUNCTION("""COMPUTED_VALUE"""),"T-20137-00")</f>
        <v>T-20137-00</v>
      </c>
    </row>
    <row r="2912">
      <c r="A2912" s="2" t="str">
        <f>IFERROR(__xludf.DUMMYFUNCTION("""COMPUTED_VALUE"""),"T-20138-00")</f>
        <v>T-20138-00</v>
      </c>
      <c r="B2912" s="2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2" s="2" t="str">
        <f>IFERROR(__xludf.DUMMYFUNCTION("""COMPUTED_VALUE"""),"T-20138-00")</f>
        <v>T-20138-00</v>
      </c>
    </row>
    <row r="2913">
      <c r="A2913" s="2" t="str">
        <f>IFERROR(__xludf.DUMMYFUNCTION("""COMPUTED_VALUE"""),"T-20139-00")</f>
        <v>T-20139-00</v>
      </c>
      <c r="B2913" s="2" t="str">
        <f>IFERROR(__xludf.DUMMYFUNCTION("""COMPUTED_VALUE"""),"Pump, Vacuum, Degasser; Waters; PN : 700001352; 1 pc")</f>
        <v>Pump, Vacuum, Degasser; Waters; PN : 700001352; 1 pc</v>
      </c>
      <c r="C2913" s="2" t="str">
        <f>IFERROR(__xludf.DUMMYFUNCTION("""COMPUTED_VALUE"""),"T-20139-00")</f>
        <v>T-20139-00</v>
      </c>
    </row>
    <row r="2914">
      <c r="A2914" s="2" t="str">
        <f>IFERROR(__xludf.DUMMYFUNCTION("""COMPUTED_VALUE"""),"T-20146-00")</f>
        <v>T-20146-00</v>
      </c>
      <c r="B2914" s="2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4" s="2" t="str">
        <f>IFERROR(__xludf.DUMMYFUNCTION("""COMPUTED_VALUE"""),"T-20146-00")</f>
        <v>T-20146-00</v>
      </c>
    </row>
    <row r="2915">
      <c r="A2915" s="2" t="str">
        <f>IFERROR(__xludf.DUMMYFUNCTION("""COMPUTED_VALUE"""),"T-20148-00")</f>
        <v>T-20148-00</v>
      </c>
      <c r="B2915" s="2" t="str">
        <f>IFERROR(__xludf.DUMMYFUNCTION("""COMPUTED_VALUE"""),"Replacement Filter 60 Micron; Sievers; c/n CHTF94402; 1 pc")</f>
        <v>Replacement Filter 60 Micron; Sievers; c/n CHTF94402; 1 pc</v>
      </c>
      <c r="C2915" s="2" t="str">
        <f>IFERROR(__xludf.DUMMYFUNCTION("""COMPUTED_VALUE"""),"T-20148-00")</f>
        <v>T-20148-00</v>
      </c>
    </row>
    <row r="2916">
      <c r="A2916" s="2" t="str">
        <f>IFERROR(__xludf.DUMMYFUNCTION("""COMPUTED_VALUE"""),"T-20177-00")</f>
        <v>T-20177-00</v>
      </c>
      <c r="B2916" s="2" t="str">
        <f>IFERROR(__xludf.DUMMYFUNCTION("""COMPUTED_VALUE"""),"2690/95 PERFORMANCE MAINTENANCE KIT., Waters, Part No. WAT270944")</f>
        <v>2690/95 PERFORMANCE MAINTENANCE KIT., Waters, Part No. WAT270944</v>
      </c>
      <c r="C2916" s="2" t="str">
        <f>IFERROR(__xludf.DUMMYFUNCTION("""COMPUTED_VALUE"""),"T-20177-00")</f>
        <v>T-20177-00</v>
      </c>
    </row>
    <row r="2917">
      <c r="A2917" s="2" t="str">
        <f>IFERROR(__xludf.DUMMYFUNCTION("""COMPUTED_VALUE"""),"T-20201-00")</f>
        <v>T-20201-00</v>
      </c>
      <c r="B2917" s="2" t="str">
        <f>IFERROR(__xludf.DUMMYFUNCTION("""COMPUTED_VALUE"""),"ASSY,SOLVENT FILTER., Waters, Part No. WAT025531")</f>
        <v>ASSY,SOLVENT FILTER., Waters, Part No. WAT025531</v>
      </c>
      <c r="C2917" s="2" t="str">
        <f>IFERROR(__xludf.DUMMYFUNCTION("""COMPUTED_VALUE"""),"T-20201-00")</f>
        <v>T-20201-00</v>
      </c>
    </row>
    <row r="2918">
      <c r="A2918" s="2" t="str">
        <f>IFERROR(__xludf.DUMMYFUNCTION("""COMPUTED_VALUE"""),"T-20203-00")</f>
        <v>T-20203-00</v>
      </c>
      <c r="B2918" s="2" t="str">
        <f>IFERROR(__xludf.DUMMYFUNCTION("""COMPUTED_VALUE"""),"SEAL, FACE, SEALWASH, PKG (1) 2690, WAT271017")</f>
        <v>SEAL, FACE, SEALWASH, PKG (1) 2690, WAT271017</v>
      </c>
      <c r="C2918" s="2" t="str">
        <f>IFERROR(__xludf.DUMMYFUNCTION("""COMPUTED_VALUE"""),"T-20203-00")</f>
        <v>T-20203-00</v>
      </c>
    </row>
    <row r="2919">
      <c r="A2919" s="2" t="str">
        <f>IFERROR(__xludf.DUMMYFUNCTION("""COMPUTED_VALUE"""),"T-20210-00")</f>
        <v>T-20210-00</v>
      </c>
      <c r="B2919" s="2" t="str">
        <f>IFERROR(__xludf.DUMMYFUNCTION("""COMPUTED_VALUE"""),"SEAL FACE 2690, Waters, Part No. WAT270939, PKG (4)")</f>
        <v>SEAL FACE 2690, Waters, Part No. WAT270939, PKG (4)</v>
      </c>
      <c r="C2919" s="2" t="str">
        <f>IFERROR(__xludf.DUMMYFUNCTION("""COMPUTED_VALUE"""),"T-20210-00")</f>
        <v>T-20210-00</v>
      </c>
    </row>
    <row r="2920">
      <c r="A2920" s="2" t="str">
        <f>IFERROR(__xludf.DUMMYFUNCTION("""COMPUTED_VALUE"""),"T-20212-00")</f>
        <v>T-20212-00</v>
      </c>
      <c r="B2920" s="2" t="str">
        <f>IFERROR(__xludf.DUMMYFUNCTION("""COMPUTED_VALUE"""),"SEAL PLUNGER 2690, Waters, Part No. WAT270938, PKG (2)")</f>
        <v>SEAL PLUNGER 2690, Waters, Part No. WAT270938, PKG (2)</v>
      </c>
      <c r="C2920" s="2" t="str">
        <f>IFERROR(__xludf.DUMMYFUNCTION("""COMPUTED_VALUE"""),"T-20212-00")</f>
        <v>T-20212-00</v>
      </c>
    </row>
    <row r="2921">
      <c r="A2921" s="2" t="str">
        <f>IFERROR(__xludf.DUMMYFUNCTION("""COMPUTED_VALUE"""),"T-20215-00")</f>
        <v>T-20215-00</v>
      </c>
      <c r="B2921" s="2" t="str">
        <f>IFERROR(__xludf.DUMMYFUNCTION("""COMPUTED_VALUE"""),"ASSY PCB DEGASSER QSPI MULTI-PERS, Waters, Part No. 700002511")</f>
        <v>ASSY PCB DEGASSER QSPI MULTI-PERS, Waters, Part No. 700002511</v>
      </c>
      <c r="C2921" s="2" t="str">
        <f>IFERROR(__xludf.DUMMYFUNCTION("""COMPUTED_VALUE"""),"T-20215-00")</f>
        <v>T-20215-00</v>
      </c>
    </row>
    <row r="2922">
      <c r="A2922" s="2" t="str">
        <f>IFERROR(__xludf.DUMMYFUNCTION("""COMPUTED_VALUE"""),"T-20218-00")</f>
        <v>T-20218-00</v>
      </c>
      <c r="B2922" s="2" t="str">
        <f>IFERROR(__xludf.DUMMYFUNCTION("""COMPUTED_VALUE"""),"Plunger Seal wash 2690, Waters, Part No. WAT271018, PKG (2 )")</f>
        <v>Plunger Seal wash 2690, Waters, Part No. WAT271018, PKG (2 )</v>
      </c>
      <c r="C2922" s="2" t="str">
        <f>IFERROR(__xludf.DUMMYFUNCTION("""COMPUTED_VALUE"""),"T-20218-00")</f>
        <v>T-20218-00</v>
      </c>
    </row>
    <row r="2923">
      <c r="A2923" s="2" t="str">
        <f>IFERROR(__xludf.DUMMYFUNCTION("""COMPUTED_VALUE"""),"T-20219-00")</f>
        <v>T-20219-00</v>
      </c>
      <c r="B2923" s="2" t="str">
        <f>IFERROR(__xludf.DUMMYFUNCTION("""COMPUTED_VALUE"""),"2690 WASH TUBE, Waters, Part No. WAT270940, PKG (4)")</f>
        <v>2690 WASH TUBE, Waters, Part No. WAT270940, PKG (4)</v>
      </c>
      <c r="C2923" s="2" t="str">
        <f>IFERROR(__xludf.DUMMYFUNCTION("""COMPUTED_VALUE"""),"T-20219-00")</f>
        <v>T-20219-00</v>
      </c>
    </row>
    <row r="2924">
      <c r="A2924" s="2" t="str">
        <f>IFERROR(__xludf.DUMMYFUNCTION("""COMPUTED_VALUE"""),"T-20287-00")</f>
        <v>T-20287-00</v>
      </c>
      <c r="B2924" s="2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4" s="2" t="str">
        <f>IFERROR(__xludf.DUMMYFUNCTION("""COMPUTED_VALUE"""),"T-20287-00")</f>
        <v>T-20287-00</v>
      </c>
    </row>
    <row r="2925">
      <c r="A2925" s="2" t="str">
        <f>IFERROR(__xludf.DUMMYFUNCTION("""COMPUTED_VALUE"""),"T-20289-00")</f>
        <v>T-20289-00</v>
      </c>
      <c r="B2925" s="2" t="str">
        <f>IFERROR(__xludf.DUMMYFUNCTION("""COMPUTED_VALUE"""),"Ferrule, 1.0 mm graphite 0.53 Col; Agilent; Part No. 5080-8773; 10/pk")</f>
        <v>Ferrule, 1.0 mm graphite 0.53 Col; Agilent; Part No. 5080-8773; 10/pk</v>
      </c>
      <c r="C2925" s="2" t="str">
        <f>IFERROR(__xludf.DUMMYFUNCTION("""COMPUTED_VALUE"""),"T-20289-00")</f>
        <v>T-20289-00</v>
      </c>
    </row>
    <row r="2926">
      <c r="A2926" s="2" t="str">
        <f>IFERROR(__xludf.DUMMYFUNCTION("""COMPUTED_VALUE"""),"T-20320-00")</f>
        <v>T-20320-00</v>
      </c>
      <c r="B2926" s="2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6" s="2" t="str">
        <f>IFERROR(__xludf.DUMMYFUNCTION("""COMPUTED_VALUE"""),"T-20320-00")</f>
        <v>T-20320-00</v>
      </c>
    </row>
    <row r="2927">
      <c r="A2927" s="2" t="str">
        <f>IFERROR(__xludf.DUMMYFUNCTION("""COMPUTED_VALUE"""),"T-20348-00")</f>
        <v>T-20348-00</v>
      </c>
      <c r="B2927" s="2" t="str">
        <f>IFERROR(__xludf.DUMMYFUNCTION("""COMPUTED_VALUE"""),"Non-Stick Liner O-Ring,; Agilent; Part No. 5188-6405; 5/pk")</f>
        <v>Non-Stick Liner O-Ring,; Agilent; Part No. 5188-6405; 5/pk</v>
      </c>
      <c r="C2927" s="2" t="str">
        <f>IFERROR(__xludf.DUMMYFUNCTION("""COMPUTED_VALUE"""),"T-20348-00")</f>
        <v>T-20348-00</v>
      </c>
    </row>
    <row r="2928">
      <c r="A2928" s="2" t="str">
        <f>IFERROR(__xludf.DUMMYFUNCTION("""COMPUTED_VALUE"""),"T-20381-00")</f>
        <v>T-20381-00</v>
      </c>
      <c r="B2928" s="2" t="str">
        <f>IFERROR(__xludf.DUMMYFUNCTION("""COMPUTED_VALUE"""),"Halogen Lamp NA55917 12V; Shimadzu; Part No. 062-65005; 1")</f>
        <v>Halogen Lamp NA55917 12V; Shimadzu; Part No. 062-65005; 1</v>
      </c>
      <c r="C2928" s="2" t="str">
        <f>IFERROR(__xludf.DUMMYFUNCTION("""COMPUTED_VALUE"""),"T-20381-00")</f>
        <v>T-20381-00</v>
      </c>
    </row>
    <row r="2929">
      <c r="A2929" s="2" t="str">
        <f>IFERROR(__xludf.DUMMYFUNCTION("""COMPUTED_VALUE"""),"T-20398-00")</f>
        <v>T-20398-00</v>
      </c>
      <c r="B2929" s="2" t="str">
        <f>IFERROR(__xludf.DUMMYFUNCTION("""COMPUTED_VALUE"""),"In-Line Filter Assembly; Waters; Part No. WAT035190; 1pc")</f>
        <v>In-Line Filter Assembly; Waters; Part No. WAT035190; 1pc</v>
      </c>
      <c r="C2929" s="2" t="str">
        <f>IFERROR(__xludf.DUMMYFUNCTION("""COMPUTED_VALUE"""),"T-20398-00")</f>
        <v>T-20398-00</v>
      </c>
    </row>
    <row r="2930">
      <c r="A2930" s="2" t="str">
        <f>IFERROR(__xludf.DUMMYFUNCTION("""COMPUTED_VALUE"""),"T-20427-00")</f>
        <v>T-20427-00</v>
      </c>
      <c r="B2930" s="2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0" s="2" t="str">
        <f>IFERROR(__xludf.DUMMYFUNCTION("""COMPUTED_VALUE"""),"T-20427-00")</f>
        <v>T-20427-00</v>
      </c>
    </row>
    <row r="2931">
      <c r="A2931" s="2" t="str">
        <f>IFERROR(__xludf.DUMMYFUNCTION("""COMPUTED_VALUE"""),"T-20447-00")</f>
        <v>T-20447-00</v>
      </c>
      <c r="B2931" s="2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1" s="2" t="str">
        <f>IFERROR(__xludf.DUMMYFUNCTION("""COMPUTED_VALUE"""),"T-20447-00")</f>
        <v>T-20447-00</v>
      </c>
    </row>
    <row r="2932">
      <c r="A2932" s="2" t="str">
        <f>IFERROR(__xludf.DUMMYFUNCTION("""COMPUTED_VALUE"""),"T-20449-00")</f>
        <v>T-20449-00</v>
      </c>
      <c r="B2932" s="2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2" s="2" t="str">
        <f>IFERROR(__xludf.DUMMYFUNCTION("""COMPUTED_VALUE"""),"T-20449-00")</f>
        <v>T-20449-00</v>
      </c>
    </row>
    <row r="2933">
      <c r="A2933" s="2" t="str">
        <f>IFERROR(__xludf.DUMMYFUNCTION("""COMPUTED_VALUE"""),"T-20457-00")</f>
        <v>T-20457-00</v>
      </c>
      <c r="B2933" s="2" t="str">
        <f>IFERROR(__xludf.DUMMYFUNCTION("""COMPUTED_VALUE"""),"Piston Rod TI p/n: 51107594 Mettler Toldeo")</f>
        <v>Piston Rod TI p/n: 51107594 Mettler Toldeo</v>
      </c>
      <c r="C2933" s="2" t="str">
        <f>IFERROR(__xludf.DUMMYFUNCTION("""COMPUTED_VALUE"""),"T-20457-00")</f>
        <v>T-20457-00</v>
      </c>
    </row>
    <row r="2934">
      <c r="A2934" s="2" t="str">
        <f>IFERROR(__xludf.DUMMYFUNCTION("""COMPUTED_VALUE"""),"T-20473-00")</f>
        <v>T-20473-00</v>
      </c>
      <c r="B2934" s="2" t="str">
        <f>IFERROR(__xludf.DUMMYFUNCTION("""COMPUTED_VALUE"""),"1/16"" OD SS TUBING CUTTER +3; Waters; Part No. WAT022384; 1 pc/pack")</f>
        <v>1/16" OD SS TUBING CUTTER +3; Waters; Part No. WAT022384; 1 pc/pack</v>
      </c>
      <c r="C2934" s="2" t="str">
        <f>IFERROR(__xludf.DUMMYFUNCTION("""COMPUTED_VALUE"""),"T-20473-00")</f>
        <v>T-20473-00</v>
      </c>
    </row>
    <row r="2935">
      <c r="A2935" s="2" t="str">
        <f>IFERROR(__xludf.DUMMYFUNCTION("""COMPUTED_VALUE"""),"T-20532-00")</f>
        <v>T-20532-00</v>
      </c>
      <c r="B2935" s="2" t="str">
        <f>IFERROR(__xludf.DUMMYFUNCTION("""COMPUTED_VALUE"""),"Silica Gel 10GRMSX30PCS; Shimadzu; Part No. 200-53655; 10 gr per pack")</f>
        <v>Silica Gel 10GRMSX30PCS; Shimadzu; Part No. 200-53655; 10 gr per pack</v>
      </c>
      <c r="C2935" s="2" t="str">
        <f>IFERROR(__xludf.DUMMYFUNCTION("""COMPUTED_VALUE"""),"T-20532-00")</f>
        <v>T-20532-00</v>
      </c>
    </row>
    <row r="2936">
      <c r="A2936" s="2" t="str">
        <f>IFERROR(__xludf.DUMMYFUNCTION("""COMPUTED_VALUE"""),"T-20540-00")</f>
        <v>T-20540-00</v>
      </c>
      <c r="B2936" s="2" t="str">
        <f>IFERROR(__xludf.DUMMYFUNCTION("""COMPUTED_VALUE"""),"Kit,Housing,HPMV,Molded p/n: 700010588; Waters; ;")</f>
        <v>Kit,Housing,HPMV,Molded p/n: 700010588; Waters; ;</v>
      </c>
      <c r="C2936" s="2" t="str">
        <f>IFERROR(__xludf.DUMMYFUNCTION("""COMPUTED_VALUE"""),"T-20540-00")</f>
        <v>T-20540-00</v>
      </c>
    </row>
    <row r="2937">
      <c r="A2937" s="2" t="str">
        <f>IFERROR(__xludf.DUMMYFUNCTION("""COMPUTED_VALUE"""),"T-20549-00")</f>
        <v>T-20549-00</v>
      </c>
      <c r="B2937" s="2" t="str">
        <f>IFERROR(__xludf.DUMMYFUNCTION("""COMPUTED_VALUE"""),"pH electrode InLab Expert Pro; Mettler Toledo; PN : 51343101; Pcs")</f>
        <v>pH electrode InLab Expert Pro; Mettler Toledo; PN : 51343101; Pcs</v>
      </c>
      <c r="C2937" s="2" t="str">
        <f>IFERROR(__xludf.DUMMYFUNCTION("""COMPUTED_VALUE"""),"T-20549-00")</f>
        <v>T-20549-00</v>
      </c>
    </row>
    <row r="2938">
      <c r="A2938" s="2" t="str">
        <f>IFERROR(__xludf.DUMMYFUNCTION("""COMPUTED_VALUE"""),"T-20572-00")</f>
        <v>T-20572-00</v>
      </c>
      <c r="B2938" s="2" t="str">
        <f>IFERROR(__xludf.DUMMYFUNCTION("""COMPUTED_VALUE"""),"Furnitures - Potong bondor sesuai lemari")</f>
        <v>Furnitures - Potong bondor sesuai lemari</v>
      </c>
      <c r="C2938" s="2" t="str">
        <f>IFERROR(__xludf.DUMMYFUNCTION("""COMPUTED_VALUE"""),"T-20572-00")</f>
        <v>T-20572-00</v>
      </c>
    </row>
    <row r="2939">
      <c r="A2939" s="2" t="str">
        <f>IFERROR(__xludf.DUMMYFUNCTION("""COMPUTED_VALUE"""),"T-20591-00")</f>
        <v>T-20591-00</v>
      </c>
      <c r="B2939" s="2" t="str">
        <f>IFERROR(__xludf.DUMMYFUNCTION("""COMPUTED_VALUE"""),"Kit, Performance PLUS seal pack rebuild; Waters; 700011783; 1 pieces / pack")</f>
        <v>Kit, Performance PLUS seal pack rebuild; Waters; 700011783; 1 pieces / pack</v>
      </c>
      <c r="C2939" s="2" t="str">
        <f>IFERROR(__xludf.DUMMYFUNCTION("""COMPUTED_VALUE"""),"T-20591-00")</f>
        <v>T-20591-00</v>
      </c>
    </row>
    <row r="2940">
      <c r="A2940" s="2" t="str">
        <f>IFERROR(__xludf.DUMMYFUNCTION("""COMPUTED_VALUE"""),"T-20592-00")</f>
        <v>T-20592-00</v>
      </c>
      <c r="B2940" s="2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0" s="2" t="str">
        <f>IFERROR(__xludf.DUMMYFUNCTION("""COMPUTED_VALUE"""),"T-20592-00")</f>
        <v>T-20592-00</v>
      </c>
    </row>
    <row r="2941">
      <c r="A2941" s="2" t="str">
        <f>IFERROR(__xludf.DUMMYFUNCTION("""COMPUTED_VALUE"""),"T-20601-00")</f>
        <v>T-20601-00</v>
      </c>
      <c r="B2941" s="2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1" s="2" t="str">
        <f>IFERROR(__xludf.DUMMYFUNCTION("""COMPUTED_VALUE"""),"T-20601-00")</f>
        <v>T-20601-00</v>
      </c>
    </row>
    <row r="2942">
      <c r="A2942" s="2" t="str">
        <f>IFERROR(__xludf.DUMMYFUNCTION("""COMPUTED_VALUE"""),"T-20646-00")</f>
        <v>T-20646-00</v>
      </c>
      <c r="B2942" s="2" t="str">
        <f>IFERROR(__xludf.DUMMYFUNCTION("""COMPUTED_VALUE"""),"Performanceplus Vacdeg Chamber Stented p/n: 700011709 Waters700011709")</f>
        <v>Performanceplus Vacdeg Chamber Stented p/n: 700011709 Waters700011709</v>
      </c>
      <c r="C2942" s="2" t="str">
        <f>IFERROR(__xludf.DUMMYFUNCTION("""COMPUTED_VALUE"""),"T-20646-00")</f>
        <v>T-20646-00</v>
      </c>
    </row>
    <row r="2943">
      <c r="A2943" s="2" t="str">
        <f>IFERROR(__xludf.DUMMYFUNCTION("""COMPUTED_VALUE"""),"T-20715-00")</f>
        <v>T-20715-00</v>
      </c>
      <c r="B2943" s="2" t="str">
        <f>IFERROR(__xludf.DUMMYFUNCTION("""COMPUTED_VALUE"""),"SYRINGE, 250 ML. WISP. WATERS; WATERS; PN: WAT073109; PCS")</f>
        <v>SYRINGE, 250 ML. WISP. WATERS; WATERS; PN: WAT073109; PCS</v>
      </c>
      <c r="C2943" s="2" t="str">
        <f>IFERROR(__xludf.DUMMYFUNCTION("""COMPUTED_VALUE"""),"T-20715-00")</f>
        <v>T-20715-00</v>
      </c>
    </row>
    <row r="2944">
      <c r="A2944" s="2" t="str">
        <f>IFERROR(__xludf.DUMMYFUNCTION("""COMPUTED_VALUE"""),"T-20725-00")</f>
        <v>T-20725-00</v>
      </c>
      <c r="B2944" s="2" t="str">
        <f>IFERROR(__xludf.DUMMYFUNCTION("""COMPUTED_VALUE"""),"Performance Plus Check Valve Housing; Waters; 700002332;")</f>
        <v>Performance Plus Check Valve Housing; Waters; 700002332;</v>
      </c>
      <c r="C2944" s="2" t="str">
        <f>IFERROR(__xludf.DUMMYFUNCTION("""COMPUTED_VALUE"""),"T-20725-00")</f>
        <v>T-20725-00</v>
      </c>
    </row>
    <row r="2945">
      <c r="A2945" s="2" t="str">
        <f>IFERROR(__xludf.DUMMYFUNCTION("""COMPUTED_VALUE"""),"T-20791-00")</f>
        <v>T-20791-00</v>
      </c>
      <c r="B2945" s="2" t="str">
        <f>IFERROR(__xludf.DUMMYFUNCTION("""COMPUTED_VALUE"""),"Heater/Cooler Engine 2690; Waters; 700001066;")</f>
        <v>Heater/Cooler Engine 2690; Waters; 700001066;</v>
      </c>
      <c r="C2945" s="2" t="str">
        <f>IFERROR(__xludf.DUMMYFUNCTION("""COMPUTED_VALUE"""),"T-20791-00")</f>
        <v>T-20791-00</v>
      </c>
    </row>
    <row r="2946">
      <c r="A2946" s="2" t="str">
        <f>IFERROR(__xludf.DUMMYFUNCTION("""COMPUTED_VALUE"""),"T-20841-00")</f>
        <v>T-20841-00</v>
      </c>
      <c r="B2946" s="2" t="str">
        <f>IFERROR(__xludf.DUMMYFUNCTION("""COMPUTED_VALUE"""),"Lasser Assy (S) Shimadzu 206-71580-91")</f>
        <v>Lasser Assy (S) Shimadzu 206-71580-91</v>
      </c>
      <c r="C2946" s="2" t="str">
        <f>IFERROR(__xludf.DUMMYFUNCTION("""COMPUTED_VALUE"""),"T-20841-00")</f>
        <v>T-20841-00</v>
      </c>
    </row>
    <row r="2947">
      <c r="A2947" s="2" t="str">
        <f>IFERROR(__xludf.DUMMYFUNCTION("""COMPUTED_VALUE"""),"T-20842-00")</f>
        <v>T-20842-00</v>
      </c>
      <c r="B2947" s="2" t="str">
        <f>IFERROR(__xludf.DUMMYFUNCTION("""COMPUTED_VALUE"""),"Dricabi TS-51-D.U.S Shimadzu 206-71946")</f>
        <v>Dricabi TS-51-D.U.S Shimadzu 206-71946</v>
      </c>
      <c r="C2947" s="2" t="str">
        <f>IFERROR(__xludf.DUMMYFUNCTION("""COMPUTED_VALUE"""),"T-20842-00")</f>
        <v>T-20842-00</v>
      </c>
    </row>
    <row r="2948">
      <c r="A2948" s="2" t="str">
        <f>IFERROR(__xludf.DUMMYFUNCTION("""COMPUTED_VALUE"""),"T-20851-00")</f>
        <v>T-20851-00</v>
      </c>
      <c r="B2948" s="2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8" s="2" t="str">
        <f>IFERROR(__xludf.DUMMYFUNCTION("""COMPUTED_VALUE"""),"T-20851-00")</f>
        <v>T-20851-00</v>
      </c>
    </row>
    <row r="2949">
      <c r="A2949" s="2" t="str">
        <f>IFERROR(__xludf.DUMMYFUNCTION("""COMPUTED_VALUE"""),"T-20858-00")</f>
        <v>T-20858-00</v>
      </c>
      <c r="B2949" s="2" t="str">
        <f>IFERROR(__xludf.DUMMYFUNCTION("""COMPUTED_VALUE"""),"Kit, e2695 Performance Maintenace; Waters; 201000313; 1")</f>
        <v>Kit, e2695 Performance Maintenace; Waters; 201000313; 1</v>
      </c>
      <c r="C2949" s="2" t="str">
        <f>IFERROR(__xludf.DUMMYFUNCTION("""COMPUTED_VALUE"""),"T-20858-00")</f>
        <v>T-20858-00</v>
      </c>
    </row>
    <row r="2950">
      <c r="A2950" s="2" t="str">
        <f>IFERROR(__xludf.DUMMYFUNCTION("""COMPUTED_VALUE"""),"T-20859-00")</f>
        <v>T-20859-00</v>
      </c>
      <c r="B2950" s="2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0" s="2" t="str">
        <f>IFERROR(__xludf.DUMMYFUNCTION("""COMPUTED_VALUE"""),"T-20859-00")</f>
        <v>T-20859-00</v>
      </c>
    </row>
    <row r="2951">
      <c r="A2951" s="2" t="str">
        <f>IFERROR(__xludf.DUMMYFUNCTION("""COMPUTED_VALUE"""),"T-20860-00")</f>
        <v>T-20860-00</v>
      </c>
      <c r="B2951" s="2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1" s="2" t="str">
        <f>IFERROR(__xludf.DUMMYFUNCTION("""COMPUTED_VALUE"""),"T-20860-00")</f>
        <v>T-20860-00</v>
      </c>
    </row>
    <row r="2952">
      <c r="A2952" s="2" t="str">
        <f>IFERROR(__xludf.DUMMYFUNCTION("""COMPUTED_VALUE"""),"T-20860-00")</f>
        <v>T-20860-00</v>
      </c>
      <c r="B2952" s="2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2" t="str">
        <f>IFERROR(__xludf.DUMMYFUNCTION("""COMPUTED_VALUE"""),"T-20860-00")</f>
        <v>T-20860-00</v>
      </c>
    </row>
    <row r="2953">
      <c r="A2953" s="2" t="str">
        <f>IFERROR(__xludf.DUMMYFUNCTION("""COMPUTED_VALUE"""),"T-20926-00")</f>
        <v>T-20926-00</v>
      </c>
      <c r="B2953" s="2" t="str">
        <f>IFERROR(__xludf.DUMMYFUNCTION("""COMPUTED_VALUE"""),"Micro fuel Cell, B2C Class ; Teledyne; 1 pcs; Teledyne; ;")</f>
        <v>Micro fuel Cell, B2C Class ; Teledyne; 1 pcs; Teledyne; ;</v>
      </c>
      <c r="C2953" s="2" t="str">
        <f>IFERROR(__xludf.DUMMYFUNCTION("""COMPUTED_VALUE"""),"T-20926-00")</f>
        <v>T-20926-00</v>
      </c>
    </row>
    <row r="2954">
      <c r="A2954" s="2" t="str">
        <f>IFERROR(__xludf.DUMMYFUNCTION("""COMPUTED_VALUE"""),"T-20947-00")</f>
        <v>T-20947-00</v>
      </c>
      <c r="B2954" s="2" t="str">
        <f>IFERROR(__xludf.DUMMYFUNCTION("""COMPUTED_VALUE"""),"Electroda Inlab 741 ISM; Mettler Toledo; 30014094; 1 unit")</f>
        <v>Electroda Inlab 741 ISM; Mettler Toledo; 30014094; 1 unit</v>
      </c>
      <c r="C2954" s="2" t="str">
        <f>IFERROR(__xludf.DUMMYFUNCTION("""COMPUTED_VALUE"""),"T-20947-00")</f>
        <v>T-20947-00</v>
      </c>
    </row>
    <row r="2955">
      <c r="A2955" s="2" t="str">
        <f>IFERROR(__xludf.DUMMYFUNCTION("""COMPUTED_VALUE"""),"T-20975-00")</f>
        <v>T-20975-00</v>
      </c>
      <c r="B2955" s="2" t="str">
        <f>IFERROR(__xludf.DUMMYFUNCTION("""COMPUTED_VALUE"""),"ASSY, FILTER WHEEL,ACQUITY TUV;; Waters; 700005266; 1 pcs/pack")</f>
        <v>ASSY, FILTER WHEEL,ACQUITY TUV;; Waters; 700005266; 1 pcs/pack</v>
      </c>
      <c r="C2955" s="2" t="str">
        <f>IFERROR(__xludf.DUMMYFUNCTION("""COMPUTED_VALUE"""),"T-20975-00")</f>
        <v>T-20975-00</v>
      </c>
    </row>
    <row r="2956">
      <c r="A2956" s="2" t="str">
        <f>IFERROR(__xludf.DUMMYFUNCTION("""COMPUTED_VALUE"""),"T-21028-00")</f>
        <v>T-21028-00</v>
      </c>
      <c r="B2956" s="2" t="str">
        <f>IFERROR(__xludf.DUMMYFUNCTION("""COMPUTED_VALUE"""),"Gas Clean hydrocarbon purifier; Agilent; Part No. CP17972; 1/pk")</f>
        <v>Gas Clean hydrocarbon purifier; Agilent; Part No. CP17972; 1/pk</v>
      </c>
      <c r="C2956" s="2" t="str">
        <f>IFERROR(__xludf.DUMMYFUNCTION("""COMPUTED_VALUE"""),"T-21028-00")</f>
        <v>T-21028-00</v>
      </c>
    </row>
    <row r="2957">
      <c r="A2957" s="2" t="str">
        <f>IFERROR(__xludf.DUMMYFUNCTION("""COMPUTED_VALUE"""),"T-21029-00")</f>
        <v>T-21029-00</v>
      </c>
      <c r="B2957" s="2" t="str">
        <f>IFERROR(__xludf.DUMMYFUNCTION("""COMPUTED_VALUE"""),"Gas Clean moisture purifier; Agilent; Part No. CP17971; 1/pk")</f>
        <v>Gas Clean moisture purifier; Agilent; Part No. CP17971; 1/pk</v>
      </c>
      <c r="C2957" s="2" t="str">
        <f>IFERROR(__xludf.DUMMYFUNCTION("""COMPUTED_VALUE"""),"T-21029-00")</f>
        <v>T-21029-00</v>
      </c>
    </row>
    <row r="2958">
      <c r="A2958" s="2" t="str">
        <f>IFERROR(__xludf.DUMMYFUNCTION("""COMPUTED_VALUE"""),"T-21030-00")</f>
        <v>T-21030-00</v>
      </c>
      <c r="B2958" s="2" t="str">
        <f>IFERROR(__xludf.DUMMYFUNCTION("""COMPUTED_VALUE"""),"Gas Clean oxygen purifier; Agilent; Part No. CP17970; 1/pk")</f>
        <v>Gas Clean oxygen purifier; Agilent; Part No. CP17970; 1/pk</v>
      </c>
      <c r="C2958" s="2" t="str">
        <f>IFERROR(__xludf.DUMMYFUNCTION("""COMPUTED_VALUE"""),"T-21030-00")</f>
        <v>T-21030-00</v>
      </c>
    </row>
    <row r="2959">
      <c r="A2959" s="2" t="str">
        <f>IFERROR(__xludf.DUMMYFUNCTION("""COMPUTED_VALUE"""),"T-21034-00")</f>
        <v>T-21034-00</v>
      </c>
      <c r="B2959" s="2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59" s="2" t="str">
        <f>IFERROR(__xludf.DUMMYFUNCTION("""COMPUTED_VALUE"""),"T-21034-00")</f>
        <v>T-21034-00</v>
      </c>
    </row>
    <row r="2960">
      <c r="A2960" s="2" t="str">
        <f>IFERROR(__xludf.DUMMYFUNCTION("""COMPUTED_VALUE"""),"T-21161-00")</f>
        <v>T-21161-00</v>
      </c>
      <c r="B2960" s="2" t="str">
        <f>IFERROR(__xludf.DUMMYFUNCTION("""COMPUTED_VALUE"""),"Kalibrasi Furnace; Vulcan; Type : D-550 - Kalibrasi Furnance")</f>
        <v>Kalibrasi Furnace; Vulcan; Type : D-550 - Kalibrasi Furnance</v>
      </c>
      <c r="C2960" s="2" t="str">
        <f>IFERROR(__xludf.DUMMYFUNCTION("""COMPUTED_VALUE"""),"T-21161-00")</f>
        <v>T-21161-00</v>
      </c>
    </row>
    <row r="2961">
      <c r="A2961" s="2" t="str">
        <f>IFERROR(__xludf.DUMMYFUNCTION("""COMPUTED_VALUE"""),"T-21619-00")</f>
        <v>T-21619-00</v>
      </c>
      <c r="B2961" s="2" t="str">
        <f>IFERROR(__xludf.DUMMYFUNCTION("""COMPUTED_VALUE"""),"Biaya Transportasi / Insitu / Onsite kalibrasi; ; ; pcs")</f>
        <v>Biaya Transportasi / Insitu / Onsite kalibrasi; ; ; pcs</v>
      </c>
      <c r="C2961" s="2" t="str">
        <f>IFERROR(__xludf.DUMMYFUNCTION("""COMPUTED_VALUE"""),"T-21619-00")</f>
        <v>T-21619-00</v>
      </c>
    </row>
    <row r="2962">
      <c r="A2962" s="2" t="str">
        <f>IFERROR(__xludf.DUMMYFUNCTION("""COMPUTED_VALUE"""),"T-22069-00")</f>
        <v>T-22069-00</v>
      </c>
      <c r="B2962" s="2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2" s="2" t="str">
        <f>IFERROR(__xludf.DUMMYFUNCTION("""COMPUTED_VALUE"""),"T-22069-00")</f>
        <v>T-22069-00</v>
      </c>
    </row>
    <row r="2963">
      <c r="A2963" s="2" t="str">
        <f>IFERROR(__xludf.DUMMYFUNCTION("""COMPUTED_VALUE"""),"T-22174-00")</f>
        <v>T-22174-00</v>
      </c>
      <c r="B2963" s="2" t="str">
        <f>IFERROR(__xludf.DUMMYFUNCTION("""COMPUTED_VALUE"""),"AHM Board MT 50; Sotax; 3003482; unt")</f>
        <v>AHM Board MT 50; Sotax; 3003482; unt</v>
      </c>
      <c r="C2963" s="2" t="str">
        <f>IFERROR(__xludf.DUMMYFUNCTION("""COMPUTED_VALUE"""),"T-22174-00")</f>
        <v>T-22174-00</v>
      </c>
    </row>
    <row r="2964">
      <c r="A2964" s="2" t="str">
        <f>IFERROR(__xludf.DUMMYFUNCTION("""COMPUTED_VALUE"""),"T-22314-00")</f>
        <v>T-22314-00</v>
      </c>
      <c r="B2964" s="2" t="str">
        <f>IFERROR(__xludf.DUMMYFUNCTION("""COMPUTED_VALUE"""),"Refill Board DSR Autosampler.; Pharma Test; 317-0133; unit")</f>
        <v>Refill Board DSR Autosampler.; Pharma Test; 317-0133; unit</v>
      </c>
      <c r="C2964" s="2" t="str">
        <f>IFERROR(__xludf.DUMMYFUNCTION("""COMPUTED_VALUE"""),"T-22314-00")</f>
        <v>T-22314-00</v>
      </c>
    </row>
    <row r="2965">
      <c r="A2965" s="2" t="str">
        <f>IFERROR(__xludf.DUMMYFUNCTION("""COMPUTED_VALUE"""),"T-22337-00")</f>
        <v>T-22337-00</v>
      </c>
      <c r="B2965" s="2" t="str">
        <f>IFERROR(__xludf.DUMMYFUNCTION("""COMPUTED_VALUE"""),"Moisture Trap for Rocker 300; Rocker; 167301-64; piece")</f>
        <v>Moisture Trap for Rocker 300; Rocker; 167301-64; piece</v>
      </c>
      <c r="C2965" s="2" t="str">
        <f>IFERROR(__xludf.DUMMYFUNCTION("""COMPUTED_VALUE"""),"T-22337-00")</f>
        <v>T-22337-00</v>
      </c>
    </row>
    <row r="2966">
      <c r="A2966" s="2" t="str">
        <f>IFERROR(__xludf.DUMMYFUNCTION("""COMPUTED_VALUE"""),"T-22339-00")</f>
        <v>T-22339-00</v>
      </c>
      <c r="B2966" s="2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6" s="2" t="str">
        <f>IFERROR(__xludf.DUMMYFUNCTION("""COMPUTED_VALUE"""),"T-22339-00")</f>
        <v>T-22339-00</v>
      </c>
    </row>
    <row r="2967">
      <c r="A2967" s="2" t="str">
        <f>IFERROR(__xludf.DUMMYFUNCTION("""COMPUTED_VALUE"""),"T-22348-00")</f>
        <v>T-22348-00</v>
      </c>
      <c r="B2967" s="2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7" s="2" t="str">
        <f>IFERROR(__xludf.DUMMYFUNCTION("""COMPUTED_VALUE"""),"T-22348-00")</f>
        <v>T-22348-00</v>
      </c>
    </row>
    <row r="2968">
      <c r="A2968" s="2" t="str">
        <f>IFERROR(__xludf.DUMMYFUNCTION("""COMPUTED_VALUE"""),"T-22349-00")</f>
        <v>T-22349-00</v>
      </c>
      <c r="B2968" s="2" t="str">
        <f>IFERROR(__xludf.DUMMYFUNCTION("""COMPUTED_VALUE"""),"Replacement Pump Tubing for Sievers Model 900; HART; A-2101-TUB; pack")</f>
        <v>Replacement Pump Tubing for Sievers Model 900; HART; A-2101-TUB; pack</v>
      </c>
      <c r="C2968" s="2" t="str">
        <f>IFERROR(__xludf.DUMMYFUNCTION("""COMPUTED_VALUE"""),"T-22349-00")</f>
        <v>T-22349-00</v>
      </c>
    </row>
    <row r="2969">
      <c r="A2969" s="2" t="str">
        <f>IFERROR(__xludf.DUMMYFUNCTION("""COMPUTED_VALUE"""),"T-22350-00")</f>
        <v>T-22350-00</v>
      </c>
      <c r="B2969" s="2" t="str">
        <f>IFERROR(__xludf.DUMMYFUNCTION("""COMPUTED_VALUE"""),"Replacement Resin Bed for Sievers Model 900; HART; A-2890-RES; pack")</f>
        <v>Replacement Resin Bed for Sievers Model 900; HART; A-2890-RES; pack</v>
      </c>
      <c r="C2969" s="2" t="str">
        <f>IFERROR(__xludf.DUMMYFUNCTION("""COMPUTED_VALUE"""),"T-22350-00")</f>
        <v>T-22350-00</v>
      </c>
    </row>
    <row r="2970">
      <c r="A2970" s="2" t="str">
        <f>IFERROR(__xludf.DUMMYFUNCTION("""COMPUTED_VALUE"""),"T-22394-00")</f>
        <v>T-22394-00</v>
      </c>
      <c r="B2970" s="2" t="str">
        <f>IFERROR(__xludf.DUMMYFUNCTION("""COMPUTED_VALUE"""),"Vision Sensor Monitor USB Memory Stick (1GB); Keyence; OP-87502; pieces")</f>
        <v>Vision Sensor Monitor USB Memory Stick (1GB); Keyence; OP-87502; pieces</v>
      </c>
      <c r="C2970" s="2" t="str">
        <f>IFERROR(__xludf.DUMMYFUNCTION("""COMPUTED_VALUE"""),"T-22394-00")</f>
        <v>T-22394-00</v>
      </c>
    </row>
    <row r="2971">
      <c r="A2971" s="2" t="str">
        <f>IFERROR(__xludf.DUMMYFUNCTION("""COMPUTED_VALUE"""),"T-22395-00")</f>
        <v>T-22395-00</v>
      </c>
      <c r="B2971" s="2" t="str">
        <f>IFERROR(__xludf.DUMMYFUNCTION("""COMPUTED_VALUE"""),"Memory Card for KV Series (1GB); Keyence; KV-M4G; pc")</f>
        <v>Memory Card for KV Series (1GB); Keyence; KV-M4G; pc</v>
      </c>
      <c r="C2971" s="2" t="str">
        <f>IFERROR(__xludf.DUMMYFUNCTION("""COMPUTED_VALUE"""),"T-22395-00")</f>
        <v>T-22395-00</v>
      </c>
    </row>
    <row r="2972">
      <c r="A2972" s="2" t="str">
        <f>IFERROR(__xludf.DUMMYFUNCTION("""COMPUTED_VALUE"""),"T-22505-00")</f>
        <v>T-22505-00</v>
      </c>
      <c r="B2972" s="2" t="str">
        <f>IFERROR(__xludf.DUMMYFUNCTION("""COMPUTED_VALUE"""),"Calibration drive PCB XS; Mettler Toledo; 11106836; piece")</f>
        <v>Calibration drive PCB XS; Mettler Toledo; 11106836; piece</v>
      </c>
      <c r="C2972" s="2" t="str">
        <f>IFERROR(__xludf.DUMMYFUNCTION("""COMPUTED_VALUE"""),"T-22505-00")</f>
        <v>T-22505-00</v>
      </c>
    </row>
    <row r="2973">
      <c r="A2973" s="2" t="str">
        <f>IFERROR(__xludf.DUMMYFUNCTION("""COMPUTED_VALUE"""),"T-22513-00")</f>
        <v>T-22513-00</v>
      </c>
      <c r="B2973" s="2" t="str">
        <f>IFERROR(__xludf.DUMMYFUNCTION("""COMPUTED_VALUE"""),"Oven Heater Shround; Agilent; G1530-61630; piece")</f>
        <v>Oven Heater Shround; Agilent; G1530-61630; piece</v>
      </c>
      <c r="C2973" s="2" t="str">
        <f>IFERROR(__xludf.DUMMYFUNCTION("""COMPUTED_VALUE"""),"T-22513-00")</f>
        <v>T-22513-00</v>
      </c>
    </row>
    <row r="2974">
      <c r="A2974" s="2" t="str">
        <f>IFERROR(__xludf.DUMMYFUNCTION("""COMPUTED_VALUE"""),"T-25027-00")</f>
        <v>T-25027-00</v>
      </c>
      <c r="B2974" s="2" t="str">
        <f>IFERROR(__xludf.DUMMYFUNCTION("""COMPUTED_VALUE"""),"Fitting, Internal Reducer, 1/16 to 1/32 inch; Agilent; p/n: 0100-2594;")</f>
        <v>Fitting, Internal Reducer, 1/16 to 1/32 inch; Agilent; p/n: 0100-2594;</v>
      </c>
      <c r="C2974" s="2" t="str">
        <f>IFERROR(__xludf.DUMMYFUNCTION("""COMPUTED_VALUE"""),"T-25027-00")</f>
        <v>T-25027-00</v>
      </c>
    </row>
    <row r="2975">
      <c r="A2975" s="2" t="str">
        <f>IFERROR(__xludf.DUMMYFUNCTION("""COMPUTED_VALUE"""),"T-25092-00")</f>
        <v>T-25092-00</v>
      </c>
      <c r="B2975" s="2" t="str">
        <f>IFERROR(__xludf.DUMMYFUNCTION("""COMPUTED_VALUE"""),"TSF Battery without Activator for TrackSense Frigo35900061")</f>
        <v>TSF Battery without Activator for TrackSense Frigo35900061</v>
      </c>
      <c r="C2975" s="2" t="str">
        <f>IFERROR(__xludf.DUMMYFUNCTION("""COMPUTED_VALUE"""),"T-25092-00")</f>
        <v>T-25092-00</v>
      </c>
    </row>
    <row r="2976">
      <c r="A2976" s="2" t="str">
        <f>IFERROR(__xludf.DUMMYFUNCTION("""COMPUTED_VALUE"""),"T-25289-00")</f>
        <v>T-25289-00</v>
      </c>
      <c r="B2976" s="2" t="str">
        <f>IFERROR(__xludf.DUMMYFUNCTION("""COMPUTED_VALUE"""),"IGNITER GLOW PLUG ASSEMBLY; AGILENT; 19231-60680; 1 PC PER PACK")</f>
        <v>IGNITER GLOW PLUG ASSEMBLY; AGILENT; 19231-60680; 1 PC PER PACK</v>
      </c>
      <c r="C2976" s="2" t="str">
        <f>IFERROR(__xludf.DUMMYFUNCTION("""COMPUTED_VALUE"""),"T-25289-00")</f>
        <v>T-25289-00</v>
      </c>
    </row>
    <row r="2977">
      <c r="A2977" s="2" t="str">
        <f>IFERROR(__xludf.DUMMYFUNCTION("""COMPUTED_VALUE"""),"T-25372-00")</f>
        <v>T-25372-00</v>
      </c>
      <c r="B2977" s="2" t="str">
        <f>IFERROR(__xludf.DUMMYFUNCTION("""COMPUTED_VALUE"""),"Electrode holder uPlace; Mettler Toledo; 30019823;")</f>
        <v>Electrode holder uPlace; Mettler Toledo; 30019823;</v>
      </c>
      <c r="C2977" s="2" t="str">
        <f>IFERROR(__xludf.DUMMYFUNCTION("""COMPUTED_VALUE"""),"T-25372-00")</f>
        <v>T-25372-00</v>
      </c>
    </row>
    <row r="2978">
      <c r="A2978" s="2" t="str">
        <f>IFERROR(__xludf.DUMMYFUNCTION("""COMPUTED_VALUE"""),"T-25417-00")</f>
        <v>T-25417-00</v>
      </c>
      <c r="B2978" s="2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8" s="2" t="str">
        <f>IFERROR(__xludf.DUMMYFUNCTION("""COMPUTED_VALUE"""),"T-25417-00")</f>
        <v>T-25417-00</v>
      </c>
    </row>
    <row r="2979">
      <c r="A2979" s="2" t="str">
        <f>IFERROR(__xludf.DUMMYFUNCTION("""COMPUTED_VALUE"""),"T-25454-00")</f>
        <v>T-25454-00</v>
      </c>
      <c r="B2979" s="2" t="str">
        <f>IFERROR(__xludf.DUMMYFUNCTION("""COMPUTED_VALUE"""),"Filter Flag, 2998, Classic; Waters; 700003767;")</f>
        <v>Filter Flag, 2998, Classic; Waters; 700003767;</v>
      </c>
      <c r="C2979" s="2" t="str">
        <f>IFERROR(__xludf.DUMMYFUNCTION("""COMPUTED_VALUE"""),"T-25454-00")</f>
        <v>T-25454-00</v>
      </c>
    </row>
    <row r="2980">
      <c r="A2980" s="2" t="str">
        <f>IFERROR(__xludf.DUMMYFUNCTION("""COMPUTED_VALUE"""),"T-25481-00")</f>
        <v>T-25481-00</v>
      </c>
      <c r="B2980" s="2" t="str">
        <f>IFERROR(__xludf.DUMMYFUNCTION("""COMPUTED_VALUE"""),"Seal Wash Priming Adapter; Waters; WAT270586; pieces")</f>
        <v>Seal Wash Priming Adapter; Waters; WAT270586; pieces</v>
      </c>
      <c r="C2980" s="2" t="str">
        <f>IFERROR(__xludf.DUMMYFUNCTION("""COMPUTED_VALUE"""),"T-25481-00")</f>
        <v>T-25481-00</v>
      </c>
    </row>
    <row r="2981">
      <c r="A2981" s="2" t="str">
        <f>IFERROR(__xludf.DUMMYFUNCTION("""COMPUTED_VALUE"""),"T-25577-00")</f>
        <v>T-25577-00</v>
      </c>
      <c r="B2981" s="2" t="str">
        <f>IFERROR(__xludf.DUMMYFUNCTION("""COMPUTED_VALUE"""),"UV LAMP FOR M500 TOC Analyzer; Sievers; TOC M500; 1 pc")</f>
        <v>UV LAMP FOR M500 TOC Analyzer; Sievers; TOC M500; 1 pc</v>
      </c>
      <c r="C2981" s="2" t="str">
        <f>IFERROR(__xludf.DUMMYFUNCTION("""COMPUTED_VALUE"""),"T-25577-00")</f>
        <v>T-25577-00</v>
      </c>
    </row>
    <row r="2982">
      <c r="A2982" s="2" t="str">
        <f>IFERROR(__xludf.DUMMYFUNCTION("""COMPUTED_VALUE"""),"T-25578-00")</f>
        <v>T-25578-00</v>
      </c>
      <c r="B2982" s="2" t="str">
        <f>IFERROR(__xludf.DUMMYFUNCTION("""COMPUTED_VALUE"""),"SAMPLE PUMP HEAD FOR M500 TOC Analyzer; Sievers; TOC M500; 1 pc")</f>
        <v>SAMPLE PUMP HEAD FOR M500 TOC Analyzer; Sievers; TOC M500; 1 pc</v>
      </c>
      <c r="C2982" s="2" t="str">
        <f>IFERROR(__xludf.DUMMYFUNCTION("""COMPUTED_VALUE"""),"T-25578-00")</f>
        <v>T-25578-00</v>
      </c>
    </row>
    <row r="2983">
      <c r="A2983" s="2" t="str">
        <f>IFERROR(__xludf.DUMMYFUNCTION("""COMPUTED_VALUE"""),"T-25579-00")</f>
        <v>T-25579-00</v>
      </c>
      <c r="B2983" s="2" t="str">
        <f>IFERROR(__xludf.DUMMYFUNCTION("""COMPUTED_VALUE"""),"RESIN BED REPLACEMENT FOR M500 TOC Analyzer; Sievers; TOC M500; 1 pc")</f>
        <v>RESIN BED REPLACEMENT FOR M500 TOC Analyzer; Sievers; TOC M500; 1 pc</v>
      </c>
      <c r="C2983" s="2" t="str">
        <f>IFERROR(__xludf.DUMMYFUNCTION("""COMPUTED_VALUE"""),"T-25579-00")</f>
        <v>T-25579-00</v>
      </c>
    </row>
    <row r="2984">
      <c r="A2984" s="2" t="str">
        <f>IFERROR(__xludf.DUMMYFUNCTION("""COMPUTED_VALUE"""),"T-26629-00")</f>
        <v>T-26629-00</v>
      </c>
      <c r="B2984" s="2" t="str">
        <f>IFERROR(__xludf.DUMMYFUNCTION("""COMPUTED_VALUE"""),"Engine, Heater/Cooler; Waters; 700002139; piece")</f>
        <v>Engine, Heater/Cooler; Waters; 700002139; piece</v>
      </c>
      <c r="C2984" s="2" t="str">
        <f>IFERROR(__xludf.DUMMYFUNCTION("""COMPUTED_VALUE"""),"T-26629-00")</f>
        <v>T-26629-00</v>
      </c>
    </row>
    <row r="2985">
      <c r="A2985" s="2" t="str">
        <f>IFERROR(__xludf.DUMMYFUNCTION("""COMPUTED_VALUE"""),"T-30000-00")</f>
        <v>T-30000-00</v>
      </c>
      <c r="B2985" s="2" t="str">
        <f>IFERROR(__xludf.DUMMYFUNCTION("""COMPUTED_VALUE"""),"Office Equipment Maintenance")</f>
        <v>Office Equipment Maintenance</v>
      </c>
      <c r="C2985" s="2" t="str">
        <f>IFERROR(__xludf.DUMMYFUNCTION("""COMPUTED_VALUE"""),"T-30000-00")</f>
        <v>T-30000-00</v>
      </c>
    </row>
    <row r="2986">
      <c r="A2986" s="2" t="str">
        <f>IFERROR(__xludf.DUMMYFUNCTION("""COMPUTED_VALUE"""),"T-30012-00")</f>
        <v>T-30012-00</v>
      </c>
      <c r="B2986" s="2" t="str">
        <f>IFERROR(__xludf.DUMMYFUNCTION("""COMPUTED_VALUE"""),"Bracket Proyektor Gantung Universal 80cm; ; ;")</f>
        <v>Bracket Proyektor Gantung Universal 80cm; ; ;</v>
      </c>
      <c r="C2986" s="2" t="str">
        <f>IFERROR(__xludf.DUMMYFUNCTION("""COMPUTED_VALUE"""),"T-30012-00")</f>
        <v>T-30012-00</v>
      </c>
    </row>
    <row r="2987">
      <c r="A2987" s="2" t="str">
        <f>IFERROR(__xludf.DUMMYFUNCTION("""COMPUTED_VALUE"""),"T-30015-00")</f>
        <v>T-30015-00</v>
      </c>
      <c r="B2987" s="2" t="str">
        <f>IFERROR(__xludf.DUMMYFUNCTION("""COMPUTED_VALUE"""),"CPU Case Bracket Stand CPB5; Orico; ;")</f>
        <v>CPU Case Bracket Stand CPB5; Orico; ;</v>
      </c>
      <c r="C2987" s="2" t="str">
        <f>IFERROR(__xludf.DUMMYFUNCTION("""COMPUTED_VALUE"""),"T-30015-00")</f>
        <v>T-30015-00</v>
      </c>
    </row>
    <row r="2988">
      <c r="A2988" s="2" t="str">
        <f>IFERROR(__xludf.DUMMYFUNCTION("""COMPUTED_VALUE"""),"T-80028-00")</f>
        <v>T-80028-00</v>
      </c>
      <c r="B2988" s="2" t="str">
        <f>IFERROR(__xludf.DUMMYFUNCTION("""COMPUTED_VALUE"""),"Pena Hitam; Snowman V1; pc - Ballpoint Snowman V5 BIRU")</f>
        <v>Pena Hitam; Snowman V1; pc - Ballpoint Snowman V5 BIRU</v>
      </c>
      <c r="C2988" s="2" t="str">
        <f>IFERROR(__xludf.DUMMYFUNCTION("""COMPUTED_VALUE"""),"T-80028-00")</f>
        <v>T-80028-00</v>
      </c>
    </row>
    <row r="2989">
      <c r="A2989" s="2" t="str">
        <f>IFERROR(__xludf.DUMMYFUNCTION("""COMPUTED_VALUE"""),"T-80037-00")</f>
        <v>T-80037-00</v>
      </c>
      <c r="B2989" s="2" t="str">
        <f>IFERROR(__xludf.DUMMYFUNCTION("""COMPUTED_VALUE"""),"Batterai Size AA")</f>
        <v>Batterai Size AA</v>
      </c>
      <c r="C2989" s="2" t="str">
        <f>IFERROR(__xludf.DUMMYFUNCTION("""COMPUTED_VALUE"""),"T-80037-00")</f>
        <v>T-80037-00</v>
      </c>
    </row>
    <row r="2990">
      <c r="A2990" s="2" t="str">
        <f>IFERROR(__xludf.DUMMYFUNCTION("""COMPUTED_VALUE"""),"T-80043-00")</f>
        <v>T-80043-00</v>
      </c>
      <c r="B2990" s="2" t="str">
        <f>IFERROR(__xludf.DUMMYFUNCTION("""COMPUTED_VALUE"""),"Battery ABC Kotak 9V")</f>
        <v>Battery ABC Kotak 9V</v>
      </c>
      <c r="C2990" s="2" t="str">
        <f>IFERROR(__xludf.DUMMYFUNCTION("""COMPUTED_VALUE"""),"T-80043-00")</f>
        <v>T-80043-00</v>
      </c>
    </row>
    <row r="2991">
      <c r="A2991" s="2" t="str">
        <f>IFERROR(__xludf.DUMMYFUNCTION("""COMPUTED_VALUE"""),"T-80046-00")</f>
        <v>T-80046-00</v>
      </c>
      <c r="B2991" s="2" t="str">
        <f>IFERROR(__xludf.DUMMYFUNCTION("""COMPUTED_VALUE"""),"Baterai AA; Alkaline; Isi 6pc/pck")</f>
        <v>Baterai AA; Alkaline; Isi 6pc/pck</v>
      </c>
      <c r="C2991" s="2" t="str">
        <f>IFERROR(__xludf.DUMMYFUNCTION("""COMPUTED_VALUE"""),"T-80046-00")</f>
        <v>T-80046-00</v>
      </c>
    </row>
    <row r="2992">
      <c r="A2992" s="2" t="str">
        <f>IFERROR(__xludf.DUMMYFUNCTION("""COMPUTED_VALUE"""),"T-80047-00")</f>
        <v>T-80047-00</v>
      </c>
      <c r="B2992" s="2" t="str">
        <f>IFERROR(__xludf.DUMMYFUNCTION("""COMPUTED_VALUE"""),"Baterai AAA; Alkaline; Isi 6pc/pck")</f>
        <v>Baterai AAA; Alkaline; Isi 6pc/pck</v>
      </c>
      <c r="C2992" s="2" t="str">
        <f>IFERROR(__xludf.DUMMYFUNCTION("""COMPUTED_VALUE"""),"T-80047-00")</f>
        <v>T-80047-00</v>
      </c>
    </row>
    <row r="2993">
      <c r="A2993" s="2" t="str">
        <f>IFERROR(__xludf.DUMMYFUNCTION("""COMPUTED_VALUE"""),"T-80053-00")</f>
        <v>T-80053-00</v>
      </c>
      <c r="B2993" s="2" t="str">
        <f>IFERROR(__xludf.DUMMYFUNCTION("""COMPUTED_VALUE"""),"Binder CLIP 107 - 19 mm")</f>
        <v>Binder CLIP 107 - 19 mm</v>
      </c>
      <c r="C2993" s="2" t="str">
        <f>IFERROR(__xludf.DUMMYFUNCTION("""COMPUTED_VALUE"""),"T-80053-00")</f>
        <v>T-80053-00</v>
      </c>
    </row>
    <row r="2994">
      <c r="A2994" s="2" t="str">
        <f>IFERROR(__xludf.DUMMYFUNCTION("""COMPUTED_VALUE"""),"T-80054-00")</f>
        <v>T-80054-00</v>
      </c>
      <c r="B2994" s="2" t="str">
        <f>IFERROR(__xludf.DUMMYFUNCTION("""COMPUTED_VALUE"""),"Binder CLIP 111 - 25 mm")</f>
        <v>Binder CLIP 111 - 25 mm</v>
      </c>
      <c r="C2994" s="2" t="str">
        <f>IFERROR(__xludf.DUMMYFUNCTION("""COMPUTED_VALUE"""),"T-80054-00")</f>
        <v>T-80054-00</v>
      </c>
    </row>
    <row r="2995">
      <c r="A2995" s="2" t="str">
        <f>IFERROR(__xludf.DUMMYFUNCTION("""COMPUTED_VALUE"""),"T-80055-00")</f>
        <v>T-80055-00</v>
      </c>
      <c r="B2995" s="2" t="str">
        <f>IFERROR(__xludf.DUMMYFUNCTION("""COMPUTED_VALUE"""),"Binder CLIP 155 - 32 mm")</f>
        <v>Binder CLIP 155 - 32 mm</v>
      </c>
      <c r="C2995" s="2" t="str">
        <f>IFERROR(__xludf.DUMMYFUNCTION("""COMPUTED_VALUE"""),"T-80055-00")</f>
        <v>T-80055-00</v>
      </c>
    </row>
    <row r="2996">
      <c r="A2996" s="2" t="str">
        <f>IFERROR(__xludf.DUMMYFUNCTION("""COMPUTED_VALUE"""),"T-80057-00")</f>
        <v>T-80057-00</v>
      </c>
      <c r="B2996" s="2" t="str">
        <f>IFERROR(__xludf.DUMMYFUNCTION("""COMPUTED_VALUE"""),"Binder CLIP 260 - 51 mm")</f>
        <v>Binder CLIP 260 - 51 mm</v>
      </c>
      <c r="C2996" s="2" t="str">
        <f>IFERROR(__xludf.DUMMYFUNCTION("""COMPUTED_VALUE"""),"T-80057-00")</f>
        <v>T-80057-00</v>
      </c>
    </row>
    <row r="2997">
      <c r="A2997" s="2" t="str">
        <f>IFERROR(__xludf.DUMMYFUNCTION("""COMPUTED_VALUE"""),"T-80060-00")</f>
        <v>T-80060-00</v>
      </c>
      <c r="B2997" s="2" t="str">
        <f>IFERROR(__xludf.DUMMYFUNCTION("""COMPUTED_VALUE"""),"Box file F4 4011-01")</f>
        <v>Box file F4 4011-01</v>
      </c>
      <c r="C2997" s="2" t="str">
        <f>IFERROR(__xludf.DUMMYFUNCTION("""COMPUTED_VALUE"""),"T-80060-00")</f>
        <v>T-80060-00</v>
      </c>
    </row>
    <row r="2998">
      <c r="A2998" s="2" t="str">
        <f>IFERROR(__xludf.DUMMYFUNCTION("""COMPUTED_VALUE"""),"T-80108-00")</f>
        <v>T-80108-00</v>
      </c>
      <c r="B2998" s="2" t="str">
        <f>IFERROR(__xludf.DUMMYFUNCTION("""COMPUTED_VALUE"""),"Cellotape Kertas 2 inch warna Putih")</f>
        <v>Cellotape Kertas 2 inch warna Putih</v>
      </c>
      <c r="C2998" s="2" t="str">
        <f>IFERROR(__xludf.DUMMYFUNCTION("""COMPUTED_VALUE"""),"T-80108-00")</f>
        <v>T-80108-00</v>
      </c>
    </row>
    <row r="2999">
      <c r="A2999" s="2" t="str">
        <f>IFERROR(__xludf.DUMMYFUNCTION("""COMPUTED_VALUE"""),"T-80109-00")</f>
        <v>T-80109-00</v>
      </c>
      <c r="B2999" s="2" t="str">
        <f>IFERROR(__xludf.DUMMYFUNCTION("""COMPUTED_VALUE"""),"Cellotape / Lakban Kertas 1 inch warna Putih ; No Brand ; pack size per pcs")</f>
        <v>Cellotape / Lakban Kertas 1 inch warna Putih ; No Brand ; pack size per pcs</v>
      </c>
      <c r="C2999" s="2" t="str">
        <f>IFERROR(__xludf.DUMMYFUNCTION("""COMPUTED_VALUE"""),"T-80109-00")</f>
        <v>T-80109-00</v>
      </c>
    </row>
    <row r="3000">
      <c r="A3000" s="2" t="str">
        <f>IFERROR(__xludf.DUMMYFUNCTION("""COMPUTED_VALUE"""),"T-80110-00")</f>
        <v>T-80110-00</v>
      </c>
      <c r="B3000" s="2" t="str">
        <f>IFERROR(__xludf.DUMMYFUNCTION("""COMPUTED_VALUE"""),"Clear Holder A4 Bening")</f>
        <v>Clear Holder A4 Bening</v>
      </c>
      <c r="C3000" s="2" t="str">
        <f>IFERROR(__xludf.DUMMYFUNCTION("""COMPUTED_VALUE"""),"T-80110-00")</f>
        <v>T-80110-00</v>
      </c>
    </row>
    <row r="3001">
      <c r="A3001" s="2" t="str">
        <f>IFERROR(__xludf.DUMMYFUNCTION("""COMPUTED_VALUE"""),"T-80145-00")</f>
        <v>T-80145-00</v>
      </c>
      <c r="B3001" s="2" t="str">
        <f>IFERROR(__xludf.DUMMYFUNCTION("""COMPUTED_VALUE"""),"Cutter Besar L-500 (18 mm); 5 pc/pck")</f>
        <v>Cutter Besar L-500 (18 mm); 5 pc/pck</v>
      </c>
      <c r="C3001" s="2" t="str">
        <f>IFERROR(__xludf.DUMMYFUNCTION("""COMPUTED_VALUE"""),"T-80145-00")</f>
        <v>T-80145-00</v>
      </c>
    </row>
    <row r="3002">
      <c r="A3002" s="2" t="str">
        <f>IFERROR(__xludf.DUMMYFUNCTION("""COMPUTED_VALUE"""),"T-80149-00")</f>
        <v>T-80149-00</v>
      </c>
      <c r="B3002" s="2" t="str">
        <f>IFERROR(__xludf.DUMMYFUNCTION("""COMPUTED_VALUE"""),"Cutter Kenko L-150 (besar) - refill")</f>
        <v>Cutter Kenko L-150 (besar) - refill</v>
      </c>
      <c r="C3002" s="2" t="str">
        <f>IFERROR(__xludf.DUMMYFUNCTION("""COMPUTED_VALUE"""),"T-80149-00")</f>
        <v>T-80149-00</v>
      </c>
    </row>
    <row r="3003">
      <c r="A3003" s="2" t="str">
        <f>IFERROR(__xludf.DUMMYFUNCTION("""COMPUTED_VALUE"""),"T-80159-00")</f>
        <v>T-80159-00</v>
      </c>
      <c r="B3003" s="2" t="str">
        <f>IFERROR(__xludf.DUMMYFUNCTION("""COMPUTED_VALUE"""),"Divider Bulan Jan - Dec")</f>
        <v>Divider Bulan Jan - Dec</v>
      </c>
      <c r="C3003" s="2" t="str">
        <f>IFERROR(__xludf.DUMMYFUNCTION("""COMPUTED_VALUE"""),"T-80159-00")</f>
        <v>T-80159-00</v>
      </c>
    </row>
    <row r="3004">
      <c r="A3004" s="2" t="str">
        <f>IFERROR(__xludf.DUMMYFUNCTION("""COMPUTED_VALUE"""),"T-80168-00")</f>
        <v>T-80168-00</v>
      </c>
      <c r="B3004" s="2" t="str">
        <f>IFERROR(__xludf.DUMMYFUNCTION("""COMPUTED_VALUE"""),"Double Tape 1/2 inch")</f>
        <v>Double Tape 1/2 inch</v>
      </c>
      <c r="C3004" s="2" t="str">
        <f>IFERROR(__xludf.DUMMYFUNCTION("""COMPUTED_VALUE"""),"T-80168-00")</f>
        <v>T-80168-00</v>
      </c>
    </row>
    <row r="3005">
      <c r="A3005" s="2" t="str">
        <f>IFERROR(__xludf.DUMMYFUNCTION("""COMPUTED_VALUE"""),"T-80169-00")</f>
        <v>T-80169-00</v>
      </c>
      <c r="B3005" s="2" t="str">
        <f>IFERROR(__xludf.DUMMYFUNCTION("""COMPUTED_VALUE"""),"Double Tape 1 inch")</f>
        <v>Double Tape 1 inch</v>
      </c>
      <c r="C3005" s="2" t="str">
        <f>IFERROR(__xludf.DUMMYFUNCTION("""COMPUTED_VALUE"""),"T-80169-00")</f>
        <v>T-80169-00</v>
      </c>
    </row>
    <row r="3006">
      <c r="A3006" s="2" t="str">
        <f>IFERROR(__xludf.DUMMYFUNCTION("""COMPUTED_VALUE"""),"T-80184-00")</f>
        <v>T-80184-00</v>
      </c>
      <c r="B3006" s="2" t="str">
        <f>IFERROR(__xludf.DUMMYFUNCTION("""COMPUTED_VALUE"""),"Gunting Besar (8,5 Inch); pc")</f>
        <v>Gunting Besar (8,5 Inch); pc</v>
      </c>
      <c r="C3006" s="2" t="str">
        <f>IFERROR(__xludf.DUMMYFUNCTION("""COMPUTED_VALUE"""),"T-80184-00")</f>
        <v>T-80184-00</v>
      </c>
    </row>
    <row r="3007">
      <c r="A3007" s="2" t="str">
        <f>IFERROR(__xludf.DUMMYFUNCTION("""COMPUTED_VALUE"""),"T-80198-00")</f>
        <v>T-80198-00</v>
      </c>
      <c r="B3007" s="2" t="str">
        <f>IFERROR(__xludf.DUMMYFUNCTION("""COMPUTED_VALUE"""),"Isi Stapler Besar NO 3 + 24/6")</f>
        <v>Isi Stapler Besar NO 3 + 24/6</v>
      </c>
      <c r="C3007" s="2" t="str">
        <f>IFERROR(__xludf.DUMMYFUNCTION("""COMPUTED_VALUE"""),"T-80198-00")</f>
        <v>T-80198-00</v>
      </c>
    </row>
    <row r="3008">
      <c r="A3008" s="2" t="str">
        <f>IFERROR(__xludf.DUMMYFUNCTION("""COMPUTED_VALUE"""),"T-80199-00")</f>
        <v>T-80199-00</v>
      </c>
      <c r="B3008" s="2" t="str">
        <f>IFERROR(__xludf.DUMMYFUNCTION("""COMPUTED_VALUE"""),"Isi Stapler Kecil NO 10")</f>
        <v>Isi Stapler Kecil NO 10</v>
      </c>
      <c r="C3008" s="2" t="str">
        <f>IFERROR(__xludf.DUMMYFUNCTION("""COMPUTED_VALUE"""),"T-80199-00")</f>
        <v>T-80199-00</v>
      </c>
    </row>
    <row r="3009">
      <c r="A3009" s="2" t="str">
        <f>IFERROR(__xludf.DUMMYFUNCTION("""COMPUTED_VALUE"""),"T-80242-00")</f>
        <v>T-80242-00</v>
      </c>
      <c r="B3009" s="2" t="str">
        <f>IFERROR(__xludf.DUMMYFUNCTION("""COMPUTED_VALUE"""),"Label Stiker Tom &amp; Jerry No. 103")</f>
        <v>Label Stiker Tom &amp; Jerry No. 103</v>
      </c>
      <c r="C3009" s="2" t="str">
        <f>IFERROR(__xludf.DUMMYFUNCTION("""COMPUTED_VALUE"""),"T-80242-00")</f>
        <v>T-80242-00</v>
      </c>
    </row>
    <row r="3010">
      <c r="A3010" s="2" t="str">
        <f>IFERROR(__xludf.DUMMYFUNCTION("""COMPUTED_VALUE"""),"T-80337-00")</f>
        <v>T-80337-00</v>
      </c>
      <c r="B3010" s="2" t="str">
        <f>IFERROR(__xludf.DUMMYFUNCTION("""COMPUTED_VALUE"""),"Paper Clips Trigonal No. 1")</f>
        <v>Paper Clips Trigonal No. 1</v>
      </c>
      <c r="C3010" s="2" t="str">
        <f>IFERROR(__xludf.DUMMYFUNCTION("""COMPUTED_VALUE"""),"T-80337-00")</f>
        <v>T-80337-00</v>
      </c>
    </row>
    <row r="3011">
      <c r="A3011" s="2" t="str">
        <f>IFERROR(__xludf.DUMMYFUNCTION("""COMPUTED_VALUE"""),"T-80344-00")</f>
        <v>T-80344-00</v>
      </c>
      <c r="B3011" s="2" t="str">
        <f>IFERROR(__xludf.DUMMYFUNCTION("""COMPUTED_VALUE"""),"Penggaris  Besi 30cm")</f>
        <v>Penggaris  Besi 30cm</v>
      </c>
      <c r="C3011" s="2" t="str">
        <f>IFERROR(__xludf.DUMMYFUNCTION("""COMPUTED_VALUE"""),"T-80344-00")</f>
        <v>T-80344-00</v>
      </c>
    </row>
    <row r="3012">
      <c r="A3012" s="2" t="str">
        <f>IFERROR(__xludf.DUMMYFUNCTION("""COMPUTED_VALUE"""),"T-80372-00")</f>
        <v>T-80372-00</v>
      </c>
      <c r="B3012" s="2" t="str">
        <f>IFERROR(__xludf.DUMMYFUNCTION("""COMPUTED_VALUE"""),"Plakban Kertas 1""")</f>
        <v>Plakban Kertas 1"</v>
      </c>
      <c r="C3012" s="2" t="str">
        <f>IFERROR(__xludf.DUMMYFUNCTION("""COMPUTED_VALUE"""),"T-80372-00")</f>
        <v>T-80372-00</v>
      </c>
    </row>
    <row r="3013">
      <c r="A3013" s="2" t="str">
        <f>IFERROR(__xludf.DUMMYFUNCTION("""COMPUTED_VALUE"""),"T-80373-00")</f>
        <v>T-80373-00</v>
      </c>
      <c r="B3013" s="2" t="str">
        <f>IFERROR(__xludf.DUMMYFUNCTION("""COMPUTED_VALUE"""),"Plakband Bening 2 inch")</f>
        <v>Plakband Bening 2 inch</v>
      </c>
      <c r="C3013" s="2" t="str">
        <f>IFERROR(__xludf.DUMMYFUNCTION("""COMPUTED_VALUE"""),"T-80373-00")</f>
        <v>T-80373-00</v>
      </c>
    </row>
    <row r="3014">
      <c r="A3014" s="2" t="str">
        <f>IFERROR(__xludf.DUMMYFUNCTION("""COMPUTED_VALUE"""),"T-80376-00")</f>
        <v>T-80376-00</v>
      </c>
      <c r="B3014" s="2" t="str">
        <f>IFERROR(__xludf.DUMMYFUNCTION("""COMPUTED_VALUE"""),"Plakband Hitam 2 inch")</f>
        <v>Plakband Hitam 2 inch</v>
      </c>
      <c r="C3014" s="2" t="str">
        <f>IFERROR(__xludf.DUMMYFUNCTION("""COMPUTED_VALUE"""),"T-80376-00")</f>
        <v>T-80376-00</v>
      </c>
    </row>
    <row r="3015">
      <c r="A3015" s="2" t="str">
        <f>IFERROR(__xludf.DUMMYFUNCTION("""COMPUTED_VALUE"""),"T-80386-00")</f>
        <v>T-80386-00</v>
      </c>
      <c r="B3015" s="2" t="str">
        <f>IFERROR(__xludf.DUMMYFUNCTION("""COMPUTED_VALUE"""),"Post-It 3M Sign Here")</f>
        <v>Post-It 3M Sign Here</v>
      </c>
      <c r="C3015" s="2" t="str">
        <f>IFERROR(__xludf.DUMMYFUNCTION("""COMPUTED_VALUE"""),"T-80386-00")</f>
        <v>T-80386-00</v>
      </c>
    </row>
    <row r="3016">
      <c r="A3016" s="2" t="str">
        <f>IFERROR(__xludf.DUMMYFUNCTION("""COMPUTED_VALUE"""),"T-80387-00")</f>
        <v>T-80387-00</v>
      </c>
      <c r="B3016" s="2" t="str">
        <f>IFERROR(__xludf.DUMMYFUNCTION("""COMPUTED_VALUE"""),"Post-It 3M Yellow 653")</f>
        <v>Post-It 3M Yellow 653</v>
      </c>
      <c r="C3016" s="2" t="str">
        <f>IFERROR(__xludf.DUMMYFUNCTION("""COMPUTED_VALUE"""),"T-80387-00")</f>
        <v>T-80387-00</v>
      </c>
    </row>
    <row r="3017">
      <c r="A3017" s="2" t="str">
        <f>IFERROR(__xludf.DUMMYFUNCTION("""COMPUTED_VALUE"""),"T-80391-00")</f>
        <v>T-80391-00</v>
      </c>
      <c r="B3017" s="2" t="str">
        <f>IFERROR(__xludf.DUMMYFUNCTION("""COMPUTED_VALUE"""),"Post-It Kecil PRONTO warna warni")</f>
        <v>Post-It Kecil PRONTO warna warni</v>
      </c>
      <c r="C3017" s="2" t="str">
        <f>IFERROR(__xludf.DUMMYFUNCTION("""COMPUTED_VALUE"""),"T-80391-00")</f>
        <v>T-80391-00</v>
      </c>
    </row>
    <row r="3018">
      <c r="A3018" s="2" t="str">
        <f>IFERROR(__xludf.DUMMYFUNCTION("""COMPUTED_VALUE"""),"T-80394-00")</f>
        <v>T-80394-00</v>
      </c>
      <c r="B3018" s="2" t="str">
        <f>IFERROR(__xludf.DUMMYFUNCTION("""COMPUTED_VALUE"""),"PVC Pocket BANTEX 2040/A4 - Clear")</f>
        <v>PVC Pocket BANTEX 2040/A4 - Clear</v>
      </c>
      <c r="C3018" s="2" t="str">
        <f>IFERROR(__xludf.DUMMYFUNCTION("""COMPUTED_VALUE"""),"T-80394-00")</f>
        <v>T-80394-00</v>
      </c>
    </row>
    <row r="3019">
      <c r="A3019" s="2" t="str">
        <f>IFERROR(__xludf.DUMMYFUNCTION("""COMPUTED_VALUE"""),"T-80429-00")</f>
        <v>T-80429-00</v>
      </c>
      <c r="B3019" s="2" t="str">
        <f>IFERROR(__xludf.DUMMYFUNCTION("""COMPUTED_VALUE"""),"Spidol Permanent Biru")</f>
        <v>Spidol Permanent Biru</v>
      </c>
      <c r="C3019" s="2" t="str">
        <f>IFERROR(__xludf.DUMMYFUNCTION("""COMPUTED_VALUE"""),"T-80429-00")</f>
        <v>T-80429-00</v>
      </c>
    </row>
    <row r="3020">
      <c r="A3020" s="2" t="str">
        <f>IFERROR(__xludf.DUMMYFUNCTION("""COMPUTED_VALUE"""),"T-80458-00")</f>
        <v>T-80458-00</v>
      </c>
      <c r="B3020" s="2" t="str">
        <f>IFERROR(__xludf.DUMMYFUNCTION("""COMPUTED_VALUE"""),"Stapler MAX HD - 50/50R")</f>
        <v>Stapler MAX HD - 50/50R</v>
      </c>
      <c r="C3020" s="2" t="str">
        <f>IFERROR(__xludf.DUMMYFUNCTION("""COMPUTED_VALUE"""),"T-80458-00")</f>
        <v>T-80458-00</v>
      </c>
    </row>
    <row r="3021">
      <c r="A3021" s="2" t="str">
        <f>IFERROR(__xludf.DUMMYFUNCTION("""COMPUTED_VALUE"""),"T-80635-00")</f>
        <v>T-80635-00</v>
      </c>
      <c r="B3021" s="2" t="str">
        <f>IFERROR(__xludf.DUMMYFUNCTION("""COMPUTED_VALUE"""),"Kertas HVS Putih A4 70 gram;")</f>
        <v>Kertas HVS Putih A4 70 gram;</v>
      </c>
      <c r="C3021" s="2" t="str">
        <f>IFERROR(__xludf.DUMMYFUNCTION("""COMPUTED_VALUE"""),"T-80635-00")</f>
        <v>T-80635-00</v>
      </c>
    </row>
    <row r="3022">
      <c r="A3022" s="2" t="str">
        <f>IFERROR(__xludf.DUMMYFUNCTION("""COMPUTED_VALUE"""),"T-80635-00")</f>
        <v>T-80635-00</v>
      </c>
      <c r="B3022" s="2" t="str">
        <f>IFERROR(__xludf.DUMMYFUNCTION("""COMPUTED_VALUE"""),"Kertas HVS Putih A4 70 gram;")</f>
        <v>Kertas HVS Putih A4 70 gram;</v>
      </c>
      <c r="C3022" s="2" t="str">
        <f>IFERROR(__xludf.DUMMYFUNCTION("""COMPUTED_VALUE"""),"T-80635-00")</f>
        <v>T-80635-00</v>
      </c>
    </row>
    <row r="3023">
      <c r="A3023" s="2" t="str">
        <f>IFERROR(__xludf.DUMMYFUNCTION("""COMPUTED_VALUE"""),"T-80681-00")</f>
        <v>T-80681-00</v>
      </c>
      <c r="B3023" s="2" t="str">
        <f>IFERROR(__xludf.DUMMYFUNCTION("""COMPUTED_VALUE"""),"Battery Kancing Energizer CR2032  3V Lithium; ; ;")</f>
        <v>Battery Kancing Energizer CR2032  3V Lithium; ; ;</v>
      </c>
      <c r="C3023" s="2" t="str">
        <f>IFERROR(__xludf.DUMMYFUNCTION("""COMPUTED_VALUE"""),"T-80681-00")</f>
        <v>T-80681-00</v>
      </c>
    </row>
    <row r="3024">
      <c r="A3024" s="2" t="str">
        <f>IFERROR(__xludf.DUMMYFUNCTION("""COMPUTED_VALUE"""),"T-80686-00")</f>
        <v>T-80686-00</v>
      </c>
      <c r="B3024" s="2" t="str">
        <f>IFERROR(__xludf.DUMMYFUNCTION("""COMPUTED_VALUE"""),"Spidol OHP uk. Fine (satuan) - OPF Biru; Snowman; ; Pcs")</f>
        <v>Spidol OHP uk. Fine (satuan) - OPF Biru; Snowman; ; Pcs</v>
      </c>
      <c r="C3024" s="2" t="str">
        <f>IFERROR(__xludf.DUMMYFUNCTION("""COMPUTED_VALUE"""),"T-80686-00")</f>
        <v>T-80686-00</v>
      </c>
    </row>
    <row r="3025">
      <c r="A3025" s="2" t="str">
        <f>IFERROR(__xludf.DUMMYFUNCTION("""COMPUTED_VALUE"""),"T-80708-00")</f>
        <v>T-80708-00</v>
      </c>
      <c r="B3025" s="2" t="str">
        <f>IFERROR(__xludf.DUMMYFUNCTION("""COMPUTED_VALUE"""),"Tinta HP 955 Black; HP; N9H85A;")</f>
        <v>Tinta HP 955 Black; HP; N9H85A;</v>
      </c>
      <c r="C3025" s="2" t="str">
        <f>IFERROR(__xludf.DUMMYFUNCTION("""COMPUTED_VALUE"""),"T-80708-00")</f>
        <v>T-80708-00</v>
      </c>
    </row>
    <row r="3026">
      <c r="A3026" s="2" t="str">
        <f>IFERROR(__xludf.DUMMYFUNCTION("""COMPUTED_VALUE"""),"T-80709-00")</f>
        <v>T-80709-00</v>
      </c>
      <c r="B3026" s="2" t="str">
        <f>IFERROR(__xludf.DUMMYFUNCTION("""COMPUTED_VALUE"""),"Tinta HP 955 Cyan; HP; H9H73A;")</f>
        <v>Tinta HP 955 Cyan; HP; H9H73A;</v>
      </c>
      <c r="C3026" s="2" t="str">
        <f>IFERROR(__xludf.DUMMYFUNCTION("""COMPUTED_VALUE"""),"T-80709-00")</f>
        <v>T-80709-00</v>
      </c>
    </row>
    <row r="3027">
      <c r="A3027" s="2" t="str">
        <f>IFERROR(__xludf.DUMMYFUNCTION("""COMPUTED_VALUE"""),"T-80710-00")</f>
        <v>T-80710-00</v>
      </c>
      <c r="B3027" s="2" t="str">
        <f>IFERROR(__xludf.DUMMYFUNCTION("""COMPUTED_VALUE"""),"Tinta HP 955 Magenta; HP; N9H77A;")</f>
        <v>Tinta HP 955 Magenta; HP; N9H77A;</v>
      </c>
      <c r="C3027" s="2" t="str">
        <f>IFERROR(__xludf.DUMMYFUNCTION("""COMPUTED_VALUE"""),"T-80710-00")</f>
        <v>T-80710-00</v>
      </c>
    </row>
    <row r="3028">
      <c r="A3028" s="2" t="str">
        <f>IFERROR(__xludf.DUMMYFUNCTION("""COMPUTED_VALUE"""),"T-80711-00")</f>
        <v>T-80711-00</v>
      </c>
      <c r="B3028" s="2" t="str">
        <f>IFERROR(__xludf.DUMMYFUNCTION("""COMPUTED_VALUE"""),"Tinta HP 955 Yellow; HP; N9H81A;")</f>
        <v>Tinta HP 955 Yellow; HP; N9H81A;</v>
      </c>
      <c r="C3028" s="2" t="str">
        <f>IFERROR(__xludf.DUMMYFUNCTION("""COMPUTED_VALUE"""),"T-80711-00")</f>
        <v>T-80711-00</v>
      </c>
    </row>
    <row r="3029">
      <c r="A3029" s="2" t="str">
        <f>IFERROR(__xludf.DUMMYFUNCTION("""COMPUTED_VALUE"""),"T-80731-00")</f>
        <v>T-80731-00</v>
      </c>
      <c r="B3029" s="2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29" s="2" t="str">
        <f>IFERROR(__xludf.DUMMYFUNCTION("""COMPUTED_VALUE"""),"T-80731-00")</f>
        <v>T-80731-00</v>
      </c>
    </row>
    <row r="3030">
      <c r="A3030" s="2" t="str">
        <f>IFERROR(__xludf.DUMMYFUNCTION("""COMPUTED_VALUE"""),"T-80732-00")</f>
        <v>T-80732-00</v>
      </c>
      <c r="B3030" s="2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0" s="2" t="str">
        <f>IFERROR(__xludf.DUMMYFUNCTION("""COMPUTED_VALUE"""),"T-80732-00")</f>
        <v>T-80732-00</v>
      </c>
    </row>
    <row r="3031">
      <c r="A3031" s="2" t="str">
        <f>IFERROR(__xludf.DUMMYFUNCTION("""COMPUTED_VALUE"""),"T-80794-00")</f>
        <v>T-80794-00</v>
      </c>
      <c r="B3031" s="2" t="str">
        <f>IFERROR(__xludf.DUMMYFUNCTION("""COMPUTED_VALUE"""),"Snowman Permanent Paint Marker CP-12 Warna Hitam - Merah")</f>
        <v>Snowman Permanent Paint Marker CP-12 Warna Hitam - Merah</v>
      </c>
      <c r="C3031" s="2" t="str">
        <f>IFERROR(__xludf.DUMMYFUNCTION("""COMPUTED_VALUE"""),"T-80794-00")</f>
        <v>T-80794-00</v>
      </c>
    </row>
    <row r="3032">
      <c r="A3032" s="2" t="str">
        <f>IFERROR(__xludf.DUMMYFUNCTION("""COMPUTED_VALUE"""),"T-80965-00")</f>
        <v>T-80965-00</v>
      </c>
      <c r="B3032" s="2" t="str">
        <f>IFERROR(__xludf.DUMMYFUNCTION("""COMPUTED_VALUE"""),"Epson Tinta 003 black for Epson L3110; Epson; ; pc")</f>
        <v>Epson Tinta 003 black for Epson L3110; Epson; ; pc</v>
      </c>
      <c r="C3032" s="2" t="str">
        <f>IFERROR(__xludf.DUMMYFUNCTION("""COMPUTED_VALUE"""),"T-80965-00")</f>
        <v>T-80965-00</v>
      </c>
    </row>
    <row r="3033">
      <c r="A3033" s="2" t="str">
        <f>IFERROR(__xludf.DUMMYFUNCTION("""COMPUTED_VALUE"""),"T-81109-00")</f>
        <v>T-81109-00</v>
      </c>
      <c r="B3033" s="2" t="str">
        <f>IFERROR(__xludf.DUMMYFUNCTION("""COMPUTED_VALUE"""),"Epson Tinta 003 Blue for Epson; Epson; ; pieces")</f>
        <v>Epson Tinta 003 Blue for Epson; Epson; ; pieces</v>
      </c>
      <c r="C3033" s="2" t="str">
        <f>IFERROR(__xludf.DUMMYFUNCTION("""COMPUTED_VALUE"""),"T-81109-00")</f>
        <v>T-81109-00</v>
      </c>
    </row>
    <row r="3034">
      <c r="A3034" s="2" t="str">
        <f>IFERROR(__xludf.DUMMYFUNCTION("""COMPUTED_VALUE"""),"T-81111-00")</f>
        <v>T-81111-00</v>
      </c>
      <c r="B3034" s="2" t="str">
        <f>IFERROR(__xludf.DUMMYFUNCTION("""COMPUTED_VALUE"""),"Epson Tinta 003 Magenta for Epson L3110; Epson; ;")</f>
        <v>Epson Tinta 003 Magenta for Epson L3110; Epson; ;</v>
      </c>
      <c r="C3034" s="2" t="str">
        <f>IFERROR(__xludf.DUMMYFUNCTION("""COMPUTED_VALUE"""),"T-81111-00")</f>
        <v>T-81111-00</v>
      </c>
    </row>
    <row r="3035">
      <c r="A3035" s="2" t="str">
        <f>IFERROR(__xludf.DUMMYFUNCTION("""COMPUTED_VALUE"""),"T-81150-00")</f>
        <v>T-81150-00</v>
      </c>
      <c r="B3035" s="2" t="str">
        <f>IFERROR(__xludf.DUMMYFUNCTION("""COMPUTED_VALUE"""),"Joyko Permanent Marker dual TIP PM 32 Warna Biru - Merah")</f>
        <v>Joyko Permanent Marker dual TIP PM 32 Warna Biru - Merah</v>
      </c>
      <c r="C3035" s="2" t="str">
        <f>IFERROR(__xludf.DUMMYFUNCTION("""COMPUTED_VALUE"""),"T-81150-00")</f>
        <v>T-81150-00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IFERROR(__xludf.DUMMYFUNCTION("importrange(""1xC-uAlt1jPkVMJk3mS5BBJv2KXQQM32TIOguKnEzvGo"",""Inventory Tarikan Oracle!A:E"")"),"Item")</f>
        <v>Item</v>
      </c>
      <c r="B1" s="2" t="str">
        <f>IFERROR(__xludf.DUMMYFUNCTION("""COMPUTED_VALUE"""),"Item Description")</f>
        <v>Item Description</v>
      </c>
      <c r="C1" s="2" t="str">
        <f>IFERROR(__xludf.DUMMYFUNCTION("""COMPUTED_VALUE"""),"Primary UOM")</f>
        <v>Primary UOM</v>
      </c>
      <c r="D1" s="2" t="str">
        <f>IFERROR(__xludf.DUMMYFUNCTION("""COMPUTED_VALUE"""),"On-hand")</f>
        <v>On-hand</v>
      </c>
      <c r="E1" s="2" t="str">
        <f>IFERROR(__xludf.DUMMYFUNCTION("""COMPUTED_VALUE"""),"Lokator")</f>
        <v>Lokator</v>
      </c>
    </row>
    <row r="2">
      <c r="A2" s="2" t="str">
        <f>IFERROR(__xludf.DUMMYFUNCTION("""COMPUTED_VALUE"""),"O-19039-00")</f>
        <v>O-19039-00</v>
      </c>
      <c r="B2" s="2" t="str">
        <f>IFERROR(__xludf.DUMMYFUNCTION("""COMPUTED_VALUE"""),"General - Vent Filter Feed Water Tank KP 1 Emflon II Capsule 0.2 m; Pall; KA1V002PV3; 1 Pc")</f>
        <v>General - Vent Filter Feed Water Tank KP 1 Emflon II Capsule 0.2 m; Pall; KA1V002PV3; 1 Pc</v>
      </c>
      <c r="C2" s="2" t="str">
        <f>IFERROR(__xludf.DUMMYFUNCTION("""COMPUTED_VALUE"""),"pc")</f>
        <v>pc</v>
      </c>
      <c r="D2" s="2">
        <f>IFERROR(__xludf.DUMMYFUNCTION("""COMPUTED_VALUE"""),3.0)</f>
        <v>3</v>
      </c>
      <c r="E2" s="2" t="str">
        <f>IFERROR(__xludf.DUMMYFUNCTION("""COMPUTED_VALUE"""),"E-3")</f>
        <v>E-3</v>
      </c>
    </row>
    <row r="3">
      <c r="A3" s="2" t="str">
        <f>IFERROR(__xludf.DUMMYFUNCTION("""COMPUTED_VALUE"""),"O-14639-00")</f>
        <v>O-14639-00</v>
      </c>
      <c r="B3" s="2" t="str">
        <f>IFERROR(__xludf.DUMMYFUNCTION("""COMPUTED_VALUE"""),"General - EPDM Gasket for Ferrule dia. 1/2""; -; -; 1 pc")</f>
        <v>General - EPDM Gasket for Ferrule dia. 1/2"; -; -; 1 pc</v>
      </c>
      <c r="C3" s="2" t="str">
        <f>IFERROR(__xludf.DUMMYFUNCTION("""COMPUTED_VALUE"""),"pc")</f>
        <v>pc</v>
      </c>
      <c r="D3" s="2">
        <f>IFERROR(__xludf.DUMMYFUNCTION("""COMPUTED_VALUE"""),16.0)</f>
        <v>16</v>
      </c>
      <c r="E3" s="2" t="str">
        <f>IFERROR(__xludf.DUMMYFUNCTION("""COMPUTED_VALUE"""),"M-2")</f>
        <v>M-2</v>
      </c>
    </row>
    <row r="4">
      <c r="A4" s="2" t="str">
        <f>IFERROR(__xludf.DUMMYFUNCTION("""COMPUTED_VALUE"""),"O-14642-00")</f>
        <v>O-14642-00</v>
      </c>
      <c r="B4" s="2" t="str">
        <f>IFERROR(__xludf.DUMMYFUNCTION("""COMPUTED_VALUE"""),"General - Silicone Gasket for Ferrule dia. 2,5""; -; -; 1 Pc")</f>
        <v>General - Silicone Gasket for Ferrule dia. 2,5"; -; -; 1 Pc</v>
      </c>
      <c r="C4" s="2" t="str">
        <f>IFERROR(__xludf.DUMMYFUNCTION("""COMPUTED_VALUE"""),"pc")</f>
        <v>pc</v>
      </c>
      <c r="D4" s="2">
        <f>IFERROR(__xludf.DUMMYFUNCTION("""COMPUTED_VALUE"""),6.0)</f>
        <v>6</v>
      </c>
      <c r="E4" s="2" t="str">
        <f>IFERROR(__xludf.DUMMYFUNCTION("""COMPUTED_VALUE"""),"M3")</f>
        <v>M3</v>
      </c>
    </row>
    <row r="5">
      <c r="A5" s="2" t="str">
        <f>IFERROR(__xludf.DUMMYFUNCTION("""COMPUTED_VALUE"""),"O-14644-00")</f>
        <v>O-14644-00</v>
      </c>
      <c r="B5" s="2" t="str">
        <f>IFERROR(__xludf.DUMMYFUNCTION("""COMPUTED_VALUE"""),"General - Silicone Gasket for Ferrule dia. 4""; -; -; 1 Pc")</f>
        <v>General - Silicone Gasket for Ferrule dia. 4"; -; -; 1 Pc</v>
      </c>
      <c r="C5" s="2" t="str">
        <f>IFERROR(__xludf.DUMMYFUNCTION("""COMPUTED_VALUE"""),"pc")</f>
        <v>pc</v>
      </c>
      <c r="D5" s="2">
        <f>IFERROR(__xludf.DUMMYFUNCTION("""COMPUTED_VALUE"""),8.0)</f>
        <v>8</v>
      </c>
      <c r="E5" s="2" t="str">
        <f>IFERROR(__xludf.DUMMYFUNCTION("""COMPUTED_VALUE"""),"M3")</f>
        <v>M3</v>
      </c>
    </row>
    <row r="6">
      <c r="A6" s="2" t="str">
        <f>IFERROR(__xludf.DUMMYFUNCTION("""COMPUTED_VALUE"""),"O-11173-00")</f>
        <v>O-11173-00</v>
      </c>
      <c r="B6" s="2" t="str">
        <f>IFERROR(__xludf.DUMMYFUNCTION("""COMPUTED_VALUE"""),"General - Bearing 6208; SKF; -; 1 pcs")</f>
        <v>General - Bearing 6208; SKF; -; 1 pcs</v>
      </c>
      <c r="C6" s="2" t="str">
        <f>IFERROR(__xludf.DUMMYFUNCTION("""COMPUTED_VALUE"""),"pc")</f>
        <v>pc</v>
      </c>
      <c r="D6" s="2">
        <f>IFERROR(__xludf.DUMMYFUNCTION("""COMPUTED_VALUE"""),8.0)</f>
        <v>8</v>
      </c>
      <c r="E6" s="2" t="str">
        <f>IFERROR(__xludf.DUMMYFUNCTION("""COMPUTED_VALUE"""),"G-2")</f>
        <v>G-2</v>
      </c>
    </row>
    <row r="7">
      <c r="A7" s="2" t="str">
        <f>IFERROR(__xludf.DUMMYFUNCTION("""COMPUTED_VALUE"""),"O-18694-00")</f>
        <v>O-18694-00</v>
      </c>
      <c r="B7" s="2" t="str">
        <f>IFERROR(__xludf.DUMMYFUNCTION("""COMPUTED_VALUE"""),"Autoclave Fedegari FVA2/A1 NB2963AT - DN22 Blind CAP P/N: PM102748; ; ;")</f>
        <v>Autoclave Fedegari FVA2/A1 NB2963AT - DN22 Blind CAP P/N: PM102748; ; ;</v>
      </c>
      <c r="C7" s="2" t="str">
        <f>IFERROR(__xludf.DUMMYFUNCTION("""COMPUTED_VALUE"""),"pc")</f>
        <v>pc</v>
      </c>
      <c r="D7" s="2">
        <f>IFERROR(__xludf.DUMMYFUNCTION("""COMPUTED_VALUE"""),2.0)</f>
        <v>2</v>
      </c>
      <c r="E7" s="2" t="str">
        <f>IFERROR(__xludf.DUMMYFUNCTION("""COMPUTED_VALUE"""),"E-3-5")</f>
        <v>E-3-5</v>
      </c>
    </row>
    <row r="8">
      <c r="A8" s="2" t="str">
        <f>IFERROR(__xludf.DUMMYFUNCTION("""COMPUTED_VALUE"""),"O-17073-00")</f>
        <v>O-17073-00</v>
      </c>
      <c r="B8" s="2" t="str">
        <f>IFERROR(__xludf.DUMMYFUNCTION("""COMPUTED_VALUE"""),"Capping VCM210 - Plate Capping; Custom/Lokal; -; 1 Pc")</f>
        <v>Capping VCM210 - Plate Capping; Custom/Lokal; -; 1 Pc</v>
      </c>
      <c r="C8" s="2" t="str">
        <f>IFERROR(__xludf.DUMMYFUNCTION("""COMPUTED_VALUE"""),"pc")</f>
        <v>pc</v>
      </c>
      <c r="D8" s="2">
        <f>IFERROR(__xludf.DUMMYFUNCTION("""COMPUTED_VALUE"""),2.0)</f>
        <v>2</v>
      </c>
      <c r="E8" s="2" t="str">
        <f>IFERROR(__xludf.DUMMYFUNCTION("""COMPUTED_VALUE"""),"A-1-7")</f>
        <v>A-1-7</v>
      </c>
    </row>
    <row r="9">
      <c r="A9" s="2" t="str">
        <f>IFERROR(__xludf.DUMMYFUNCTION("""COMPUTED_VALUE"""),"P-13368-00")</f>
        <v>P-13368-00</v>
      </c>
      <c r="B9" s="2" t="str">
        <f>IFERROR(__xludf.DUMMYFUNCTION("""COMPUTED_VALUE"""),"PS300X Air Flow Switch; Regin Control; ;")</f>
        <v>PS300X Air Flow Switch; Regin Control; ;</v>
      </c>
      <c r="C9" s="2" t="str">
        <f>IFERROR(__xludf.DUMMYFUNCTION("""COMPUTED_VALUE"""),"unt")</f>
        <v>unt</v>
      </c>
      <c r="D9" s="2">
        <f>IFERROR(__xludf.DUMMYFUNCTION("""COMPUTED_VALUE"""),1.0)</f>
        <v>1</v>
      </c>
      <c r="E9" s="2" t="str">
        <f>IFERROR(__xludf.DUMMYFUNCTION("""COMPUTED_VALUE"""),"L3")</f>
        <v>L3</v>
      </c>
    </row>
    <row r="10">
      <c r="A10" s="2" t="str">
        <f>IFERROR(__xludf.DUMMYFUNCTION("""COMPUTED_VALUE"""),"O-18447-00")</f>
        <v>O-18447-00</v>
      </c>
      <c r="B10" s="2" t="str">
        <f>IFERROR(__xludf.DUMMYFUNCTION("""COMPUTED_VALUE"""),"General - Silicone Guide Outfeed; Custom/Lokal; -; 1 Pc")</f>
        <v>General - Silicone Guide Outfeed; Custom/Lokal; -; 1 Pc</v>
      </c>
      <c r="C10" s="2" t="str">
        <f>IFERROR(__xludf.DUMMYFUNCTION("""COMPUTED_VALUE"""),"pc")</f>
        <v>pc</v>
      </c>
      <c r="D10" s="2">
        <f>IFERROR(__xludf.DUMMYFUNCTION("""COMPUTED_VALUE"""),1.0)</f>
        <v>1</v>
      </c>
      <c r="E10" s="2"/>
    </row>
    <row r="11">
      <c r="A11" s="2" t="str">
        <f>IFERROR(__xludf.DUMMYFUNCTION("""COMPUTED_VALUE"""),"O-52702-00")</f>
        <v>O-52702-00</v>
      </c>
      <c r="B11" s="2" t="str">
        <f>IFERROR(__xludf.DUMMYFUNCTION("""COMPUTED_VALUE"""),"Autoclave Machine - AQUATEC PUMP 8883-2L01-X704 230-50; Fedegari; CF030259; 1 Pc")</f>
        <v>Autoclave Machine - AQUATEC PUMP 8883-2L01-X704 230-50; Fedegari; CF030259; 1 Pc</v>
      </c>
      <c r="C11" s="2" t="str">
        <f>IFERROR(__xludf.DUMMYFUNCTION("""COMPUTED_VALUE"""),"pc")</f>
        <v>pc</v>
      </c>
      <c r="D11" s="2">
        <f>IFERROR(__xludf.DUMMYFUNCTION("""COMPUTED_VALUE"""),1.0)</f>
        <v>1</v>
      </c>
      <c r="E11" s="2" t="str">
        <f>IFERROR(__xludf.DUMMYFUNCTION("""COMPUTED_VALUE"""),"E-3-7")</f>
        <v>E-3-7</v>
      </c>
    </row>
    <row r="12">
      <c r="A12" s="2" t="str">
        <f>IFERROR(__xludf.DUMMYFUNCTION("""COMPUTED_VALUE"""),"O-15490-00")</f>
        <v>O-15490-00</v>
      </c>
      <c r="B12" s="2" t="str">
        <f>IFERROR(__xludf.DUMMYFUNCTION("""COMPUTED_VALUE"""),"B63 Brand : Optibelt / Bando Merah; Optibelt; ;")</f>
        <v>B63 Brand : Optibelt / Bando Merah; Optibelt; ;</v>
      </c>
      <c r="C12" s="2" t="str">
        <f>IFERROR(__xludf.DUMMYFUNCTION("""COMPUTED_VALUE"""),"pc")</f>
        <v>pc</v>
      </c>
      <c r="D12" s="2">
        <f>IFERROR(__xludf.DUMMYFUNCTION("""COMPUTED_VALUE"""),4.0)</f>
        <v>4</v>
      </c>
      <c r="E12" s="2" t="str">
        <f>IFERROR(__xludf.DUMMYFUNCTION("""COMPUTED_VALUE"""),"L2")</f>
        <v>L2</v>
      </c>
    </row>
    <row r="13">
      <c r="A13" s="2" t="str">
        <f>IFERROR(__xludf.DUMMYFUNCTION("""COMPUTED_VALUE"""),"P-15351-00")</f>
        <v>P-15351-00</v>
      </c>
      <c r="B13" s="2" t="str">
        <f>IFERROR(__xludf.DUMMYFUNCTION("""COMPUTED_VALUE"""),"General - Plastic Tubing, PUN-10X1,5-BL; Festo; 159668; 1 m")</f>
        <v>General - Plastic Tubing, PUN-10X1,5-BL; Festo; 159668; 1 m</v>
      </c>
      <c r="C13" s="2" t="str">
        <f>IFERROR(__xludf.DUMMYFUNCTION("""COMPUTED_VALUE"""),"pc")</f>
        <v>pc</v>
      </c>
      <c r="D13" s="2">
        <f>IFERROR(__xludf.DUMMYFUNCTION("""COMPUTED_VALUE"""),44.0)</f>
        <v>44</v>
      </c>
      <c r="E13" s="2" t="str">
        <f>IFERROR(__xludf.DUMMYFUNCTION("""COMPUTED_VALUE"""),"Atas Flammable")</f>
        <v>Atas Flammable</v>
      </c>
    </row>
    <row r="14">
      <c r="A14" s="2" t="str">
        <f>IFERROR(__xludf.DUMMYFUNCTION("""COMPUTED_VALUE"""),"Q-60006-00")</f>
        <v>Q-60006-00</v>
      </c>
      <c r="B14" s="2" t="str">
        <f>IFERROR(__xludf.DUMMYFUNCTION("""COMPUTED_VALUE"""),"Dempul Kayu;Sanpolac;;pack size per 1 kg pack")</f>
        <v>Dempul Kayu;Sanpolac;;pack size per 1 kg pack</v>
      </c>
      <c r="C14" s="2" t="str">
        <f>IFERROR(__xludf.DUMMYFUNCTION("""COMPUTED_VALUE"""),"Kg")</f>
        <v>Kg</v>
      </c>
      <c r="D14" s="2">
        <f>IFERROR(__xludf.DUMMYFUNCTION("""COMPUTED_VALUE"""),2.0)</f>
        <v>2</v>
      </c>
      <c r="E14" s="2" t="str">
        <f>IFERROR(__xludf.DUMMYFUNCTION("""COMPUTED_VALUE"""),"Flammable")</f>
        <v>Flammable</v>
      </c>
    </row>
    <row r="15">
      <c r="A15" s="2" t="str">
        <f>IFERROR(__xludf.DUMMYFUNCTION("""COMPUTED_VALUE"""),"P-17260-00")</f>
        <v>P-17260-00</v>
      </c>
      <c r="B15" s="2" t="str">
        <f>IFERROR(__xludf.DUMMYFUNCTION("""COMPUTED_VALUE"""),"General - Oil seal G. size. 14 x 20 x 3 mm; No Brand; -; 1 pc")</f>
        <v>General - Oil seal G. size. 14 x 20 x 3 mm; No Brand; -; 1 pc</v>
      </c>
      <c r="C15" s="2" t="str">
        <f>IFERROR(__xludf.DUMMYFUNCTION("""COMPUTED_VALUE"""),"pc")</f>
        <v>pc</v>
      </c>
      <c r="D15" s="2">
        <f>IFERROR(__xludf.DUMMYFUNCTION("""COMPUTED_VALUE"""),5.0)</f>
        <v>5</v>
      </c>
      <c r="E15" s="2" t="str">
        <f>IFERROR(__xludf.DUMMYFUNCTION("""COMPUTED_VALUE"""),"E-3-1C")</f>
        <v>E-3-1C</v>
      </c>
    </row>
    <row r="16">
      <c r="A16" s="2" t="str">
        <f>IFERROR(__xludf.DUMMYFUNCTION("""COMPUTED_VALUE"""),"O-19379-00")</f>
        <v>O-19379-00</v>
      </c>
      <c r="B16" s="2" t="str">
        <f>IFERROR(__xludf.DUMMYFUNCTION("""COMPUTED_VALUE"""),"General - Oli Refrigeration; Xaerus; XR 534-46; 1 Pc")</f>
        <v>General - Oli Refrigeration; Xaerus; XR 534-46; 1 Pc</v>
      </c>
      <c r="C16" s="2" t="str">
        <f>IFERROR(__xludf.DUMMYFUNCTION("""COMPUTED_VALUE"""),"Can")</f>
        <v>Can</v>
      </c>
      <c r="D16" s="2">
        <f>IFERROR(__xludf.DUMMYFUNCTION("""COMPUTED_VALUE"""),10.0)</f>
        <v>10</v>
      </c>
      <c r="E16" s="2" t="str">
        <f>IFERROR(__xludf.DUMMYFUNCTION("""COMPUTED_VALUE"""),"D-4-1")</f>
        <v>D-4-1</v>
      </c>
    </row>
    <row r="17">
      <c r="A17" s="2" t="str">
        <f>IFERROR(__xludf.DUMMYFUNCTION("""COMPUTED_VALUE"""),"O-18560-00")</f>
        <v>O-18560-00</v>
      </c>
      <c r="B17" s="2" t="str">
        <f>IFERROR(__xludf.DUMMYFUNCTION("""COMPUTED_VALUE"""),"FD Lyofast 10 - hydraulically Balanced Valve (EB02-00595); Dana; M8596N002; 1 pc")</f>
        <v>FD Lyofast 10 - hydraulically Balanced Valve (EB02-00595); Dana; M8596N002; 1 pc</v>
      </c>
      <c r="C17" s="2" t="str">
        <f>IFERROR(__xludf.DUMMYFUNCTION("""COMPUTED_VALUE"""),"pc")</f>
        <v>pc</v>
      </c>
      <c r="D17" s="2">
        <f>IFERROR(__xludf.DUMMYFUNCTION("""COMPUTED_VALUE"""),1.0)</f>
        <v>1</v>
      </c>
      <c r="E17" s="2" t="str">
        <f>IFERROR(__xludf.DUMMYFUNCTION("""COMPUTED_VALUE"""),"D-2")</f>
        <v>D-2</v>
      </c>
    </row>
    <row r="18">
      <c r="A18" s="2" t="str">
        <f>IFERROR(__xludf.DUMMYFUNCTION("""COMPUTED_VALUE"""),"O-21430-00")</f>
        <v>O-21430-00</v>
      </c>
      <c r="B18" s="2" t="str">
        <f>IFERROR(__xludf.DUMMYFUNCTION("""COMPUTED_VALUE"""),"Blister TR100LT - Teflon Forming 568 ukuran 11.5x19; Custom/Lokal; ; 1 Pc")</f>
        <v>Blister TR100LT - Teflon Forming 568 ukuran 11.5x19; Custom/Lokal; ; 1 Pc</v>
      </c>
      <c r="C18" s="2" t="str">
        <f>IFERROR(__xludf.DUMMYFUNCTION("""COMPUTED_VALUE"""),"pc")</f>
        <v>pc</v>
      </c>
      <c r="D18" s="2">
        <f>IFERROR(__xludf.DUMMYFUNCTION("""COMPUTED_VALUE"""),30.0)</f>
        <v>30</v>
      </c>
      <c r="E18" s="2" t="str">
        <f>IFERROR(__xludf.DUMMYFUNCTION("""COMPUTED_VALUE"""),"-")</f>
        <v>-</v>
      </c>
    </row>
    <row r="19">
      <c r="A19" s="2" t="str">
        <f>IFERROR(__xludf.DUMMYFUNCTION("""COMPUTED_VALUE"""),"O-14510-00")</f>
        <v>O-14510-00</v>
      </c>
      <c r="B19" s="2" t="str">
        <f>IFERROR(__xludf.DUMMYFUNCTION("""COMPUTED_VALUE"""),"General - Flow Control With Fitting, AS2201F-02-08SA; SMC Pneumatics; -; 1 pcs")</f>
        <v>General - Flow Control With Fitting, AS2201F-02-08SA; SMC Pneumatics; -; 1 pcs</v>
      </c>
      <c r="C19" s="2" t="str">
        <f>IFERROR(__xludf.DUMMYFUNCTION("""COMPUTED_VALUE"""),"pc")</f>
        <v>pc</v>
      </c>
      <c r="D19" s="2">
        <f>IFERROR(__xludf.DUMMYFUNCTION("""COMPUTED_VALUE"""),4.0)</f>
        <v>4</v>
      </c>
      <c r="E19" s="2" t="str">
        <f>IFERROR(__xludf.DUMMYFUNCTION("""COMPUTED_VALUE"""),"E-4-1C")</f>
        <v>E-4-1C</v>
      </c>
    </row>
    <row r="20">
      <c r="A20" s="2" t="str">
        <f>IFERROR(__xludf.DUMMYFUNCTION("""COMPUTED_VALUE"""),"O-17313-00")</f>
        <v>O-17313-00</v>
      </c>
      <c r="B20" s="2" t="str">
        <f>IFERROR(__xludf.DUMMYFUNCTION("""COMPUTED_VALUE"""),"General - Breathing Circuit Filter; PALL; BB50T; 1 Pc")</f>
        <v>General - Breathing Circuit Filter; PALL; BB50T; 1 Pc</v>
      </c>
      <c r="C20" s="2" t="str">
        <f>IFERROR(__xludf.DUMMYFUNCTION("""COMPUTED_VALUE"""),"pc")</f>
        <v>pc</v>
      </c>
      <c r="D20" s="2">
        <f>IFERROR(__xludf.DUMMYFUNCTION("""COMPUTED_VALUE"""),38.0)</f>
        <v>38</v>
      </c>
      <c r="E20" s="2" t="str">
        <f>IFERROR(__xludf.DUMMYFUNCTION("""COMPUTED_VALUE"""),"F2")</f>
        <v>F2</v>
      </c>
    </row>
    <row r="21">
      <c r="A21" s="2" t="str">
        <f>IFERROR(__xludf.DUMMYFUNCTION("""COMPUTED_VALUE"""),"P-17360-00")</f>
        <v>P-17360-00</v>
      </c>
      <c r="B21" s="2" t="str">
        <f>IFERROR(__xludf.DUMMYFUNCTION("""COMPUTED_VALUE"""),"General - O-ring EPDM 22.5 x 15.5 x 3.5 mm; No Brand; -; 1 pc")</f>
        <v>General - O-ring EPDM 22.5 x 15.5 x 3.5 mm; No Brand; -; 1 pc</v>
      </c>
      <c r="C21" s="2" t="str">
        <f>IFERROR(__xludf.DUMMYFUNCTION("""COMPUTED_VALUE"""),"pc")</f>
        <v>pc</v>
      </c>
      <c r="D21" s="2">
        <f>IFERROR(__xludf.DUMMYFUNCTION("""COMPUTED_VALUE"""),4.0)</f>
        <v>4</v>
      </c>
      <c r="E21" s="2" t="str">
        <f>IFERROR(__xludf.DUMMYFUNCTION("""COMPUTED_VALUE"""),"E-3-5")</f>
        <v>E-3-5</v>
      </c>
    </row>
    <row r="22">
      <c r="A22" s="2" t="str">
        <f>IFERROR(__xludf.DUMMYFUNCTION("""COMPUTED_VALUE"""),"P-12083-00")</f>
        <v>P-12083-00</v>
      </c>
      <c r="B22" s="2" t="str">
        <f>IFERROR(__xludf.DUMMYFUNCTION("""COMPUTED_VALUE"""),"General - Clamp Selang, SS, 1/2""; Tridon; -; 1 pcs")</f>
        <v>General - Clamp Selang, SS, 1/2"; Tridon; -; 1 pcs</v>
      </c>
      <c r="C22" s="2" t="str">
        <f>IFERROR(__xludf.DUMMYFUNCTION("""COMPUTED_VALUE"""),"pc")</f>
        <v>pc</v>
      </c>
      <c r="D22" s="2">
        <f>IFERROR(__xludf.DUMMYFUNCTION("""COMPUTED_VALUE"""),3.0)</f>
        <v>3</v>
      </c>
      <c r="E22" s="2"/>
    </row>
    <row r="23">
      <c r="A23" s="2" t="str">
        <f>IFERROR(__xludf.DUMMYFUNCTION("""COMPUTED_VALUE"""),"P-18470-00")</f>
        <v>P-18470-00</v>
      </c>
      <c r="B23" s="2" t="str">
        <f>IFERROR(__xludf.DUMMYFUNCTION("""COMPUTED_VALUE"""),"General - HXNHFFLT-SUS-M5-10; Misumi; -; 1 Pc")</f>
        <v>General - HXNHFFLT-SUS-M5-10; Misumi; -; 1 Pc</v>
      </c>
      <c r="C23" s="2" t="str">
        <f>IFERROR(__xludf.DUMMYFUNCTION("""COMPUTED_VALUE"""),"pc")</f>
        <v>pc</v>
      </c>
      <c r="D23" s="2">
        <f>IFERROR(__xludf.DUMMYFUNCTION("""COMPUTED_VALUE"""),22.0)</f>
        <v>22</v>
      </c>
      <c r="E23" s="2" t="str">
        <f>IFERROR(__xludf.DUMMYFUNCTION("""COMPUTED_VALUE"""),"B-2-1B")</f>
        <v>B-2-1B</v>
      </c>
    </row>
    <row r="24">
      <c r="A24" s="2" t="str">
        <f>IFERROR(__xludf.DUMMYFUNCTION("""COMPUTED_VALUE"""),"O-51850-00")</f>
        <v>O-51850-00</v>
      </c>
      <c r="B24" s="2" t="str">
        <f>IFERROR(__xludf.DUMMYFUNCTION("""COMPUTED_VALUE"""),"General - Power Supply 220 VAC 12 VDC, 3 Ampere; -; -; 1 Pc")</f>
        <v>General - Power Supply 220 VAC 12 VDC, 3 Ampere; -; -; 1 Pc</v>
      </c>
      <c r="C24" s="2" t="str">
        <f>IFERROR(__xludf.DUMMYFUNCTION("""COMPUTED_VALUE"""),"pc")</f>
        <v>pc</v>
      </c>
      <c r="D24" s="2">
        <f>IFERROR(__xludf.DUMMYFUNCTION("""COMPUTED_VALUE"""),3.0)</f>
        <v>3</v>
      </c>
      <c r="E24" s="2" t="str">
        <f>IFERROR(__xludf.DUMMYFUNCTION("""COMPUTED_VALUE"""),"L3")</f>
        <v>L3</v>
      </c>
    </row>
    <row r="25">
      <c r="A25" s="2" t="str">
        <f>IFERROR(__xludf.DUMMYFUNCTION("""COMPUTED_VALUE"""),"P-51812-00")</f>
        <v>P-51812-00</v>
      </c>
      <c r="B25" s="2" t="str">
        <f>IFERROR(__xludf.DUMMYFUNCTION("""COMPUTED_VALUE"""),"Indoor Sirene; ; ;")</f>
        <v>Indoor Sirene; ; ;</v>
      </c>
      <c r="C25" s="2" t="str">
        <f>IFERROR(__xludf.DUMMYFUNCTION("""COMPUTED_VALUE"""),"unt")</f>
        <v>unt</v>
      </c>
      <c r="D25" s="2">
        <f>IFERROR(__xludf.DUMMYFUNCTION("""COMPUTED_VALUE"""),1.0)</f>
        <v>1</v>
      </c>
      <c r="E25" s="2" t="str">
        <f>IFERROR(__xludf.DUMMYFUNCTION("""COMPUTED_VALUE"""),"F-2-3A")</f>
        <v>F-2-3A</v>
      </c>
    </row>
    <row r="26">
      <c r="A26" s="2" t="str">
        <f>IFERROR(__xludf.DUMMYFUNCTION("""COMPUTED_VALUE"""),"P-19569-00")</f>
        <v>P-19569-00</v>
      </c>
      <c r="B26" s="2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26" s="2" t="str">
        <f>IFERROR(__xludf.DUMMYFUNCTION("""COMPUTED_VALUE"""),"pc")</f>
        <v>pc</v>
      </c>
      <c r="D26" s="2">
        <f>IFERROR(__xludf.DUMMYFUNCTION("""COMPUTED_VALUE"""),2.0)</f>
        <v>2</v>
      </c>
      <c r="E26" s="2" t="str">
        <f>IFERROR(__xludf.DUMMYFUNCTION("""COMPUTED_VALUE"""),"L-4")</f>
        <v>L-4</v>
      </c>
    </row>
    <row r="27">
      <c r="A27" s="2" t="str">
        <f>IFERROR(__xludf.DUMMYFUNCTION("""COMPUTED_VALUE"""),"P-18279-00")</f>
        <v>P-18279-00</v>
      </c>
      <c r="B27" s="2" t="str">
        <f>IFERROR(__xludf.DUMMYFUNCTION("""COMPUTED_VALUE"""),"General - Freon R134A; Refrigerant; -; 1 pc")</f>
        <v>General - Freon R134A; Refrigerant; -; 1 pc</v>
      </c>
      <c r="C27" s="2" t="str">
        <f>IFERROR(__xludf.DUMMYFUNCTION("""COMPUTED_VALUE"""),"Can")</f>
        <v>Can</v>
      </c>
      <c r="D27" s="2">
        <f>IFERROR(__xludf.DUMMYFUNCTION("""COMPUTED_VALUE"""),1.0)</f>
        <v>1</v>
      </c>
      <c r="E27" s="2" t="str">
        <f>IFERROR(__xludf.DUMMYFUNCTION("""COMPUTED_VALUE"""),"N1")</f>
        <v>N1</v>
      </c>
    </row>
    <row r="28">
      <c r="A28" s="2" t="str">
        <f>IFERROR(__xludf.DUMMYFUNCTION("""COMPUTED_VALUE"""),"O-20897-00")</f>
        <v>O-20897-00</v>
      </c>
      <c r="B28" s="2" t="str">
        <f>IFERROR(__xludf.DUMMYFUNCTION("""COMPUTED_VALUE"""),"Capping VCM200 - Oring Silicone 2.5 x 30.50 x 30.50; Custom/Lokal; -; 1 Pc")</f>
        <v>Capping VCM200 - Oring Silicone 2.5 x 30.50 x 30.50; Custom/Lokal; -; 1 Pc</v>
      </c>
      <c r="C28" s="2" t="str">
        <f>IFERROR(__xludf.DUMMYFUNCTION("""COMPUTED_VALUE"""),"pc")</f>
        <v>pc</v>
      </c>
      <c r="D28" s="2">
        <f>IFERROR(__xludf.DUMMYFUNCTION("""COMPUTED_VALUE"""),20.0)</f>
        <v>20</v>
      </c>
      <c r="E28" s="2" t="str">
        <f>IFERROR(__xludf.DUMMYFUNCTION("""COMPUTED_VALUE"""),"A-1-1")</f>
        <v>A-1-1</v>
      </c>
    </row>
    <row r="29">
      <c r="A29" s="2" t="str">
        <f>IFERROR(__xludf.DUMMYFUNCTION("""COMPUTED_VALUE"""),"T-20146-00")</f>
        <v>T-20146-00</v>
      </c>
      <c r="B29" s="2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" s="2" t="str">
        <f>IFERROR(__xludf.DUMMYFUNCTION("""COMPUTED_VALUE"""),"pc")</f>
        <v>pc</v>
      </c>
      <c r="D29" s="2">
        <f>IFERROR(__xludf.DUMMYFUNCTION("""COMPUTED_VALUE"""),1.0)</f>
        <v>1</v>
      </c>
      <c r="E29" s="2" t="str">
        <f>IFERROR(__xludf.DUMMYFUNCTION("""COMPUTED_VALUE"""),"F-2-4B")</f>
        <v>F-2-4B</v>
      </c>
    </row>
    <row r="30">
      <c r="A30" s="2" t="str">
        <f>IFERROR(__xludf.DUMMYFUNCTION("""COMPUTED_VALUE"""),"Q-10572-00")</f>
        <v>Q-10572-00</v>
      </c>
      <c r="B30" s="2" t="str">
        <f>IFERROR(__xludf.DUMMYFUNCTION("""COMPUTED_VALUE"""),"Lampu LED Tube TL T8 16W 1200 mm;Philips;;pack size per pcs")</f>
        <v>Lampu LED Tube TL T8 16W 1200 mm;Philips;;pack size per pcs</v>
      </c>
      <c r="C30" s="2" t="str">
        <f>IFERROR(__xludf.DUMMYFUNCTION("""COMPUTED_VALUE"""),"pc")</f>
        <v>pc</v>
      </c>
      <c r="D30" s="2">
        <f>IFERROR(__xludf.DUMMYFUNCTION("""COMPUTED_VALUE"""),4.0)</f>
        <v>4</v>
      </c>
      <c r="E30" s="2" t="str">
        <f>IFERROR(__xludf.DUMMYFUNCTION("""COMPUTED_VALUE"""),"O4")</f>
        <v>O4</v>
      </c>
    </row>
    <row r="31">
      <c r="A31" s="2" t="str">
        <f>IFERROR(__xludf.DUMMYFUNCTION("""COMPUTED_VALUE"""),"P-53293-00")</f>
        <v>P-53293-00</v>
      </c>
      <c r="B31" s="2" t="str">
        <f>IFERROR(__xludf.DUMMYFUNCTION("""COMPUTED_VALUE"""),"General - Lampu Emergency TL LED 16W Waterproof IP65; Briliant; -; 1 pc")</f>
        <v>General - Lampu Emergency TL LED 16W Waterproof IP65; Briliant; -; 1 pc</v>
      </c>
      <c r="C31" s="2" t="str">
        <f>IFERROR(__xludf.DUMMYFUNCTION("""COMPUTED_VALUE"""),"pc")</f>
        <v>pc</v>
      </c>
      <c r="D31" s="2">
        <f>IFERROR(__xludf.DUMMYFUNCTION("""COMPUTED_VALUE"""),11.0)</f>
        <v>11</v>
      </c>
      <c r="E31" s="2"/>
    </row>
    <row r="32">
      <c r="A32" s="2" t="str">
        <f>IFERROR(__xludf.DUMMYFUNCTION("""COMPUTED_VALUE"""),"P-51857-00")</f>
        <v>P-51857-00</v>
      </c>
      <c r="B32" s="2" t="str">
        <f>IFERROR(__xludf.DUMMYFUNCTION("""COMPUTED_VALUE"""),"General - Contact Block SA-CBM; Autonics; -; 1 pc")</f>
        <v>General - Contact Block SA-CBM; Autonics; -; 1 pc</v>
      </c>
      <c r="C32" s="2" t="str">
        <f>IFERROR(__xludf.DUMMYFUNCTION("""COMPUTED_VALUE"""),"pc")</f>
        <v>pc</v>
      </c>
      <c r="D32" s="2">
        <f>IFERROR(__xludf.DUMMYFUNCTION("""COMPUTED_VALUE"""),2.0)</f>
        <v>2</v>
      </c>
      <c r="E32" s="2" t="str">
        <f>IFERROR(__xludf.DUMMYFUNCTION("""COMPUTED_VALUE"""),"F-2-2D")</f>
        <v>F-2-2D</v>
      </c>
    </row>
    <row r="33">
      <c r="A33" s="2" t="str">
        <f>IFERROR(__xludf.DUMMYFUNCTION("""COMPUTED_VALUE"""),"P-10398-00")</f>
        <v>P-10398-00</v>
      </c>
      <c r="B33" s="2" t="str">
        <f>IFERROR(__xludf.DUMMYFUNCTION("""COMPUTED_VALUE"""),"General - Ball Valve SS316 1/2inch 1000 WOG; Sankyo; -; 1 Pc")</f>
        <v>General - Ball Valve SS316 1/2inch 1000 WOG; Sankyo; -; 1 Pc</v>
      </c>
      <c r="C33" s="2" t="str">
        <f>IFERROR(__xludf.DUMMYFUNCTION("""COMPUTED_VALUE"""),"pc")</f>
        <v>pc</v>
      </c>
      <c r="D33" s="2">
        <f>IFERROR(__xludf.DUMMYFUNCTION("""COMPUTED_VALUE"""),1.0)</f>
        <v>1</v>
      </c>
      <c r="E33" s="2" t="str">
        <f>IFERROR(__xludf.DUMMYFUNCTION("""COMPUTED_VALUE"""),"F-1")</f>
        <v>F-1</v>
      </c>
    </row>
    <row r="34">
      <c r="A34" s="2" t="str">
        <f>IFERROR(__xludf.DUMMYFUNCTION("""COMPUTED_VALUE"""),"P-52975-00")</f>
        <v>P-52975-00</v>
      </c>
      <c r="B34" s="2" t="str">
        <f>IFERROR(__xludf.DUMMYFUNCTION("""COMPUTED_VALUE"""),"General - Limit Switch IP65; EWIG; E8108; 1 pc")</f>
        <v>General - Limit Switch IP65; EWIG; E8108; 1 pc</v>
      </c>
      <c r="C34" s="2" t="str">
        <f>IFERROR(__xludf.DUMMYFUNCTION("""COMPUTED_VALUE"""),"pc")</f>
        <v>pc</v>
      </c>
      <c r="D34" s="2">
        <f>IFERROR(__xludf.DUMMYFUNCTION("""COMPUTED_VALUE"""),3.0)</f>
        <v>3</v>
      </c>
      <c r="E34" s="2" t="str">
        <f>IFERROR(__xludf.DUMMYFUNCTION("""COMPUTED_VALUE"""),"A-4-10A")</f>
        <v>A-4-10A</v>
      </c>
    </row>
    <row r="35">
      <c r="A35" s="2" t="str">
        <f>IFERROR(__xludf.DUMMYFUNCTION("""COMPUTED_VALUE"""),"O-54167-00")</f>
        <v>O-54167-00</v>
      </c>
      <c r="B35" s="2" t="str">
        <f>IFERROR(__xludf.DUMMYFUNCTION("""COMPUTED_VALUE"""),"General - Connector Cable CLD408-5; Autonics; H7950000609; 1 Pc")</f>
        <v>General - Connector Cable CLD408-5; Autonics; H7950000609; 1 Pc</v>
      </c>
      <c r="C35" s="2" t="str">
        <f>IFERROR(__xludf.DUMMYFUNCTION("""COMPUTED_VALUE"""),"pc")</f>
        <v>pc</v>
      </c>
      <c r="D35" s="2">
        <f>IFERROR(__xludf.DUMMYFUNCTION("""COMPUTED_VALUE"""),2.0)</f>
        <v>2</v>
      </c>
      <c r="E35" s="2" t="str">
        <f>IFERROR(__xludf.DUMMYFUNCTION("""COMPUTED_VALUE"""),"B-2-3")</f>
        <v>B-2-3</v>
      </c>
    </row>
    <row r="36">
      <c r="A36" s="2" t="str">
        <f>IFERROR(__xludf.DUMMYFUNCTION("""COMPUTED_VALUE"""),"P-50138-00")</f>
        <v>P-50138-00</v>
      </c>
      <c r="B36" s="2" t="str">
        <f>IFERROR(__xludf.DUMMYFUNCTION("""COMPUTED_VALUE"""),"Battery Lithium / Buffer TL-2150 size 1/2 AA")</f>
        <v>Battery Lithium / Buffer TL-2150 size 1/2 AA</v>
      </c>
      <c r="C36" s="2" t="str">
        <f>IFERROR(__xludf.DUMMYFUNCTION("""COMPUTED_VALUE"""),"pc")</f>
        <v>pc</v>
      </c>
      <c r="D36" s="2">
        <f>IFERROR(__xludf.DUMMYFUNCTION("""COMPUTED_VALUE"""),6.0)</f>
        <v>6</v>
      </c>
      <c r="E36" s="2" t="str">
        <f>IFERROR(__xludf.DUMMYFUNCTION("""COMPUTED_VALUE"""),"G-3")</f>
        <v>G-3</v>
      </c>
    </row>
    <row r="37">
      <c r="A37" s="2" t="str">
        <f>IFERROR(__xludf.DUMMYFUNCTION("""COMPUTED_VALUE"""),"P-13754-00")</f>
        <v>P-13754-00</v>
      </c>
      <c r="B37" s="2" t="str">
        <f>IFERROR(__xludf.DUMMYFUNCTION("""COMPUTED_VALUE"""),"General - Electromotoric actuator, 400 N, 5.5 mm, AC 24 V, DC 0...10 V; Siemens; SQS65; 1 pcs")</f>
        <v>General - Electromotoric actuator, 400 N, 5.5 mm, AC 24 V, DC 0...10 V; Siemens; SQS65; 1 pcs</v>
      </c>
      <c r="C37" s="2" t="str">
        <f>IFERROR(__xludf.DUMMYFUNCTION("""COMPUTED_VALUE"""),"unt")</f>
        <v>unt</v>
      </c>
      <c r="D37" s="2">
        <f>IFERROR(__xludf.DUMMYFUNCTION("""COMPUTED_VALUE"""),1.0)</f>
        <v>1</v>
      </c>
      <c r="E37" s="2" t="str">
        <f>IFERROR(__xludf.DUMMYFUNCTION("""COMPUTED_VALUE"""),"L-3")</f>
        <v>L-3</v>
      </c>
    </row>
    <row r="38">
      <c r="A38" s="2" t="str">
        <f>IFERROR(__xludf.DUMMYFUNCTION("""COMPUTED_VALUE"""),"O-14617-00")</f>
        <v>O-14617-00</v>
      </c>
      <c r="B38" s="2" t="str">
        <f>IFERROR(__xludf.DUMMYFUNCTION("""COMPUTED_VALUE"""),"General - Solenoid valve 2/2 ways NC 4,5mm; Steriline; 28582; 1 Pc")</f>
        <v>General - Solenoid valve 2/2 ways NC 4,5mm; Steriline; 28582; 1 Pc</v>
      </c>
      <c r="C38" s="2" t="str">
        <f>IFERROR(__xludf.DUMMYFUNCTION("""COMPUTED_VALUE"""),"unt")</f>
        <v>unt</v>
      </c>
      <c r="D38" s="2">
        <f>IFERROR(__xludf.DUMMYFUNCTION("""COMPUTED_VALUE"""),2.0)</f>
        <v>2</v>
      </c>
      <c r="E38" s="2" t="str">
        <f>IFERROR(__xludf.DUMMYFUNCTION("""COMPUTED_VALUE"""),"B-2-4C")</f>
        <v>B-2-4C</v>
      </c>
    </row>
    <row r="39">
      <c r="A39" s="2" t="str">
        <f>IFERROR(__xludf.DUMMYFUNCTION("""COMPUTED_VALUE"""),"P-14974-00")</f>
        <v>P-14974-00</v>
      </c>
      <c r="B39" s="2" t="str">
        <f>IFERROR(__xludf.DUMMYFUNCTION("""COMPUTED_VALUE"""),"General - Socket AW 2 1/2inch; Rucika; -; 1 pcs")</f>
        <v>General - Socket AW 2 1/2inch; Rucika; -; 1 pcs</v>
      </c>
      <c r="C39" s="2" t="str">
        <f>IFERROR(__xludf.DUMMYFUNCTION("""COMPUTED_VALUE"""),"pc")</f>
        <v>pc</v>
      </c>
      <c r="D39" s="2">
        <f>IFERROR(__xludf.DUMMYFUNCTION("""COMPUTED_VALUE"""),3.0)</f>
        <v>3</v>
      </c>
      <c r="E39" s="2" t="str">
        <f>IFERROR(__xludf.DUMMYFUNCTION("""COMPUTED_VALUE"""),"F3")</f>
        <v>F3</v>
      </c>
    </row>
    <row r="40">
      <c r="A40" s="2" t="str">
        <f>IFERROR(__xludf.DUMMYFUNCTION("""COMPUTED_VALUE"""),"P-19659-00")</f>
        <v>P-19659-00</v>
      </c>
      <c r="B40" s="2" t="str">
        <f>IFERROR(__xludf.DUMMYFUNCTION("""COMPUTED_VALUE"""),"General - Dop, PVC AW, 3/4""; Rucika; -; 1 pc")</f>
        <v>General - Dop, PVC AW, 3/4"; Rucika; -; 1 pc</v>
      </c>
      <c r="C40" s="2" t="str">
        <f>IFERROR(__xludf.DUMMYFUNCTION("""COMPUTED_VALUE"""),"pc")</f>
        <v>pc</v>
      </c>
      <c r="D40" s="2">
        <f>IFERROR(__xludf.DUMMYFUNCTION("""COMPUTED_VALUE"""),4.0)</f>
        <v>4</v>
      </c>
      <c r="E40" s="2"/>
    </row>
    <row r="41">
      <c r="A41" s="2" t="str">
        <f>IFERROR(__xludf.DUMMYFUNCTION("""COMPUTED_VALUE"""),"P-19304-00")</f>
        <v>P-19304-00</v>
      </c>
      <c r="B41" s="2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41" s="2" t="str">
        <f>IFERROR(__xludf.DUMMYFUNCTION("""COMPUTED_VALUE"""),"pc")</f>
        <v>pc</v>
      </c>
      <c r="D41" s="2">
        <f>IFERROR(__xludf.DUMMYFUNCTION("""COMPUTED_VALUE"""),4.0)</f>
        <v>4</v>
      </c>
      <c r="E41" s="2" t="str">
        <f>IFERROR(__xludf.DUMMYFUNCTION("""COMPUTED_VALUE"""),"L3")</f>
        <v>L3</v>
      </c>
    </row>
    <row r="42">
      <c r="A42" s="2" t="str">
        <f>IFERROR(__xludf.DUMMYFUNCTION("""COMPUTED_VALUE"""),"O-54174-00")</f>
        <v>O-54174-00</v>
      </c>
      <c r="B42" s="2" t="str">
        <f>IFERROR(__xludf.DUMMYFUNCTION("""COMPUTED_VALUE"""),"cRABS z064CR - Control Unit for Security Phot; Steriline; 5914; 1 Pc")</f>
        <v>cRABS z064CR - Control Unit for Security Phot; Steriline; 5914; 1 Pc</v>
      </c>
      <c r="C42" s="2" t="str">
        <f>IFERROR(__xludf.DUMMYFUNCTION("""COMPUTED_VALUE"""),"pc")</f>
        <v>pc</v>
      </c>
      <c r="D42" s="2">
        <f>IFERROR(__xludf.DUMMYFUNCTION("""COMPUTED_VALUE"""),1.0)</f>
        <v>1</v>
      </c>
      <c r="E42" s="2" t="str">
        <f>IFERROR(__xludf.DUMMYFUNCTION("""COMPUTED_VALUE"""),"B-3-4C")</f>
        <v>B-3-4C</v>
      </c>
    </row>
    <row r="43">
      <c r="A43" s="2" t="str">
        <f>IFERROR(__xludf.DUMMYFUNCTION("""COMPUTED_VALUE"""),"O-53096-00")</f>
        <v>O-53096-00</v>
      </c>
      <c r="B43" s="2" t="str">
        <f>IFERROR(__xludf.DUMMYFUNCTION("""COMPUTED_VALUE"""),"FD S/N MBE1207 - Proximity Switch E2E-XB1D12 2M; Omron; EB22-00837;")</f>
        <v>FD S/N MBE1207 - Proximity Switch E2E-XB1D12 2M; Omron; EB22-00837;</v>
      </c>
      <c r="C43" s="2" t="str">
        <f>IFERROR(__xludf.DUMMYFUNCTION("""COMPUTED_VALUE"""),"pc")</f>
        <v>pc</v>
      </c>
      <c r="D43" s="2">
        <f>IFERROR(__xludf.DUMMYFUNCTION("""COMPUTED_VALUE"""),2.0)</f>
        <v>2</v>
      </c>
      <c r="E43" s="2" t="str">
        <f>IFERROR(__xludf.DUMMYFUNCTION("""COMPUTED_VALUE"""),"D-1-9B")</f>
        <v>D-1-9B</v>
      </c>
    </row>
    <row r="44">
      <c r="A44" s="2" t="str">
        <f>IFERROR(__xludf.DUMMYFUNCTION("""COMPUTED_VALUE"""),"P-14459-00")</f>
        <v>P-14459-00</v>
      </c>
      <c r="B44" s="2" t="str">
        <f>IFERROR(__xludf.DUMMYFUNCTION("""COMPUTED_VALUE"""),"General - Filter IAF HB Series (Hepa Filter) H14, Min Eff : 99,999 % on 0.3 micron, Size: 610x610x93 mm; IAF; -; 1 pcs")</f>
        <v>General - Filter IAF HB Series (Hepa Filter) H14, Min Eff : 99,999 % on 0.3 micron, Size: 610x610x93 mm; IAF; -; 1 pcs</v>
      </c>
      <c r="C44" s="2" t="str">
        <f>IFERROR(__xludf.DUMMYFUNCTION("""COMPUTED_VALUE"""),"pc")</f>
        <v>pc</v>
      </c>
      <c r="D44" s="2">
        <f>IFERROR(__xludf.DUMMYFUNCTION("""COMPUTED_VALUE"""),2.0)</f>
        <v>2</v>
      </c>
      <c r="E44" s="2" t="str">
        <f>IFERROR(__xludf.DUMMYFUNCTION("""COMPUTED_VALUE"""),"Ruang Filter")</f>
        <v>Ruang Filter</v>
      </c>
    </row>
    <row r="45">
      <c r="A45" s="2" t="str">
        <f>IFERROR(__xludf.DUMMYFUNCTION("""COMPUTED_VALUE"""),"P-11886-00")</f>
        <v>P-11886-00</v>
      </c>
      <c r="B45" s="2" t="str">
        <f>IFERROR(__xludf.DUMMYFUNCTION("""COMPUTED_VALUE"""),"Baut SS L countersunk  M 4x0.7x10mm + Mur")</f>
        <v>Baut SS L countersunk  M 4x0.7x10mm + Mur</v>
      </c>
      <c r="C45" s="2" t="str">
        <f>IFERROR(__xludf.DUMMYFUNCTION("""COMPUTED_VALUE"""),"pc")</f>
        <v>pc</v>
      </c>
      <c r="D45" s="2">
        <f>IFERROR(__xludf.DUMMYFUNCTION("""COMPUTED_VALUE"""),100.0)</f>
        <v>100</v>
      </c>
      <c r="E45" s="2" t="str">
        <f>IFERROR(__xludf.DUMMYFUNCTION("""COMPUTED_VALUE"""),"S-2-11")</f>
        <v>S-2-11</v>
      </c>
    </row>
    <row r="46">
      <c r="A46" s="2" t="str">
        <f>IFERROR(__xludf.DUMMYFUNCTION("""COMPUTED_VALUE"""),"P-18556-00")</f>
        <v>P-18556-00</v>
      </c>
      <c r="B46" s="2" t="str">
        <f>IFERROR(__xludf.DUMMYFUNCTION("""COMPUTED_VALUE"""),"General - Baut L, SS 304, M3 x 10 mm + Mur; No Brand; -; 1 pcs")</f>
        <v>General - Baut L, SS 304, M3 x 10 mm + Mur; No Brand; -; 1 pcs</v>
      </c>
      <c r="C46" s="2" t="str">
        <f>IFERROR(__xludf.DUMMYFUNCTION("""COMPUTED_VALUE"""),"pc")</f>
        <v>pc</v>
      </c>
      <c r="D46" s="2">
        <f>IFERROR(__xludf.DUMMYFUNCTION("""COMPUTED_VALUE"""),100.0)</f>
        <v>100</v>
      </c>
      <c r="E46" s="2" t="str">
        <f>IFERROR(__xludf.DUMMYFUNCTION("""COMPUTED_VALUE"""),"S-2-11")</f>
        <v>S-2-11</v>
      </c>
    </row>
    <row r="47">
      <c r="A47" s="2" t="str">
        <f>IFERROR(__xludf.DUMMYFUNCTION("""COMPUTED_VALUE"""),"P-19848-00")</f>
        <v>P-19848-00</v>
      </c>
      <c r="B47" s="2" t="str">
        <f>IFERROR(__xludf.DUMMYFUNCTION("""COMPUTED_VALUE"""),"General - Kawat Las Elektrode uk. 2,6x300mm; Niko Steel; NSN-308; 1 pc")</f>
        <v>General - Kawat Las Elektrode uk. 2,6x300mm; Niko Steel; NSN-308; 1 pc</v>
      </c>
      <c r="C47" s="2" t="str">
        <f>IFERROR(__xludf.DUMMYFUNCTION("""COMPUTED_VALUE"""),"pc")</f>
        <v>pc</v>
      </c>
      <c r="D47" s="2">
        <f>IFERROR(__xludf.DUMMYFUNCTION("""COMPUTED_VALUE"""),2.0)</f>
        <v>2</v>
      </c>
      <c r="E47" s="2" t="str">
        <f>IFERROR(__xludf.DUMMYFUNCTION("""COMPUTED_VALUE"""),"Tools")</f>
        <v>Tools</v>
      </c>
    </row>
    <row r="48">
      <c r="A48" s="2" t="str">
        <f>IFERROR(__xludf.DUMMYFUNCTION("""COMPUTED_VALUE"""),"P-19849-00")</f>
        <v>P-19849-00</v>
      </c>
      <c r="B48" s="2" t="str">
        <f>IFERROR(__xludf.DUMMYFUNCTION("""COMPUTED_VALUE"""),"General - Reducer Pneumatic Fitting 14-12 mm; EMC; -; 1 pc")</f>
        <v>General - Reducer Pneumatic Fitting 14-12 mm; EMC; -; 1 pc</v>
      </c>
      <c r="C48" s="2" t="str">
        <f>IFERROR(__xludf.DUMMYFUNCTION("""COMPUTED_VALUE"""),"pc")</f>
        <v>pc</v>
      </c>
      <c r="D48" s="2">
        <f>IFERROR(__xludf.DUMMYFUNCTION("""COMPUTED_VALUE"""),7.0)</f>
        <v>7</v>
      </c>
      <c r="E48" s="2" t="str">
        <f>IFERROR(__xludf.DUMMYFUNCTION("""COMPUTED_VALUE"""),"-")</f>
        <v>-</v>
      </c>
    </row>
    <row r="49">
      <c r="A49" s="2" t="str">
        <f>IFERROR(__xludf.DUMMYFUNCTION("""COMPUTED_VALUE"""),"P-50633-00")</f>
        <v>P-50633-00</v>
      </c>
      <c r="B49" s="2" t="str">
        <f>IFERROR(__xludf.DUMMYFUNCTION("""COMPUTED_VALUE"""),"General - Timer Time AC100-240/DC100-125; Omron; H3CR - A8; 1 pc")</f>
        <v>General - Timer Time AC100-240/DC100-125; Omron; H3CR - A8; 1 pc</v>
      </c>
      <c r="C49" s="2" t="str">
        <f>IFERROR(__xludf.DUMMYFUNCTION("""COMPUTED_VALUE"""),"pc")</f>
        <v>pc</v>
      </c>
      <c r="D49" s="2">
        <f>IFERROR(__xludf.DUMMYFUNCTION("""COMPUTED_VALUE"""),4.0)</f>
        <v>4</v>
      </c>
      <c r="E49" s="2" t="str">
        <f>IFERROR(__xludf.DUMMYFUNCTION("""COMPUTED_VALUE"""),"B-4")</f>
        <v>B-4</v>
      </c>
    </row>
    <row r="50">
      <c r="A50" s="2" t="str">
        <f>IFERROR(__xludf.DUMMYFUNCTION("""COMPUTED_VALUE"""),"P-52664-00")</f>
        <v>P-52664-00</v>
      </c>
      <c r="B50" s="2" t="str">
        <f>IFERROR(__xludf.DUMMYFUNCTION("""COMPUTED_VALUE"""),"General - Pelampung Air Radar Float Switch 2m; No Brand; -; 1 Pc")</f>
        <v>General - Pelampung Air Radar Float Switch 2m; No Brand; -; 1 Pc</v>
      </c>
      <c r="C50" s="2" t="str">
        <f>IFERROR(__xludf.DUMMYFUNCTION("""COMPUTED_VALUE"""),"pc")</f>
        <v>pc</v>
      </c>
      <c r="D50" s="2">
        <f>IFERROR(__xludf.DUMMYFUNCTION("""COMPUTED_VALUE"""),4.0)</f>
        <v>4</v>
      </c>
      <c r="E50" s="2" t="str">
        <f>IFERROR(__xludf.DUMMYFUNCTION("""COMPUTED_VALUE"""),"M-4")</f>
        <v>M-4</v>
      </c>
    </row>
    <row r="51">
      <c r="A51" s="2" t="str">
        <f>IFERROR(__xludf.DUMMYFUNCTION("""COMPUTED_VALUE"""),"O-18913-00")</f>
        <v>O-18913-00</v>
      </c>
      <c r="B51" s="2" t="str">
        <f>IFERROR(__xludf.DUMMYFUNCTION("""COMPUTED_VALUE"""),"Freeze Dryer MBE1207 - Valve Body S20 DN40 ANSI150 Flg BODY:CI DISC:316SS STEM 316SS; Bray; EB14-00064; 1 Pc")</f>
        <v>Freeze Dryer MBE1207 - Valve Body S20 DN40 ANSI150 Flg BODY:CI DISC:316SS STEM 316SS; Bray; EB14-00064; 1 Pc</v>
      </c>
      <c r="C51" s="2" t="str">
        <f>IFERROR(__xludf.DUMMYFUNCTION("""COMPUTED_VALUE"""),"pc")</f>
        <v>pc</v>
      </c>
      <c r="D51" s="2">
        <f>IFERROR(__xludf.DUMMYFUNCTION("""COMPUTED_VALUE"""),4.0)</f>
        <v>4</v>
      </c>
      <c r="E51" s="2" t="str">
        <f>IFERROR(__xludf.DUMMYFUNCTION("""COMPUTED_VALUE"""),"D-3-10")</f>
        <v>D-3-10</v>
      </c>
    </row>
    <row r="52">
      <c r="A52" s="2" t="str">
        <f>IFERROR(__xludf.DUMMYFUNCTION("""COMPUTED_VALUE"""),"O-52635-00")</f>
        <v>O-52635-00</v>
      </c>
      <c r="B52" s="2" t="str">
        <f>IFERROR(__xludf.DUMMYFUNCTION("""COMPUTED_VALUE"""),"Danube 45587 - Electrovalvula 230V AC; -; -; 1 Pc")</f>
        <v>Danube 45587 - Electrovalvula 230V AC; -; -; 1 Pc</v>
      </c>
      <c r="C52" s="2" t="str">
        <f>IFERROR(__xludf.DUMMYFUNCTION("""COMPUTED_VALUE"""),"pc")</f>
        <v>pc</v>
      </c>
      <c r="D52" s="2">
        <f>IFERROR(__xludf.DUMMYFUNCTION("""COMPUTED_VALUE"""),1.0)</f>
        <v>1</v>
      </c>
      <c r="E52" s="2" t="str">
        <f>IFERROR(__xludf.DUMMYFUNCTION("""COMPUTED_VALUE"""),"F-2-1")</f>
        <v>F-2-1</v>
      </c>
    </row>
    <row r="53">
      <c r="A53" s="2" t="str">
        <f>IFERROR(__xludf.DUMMYFUNCTION("""COMPUTED_VALUE"""),"P-20574-00")</f>
        <v>P-20574-00</v>
      </c>
      <c r="B53" s="2" t="str">
        <f>IFERROR(__xludf.DUMMYFUNCTION("""COMPUTED_VALUE"""),"General - Rivet Nut M10 SS304; Lokal; -; 1 pc")</f>
        <v>General - Rivet Nut M10 SS304; Lokal; -; 1 pc</v>
      </c>
      <c r="C53" s="2" t="str">
        <f>IFERROR(__xludf.DUMMYFUNCTION("""COMPUTED_VALUE"""),"pc")</f>
        <v>pc</v>
      </c>
      <c r="D53" s="2">
        <f>IFERROR(__xludf.DUMMYFUNCTION("""COMPUTED_VALUE"""),100.0)</f>
        <v>100</v>
      </c>
      <c r="E53" s="2" t="str">
        <f>IFERROR(__xludf.DUMMYFUNCTION("""COMPUTED_VALUE"""),"S-3-11")</f>
        <v>S-3-11</v>
      </c>
    </row>
    <row r="54">
      <c r="A54" s="2" t="str">
        <f>IFERROR(__xludf.DUMMYFUNCTION("""COMPUTED_VALUE"""),"P-10387-00")</f>
        <v>P-10387-00</v>
      </c>
      <c r="B54" s="2" t="str">
        <f>IFERROR(__xludf.DUMMYFUNCTION("""COMPUTED_VALUE"""),"Ball Valve Kuningan 3/4"" KITZ")</f>
        <v>Ball Valve Kuningan 3/4" KITZ</v>
      </c>
      <c r="C54" s="2" t="str">
        <f>IFERROR(__xludf.DUMMYFUNCTION("""COMPUTED_VALUE"""),"pc")</f>
        <v>pc</v>
      </c>
      <c r="D54" s="2">
        <f>IFERROR(__xludf.DUMMYFUNCTION("""COMPUTED_VALUE"""),2.0)</f>
        <v>2</v>
      </c>
      <c r="E54" s="2" t="str">
        <f>IFERROR(__xludf.DUMMYFUNCTION("""COMPUTED_VALUE"""),"S-2-7")</f>
        <v>S-2-7</v>
      </c>
    </row>
    <row r="55">
      <c r="A55" s="2" t="str">
        <f>IFERROR(__xludf.DUMMYFUNCTION("""COMPUTED_VALUE"""),"Q-10724-00")</f>
        <v>Q-10724-00</v>
      </c>
      <c r="B55" s="2" t="str">
        <f>IFERROR(__xludf.DUMMYFUNCTION("""COMPUTED_VALUE"""),"Semen Plaster Plus MU 301 (Semen untuk Plesteran);Mortar Utama;Type MU-301;pack size per 40 Kg zak")</f>
        <v>Semen Plaster Plus MU 301 (Semen untuk Plesteran);Mortar Utama;Type MU-301;pack size per 40 Kg zak</v>
      </c>
      <c r="C55" s="2" t="str">
        <f>IFERROR(__xludf.DUMMYFUNCTION("""COMPUTED_VALUE"""),"unt")</f>
        <v>unt</v>
      </c>
      <c r="D55" s="2">
        <f>IFERROR(__xludf.DUMMYFUNCTION("""COMPUTED_VALUE"""),1.0)</f>
        <v>1</v>
      </c>
      <c r="E55" s="2" t="str">
        <f>IFERROR(__xludf.DUMMYFUNCTION("""COMPUTED_VALUE"""),"-")</f>
        <v>-</v>
      </c>
    </row>
    <row r="56">
      <c r="A56" s="2" t="str">
        <f>IFERROR(__xludf.DUMMYFUNCTION("""COMPUTED_VALUE"""),"Q-10154-00")</f>
        <v>Q-10154-00</v>
      </c>
      <c r="B56" s="2" t="str">
        <f>IFERROR(__xludf.DUMMYFUNCTION("""COMPUTED_VALUE"""),"Kuas Cat Roller uk. 230 mm;No Brand;;pack size per set")</f>
        <v>Kuas Cat Roller uk. 230 mm;No Brand;;pack size per set</v>
      </c>
      <c r="C56" s="2" t="str">
        <f>IFERROR(__xludf.DUMMYFUNCTION("""COMPUTED_VALUE"""),"pc")</f>
        <v>pc</v>
      </c>
      <c r="D56" s="2">
        <f>IFERROR(__xludf.DUMMYFUNCTION("""COMPUTED_VALUE"""),9.0)</f>
        <v>9</v>
      </c>
      <c r="E56" s="2" t="str">
        <f>IFERROR(__xludf.DUMMYFUNCTION("""COMPUTED_VALUE"""),"N4")</f>
        <v>N4</v>
      </c>
    </row>
    <row r="57">
      <c r="A57" s="2" t="str">
        <f>IFERROR(__xludf.DUMMYFUNCTION("""COMPUTED_VALUE"""),"Q-10207-00")</f>
        <v>Q-10207-00</v>
      </c>
      <c r="B57" s="2" t="str">
        <f>IFERROR(__xludf.DUMMYFUNCTION("""COMPUTED_VALUE"""),"Keramik Roman Warna Putih 40 x 40 cm;Roman;CN: 447106;pack size per pack")</f>
        <v>Keramik Roman Warna Putih 40 x 40 cm;Roman;CN: 447106;pack size per pack</v>
      </c>
      <c r="C57" s="2" t="str">
        <f>IFERROR(__xludf.DUMMYFUNCTION("""COMPUTED_VALUE"""),"Box")</f>
        <v>Box</v>
      </c>
      <c r="D57" s="2">
        <f>IFERROR(__xludf.DUMMYFUNCTION("""COMPUTED_VALUE"""),6.0)</f>
        <v>6</v>
      </c>
      <c r="E57" s="2" t="str">
        <f>IFERROR(__xludf.DUMMYFUNCTION("""COMPUTED_VALUE"""),"DW")</f>
        <v>DW</v>
      </c>
    </row>
    <row r="58">
      <c r="A58" s="2" t="str">
        <f>IFERROR(__xludf.DUMMYFUNCTION("""COMPUTED_VALUE"""),"P-53133-00")</f>
        <v>P-53133-00</v>
      </c>
      <c r="B58" s="2" t="str">
        <f>IFERROR(__xludf.DUMMYFUNCTION("""COMPUTED_VALUE"""),"General - Kabel; Belden; AWG 22; 1 pc")</f>
        <v>General - Kabel; Belden; AWG 22; 1 pc</v>
      </c>
      <c r="C58" s="2" t="str">
        <f>IFERROR(__xludf.DUMMYFUNCTION("""COMPUTED_VALUE"""),"rl")</f>
        <v>rl</v>
      </c>
      <c r="D58" s="2">
        <f>IFERROR(__xludf.DUMMYFUNCTION("""COMPUTED_VALUE"""),2.0)</f>
        <v>2</v>
      </c>
      <c r="E58" s="2" t="str">
        <f>IFERROR(__xludf.DUMMYFUNCTION("""COMPUTED_VALUE"""),"Rak Kabel")</f>
        <v>Rak Kabel</v>
      </c>
    </row>
    <row r="59">
      <c r="A59" s="2" t="str">
        <f>IFERROR(__xludf.DUMMYFUNCTION("""COMPUTED_VALUE"""),"P-19236-00")</f>
        <v>P-19236-00</v>
      </c>
      <c r="B59" s="2" t="str">
        <f>IFERROR(__xludf.DUMMYFUNCTION("""COMPUTED_VALUE"""),"General - Tubing Nylon 12 x 9mm; SHPI Taiwan; -; 1 Pc")</f>
        <v>General - Tubing Nylon 12 x 9mm; SHPI Taiwan; -; 1 Pc</v>
      </c>
      <c r="C59" s="2" t="str">
        <f>IFERROR(__xludf.DUMMYFUNCTION("""COMPUTED_VALUE"""),"rl")</f>
        <v>rl</v>
      </c>
      <c r="D59" s="2">
        <f>IFERROR(__xludf.DUMMYFUNCTION("""COMPUTED_VALUE"""),1.0)</f>
        <v>1</v>
      </c>
      <c r="E59" s="2" t="str">
        <f>IFERROR(__xludf.DUMMYFUNCTION("""COMPUTED_VALUE"""),"J4")</f>
        <v>J4</v>
      </c>
    </row>
    <row r="60">
      <c r="A60" s="2" t="str">
        <f>IFERROR(__xludf.DUMMYFUNCTION("""COMPUTED_VALUE"""),"P-11018-00")</f>
        <v>P-11018-00</v>
      </c>
      <c r="B60" s="2" t="str">
        <f>IFERROR(__xludf.DUMMYFUNCTION("""COMPUTED_VALUE"""),"General - Oil Seal TC 15 x 24 x 7; NOK; -; 1 Pc")</f>
        <v>General - Oil Seal TC 15 x 24 x 7; NOK; -; 1 Pc</v>
      </c>
      <c r="C60" s="2" t="str">
        <f>IFERROR(__xludf.DUMMYFUNCTION("""COMPUTED_VALUE"""),"pc")</f>
        <v>pc</v>
      </c>
      <c r="D60" s="2">
        <f>IFERROR(__xludf.DUMMYFUNCTION("""COMPUTED_VALUE"""),5.0)</f>
        <v>5</v>
      </c>
      <c r="E60" s="2" t="str">
        <f>IFERROR(__xludf.DUMMYFUNCTION("""COMPUTED_VALUE"""),"B-3-10A")</f>
        <v>B-3-10A</v>
      </c>
    </row>
    <row r="61">
      <c r="A61" s="2" t="str">
        <f>IFERROR(__xludf.DUMMYFUNCTION("""COMPUTED_VALUE"""),"P-53298-00")</f>
        <v>P-53298-00</v>
      </c>
      <c r="B61" s="2" t="str">
        <f>IFERROR(__xludf.DUMMYFUNCTION("""COMPUTED_VALUE"""),"General - Solenoid Valve DP-10; Yoshitake; -; 1 pc")</f>
        <v>General - Solenoid Valve DP-10; Yoshitake; -; 1 pc</v>
      </c>
      <c r="C61" s="2" t="str">
        <f>IFERROR(__xludf.DUMMYFUNCTION("""COMPUTED_VALUE"""),"pc")</f>
        <v>pc</v>
      </c>
      <c r="D61" s="2">
        <f>IFERROR(__xludf.DUMMYFUNCTION("""COMPUTED_VALUE"""),2.0)</f>
        <v>2</v>
      </c>
      <c r="E61" s="2" t="str">
        <f>IFERROR(__xludf.DUMMYFUNCTION("""COMPUTED_VALUE"""),"F-1")</f>
        <v>F-1</v>
      </c>
    </row>
    <row r="62">
      <c r="A62" s="2" t="str">
        <f>IFERROR(__xludf.DUMMYFUNCTION("""COMPUTED_VALUE"""),"O-21284-00")</f>
        <v>O-21284-00</v>
      </c>
      <c r="B62" s="2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62" s="2" t="str">
        <f>IFERROR(__xludf.DUMMYFUNCTION("""COMPUTED_VALUE"""),"pc")</f>
        <v>pc</v>
      </c>
      <c r="D62" s="2">
        <f>IFERROR(__xludf.DUMMYFUNCTION("""COMPUTED_VALUE"""),23.0)</f>
        <v>23</v>
      </c>
      <c r="E62" s="2" t="str">
        <f>IFERROR(__xludf.DUMMYFUNCTION("""COMPUTED_VALUE"""),"-")</f>
        <v>-</v>
      </c>
    </row>
    <row r="63">
      <c r="A63" s="2" t="str">
        <f>IFERROR(__xludf.DUMMYFUNCTION("""COMPUTED_VALUE"""),"O-51177-00")</f>
        <v>O-51177-00</v>
      </c>
      <c r="B63" s="2" t="str">
        <f>IFERROR(__xludf.DUMMYFUNCTION("""COMPUTED_VALUE"""),"General - Pressure Switch type KP35 G1/4; Danfoss; 060-113366; 1 Pc")</f>
        <v>General - Pressure Switch type KP35 G1/4; Danfoss; 060-113366; 1 Pc</v>
      </c>
      <c r="C63" s="2" t="str">
        <f>IFERROR(__xludf.DUMMYFUNCTION("""COMPUTED_VALUE"""),"pc")</f>
        <v>pc</v>
      </c>
      <c r="D63" s="2">
        <f>IFERROR(__xludf.DUMMYFUNCTION("""COMPUTED_VALUE"""),2.0)</f>
        <v>2</v>
      </c>
      <c r="E63" s="2" t="str">
        <f>IFERROR(__xludf.DUMMYFUNCTION("""COMPUTED_VALUE"""),"-")</f>
        <v>-</v>
      </c>
    </row>
    <row r="64">
      <c r="A64" s="2" t="str">
        <f>IFERROR(__xludf.DUMMYFUNCTION("""COMPUTED_VALUE"""),"O-21265-00")</f>
        <v>O-21265-00</v>
      </c>
      <c r="B64" s="2" t="str">
        <f>IFERROR(__xludf.DUMMYFUNCTION("""COMPUTED_VALUE"""),"Autoclave Service NA2247AU - Oring EPDM 3.5x69.7x76.8; Custom/Lokal; -; 1 Pc")</f>
        <v>Autoclave Service NA2247AU - Oring EPDM 3.5x69.7x76.8; Custom/Lokal; -; 1 Pc</v>
      </c>
      <c r="C64" s="2" t="str">
        <f>IFERROR(__xludf.DUMMYFUNCTION("""COMPUTED_VALUE"""),"pc")</f>
        <v>pc</v>
      </c>
      <c r="D64" s="2">
        <f>IFERROR(__xludf.DUMMYFUNCTION("""COMPUTED_VALUE"""),5.0)</f>
        <v>5</v>
      </c>
      <c r="E64" s="2" t="str">
        <f>IFERROR(__xludf.DUMMYFUNCTION("""COMPUTED_VALUE"""),"S-3-6")</f>
        <v>S-3-6</v>
      </c>
    </row>
    <row r="65">
      <c r="A65" s="2" t="str">
        <f>IFERROR(__xludf.DUMMYFUNCTION("""COMPUTED_VALUE"""),"P-12263-00")</f>
        <v>P-12263-00</v>
      </c>
      <c r="B65" s="2" t="str">
        <f>IFERROR(__xludf.DUMMYFUNCTION("""COMPUTED_VALUE"""),"General - Push-in Connector, QS-8; Festo; 153033; 1 pcs")</f>
        <v>General - Push-in Connector, QS-8; Festo; 153033; 1 pcs</v>
      </c>
      <c r="C65" s="2" t="str">
        <f>IFERROR(__xludf.DUMMYFUNCTION("""COMPUTED_VALUE"""),"pc")</f>
        <v>pc</v>
      </c>
      <c r="D65" s="2">
        <f>IFERROR(__xludf.DUMMYFUNCTION("""COMPUTED_VALUE"""),29.0)</f>
        <v>29</v>
      </c>
      <c r="E65" s="2" t="str">
        <f>IFERROR(__xludf.DUMMYFUNCTION("""COMPUTED_VALUE"""),"R-4-7")</f>
        <v>R-4-7</v>
      </c>
    </row>
    <row r="66">
      <c r="A66" s="2" t="str">
        <f>IFERROR(__xludf.DUMMYFUNCTION("""COMPUTED_VALUE"""),"P-50810-00")</f>
        <v>P-50810-00</v>
      </c>
      <c r="B66" s="2" t="str">
        <f>IFERROR(__xludf.DUMMYFUNCTION("""COMPUTED_VALUE"""),"General - Buzzer AD22-22MSD red with lamp; FORT; -; 1 pcs")</f>
        <v>General - Buzzer AD22-22MSD red with lamp; FORT; -; 1 pcs</v>
      </c>
      <c r="C66" s="2" t="str">
        <f>IFERROR(__xludf.DUMMYFUNCTION("""COMPUTED_VALUE"""),"pc")</f>
        <v>pc</v>
      </c>
      <c r="D66" s="2">
        <f>IFERROR(__xludf.DUMMYFUNCTION("""COMPUTED_VALUE"""),6.0)</f>
        <v>6</v>
      </c>
      <c r="E66" s="2" t="str">
        <f>IFERROR(__xludf.DUMMYFUNCTION("""COMPUTED_VALUE"""),"A-4-4A")</f>
        <v>A-4-4A</v>
      </c>
    </row>
    <row r="67">
      <c r="A67" s="2" t="str">
        <f>IFERROR(__xludf.DUMMYFUNCTION("""COMPUTED_VALUE"""),"P-20242-00")</f>
        <v>P-20242-00</v>
      </c>
      <c r="B67" s="2" t="str">
        <f>IFERROR(__xludf.DUMMYFUNCTION("""COMPUTED_VALUE"""),"General - Plate SS304 Uk. 1,2 x 1220 x 2440mm F2B; No Brand; -; 1 pc")</f>
        <v>General - Plate SS304 Uk. 1,2 x 1220 x 2440mm F2B; No Brand; -; 1 pc</v>
      </c>
      <c r="C67" s="2" t="str">
        <f>IFERROR(__xludf.DUMMYFUNCTION("""COMPUTED_VALUE"""),"pc")</f>
        <v>pc</v>
      </c>
      <c r="D67" s="2">
        <f>IFERROR(__xludf.DUMMYFUNCTION("""COMPUTED_VALUE"""),1.0)</f>
        <v>1</v>
      </c>
      <c r="E67" s="2" t="str">
        <f>IFERROR(__xludf.DUMMYFUNCTION("""COMPUTED_VALUE"""),"-")</f>
        <v>-</v>
      </c>
    </row>
    <row r="68">
      <c r="A68" s="2" t="str">
        <f>IFERROR(__xludf.DUMMYFUNCTION("""COMPUTED_VALUE"""),"O-21471-00")</f>
        <v>O-21471-00</v>
      </c>
      <c r="B68" s="2" t="str">
        <f>IFERROR(__xludf.DUMMYFUNCTION("""COMPUTED_VALUE"""),"Colamark - Spares Full Mechanism EAS00 1023SP; Domino; SP-0078; 1 Pc")</f>
        <v>Colamark - Spares Full Mechanism EAS00 1023SP; Domino; SP-0078; 1 Pc</v>
      </c>
      <c r="C68" s="2" t="str">
        <f>IFERROR(__xludf.DUMMYFUNCTION("""COMPUTED_VALUE"""),"pc")</f>
        <v>pc</v>
      </c>
      <c r="D68" s="2">
        <f>IFERROR(__xludf.DUMMYFUNCTION("""COMPUTED_VALUE"""),1.0)</f>
        <v>1</v>
      </c>
      <c r="E68" s="2" t="str">
        <f>IFERROR(__xludf.DUMMYFUNCTION("""COMPUTED_VALUE"""),"-")</f>
        <v>-</v>
      </c>
    </row>
    <row r="69">
      <c r="A69" s="2" t="str">
        <f>IFERROR(__xludf.DUMMYFUNCTION("""COMPUTED_VALUE"""),"P-19038-00")</f>
        <v>P-19038-00</v>
      </c>
      <c r="B69" s="2" t="str">
        <f>IFERROR(__xludf.DUMMYFUNCTION("""COMPUTED_VALUE"""),"General - Kunci Handle Panel; Hengzhu; MS 306-2-1; 1 pc")</f>
        <v>General - Kunci Handle Panel; Hengzhu; MS 306-2-1; 1 pc</v>
      </c>
      <c r="C69" s="2" t="str">
        <f>IFERROR(__xludf.DUMMYFUNCTION("""COMPUTED_VALUE"""),"pc")</f>
        <v>pc</v>
      </c>
      <c r="D69" s="2">
        <f>IFERROR(__xludf.DUMMYFUNCTION("""COMPUTED_VALUE"""),2.0)</f>
        <v>2</v>
      </c>
      <c r="E69" s="2" t="str">
        <f>IFERROR(__xludf.DUMMYFUNCTION("""COMPUTED_VALUE"""),"N4")</f>
        <v>N4</v>
      </c>
    </row>
    <row r="70">
      <c r="A70" s="2" t="str">
        <f>IFERROR(__xludf.DUMMYFUNCTION("""COMPUTED_VALUE"""),"O-20896-00")</f>
        <v>O-20896-00</v>
      </c>
      <c r="B70" s="2" t="str">
        <f>IFERROR(__xludf.DUMMYFUNCTION("""COMPUTED_VALUE"""),"Isolator - Silicon Tube Pump 913.A016.016; SKAN; 1002902; 1 Pc")</f>
        <v>Isolator - Silicon Tube Pump 913.A016.016; SKAN; 1002902; 1 Pc</v>
      </c>
      <c r="C70" s="2" t="str">
        <f>IFERROR(__xludf.DUMMYFUNCTION("""COMPUTED_VALUE"""),"pc")</f>
        <v>pc</v>
      </c>
      <c r="D70" s="2">
        <f>IFERROR(__xludf.DUMMYFUNCTION("""COMPUTED_VALUE"""),15.0)</f>
        <v>15</v>
      </c>
      <c r="E70" s="2" t="str">
        <f>IFERROR(__xludf.DUMMYFUNCTION("""COMPUTED_VALUE"""),"-")</f>
        <v>-</v>
      </c>
    </row>
    <row r="71">
      <c r="A71" s="2" t="str">
        <f>IFERROR(__xludf.DUMMYFUNCTION("""COMPUTED_VALUE"""),"P-17363-00")</f>
        <v>P-17363-00</v>
      </c>
      <c r="B71" s="2" t="str">
        <f>IFERROR(__xludf.DUMMYFUNCTION("""COMPUTED_VALUE"""),"General - Ferrule SS 316, 1/2inch; No Brand; -; 1 pcs")</f>
        <v>General - Ferrule SS 316, 1/2inch; No Brand; -; 1 pcs</v>
      </c>
      <c r="C71" s="2" t="str">
        <f>IFERROR(__xludf.DUMMYFUNCTION("""COMPUTED_VALUE"""),"pc")</f>
        <v>pc</v>
      </c>
      <c r="D71" s="2">
        <f>IFERROR(__xludf.DUMMYFUNCTION("""COMPUTED_VALUE"""),2.0)</f>
        <v>2</v>
      </c>
      <c r="E71" s="2" t="str">
        <f>IFERROR(__xludf.DUMMYFUNCTION("""COMPUTED_VALUE"""),"-")</f>
        <v>-</v>
      </c>
    </row>
    <row r="72">
      <c r="A72" s="2" t="str">
        <f>IFERROR(__xludf.DUMMYFUNCTION("""COMPUTED_VALUE"""),"P-11422-00")</f>
        <v>P-11422-00</v>
      </c>
      <c r="B72" s="2" t="str">
        <f>IFERROR(__xludf.DUMMYFUNCTION("""COMPUTED_VALUE"""),"General - Plastic Tubing, PUN-H-10X1,5-BL; Festo; 197386; 1 m")</f>
        <v>General - Plastic Tubing, PUN-H-10X1,5-BL; Festo; 197386; 1 m</v>
      </c>
      <c r="C72" s="2" t="str">
        <f>IFERROR(__xludf.DUMMYFUNCTION("""COMPUTED_VALUE"""),"m")</f>
        <v>m</v>
      </c>
      <c r="D72" s="2">
        <f>IFERROR(__xludf.DUMMYFUNCTION("""COMPUTED_VALUE"""),100.0)</f>
        <v>100</v>
      </c>
      <c r="E72" s="2" t="str">
        <f>IFERROR(__xludf.DUMMYFUNCTION("""COMPUTED_VALUE"""),"M-3")</f>
        <v>M-3</v>
      </c>
    </row>
    <row r="73">
      <c r="A73" s="2" t="str">
        <f>IFERROR(__xludf.DUMMYFUNCTION("""COMPUTED_VALUE"""),"P-15852-00")</f>
        <v>P-15852-00</v>
      </c>
      <c r="B73" s="2" t="str">
        <f>IFERROR(__xludf.DUMMYFUNCTION("""COMPUTED_VALUE"""),"General - Ampelas P500; EAGLE; -; 1 pcs")</f>
        <v>General - Ampelas P500; EAGLE; -; 1 pcs</v>
      </c>
      <c r="C73" s="2" t="str">
        <f>IFERROR(__xludf.DUMMYFUNCTION("""COMPUTED_VALUE"""),"pc")</f>
        <v>pc</v>
      </c>
      <c r="D73" s="2">
        <f>IFERROR(__xludf.DUMMYFUNCTION("""COMPUTED_VALUE"""),6.0)</f>
        <v>6</v>
      </c>
      <c r="E73" s="2" t="str">
        <f>IFERROR(__xludf.DUMMYFUNCTION("""COMPUTED_VALUE"""),"N3")</f>
        <v>N3</v>
      </c>
    </row>
    <row r="74">
      <c r="A74" s="2" t="str">
        <f>IFERROR(__xludf.DUMMYFUNCTION("""COMPUTED_VALUE"""),"O-20750-00")</f>
        <v>O-20750-00</v>
      </c>
      <c r="B74" s="2" t="str">
        <f>IFERROR(__xludf.DUMMYFUNCTION("""COMPUTED_VALUE"""),"Marchesini MA155 - Tension Spring (Molla Frizione) 21401-0189; Marchesini; M660010014; 1 Pc")</f>
        <v>Marchesini MA155 - Tension Spring (Molla Frizione) 21401-0189; Marchesini; M660010014; 1 Pc</v>
      </c>
      <c r="C74" s="2" t="str">
        <f>IFERROR(__xludf.DUMMYFUNCTION("""COMPUTED_VALUE"""),"pc")</f>
        <v>pc</v>
      </c>
      <c r="D74" s="2">
        <f>IFERROR(__xludf.DUMMYFUNCTION("""COMPUTED_VALUE"""),2.0)</f>
        <v>2</v>
      </c>
      <c r="E74" s="2" t="str">
        <f>IFERROR(__xludf.DUMMYFUNCTION("""COMPUTED_VALUE"""),"G-2")</f>
        <v>G-2</v>
      </c>
    </row>
    <row r="75">
      <c r="A75" s="2" t="str">
        <f>IFERROR(__xludf.DUMMYFUNCTION("""COMPUTED_VALUE"""),"O-53523-00")</f>
        <v>O-53523-00</v>
      </c>
      <c r="B75" s="2" t="str">
        <f>IFERROR(__xludf.DUMMYFUNCTION("""COMPUTED_VALUE"""),"cRABS Z064CR - Transmitter for Temperature Probe HC2-xxx; -; 64938; 1 Pc")</f>
        <v>cRABS Z064CR - Transmitter for Temperature Probe HC2-xxx; -; 64938; 1 Pc</v>
      </c>
      <c r="C75" s="2" t="str">
        <f>IFERROR(__xludf.DUMMYFUNCTION("""COMPUTED_VALUE"""),"pc")</f>
        <v>pc</v>
      </c>
      <c r="D75" s="2">
        <f>IFERROR(__xludf.DUMMYFUNCTION("""COMPUTED_VALUE"""),1.0)</f>
        <v>1</v>
      </c>
      <c r="E75" s="2" t="str">
        <f>IFERROR(__xludf.DUMMYFUNCTION("""COMPUTED_VALUE"""),"H-2")</f>
        <v>H-2</v>
      </c>
    </row>
    <row r="76">
      <c r="A76" s="2" t="str">
        <f>IFERROR(__xludf.DUMMYFUNCTION("""COMPUTED_VALUE"""),"P-16972-00")</f>
        <v>P-16972-00</v>
      </c>
      <c r="B76" s="2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76" s="2" t="str">
        <f>IFERROR(__xludf.DUMMYFUNCTION("""COMPUTED_VALUE"""),"unt")</f>
        <v>unt</v>
      </c>
      <c r="D76" s="2">
        <f>IFERROR(__xludf.DUMMYFUNCTION("""COMPUTED_VALUE"""),2.0)</f>
        <v>2</v>
      </c>
      <c r="E76" s="2" t="str">
        <f>IFERROR(__xludf.DUMMYFUNCTION("""COMPUTED_VALUE"""),"F-1")</f>
        <v>F-1</v>
      </c>
    </row>
    <row r="77">
      <c r="A77" s="2" t="str">
        <f>IFERROR(__xludf.DUMMYFUNCTION("""COMPUTED_VALUE"""),"P-10906-00")</f>
        <v>P-10906-00</v>
      </c>
      <c r="B77" s="2" t="str">
        <f>IFERROR(__xludf.DUMMYFUNCTION("""COMPUTED_VALUE"""),"General - Tee, PVC AW, 1""; Rucika; -; 1 pcs")</f>
        <v>General - Tee, PVC AW, 1"; Rucika; -; 1 pcs</v>
      </c>
      <c r="C77" s="2" t="str">
        <f>IFERROR(__xludf.DUMMYFUNCTION("""COMPUTED_VALUE"""),"pc")</f>
        <v>pc</v>
      </c>
      <c r="D77" s="2">
        <f>IFERROR(__xludf.DUMMYFUNCTION("""COMPUTED_VALUE"""),4.0)</f>
        <v>4</v>
      </c>
      <c r="E77" s="2"/>
    </row>
    <row r="78">
      <c r="A78" s="2" t="str">
        <f>IFERROR(__xludf.DUMMYFUNCTION("""COMPUTED_VALUE"""),"P-10904-00")</f>
        <v>P-10904-00</v>
      </c>
      <c r="B78" s="2" t="str">
        <f>IFERROR(__xludf.DUMMYFUNCTION("""COMPUTED_VALUE"""),"General - Tee, PVC, 1 1/4""; Rucika; -; 1 pcs")</f>
        <v>General - Tee, PVC, 1 1/4"; Rucika; -; 1 pcs</v>
      </c>
      <c r="C78" s="2" t="str">
        <f>IFERROR(__xludf.DUMMYFUNCTION("""COMPUTED_VALUE"""),"pc")</f>
        <v>pc</v>
      </c>
      <c r="D78" s="2">
        <f>IFERROR(__xludf.DUMMYFUNCTION("""COMPUTED_VALUE"""),4.0)</f>
        <v>4</v>
      </c>
      <c r="E78" s="2"/>
    </row>
    <row r="79">
      <c r="A79" s="2" t="str">
        <f>IFERROR(__xludf.DUMMYFUNCTION("""COMPUTED_VALUE"""),"O-53566-00")</f>
        <v>O-53566-00</v>
      </c>
      <c r="B79" s="2" t="str">
        <f>IFERROR(__xludf.DUMMYFUNCTION("""COMPUTED_VALUE"""),"Integrated Granulation Line - K-Adp-Usb Programmer; Pepperl+Fuchs; ;")</f>
        <v>Integrated Granulation Line - K-Adp-Usb Programmer; Pepperl+Fuchs; ;</v>
      </c>
      <c r="C79" s="2" t="str">
        <f>IFERROR(__xludf.DUMMYFUNCTION("""COMPUTED_VALUE"""),"pc")</f>
        <v>pc</v>
      </c>
      <c r="D79" s="2">
        <f>IFERROR(__xludf.DUMMYFUNCTION("""COMPUTED_VALUE"""),1.0)</f>
        <v>1</v>
      </c>
      <c r="E79" s="2" t="str">
        <f>IFERROR(__xludf.DUMMYFUNCTION("""COMPUTED_VALUE"""),"-")</f>
        <v>-</v>
      </c>
    </row>
    <row r="80">
      <c r="A80" s="2" t="str">
        <f>IFERROR(__xludf.DUMMYFUNCTION("""COMPUTED_VALUE"""),"P-20041-00")</f>
        <v>P-20041-00</v>
      </c>
      <c r="B80" s="2" t="str">
        <f>IFERROR(__xludf.DUMMYFUNCTION("""COMPUTED_VALUE"""),"General - Cable Duct 15 x 30mm; No Brand; -; 1,7meter/pc")</f>
        <v>General - Cable Duct 15 x 30mm; No Brand; -; 1,7meter/pc</v>
      </c>
      <c r="C80" s="2" t="str">
        <f>IFERROR(__xludf.DUMMYFUNCTION("""COMPUTED_VALUE"""),"pc")</f>
        <v>pc</v>
      </c>
      <c r="D80" s="2">
        <f>IFERROR(__xludf.DUMMYFUNCTION("""COMPUTED_VALUE"""),6.0)</f>
        <v>6</v>
      </c>
      <c r="E80" s="2"/>
    </row>
    <row r="81">
      <c r="A81" s="2" t="str">
        <f>IFERROR(__xludf.DUMMYFUNCTION("""COMPUTED_VALUE"""),"P-12765-00")</f>
        <v>P-12765-00</v>
      </c>
      <c r="B81" s="2" t="str">
        <f>IFERROR(__xludf.DUMMYFUNCTION("""COMPUTED_VALUE"""),"General - Silicone Gasket for Ferrule dia. 2inch; Custom; -; 1 pcs")</f>
        <v>General - Silicone Gasket for Ferrule dia. 2inch; Custom; -; 1 pcs</v>
      </c>
      <c r="C81" s="2" t="str">
        <f>IFERROR(__xludf.DUMMYFUNCTION("""COMPUTED_VALUE"""),"pc")</f>
        <v>pc</v>
      </c>
      <c r="D81" s="2">
        <f>IFERROR(__xludf.DUMMYFUNCTION("""COMPUTED_VALUE"""),13.0)</f>
        <v>13</v>
      </c>
      <c r="E81" s="2" t="str">
        <f>IFERROR(__xludf.DUMMYFUNCTION("""COMPUTED_VALUE"""),"M3")</f>
        <v>M3</v>
      </c>
    </row>
    <row r="82">
      <c r="A82" s="2" t="str">
        <f>IFERROR(__xludf.DUMMYFUNCTION("""COMPUTED_VALUE"""),"O-19849-00")</f>
        <v>O-19849-00</v>
      </c>
      <c r="B82" s="2" t="str">
        <f>IFERROR(__xludf.DUMMYFUNCTION("""COMPUTED_VALUE"""),"General - Sabuk Tangki Mixing; Custom/Lokal; -; 1 Pc")</f>
        <v>General - Sabuk Tangki Mixing; Custom/Lokal; -; 1 Pc</v>
      </c>
      <c r="C82" s="2" t="str">
        <f>IFERROR(__xludf.DUMMYFUNCTION("""COMPUTED_VALUE"""),"pc")</f>
        <v>pc</v>
      </c>
      <c r="D82" s="2">
        <f>IFERROR(__xludf.DUMMYFUNCTION("""COMPUTED_VALUE"""),2.0)</f>
        <v>2</v>
      </c>
      <c r="E82" s="2" t="str">
        <f>IFERROR(__xludf.DUMMYFUNCTION("""COMPUTED_VALUE"""),"-")</f>
        <v>-</v>
      </c>
    </row>
    <row r="83">
      <c r="A83" s="2" t="str">
        <f>IFERROR(__xludf.DUMMYFUNCTION("""COMPUTED_VALUE"""),"O-17833-00")</f>
        <v>O-17833-00</v>
      </c>
      <c r="B83" s="2" t="str">
        <f>IFERROR(__xludf.DUMMYFUNCTION("""COMPUTED_VALUE"""),"Washing RAR4 - Outfeed Teflon Right; Custom/Lokal; -; 1 Pc")</f>
        <v>Washing RAR4 - Outfeed Teflon Right; Custom/Lokal; -; 1 Pc</v>
      </c>
      <c r="C83" s="2" t="str">
        <f>IFERROR(__xludf.DUMMYFUNCTION("""COMPUTED_VALUE"""),"pc")</f>
        <v>pc</v>
      </c>
      <c r="D83" s="2">
        <f>IFERROR(__xludf.DUMMYFUNCTION("""COMPUTED_VALUE"""),1.0)</f>
        <v>1</v>
      </c>
      <c r="E83" s="2" t="str">
        <f>IFERROR(__xludf.DUMMYFUNCTION("""COMPUTED_VALUE"""),"-")</f>
        <v>-</v>
      </c>
    </row>
    <row r="84">
      <c r="A84" s="2" t="str">
        <f>IFERROR(__xludf.DUMMYFUNCTION("""COMPUTED_VALUE"""),"O-19339-00")</f>
        <v>O-19339-00</v>
      </c>
      <c r="B84" s="2" t="str">
        <f>IFERROR(__xludf.DUMMYFUNCTION("""COMPUTED_VALUE"""),"General - Oring 2,5x6x11 mm, Material EPDM; -; -; 1 Pc")</f>
        <v>General - Oring 2,5x6x11 mm, Material EPDM; -; -; 1 Pc</v>
      </c>
      <c r="C84" s="2" t="str">
        <f>IFERROR(__xludf.DUMMYFUNCTION("""COMPUTED_VALUE"""),"pc")</f>
        <v>pc</v>
      </c>
      <c r="D84" s="2">
        <f>IFERROR(__xludf.DUMMYFUNCTION("""COMPUTED_VALUE"""),19.0)</f>
        <v>19</v>
      </c>
      <c r="E84" s="2" t="str">
        <f>IFERROR(__xludf.DUMMYFUNCTION("""COMPUTED_VALUE"""),"E-3-8A")</f>
        <v>E-3-8A</v>
      </c>
    </row>
    <row r="85">
      <c r="A85" s="2" t="str">
        <f>IFERROR(__xludf.DUMMYFUNCTION("""COMPUTED_VALUE"""),"O-20475-00")</f>
        <v>O-20475-00</v>
      </c>
      <c r="B85" s="2" t="str">
        <f>IFERROR(__xludf.DUMMYFUNCTION("""COMPUTED_VALUE"""),"Freeze Dryer MBE1207 - Oring Silicone 5x39x49 mm LPRV; Custom/Lokal; -; 1 pc")</f>
        <v>Freeze Dryer MBE1207 - Oring Silicone 5x39x49 mm LPRV; Custom/Lokal; -; 1 pc</v>
      </c>
      <c r="C85" s="2" t="str">
        <f>IFERROR(__xludf.DUMMYFUNCTION("""COMPUTED_VALUE"""),"pc")</f>
        <v>pc</v>
      </c>
      <c r="D85" s="2">
        <f>IFERROR(__xludf.DUMMYFUNCTION("""COMPUTED_VALUE"""),6.0)</f>
        <v>6</v>
      </c>
      <c r="E85" s="2"/>
    </row>
    <row r="86">
      <c r="A86" s="2" t="str">
        <f>IFERROR(__xludf.DUMMYFUNCTION("""COMPUTED_VALUE"""),"O-53150-00")</f>
        <v>O-53150-00</v>
      </c>
      <c r="B86" s="2" t="str">
        <f>IFERROR(__xludf.DUMMYFUNCTION("""COMPUTED_VALUE"""),"Freeze Dryer MBE1207 - FV401 Pneumatic Actuator 9611416301; Alfalaval; EB50-00044; 1 Pc")</f>
        <v>Freeze Dryer MBE1207 - FV401 Pneumatic Actuator 9611416301; Alfalaval; EB50-00044; 1 Pc</v>
      </c>
      <c r="C86" s="2" t="str">
        <f>IFERROR(__xludf.DUMMYFUNCTION("""COMPUTED_VALUE"""),"pc")</f>
        <v>pc</v>
      </c>
      <c r="D86" s="2">
        <f>IFERROR(__xludf.DUMMYFUNCTION("""COMPUTED_VALUE"""),2.0)</f>
        <v>2</v>
      </c>
      <c r="E86" s="2" t="str">
        <f>IFERROR(__xludf.DUMMYFUNCTION("""COMPUTED_VALUE"""),"D-4")</f>
        <v>D-4</v>
      </c>
    </row>
    <row r="87">
      <c r="A87" s="2" t="str">
        <f>IFERROR(__xludf.DUMMYFUNCTION("""COMPUTED_VALUE"""),"P-12433-00")</f>
        <v>P-12433-00</v>
      </c>
      <c r="B87" s="2" t="str">
        <f>IFERROR(__xludf.DUMMYFUNCTION("""COMPUTED_VALUE"""),"General - Isolasi Duct Tape AC; Sansui; -; 1 Pc")</f>
        <v>General - Isolasi Duct Tape AC; Sansui; -; 1 Pc</v>
      </c>
      <c r="C87" s="2" t="str">
        <f>IFERROR(__xludf.DUMMYFUNCTION("""COMPUTED_VALUE"""),"pc")</f>
        <v>pc</v>
      </c>
      <c r="D87" s="2">
        <f>IFERROR(__xludf.DUMMYFUNCTION("""COMPUTED_VALUE"""),9.0)</f>
        <v>9</v>
      </c>
      <c r="E87" s="2" t="str">
        <f>IFERROR(__xludf.DUMMYFUNCTION("""COMPUTED_VALUE"""),"M-3-6")</f>
        <v>M-3-6</v>
      </c>
    </row>
    <row r="88">
      <c r="A88" s="2" t="str">
        <f>IFERROR(__xludf.DUMMYFUNCTION("""COMPUTED_VALUE"""),"P-10868-00")</f>
        <v>P-10868-00</v>
      </c>
      <c r="B88" s="2" t="str">
        <f>IFERROR(__xludf.DUMMYFUNCTION("""COMPUTED_VALUE"""),"General - Elbow PVC AW 4inch; Rucika; -; 1 Pc")</f>
        <v>General - Elbow PVC AW 4inch; Rucika; -; 1 Pc</v>
      </c>
      <c r="C88" s="2" t="str">
        <f>IFERROR(__xludf.DUMMYFUNCTION("""COMPUTED_VALUE"""),"pc")</f>
        <v>pc</v>
      </c>
      <c r="D88" s="2">
        <f>IFERROR(__xludf.DUMMYFUNCTION("""COMPUTED_VALUE"""),4.0)</f>
        <v>4</v>
      </c>
      <c r="E88" s="2" t="str">
        <f>IFERROR(__xludf.DUMMYFUNCTION("""COMPUTED_VALUE"""),"-")</f>
        <v>-</v>
      </c>
    </row>
    <row r="89">
      <c r="A89" s="2" t="str">
        <f>IFERROR(__xludf.DUMMYFUNCTION("""COMPUTED_VALUE"""),"P-10890-00")</f>
        <v>P-10890-00</v>
      </c>
      <c r="B89" s="2" t="str">
        <f>IFERROR(__xludf.DUMMYFUNCTION("""COMPUTED_VALUE"""),"General - Socket Drat Luar, PVC, 1 1/2""; Rucika; -; 1 pcs")</f>
        <v>General - Socket Drat Luar, PVC, 1 1/2"; Rucika; -; 1 pcs</v>
      </c>
      <c r="C89" s="2" t="str">
        <f>IFERROR(__xludf.DUMMYFUNCTION("""COMPUTED_VALUE"""),"pc")</f>
        <v>pc</v>
      </c>
      <c r="D89" s="2">
        <f>IFERROR(__xludf.DUMMYFUNCTION("""COMPUTED_VALUE"""),4.0)</f>
        <v>4</v>
      </c>
      <c r="E89" s="2" t="str">
        <f>IFERROR(__xludf.DUMMYFUNCTION("""COMPUTED_VALUE"""),"-")</f>
        <v>-</v>
      </c>
    </row>
    <row r="90">
      <c r="A90" s="2" t="str">
        <f>IFERROR(__xludf.DUMMYFUNCTION("""COMPUTED_VALUE"""),"O-18055-00")</f>
        <v>O-18055-00</v>
      </c>
      <c r="B90" s="2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90" s="2" t="str">
        <f>IFERROR(__xludf.DUMMYFUNCTION("""COMPUTED_VALUE"""),"pc")</f>
        <v>pc</v>
      </c>
      <c r="D90" s="2">
        <f>IFERROR(__xludf.DUMMYFUNCTION("""COMPUTED_VALUE"""),37.0)</f>
        <v>37</v>
      </c>
      <c r="E90" s="2" t="str">
        <f>IFERROR(__xludf.DUMMYFUNCTION("""COMPUTED_VALUE"""),"G-2")</f>
        <v>G-2</v>
      </c>
    </row>
    <row r="91">
      <c r="A91" s="2" t="str">
        <f>IFERROR(__xludf.DUMMYFUNCTION("""COMPUTED_VALUE"""),"P-20540-00")</f>
        <v>P-20540-00</v>
      </c>
      <c r="B91" s="2" t="str">
        <f>IFERROR(__xludf.DUMMYFUNCTION("""COMPUTED_VALUE"""),"General - Handle Pintu Panel H3-60-221-050; Soutcho; -; 1 pc")</f>
        <v>General - Handle Pintu Panel H3-60-221-050; Soutcho; -; 1 pc</v>
      </c>
      <c r="C91" s="2" t="str">
        <f>IFERROR(__xludf.DUMMYFUNCTION("""COMPUTED_VALUE"""),"pc")</f>
        <v>pc</v>
      </c>
      <c r="D91" s="2">
        <f>IFERROR(__xludf.DUMMYFUNCTION("""COMPUTED_VALUE"""),2.0)</f>
        <v>2</v>
      </c>
      <c r="E91" s="2" t="str">
        <f>IFERROR(__xludf.DUMMYFUNCTION("""COMPUTED_VALUE"""),"-")</f>
        <v>-</v>
      </c>
    </row>
    <row r="92">
      <c r="A92" s="2" t="str">
        <f>IFERROR(__xludf.DUMMYFUNCTION("""COMPUTED_VALUE"""),"P-20529-00")</f>
        <v>P-20529-00</v>
      </c>
      <c r="B92" s="2" t="str">
        <f>IFERROR(__xludf.DUMMYFUNCTION("""COMPUTED_VALUE"""),"General - Oring Port Sampling 8 x 61 x 77mm; Custom Agru; -; 1 pc")</f>
        <v>General - Oring Port Sampling 8 x 61 x 77mm; Custom Agru; -; 1 pc</v>
      </c>
      <c r="C92" s="2" t="str">
        <f>IFERROR(__xludf.DUMMYFUNCTION("""COMPUTED_VALUE"""),"pc")</f>
        <v>pc</v>
      </c>
      <c r="D92" s="2">
        <f>IFERROR(__xludf.DUMMYFUNCTION("""COMPUTED_VALUE"""),3.0)</f>
        <v>3</v>
      </c>
      <c r="E92" s="2" t="str">
        <f>IFERROR(__xludf.DUMMYFUNCTION("""COMPUTED_VALUE"""),"S-3-6")</f>
        <v>S-3-6</v>
      </c>
    </row>
    <row r="93">
      <c r="A93" s="2" t="str">
        <f>IFERROR(__xludf.DUMMYFUNCTION("""COMPUTED_VALUE"""),"O-13505-00")</f>
        <v>O-13505-00</v>
      </c>
      <c r="B93" s="2" t="str">
        <f>IFERROR(__xludf.DUMMYFUNCTION("""COMPUTED_VALUE"""),"General - Push-in T-connector, QST-10; Festo; 153131; 1 pcs")</f>
        <v>General - Push-in T-connector, QST-10; Festo; 153131; 1 pcs</v>
      </c>
      <c r="C93" s="2" t="str">
        <f>IFERROR(__xludf.DUMMYFUNCTION("""COMPUTED_VALUE"""),"pc")</f>
        <v>pc</v>
      </c>
      <c r="D93" s="2">
        <f>IFERROR(__xludf.DUMMYFUNCTION("""COMPUTED_VALUE"""),20.0)</f>
        <v>20</v>
      </c>
      <c r="E93" s="2" t="str">
        <f>IFERROR(__xludf.DUMMYFUNCTION("""COMPUTED_VALUE"""),"M3")</f>
        <v>M3</v>
      </c>
    </row>
    <row r="94">
      <c r="A94" s="2" t="str">
        <f>IFERROR(__xludf.DUMMYFUNCTION("""COMPUTED_VALUE"""),"O-53473-00")</f>
        <v>O-53473-00</v>
      </c>
      <c r="B94" s="2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94" s="2" t="str">
        <f>IFERROR(__xludf.DUMMYFUNCTION("""COMPUTED_VALUE"""),"pc")</f>
        <v>pc</v>
      </c>
      <c r="D94" s="2">
        <f>IFERROR(__xludf.DUMMYFUNCTION("""COMPUTED_VALUE"""),2.0)</f>
        <v>2</v>
      </c>
      <c r="E94" s="2" t="str">
        <f>IFERROR(__xludf.DUMMYFUNCTION("""COMPUTED_VALUE"""),"R-3-0")</f>
        <v>R-3-0</v>
      </c>
    </row>
    <row r="95">
      <c r="A95" s="2" t="str">
        <f>IFERROR(__xludf.DUMMYFUNCTION("""COMPUTED_VALUE"""),"O-17842-00")</f>
        <v>O-17842-00</v>
      </c>
      <c r="B95" s="2" t="str">
        <f>IFERROR(__xludf.DUMMYFUNCTION("""COMPUTED_VALUE"""),"General - Membrane Diaphragm Valve EPDM DN 25; Gemu; 600 25M 17; 1 Pc")</f>
        <v>General - Membrane Diaphragm Valve EPDM DN 25; Gemu; 600 25M 17; 1 Pc</v>
      </c>
      <c r="C95" s="2" t="str">
        <f>IFERROR(__xludf.DUMMYFUNCTION("""COMPUTED_VALUE"""),"pc")</f>
        <v>pc</v>
      </c>
      <c r="D95" s="2">
        <f>IFERROR(__xludf.DUMMYFUNCTION("""COMPUTED_VALUE"""),2.0)</f>
        <v>2</v>
      </c>
      <c r="E95" s="2" t="str">
        <f>IFERROR(__xludf.DUMMYFUNCTION("""COMPUTED_VALUE"""),"E-4-1A")</f>
        <v>E-4-1A</v>
      </c>
    </row>
    <row r="96">
      <c r="A96" s="2" t="str">
        <f>IFERROR(__xludf.DUMMYFUNCTION("""COMPUTED_VALUE"""),"O-14643-00")</f>
        <v>O-14643-00</v>
      </c>
      <c r="B96" s="2" t="str">
        <f>IFERROR(__xludf.DUMMYFUNCTION("""COMPUTED_VALUE"""),"General - EPDM Gasket for Ferrule dia. 3""; -; -; 1 pc")</f>
        <v>General - EPDM Gasket for Ferrule dia. 3"; -; -; 1 pc</v>
      </c>
      <c r="C96" s="2" t="str">
        <f>IFERROR(__xludf.DUMMYFUNCTION("""COMPUTED_VALUE"""),"pc")</f>
        <v>pc</v>
      </c>
      <c r="D96" s="2">
        <f>IFERROR(__xludf.DUMMYFUNCTION("""COMPUTED_VALUE"""),10.0)</f>
        <v>10</v>
      </c>
      <c r="E96" s="2" t="str">
        <f>IFERROR(__xludf.DUMMYFUNCTION("""COMPUTED_VALUE"""),"M3")</f>
        <v>M3</v>
      </c>
    </row>
    <row r="97">
      <c r="A97" s="2" t="str">
        <f>IFERROR(__xludf.DUMMYFUNCTION("""COMPUTED_VALUE"""),"P-19443-00")</f>
        <v>P-19443-00</v>
      </c>
      <c r="B97" s="2" t="str">
        <f>IFERROR(__xludf.DUMMYFUNCTION("""COMPUTED_VALUE"""),"General - Pneumatic Vacuum Ejector; EMC; E-CV-05-R; 1 Pc")</f>
        <v>General - Pneumatic Vacuum Ejector; EMC; E-CV-05-R; 1 Pc</v>
      </c>
      <c r="C97" s="2" t="str">
        <f>IFERROR(__xludf.DUMMYFUNCTION("""COMPUTED_VALUE"""),"pc")</f>
        <v>pc</v>
      </c>
      <c r="D97" s="2">
        <f>IFERROR(__xludf.DUMMYFUNCTION("""COMPUTED_VALUE"""),2.0)</f>
        <v>2</v>
      </c>
      <c r="E97" s="2" t="str">
        <f>IFERROR(__xludf.DUMMYFUNCTION("""COMPUTED_VALUE"""),"F-3")</f>
        <v>F-3</v>
      </c>
    </row>
    <row r="98">
      <c r="A98" s="2" t="str">
        <f>IFERROR(__xludf.DUMMYFUNCTION("""COMPUTED_VALUE"""),"P-20408-00")</f>
        <v>P-20408-00</v>
      </c>
      <c r="B98" s="2" t="str">
        <f>IFERROR(__xludf.DUMMYFUNCTION("""COMPUTED_VALUE"""),"General - Pressure Gauge 10 Bar 3/4 Inch; GMT; -; 1 pc")</f>
        <v>General - Pressure Gauge 10 Bar 3/4 Inch; GMT; -; 1 pc</v>
      </c>
      <c r="C98" s="2" t="str">
        <f>IFERROR(__xludf.DUMMYFUNCTION("""COMPUTED_VALUE"""),"pc")</f>
        <v>pc</v>
      </c>
      <c r="D98" s="2">
        <f>IFERROR(__xludf.DUMMYFUNCTION("""COMPUTED_VALUE"""),1.0)</f>
        <v>1</v>
      </c>
      <c r="E98" s="2" t="str">
        <f>IFERROR(__xludf.DUMMYFUNCTION("""COMPUTED_VALUE"""),"-")</f>
        <v>-</v>
      </c>
    </row>
    <row r="99">
      <c r="A99" s="2" t="str">
        <f>IFERROR(__xludf.DUMMYFUNCTION("""COMPUTED_VALUE"""),"P-51705-00")</f>
        <v>P-51705-00</v>
      </c>
      <c r="B99" s="2" t="str">
        <f>IFERROR(__xludf.DUMMYFUNCTION("""COMPUTED_VALUE"""),"Relay 110-120 V AC; ; ;")</f>
        <v>Relay 110-120 V AC; ; ;</v>
      </c>
      <c r="C99" s="2" t="str">
        <f>IFERROR(__xludf.DUMMYFUNCTION("""COMPUTED_VALUE"""),"pc")</f>
        <v>pc</v>
      </c>
      <c r="D99" s="2">
        <f>IFERROR(__xludf.DUMMYFUNCTION("""COMPUTED_VALUE"""),3.0)</f>
        <v>3</v>
      </c>
      <c r="E99" s="2" t="str">
        <f>IFERROR(__xludf.DUMMYFUNCTION("""COMPUTED_VALUE"""),"A-4-11A")</f>
        <v>A-4-11A</v>
      </c>
    </row>
    <row r="100">
      <c r="A100" s="2" t="str">
        <f>IFERROR(__xludf.DUMMYFUNCTION("""COMPUTED_VALUE"""),"O-11162-00")</f>
        <v>O-11162-00</v>
      </c>
      <c r="B100" s="2" t="str">
        <f>IFERROR(__xludf.DUMMYFUNCTION("""COMPUTED_VALUE"""),"General - Bearing 6205 ZZ; No Brand; -; 1 pcs")</f>
        <v>General - Bearing 6205 ZZ; No Brand; -; 1 pcs</v>
      </c>
      <c r="C100" s="2" t="str">
        <f>IFERROR(__xludf.DUMMYFUNCTION("""COMPUTED_VALUE"""),"pc")</f>
        <v>pc</v>
      </c>
      <c r="D100" s="2">
        <f>IFERROR(__xludf.DUMMYFUNCTION("""COMPUTED_VALUE"""),7.0)</f>
        <v>7</v>
      </c>
      <c r="E100" s="2" t="str">
        <f>IFERROR(__xludf.DUMMYFUNCTION("""COMPUTED_VALUE"""),"G-2")</f>
        <v>G-2</v>
      </c>
    </row>
    <row r="101">
      <c r="A101" s="2" t="str">
        <f>IFERROR(__xludf.DUMMYFUNCTION("""COMPUTED_VALUE"""),"P-54357-00")</f>
        <v>P-54357-00</v>
      </c>
      <c r="B101" s="2" t="str">
        <f>IFERROR(__xludf.DUMMYFUNCTION("""COMPUTED_VALUE"""),"General - Battery Rechargeable 6V 6000mAh; NI-MH Battery; -; 1 pc")</f>
        <v>General - Battery Rechargeable 6V 6000mAh; NI-MH Battery; -; 1 pc</v>
      </c>
      <c r="C101" s="2" t="str">
        <f>IFERROR(__xludf.DUMMYFUNCTION("""COMPUTED_VALUE"""),"pc")</f>
        <v>pc</v>
      </c>
      <c r="D101" s="2">
        <f>IFERROR(__xludf.DUMMYFUNCTION("""COMPUTED_VALUE"""),10.0)</f>
        <v>10</v>
      </c>
      <c r="E101" s="2" t="str">
        <f>IFERROR(__xludf.DUMMYFUNCTION("""COMPUTED_VALUE"""),"O3")</f>
        <v>O3</v>
      </c>
    </row>
    <row r="102">
      <c r="A102" s="2" t="str">
        <f>IFERROR(__xludf.DUMMYFUNCTION("""COMPUTED_VALUE"""),"P-13709-00")</f>
        <v>P-13709-00</v>
      </c>
      <c r="B102" s="2" t="str">
        <f>IFERROR(__xludf.DUMMYFUNCTION("""COMPUTED_VALUE"""),"Gasket Flange DN25; ; ;")</f>
        <v>Gasket Flange DN25; ; ;</v>
      </c>
      <c r="C102" s="2" t="str">
        <f>IFERROR(__xludf.DUMMYFUNCTION("""COMPUTED_VALUE"""),"pc")</f>
        <v>pc</v>
      </c>
      <c r="D102" s="2">
        <f>IFERROR(__xludf.DUMMYFUNCTION("""COMPUTED_VALUE"""),2.0)</f>
        <v>2</v>
      </c>
      <c r="E102" s="2" t="str">
        <f>IFERROR(__xludf.DUMMYFUNCTION("""COMPUTED_VALUE"""),"M2")</f>
        <v>M2</v>
      </c>
    </row>
    <row r="103">
      <c r="A103" s="2" t="str">
        <f>IFERROR(__xludf.DUMMYFUNCTION("""COMPUTED_VALUE"""),"O-16659-00")</f>
        <v>O-16659-00</v>
      </c>
      <c r="B103" s="2" t="str">
        <f>IFERROR(__xludf.DUMMYFUNCTION("""COMPUTED_VALUE"""),"Oring Silicone Merah OD: 352 mm T: 3.3 mm; ; ;")</f>
        <v>Oring Silicone Merah OD: 352 mm T: 3.3 mm; ; ;</v>
      </c>
      <c r="C103" s="2" t="str">
        <f>IFERROR(__xludf.DUMMYFUNCTION("""COMPUTED_VALUE"""),"pc")</f>
        <v>pc</v>
      </c>
      <c r="D103" s="2">
        <f>IFERROR(__xludf.DUMMYFUNCTION("""COMPUTED_VALUE"""),2.0)</f>
        <v>2</v>
      </c>
      <c r="E103" s="2" t="str">
        <f>IFERROR(__xludf.DUMMYFUNCTION("""COMPUTED_VALUE"""),"A-1-7")</f>
        <v>A-1-7</v>
      </c>
    </row>
    <row r="104">
      <c r="A104" s="2" t="str">
        <f>IFERROR(__xludf.DUMMYFUNCTION("""COMPUTED_VALUE"""),"P-11173-00")</f>
        <v>P-11173-00</v>
      </c>
      <c r="B104" s="2" t="str">
        <f>IFERROR(__xludf.DUMMYFUNCTION("""COMPUTED_VALUE"""),"General - Push-in Connector, QS-10; Festo; 153034; 1 pcs")</f>
        <v>General - Push-in Connector, QS-10; Festo; 153034; 1 pcs</v>
      </c>
      <c r="C104" s="2" t="str">
        <f>IFERROR(__xludf.DUMMYFUNCTION("""COMPUTED_VALUE"""),"pc")</f>
        <v>pc</v>
      </c>
      <c r="D104" s="2">
        <f>IFERROR(__xludf.DUMMYFUNCTION("""COMPUTED_VALUE"""),10.0)</f>
        <v>10</v>
      </c>
      <c r="E104" s="2" t="str">
        <f>IFERROR(__xludf.DUMMYFUNCTION("""COMPUTED_VALUE"""),"M-3")</f>
        <v>M-3</v>
      </c>
    </row>
    <row r="105">
      <c r="A105" s="2" t="str">
        <f>IFERROR(__xludf.DUMMYFUNCTION("""COMPUTED_VALUE"""),"O-54004-00")</f>
        <v>O-54004-00</v>
      </c>
      <c r="B105" s="2" t="str">
        <f>IFERROR(__xludf.DUMMYFUNCTION("""COMPUTED_VALUE"""),"LAMPU SL 24 W  / 220-240 V / SPIRAL, PHILIPS")</f>
        <v>LAMPU SL 24 W  / 220-240 V / SPIRAL, PHILIPS</v>
      </c>
      <c r="C105" s="2" t="str">
        <f>IFERROR(__xludf.DUMMYFUNCTION("""COMPUTED_VALUE"""),"pc")</f>
        <v>pc</v>
      </c>
      <c r="D105" s="2">
        <f>IFERROR(__xludf.DUMMYFUNCTION("""COMPUTED_VALUE"""),10.0)</f>
        <v>10</v>
      </c>
      <c r="E105" s="2" t="str">
        <f>IFERROR(__xludf.DUMMYFUNCTION("""COMPUTED_VALUE"""),"O-3")</f>
        <v>O-3</v>
      </c>
    </row>
    <row r="106">
      <c r="A106" s="2" t="str">
        <f>IFERROR(__xludf.DUMMYFUNCTION("""COMPUTED_VALUE"""),"O-20120-00")</f>
        <v>O-20120-00</v>
      </c>
      <c r="B106" s="2" t="str">
        <f>IFERROR(__xludf.DUMMYFUNCTION("""COMPUTED_VALUE"""),"General - Belt T10 840 25 MM; Optibelt; ; 1 Pc")</f>
        <v>General - Belt T10 840 25 MM; Optibelt; ; 1 Pc</v>
      </c>
      <c r="C106" s="2" t="str">
        <f>IFERROR(__xludf.DUMMYFUNCTION("""COMPUTED_VALUE"""),"pc")</f>
        <v>pc</v>
      </c>
      <c r="D106" s="2">
        <f>IFERROR(__xludf.DUMMYFUNCTION("""COMPUTED_VALUE"""),2.0)</f>
        <v>2</v>
      </c>
      <c r="E106" s="2" t="str">
        <f>IFERROR(__xludf.DUMMYFUNCTION("""COMPUTED_VALUE"""),"G-2")</f>
        <v>G-2</v>
      </c>
    </row>
    <row r="107">
      <c r="A107" s="2" t="str">
        <f>IFERROR(__xludf.DUMMYFUNCTION("""COMPUTED_VALUE"""),"O-17997-00")</f>
        <v>O-17997-00</v>
      </c>
      <c r="B107" s="2" t="str">
        <f>IFERROR(__xludf.DUMMYFUNCTION("""COMPUTED_VALUE"""),"Freeze Dryer MBE1207 - Mushroom Seal; IMA Beijing; EBSF0005AR0; 1 pc")</f>
        <v>Freeze Dryer MBE1207 - Mushroom Seal; IMA Beijing; EBSF0005AR0; 1 pc</v>
      </c>
      <c r="C107" s="2" t="str">
        <f>IFERROR(__xludf.DUMMYFUNCTION("""COMPUTED_VALUE"""),"m")</f>
        <v>m</v>
      </c>
      <c r="D107" s="2">
        <f>IFERROR(__xludf.DUMMYFUNCTION("""COMPUTED_VALUE"""),6.0)</f>
        <v>6</v>
      </c>
      <c r="E107" s="2" t="str">
        <f>IFERROR(__xludf.DUMMYFUNCTION("""COMPUTED_VALUE"""),"D-5")</f>
        <v>D-5</v>
      </c>
    </row>
    <row r="108">
      <c r="A108" s="2" t="str">
        <f>IFERROR(__xludf.DUMMYFUNCTION("""COMPUTED_VALUE"""),"O-54116-00")</f>
        <v>O-54116-00</v>
      </c>
      <c r="B108" s="2" t="str">
        <f>IFERROR(__xludf.DUMMYFUNCTION("""COMPUTED_VALUE"""),"General - Fiber Reflective; KEYENCE; FU-67V; 1 pc")</f>
        <v>General - Fiber Reflective; KEYENCE; FU-67V; 1 pc</v>
      </c>
      <c r="C108" s="2" t="str">
        <f>IFERROR(__xludf.DUMMYFUNCTION("""COMPUTED_VALUE"""),"pc")</f>
        <v>pc</v>
      </c>
      <c r="D108" s="2">
        <f>IFERROR(__xludf.DUMMYFUNCTION("""COMPUTED_VALUE"""),1.0)</f>
        <v>1</v>
      </c>
      <c r="E108" s="2" t="str">
        <f>IFERROR(__xludf.DUMMYFUNCTION("""COMPUTED_VALUE"""),"A-2-3")</f>
        <v>A-2-3</v>
      </c>
    </row>
    <row r="109">
      <c r="A109" s="2" t="str">
        <f>IFERROR(__xludf.DUMMYFUNCTION("""COMPUTED_VALUE"""),"O-15913-00")</f>
        <v>O-15913-00</v>
      </c>
      <c r="B109" s="2" t="str">
        <f>IFERROR(__xludf.DUMMYFUNCTION("""COMPUTED_VALUE"""),"Fedegari FVA2/A1 - CENTERING RING DN35 CLAMP; Code : PP100897; ; ;")</f>
        <v>Fedegari FVA2/A1 - CENTERING RING DN35 CLAMP; Code : PP100897; ; ;</v>
      </c>
      <c r="C109" s="2" t="str">
        <f>IFERROR(__xludf.DUMMYFUNCTION("""COMPUTED_VALUE"""),"unt")</f>
        <v>unt</v>
      </c>
      <c r="D109" s="2">
        <f>IFERROR(__xludf.DUMMYFUNCTION("""COMPUTED_VALUE"""),1.0)</f>
        <v>1</v>
      </c>
      <c r="E109" s="2" t="str">
        <f>IFERROR(__xludf.DUMMYFUNCTION("""COMPUTED_VALUE"""),"E3")</f>
        <v>E3</v>
      </c>
    </row>
    <row r="110">
      <c r="A110" s="2" t="str">
        <f>IFERROR(__xludf.DUMMYFUNCTION("""COMPUTED_VALUE"""),"P-19065-00")</f>
        <v>P-19065-00</v>
      </c>
      <c r="B110" s="2" t="str">
        <f>IFERROR(__xludf.DUMMYFUNCTION("""COMPUTED_VALUE"""),"General - Filter Dryer; Emerson; EK-052; 1 pcs")</f>
        <v>General - Filter Dryer; Emerson; EK-052; 1 pcs</v>
      </c>
      <c r="C110" s="2" t="str">
        <f>IFERROR(__xludf.DUMMYFUNCTION("""COMPUTED_VALUE"""),"pc")</f>
        <v>pc</v>
      </c>
      <c r="D110" s="2">
        <f>IFERROR(__xludf.DUMMYFUNCTION("""COMPUTED_VALUE"""),1.0)</f>
        <v>1</v>
      </c>
      <c r="E110" s="2" t="str">
        <f>IFERROR(__xludf.DUMMYFUNCTION("""COMPUTED_VALUE"""),"F-3-12")</f>
        <v>F-3-12</v>
      </c>
    </row>
    <row r="111">
      <c r="A111" s="2" t="str">
        <f>IFERROR(__xludf.DUMMYFUNCTION("""COMPUTED_VALUE"""),"O-52313-00")</f>
        <v>O-52313-00</v>
      </c>
      <c r="B111" s="2" t="str">
        <f>IFERROR(__xludf.DUMMYFUNCTION("""COMPUTED_VALUE"""),"General - Solenoid Valve, VZWD-L-M22C-M-G14-10-V-1P4-50; Festo; 1491828; 1 pcs")</f>
        <v>General - Solenoid Valve, VZWD-L-M22C-M-G14-10-V-1P4-50; Festo; 1491828; 1 pcs</v>
      </c>
      <c r="C111" s="2" t="str">
        <f>IFERROR(__xludf.DUMMYFUNCTION("""COMPUTED_VALUE"""),"pc")</f>
        <v>pc</v>
      </c>
      <c r="D111" s="2">
        <f>IFERROR(__xludf.DUMMYFUNCTION("""COMPUTED_VALUE"""),1.0)</f>
        <v>1</v>
      </c>
      <c r="E111" s="2" t="str">
        <f>IFERROR(__xludf.DUMMYFUNCTION("""COMPUTED_VALUE"""),"B-2-5A")</f>
        <v>B-2-5A</v>
      </c>
    </row>
    <row r="112">
      <c r="A112" s="2" t="str">
        <f>IFERROR(__xludf.DUMMYFUNCTION("""COMPUTED_VALUE"""),"Q-10573-00")</f>
        <v>Q-10573-00</v>
      </c>
      <c r="B112" s="2" t="str">
        <f>IFERROR(__xludf.DUMMYFUNCTION("""COMPUTED_VALUE"""),"Lampu Emergency TWS 200 Deco Batten 2xTL-D14W;Philips;;pack size per pcs")</f>
        <v>Lampu Emergency TWS 200 Deco Batten 2xTL-D14W;Philips;;pack size per pcs</v>
      </c>
      <c r="C112" s="2" t="str">
        <f>IFERROR(__xludf.DUMMYFUNCTION("""COMPUTED_VALUE"""),"pc")</f>
        <v>pc</v>
      </c>
      <c r="D112" s="2">
        <f>IFERROR(__xludf.DUMMYFUNCTION("""COMPUTED_VALUE"""),1.0)</f>
        <v>1</v>
      </c>
      <c r="E112" s="2" t="str">
        <f>IFERROR(__xludf.DUMMYFUNCTION("""COMPUTED_VALUE"""),"G5")</f>
        <v>G5</v>
      </c>
    </row>
    <row r="113">
      <c r="A113" s="2" t="str">
        <f>IFERROR(__xludf.DUMMYFUNCTION("""COMPUTED_VALUE"""),"P-19571-00")</f>
        <v>P-19571-00</v>
      </c>
      <c r="B113" s="2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13" s="2" t="str">
        <f>IFERROR(__xludf.DUMMYFUNCTION("""COMPUTED_VALUE"""),"pc")</f>
        <v>pc</v>
      </c>
      <c r="D113" s="2">
        <f>IFERROR(__xludf.DUMMYFUNCTION("""COMPUTED_VALUE"""),3.0)</f>
        <v>3</v>
      </c>
      <c r="E113" s="2" t="str">
        <f>IFERROR(__xludf.DUMMYFUNCTION("""COMPUTED_VALUE"""),"L-3 ")</f>
        <v>L-3 </v>
      </c>
    </row>
    <row r="114">
      <c r="A114" s="2" t="str">
        <f>IFERROR(__xludf.DUMMYFUNCTION("""COMPUTED_VALUE"""),"O-52496-00")</f>
        <v>O-52496-00</v>
      </c>
      <c r="B114" s="2" t="str">
        <f>IFERROR(__xludf.DUMMYFUNCTION("""COMPUTED_VALUE"""),"General - VF5000 SOL Valve 4/5 Port, VF5220-5DZ1-03; SMC Pneumatics; -; 1 pcs")</f>
        <v>General - VF5000 SOL Valve 4/5 Port, VF5220-5DZ1-03; SMC Pneumatics; -; 1 pcs</v>
      </c>
      <c r="C114" s="2" t="str">
        <f>IFERROR(__xludf.DUMMYFUNCTION("""COMPUTED_VALUE"""),"pc")</f>
        <v>pc</v>
      </c>
      <c r="D114" s="2">
        <f>IFERROR(__xludf.DUMMYFUNCTION("""COMPUTED_VALUE"""),1.0)</f>
        <v>1</v>
      </c>
      <c r="E114" s="2" t="str">
        <f>IFERROR(__xludf.DUMMYFUNCTION("""COMPUTED_VALUE"""),"C-2-3")</f>
        <v>C-2-3</v>
      </c>
    </row>
    <row r="115">
      <c r="A115" s="2" t="str">
        <f>IFERROR(__xludf.DUMMYFUNCTION("""COMPUTED_VALUE"""),"O-18009-00")</f>
        <v>O-18009-00</v>
      </c>
      <c r="B115" s="2" t="str">
        <f>IFERROR(__xludf.DUMMYFUNCTION("""COMPUTED_VALUE"""),"General - AN Silencer, AN30-03; SMC Pneumatics; -; 1 pcs")</f>
        <v>General - AN Silencer, AN30-03; SMC Pneumatics; -; 1 pcs</v>
      </c>
      <c r="C115" s="2" t="str">
        <f>IFERROR(__xludf.DUMMYFUNCTION("""COMPUTED_VALUE"""),"pc")</f>
        <v>pc</v>
      </c>
      <c r="D115" s="2">
        <f>IFERROR(__xludf.DUMMYFUNCTION("""COMPUTED_VALUE"""),2.0)</f>
        <v>2</v>
      </c>
      <c r="E115" s="2" t="str">
        <f>IFERROR(__xludf.DUMMYFUNCTION("""COMPUTED_VALUE"""),"C-2-5C")</f>
        <v>C-2-5C</v>
      </c>
    </row>
    <row r="116">
      <c r="A116" s="2" t="str">
        <f>IFERROR(__xludf.DUMMYFUNCTION("""COMPUTED_VALUE"""),"P-10958-00")</f>
        <v>P-10958-00</v>
      </c>
      <c r="B116" s="2" t="str">
        <f>IFERROR(__xludf.DUMMYFUNCTION("""COMPUTED_VALUE"""),"General - Kawat Las Tembaga 3.2 x 350mm; Harris; -; 1 kg")</f>
        <v>General - Kawat Las Tembaga 3.2 x 350mm; Harris; -; 1 kg</v>
      </c>
      <c r="C116" s="2" t="str">
        <f>IFERROR(__xludf.DUMMYFUNCTION("""COMPUTED_VALUE"""),"pc")</f>
        <v>pc</v>
      </c>
      <c r="D116" s="2">
        <f>IFERROR(__xludf.DUMMYFUNCTION("""COMPUTED_VALUE"""),60.0)</f>
        <v>60</v>
      </c>
      <c r="E116" s="2" t="str">
        <f>IFERROR(__xludf.DUMMYFUNCTION("""COMPUTED_VALUE"""),"M3")</f>
        <v>M3</v>
      </c>
    </row>
    <row r="117">
      <c r="A117" s="2" t="str">
        <f>IFERROR(__xludf.DUMMYFUNCTION("""COMPUTED_VALUE"""),"Q-60061-00")</f>
        <v>Q-60061-00</v>
      </c>
      <c r="B117" s="2" t="str">
        <f>IFERROR(__xludf.DUMMYFUNCTION("""COMPUTED_VALUE"""),"Cat Pylox Black;Nippon Paint;Type 109 Black;pack size per can")</f>
        <v>Cat Pylox Black;Nippon Paint;Type 109 Black;pack size per can</v>
      </c>
      <c r="C117" s="2" t="str">
        <f>IFERROR(__xludf.DUMMYFUNCTION("""COMPUTED_VALUE"""),"Can")</f>
        <v>Can</v>
      </c>
      <c r="D117" s="2">
        <f>IFERROR(__xludf.DUMMYFUNCTION("""COMPUTED_VALUE"""),7.0)</f>
        <v>7</v>
      </c>
      <c r="E117" s="2" t="str">
        <f>IFERROR(__xludf.DUMMYFUNCTION("""COMPUTED_VALUE"""),"Flammable")</f>
        <v>Flammable</v>
      </c>
    </row>
    <row r="118">
      <c r="A118" s="2" t="str">
        <f>IFERROR(__xludf.DUMMYFUNCTION("""COMPUTED_VALUE"""),"P-10598-00")</f>
        <v>P-10598-00</v>
      </c>
      <c r="B118" s="2" t="str">
        <f>IFERROR(__xludf.DUMMYFUNCTION("""COMPUTED_VALUE"""),"General - Bearing 61805 2RS1; SKF; -; 1 pcs")</f>
        <v>General - Bearing 61805 2RS1; SKF; -; 1 pcs</v>
      </c>
      <c r="C118" s="2" t="str">
        <f>IFERROR(__xludf.DUMMYFUNCTION("""COMPUTED_VALUE"""),"pc")</f>
        <v>pc</v>
      </c>
      <c r="D118" s="2">
        <f>IFERROR(__xludf.DUMMYFUNCTION("""COMPUTED_VALUE"""),5.0)</f>
        <v>5</v>
      </c>
      <c r="E118" s="2" t="str">
        <f>IFERROR(__xludf.DUMMYFUNCTION("""COMPUTED_VALUE"""),"A-1-3C")</f>
        <v>A-1-3C</v>
      </c>
    </row>
    <row r="119">
      <c r="A119" s="2" t="str">
        <f>IFERROR(__xludf.DUMMYFUNCTION("""COMPUTED_VALUE"""),"P-53213-00")</f>
        <v>P-53213-00</v>
      </c>
      <c r="B119" s="2" t="str">
        <f>IFERROR(__xludf.DUMMYFUNCTION("""COMPUTED_VALUE"""),"General - Lem Pipa PVC; No Brand; -; 1 Pc")</f>
        <v>General - Lem Pipa PVC; No Brand; -; 1 Pc</v>
      </c>
      <c r="C119" s="2" t="str">
        <f>IFERROR(__xludf.DUMMYFUNCTION("""COMPUTED_VALUE"""),"pc")</f>
        <v>pc</v>
      </c>
      <c r="D119" s="2">
        <f>IFERROR(__xludf.DUMMYFUNCTION("""COMPUTED_VALUE"""),1.0)</f>
        <v>1</v>
      </c>
      <c r="E119" s="2" t="str">
        <f>IFERROR(__xludf.DUMMYFUNCTION("""COMPUTED_VALUE"""),"Flammable")</f>
        <v>Flammable</v>
      </c>
    </row>
    <row r="120">
      <c r="A120" s="2" t="str">
        <f>IFERROR(__xludf.DUMMYFUNCTION("""COMPUTED_VALUE"""),"O-13510-00")</f>
        <v>O-13510-00</v>
      </c>
      <c r="B120" s="2" t="str">
        <f>IFERROR(__xludf.DUMMYFUNCTION("""COMPUTED_VALUE"""),"General - Push-in Connector, QS-12-10; Festo; 153040; 1 pcs")</f>
        <v>General - Push-in Connector, QS-12-10; Festo; 153040; 1 pcs</v>
      </c>
      <c r="C120" s="2" t="str">
        <f>IFERROR(__xludf.DUMMYFUNCTION("""COMPUTED_VALUE"""),"pc")</f>
        <v>pc</v>
      </c>
      <c r="D120" s="2">
        <f>IFERROR(__xludf.DUMMYFUNCTION("""COMPUTED_VALUE"""),4.0)</f>
        <v>4</v>
      </c>
      <c r="E120" s="2" t="str">
        <f>IFERROR(__xludf.DUMMYFUNCTION("""COMPUTED_VALUE"""),"M3")</f>
        <v>M3</v>
      </c>
    </row>
    <row r="121">
      <c r="A121" s="2" t="str">
        <f>IFERROR(__xludf.DUMMYFUNCTION("""COMPUTED_VALUE"""),"O-19384-00")</f>
        <v>O-19384-00</v>
      </c>
      <c r="B121" s="2" t="str">
        <f>IFERROR(__xludf.DUMMYFUNCTION("""COMPUTED_VALUE"""),"General - HEPA filter H14 minipleat, size: 203x203x69 Class (EN 1822) 99,995% MPPS; Hencolin; -; 1 Pc")</f>
        <v>General - HEPA filter H14 minipleat, size: 203x203x69 Class (EN 1822) 99,995% MPPS; Hencolin; -; 1 Pc</v>
      </c>
      <c r="C121" s="2" t="str">
        <f>IFERROR(__xludf.DUMMYFUNCTION("""COMPUTED_VALUE"""),"pc")</f>
        <v>pc</v>
      </c>
      <c r="D121" s="2">
        <f>IFERROR(__xludf.DUMMYFUNCTION("""COMPUTED_VALUE"""),2.0)</f>
        <v>2</v>
      </c>
      <c r="E121" s="2" t="str">
        <f>IFERROR(__xludf.DUMMYFUNCTION("""COMPUTED_VALUE"""),"-")</f>
        <v>-</v>
      </c>
    </row>
    <row r="122">
      <c r="A122" s="2" t="str">
        <f>IFERROR(__xludf.DUMMYFUNCTION("""COMPUTED_VALUE"""),"O-19211-00")</f>
        <v>O-19211-00</v>
      </c>
      <c r="B122" s="2" t="str">
        <f>IFERROR(__xludf.DUMMYFUNCTION("""COMPUTED_VALUE"""),"General - Thermal Expansi Valve TE 2 3/8 Inch (In)1/2 Inch (Out); Danfoss; 068Z3411; 1 Pc")</f>
        <v>General - Thermal Expansi Valve TE 2 3/8 Inch (In)1/2 Inch (Out); Danfoss; 068Z3411; 1 Pc</v>
      </c>
      <c r="C122" s="2" t="str">
        <f>IFERROR(__xludf.DUMMYFUNCTION("""COMPUTED_VALUE"""),"pc")</f>
        <v>pc</v>
      </c>
      <c r="D122" s="2">
        <f>IFERROR(__xludf.DUMMYFUNCTION("""COMPUTED_VALUE"""),2.0)</f>
        <v>2</v>
      </c>
      <c r="E122" s="2" t="str">
        <f>IFERROR(__xludf.DUMMYFUNCTION("""COMPUTED_VALUE"""),"D-2-10A")</f>
        <v>D-2-10A</v>
      </c>
    </row>
    <row r="123">
      <c r="A123" s="2" t="str">
        <f>IFERROR(__xludf.DUMMYFUNCTION("""COMPUTED_VALUE"""),"P-14379-00")</f>
        <v>P-14379-00</v>
      </c>
      <c r="B123" s="2" t="str">
        <f>IFERROR(__xludf.DUMMYFUNCTION("""COMPUTED_VALUE"""),"General - Gasket Ferrule EPDM 3/4inch; Lokal; -; 1 pc")</f>
        <v>General - Gasket Ferrule EPDM 3/4inch; Lokal; -; 1 pc</v>
      </c>
      <c r="C123" s="2" t="str">
        <f>IFERROR(__xludf.DUMMYFUNCTION("""COMPUTED_VALUE"""),"pc")</f>
        <v>pc</v>
      </c>
      <c r="D123" s="2">
        <f>IFERROR(__xludf.DUMMYFUNCTION("""COMPUTED_VALUE"""),9.0)</f>
        <v>9</v>
      </c>
      <c r="E123" s="2" t="str">
        <f>IFERROR(__xludf.DUMMYFUNCTION("""COMPUTED_VALUE"""),"D-2-2A")</f>
        <v>D-2-2A</v>
      </c>
    </row>
    <row r="124">
      <c r="A124" s="2" t="str">
        <f>IFERROR(__xludf.DUMMYFUNCTION("""COMPUTED_VALUE"""),"P-52501-00")</f>
        <v>P-52501-00</v>
      </c>
      <c r="B124" s="2" t="str">
        <f>IFERROR(__xludf.DUMMYFUNCTION("""COMPUTED_VALUE"""),"General - Timer 220 VAC; Omron; H3CR- A8; 1 pc")</f>
        <v>General - Timer 220 VAC; Omron; H3CR- A8; 1 pc</v>
      </c>
      <c r="C124" s="2" t="str">
        <f>IFERROR(__xludf.DUMMYFUNCTION("""COMPUTED_VALUE"""),"pc")</f>
        <v>pc</v>
      </c>
      <c r="D124" s="2">
        <f>IFERROR(__xludf.DUMMYFUNCTION("""COMPUTED_VALUE"""),1.0)</f>
        <v>1</v>
      </c>
      <c r="E124" s="2" t="str">
        <f>IFERROR(__xludf.DUMMYFUNCTION("""COMPUTED_VALUE"""),"B-4")</f>
        <v>B-4</v>
      </c>
    </row>
    <row r="125">
      <c r="A125" s="2" t="str">
        <f>IFERROR(__xludf.DUMMYFUNCTION("""COMPUTED_VALUE"""),"O-53464-00")</f>
        <v>O-53464-00</v>
      </c>
      <c r="B125" s="2" t="str">
        <f>IFERROR(__xludf.DUMMYFUNCTION("""COMPUTED_VALUE"""),"Filling VFM100 - SENSOR NO 10-30 VDC, 200MA; NITROGEN POST-GAS  FLOW CHECK SENSOR; ; 202196; 1 Pc")</f>
        <v>Filling VFM100 - SENSOR NO 10-30 VDC, 200MA; NITROGEN POST-GAS  FLOW CHECK SENSOR; ; 202196; 1 Pc</v>
      </c>
      <c r="C125" s="2" t="str">
        <f>IFERROR(__xludf.DUMMYFUNCTION("""COMPUTED_VALUE"""),"pc")</f>
        <v>pc</v>
      </c>
      <c r="D125" s="2">
        <f>IFERROR(__xludf.DUMMYFUNCTION("""COMPUTED_VALUE"""),1.0)</f>
        <v>1</v>
      </c>
      <c r="E125" s="2" t="str">
        <f>IFERROR(__xludf.DUMMYFUNCTION("""COMPUTED_VALUE"""),"-")</f>
        <v>-</v>
      </c>
    </row>
    <row r="126">
      <c r="A126" s="2" t="str">
        <f>IFERROR(__xludf.DUMMYFUNCTION("""COMPUTED_VALUE"""),"O-51817-00")</f>
        <v>O-51817-00</v>
      </c>
      <c r="B126" s="2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126" s="2" t="str">
        <f>IFERROR(__xludf.DUMMYFUNCTION("""COMPUTED_VALUE"""),"unt")</f>
        <v>unt</v>
      </c>
      <c r="D126" s="2">
        <f>IFERROR(__xludf.DUMMYFUNCTION("""COMPUTED_VALUE"""),2.0)</f>
        <v>2</v>
      </c>
      <c r="E126" s="2" t="str">
        <f>IFERROR(__xludf.DUMMYFUNCTION("""COMPUTED_VALUE"""),"C-2-8A")</f>
        <v>C-2-8A</v>
      </c>
    </row>
    <row r="127">
      <c r="A127" s="2" t="str">
        <f>IFERROR(__xludf.DUMMYFUNCTION("""COMPUTED_VALUE"""),"O-15572-00")</f>
        <v>O-15572-00</v>
      </c>
      <c r="B127" s="2" t="str">
        <f>IFERROR(__xludf.DUMMYFUNCTION("""COMPUTED_VALUE"""),"CORDA TONDA IN NBR D=3MM; STERILINE ; PART NO :6829")</f>
        <v>CORDA TONDA IN NBR D=3MM; STERILINE ; PART NO :6829</v>
      </c>
      <c r="C127" s="2" t="str">
        <f>IFERROR(__xludf.DUMMYFUNCTION("""COMPUTED_VALUE"""),"unt")</f>
        <v>unt</v>
      </c>
      <c r="D127" s="2">
        <f>IFERROR(__xludf.DUMMYFUNCTION("""COMPUTED_VALUE"""),1.0)</f>
        <v>1</v>
      </c>
      <c r="E127" s="2" t="str">
        <f>IFERROR(__xludf.DUMMYFUNCTION("""COMPUTED_VALUE"""),"A-1-5A")</f>
        <v>A-1-5A</v>
      </c>
    </row>
    <row r="128">
      <c r="A128" s="2" t="str">
        <f>IFERROR(__xludf.DUMMYFUNCTION("""COMPUTED_VALUE"""),"O-16173-00")</f>
        <v>O-16173-00</v>
      </c>
      <c r="B128" s="2" t="str">
        <f>IFERROR(__xludf.DUMMYFUNCTION("""COMPUTED_VALUE"""),"O-RING T=3,53 :OR 4275 MVQ NT80-RED 39269097; Order No : 5022383; ; ;")</f>
        <v>O-RING T=3,53 :OR 4275 MVQ NT80-RED 39269097; Order No : 5022383; ; ;</v>
      </c>
      <c r="C128" s="2" t="str">
        <f>IFERROR(__xludf.DUMMYFUNCTION("""COMPUTED_VALUE"""),"unt")</f>
        <v>unt</v>
      </c>
      <c r="D128" s="2">
        <f>IFERROR(__xludf.DUMMYFUNCTION("""COMPUTED_VALUE"""),24.0)</f>
        <v>24</v>
      </c>
      <c r="E128" s="2" t="str">
        <f>IFERROR(__xludf.DUMMYFUNCTION("""COMPUTED_VALUE"""),"D-1-7")</f>
        <v>D-1-7</v>
      </c>
    </row>
    <row r="129">
      <c r="A129" s="2" t="str">
        <f>IFERROR(__xludf.DUMMYFUNCTION("""COMPUTED_VALUE"""),"P-14949-00")</f>
        <v>P-14949-00</v>
      </c>
      <c r="B129" s="2" t="str">
        <f>IFERROR(__xludf.DUMMYFUNCTION("""COMPUTED_VALUE"""),"General - Fitting Male Elbow KQ2L08-03AS; SMC; -; 1 pc")</f>
        <v>General - Fitting Male Elbow KQ2L08-03AS; SMC; -; 1 pc</v>
      </c>
      <c r="C129" s="2" t="str">
        <f>IFERROR(__xludf.DUMMYFUNCTION("""COMPUTED_VALUE"""),"pc")</f>
        <v>pc</v>
      </c>
      <c r="D129" s="2">
        <f>IFERROR(__xludf.DUMMYFUNCTION("""COMPUTED_VALUE"""),6.0)</f>
        <v>6</v>
      </c>
      <c r="E129" s="2" t="str">
        <f>IFERROR(__xludf.DUMMYFUNCTION("""COMPUTED_VALUE"""),"-")</f>
        <v>-</v>
      </c>
    </row>
    <row r="130">
      <c r="A130" s="2" t="str">
        <f>IFERROR(__xludf.DUMMYFUNCTION("""COMPUTED_VALUE"""),"O-54124-00")</f>
        <v>O-54124-00</v>
      </c>
      <c r="B130" s="2" t="str">
        <f>IFERROR(__xludf.DUMMYFUNCTION("""COMPUTED_VALUE"""),"Freeze Dryer MBE1207; - Oring 345X5.30; IMA Life Beijing; EB41-00320; 1 Pc")</f>
        <v>Freeze Dryer MBE1207; - Oring 345X5.30; IMA Life Beijing; EB41-00320; 1 Pc</v>
      </c>
      <c r="C130" s="2" t="str">
        <f>IFERROR(__xludf.DUMMYFUNCTION("""COMPUTED_VALUE"""),"pc")</f>
        <v>pc</v>
      </c>
      <c r="D130" s="2">
        <f>IFERROR(__xludf.DUMMYFUNCTION("""COMPUTED_VALUE"""),6.0)</f>
        <v>6</v>
      </c>
      <c r="E130" s="2" t="str">
        <f>IFERROR(__xludf.DUMMYFUNCTION("""COMPUTED_VALUE"""),"D3")</f>
        <v>D3</v>
      </c>
    </row>
    <row r="131">
      <c r="A131" s="2" t="str">
        <f>IFERROR(__xludf.DUMMYFUNCTION("""COMPUTED_VALUE"""),"O-53476-00")</f>
        <v>O-53476-00</v>
      </c>
      <c r="B131" s="2" t="str">
        <f>IFERROR(__xludf.DUMMYFUNCTION("""COMPUTED_VALUE"""),"Tunnel ST1L - High Precision Optical Fiber; Omron; E32T61S5M; ; ; 1 Pc")</f>
        <v>Tunnel ST1L - High Precision Optical Fiber; Omron; E32T61S5M; ; ; 1 Pc</v>
      </c>
      <c r="C131" s="2" t="str">
        <f>IFERROR(__xludf.DUMMYFUNCTION("""COMPUTED_VALUE"""),"pc")</f>
        <v>pc</v>
      </c>
      <c r="D131" s="2">
        <f>IFERROR(__xludf.DUMMYFUNCTION("""COMPUTED_VALUE"""),1.0)</f>
        <v>1</v>
      </c>
      <c r="E131" s="2" t="str">
        <f>IFERROR(__xludf.DUMMYFUNCTION("""COMPUTED_VALUE"""),"-")</f>
        <v>-</v>
      </c>
    </row>
    <row r="132">
      <c r="A132" s="2" t="str">
        <f>IFERROR(__xludf.DUMMYFUNCTION("""COMPUTED_VALUE"""),"P-20854-00")</f>
        <v>P-20854-00</v>
      </c>
      <c r="B132" s="2" t="str">
        <f>IFERROR(__xludf.DUMMYFUNCTION("""COMPUTED_VALUE"""),"General - Silicone Rubber Sheet 5mm x 1000mm x 1000mm; No Brand; -; 1 pc")</f>
        <v>General - Silicone Rubber Sheet 5mm x 1000mm x 1000mm; No Brand; -; 1 pc</v>
      </c>
      <c r="C132" s="2" t="str">
        <f>IFERROR(__xludf.DUMMYFUNCTION("""COMPUTED_VALUE"""),"pc")</f>
        <v>pc</v>
      </c>
      <c r="D132" s="2">
        <f>IFERROR(__xludf.DUMMYFUNCTION("""COMPUTED_VALUE"""),1.0)</f>
        <v>1</v>
      </c>
      <c r="E132" s="2" t="str">
        <f>IFERROR(__xludf.DUMMYFUNCTION("""COMPUTED_VALUE"""),"-")</f>
        <v>-</v>
      </c>
    </row>
    <row r="133">
      <c r="A133" s="2" t="str">
        <f>IFERROR(__xludf.DUMMYFUNCTION("""COMPUTED_VALUE"""),"O-16152-00")</f>
        <v>O-16152-00</v>
      </c>
      <c r="B133" s="2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133" s="2" t="str">
        <f>IFERROR(__xludf.DUMMYFUNCTION("""COMPUTED_VALUE"""),"unt")</f>
        <v>unt</v>
      </c>
      <c r="D133" s="2">
        <f>IFERROR(__xludf.DUMMYFUNCTION("""COMPUTED_VALUE"""),1.0)</f>
        <v>1</v>
      </c>
      <c r="E133" s="2" t="str">
        <f>IFERROR(__xludf.DUMMYFUNCTION("""COMPUTED_VALUE"""),"D-1-3C")</f>
        <v>D-1-3C</v>
      </c>
    </row>
    <row r="134">
      <c r="A134" s="2" t="str">
        <f>IFERROR(__xludf.DUMMYFUNCTION("""COMPUTED_VALUE"""),"P-52579-00")</f>
        <v>P-52579-00</v>
      </c>
      <c r="B134" s="2" t="str">
        <f>IFERROR(__xludf.DUMMYFUNCTION("""COMPUTED_VALUE"""),"General - Dosing Pump / Peristaltic Pump, 24 VDC, 0-19 ml/min RZ1030-BX; No Brand; -; 1 pc")</f>
        <v>General - Dosing Pump / Peristaltic Pump, 24 VDC, 0-19 ml/min RZ1030-BX; No Brand; -; 1 pc</v>
      </c>
      <c r="C134" s="2" t="str">
        <f>IFERROR(__xludf.DUMMYFUNCTION("""COMPUTED_VALUE"""),"unt")</f>
        <v>unt</v>
      </c>
      <c r="D134" s="2">
        <f>IFERROR(__xludf.DUMMYFUNCTION("""COMPUTED_VALUE"""),1.0)</f>
        <v>1</v>
      </c>
      <c r="E134" s="2" t="str">
        <f>IFERROR(__xludf.DUMMYFUNCTION("""COMPUTED_VALUE"""),"M-4")</f>
        <v>M-4</v>
      </c>
    </row>
    <row r="135">
      <c r="A135" s="2" t="str">
        <f>IFERROR(__xludf.DUMMYFUNCTION("""COMPUTED_VALUE"""),"P-19949-00")</f>
        <v>P-19949-00</v>
      </c>
      <c r="B135" s="2" t="str">
        <f>IFERROR(__xludf.DUMMYFUNCTION("""COMPUTED_VALUE"""),"General - Label Maker Cable CAT6A; No Brand; -; 1 pc")</f>
        <v>General - Label Maker Cable CAT6A; No Brand; -; 1 pc</v>
      </c>
      <c r="C135" s="2" t="str">
        <f>IFERROR(__xludf.DUMMYFUNCTION("""COMPUTED_VALUE"""),"pc")</f>
        <v>pc</v>
      </c>
      <c r="D135" s="2">
        <f>IFERROR(__xludf.DUMMYFUNCTION("""COMPUTED_VALUE"""),500.0)</f>
        <v>500</v>
      </c>
      <c r="E135" s="2" t="str">
        <f>IFERROR(__xludf.DUMMYFUNCTION("""COMPUTED_VALUE"""),"-")</f>
        <v>-</v>
      </c>
    </row>
    <row r="136">
      <c r="A136" s="2" t="str">
        <f>IFERROR(__xludf.DUMMYFUNCTION("""COMPUTED_VALUE"""),"P-50962-00")</f>
        <v>P-50962-00</v>
      </c>
      <c r="B136" s="2" t="str">
        <f>IFERROR(__xludf.DUMMYFUNCTION("""COMPUTED_VALUE"""),"General - Fuse kaca 5A x 6 x 30mm; Lokal; -; 1 pc")</f>
        <v>General - Fuse kaca 5A x 6 x 30mm; Lokal; -; 1 pc</v>
      </c>
      <c r="C136" s="2" t="str">
        <f>IFERROR(__xludf.DUMMYFUNCTION("""COMPUTED_VALUE"""),"pc")</f>
        <v>pc</v>
      </c>
      <c r="D136" s="2">
        <f>IFERROR(__xludf.DUMMYFUNCTION("""COMPUTED_VALUE"""),8.0)</f>
        <v>8</v>
      </c>
      <c r="E136" s="2" t="str">
        <f>IFERROR(__xludf.DUMMYFUNCTION("""COMPUTED_VALUE"""),"-")</f>
        <v>-</v>
      </c>
    </row>
    <row r="137">
      <c r="A137" s="2" t="str">
        <f>IFERROR(__xludf.DUMMYFUNCTION("""COMPUTED_VALUE"""),"O-16317-00")</f>
        <v>O-16317-00</v>
      </c>
      <c r="B137" s="2" t="str">
        <f>IFERROR(__xludf.DUMMYFUNCTION("""COMPUTED_VALUE"""),"General - Oli Vaccum Ultragrade 20; Edwards; H11024013; 1 Pail = 4 Liter")</f>
        <v>General - Oli Vaccum Ultragrade 20; Edwards; H11024013; 1 Pail = 4 Liter</v>
      </c>
      <c r="C137" s="2" t="str">
        <f>IFERROR(__xludf.DUMMYFUNCTION("""COMPUTED_VALUE"""),"L")</f>
        <v>L</v>
      </c>
      <c r="D137" s="2">
        <f>IFERROR(__xludf.DUMMYFUNCTION("""COMPUTED_VALUE"""),40.0)</f>
        <v>40</v>
      </c>
      <c r="E137" s="2"/>
    </row>
    <row r="138">
      <c r="A138" s="2" t="str">
        <f>IFERROR(__xludf.DUMMYFUNCTION("""COMPUTED_VALUE"""),"P-14970-00")</f>
        <v>P-14970-00</v>
      </c>
      <c r="B138" s="2" t="str">
        <f>IFERROR(__xludf.DUMMYFUNCTION("""COMPUTED_VALUE"""),"General - Pipa PVC AW dia. 2 1/2inch; Rucika; -; 1 pcs")</f>
        <v>General - Pipa PVC AW dia. 2 1/2inch; Rucika; -; 1 pcs</v>
      </c>
      <c r="C138" s="2" t="str">
        <f>IFERROR(__xludf.DUMMYFUNCTION("""COMPUTED_VALUE"""),"pc")</f>
        <v>pc</v>
      </c>
      <c r="D138" s="2">
        <f>IFERROR(__xludf.DUMMYFUNCTION("""COMPUTED_VALUE"""),6.0)</f>
        <v>6</v>
      </c>
      <c r="E138" s="2"/>
    </row>
    <row r="139">
      <c r="A139" s="2" t="str">
        <f>IFERROR(__xludf.DUMMYFUNCTION("""COMPUTED_VALUE"""),"P-12490-00")</f>
        <v>P-12490-00</v>
      </c>
      <c r="B139" s="2" t="str">
        <f>IFERROR(__xludf.DUMMYFUNCTION("""COMPUTED_VALUE"""),"General - Mata Bor Besi, dia. 5 mm; NACHI; -; 1 pcs")</f>
        <v>General - Mata Bor Besi, dia. 5 mm; NACHI; -; 1 pcs</v>
      </c>
      <c r="C139" s="2" t="str">
        <f>IFERROR(__xludf.DUMMYFUNCTION("""COMPUTED_VALUE"""),"pc")</f>
        <v>pc</v>
      </c>
      <c r="D139" s="2">
        <f>IFERROR(__xludf.DUMMYFUNCTION("""COMPUTED_VALUE"""),3.0)</f>
        <v>3</v>
      </c>
      <c r="E139" s="2" t="str">
        <f>IFERROR(__xludf.DUMMYFUNCTION("""COMPUTED_VALUE"""),"S-2-8")</f>
        <v>S-2-8</v>
      </c>
    </row>
    <row r="140">
      <c r="A140" s="2" t="str">
        <f>IFERROR(__xludf.DUMMYFUNCTION("""COMPUTED_VALUE"""),"Q-10900-00")</f>
        <v>Q-10900-00</v>
      </c>
      <c r="B140" s="2" t="str">
        <f>IFERROR(__xludf.DUMMYFUNCTION("""COMPUTED_VALUE"""),"Skrup Baja Hitam;No Brand;;pack size per pack")</f>
        <v>Skrup Baja Hitam;No Brand;;pack size per pack</v>
      </c>
      <c r="C140" s="2" t="str">
        <f>IFERROR(__xludf.DUMMYFUNCTION("""COMPUTED_VALUE"""),"Pck")</f>
        <v>Pck</v>
      </c>
      <c r="D140" s="2">
        <f>IFERROR(__xludf.DUMMYFUNCTION("""COMPUTED_VALUE"""),1.0)</f>
        <v>1</v>
      </c>
      <c r="E140" s="2"/>
    </row>
    <row r="141">
      <c r="A141" s="2" t="str">
        <f>IFERROR(__xludf.DUMMYFUNCTION("""COMPUTED_VALUE"""),"O-15718-00")</f>
        <v>O-15718-00</v>
      </c>
      <c r="B141" s="2" t="str">
        <f>IFERROR(__xludf.DUMMYFUNCTION("""COMPUTED_VALUE"""),"General - SYNTHETIC FOOD GRADE; CRC; NSF H1; 1 Pc")</f>
        <v>General - SYNTHETIC FOOD GRADE; CRC; NSF H1; 1 Pc</v>
      </c>
      <c r="C141" s="2" t="str">
        <f>IFERROR(__xludf.DUMMYFUNCTION("""COMPUTED_VALUE"""),"pc")</f>
        <v>pc</v>
      </c>
      <c r="D141" s="2">
        <f>IFERROR(__xludf.DUMMYFUNCTION("""COMPUTED_VALUE"""),3.0)</f>
        <v>3</v>
      </c>
      <c r="E141" s="2" t="str">
        <f>IFERROR(__xludf.DUMMYFUNCTION("""COMPUTED_VALUE"""),"M3")</f>
        <v>M3</v>
      </c>
    </row>
    <row r="142">
      <c r="A142" s="2" t="str">
        <f>IFERROR(__xludf.DUMMYFUNCTION("""COMPUTED_VALUE"""),"P-52710-00")</f>
        <v>P-52710-00</v>
      </c>
      <c r="B142" s="2" t="str">
        <f>IFERROR(__xludf.DUMMYFUNCTION("""COMPUTED_VALUE"""),"General - USB Extension Cable Waterproof IP6; No Brand; -; 1 Pc")</f>
        <v>General - USB Extension Cable Waterproof IP6; No Brand; -; 1 Pc</v>
      </c>
      <c r="C142" s="2" t="str">
        <f>IFERROR(__xludf.DUMMYFUNCTION("""COMPUTED_VALUE"""),"pc")</f>
        <v>pc</v>
      </c>
      <c r="D142" s="2">
        <f>IFERROR(__xludf.DUMMYFUNCTION("""COMPUTED_VALUE"""),1.0)</f>
        <v>1</v>
      </c>
      <c r="E142" s="2" t="str">
        <f>IFERROR(__xludf.DUMMYFUNCTION("""COMPUTED_VALUE"""),"E2")</f>
        <v>E2</v>
      </c>
    </row>
    <row r="143">
      <c r="A143" s="2" t="str">
        <f>IFERROR(__xludf.DUMMYFUNCTION("""COMPUTED_VALUE"""),"P-20045-00")</f>
        <v>P-20045-00</v>
      </c>
      <c r="B143" s="2" t="str">
        <f>IFERROR(__xludf.DUMMYFUNCTION("""COMPUTED_VALUE"""),"General - Pipa Ornamen SS304 1 inch x 1.2mm x 6m; No Brand; -; 1 pc")</f>
        <v>General - Pipa Ornamen SS304 1 inch x 1.2mm x 6m; No Brand; -; 1 pc</v>
      </c>
      <c r="C143" s="2" t="str">
        <f>IFERROR(__xludf.DUMMYFUNCTION("""COMPUTED_VALUE"""),"pc")</f>
        <v>pc</v>
      </c>
      <c r="D143" s="2">
        <f>IFERROR(__xludf.DUMMYFUNCTION("""COMPUTED_VALUE"""),2.0)</f>
        <v>2</v>
      </c>
      <c r="E143" s="2"/>
    </row>
    <row r="144">
      <c r="A144" s="2" t="str">
        <f>IFERROR(__xludf.DUMMYFUNCTION("""COMPUTED_VALUE"""),"O-19392-00")</f>
        <v>O-19392-00</v>
      </c>
      <c r="B144" s="2" t="str">
        <f>IFERROR(__xludf.DUMMYFUNCTION("""COMPUTED_VALUE"""),"General - HEPA filter H13 minipleat, size: 305X305X93; Hencolin; -; 1 Pc")</f>
        <v>General - HEPA filter H13 minipleat, size: 305X305X93; Hencolin; -; 1 Pc</v>
      </c>
      <c r="C144" s="2" t="str">
        <f>IFERROR(__xludf.DUMMYFUNCTION("""COMPUTED_VALUE"""),"pc")</f>
        <v>pc</v>
      </c>
      <c r="D144" s="2">
        <f>IFERROR(__xludf.DUMMYFUNCTION("""COMPUTED_VALUE"""),11.0)</f>
        <v>11</v>
      </c>
      <c r="E144" s="2" t="str">
        <f>IFERROR(__xludf.DUMMYFUNCTION("""COMPUTED_VALUE"""),"Ruang Filter")</f>
        <v>Ruang Filter</v>
      </c>
    </row>
    <row r="145">
      <c r="A145" s="2" t="str">
        <f>IFERROR(__xludf.DUMMYFUNCTION("""COMPUTED_VALUE"""),"P-51741-00")</f>
        <v>P-51741-00</v>
      </c>
      <c r="B145" s="2" t="str">
        <f>IFERROR(__xludf.DUMMYFUNCTION("""COMPUTED_VALUE"""),"Lampu Phillips PHP LED; 710 7w E27 White 220-240v; ; ;")</f>
        <v>Lampu Phillips PHP LED; 710 7w E27 White 220-240v; ; ;</v>
      </c>
      <c r="C145" s="2" t="str">
        <f>IFERROR(__xludf.DUMMYFUNCTION("""COMPUTED_VALUE"""),"pc")</f>
        <v>pc</v>
      </c>
      <c r="D145" s="2">
        <f>IFERROR(__xludf.DUMMYFUNCTION("""COMPUTED_VALUE"""),15.0)</f>
        <v>15</v>
      </c>
      <c r="E145" s="2" t="str">
        <f>IFERROR(__xludf.DUMMYFUNCTION("""COMPUTED_VALUE"""),"O3")</f>
        <v>O3</v>
      </c>
    </row>
    <row r="146">
      <c r="A146" s="2" t="str">
        <f>IFERROR(__xludf.DUMMYFUNCTION("""COMPUTED_VALUE"""),"P-53383-00")</f>
        <v>P-53383-00</v>
      </c>
      <c r="B146" s="2" t="str">
        <f>IFERROR(__xludf.DUMMYFUNCTION("""COMPUTED_VALUE"""),"General - Water Check Valve DN50 JIS10K 2inch, Body Cast Iron, Disc SS304; Tozen; ;")</f>
        <v>General - Water Check Valve DN50 JIS10K 2inch, Body Cast Iron, Disc SS304; Tozen; ;</v>
      </c>
      <c r="C146" s="2" t="str">
        <f>IFERROR(__xludf.DUMMYFUNCTION("""COMPUTED_VALUE"""),"pc")</f>
        <v>pc</v>
      </c>
      <c r="D146" s="2">
        <f>IFERROR(__xludf.DUMMYFUNCTION("""COMPUTED_VALUE"""),2.0)</f>
        <v>2</v>
      </c>
      <c r="E146" s="2" t="str">
        <f>IFERROR(__xludf.DUMMYFUNCTION("""COMPUTED_VALUE"""),"Kardus L3")</f>
        <v>Kardus L3</v>
      </c>
    </row>
    <row r="147">
      <c r="A147" s="2" t="str">
        <f>IFERROR(__xludf.DUMMYFUNCTION("""COMPUTED_VALUE"""),"O-21307-00")</f>
        <v>O-21307-00</v>
      </c>
      <c r="B147" s="2" t="str">
        <f>IFERROR(__xludf.DUMMYFUNCTION("""COMPUTED_VALUE"""),"Coating PLAB - Spare Kit; SMC; VN1-4AA; ; ; 1 Pc")</f>
        <v>Coating PLAB - Spare Kit; SMC; VN1-4AA; ; ; 1 Pc</v>
      </c>
      <c r="C147" s="2" t="str">
        <f>IFERROR(__xludf.DUMMYFUNCTION("""COMPUTED_VALUE"""),"pc")</f>
        <v>pc</v>
      </c>
      <c r="D147" s="2">
        <f>IFERROR(__xludf.DUMMYFUNCTION("""COMPUTED_VALUE"""),3.0)</f>
        <v>3</v>
      </c>
      <c r="E147" s="2" t="str">
        <f>IFERROR(__xludf.DUMMYFUNCTION("""COMPUTED_VALUE"""),"-")</f>
        <v>-</v>
      </c>
    </row>
    <row r="148">
      <c r="A148" s="2" t="str">
        <f>IFERROR(__xludf.DUMMYFUNCTION("""COMPUTED_VALUE"""),"P-15960-00")</f>
        <v>P-15960-00</v>
      </c>
      <c r="B148" s="2" t="str">
        <f>IFERROR(__xludf.DUMMYFUNCTION("""COMPUTED_VALUE"""),"General - Freon R32; Chemours; -; 1 pcs")</f>
        <v>General - Freon R32; Chemours; -; 1 pcs</v>
      </c>
      <c r="C148" s="2" t="str">
        <f>IFERROR(__xludf.DUMMYFUNCTION("""COMPUTED_VALUE"""),"Can")</f>
        <v>Can</v>
      </c>
      <c r="D148" s="2">
        <f>IFERROR(__xludf.DUMMYFUNCTION("""COMPUTED_VALUE"""),4.0)</f>
        <v>4</v>
      </c>
      <c r="E148" s="2" t="str">
        <f>IFERROR(__xludf.DUMMYFUNCTION("""COMPUTED_VALUE"""),"-")</f>
        <v>-</v>
      </c>
    </row>
    <row r="149">
      <c r="A149" s="2" t="str">
        <f>IFERROR(__xludf.DUMMYFUNCTION("""COMPUTED_VALUE"""),"Q-10249-00")</f>
        <v>Q-10249-00</v>
      </c>
      <c r="B149" s="2" t="str">
        <f>IFERROR(__xludf.DUMMYFUNCTION("""COMPUTED_VALUE"""),"Lem;Power Glue;;pack size per pcs")</f>
        <v>Lem;Power Glue;;pack size per pcs</v>
      </c>
      <c r="C149" s="2" t="str">
        <f>IFERROR(__xludf.DUMMYFUNCTION("""COMPUTED_VALUE"""),"pc")</f>
        <v>pc</v>
      </c>
      <c r="D149" s="2">
        <f>IFERROR(__xludf.DUMMYFUNCTION("""COMPUTED_VALUE"""),65.0)</f>
        <v>65</v>
      </c>
      <c r="E149" s="2" t="str">
        <f>IFERROR(__xludf.DUMMYFUNCTION("""COMPUTED_VALUE"""),"N3")</f>
        <v>N3</v>
      </c>
    </row>
    <row r="150">
      <c r="A150" s="2" t="str">
        <f>IFERROR(__xludf.DUMMYFUNCTION("""COMPUTED_VALUE"""),"P-54372-00")</f>
        <v>P-54372-00</v>
      </c>
      <c r="B150" s="2" t="str">
        <f>IFERROR(__xludf.DUMMYFUNCTION("""COMPUTED_VALUE"""),"General - Fuse Holder 10 x 38, 32A; Fort; -; 1 pc")</f>
        <v>General - Fuse Holder 10 x 38, 32A; Fort; -; 1 pc</v>
      </c>
      <c r="C150" s="2" t="str">
        <f>IFERROR(__xludf.DUMMYFUNCTION("""COMPUTED_VALUE"""),"pc")</f>
        <v>pc</v>
      </c>
      <c r="D150" s="2">
        <f>IFERROR(__xludf.DUMMYFUNCTION("""COMPUTED_VALUE"""),2.0)</f>
        <v>2</v>
      </c>
      <c r="E150" s="2" t="str">
        <f>IFERROR(__xludf.DUMMYFUNCTION("""COMPUTED_VALUE"""),"A-4-7C")</f>
        <v>A-4-7C</v>
      </c>
    </row>
    <row r="151">
      <c r="A151" s="2" t="str">
        <f>IFERROR(__xludf.DUMMYFUNCTION("""COMPUTED_VALUE"""),"P-10763-00")</f>
        <v>P-10763-00</v>
      </c>
      <c r="B151" s="2" t="str">
        <f>IFERROR(__xludf.DUMMYFUNCTION("""COMPUTED_VALUE"""),"General - Ferrule SS 316L 1inch; No Brand; -; 1 pcs")</f>
        <v>General - Ferrule SS 316L 1inch; No Brand; -; 1 pcs</v>
      </c>
      <c r="C151" s="2" t="str">
        <f>IFERROR(__xludf.DUMMYFUNCTION("""COMPUTED_VALUE"""),"pc")</f>
        <v>pc</v>
      </c>
      <c r="D151" s="2">
        <f>IFERROR(__xludf.DUMMYFUNCTION("""COMPUTED_VALUE"""),3.0)</f>
        <v>3</v>
      </c>
      <c r="E151" s="2" t="str">
        <f>IFERROR(__xludf.DUMMYFUNCTION("""COMPUTED_VALUE"""),"R-4-5")</f>
        <v>R-4-5</v>
      </c>
    </row>
    <row r="152">
      <c r="A152" s="2" t="str">
        <f>IFERROR(__xludf.DUMMYFUNCTION("""COMPUTED_VALUE"""),"O-20747-00")</f>
        <v>O-20747-00</v>
      </c>
      <c r="B152" s="2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152" s="2" t="str">
        <f>IFERROR(__xludf.DUMMYFUNCTION("""COMPUTED_VALUE"""),"pc")</f>
        <v>pc</v>
      </c>
      <c r="D152" s="2">
        <f>IFERROR(__xludf.DUMMYFUNCTION("""COMPUTED_VALUE"""),10.0)</f>
        <v>10</v>
      </c>
      <c r="E152" s="2" t="str">
        <f>IFERROR(__xludf.DUMMYFUNCTION("""COMPUTED_VALUE"""),"B-4")</f>
        <v>B-4</v>
      </c>
    </row>
    <row r="153">
      <c r="A153" s="2" t="str">
        <f>IFERROR(__xludf.DUMMYFUNCTION("""COMPUTED_VALUE"""),"P-13787-00")</f>
        <v>P-13787-00</v>
      </c>
      <c r="B153" s="2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53" s="2" t="str">
        <f>IFERROR(__xludf.DUMMYFUNCTION("""COMPUTED_VALUE"""),"pc")</f>
        <v>pc</v>
      </c>
      <c r="D153" s="2">
        <f>IFERROR(__xludf.DUMMYFUNCTION("""COMPUTED_VALUE"""),1.0)</f>
        <v>1</v>
      </c>
      <c r="E153" s="2" t="str">
        <f>IFERROR(__xludf.DUMMYFUNCTION("""COMPUTED_VALUE"""),"-")</f>
        <v>-</v>
      </c>
    </row>
    <row r="154">
      <c r="A154" s="2" t="str">
        <f>IFERROR(__xludf.DUMMYFUNCTION("""COMPUTED_VALUE"""),"P-19512-00")</f>
        <v>P-19512-00</v>
      </c>
      <c r="B154" s="2" t="str">
        <f>IFERROR(__xludf.DUMMYFUNCTION("""COMPUTED_VALUE"""),"General - Karet Pintu Kaca Strip Silikon H 10mm; Lokal; -; 1 meter")</f>
        <v>General - Karet Pintu Kaca Strip Silikon H 10mm; Lokal; -; 1 meter</v>
      </c>
      <c r="C154" s="2" t="str">
        <f>IFERROR(__xludf.DUMMYFUNCTION("""COMPUTED_VALUE"""),"m")</f>
        <v>m</v>
      </c>
      <c r="D154" s="2">
        <f>IFERROR(__xludf.DUMMYFUNCTION("""COMPUTED_VALUE"""),22.0)</f>
        <v>22</v>
      </c>
      <c r="E154" s="2"/>
    </row>
    <row r="155">
      <c r="A155" s="2" t="str">
        <f>IFERROR(__xludf.DUMMYFUNCTION("""COMPUTED_VALUE"""),"O-21374-00")</f>
        <v>O-21374-00</v>
      </c>
      <c r="B155" s="2" t="str">
        <f>IFERROR(__xludf.DUMMYFUNCTION("""COMPUTED_VALUE"""),"Tunnel ST1L - Socket Star Aktuator 14x11; -; -;")</f>
        <v>Tunnel ST1L - Socket Star Aktuator 14x11; -; -;</v>
      </c>
      <c r="C155" s="2" t="str">
        <f>IFERROR(__xludf.DUMMYFUNCTION("""COMPUTED_VALUE"""),"pc")</f>
        <v>pc</v>
      </c>
      <c r="D155" s="2">
        <f>IFERROR(__xludf.DUMMYFUNCTION("""COMPUTED_VALUE"""),2.0)</f>
        <v>2</v>
      </c>
      <c r="E155" s="2" t="str">
        <f>IFERROR(__xludf.DUMMYFUNCTION("""COMPUTED_VALUE"""),"-")</f>
        <v>-</v>
      </c>
    </row>
    <row r="156">
      <c r="A156" s="2" t="str">
        <f>IFERROR(__xludf.DUMMYFUNCTION("""COMPUTED_VALUE"""),"O-15400-00")</f>
        <v>O-15400-00</v>
      </c>
      <c r="B156" s="2" t="str">
        <f>IFERROR(__xludf.DUMMYFUNCTION("""COMPUTED_VALUE"""),"Colamark - Side Arms kit EPT012551; Domino; SP-0076; 1 Pc")</f>
        <v>Colamark - Side Arms kit EPT012551; Domino; SP-0076; 1 Pc</v>
      </c>
      <c r="C156" s="2" t="str">
        <f>IFERROR(__xludf.DUMMYFUNCTION("""COMPUTED_VALUE"""),"pc")</f>
        <v>pc</v>
      </c>
      <c r="D156" s="2">
        <f>IFERROR(__xludf.DUMMYFUNCTION("""COMPUTED_VALUE"""),1.0)</f>
        <v>1</v>
      </c>
      <c r="E156" s="2" t="str">
        <f>IFERROR(__xludf.DUMMYFUNCTION("""COMPUTED_VALUE"""),"H-3-4")</f>
        <v>H-3-4</v>
      </c>
    </row>
    <row r="157">
      <c r="A157" s="2" t="str">
        <f>IFERROR(__xludf.DUMMYFUNCTION("""COMPUTED_VALUE"""),"P-18711-00")</f>
        <v>P-18711-00</v>
      </c>
      <c r="B157" s="2" t="str">
        <f>IFERROR(__xludf.DUMMYFUNCTION("""COMPUTED_VALUE"""),"General - Hand Tap M 4 x 0.7 mm; Yamawa; -; 3pcs/set")</f>
        <v>General - Hand Tap M 4 x 0.7 mm; Yamawa; -; 3pcs/set</v>
      </c>
      <c r="C157" s="2" t="str">
        <f>IFERROR(__xludf.DUMMYFUNCTION("""COMPUTED_VALUE"""),"ST")</f>
        <v>ST</v>
      </c>
      <c r="D157" s="2">
        <f>IFERROR(__xludf.DUMMYFUNCTION("""COMPUTED_VALUE"""),1.0)</f>
        <v>1</v>
      </c>
      <c r="E157" s="2"/>
    </row>
    <row r="158">
      <c r="A158" s="2" t="str">
        <f>IFERROR(__xludf.DUMMYFUNCTION("""COMPUTED_VALUE"""),"P-70003-00")</f>
        <v>P-70003-00</v>
      </c>
      <c r="B158" s="2" t="str">
        <f>IFERROR(__xludf.DUMMYFUNCTION("""COMPUTED_VALUE"""),"Forklift Jungheinrich - Filter Air; Jungheinrich; 51440858; 1 pc")</f>
        <v>Forklift Jungheinrich - Filter Air; Jungheinrich; 51440858; 1 pc</v>
      </c>
      <c r="C158" s="2" t="str">
        <f>IFERROR(__xludf.DUMMYFUNCTION("""COMPUTED_VALUE"""),"pc")</f>
        <v>pc</v>
      </c>
      <c r="D158" s="2">
        <f>IFERROR(__xludf.DUMMYFUNCTION("""COMPUTED_VALUE"""),1.0)</f>
        <v>1</v>
      </c>
      <c r="E158" s="2" t="str">
        <f>IFERROR(__xludf.DUMMYFUNCTION("""COMPUTED_VALUE"""),"S-2-9")</f>
        <v>S-2-9</v>
      </c>
    </row>
    <row r="159">
      <c r="A159" s="2" t="str">
        <f>IFERROR(__xludf.DUMMYFUNCTION("""COMPUTED_VALUE"""),"O-54169-00")</f>
        <v>O-54169-00</v>
      </c>
      <c r="B159" s="2" t="str">
        <f>IFERROR(__xludf.DUMMYFUNCTION("""COMPUTED_VALUE"""),"General - Control Unit G120 Integriert Sinamics; Siemens; CU250S-2 DP; 1 Pc")</f>
        <v>General - Control Unit G120 Integriert Sinamics; Siemens; CU250S-2 DP; 1 Pc</v>
      </c>
      <c r="C159" s="2" t="str">
        <f>IFERROR(__xludf.DUMMYFUNCTION("""COMPUTED_VALUE"""),"pc")</f>
        <v>pc</v>
      </c>
      <c r="D159" s="2">
        <f>IFERROR(__xludf.DUMMYFUNCTION("""COMPUTED_VALUE"""),1.0)</f>
        <v>1</v>
      </c>
      <c r="E159" s="2" t="str">
        <f>IFERROR(__xludf.DUMMYFUNCTION("""COMPUTED_VALUE"""),"B-5")</f>
        <v>B-5</v>
      </c>
    </row>
    <row r="160">
      <c r="A160" s="2" t="str">
        <f>IFERROR(__xludf.DUMMYFUNCTION("""COMPUTED_VALUE"""),"O-53439-00")</f>
        <v>O-53439-00</v>
      </c>
      <c r="B160" s="2" t="str">
        <f>IFERROR(__xludf.DUMMYFUNCTION("""COMPUTED_VALUE"""),"General - Photoelectric Fiber Sensor Head; Keyence; FU-7F; 1 Pc")</f>
        <v>General - Photoelectric Fiber Sensor Head; Keyence; FU-7F; 1 Pc</v>
      </c>
      <c r="C160" s="2" t="str">
        <f>IFERROR(__xludf.DUMMYFUNCTION("""COMPUTED_VALUE"""),"pc")</f>
        <v>pc</v>
      </c>
      <c r="D160" s="2">
        <f>IFERROR(__xludf.DUMMYFUNCTION("""COMPUTED_VALUE"""),1.0)</f>
        <v>1</v>
      </c>
      <c r="E160" s="2"/>
    </row>
    <row r="161">
      <c r="A161" s="2" t="str">
        <f>IFERROR(__xludf.DUMMYFUNCTION("""COMPUTED_VALUE"""),"O-21151-00")</f>
        <v>O-21151-00</v>
      </c>
      <c r="B161" s="2" t="str">
        <f>IFERROR(__xludf.DUMMYFUNCTION("""COMPUTED_VALUE"""),"Washing RAR4 - Compact Cylinder ADN-20-25-I-P-A; Festo; 536246; 1 Pc")</f>
        <v>Washing RAR4 - Compact Cylinder ADN-20-25-I-P-A; Festo; 536246; 1 Pc</v>
      </c>
      <c r="C161" s="2" t="str">
        <f>IFERROR(__xludf.DUMMYFUNCTION("""COMPUTED_VALUE"""),"pc")</f>
        <v>pc</v>
      </c>
      <c r="D161" s="2">
        <f>IFERROR(__xludf.DUMMYFUNCTION("""COMPUTED_VALUE"""),1.0)</f>
        <v>1</v>
      </c>
      <c r="E161" s="2" t="str">
        <f>IFERROR(__xludf.DUMMYFUNCTION("""COMPUTED_VALUE"""),"-")</f>
        <v>-</v>
      </c>
    </row>
    <row r="162">
      <c r="A162" s="2" t="str">
        <f>IFERROR(__xludf.DUMMYFUNCTION("""COMPUTED_VALUE"""),"O-51698-00")</f>
        <v>O-51698-00</v>
      </c>
      <c r="B162" s="2" t="str">
        <f>IFERROR(__xludf.DUMMYFUNCTION("""COMPUTED_VALUE"""),"General - Relay 24VDC; Omron; MY4Z; 1 Pc")</f>
        <v>General - Relay 24VDC; Omron; MY4Z; 1 Pc</v>
      </c>
      <c r="C162" s="2" t="str">
        <f>IFERROR(__xludf.DUMMYFUNCTION("""COMPUTED_VALUE"""),"pc")</f>
        <v>pc</v>
      </c>
      <c r="D162" s="2">
        <f>IFERROR(__xludf.DUMMYFUNCTION("""COMPUTED_VALUE"""),9.0)</f>
        <v>9</v>
      </c>
      <c r="E162" s="2" t="str">
        <f>IFERROR(__xludf.DUMMYFUNCTION("""COMPUTED_VALUE"""),"E-4-2B")</f>
        <v>E-4-2B</v>
      </c>
    </row>
    <row r="163">
      <c r="A163" s="2" t="str">
        <f>IFERROR(__xludf.DUMMYFUNCTION("""COMPUTED_VALUE"""),"P-20181-00")</f>
        <v>P-20181-00</v>
      </c>
      <c r="B163" s="2" t="str">
        <f>IFERROR(__xludf.DUMMYFUNCTION("""COMPUTED_VALUE"""),"General - Kunci Box Panel Uk. 110mm; Electrical Home; MS-104C-3-K; 1 pc")</f>
        <v>General - Kunci Box Panel Uk. 110mm; Electrical Home; MS-104C-3-K; 1 pc</v>
      </c>
      <c r="C163" s="2" t="str">
        <f>IFERROR(__xludf.DUMMYFUNCTION("""COMPUTED_VALUE"""),"pc")</f>
        <v>pc</v>
      </c>
      <c r="D163" s="2">
        <f>IFERROR(__xludf.DUMMYFUNCTION("""COMPUTED_VALUE"""),1.0)</f>
        <v>1</v>
      </c>
      <c r="E163" s="2"/>
    </row>
    <row r="164">
      <c r="A164" s="2" t="str">
        <f>IFERROR(__xludf.DUMMYFUNCTION("""COMPUTED_VALUE"""),"P-53411-00")</f>
        <v>P-53411-00</v>
      </c>
      <c r="B164" s="2" t="str">
        <f>IFERROR(__xludf.DUMMYFUNCTION("""COMPUTED_VALUE"""),"General - Power Supply ECO 1-PH 24VDC 5A; Wago; 787-722; 1 pc")</f>
        <v>General - Power Supply ECO 1-PH 24VDC 5A; Wago; 787-722; 1 pc</v>
      </c>
      <c r="C164" s="2" t="str">
        <f>IFERROR(__xludf.DUMMYFUNCTION("""COMPUTED_VALUE"""),"pc")</f>
        <v>pc</v>
      </c>
      <c r="D164" s="2">
        <f>IFERROR(__xludf.DUMMYFUNCTION("""COMPUTED_VALUE"""),2.0)</f>
        <v>2</v>
      </c>
      <c r="E164" s="2" t="str">
        <f>IFERROR(__xludf.DUMMYFUNCTION("""COMPUTED_VALUE"""),"E-4")</f>
        <v>E-4</v>
      </c>
    </row>
    <row r="165">
      <c r="A165" s="2" t="str">
        <f>IFERROR(__xludf.DUMMYFUNCTION("""COMPUTED_VALUE"""),"P-20720-00")</f>
        <v>P-20720-00</v>
      </c>
      <c r="B165" s="2" t="str">
        <f>IFERROR(__xludf.DUMMYFUNCTION("""COMPUTED_VALUE"""),"General - Dudukan Sensor ORP Ukuran 58 x 27 mm; Custom Agru; -; 1 pc")</f>
        <v>General - Dudukan Sensor ORP Ukuran 58 x 27 mm; Custom Agru; -; 1 pc</v>
      </c>
      <c r="C165" s="2" t="str">
        <f>IFERROR(__xludf.DUMMYFUNCTION("""COMPUTED_VALUE"""),"pc")</f>
        <v>pc</v>
      </c>
      <c r="D165" s="2">
        <f>IFERROR(__xludf.DUMMYFUNCTION("""COMPUTED_VALUE"""),1.0)</f>
        <v>1</v>
      </c>
      <c r="E165" s="2" t="str">
        <f>IFERROR(__xludf.DUMMYFUNCTION("""COMPUTED_VALUE"""),"-")</f>
        <v>-</v>
      </c>
    </row>
    <row r="166">
      <c r="A166" s="2" t="str">
        <f>IFERROR(__xludf.DUMMYFUNCTION("""COMPUTED_VALUE"""),"Q-70069-00")</f>
        <v>Q-70069-00</v>
      </c>
      <c r="B166" s="2" t="str">
        <f>IFERROR(__xludf.DUMMYFUNCTION("""COMPUTED_VALUE"""),"Dynabolt Beton M10x70; M10; M10x70;")</f>
        <v>Dynabolt Beton M10x70; M10; M10x70;</v>
      </c>
      <c r="C166" s="2" t="str">
        <f>IFERROR(__xludf.DUMMYFUNCTION("""COMPUTED_VALUE"""),"pc")</f>
        <v>pc</v>
      </c>
      <c r="D166" s="2">
        <f>IFERROR(__xludf.DUMMYFUNCTION("""COMPUTED_VALUE"""),50.0)</f>
        <v>50</v>
      </c>
      <c r="E166" s="2" t="str">
        <f>IFERROR(__xludf.DUMMYFUNCTION("""COMPUTED_VALUE"""),"-")</f>
        <v>-</v>
      </c>
    </row>
    <row r="167">
      <c r="A167" s="2" t="str">
        <f>IFERROR(__xludf.DUMMYFUNCTION("""COMPUTED_VALUE"""),"P-10858-00")</f>
        <v>P-10858-00</v>
      </c>
      <c r="B167" s="2" t="str">
        <f>IFERROR(__xludf.DUMMYFUNCTION("""COMPUTED_VALUE"""),"General - Elbow PVC 1 1/4inch; Rucika; -; 1 Pc")</f>
        <v>General - Elbow PVC 1 1/4inch; Rucika; -; 1 Pc</v>
      </c>
      <c r="C167" s="2" t="str">
        <f>IFERROR(__xludf.DUMMYFUNCTION("""COMPUTED_VALUE"""),"pc")</f>
        <v>pc</v>
      </c>
      <c r="D167" s="2">
        <f>IFERROR(__xludf.DUMMYFUNCTION("""COMPUTED_VALUE"""),5.0)</f>
        <v>5</v>
      </c>
      <c r="E167" s="2"/>
    </row>
    <row r="168">
      <c r="A168" s="2" t="str">
        <f>IFERROR(__xludf.DUMMYFUNCTION("""COMPUTED_VALUE"""),"O-18967-00")</f>
        <v>O-18967-00</v>
      </c>
      <c r="B168" s="2" t="str">
        <f>IFERROR(__xludf.DUMMYFUNCTION("""COMPUTED_VALUE"""),"Capping VCM215 - Washer A; ; ;; Custom/Lokal; -; 1 Pc")</f>
        <v>Capping VCM215 - Washer A; ; ;; Custom/Lokal; -; 1 Pc</v>
      </c>
      <c r="C168" s="2" t="str">
        <f>IFERROR(__xludf.DUMMYFUNCTION("""COMPUTED_VALUE"""),"pc")</f>
        <v>pc</v>
      </c>
      <c r="D168" s="2">
        <f>IFERROR(__xludf.DUMMYFUNCTION("""COMPUTED_VALUE"""),1.0)</f>
        <v>1</v>
      </c>
      <c r="E168" s="2"/>
    </row>
    <row r="169">
      <c r="A169" s="2" t="str">
        <f>IFERROR(__xludf.DUMMYFUNCTION("""COMPUTED_VALUE"""),"O-18964-00")</f>
        <v>O-18964-00</v>
      </c>
      <c r="B169" s="2" t="str">
        <f>IFERROR(__xludf.DUMMYFUNCTION("""COMPUTED_VALUE"""),"Capping VCM208 - Holder; Custom/Lokal; -; 1 Pc")</f>
        <v>Capping VCM208 - Holder; Custom/Lokal; -; 1 Pc</v>
      </c>
      <c r="C169" s="2" t="str">
        <f>IFERROR(__xludf.DUMMYFUNCTION("""COMPUTED_VALUE"""),"pc")</f>
        <v>pc</v>
      </c>
      <c r="D169" s="2">
        <f>IFERROR(__xludf.DUMMYFUNCTION("""COMPUTED_VALUE"""),1.0)</f>
        <v>1</v>
      </c>
      <c r="E169" s="2"/>
    </row>
    <row r="170">
      <c r="A170" s="2" t="str">
        <f>IFERROR(__xludf.DUMMYFUNCTION("""COMPUTED_VALUE"""),"P-53401-00")</f>
        <v>P-53401-00</v>
      </c>
      <c r="B170" s="2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170" s="2" t="str">
        <f>IFERROR(__xludf.DUMMYFUNCTION("""COMPUTED_VALUE"""),"unt")</f>
        <v>unt</v>
      </c>
      <c r="D170" s="2">
        <f>IFERROR(__xludf.DUMMYFUNCTION("""COMPUTED_VALUE"""),2.0)</f>
        <v>2</v>
      </c>
      <c r="E170" s="2" t="str">
        <f>IFERROR(__xludf.DUMMYFUNCTION("""COMPUTED_VALUE"""),"P-2")</f>
        <v>P-2</v>
      </c>
    </row>
    <row r="171">
      <c r="A171" s="2" t="str">
        <f>IFERROR(__xludf.DUMMYFUNCTION("""COMPUTED_VALUE"""),"P-54218-00")</f>
        <v>P-54218-00</v>
      </c>
      <c r="B171" s="2" t="str">
        <f>IFERROR(__xludf.DUMMYFUNCTION("""COMPUTED_VALUE"""),"General - Vertical Float Level Switch; Wingel; VSS-2FJ-S4-L720-FS45-HT; 1 Pc")</f>
        <v>General - Vertical Float Level Switch; Wingel; VSS-2FJ-S4-L720-FS45-HT; 1 Pc</v>
      </c>
      <c r="C171" s="2" t="str">
        <f>IFERROR(__xludf.DUMMYFUNCTION("""COMPUTED_VALUE"""),"pc")</f>
        <v>pc</v>
      </c>
      <c r="D171" s="2">
        <f>IFERROR(__xludf.DUMMYFUNCTION("""COMPUTED_VALUE"""),1.0)</f>
        <v>1</v>
      </c>
      <c r="E171" s="2" t="str">
        <f>IFERROR(__xludf.DUMMYFUNCTION("""COMPUTED_VALUE"""),"-")</f>
        <v>-</v>
      </c>
    </row>
    <row r="172">
      <c r="A172" s="2" t="str">
        <f>IFERROR(__xludf.DUMMYFUNCTION("""COMPUTED_VALUE"""),"O-20904-00")</f>
        <v>O-20904-00</v>
      </c>
      <c r="B172" s="2" t="str">
        <f>IFERROR(__xludf.DUMMYFUNCTION("""COMPUTED_VALUE"""),"Filling VFM100 - Adapter Loadcell 30x30x4mm; Custom/Lokal; -; 1 Pc")</f>
        <v>Filling VFM100 - Adapter Loadcell 30x30x4mm; Custom/Lokal; -; 1 Pc</v>
      </c>
      <c r="C172" s="2" t="str">
        <f>IFERROR(__xludf.DUMMYFUNCTION("""COMPUTED_VALUE"""),"pc")</f>
        <v>pc</v>
      </c>
      <c r="D172" s="2">
        <f>IFERROR(__xludf.DUMMYFUNCTION("""COMPUTED_VALUE"""),1.0)</f>
        <v>1</v>
      </c>
      <c r="E172" s="2"/>
    </row>
    <row r="173">
      <c r="A173" s="2" t="str">
        <f>IFERROR(__xludf.DUMMYFUNCTION("""COMPUTED_VALUE"""),"O-15918-00")</f>
        <v>O-15918-00</v>
      </c>
      <c r="B173" s="2" t="str">
        <f>IFERROR(__xludf.DUMMYFUNCTION("""COMPUTED_VALUE"""),"Fedegari FVA2/A1 - O-RING 15.47x3.53 ; Code : CC150170; ; ;")</f>
        <v>Fedegari FVA2/A1 - O-RING 15.47x3.53 ; Code : CC150170; ; ;</v>
      </c>
      <c r="C173" s="2" t="str">
        <f>IFERROR(__xludf.DUMMYFUNCTION("""COMPUTED_VALUE"""),"unt")</f>
        <v>unt</v>
      </c>
      <c r="D173" s="2">
        <f>IFERROR(__xludf.DUMMYFUNCTION("""COMPUTED_VALUE"""),17.0)</f>
        <v>17</v>
      </c>
      <c r="E173" s="2" t="str">
        <f>IFERROR(__xludf.DUMMYFUNCTION("""COMPUTED_VALUE"""),"E-3-8B")</f>
        <v>E-3-8B</v>
      </c>
    </row>
    <row r="174">
      <c r="A174" s="2" t="str">
        <f>IFERROR(__xludf.DUMMYFUNCTION("""COMPUTED_VALUE"""),"P-10860-00")</f>
        <v>P-10860-00</v>
      </c>
      <c r="B174" s="2" t="str">
        <f>IFERROR(__xludf.DUMMYFUNCTION("""COMPUTED_VALUE"""),"General - Elbow PVC Type D 1inch; Rucika; -; 1 Pc")</f>
        <v>General - Elbow PVC Type D 1inch; Rucika; -; 1 Pc</v>
      </c>
      <c r="C174" s="2" t="str">
        <f>IFERROR(__xludf.DUMMYFUNCTION("""COMPUTED_VALUE"""),"pc")</f>
        <v>pc</v>
      </c>
      <c r="D174" s="2">
        <f>IFERROR(__xludf.DUMMYFUNCTION("""COMPUTED_VALUE"""),4.0)</f>
        <v>4</v>
      </c>
      <c r="E174" s="2" t="str">
        <f>IFERROR(__xludf.DUMMYFUNCTION("""COMPUTED_VALUE"""),"F-3")</f>
        <v>F-3</v>
      </c>
    </row>
    <row r="175">
      <c r="A175" s="2" t="str">
        <f>IFERROR(__xludf.DUMMYFUNCTION("""COMPUTED_VALUE"""),"P-53357-00")</f>
        <v>P-53357-00</v>
      </c>
      <c r="B175" s="2" t="str">
        <f>IFERROR(__xludf.DUMMYFUNCTION("""COMPUTED_VALUE"""),"General - Battery Kering / Accu MF N100 12V 100Ah; GS Astra; 95E41R; 1 unit")</f>
        <v>General - Battery Kering / Accu MF N100 12V 100Ah; GS Astra; 95E41R; 1 unit</v>
      </c>
      <c r="C175" s="2" t="str">
        <f>IFERROR(__xludf.DUMMYFUNCTION("""COMPUTED_VALUE"""),"unt")</f>
        <v>unt</v>
      </c>
      <c r="D175" s="2">
        <f>IFERROR(__xludf.DUMMYFUNCTION("""COMPUTED_VALUE"""),1.0)</f>
        <v>1</v>
      </c>
      <c r="E175" s="2" t="str">
        <f>IFERROR(__xludf.DUMMYFUNCTION("""COMPUTED_VALUE"""),"-")</f>
        <v>-</v>
      </c>
    </row>
    <row r="176">
      <c r="A176" s="2" t="str">
        <f>IFERROR(__xludf.DUMMYFUNCTION("""COMPUTED_VALUE"""),"P-12265-00")</f>
        <v>P-12265-00</v>
      </c>
      <c r="B176" s="2" t="str">
        <f>IFERROR(__xludf.DUMMYFUNCTION("""COMPUTED_VALUE"""),"General - Push-in Connector, QS-8-6; Festo; 153038; 1 pcs")</f>
        <v>General - Push-in Connector, QS-8-6; Festo; 153038; 1 pcs</v>
      </c>
      <c r="C176" s="2" t="str">
        <f>IFERROR(__xludf.DUMMYFUNCTION("""COMPUTED_VALUE"""),"pc")</f>
        <v>pc</v>
      </c>
      <c r="D176" s="2">
        <f>IFERROR(__xludf.DUMMYFUNCTION("""COMPUTED_VALUE"""),12.0)</f>
        <v>12</v>
      </c>
      <c r="E176" s="2" t="str">
        <f>IFERROR(__xludf.DUMMYFUNCTION("""COMPUTED_VALUE"""),"M3")</f>
        <v>M3</v>
      </c>
    </row>
    <row r="177">
      <c r="A177" s="2" t="str">
        <f>IFERROR(__xludf.DUMMYFUNCTION("""COMPUTED_VALUE"""),"P-10885-00")</f>
        <v>P-10885-00</v>
      </c>
      <c r="B177" s="2" t="str">
        <f>IFERROR(__xludf.DUMMYFUNCTION("""COMPUTED_VALUE"""),"General - Socket Drat Dalam, PVC, 1/2""; Rucika; -; 1 pcs")</f>
        <v>General - Socket Drat Dalam, PVC, 1/2"; Rucika; -; 1 pcs</v>
      </c>
      <c r="C177" s="2" t="str">
        <f>IFERROR(__xludf.DUMMYFUNCTION("""COMPUTED_VALUE"""),"pc")</f>
        <v>pc</v>
      </c>
      <c r="D177" s="2">
        <f>IFERROR(__xludf.DUMMYFUNCTION("""COMPUTED_VALUE"""),4.0)</f>
        <v>4</v>
      </c>
      <c r="E177" s="2" t="str">
        <f>IFERROR(__xludf.DUMMYFUNCTION("""COMPUTED_VALUE"""),"-")</f>
        <v>-</v>
      </c>
    </row>
    <row r="178">
      <c r="A178" s="2" t="str">
        <f>IFERROR(__xludf.DUMMYFUNCTION("""COMPUTED_VALUE"""),"P-10884-00")</f>
        <v>P-10884-00</v>
      </c>
      <c r="B178" s="2" t="str">
        <f>IFERROR(__xludf.DUMMYFUNCTION("""COMPUTED_VALUE"""),"General - Socket Drat Dalam PVC 1 1/4inch; Rucika; -; 1 pcs")</f>
        <v>General - Socket Drat Dalam PVC 1 1/4inch; Rucika; -; 1 pcs</v>
      </c>
      <c r="C178" s="2" t="str">
        <f>IFERROR(__xludf.DUMMYFUNCTION("""COMPUTED_VALUE"""),"pc")</f>
        <v>pc</v>
      </c>
      <c r="D178" s="2">
        <f>IFERROR(__xludf.DUMMYFUNCTION("""COMPUTED_VALUE"""),4.0)</f>
        <v>4</v>
      </c>
      <c r="E178" s="2" t="str">
        <f>IFERROR(__xludf.DUMMYFUNCTION("""COMPUTED_VALUE"""),"-")</f>
        <v>-</v>
      </c>
    </row>
    <row r="179">
      <c r="A179" s="2" t="str">
        <f>IFERROR(__xludf.DUMMYFUNCTION("""COMPUTED_VALUE"""),"O-20501-00")</f>
        <v>O-20501-00</v>
      </c>
      <c r="B179" s="2" t="str">
        <f>IFERROR(__xludf.DUMMYFUNCTION("""COMPUTED_VALUE"""),"General - Gearbox Washing; Bonfiglioli; VF44 A 60 B5 B3; 1 Unit")</f>
        <v>General - Gearbox Washing; Bonfiglioli; VF44 A 60 B5 B3; 1 Unit</v>
      </c>
      <c r="C179" s="2" t="str">
        <f>IFERROR(__xludf.DUMMYFUNCTION("""COMPUTED_VALUE"""),"unt")</f>
        <v>unt</v>
      </c>
      <c r="D179" s="2">
        <f>IFERROR(__xludf.DUMMYFUNCTION("""COMPUTED_VALUE"""),1.0)</f>
        <v>1</v>
      </c>
      <c r="E179" s="2" t="str">
        <f>IFERROR(__xludf.DUMMYFUNCTION("""COMPUTED_VALUE"""),"-")</f>
        <v>-</v>
      </c>
    </row>
    <row r="180">
      <c r="A180" s="2" t="str">
        <f>IFERROR(__xludf.DUMMYFUNCTION("""COMPUTED_VALUE"""),"Q-10550-00")</f>
        <v>Q-10550-00</v>
      </c>
      <c r="B180" s="2" t="str">
        <f>IFERROR(__xludf.DUMMYFUNCTION("""COMPUTED_VALUE"""),"Door Closer Hold Open;GEZE;Model: TS 2000V;pack size per pcs")</f>
        <v>Door Closer Hold Open;GEZE;Model: TS 2000V;pack size per pcs</v>
      </c>
      <c r="C180" s="2" t="str">
        <f>IFERROR(__xludf.DUMMYFUNCTION("""COMPUTED_VALUE"""),"pc")</f>
        <v>pc</v>
      </c>
      <c r="D180" s="2">
        <f>IFERROR(__xludf.DUMMYFUNCTION("""COMPUTED_VALUE"""),3.0)</f>
        <v>3</v>
      </c>
      <c r="E180" s="2" t="str">
        <f>IFERROR(__xludf.DUMMYFUNCTION("""COMPUTED_VALUE"""),"L3")</f>
        <v>L3</v>
      </c>
    </row>
    <row r="181">
      <c r="A181" s="2" t="str">
        <f>IFERROR(__xludf.DUMMYFUNCTION("""COMPUTED_VALUE"""),"P-20021-00")</f>
        <v>P-20021-00</v>
      </c>
      <c r="B181" s="2" t="str">
        <f>IFERROR(__xludf.DUMMYFUNCTION("""COMPUTED_VALUE"""),"General - Plat Strip 50 x 6 x 6000mm; No Brand; -; 1 pc")</f>
        <v>General - Plat Strip 50 x 6 x 6000mm; No Brand; -; 1 pc</v>
      </c>
      <c r="C181" s="2" t="str">
        <f>IFERROR(__xludf.DUMMYFUNCTION("""COMPUTED_VALUE"""),"pc")</f>
        <v>pc</v>
      </c>
      <c r="D181" s="2">
        <f>IFERROR(__xludf.DUMMYFUNCTION("""COMPUTED_VALUE"""),1.0)</f>
        <v>1</v>
      </c>
      <c r="E181" s="2"/>
    </row>
    <row r="182">
      <c r="A182" s="2" t="str">
        <f>IFERROR(__xludf.DUMMYFUNCTION("""COMPUTED_VALUE"""),"P-11356-00")</f>
        <v>P-11356-00</v>
      </c>
      <c r="B182" s="2" t="str">
        <f>IFERROR(__xludf.DUMMYFUNCTION("""COMPUTED_VALUE"""),"Trolly - Roda ABUS 4inch (100 x 27mm), Without Brake; No Brand; -; 1 pc")</f>
        <v>Trolly - Roda ABUS 4inch (100 x 27mm), Without Brake; No Brand; -; 1 pc</v>
      </c>
      <c r="C182" s="2" t="str">
        <f>IFERROR(__xludf.DUMMYFUNCTION("""COMPUTED_VALUE"""),"pc")</f>
        <v>pc</v>
      </c>
      <c r="D182" s="2">
        <f>IFERROR(__xludf.DUMMYFUNCTION("""COMPUTED_VALUE"""),3.0)</f>
        <v>3</v>
      </c>
      <c r="E182" s="2" t="str">
        <f>IFERROR(__xludf.DUMMYFUNCTION("""COMPUTED_VALUE"""),"-")</f>
        <v>-</v>
      </c>
    </row>
    <row r="183">
      <c r="A183" s="2" t="str">
        <f>IFERROR(__xludf.DUMMYFUNCTION("""COMPUTED_VALUE"""),"P-51739-00")</f>
        <v>P-51739-00</v>
      </c>
      <c r="B183" s="2" t="str">
        <f>IFERROR(__xludf.DUMMYFUNCTION("""COMPUTED_VALUE"""),"TOR Schneider LRD05 0,63 - 1,0 A; ; ;")</f>
        <v>TOR Schneider LRD05 0,63 - 1,0 A; ; ;</v>
      </c>
      <c r="C183" s="2" t="str">
        <f>IFERROR(__xludf.DUMMYFUNCTION("""COMPUTED_VALUE"""),"pc")</f>
        <v>pc</v>
      </c>
      <c r="D183" s="2">
        <f>IFERROR(__xludf.DUMMYFUNCTION("""COMPUTED_VALUE"""),1.0)</f>
        <v>1</v>
      </c>
      <c r="E183" s="2" t="str">
        <f>IFERROR(__xludf.DUMMYFUNCTION("""COMPUTED_VALUE"""),"H-3-4")</f>
        <v>H-3-4</v>
      </c>
    </row>
    <row r="184">
      <c r="A184" s="2" t="str">
        <f>IFERROR(__xludf.DUMMYFUNCTION("""COMPUTED_VALUE"""),"O-53482-00")</f>
        <v>O-53482-00</v>
      </c>
      <c r="B184" s="2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84" s="2" t="str">
        <f>IFERROR(__xludf.DUMMYFUNCTION("""COMPUTED_VALUE"""),"pc")</f>
        <v>pc</v>
      </c>
      <c r="D184" s="2">
        <f>IFERROR(__xludf.DUMMYFUNCTION("""COMPUTED_VALUE"""),1.0)</f>
        <v>1</v>
      </c>
      <c r="E184" s="2" t="str">
        <f>IFERROR(__xludf.DUMMYFUNCTION("""COMPUTED_VALUE"""),"S-2-16")</f>
        <v>S-2-16</v>
      </c>
    </row>
    <row r="185">
      <c r="A185" s="2" t="str">
        <f>IFERROR(__xludf.DUMMYFUNCTION("""COMPUTED_VALUE"""),"P-13383-00")</f>
        <v>P-13383-00</v>
      </c>
      <c r="B185" s="2" t="str">
        <f>IFERROR(__xludf.DUMMYFUNCTION("""COMPUTED_VALUE"""),"General - Silicone Sealant High Temp Red; No Brand; -; 1 pcs")</f>
        <v>General - Silicone Sealant High Temp Red; No Brand; -; 1 pcs</v>
      </c>
      <c r="C185" s="2" t="str">
        <f>IFERROR(__xludf.DUMMYFUNCTION("""COMPUTED_VALUE"""),"pc")</f>
        <v>pc</v>
      </c>
      <c r="D185" s="2">
        <f>IFERROR(__xludf.DUMMYFUNCTION("""COMPUTED_VALUE"""),6.0)</f>
        <v>6</v>
      </c>
      <c r="E185" s="2" t="str">
        <f>IFERROR(__xludf.DUMMYFUNCTION("""COMPUTED_VALUE"""),"H-3-3")</f>
        <v>H-3-3</v>
      </c>
    </row>
    <row r="186">
      <c r="A186" s="2" t="str">
        <f>IFERROR(__xludf.DUMMYFUNCTION("""COMPUTED_VALUE"""),"P-10726-00")</f>
        <v>P-10726-00</v>
      </c>
      <c r="B186" s="2" t="str">
        <f>IFERROR(__xludf.DUMMYFUNCTION("""COMPUTED_VALUE"""),"Cleaner - Contact Cleaner CRC CO 2016; No Brand; -; 500ml/Botol")</f>
        <v>Cleaner - Contact Cleaner CRC CO 2016; No Brand; -; 500ml/Botol</v>
      </c>
      <c r="C186" s="2" t="str">
        <f>IFERROR(__xludf.DUMMYFUNCTION("""COMPUTED_VALUE"""),"pc")</f>
        <v>pc</v>
      </c>
      <c r="D186" s="2">
        <f>IFERROR(__xludf.DUMMYFUNCTION("""COMPUTED_VALUE"""),3.0)</f>
        <v>3</v>
      </c>
      <c r="E186" s="2" t="str">
        <f>IFERROR(__xludf.DUMMYFUNCTION("""COMPUTED_VALUE"""),"Flammable")</f>
        <v>Flammable</v>
      </c>
    </row>
    <row r="187">
      <c r="A187" s="2" t="str">
        <f>IFERROR(__xludf.DUMMYFUNCTION("""COMPUTED_VALUE"""),"Q-12060-00")</f>
        <v>Q-12060-00</v>
      </c>
      <c r="B187" s="2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187" s="2" t="str">
        <f>IFERROR(__xludf.DUMMYFUNCTION("""COMPUTED_VALUE"""),"Btl")</f>
        <v>Btl</v>
      </c>
      <c r="D187" s="2">
        <f>IFERROR(__xludf.DUMMYFUNCTION("""COMPUTED_VALUE"""),24.0)</f>
        <v>24</v>
      </c>
      <c r="E187" s="2" t="str">
        <f>IFERROR(__xludf.DUMMYFUNCTION("""COMPUTED_VALUE"""),"Q3")</f>
        <v>Q3</v>
      </c>
    </row>
    <row r="188">
      <c r="A188" s="2" t="str">
        <f>IFERROR(__xludf.DUMMYFUNCTION("""COMPUTED_VALUE"""),"O-20749-00")</f>
        <v>O-20749-00</v>
      </c>
      <c r="B188" s="2" t="str">
        <f>IFERROR(__xludf.DUMMYFUNCTION("""COMPUTED_VALUE"""),"General - Grease EP2 16 KG; Mobilux; -; 1 Pail = 16 Kg")</f>
        <v>General - Grease EP2 16 KG; Mobilux; -; 1 Pail = 16 Kg</v>
      </c>
      <c r="C188" s="2" t="str">
        <f>IFERROR(__xludf.DUMMYFUNCTION("""COMPUTED_VALUE"""),"PL")</f>
        <v>PL</v>
      </c>
      <c r="D188" s="2">
        <f>IFERROR(__xludf.DUMMYFUNCTION("""COMPUTED_VALUE"""),1.0)</f>
        <v>1</v>
      </c>
      <c r="E188" s="2"/>
    </row>
    <row r="189">
      <c r="A189" s="2" t="str">
        <f>IFERROR(__xludf.DUMMYFUNCTION("""COMPUTED_VALUE"""),"O-18687-00")</f>
        <v>O-18687-00</v>
      </c>
      <c r="B189" s="2" t="str">
        <f>IFERROR(__xludf.DUMMYFUNCTION("""COMPUTED_VALUE"""),"Autoclave Fedegari FVA2/A1 NB2963AT - DN10/DN16 CLAMP P/N: GM100017; ; ;")</f>
        <v>Autoclave Fedegari FVA2/A1 NB2963AT - DN10/DN16 CLAMP P/N: GM100017; ; ;</v>
      </c>
      <c r="C189" s="2" t="str">
        <f>IFERROR(__xludf.DUMMYFUNCTION("""COMPUTED_VALUE"""),"pc")</f>
        <v>pc</v>
      </c>
      <c r="D189" s="2">
        <f>IFERROR(__xludf.DUMMYFUNCTION("""COMPUTED_VALUE"""),8.0)</f>
        <v>8</v>
      </c>
      <c r="E189" s="2" t="str">
        <f>IFERROR(__xludf.DUMMYFUNCTION("""COMPUTED_VALUE"""),"E-3-14B")</f>
        <v>E-3-14B</v>
      </c>
    </row>
    <row r="190">
      <c r="A190" s="2" t="str">
        <f>IFERROR(__xludf.DUMMYFUNCTION("""COMPUTED_VALUE"""),"P-11836-00")</f>
        <v>P-11836-00</v>
      </c>
      <c r="B190" s="2" t="str">
        <f>IFERROR(__xludf.DUMMYFUNCTION("""COMPUTED_VALUE"""),"Ball valve PVC dia 1 1/4 inch drat")</f>
        <v>Ball valve PVC dia 1 1/4 inch drat</v>
      </c>
      <c r="C190" s="2" t="str">
        <f>IFERROR(__xludf.DUMMYFUNCTION("""COMPUTED_VALUE"""),"pc")</f>
        <v>pc</v>
      </c>
      <c r="D190" s="2">
        <f>IFERROR(__xludf.DUMMYFUNCTION("""COMPUTED_VALUE"""),2.0)</f>
        <v>2</v>
      </c>
      <c r="E190" s="2" t="str">
        <f>IFERROR(__xludf.DUMMYFUNCTION("""COMPUTED_VALUE"""),"T-3")</f>
        <v>T-3</v>
      </c>
    </row>
    <row r="191">
      <c r="A191" s="2" t="str">
        <f>IFERROR(__xludf.DUMMYFUNCTION("""COMPUTED_VALUE"""),"P-11182-00")</f>
        <v>P-11182-00</v>
      </c>
      <c r="B191" s="2" t="str">
        <f>IFERROR(__xludf.DUMMYFUNCTION("""COMPUTED_VALUE"""),"General - Push-in Connector, QS-6; Festo; 153032; 1 pcs")</f>
        <v>General - Push-in Connector, QS-6; Festo; 153032; 1 pcs</v>
      </c>
      <c r="C191" s="2" t="str">
        <f>IFERROR(__xludf.DUMMYFUNCTION("""COMPUTED_VALUE"""),"pc")</f>
        <v>pc</v>
      </c>
      <c r="D191" s="2">
        <f>IFERROR(__xludf.DUMMYFUNCTION("""COMPUTED_VALUE"""),19.0)</f>
        <v>19</v>
      </c>
      <c r="E191" s="2" t="str">
        <f>IFERROR(__xludf.DUMMYFUNCTION("""COMPUTED_VALUE"""),"M-3")</f>
        <v>M-3</v>
      </c>
    </row>
    <row r="192">
      <c r="A192" s="2" t="str">
        <f>IFERROR(__xludf.DUMMYFUNCTION("""COMPUTED_VALUE"""),"P-17569-00")</f>
        <v>P-17569-00</v>
      </c>
      <c r="B192" s="2" t="str">
        <f>IFERROR(__xludf.DUMMYFUNCTION("""COMPUTED_VALUE"""),"General - Carbon Vanes VT4.16; BECKER; -; 1 Pc")</f>
        <v>General - Carbon Vanes VT4.16; BECKER; -; 1 Pc</v>
      </c>
      <c r="C192" s="2" t="str">
        <f>IFERROR(__xludf.DUMMYFUNCTION("""COMPUTED_VALUE"""),"ST")</f>
        <v>ST</v>
      </c>
      <c r="D192" s="2">
        <f>IFERROR(__xludf.DUMMYFUNCTION("""COMPUTED_VALUE"""),1.0)</f>
        <v>1</v>
      </c>
      <c r="E192" s="2" t="str">
        <f>IFERROR(__xludf.DUMMYFUNCTION("""COMPUTED_VALUE"""),"A-1-5C")</f>
        <v>A-1-5C</v>
      </c>
    </row>
    <row r="193">
      <c r="A193" s="2" t="str">
        <f>IFERROR(__xludf.DUMMYFUNCTION("""COMPUTED_VALUE"""),"Q-10331-00")</f>
        <v>Q-10331-00</v>
      </c>
      <c r="B193" s="2" t="str">
        <f>IFERROR(__xludf.DUMMYFUNCTION("""COMPUTED_VALUE"""),"Cat Ftalit KF-611 Hella Grey;Kansai Paint;Type 115-611 Hella Grey;pack size per 1 kg can")</f>
        <v>Cat Ftalit KF-611 Hella Grey;Kansai Paint;Type 115-611 Hella Grey;pack size per 1 kg can</v>
      </c>
      <c r="C193" s="2" t="str">
        <f>IFERROR(__xludf.DUMMYFUNCTION("""COMPUTED_VALUE"""),"Can")</f>
        <v>Can</v>
      </c>
      <c r="D193" s="2">
        <f>IFERROR(__xludf.DUMMYFUNCTION("""COMPUTED_VALUE"""),17.0)</f>
        <v>17</v>
      </c>
      <c r="E193" s="2" t="str">
        <f>IFERROR(__xludf.DUMMYFUNCTION("""COMPUTED_VALUE"""),"Flammable")</f>
        <v>Flammable</v>
      </c>
    </row>
    <row r="194">
      <c r="A194" s="2" t="str">
        <f>IFERROR(__xludf.DUMMYFUNCTION("""COMPUTED_VALUE"""),"Q-10656-00")</f>
        <v>Q-10656-00</v>
      </c>
      <c r="B194" s="2" t="str">
        <f>IFERROR(__xludf.DUMMYFUNCTION("""COMPUTED_VALUE"""),"Kuas Cat Uk. 5 inch;No Brand;;pack size per pcs")</f>
        <v>Kuas Cat Uk. 5 inch;No Brand;;pack size per pcs</v>
      </c>
      <c r="C194" s="2" t="str">
        <f>IFERROR(__xludf.DUMMYFUNCTION("""COMPUTED_VALUE"""),"pc")</f>
        <v>pc</v>
      </c>
      <c r="D194" s="2">
        <f>IFERROR(__xludf.DUMMYFUNCTION("""COMPUTED_VALUE"""),5.0)</f>
        <v>5</v>
      </c>
      <c r="E194" s="2" t="str">
        <f>IFERROR(__xludf.DUMMYFUNCTION("""COMPUTED_VALUE"""),"R-4-10")</f>
        <v>R-4-10</v>
      </c>
    </row>
    <row r="195">
      <c r="A195" s="2" t="str">
        <f>IFERROR(__xludf.DUMMYFUNCTION("""COMPUTED_VALUE"""),"O-18892-00")</f>
        <v>O-18892-00</v>
      </c>
      <c r="B195" s="2" t="str">
        <f>IFERROR(__xludf.DUMMYFUNCTION("""COMPUTED_VALUE"""),"Freeze Dryer MBE1207 - MV1161 Receiver Valve, 1/4 Inch SAE Flare 1/4 Inch NPT Direct; IMA Beijing; EB15-00321; 1 pc")</f>
        <v>Freeze Dryer MBE1207 - MV1161 Receiver Valve, 1/4 Inch SAE Flare 1/4 Inch NPT Direct; IMA Beijing; EB15-00321; 1 pc</v>
      </c>
      <c r="C195" s="2" t="str">
        <f>IFERROR(__xludf.DUMMYFUNCTION("""COMPUTED_VALUE"""),"pc")</f>
        <v>pc</v>
      </c>
      <c r="D195" s="2">
        <f>IFERROR(__xludf.DUMMYFUNCTION("""COMPUTED_VALUE"""),2.0)</f>
        <v>2</v>
      </c>
      <c r="E195" s="2" t="str">
        <f>IFERROR(__xludf.DUMMYFUNCTION("""COMPUTED_VALUE"""),"D-1-12")</f>
        <v>D-1-12</v>
      </c>
    </row>
    <row r="196">
      <c r="A196" s="2" t="str">
        <f>IFERROR(__xludf.DUMMYFUNCTION("""COMPUTED_VALUE"""),"P-18468-00")</f>
        <v>P-18468-00</v>
      </c>
      <c r="B196" s="2" t="str">
        <f>IFERROR(__xludf.DUMMYFUNCTION("""COMPUTED_VALUE"""),"General - Pass Box Stickers ZC-A; No Brand; -; 1 Pc")</f>
        <v>General - Pass Box Stickers ZC-A; No Brand; -; 1 Pc</v>
      </c>
      <c r="C196" s="2" t="str">
        <f>IFERROR(__xludf.DUMMYFUNCTION("""COMPUTED_VALUE"""),"pc")</f>
        <v>pc</v>
      </c>
      <c r="D196" s="2">
        <f>IFERROR(__xludf.DUMMYFUNCTION("""COMPUTED_VALUE"""),4.0)</f>
        <v>4</v>
      </c>
      <c r="E196" s="2" t="str">
        <f>IFERROR(__xludf.DUMMYFUNCTION("""COMPUTED_VALUE"""),"F-3-4C")</f>
        <v>F-3-4C</v>
      </c>
    </row>
    <row r="197">
      <c r="A197" s="2" t="str">
        <f>IFERROR(__xludf.DUMMYFUNCTION("""COMPUTED_VALUE"""),"O-21435-00")</f>
        <v>O-21435-00</v>
      </c>
      <c r="B197" s="2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197" s="2" t="str">
        <f>IFERROR(__xludf.DUMMYFUNCTION("""COMPUTED_VALUE"""),"pc")</f>
        <v>pc</v>
      </c>
      <c r="D197" s="2">
        <f>IFERROR(__xludf.DUMMYFUNCTION("""COMPUTED_VALUE"""),1.0)</f>
        <v>1</v>
      </c>
      <c r="E197" s="2" t="str">
        <f>IFERROR(__xludf.DUMMYFUNCTION("""COMPUTED_VALUE"""),"-")</f>
        <v>-</v>
      </c>
    </row>
    <row r="198">
      <c r="A198" s="2" t="str">
        <f>IFERROR(__xludf.DUMMYFUNCTION("""COMPUTED_VALUE"""),"P-20360-00")</f>
        <v>P-20360-00</v>
      </c>
      <c r="B198" s="2" t="str">
        <f>IFERROR(__xludf.DUMMYFUNCTION("""COMPUTED_VALUE"""),"General - Liquid Gasket; Threebond; -; 75g/tube")</f>
        <v>General - Liquid Gasket; Threebond; -; 75g/tube</v>
      </c>
      <c r="C198" s="2" t="str">
        <f>IFERROR(__xludf.DUMMYFUNCTION("""COMPUTED_VALUE"""),"pc")</f>
        <v>pc</v>
      </c>
      <c r="D198" s="2">
        <f>IFERROR(__xludf.DUMMYFUNCTION("""COMPUTED_VALUE"""),2.0)</f>
        <v>2</v>
      </c>
      <c r="E198" s="2" t="str">
        <f>IFERROR(__xludf.DUMMYFUNCTION("""COMPUTED_VALUE"""),"-")</f>
        <v>-</v>
      </c>
    </row>
    <row r="199">
      <c r="A199" s="2" t="str">
        <f>IFERROR(__xludf.DUMMYFUNCTION("""COMPUTED_VALUE"""),"O-19866-00")</f>
        <v>O-19866-00</v>
      </c>
      <c r="B199" s="2" t="str">
        <f>IFERROR(__xludf.DUMMYFUNCTION("""COMPUTED_VALUE"""),"General - Grill Fan (cover kipas) 12x12 cm; -; -; 1 Pc")</f>
        <v>General - Grill Fan (cover kipas) 12x12 cm; -; -; 1 Pc</v>
      </c>
      <c r="C199" s="2" t="str">
        <f>IFERROR(__xludf.DUMMYFUNCTION("""COMPUTED_VALUE"""),"pc")</f>
        <v>pc</v>
      </c>
      <c r="D199" s="2">
        <f>IFERROR(__xludf.DUMMYFUNCTION("""COMPUTED_VALUE"""),6.0)</f>
        <v>6</v>
      </c>
      <c r="E199" s="2" t="str">
        <f>IFERROR(__xludf.DUMMYFUNCTION("""COMPUTED_VALUE"""),"A-4-15A")</f>
        <v>A-4-15A</v>
      </c>
    </row>
    <row r="200">
      <c r="A200" s="2" t="str">
        <f>IFERROR(__xludf.DUMMYFUNCTION("""COMPUTED_VALUE"""),"P-50959-00")</f>
        <v>P-50959-00</v>
      </c>
      <c r="B200" s="2" t="str">
        <f>IFERROR(__xludf.DUMMYFUNCTION("""COMPUTED_VALUE"""),"Fuse kaca 3A 6x30")</f>
        <v>Fuse kaca 3A 6x30</v>
      </c>
      <c r="C200" s="2" t="str">
        <f>IFERROR(__xludf.DUMMYFUNCTION("""COMPUTED_VALUE"""),"pc")</f>
        <v>pc</v>
      </c>
      <c r="D200" s="2">
        <f>IFERROR(__xludf.DUMMYFUNCTION("""COMPUTED_VALUE"""),3.0)</f>
        <v>3</v>
      </c>
      <c r="E200" s="2" t="str">
        <f>IFERROR(__xludf.DUMMYFUNCTION("""COMPUTED_VALUE"""),"Kennedy")</f>
        <v>Kennedy</v>
      </c>
    </row>
    <row r="201">
      <c r="A201" s="2" t="str">
        <f>IFERROR(__xludf.DUMMYFUNCTION("""COMPUTED_VALUE"""),"O-15398-00")</f>
        <v>O-15398-00</v>
      </c>
      <c r="B201" s="2" t="str">
        <f>IFERROR(__xludf.DUMMYFUNCTION("""COMPUTED_VALUE"""),"Bearing - 61800-2RS1 - P/N : -  pc")</f>
        <v>Bearing - 61800-2RS1 - P/N : -  pc</v>
      </c>
      <c r="C201" s="2" t="str">
        <f>IFERROR(__xludf.DUMMYFUNCTION("""COMPUTED_VALUE"""),"pc")</f>
        <v>pc</v>
      </c>
      <c r="D201" s="2">
        <f>IFERROR(__xludf.DUMMYFUNCTION("""COMPUTED_VALUE"""),11.0)</f>
        <v>11</v>
      </c>
      <c r="E201" s="2" t="str">
        <f>IFERROR(__xludf.DUMMYFUNCTION("""COMPUTED_VALUE"""),"G-2")</f>
        <v>G-2</v>
      </c>
    </row>
    <row r="202">
      <c r="A202" s="2" t="str">
        <f>IFERROR(__xludf.DUMMYFUNCTION("""COMPUTED_VALUE"""),"O-19341-00")</f>
        <v>O-19341-00</v>
      </c>
      <c r="B202" s="2" t="str">
        <f>IFERROR(__xludf.DUMMYFUNCTION("""COMPUTED_VALUE"""),"Washing RAR4 - Set Guide Rell Outfeed, Machining Plate Material Pom Putih; ; ;; Custom/Lokal; -; 1 Pc")</f>
        <v>Washing RAR4 - Set Guide Rell Outfeed, Machining Plate Material Pom Putih; ; ;; Custom/Lokal; -; 1 Pc</v>
      </c>
      <c r="C202" s="2" t="str">
        <f>IFERROR(__xludf.DUMMYFUNCTION("""COMPUTED_VALUE"""),"ST")</f>
        <v>ST</v>
      </c>
      <c r="D202" s="2">
        <f>IFERROR(__xludf.DUMMYFUNCTION("""COMPUTED_VALUE"""),1.0)</f>
        <v>1</v>
      </c>
      <c r="E202" s="2"/>
    </row>
    <row r="203">
      <c r="A203" s="2" t="str">
        <f>IFERROR(__xludf.DUMMYFUNCTION("""COMPUTED_VALUE"""),"P-53362-00")</f>
        <v>P-53362-00</v>
      </c>
      <c r="B203" s="2" t="str">
        <f>IFERROR(__xludf.DUMMYFUNCTION("""COMPUTED_VALUE"""),"General - Contactor 3 Pole, 440V, 9A, 220 VAC, coil; Schneider; LC1D09M7; 1 unit")</f>
        <v>General - Contactor 3 Pole, 440V, 9A, 220 VAC, coil; Schneider; LC1D09M7; 1 unit</v>
      </c>
      <c r="C203" s="2" t="str">
        <f>IFERROR(__xludf.DUMMYFUNCTION("""COMPUTED_VALUE"""),"pc")</f>
        <v>pc</v>
      </c>
      <c r="D203" s="2">
        <f>IFERROR(__xludf.DUMMYFUNCTION("""COMPUTED_VALUE"""),1.0)</f>
        <v>1</v>
      </c>
      <c r="E203" s="2" t="str">
        <f>IFERROR(__xludf.DUMMYFUNCTION("""COMPUTED_VALUE"""),"E-3-8C")</f>
        <v>E-3-8C</v>
      </c>
    </row>
    <row r="204">
      <c r="A204" s="2" t="str">
        <f>IFERROR(__xludf.DUMMYFUNCTION("""COMPUTED_VALUE"""),"O-19982-00")</f>
        <v>O-19982-00</v>
      </c>
      <c r="B204" s="2" t="str">
        <f>IFERROR(__xludf.DUMMYFUNCTION("""COMPUTED_VALUE"""),"FD S/N MBE1207 - Directional Valve XDC3C03N1FS42; Aron; ;")</f>
        <v>FD S/N MBE1207 - Directional Valve XDC3C03N1FS42; Aron; ;</v>
      </c>
      <c r="C204" s="2" t="str">
        <f>IFERROR(__xludf.DUMMYFUNCTION("""COMPUTED_VALUE"""),"pc")</f>
        <v>pc</v>
      </c>
      <c r="D204" s="2">
        <f>IFERROR(__xludf.DUMMYFUNCTION("""COMPUTED_VALUE"""),1.0)</f>
        <v>1</v>
      </c>
      <c r="E204" s="2" t="str">
        <f>IFERROR(__xludf.DUMMYFUNCTION("""COMPUTED_VALUE"""),"D-1-2")</f>
        <v>D-1-2</v>
      </c>
    </row>
    <row r="205">
      <c r="A205" s="2" t="str">
        <f>IFERROR(__xludf.DUMMYFUNCTION("""COMPUTED_VALUE"""),"O-53013-00")</f>
        <v>O-53013-00</v>
      </c>
      <c r="B205" s="2" t="str">
        <f>IFERROR(__xludf.DUMMYFUNCTION("""COMPUTED_VALUE"""),"General - Heavy Duty Connector 4Pin (Male + Female); -; -;")</f>
        <v>General - Heavy Duty Connector 4Pin (Male + Female); -; -;</v>
      </c>
      <c r="C205" s="2" t="str">
        <f>IFERROR(__xludf.DUMMYFUNCTION("""COMPUTED_VALUE"""),"ST")</f>
        <v>ST</v>
      </c>
      <c r="D205" s="2">
        <f>IFERROR(__xludf.DUMMYFUNCTION("""COMPUTED_VALUE"""),2.0)</f>
        <v>2</v>
      </c>
      <c r="E205" s="2" t="str">
        <f>IFERROR(__xludf.DUMMYFUNCTION("""COMPUTED_VALUE"""),"A3")</f>
        <v>A3</v>
      </c>
    </row>
    <row r="206">
      <c r="A206" s="2" t="str">
        <f>IFERROR(__xludf.DUMMYFUNCTION("""COMPUTED_VALUE"""),"P-50594-00")</f>
        <v>P-50594-00</v>
      </c>
      <c r="B206" s="2" t="str">
        <f>IFERROR(__xludf.DUMMYFUNCTION("""COMPUTED_VALUE"""),"General - Stop Kontak-socket 1 Hole; 10-16A; 250V; Clipsal; -; 1 pc")</f>
        <v>General - Stop Kontak-socket 1 Hole; 10-16A; 250V; Clipsal; -; 1 pc</v>
      </c>
      <c r="C206" s="2" t="str">
        <f>IFERROR(__xludf.DUMMYFUNCTION("""COMPUTED_VALUE"""),"pc")</f>
        <v>pc</v>
      </c>
      <c r="D206" s="2">
        <f>IFERROR(__xludf.DUMMYFUNCTION("""COMPUTED_VALUE"""),24.0)</f>
        <v>24</v>
      </c>
      <c r="E206" s="2" t="str">
        <f>IFERROR(__xludf.DUMMYFUNCTION("""COMPUTED_VALUE"""),"B-4")</f>
        <v>B-4</v>
      </c>
    </row>
    <row r="207">
      <c r="A207" s="2" t="str">
        <f>IFERROR(__xludf.DUMMYFUNCTION("""COMPUTED_VALUE"""),"P-53209-00")</f>
        <v>P-53209-00</v>
      </c>
      <c r="B207" s="2" t="str">
        <f>IFERROR(__xludf.DUMMYFUNCTION("""COMPUTED_VALUE"""),"General - Capacitor, 3 uF, 220 V, 2 kutub; No Brand; -; 1 pcs")</f>
        <v>General - Capacitor, 3 uF, 220 V, 2 kutub; No Brand; -; 1 pcs</v>
      </c>
      <c r="C207" s="2" t="str">
        <f>IFERROR(__xludf.DUMMYFUNCTION("""COMPUTED_VALUE"""),"pc")</f>
        <v>pc</v>
      </c>
      <c r="D207" s="2">
        <f>IFERROR(__xludf.DUMMYFUNCTION("""COMPUTED_VALUE"""),4.0)</f>
        <v>4</v>
      </c>
      <c r="E207" s="2" t="str">
        <f>IFERROR(__xludf.DUMMYFUNCTION("""COMPUTED_VALUE"""),"O2")</f>
        <v>O2</v>
      </c>
    </row>
    <row r="208">
      <c r="A208" s="2" t="str">
        <f>IFERROR(__xludf.DUMMYFUNCTION("""COMPUTED_VALUE"""),"P-52003-00")</f>
        <v>P-52003-00</v>
      </c>
      <c r="B208" s="2" t="str">
        <f>IFERROR(__xludf.DUMMYFUNCTION("""COMPUTED_VALUE"""),"Klem Pipa Conduit Merk. Clipsal Warna Putih Uk. 20 mm; Clipsal; ; pack")</f>
        <v>Klem Pipa Conduit Merk. Clipsal Warna Putih Uk. 20 mm; Clipsal; ; pack</v>
      </c>
      <c r="C208" s="2" t="str">
        <f>IFERROR(__xludf.DUMMYFUNCTION("""COMPUTED_VALUE"""),"Pck")</f>
        <v>Pck</v>
      </c>
      <c r="D208" s="2">
        <f>IFERROR(__xludf.DUMMYFUNCTION("""COMPUTED_VALUE"""),30.0)</f>
        <v>30</v>
      </c>
      <c r="E208" s="2" t="str">
        <f>IFERROR(__xludf.DUMMYFUNCTION("""COMPUTED_VALUE"""),"O1")</f>
        <v>O1</v>
      </c>
    </row>
    <row r="209">
      <c r="A209" s="2" t="str">
        <f>IFERROR(__xludf.DUMMYFUNCTION("""COMPUTED_VALUE"""),"O-19810-00")</f>
        <v>O-19810-00</v>
      </c>
      <c r="B209" s="2" t="str">
        <f>IFERROR(__xludf.DUMMYFUNCTION("""COMPUTED_VALUE"""),"Freeze Dryer MBE1207 - Gasket Teflon Uk. 45x41x1.5; Custom/Lokal; -; 1 pc")</f>
        <v>Freeze Dryer MBE1207 - Gasket Teflon Uk. 45x41x1.5; Custom/Lokal; -; 1 pc</v>
      </c>
      <c r="C209" s="2" t="str">
        <f>IFERROR(__xludf.DUMMYFUNCTION("""COMPUTED_VALUE"""),"ST")</f>
        <v>ST</v>
      </c>
      <c r="D209" s="2">
        <f>IFERROR(__xludf.DUMMYFUNCTION("""COMPUTED_VALUE"""),2.0)</f>
        <v>2</v>
      </c>
      <c r="E209" s="2" t="str">
        <f>IFERROR(__xludf.DUMMYFUNCTION("""COMPUTED_VALUE"""),"D-2-1C")</f>
        <v>D-2-1C</v>
      </c>
    </row>
    <row r="210">
      <c r="A210" s="2" t="str">
        <f>IFERROR(__xludf.DUMMYFUNCTION("""COMPUTED_VALUE"""),"O-52271-00")</f>
        <v>O-52271-00</v>
      </c>
      <c r="B210" s="2" t="str">
        <f>IFERROR(__xludf.DUMMYFUNCTION("""COMPUTED_VALUE"""),"Freeze Dryer MBE1207 - Flow Switch; SMC; Part No. IFW550-N04-00;")</f>
        <v>Freeze Dryer MBE1207 - Flow Switch; SMC; Part No. IFW550-N04-00;</v>
      </c>
      <c r="C210" s="2" t="str">
        <f>IFERROR(__xludf.DUMMYFUNCTION("""COMPUTED_VALUE"""),"pc")</f>
        <v>pc</v>
      </c>
      <c r="D210" s="2">
        <f>IFERROR(__xludf.DUMMYFUNCTION("""COMPUTED_VALUE"""),1.0)</f>
        <v>1</v>
      </c>
      <c r="E210" s="2" t="str">
        <f>IFERROR(__xludf.DUMMYFUNCTION("""COMPUTED_VALUE"""),"D-1-13A")</f>
        <v>D-1-13A</v>
      </c>
    </row>
    <row r="211">
      <c r="A211" s="2" t="str">
        <f>IFERROR(__xludf.DUMMYFUNCTION("""COMPUTED_VALUE"""),"O-20118-00")</f>
        <v>O-20118-00</v>
      </c>
      <c r="B211" s="2" t="str">
        <f>IFERROR(__xludf.DUMMYFUNCTION("""COMPUTED_VALUE"""),"General - Oil Seal TC 150x180x12; No Brand; ; 1 Pc")</f>
        <v>General - Oil Seal TC 150x180x12; No Brand; ; 1 Pc</v>
      </c>
      <c r="C211" s="2" t="str">
        <f>IFERROR(__xludf.DUMMYFUNCTION("""COMPUTED_VALUE"""),"pc")</f>
        <v>pc</v>
      </c>
      <c r="D211" s="2">
        <f>IFERROR(__xludf.DUMMYFUNCTION("""COMPUTED_VALUE"""),2.0)</f>
        <v>2</v>
      </c>
      <c r="E211" s="2" t="str">
        <f>IFERROR(__xludf.DUMMYFUNCTION("""COMPUTED_VALUE"""),"A-1-2")</f>
        <v>A-1-2</v>
      </c>
    </row>
    <row r="212">
      <c r="A212" s="2" t="str">
        <f>IFERROR(__xludf.DUMMYFUNCTION("""COMPUTED_VALUE"""),"O-17420-00")</f>
        <v>O-17420-00</v>
      </c>
      <c r="B212" s="2" t="str">
        <f>IFERROR(__xludf.DUMMYFUNCTION("""COMPUTED_VALUE"""),"General - NovaSeptic Valve Diaphragm Silicone Platinum Cured; Millipore; NA25/26; 1 Pc")</f>
        <v>General - NovaSeptic Valve Diaphragm Silicone Platinum Cured; Millipore; NA25/26; 1 Pc</v>
      </c>
      <c r="C212" s="2" t="str">
        <f>IFERROR(__xludf.DUMMYFUNCTION("""COMPUTED_VALUE"""),"pc")</f>
        <v>pc</v>
      </c>
      <c r="D212" s="2">
        <f>IFERROR(__xludf.DUMMYFUNCTION("""COMPUTED_VALUE"""),1.0)</f>
        <v>1</v>
      </c>
      <c r="E212" s="2" t="str">
        <f>IFERROR(__xludf.DUMMYFUNCTION("""COMPUTED_VALUE"""),"E-4-1B")</f>
        <v>E-4-1B</v>
      </c>
    </row>
    <row r="213">
      <c r="A213" s="2" t="str">
        <f>IFERROR(__xludf.DUMMYFUNCTION("""COMPUTED_VALUE"""),"O-17071-00")</f>
        <v>O-17071-00</v>
      </c>
      <c r="B213" s="2" t="str">
        <f>IFERROR(__xludf.DUMMYFUNCTION("""COMPUTED_VALUE"""),"Washing RAR4 - Pincers Jaws for Vial 6mL; Custom/Lokal; -; 1 Pc")</f>
        <v>Washing RAR4 - Pincers Jaws for Vial 6mL; Custom/Lokal; -; 1 Pc</v>
      </c>
      <c r="C213" s="2" t="str">
        <f>IFERROR(__xludf.DUMMYFUNCTION("""COMPUTED_VALUE"""),"pc")</f>
        <v>pc</v>
      </c>
      <c r="D213" s="2">
        <f>IFERROR(__xludf.DUMMYFUNCTION("""COMPUTED_VALUE"""),20.0)</f>
        <v>20</v>
      </c>
      <c r="E213" s="2" t="str">
        <f>IFERROR(__xludf.DUMMYFUNCTION("""COMPUTED_VALUE"""),"A-1-8B")</f>
        <v>A-1-8B</v>
      </c>
    </row>
    <row r="214">
      <c r="A214" s="2" t="str">
        <f>IFERROR(__xludf.DUMMYFUNCTION("""COMPUTED_VALUE"""),"P-20358-00")</f>
        <v>P-20358-00</v>
      </c>
      <c r="B214" s="2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14" s="2" t="str">
        <f>IFERROR(__xludf.DUMMYFUNCTION("""COMPUTED_VALUE"""),"pc")</f>
        <v>pc</v>
      </c>
      <c r="D214" s="2">
        <f>IFERROR(__xludf.DUMMYFUNCTION("""COMPUTED_VALUE"""),1.0)</f>
        <v>1</v>
      </c>
      <c r="E214" s="2" t="str">
        <f>IFERROR(__xludf.DUMMYFUNCTION("""COMPUTED_VALUE"""),"-")</f>
        <v>-</v>
      </c>
    </row>
    <row r="215">
      <c r="A215" s="2" t="str">
        <f>IFERROR(__xludf.DUMMYFUNCTION("""COMPUTED_VALUE"""),"O-17669-00")</f>
        <v>O-17669-00</v>
      </c>
      <c r="B215" s="2" t="str">
        <f>IFERROR(__xludf.DUMMYFUNCTION("""COMPUTED_VALUE"""),"General - DO Sensor InPro6860i/12/120/nA; Mettler Toledo; 30014100; 1 pc")</f>
        <v>General - DO Sensor InPro6860i/12/120/nA; Mettler Toledo; 30014100; 1 pc</v>
      </c>
      <c r="C215" s="2" t="str">
        <f>IFERROR(__xludf.DUMMYFUNCTION("""COMPUTED_VALUE"""),"unt")</f>
        <v>unt</v>
      </c>
      <c r="D215" s="2">
        <f>IFERROR(__xludf.DUMMYFUNCTION("""COMPUTED_VALUE"""),1.0)</f>
        <v>1</v>
      </c>
      <c r="E215" s="2" t="str">
        <f>IFERROR(__xludf.DUMMYFUNCTION("""COMPUTED_VALUE"""),"E-4")</f>
        <v>E-4</v>
      </c>
    </row>
    <row r="216">
      <c r="A216" s="2" t="str">
        <f>IFERROR(__xludf.DUMMYFUNCTION("""COMPUTED_VALUE"""),"P-52662-00")</f>
        <v>P-52662-00</v>
      </c>
      <c r="B216" s="2" t="str">
        <f>IFERROR(__xludf.DUMMYFUNCTION("""COMPUTED_VALUE"""),"General - Temperature Controller TK4S- 14SN 100-240 VAC; Autonics; -; 1 pc")</f>
        <v>General - Temperature Controller TK4S- 14SN 100-240 VAC; Autonics; -; 1 pc</v>
      </c>
      <c r="C216" s="2" t="str">
        <f>IFERROR(__xludf.DUMMYFUNCTION("""COMPUTED_VALUE"""),"pc")</f>
        <v>pc</v>
      </c>
      <c r="D216" s="2">
        <f>IFERROR(__xludf.DUMMYFUNCTION("""COMPUTED_VALUE"""),3.0)</f>
        <v>3</v>
      </c>
      <c r="E216" s="2" t="str">
        <f>IFERROR(__xludf.DUMMYFUNCTION("""COMPUTED_VALUE"""),"F-3")</f>
        <v>F-3</v>
      </c>
    </row>
    <row r="217">
      <c r="A217" s="2" t="str">
        <f>IFERROR(__xludf.DUMMYFUNCTION("""COMPUTED_VALUE"""),"P-15432-00")</f>
        <v>P-15432-00</v>
      </c>
      <c r="B217" s="2" t="str">
        <f>IFERROR(__xludf.DUMMYFUNCTION("""COMPUTED_VALUE"""),"Fitting KQ2E08-00; ; ;")</f>
        <v>Fitting KQ2E08-00; ; ;</v>
      </c>
      <c r="C217" s="2" t="str">
        <f>IFERROR(__xludf.DUMMYFUNCTION("""COMPUTED_VALUE"""),"pc")</f>
        <v>pc</v>
      </c>
      <c r="D217" s="2">
        <f>IFERROR(__xludf.DUMMYFUNCTION("""COMPUTED_VALUE"""),10.0)</f>
        <v>10</v>
      </c>
      <c r="E217" s="2" t="str">
        <f>IFERROR(__xludf.DUMMYFUNCTION("""COMPUTED_VALUE"""),"R-2-8")</f>
        <v>R-2-8</v>
      </c>
    </row>
    <row r="218">
      <c r="A218" s="2" t="str">
        <f>IFERROR(__xludf.DUMMYFUNCTION("""COMPUTED_VALUE"""),"P-14950-00")</f>
        <v>P-14950-00</v>
      </c>
      <c r="B218" s="2" t="str">
        <f>IFERROR(__xludf.DUMMYFUNCTION("""COMPUTED_VALUE"""),"General - KQ2 Fitting, KQ2T04-00A; SMC Pneumatics; -; 10 pcs per pack")</f>
        <v>General - KQ2 Fitting, KQ2T04-00A; SMC Pneumatics; -; 10 pcs per pack</v>
      </c>
      <c r="C218" s="2" t="str">
        <f>IFERROR(__xludf.DUMMYFUNCTION("""COMPUTED_VALUE"""),"pc")</f>
        <v>pc</v>
      </c>
      <c r="D218" s="2">
        <f>IFERROR(__xludf.DUMMYFUNCTION("""COMPUTED_VALUE"""),6.0)</f>
        <v>6</v>
      </c>
      <c r="E218" s="2" t="str">
        <f>IFERROR(__xludf.DUMMYFUNCTION("""COMPUTED_VALUE"""),"R-2-4")</f>
        <v>R-2-4</v>
      </c>
    </row>
    <row r="219">
      <c r="A219" s="2" t="str">
        <f>IFERROR(__xludf.DUMMYFUNCTION("""COMPUTED_VALUE"""),"O-52888-00")</f>
        <v>O-52888-00</v>
      </c>
      <c r="B219" s="2" t="str">
        <f>IFERROR(__xludf.DUMMYFUNCTION("""COMPUTED_VALUE"""),"General - Sensor Capacitive NPN; Autonics; CR18-8DN; 1 Pc")</f>
        <v>General - Sensor Capacitive NPN; Autonics; CR18-8DN; 1 Pc</v>
      </c>
      <c r="C219" s="2" t="str">
        <f>IFERROR(__xludf.DUMMYFUNCTION("""COMPUTED_VALUE"""),"pc")</f>
        <v>pc</v>
      </c>
      <c r="D219" s="2">
        <f>IFERROR(__xludf.DUMMYFUNCTION("""COMPUTED_VALUE"""),2.0)</f>
        <v>2</v>
      </c>
      <c r="E219" s="2" t="str">
        <f>IFERROR(__xludf.DUMMYFUNCTION("""COMPUTED_VALUE"""),"A-2-6A")</f>
        <v>A-2-6A</v>
      </c>
    </row>
    <row r="220">
      <c r="A220" s="2" t="str">
        <f>IFERROR(__xludf.DUMMYFUNCTION("""COMPUTED_VALUE"""),"O-18350-00")</f>
        <v>O-18350-00</v>
      </c>
      <c r="B220" s="2" t="str">
        <f>IFERROR(__xludf.DUMMYFUNCTION("""COMPUTED_VALUE"""),"General - Oring EDM 100x105x2.5 mm; -; -; 1 Pc")</f>
        <v>General - Oring EDM 100x105x2.5 mm; -; -; 1 Pc</v>
      </c>
      <c r="C220" s="2" t="str">
        <f>IFERROR(__xludf.DUMMYFUNCTION("""COMPUTED_VALUE"""),"pc")</f>
        <v>pc</v>
      </c>
      <c r="D220" s="2">
        <f>IFERROR(__xludf.DUMMYFUNCTION("""COMPUTED_VALUE"""),5.0)</f>
        <v>5</v>
      </c>
      <c r="E220" s="2" t="str">
        <f>IFERROR(__xludf.DUMMYFUNCTION("""COMPUTED_VALUE"""),"C-2-5A")</f>
        <v>C-2-5A</v>
      </c>
    </row>
    <row r="221">
      <c r="A221" s="2" t="str">
        <f>IFERROR(__xludf.DUMMYFUNCTION("""COMPUTED_VALUE"""),"P-15078-00")</f>
        <v>P-15078-00</v>
      </c>
      <c r="B221" s="2" t="str">
        <f>IFERROR(__xludf.DUMMYFUNCTION("""COMPUTED_VALUE"""),"General - Elbow PVC AW 2inch; Rucika; -; 1 Pc")</f>
        <v>General - Elbow PVC AW 2inch; Rucika; -; 1 Pc</v>
      </c>
      <c r="C221" s="2" t="str">
        <f>IFERROR(__xludf.DUMMYFUNCTION("""COMPUTED_VALUE"""),"pc")</f>
        <v>pc</v>
      </c>
      <c r="D221" s="2">
        <f>IFERROR(__xludf.DUMMYFUNCTION("""COMPUTED_VALUE"""),7.0)</f>
        <v>7</v>
      </c>
      <c r="E221" s="2" t="str">
        <f>IFERROR(__xludf.DUMMYFUNCTION("""COMPUTED_VALUE"""),"Klaris")</f>
        <v>Klaris</v>
      </c>
    </row>
    <row r="222">
      <c r="A222" s="2" t="str">
        <f>IFERROR(__xludf.DUMMYFUNCTION("""COMPUTED_VALUE"""),"O-52820-00")</f>
        <v>O-52820-00</v>
      </c>
      <c r="B222" s="2" t="str">
        <f>IFERROR(__xludf.DUMMYFUNCTION("""COMPUTED_VALUE"""),"Basic Operation Panel SINAMICS G120 6SL3255-0AA00-4CA1; Siemens; ;")</f>
        <v>Basic Operation Panel SINAMICS G120 6SL3255-0AA00-4CA1; Siemens; ;</v>
      </c>
      <c r="C222" s="2" t="str">
        <f>IFERROR(__xludf.DUMMYFUNCTION("""COMPUTED_VALUE"""),"pc")</f>
        <v>pc</v>
      </c>
      <c r="D222" s="2">
        <f>IFERROR(__xludf.DUMMYFUNCTION("""COMPUTED_VALUE"""),4.0)</f>
        <v>4</v>
      </c>
      <c r="E222" s="2" t="str">
        <f>IFERROR(__xludf.DUMMYFUNCTION("""COMPUTED_VALUE"""),"B-3-7")</f>
        <v>B-3-7</v>
      </c>
    </row>
    <row r="223">
      <c r="A223" s="2" t="str">
        <f>IFERROR(__xludf.DUMMYFUNCTION("""COMPUTED_VALUE"""),"O-16771-00")</f>
        <v>O-16771-00</v>
      </c>
      <c r="B223" s="2" t="str">
        <f>IFERROR(__xludf.DUMMYFUNCTION("""COMPUTED_VALUE"""),"Oring Silicone Merah 19 x 15.5 x 1.75 mm; ; ;")</f>
        <v>Oring Silicone Merah 19 x 15.5 x 1.75 mm; ; ;</v>
      </c>
      <c r="C223" s="2" t="str">
        <f>IFERROR(__xludf.DUMMYFUNCTION("""COMPUTED_VALUE"""),"pc")</f>
        <v>pc</v>
      </c>
      <c r="D223" s="2">
        <f>IFERROR(__xludf.DUMMYFUNCTION("""COMPUTED_VALUE"""),2.0)</f>
        <v>2</v>
      </c>
      <c r="E223" s="2" t="str">
        <f>IFERROR(__xludf.DUMMYFUNCTION("""COMPUTED_VALUE"""),"C1")</f>
        <v>C1</v>
      </c>
    </row>
    <row r="224">
      <c r="A224" s="2" t="str">
        <f>IFERROR(__xludf.DUMMYFUNCTION("""COMPUTED_VALUE"""),"O-18346-00")</f>
        <v>O-18346-00</v>
      </c>
      <c r="B224" s="2" t="str">
        <f>IFERROR(__xludf.DUMMYFUNCTION("""COMPUTED_VALUE"""),"Tunnel Machine - Junction (15x15mm L=23,5mm) CA system Tight Door; ; ;; Steriline; 9166; 1 Pc")</f>
        <v>Tunnel Machine - Junction (15x15mm L=23,5mm) CA system Tight Door; ; ;; Steriline; 9166; 1 Pc</v>
      </c>
      <c r="C224" s="2" t="str">
        <f>IFERROR(__xludf.DUMMYFUNCTION("""COMPUTED_VALUE"""),"pc")</f>
        <v>pc</v>
      </c>
      <c r="D224" s="2">
        <f>IFERROR(__xludf.DUMMYFUNCTION("""COMPUTED_VALUE"""),3.0)</f>
        <v>3</v>
      </c>
      <c r="E224" s="2" t="str">
        <f>IFERROR(__xludf.DUMMYFUNCTION("""COMPUTED_VALUE"""),"B-1-1A")</f>
        <v>B-1-1A</v>
      </c>
    </row>
    <row r="225">
      <c r="A225" s="2" t="str">
        <f>IFERROR(__xludf.DUMMYFUNCTION("""COMPUTED_VALUE"""),"P-14901-00")</f>
        <v>P-14901-00</v>
      </c>
      <c r="B225" s="2" t="str">
        <f>IFERROR(__xludf.DUMMYFUNCTION("""COMPUTED_VALUE"""),"Sleeve Seal Hanovia UV System; HANOVIA; p/n 600143025;")</f>
        <v>Sleeve Seal Hanovia UV System; HANOVIA; p/n 600143025;</v>
      </c>
      <c r="C225" s="2" t="str">
        <f>IFERROR(__xludf.DUMMYFUNCTION("""COMPUTED_VALUE"""),"unt")</f>
        <v>unt</v>
      </c>
      <c r="D225" s="2">
        <f>IFERROR(__xludf.DUMMYFUNCTION("""COMPUTED_VALUE"""),8.0)</f>
        <v>8</v>
      </c>
      <c r="E225" s="2" t="str">
        <f>IFERROR(__xludf.DUMMYFUNCTION("""COMPUTED_VALUE"""),"A-5-1")</f>
        <v>A-5-1</v>
      </c>
    </row>
    <row r="226">
      <c r="A226" s="2" t="str">
        <f>IFERROR(__xludf.DUMMYFUNCTION("""COMPUTED_VALUE"""),"P-54519-00")</f>
        <v>P-54519-00</v>
      </c>
      <c r="B226" s="2" t="str">
        <f>IFERROR(__xludf.DUMMYFUNCTION("""COMPUTED_VALUE"""),"General - Terminal Block TBR20; Fort; -; 50pcs/pack")</f>
        <v>General - Terminal Block TBR20; Fort; -; 50pcs/pack</v>
      </c>
      <c r="C226" s="2" t="str">
        <f>IFERROR(__xludf.DUMMYFUNCTION("""COMPUTED_VALUE"""),"Pck")</f>
        <v>Pck</v>
      </c>
      <c r="D226" s="2">
        <f>IFERROR(__xludf.DUMMYFUNCTION("""COMPUTED_VALUE"""),2.0)</f>
        <v>2</v>
      </c>
      <c r="E226" s="2" t="str">
        <f>IFERROR(__xludf.DUMMYFUNCTION("""COMPUTED_VALUE"""),"-")</f>
        <v>-</v>
      </c>
    </row>
    <row r="227">
      <c r="A227" s="2" t="str">
        <f>IFERROR(__xludf.DUMMYFUNCTION("""COMPUTED_VALUE"""),"P-54536-00")</f>
        <v>P-54536-00</v>
      </c>
      <c r="B227" s="2" t="str">
        <f>IFERROR(__xludf.DUMMYFUNCTION("""COMPUTED_VALUE"""),"General - Lampu TL-D 58W 6500K 1500mm; Philips; -; 1 pc")</f>
        <v>General - Lampu TL-D 58W 6500K 1500mm; Philips; -; 1 pc</v>
      </c>
      <c r="C227" s="2" t="str">
        <f>IFERROR(__xludf.DUMMYFUNCTION("""COMPUTED_VALUE"""),"pc")</f>
        <v>pc</v>
      </c>
      <c r="D227" s="2">
        <f>IFERROR(__xludf.DUMMYFUNCTION("""COMPUTED_VALUE"""),2.0)</f>
        <v>2</v>
      </c>
      <c r="E227" s="2" t="str">
        <f>IFERROR(__xludf.DUMMYFUNCTION("""COMPUTED_VALUE"""),"-")</f>
        <v>-</v>
      </c>
    </row>
    <row r="228">
      <c r="A228" s="2" t="str">
        <f>IFERROR(__xludf.DUMMYFUNCTION("""COMPUTED_VALUE"""),"P-18277-00")</f>
        <v>P-18277-00</v>
      </c>
      <c r="B228" s="2" t="str">
        <f>IFERROR(__xludf.DUMMYFUNCTION("""COMPUTED_VALUE"""),"General - Elbow PVC AW 45', dia. 2inch; Rucika; -; 1 Pc")</f>
        <v>General - Elbow PVC AW 45', dia. 2inch; Rucika; -; 1 Pc</v>
      </c>
      <c r="C228" s="2" t="str">
        <f>IFERROR(__xludf.DUMMYFUNCTION("""COMPUTED_VALUE"""),"pc")</f>
        <v>pc</v>
      </c>
      <c r="D228" s="2">
        <f>IFERROR(__xludf.DUMMYFUNCTION("""COMPUTED_VALUE"""),4.0)</f>
        <v>4</v>
      </c>
      <c r="E228" s="2"/>
    </row>
    <row r="229">
      <c r="A229" s="2" t="str">
        <f>IFERROR(__xludf.DUMMYFUNCTION("""COMPUTED_VALUE"""),"O-52859-00")</f>
        <v>O-52859-00</v>
      </c>
      <c r="B229" s="2" t="str">
        <f>IFERROR(__xludf.DUMMYFUNCTION("""COMPUTED_VALUE"""),"General - Temperature Controller 100-240 VAC; Autonics; TK4S- 24RN; 1 Pc")</f>
        <v>General - Temperature Controller 100-240 VAC; Autonics; TK4S- 24RN; 1 Pc</v>
      </c>
      <c r="C229" s="2" t="str">
        <f>IFERROR(__xludf.DUMMYFUNCTION("""COMPUTED_VALUE"""),"pc")</f>
        <v>pc</v>
      </c>
      <c r="D229" s="2">
        <f>IFERROR(__xludf.DUMMYFUNCTION("""COMPUTED_VALUE"""),5.0)</f>
        <v>5</v>
      </c>
      <c r="E229" s="2" t="str">
        <f>IFERROR(__xludf.DUMMYFUNCTION("""COMPUTED_VALUE"""),"F-3")</f>
        <v>F-3</v>
      </c>
    </row>
    <row r="230">
      <c r="A230" s="2" t="str">
        <f>IFERROR(__xludf.DUMMYFUNCTION("""COMPUTED_VALUE"""),"O-52207-00")</f>
        <v>O-52207-00</v>
      </c>
      <c r="B230" s="2" t="str">
        <f>IFERROR(__xludf.DUMMYFUNCTION("""COMPUTED_VALUE"""),"General - Laser Photoelectric Sensor Head; Keyence; LV-S62; 1 Pc")</f>
        <v>General - Laser Photoelectric Sensor Head; Keyence; LV-S62; 1 Pc</v>
      </c>
      <c r="C230" s="2" t="str">
        <f>IFERROR(__xludf.DUMMYFUNCTION("""COMPUTED_VALUE"""),"pc")</f>
        <v>pc</v>
      </c>
      <c r="D230" s="2">
        <f>IFERROR(__xludf.DUMMYFUNCTION("""COMPUTED_VALUE"""),1.0)</f>
        <v>1</v>
      </c>
      <c r="E230" s="2" t="str">
        <f>IFERROR(__xludf.DUMMYFUNCTION("""COMPUTED_VALUE"""),"C-1-1")</f>
        <v>C-1-1</v>
      </c>
    </row>
    <row r="231">
      <c r="A231" s="2" t="str">
        <f>IFERROR(__xludf.DUMMYFUNCTION("""COMPUTED_VALUE"""),"P-18554-00")</f>
        <v>P-18554-00</v>
      </c>
      <c r="B231" s="2" t="str">
        <f>IFERROR(__xludf.DUMMYFUNCTION("""COMPUTED_VALUE"""),"General - Baut Hexagonal, SS 304, M4 x 8 mm; No Brand; -; 1 pcs")</f>
        <v>General - Baut Hexagonal, SS 304, M4 x 8 mm; No Brand; -; 1 pcs</v>
      </c>
      <c r="C231" s="2" t="str">
        <f>IFERROR(__xludf.DUMMYFUNCTION("""COMPUTED_VALUE"""),"pc")</f>
        <v>pc</v>
      </c>
      <c r="D231" s="2">
        <f>IFERROR(__xludf.DUMMYFUNCTION("""COMPUTED_VALUE"""),100.0)</f>
        <v>100</v>
      </c>
      <c r="E231" s="2" t="str">
        <f>IFERROR(__xludf.DUMMYFUNCTION("""COMPUTED_VALUE"""),"S-2-11")</f>
        <v>S-2-11</v>
      </c>
    </row>
    <row r="232">
      <c r="A232" s="2" t="str">
        <f>IFERROR(__xludf.DUMMYFUNCTION("""COMPUTED_VALUE"""),"P-19885-00")</f>
        <v>P-19885-00</v>
      </c>
      <c r="B232" s="2" t="str">
        <f>IFERROR(__xludf.DUMMYFUNCTION("""COMPUTED_VALUE"""),"General - Kabel Duct Oval, Size: 50 x 15, Panjang 2.9meter; Stindo; -; 1 pc")</f>
        <v>General - Kabel Duct Oval, Size: 50 x 15, Panjang 2.9meter; Stindo; -; 1 pc</v>
      </c>
      <c r="C232" s="2" t="str">
        <f>IFERROR(__xludf.DUMMYFUNCTION("""COMPUTED_VALUE"""),"pc")</f>
        <v>pc</v>
      </c>
      <c r="D232" s="2">
        <f>IFERROR(__xludf.DUMMYFUNCTION("""COMPUTED_VALUE"""),4.0)</f>
        <v>4</v>
      </c>
      <c r="E232" s="2"/>
    </row>
    <row r="233">
      <c r="A233" s="2" t="str">
        <f>IFERROR(__xludf.DUMMYFUNCTION("""COMPUTED_VALUE"""),"O-52825-00")</f>
        <v>O-52825-00</v>
      </c>
      <c r="B233" s="2" t="str">
        <f>IFERROR(__xludf.DUMMYFUNCTION("""COMPUTED_VALUE"""),"General - SV54 141932 330 S.S+FKM I/O: G1/4 Inch Orifice 4mm Kv=0.28 m3/h NO DC24V; BURKERT; EDB00005; 1 Pc")</f>
        <v>General - SV54 141932 330 S.S+FKM I/O: G1/4 Inch Orifice 4mm Kv=0.28 m3/h NO DC24V; BURKERT; EDB00005; 1 Pc</v>
      </c>
      <c r="C233" s="2" t="str">
        <f>IFERROR(__xludf.DUMMYFUNCTION("""COMPUTED_VALUE"""),"pc")</f>
        <v>pc</v>
      </c>
      <c r="D233" s="2">
        <f>IFERROR(__xludf.DUMMYFUNCTION("""COMPUTED_VALUE"""),4.0)</f>
        <v>4</v>
      </c>
      <c r="E233" s="2" t="str">
        <f>IFERROR(__xludf.DUMMYFUNCTION("""COMPUTED_VALUE"""),"D-4-5")</f>
        <v>D-4-5</v>
      </c>
    </row>
    <row r="234">
      <c r="A234" s="2" t="str">
        <f>IFERROR(__xludf.DUMMYFUNCTION("""COMPUTED_VALUE"""),"P-20754-00")</f>
        <v>P-20754-00</v>
      </c>
      <c r="B234" s="2" t="str">
        <f>IFERROR(__xludf.DUMMYFUNCTION("""COMPUTED_VALUE"""),"General - Oring 200 Viton Tebal 5.7 ID 199.3 OD 210.7 mm; Custom; -; 1 pc")</f>
        <v>General - Oring 200 Viton Tebal 5.7 ID 199.3 OD 210.7 mm; Custom; -; 1 pc</v>
      </c>
      <c r="C234" s="2" t="str">
        <f>IFERROR(__xludf.DUMMYFUNCTION("""COMPUTED_VALUE"""),"pc")</f>
        <v>pc</v>
      </c>
      <c r="D234" s="2">
        <f>IFERROR(__xludf.DUMMYFUNCTION("""COMPUTED_VALUE"""),1.0)</f>
        <v>1</v>
      </c>
      <c r="E234" s="2" t="str">
        <f>IFERROR(__xludf.DUMMYFUNCTION("""COMPUTED_VALUE"""),"-")</f>
        <v>-</v>
      </c>
    </row>
    <row r="235">
      <c r="A235" s="2" t="str">
        <f>IFERROR(__xludf.DUMMYFUNCTION("""COMPUTED_VALUE"""),"O-52841-00")</f>
        <v>O-52841-00</v>
      </c>
      <c r="B235" s="2" t="str">
        <f>IFERROR(__xludf.DUMMYFUNCTION("""COMPUTED_VALUE"""),"Freeze Dryer MBE1207 - Mechanical Positioner Switch EB14-00072; Bray; 50-0406-12610-532; 1 pc")</f>
        <v>Freeze Dryer MBE1207 - Mechanical Positioner Switch EB14-00072; Bray; 50-0406-12610-532; 1 pc</v>
      </c>
      <c r="C235" s="2" t="str">
        <f>IFERROR(__xludf.DUMMYFUNCTION("""COMPUTED_VALUE"""),"pc")</f>
        <v>pc</v>
      </c>
      <c r="D235" s="2">
        <f>IFERROR(__xludf.DUMMYFUNCTION("""COMPUTED_VALUE"""),4.0)</f>
        <v>4</v>
      </c>
      <c r="E235" s="2" t="str">
        <f>IFERROR(__xludf.DUMMYFUNCTION("""COMPUTED_VALUE"""),"G-3-7 dan G-3-8")</f>
        <v>G-3-7 dan G-3-8</v>
      </c>
    </row>
    <row r="236">
      <c r="A236" s="2" t="str">
        <f>IFERROR(__xludf.DUMMYFUNCTION("""COMPUTED_VALUE"""),"P-20238-00")</f>
        <v>P-20238-00</v>
      </c>
      <c r="B236" s="2" t="str">
        <f>IFERROR(__xludf.DUMMYFUNCTION("""COMPUTED_VALUE"""),"General - Gate Valve Kuningan 1/2 Inch ASA 125; KITZ; -; 1 pc")</f>
        <v>General - Gate Valve Kuningan 1/2 Inch ASA 125; KITZ; -; 1 pc</v>
      </c>
      <c r="C236" s="2" t="str">
        <f>IFERROR(__xludf.DUMMYFUNCTION("""COMPUTED_VALUE"""),"pc")</f>
        <v>pc</v>
      </c>
      <c r="D236" s="2">
        <f>IFERROR(__xludf.DUMMYFUNCTION("""COMPUTED_VALUE"""),2.0)</f>
        <v>2</v>
      </c>
      <c r="E236" s="2"/>
    </row>
    <row r="237">
      <c r="A237" s="2" t="str">
        <f>IFERROR(__xludf.DUMMYFUNCTION("""COMPUTED_VALUE"""),"P-51252-00")</f>
        <v>P-51252-00</v>
      </c>
      <c r="B237" s="2" t="str">
        <f>IFERROR(__xludf.DUMMYFUNCTION("""COMPUTED_VALUE"""),"Skun O dia 2.5 mm")</f>
        <v>Skun O dia 2.5 mm</v>
      </c>
      <c r="C237" s="2" t="str">
        <f>IFERROR(__xludf.DUMMYFUNCTION("""COMPUTED_VALUE"""),"pc")</f>
        <v>pc</v>
      </c>
      <c r="D237" s="2">
        <f>IFERROR(__xludf.DUMMYFUNCTION("""COMPUTED_VALUE"""),3.0)</f>
        <v>3</v>
      </c>
      <c r="E237" s="2"/>
    </row>
    <row r="238">
      <c r="A238" s="2" t="str">
        <f>IFERROR(__xludf.DUMMYFUNCTION("""COMPUTED_VALUE"""),"O-15489-00")</f>
        <v>O-15489-00</v>
      </c>
      <c r="B238" s="2" t="str">
        <f>IFERROR(__xludf.DUMMYFUNCTION("""COMPUTED_VALUE"""),"General - Fan Belt; Optibelt; SPA 1120; 1 Pc")</f>
        <v>General - Fan Belt; Optibelt; SPA 1120; 1 Pc</v>
      </c>
      <c r="C238" s="2" t="str">
        <f>IFERROR(__xludf.DUMMYFUNCTION("""COMPUTED_VALUE"""),"pc")</f>
        <v>pc</v>
      </c>
      <c r="D238" s="2">
        <f>IFERROR(__xludf.DUMMYFUNCTION("""COMPUTED_VALUE"""),8.0)</f>
        <v>8</v>
      </c>
      <c r="E238" s="2" t="str">
        <f>IFERROR(__xludf.DUMMYFUNCTION("""COMPUTED_VALUE"""),"L-2")</f>
        <v>L-2</v>
      </c>
    </row>
    <row r="239">
      <c r="A239" s="2" t="str">
        <f>IFERROR(__xludf.DUMMYFUNCTION("""COMPUTED_VALUE"""),"P-16474-00")</f>
        <v>P-16474-00</v>
      </c>
      <c r="B239" s="2" t="str">
        <f>IFERROR(__xludf.DUMMYFUNCTION("""COMPUTED_VALUE"""),"General - Lem PLastic Steel Epoxy + Hardener 5 menit; Dextone; -; 1 set")</f>
        <v>General - Lem PLastic Steel Epoxy + Hardener 5 menit; Dextone; -; 1 set</v>
      </c>
      <c r="C239" s="2" t="str">
        <f>IFERROR(__xludf.DUMMYFUNCTION("""COMPUTED_VALUE"""),"Pck")</f>
        <v>Pck</v>
      </c>
      <c r="D239" s="2">
        <f>IFERROR(__xludf.DUMMYFUNCTION("""COMPUTED_VALUE"""),5.0)</f>
        <v>5</v>
      </c>
      <c r="E239" s="2" t="str">
        <f>IFERROR(__xludf.DUMMYFUNCTION("""COMPUTED_VALUE"""),"M-3-3A")</f>
        <v>M-3-3A</v>
      </c>
    </row>
    <row r="240">
      <c r="A240" s="2" t="str">
        <f>IFERROR(__xludf.DUMMYFUNCTION("""COMPUTED_VALUE"""),"O-19005-00")</f>
        <v>O-19005-00</v>
      </c>
      <c r="B240" s="2" t="str">
        <f>IFERROR(__xludf.DUMMYFUNCTION("""COMPUTED_VALUE"""),"General - Linear Shaft; Misumi; PSFAA8-46-F11-P6-M3-N3; 1 Pc")</f>
        <v>General - Linear Shaft; Misumi; PSFAA8-46-F11-P6-M3-N3; 1 Pc</v>
      </c>
      <c r="C240" s="2" t="str">
        <f>IFERROR(__xludf.DUMMYFUNCTION("""COMPUTED_VALUE"""),"pc")</f>
        <v>pc</v>
      </c>
      <c r="D240" s="2">
        <f>IFERROR(__xludf.DUMMYFUNCTION("""COMPUTED_VALUE"""),1.0)</f>
        <v>1</v>
      </c>
      <c r="E240" s="2" t="str">
        <f>IFERROR(__xludf.DUMMYFUNCTION("""COMPUTED_VALUE"""),"A-2-11A")</f>
        <v>A-2-11A</v>
      </c>
    </row>
    <row r="241">
      <c r="A241" s="2" t="str">
        <f>IFERROR(__xludf.DUMMYFUNCTION("""COMPUTED_VALUE"""),"P-19779-00")</f>
        <v>P-19779-00</v>
      </c>
      <c r="B241" s="2" t="str">
        <f>IFERROR(__xludf.DUMMYFUNCTION("""COMPUTED_VALUE"""),"General - PVC Hose cpl., DN25 ISO-KF, 2000 mm; Inficon; 211-412; 1 pc")</f>
        <v>General - PVC Hose cpl., DN25 ISO-KF, 2000 mm; Inficon; 211-412; 1 pc</v>
      </c>
      <c r="C241" s="2" t="str">
        <f>IFERROR(__xludf.DUMMYFUNCTION("""COMPUTED_VALUE"""),"pc")</f>
        <v>pc</v>
      </c>
      <c r="D241" s="2">
        <f>IFERROR(__xludf.DUMMYFUNCTION("""COMPUTED_VALUE"""),1.0)</f>
        <v>1</v>
      </c>
      <c r="E241" s="2" t="str">
        <f>IFERROR(__xludf.DUMMYFUNCTION("""COMPUTED_VALUE"""),"F-4")</f>
        <v>F-4</v>
      </c>
    </row>
    <row r="242">
      <c r="A242" s="2" t="str">
        <f>IFERROR(__xludf.DUMMYFUNCTION("""COMPUTED_VALUE"""),"Q-10434-00")</f>
        <v>Q-10434-00</v>
      </c>
      <c r="B242" s="2" t="str">
        <f>IFERROR(__xludf.DUMMYFUNCTION("""COMPUTED_VALUE"""),"Lampu Tornado Philips 27 W Cool Daylight; PHILIPS; 27WATTS;")</f>
        <v>Lampu Tornado Philips 27 W Cool Daylight; PHILIPS; 27WATTS;</v>
      </c>
      <c r="C242" s="2" t="str">
        <f>IFERROR(__xludf.DUMMYFUNCTION("""COMPUTED_VALUE"""),"pc")</f>
        <v>pc</v>
      </c>
      <c r="D242" s="2">
        <f>IFERROR(__xludf.DUMMYFUNCTION("""COMPUTED_VALUE"""),2.0)</f>
        <v>2</v>
      </c>
      <c r="E242" s="2" t="str">
        <f>IFERROR(__xludf.DUMMYFUNCTION("""COMPUTED_VALUE"""),"O3")</f>
        <v>O3</v>
      </c>
    </row>
    <row r="243">
      <c r="A243" s="2" t="str">
        <f>IFERROR(__xludf.DUMMYFUNCTION("""COMPUTED_VALUE"""),"O-14363-00")</f>
        <v>O-14363-00</v>
      </c>
      <c r="B243" s="2" t="str">
        <f>IFERROR(__xludf.DUMMYFUNCTION("""COMPUTED_VALUE"""),"General - Membrane Diaphragm Valve EPDM PTFE DN 25; Gemu; 600 25M5E-221; 1 Pc")</f>
        <v>General - Membrane Diaphragm Valve EPDM PTFE DN 25; Gemu; 600 25M5E-221; 1 Pc</v>
      </c>
      <c r="C243" s="2" t="str">
        <f>IFERROR(__xludf.DUMMYFUNCTION("""COMPUTED_VALUE"""),"pc")</f>
        <v>pc</v>
      </c>
      <c r="D243" s="2">
        <f>IFERROR(__xludf.DUMMYFUNCTION("""COMPUTED_VALUE"""),2.0)</f>
        <v>2</v>
      </c>
      <c r="E243" s="2" t="str">
        <f>IFERROR(__xludf.DUMMYFUNCTION("""COMPUTED_VALUE"""),"F-1")</f>
        <v>F-1</v>
      </c>
    </row>
    <row r="244">
      <c r="A244" s="2" t="str">
        <f>IFERROR(__xludf.DUMMYFUNCTION("""COMPUTED_VALUE"""),"O-53032-00")</f>
        <v>O-53032-00</v>
      </c>
      <c r="B244" s="2" t="str">
        <f>IFERROR(__xludf.DUMMYFUNCTION("""COMPUTED_VALUE"""),"General - Cable Temperature Sensor Silicone 1,5m PT1000; -; QAP2012.150; 1 pc")</f>
        <v>General - Cable Temperature Sensor Silicone 1,5m PT1000; -; QAP2012.150; 1 pc</v>
      </c>
      <c r="C244" s="2" t="str">
        <f>IFERROR(__xludf.DUMMYFUNCTION("""COMPUTED_VALUE"""),"pc")</f>
        <v>pc</v>
      </c>
      <c r="D244" s="2">
        <f>IFERROR(__xludf.DUMMYFUNCTION("""COMPUTED_VALUE"""),5.0)</f>
        <v>5</v>
      </c>
      <c r="E244" s="2"/>
    </row>
    <row r="245">
      <c r="A245" s="2" t="str">
        <f>IFERROR(__xludf.DUMMYFUNCTION("""COMPUTED_VALUE"""),"P-17272-00")</f>
        <v>P-17272-00</v>
      </c>
      <c r="B245" s="2" t="str">
        <f>IFERROR(__xludf.DUMMYFUNCTION("""COMPUTED_VALUE"""),"General - O-ring EPDM 9 x 4 x 2,5 mm; No Brand; -; 1 pc")</f>
        <v>General - O-ring EPDM 9 x 4 x 2,5 mm; No Brand; -; 1 pc</v>
      </c>
      <c r="C245" s="2" t="str">
        <f>IFERROR(__xludf.DUMMYFUNCTION("""COMPUTED_VALUE"""),"pc")</f>
        <v>pc</v>
      </c>
      <c r="D245" s="2">
        <f>IFERROR(__xludf.DUMMYFUNCTION("""COMPUTED_VALUE"""),64.0)</f>
        <v>64</v>
      </c>
      <c r="E245" s="2" t="str">
        <f>IFERROR(__xludf.DUMMYFUNCTION("""COMPUTED_VALUE"""),"E-3-5")</f>
        <v>E-3-5</v>
      </c>
    </row>
    <row r="246">
      <c r="A246" s="2" t="str">
        <f>IFERROR(__xludf.DUMMYFUNCTION("""COMPUTED_VALUE"""),"Q-60502-00")</f>
        <v>Q-60502-00</v>
      </c>
      <c r="B246" s="2" t="str">
        <f>IFERROR(__xludf.DUMMYFUNCTION("""COMPUTED_VALUE"""),"Silicone Sealant;Silglaze;Type N10 White;pack size per pcs")</f>
        <v>Silicone Sealant;Silglaze;Type N10 White;pack size per pcs</v>
      </c>
      <c r="C246" s="2" t="str">
        <f>IFERROR(__xludf.DUMMYFUNCTION("""COMPUTED_VALUE"""),"pc")</f>
        <v>pc</v>
      </c>
      <c r="D246" s="2">
        <f>IFERROR(__xludf.DUMMYFUNCTION("""COMPUTED_VALUE"""),1.0)</f>
        <v>1</v>
      </c>
      <c r="E246" s="2" t="str">
        <f>IFERROR(__xludf.DUMMYFUNCTION("""COMPUTED_VALUE"""),"Q1")</f>
        <v>Q1</v>
      </c>
    </row>
    <row r="247">
      <c r="A247" s="2" t="str">
        <f>IFERROR(__xludf.DUMMYFUNCTION("""COMPUTED_VALUE"""),"O-15931-00")</f>
        <v>O-15931-00</v>
      </c>
      <c r="B247" s="2" t="str">
        <f>IFERROR(__xludf.DUMMYFUNCTION("""COMPUTED_VALUE"""),"General - Double Tape 1"" Merah; 3M; -; 1 Pc")</f>
        <v>General - Double Tape 1" Merah; 3M; -; 1 Pc</v>
      </c>
      <c r="C247" s="2" t="str">
        <f>IFERROR(__xludf.DUMMYFUNCTION("""COMPUTED_VALUE"""),"pc")</f>
        <v>pc</v>
      </c>
      <c r="D247" s="2">
        <f>IFERROR(__xludf.DUMMYFUNCTION("""COMPUTED_VALUE"""),25.0)</f>
        <v>25</v>
      </c>
      <c r="E247" s="2" t="str">
        <f>IFERROR(__xludf.DUMMYFUNCTION("""COMPUTED_VALUE"""),"N3 dan R-3-14 dan R-3-12")</f>
        <v>N3 dan R-3-14 dan R-3-12</v>
      </c>
    </row>
    <row r="248">
      <c r="A248" s="2" t="str">
        <f>IFERROR(__xludf.DUMMYFUNCTION("""COMPUTED_VALUE"""),"O-52941-00")</f>
        <v>O-52941-00</v>
      </c>
      <c r="B248" s="2" t="str">
        <f>IFERROR(__xludf.DUMMYFUNCTION("""COMPUTED_VALUE"""),"General - PRINTER/PC INTERFACE TEMPERATURE G01A01 NEW (298/08/13-14); Thermolab; 0202PPCT02; 1 Pc")</f>
        <v>General - PRINTER/PC INTERFACE TEMPERATURE G01A01 NEW (298/08/13-14); Thermolab; 0202PPCT02; 1 Pc</v>
      </c>
      <c r="C248" s="2" t="str">
        <f>IFERROR(__xludf.DUMMYFUNCTION("""COMPUTED_VALUE"""),"pc")</f>
        <v>pc</v>
      </c>
      <c r="D248" s="2">
        <f>IFERROR(__xludf.DUMMYFUNCTION("""COMPUTED_VALUE"""),1.0)</f>
        <v>1</v>
      </c>
      <c r="E248" s="2" t="str">
        <f>IFERROR(__xludf.DUMMYFUNCTION("""COMPUTED_VALUE"""),"F-4")</f>
        <v>F-4</v>
      </c>
    </row>
    <row r="249">
      <c r="A249" s="2" t="str">
        <f>IFERROR(__xludf.DUMMYFUNCTION("""COMPUTED_VALUE"""),"P-50099-00")</f>
        <v>P-50099-00</v>
      </c>
      <c r="B249" s="2" t="str">
        <f>IFERROR(__xludf.DUMMYFUNCTION("""COMPUTED_VALUE"""),"General - MCB IC6ON 1P 10A; Schneider; -; 1 pcs")</f>
        <v>General - MCB IC6ON 1P 10A; Schneider; -; 1 pcs</v>
      </c>
      <c r="C249" s="2" t="str">
        <f>IFERROR(__xludf.DUMMYFUNCTION("""COMPUTED_VALUE"""),"pc")</f>
        <v>pc</v>
      </c>
      <c r="D249" s="2">
        <f>IFERROR(__xludf.DUMMYFUNCTION("""COMPUTED_VALUE"""),2.0)</f>
        <v>2</v>
      </c>
      <c r="E249" s="2" t="str">
        <f>IFERROR(__xludf.DUMMYFUNCTION("""COMPUTED_VALUE"""),"A4")</f>
        <v>A4</v>
      </c>
    </row>
    <row r="250">
      <c r="A250" s="2" t="str">
        <f>IFERROR(__xludf.DUMMYFUNCTION("""COMPUTED_VALUE"""),"O-52942-00")</f>
        <v>O-52942-00</v>
      </c>
      <c r="B250" s="2" t="str">
        <f>IFERROR(__xludf.DUMMYFUNCTION("""COMPUTED_VALUE"""),"General - Pressure Transmitter TN: 43008803 04 bar absolute 420 mA, 2; JUMO; Type : 402050/000; 1 Pc")</f>
        <v>General - Pressure Transmitter TN: 43008803 04 bar absolute 420 mA, 2; JUMO; Type : 402050/000; 1 Pc</v>
      </c>
      <c r="C250" s="2" t="str">
        <f>IFERROR(__xludf.DUMMYFUNCTION("""COMPUTED_VALUE"""),"pc")</f>
        <v>pc</v>
      </c>
      <c r="D250" s="2">
        <f>IFERROR(__xludf.DUMMYFUNCTION("""COMPUTED_VALUE"""),1.0)</f>
        <v>1</v>
      </c>
      <c r="E250" s="2" t="str">
        <f>IFERROR(__xludf.DUMMYFUNCTION("""COMPUTED_VALUE"""),"D-3-4")</f>
        <v>D-3-4</v>
      </c>
    </row>
    <row r="251">
      <c r="A251" s="2" t="str">
        <f>IFERROR(__xludf.DUMMYFUNCTION("""COMPUTED_VALUE"""),"P-20363-00")</f>
        <v>P-20363-00</v>
      </c>
      <c r="B251" s="2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51" s="2" t="str">
        <f>IFERROR(__xludf.DUMMYFUNCTION("""COMPUTED_VALUE"""),"pc")</f>
        <v>pc</v>
      </c>
      <c r="D251" s="2">
        <f>IFERROR(__xludf.DUMMYFUNCTION("""COMPUTED_VALUE"""),6.0)</f>
        <v>6</v>
      </c>
      <c r="E251" s="2" t="str">
        <f>IFERROR(__xludf.DUMMYFUNCTION("""COMPUTED_VALUE"""),"-")</f>
        <v>-</v>
      </c>
    </row>
    <row r="252">
      <c r="A252" s="2" t="str">
        <f>IFERROR(__xludf.DUMMYFUNCTION("""COMPUTED_VALUE"""),"O-19424-00")</f>
        <v>O-19424-00</v>
      </c>
      <c r="B252" s="2" t="str">
        <f>IFERROR(__xludf.DUMMYFUNCTION("""COMPUTED_VALUE"""),"General - Baut Hexagonal, SS 304, M6 x 20 mm + Mur + Ring; No Brand; -; 1 pcs")</f>
        <v>General - Baut Hexagonal, SS 304, M6 x 20 mm + Mur + Ring; No Brand; -; 1 pcs</v>
      </c>
      <c r="C252" s="2" t="str">
        <f>IFERROR(__xludf.DUMMYFUNCTION("""COMPUTED_VALUE"""),"pc")</f>
        <v>pc</v>
      </c>
      <c r="D252" s="2">
        <f>IFERROR(__xludf.DUMMYFUNCTION("""COMPUTED_VALUE"""),78.0)</f>
        <v>78</v>
      </c>
      <c r="E252" s="2" t="str">
        <f>IFERROR(__xludf.DUMMYFUNCTION("""COMPUTED_VALUE"""),"R-2-14")</f>
        <v>R-2-14</v>
      </c>
    </row>
    <row r="253">
      <c r="A253" s="2" t="str">
        <f>IFERROR(__xludf.DUMMYFUNCTION("""COMPUTED_VALUE"""),"P-12269-00")</f>
        <v>P-12269-00</v>
      </c>
      <c r="B253" s="2" t="str">
        <f>IFERROR(__xludf.DUMMYFUNCTION("""COMPUTED_VALUE"""),"General - Push-in Fitting, QSM-M5-6; Festo; 153306; 1 pcs")</f>
        <v>General - Push-in Fitting, QSM-M5-6; Festo; 153306; 1 pcs</v>
      </c>
      <c r="C253" s="2" t="str">
        <f>IFERROR(__xludf.DUMMYFUNCTION("""COMPUTED_VALUE"""),"pc")</f>
        <v>pc</v>
      </c>
      <c r="D253" s="2">
        <f>IFERROR(__xludf.DUMMYFUNCTION("""COMPUTED_VALUE"""),20.0)</f>
        <v>20</v>
      </c>
      <c r="E253" s="2" t="str">
        <f>IFERROR(__xludf.DUMMYFUNCTION("""COMPUTED_VALUE"""),"R-4-8")</f>
        <v>R-4-8</v>
      </c>
    </row>
    <row r="254">
      <c r="A254" s="2" t="str">
        <f>IFERROR(__xludf.DUMMYFUNCTION("""COMPUTED_VALUE"""),"P-54464-00")</f>
        <v>P-54464-00</v>
      </c>
      <c r="B254" s="2" t="str">
        <f>IFERROR(__xludf.DUMMYFUNCTION("""COMPUTED_VALUE"""),"General - MCB 32A 3Phase Domae; Schneider; DOMF01332; 1 pc")</f>
        <v>General - MCB 32A 3Phase Domae; Schneider; DOMF01332; 1 pc</v>
      </c>
      <c r="C254" s="2" t="str">
        <f>IFERROR(__xludf.DUMMYFUNCTION("""COMPUTED_VALUE"""),"pc")</f>
        <v>pc</v>
      </c>
      <c r="D254" s="2">
        <f>IFERROR(__xludf.DUMMYFUNCTION("""COMPUTED_VALUE"""),1.0)</f>
        <v>1</v>
      </c>
      <c r="E254" s="2" t="str">
        <f>IFERROR(__xludf.DUMMYFUNCTION("""COMPUTED_VALUE"""),"-")</f>
        <v>-</v>
      </c>
    </row>
    <row r="255">
      <c r="A255" s="2" t="str">
        <f>IFERROR(__xludf.DUMMYFUNCTION("""COMPUTED_VALUE"""),"P-53363-00")</f>
        <v>P-53363-00</v>
      </c>
      <c r="B255" s="2" t="str">
        <f>IFERROR(__xludf.DUMMYFUNCTION("""COMPUTED_VALUE"""),"General - Contactor 3Pole, 440V, 12A, 220 VAC, coil; Schneider; LC1D12M7; 1 unit")</f>
        <v>General - Contactor 3Pole, 440V, 12A, 220 VAC, coil; Schneider; LC1D12M7; 1 unit</v>
      </c>
      <c r="C255" s="2" t="str">
        <f>IFERROR(__xludf.DUMMYFUNCTION("""COMPUTED_VALUE"""),"pc")</f>
        <v>pc</v>
      </c>
      <c r="D255" s="2">
        <f>IFERROR(__xludf.DUMMYFUNCTION("""COMPUTED_VALUE"""),10.0)</f>
        <v>10</v>
      </c>
      <c r="E255" s="2" t="str">
        <f>IFERROR(__xludf.DUMMYFUNCTION("""COMPUTED_VALUE"""),"A-4-4A")</f>
        <v>A-4-4A</v>
      </c>
    </row>
    <row r="256">
      <c r="A256" s="2" t="str">
        <f>IFERROR(__xludf.DUMMYFUNCTION("""COMPUTED_VALUE"""),"P-12464-00")</f>
        <v>P-12464-00</v>
      </c>
      <c r="B256" s="2" t="str">
        <f>IFERROR(__xludf.DUMMYFUNCTION("""COMPUTED_VALUE"""),"General - Lem Aibon; No Brand; -; 300 gram/can")</f>
        <v>General - Lem Aibon; No Brand; -; 300 gram/can</v>
      </c>
      <c r="C256" s="2" t="str">
        <f>IFERROR(__xludf.DUMMYFUNCTION("""COMPUTED_VALUE"""),"pc")</f>
        <v>pc</v>
      </c>
      <c r="D256" s="2">
        <f>IFERROR(__xludf.DUMMYFUNCTION("""COMPUTED_VALUE"""),2.0)</f>
        <v>2</v>
      </c>
      <c r="E256" s="2" t="str">
        <f>IFERROR(__xludf.DUMMYFUNCTION("""COMPUTED_VALUE"""),"Flammable")</f>
        <v>Flammable</v>
      </c>
    </row>
    <row r="257">
      <c r="A257" s="2" t="str">
        <f>IFERROR(__xludf.DUMMYFUNCTION("""COMPUTED_VALUE"""),"O-54014-00")</f>
        <v>O-54014-00</v>
      </c>
      <c r="B257" s="2" t="str">
        <f>IFERROR(__xludf.DUMMYFUNCTION("""COMPUTED_VALUE"""),"STEKER 1 PHASE, BROCO")</f>
        <v>STEKER 1 PHASE, BROCO</v>
      </c>
      <c r="C257" s="2" t="str">
        <f>IFERROR(__xludf.DUMMYFUNCTION("""COMPUTED_VALUE"""),"pc")</f>
        <v>pc</v>
      </c>
      <c r="D257" s="2">
        <f>IFERROR(__xludf.DUMMYFUNCTION("""COMPUTED_VALUE"""),20.0)</f>
        <v>20</v>
      </c>
      <c r="E257" s="2" t="str">
        <f>IFERROR(__xludf.DUMMYFUNCTION("""COMPUTED_VALUE"""),"B-4")</f>
        <v>B-4</v>
      </c>
    </row>
    <row r="258">
      <c r="A258" s="2" t="str">
        <f>IFERROR(__xludf.DUMMYFUNCTION("""COMPUTED_VALUE"""),"P-20191-00")</f>
        <v>P-20191-00</v>
      </c>
      <c r="B258" s="2" t="str">
        <f>IFERROR(__xludf.DUMMYFUNCTION("""COMPUTED_VALUE"""),"General - Besi CNP 100 x 50 x 2mm x 6000mm; No Brand; -; 1 batang")</f>
        <v>General - Besi CNP 100 x 50 x 2mm x 6000mm; No Brand; -; 1 batang</v>
      </c>
      <c r="C258" s="2" t="str">
        <f>IFERROR(__xludf.DUMMYFUNCTION("""COMPUTED_VALUE"""),"pc")</f>
        <v>pc</v>
      </c>
      <c r="D258" s="2">
        <f>IFERROR(__xludf.DUMMYFUNCTION("""COMPUTED_VALUE"""),1.0)</f>
        <v>1</v>
      </c>
      <c r="E258" s="2" t="str">
        <f>IFERROR(__xludf.DUMMYFUNCTION("""COMPUTED_VALUE"""),"-")</f>
        <v>-</v>
      </c>
    </row>
    <row r="259">
      <c r="A259" s="2" t="str">
        <f>IFERROR(__xludf.DUMMYFUNCTION("""COMPUTED_VALUE"""),"O-20727-00")</f>
        <v>O-20727-00</v>
      </c>
      <c r="B259" s="2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259" s="2" t="str">
        <f>IFERROR(__xludf.DUMMYFUNCTION("""COMPUTED_VALUE"""),"ST")</f>
        <v>ST</v>
      </c>
      <c r="D259" s="2">
        <f>IFERROR(__xludf.DUMMYFUNCTION("""COMPUTED_VALUE"""),1.0)</f>
        <v>1</v>
      </c>
      <c r="E259" s="2" t="str">
        <f>IFERROR(__xludf.DUMMYFUNCTION("""COMPUTED_VALUE"""),"-")</f>
        <v>-</v>
      </c>
    </row>
    <row r="260">
      <c r="A260" s="2" t="str">
        <f>IFERROR(__xludf.DUMMYFUNCTION("""COMPUTED_VALUE"""),"P-19693-00")</f>
        <v>P-19693-00</v>
      </c>
      <c r="B260" s="2" t="str">
        <f>IFERROR(__xludf.DUMMYFUNCTION("""COMPUTED_VALUE"""),"General - Lem Adhesive; Superlon; -; 1kg/can")</f>
        <v>General - Lem Adhesive; Superlon; -; 1kg/can</v>
      </c>
      <c r="C260" s="2" t="str">
        <f>IFERROR(__xludf.DUMMYFUNCTION("""COMPUTED_VALUE"""),"pc")</f>
        <v>pc</v>
      </c>
      <c r="D260" s="2">
        <f>IFERROR(__xludf.DUMMYFUNCTION("""COMPUTED_VALUE"""),8.0)</f>
        <v>8</v>
      </c>
      <c r="E260" s="2" t="str">
        <f>IFERROR(__xludf.DUMMYFUNCTION("""COMPUTED_VALUE"""),"Flammable")</f>
        <v>Flammable</v>
      </c>
    </row>
    <row r="261">
      <c r="A261" s="2" t="str">
        <f>IFERROR(__xludf.DUMMYFUNCTION("""COMPUTED_VALUE"""),"O-52854-00")</f>
        <v>O-52854-00</v>
      </c>
      <c r="B261" s="2" t="str">
        <f>IFERROR(__xludf.DUMMYFUNCTION("""COMPUTED_VALUE"""),"General - Safety Sensor GIGA-4015-US; IFM; GG505S; 1 Pc")</f>
        <v>General - Safety Sensor GIGA-4015-US; IFM; GG505S; 1 Pc</v>
      </c>
      <c r="C261" s="2" t="str">
        <f>IFERROR(__xludf.DUMMYFUNCTION("""COMPUTED_VALUE"""),"pc")</f>
        <v>pc</v>
      </c>
      <c r="D261" s="2">
        <f>IFERROR(__xludf.DUMMYFUNCTION("""COMPUTED_VALUE"""),2.0)</f>
        <v>2</v>
      </c>
      <c r="E261" s="2" t="str">
        <f>IFERROR(__xludf.DUMMYFUNCTION("""COMPUTED_VALUE"""),"E-3")</f>
        <v>E-3</v>
      </c>
    </row>
    <row r="262">
      <c r="A262" s="2" t="str">
        <f>IFERROR(__xludf.DUMMYFUNCTION("""COMPUTED_VALUE"""),"P-54312-00")</f>
        <v>P-54312-00</v>
      </c>
      <c r="B262" s="2" t="str">
        <f>IFERROR(__xludf.DUMMYFUNCTION("""COMPUTED_VALUE"""),"General - Level Switch ERV 1/8 Inch Steris; Austar; -; 1 pc")</f>
        <v>General - Level Switch ERV 1/8 Inch Steris; Austar; -; 1 pc</v>
      </c>
      <c r="C262" s="2" t="str">
        <f>IFERROR(__xludf.DUMMYFUNCTION("""COMPUTED_VALUE"""),"pc")</f>
        <v>pc</v>
      </c>
      <c r="D262" s="2">
        <f>IFERROR(__xludf.DUMMYFUNCTION("""COMPUTED_VALUE"""),1.0)</f>
        <v>1</v>
      </c>
      <c r="E262" s="2" t="str">
        <f>IFERROR(__xludf.DUMMYFUNCTION("""COMPUTED_VALUE"""),"M-4")</f>
        <v>M-4</v>
      </c>
    </row>
    <row r="263">
      <c r="A263" s="2" t="str">
        <f>IFERROR(__xludf.DUMMYFUNCTION("""COMPUTED_VALUE"""),"P-20014-00")</f>
        <v>P-20014-00</v>
      </c>
      <c r="B263" s="2" t="str">
        <f>IFERROR(__xludf.DUMMYFUNCTION("""COMPUTED_VALUE"""),"General - Double Nepple Kuningan Drat 3/8 inch - 3/8inch; No Brand; -; 1 pc")</f>
        <v>General - Double Nepple Kuningan Drat 3/8 inch - 3/8inch; No Brand; -; 1 pc</v>
      </c>
      <c r="C263" s="2" t="str">
        <f>IFERROR(__xludf.DUMMYFUNCTION("""COMPUTED_VALUE"""),"pc")</f>
        <v>pc</v>
      </c>
      <c r="D263" s="2">
        <f>IFERROR(__xludf.DUMMYFUNCTION("""COMPUTED_VALUE"""),5.0)</f>
        <v>5</v>
      </c>
      <c r="E263" s="2"/>
    </row>
    <row r="264">
      <c r="A264" s="2" t="str">
        <f>IFERROR(__xludf.DUMMYFUNCTION("""COMPUTED_VALUE"""),"P-10897-00")</f>
        <v>P-10897-00</v>
      </c>
      <c r="B264" s="2" t="str">
        <f>IFERROR(__xludf.DUMMYFUNCTION("""COMPUTED_VALUE"""),"General - Socket, PVC, 1""; Rucika; -; 1 pcs")</f>
        <v>General - Socket, PVC, 1"; Rucika; -; 1 pcs</v>
      </c>
      <c r="C264" s="2" t="str">
        <f>IFERROR(__xludf.DUMMYFUNCTION("""COMPUTED_VALUE"""),"pc")</f>
        <v>pc</v>
      </c>
      <c r="D264" s="2">
        <f>IFERROR(__xludf.DUMMYFUNCTION("""COMPUTED_VALUE"""),1.0)</f>
        <v>1</v>
      </c>
      <c r="E264" s="2"/>
    </row>
    <row r="265">
      <c r="A265" s="2" t="str">
        <f>IFERROR(__xludf.DUMMYFUNCTION("""COMPUTED_VALUE"""),"P-10862-00")</f>
        <v>P-10862-00</v>
      </c>
      <c r="B265" s="2" t="str">
        <f>IFERROR(__xludf.DUMMYFUNCTION("""COMPUTED_VALUE"""),"General - Elbow PVC 2 1/2inch; Rucika; -; 1 pc")</f>
        <v>General - Elbow PVC 2 1/2inch; Rucika; -; 1 pc</v>
      </c>
      <c r="C265" s="2" t="str">
        <f>IFERROR(__xludf.DUMMYFUNCTION("""COMPUTED_VALUE"""),"pc")</f>
        <v>pc</v>
      </c>
      <c r="D265" s="2">
        <f>IFERROR(__xludf.DUMMYFUNCTION("""COMPUTED_VALUE"""),5.0)</f>
        <v>5</v>
      </c>
      <c r="E265" s="2"/>
    </row>
    <row r="266">
      <c r="A266" s="2" t="str">
        <f>IFERROR(__xludf.DUMMYFUNCTION("""COMPUTED_VALUE"""),"P-54355-00")</f>
        <v>P-54355-00</v>
      </c>
      <c r="B266" s="2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66" s="2" t="str">
        <f>IFERROR(__xludf.DUMMYFUNCTION("""COMPUTED_VALUE"""),"pc")</f>
        <v>pc</v>
      </c>
      <c r="D266" s="2">
        <f>IFERROR(__xludf.DUMMYFUNCTION("""COMPUTED_VALUE"""),5.0)</f>
        <v>5</v>
      </c>
      <c r="E266" s="2"/>
    </row>
    <row r="267">
      <c r="A267" s="2" t="str">
        <f>IFERROR(__xludf.DUMMYFUNCTION("""COMPUTED_VALUE"""),"P-13735-00")</f>
        <v>P-13735-00</v>
      </c>
      <c r="B267" s="2" t="str">
        <f>IFERROR(__xludf.DUMMYFUNCTION("""COMPUTED_VALUE"""),"General - Cable Duct Round Putih 35 x 10 mm; Lokal; -; 1 pcs")</f>
        <v>General - Cable Duct Round Putih 35 x 10 mm; Lokal; -; 1 pcs</v>
      </c>
      <c r="C267" s="2" t="str">
        <f>IFERROR(__xludf.DUMMYFUNCTION("""COMPUTED_VALUE"""),"pc")</f>
        <v>pc</v>
      </c>
      <c r="D267" s="2">
        <f>IFERROR(__xludf.DUMMYFUNCTION("""COMPUTED_VALUE"""),1.0)</f>
        <v>1</v>
      </c>
      <c r="E267" s="2"/>
    </row>
    <row r="268">
      <c r="A268" s="2" t="str">
        <f>IFERROR(__xludf.DUMMYFUNCTION("""COMPUTED_VALUE"""),"O-18962-00")</f>
        <v>O-18962-00</v>
      </c>
      <c r="B268" s="2" t="str">
        <f>IFERROR(__xludf.DUMMYFUNCTION("""COMPUTED_VALUE"""),"Capping VCM200 - Adjuster Screw Blade; Custom/Lokal; -; 1 Pc")</f>
        <v>Capping VCM200 - Adjuster Screw Blade; Custom/Lokal; -; 1 Pc</v>
      </c>
      <c r="C268" s="2" t="str">
        <f>IFERROR(__xludf.DUMMYFUNCTION("""COMPUTED_VALUE"""),"pc")</f>
        <v>pc</v>
      </c>
      <c r="D268" s="2">
        <f>IFERROR(__xludf.DUMMYFUNCTION("""COMPUTED_VALUE"""),1.0)</f>
        <v>1</v>
      </c>
      <c r="E268" s="2"/>
    </row>
    <row r="269">
      <c r="A269" s="2" t="str">
        <f>IFERROR(__xludf.DUMMYFUNCTION("""COMPUTED_VALUE"""),"P-14954-00")</f>
        <v>P-14954-00</v>
      </c>
      <c r="B269" s="2" t="str">
        <f>IFERROR(__xludf.DUMMYFUNCTION("""COMPUTED_VALUE"""),"General - Straight Reducer KQ2H06-08A; SMC; -; 1 pc")</f>
        <v>General - Straight Reducer KQ2H06-08A; SMC; -; 1 pc</v>
      </c>
      <c r="C269" s="2" t="str">
        <f>IFERROR(__xludf.DUMMYFUNCTION("""COMPUTED_VALUE"""),"pc")</f>
        <v>pc</v>
      </c>
      <c r="D269" s="2">
        <f>IFERROR(__xludf.DUMMYFUNCTION("""COMPUTED_VALUE"""),6.0)</f>
        <v>6</v>
      </c>
      <c r="E269" s="2" t="str">
        <f>IFERROR(__xludf.DUMMYFUNCTION("""COMPUTED_VALUE"""),"-")</f>
        <v>-</v>
      </c>
    </row>
    <row r="270">
      <c r="A270" s="2" t="str">
        <f>IFERROR(__xludf.DUMMYFUNCTION("""COMPUTED_VALUE"""),"O-15914-00")</f>
        <v>O-15914-00</v>
      </c>
      <c r="B270" s="2" t="str">
        <f>IFERROR(__xludf.DUMMYFUNCTION("""COMPUTED_VALUE"""),"Fedegari FVA2/A1 - Oring 34.52x3.53; Fedegari; CC150171; 1 pc")</f>
        <v>Fedegari FVA2/A1 - Oring 34.52x3.53; Fedegari; CC150171; 1 pc</v>
      </c>
      <c r="C270" s="2" t="str">
        <f>IFERROR(__xludf.DUMMYFUNCTION("""COMPUTED_VALUE"""),"unt")</f>
        <v>unt</v>
      </c>
      <c r="D270" s="2">
        <f>IFERROR(__xludf.DUMMYFUNCTION("""COMPUTED_VALUE"""),15.0)</f>
        <v>15</v>
      </c>
      <c r="E270" s="2" t="str">
        <f>IFERROR(__xludf.DUMMYFUNCTION("""COMPUTED_VALUE"""),"E3")</f>
        <v>E3</v>
      </c>
    </row>
    <row r="271">
      <c r="A271" s="2" t="str">
        <f>IFERROR(__xludf.DUMMYFUNCTION("""COMPUTED_VALUE"""),"O-52277-00")</f>
        <v>O-52277-00</v>
      </c>
      <c r="B271" s="2" t="str">
        <f>IFERROR(__xludf.DUMMYFUNCTION("""COMPUTED_VALUE"""),"General - Label Sensor; Sick; WF2-40B410; 1 Pc")</f>
        <v>General - Label Sensor; Sick; WF2-40B410; 1 Pc</v>
      </c>
      <c r="C271" s="2" t="str">
        <f>IFERROR(__xludf.DUMMYFUNCTION("""COMPUTED_VALUE"""),"pc")</f>
        <v>pc</v>
      </c>
      <c r="D271" s="2">
        <f>IFERROR(__xludf.DUMMYFUNCTION("""COMPUTED_VALUE"""),2.0)</f>
        <v>2</v>
      </c>
      <c r="E271" s="2" t="str">
        <f>IFERROR(__xludf.DUMMYFUNCTION("""COMPUTED_VALUE"""),"G-3")</f>
        <v>G-3</v>
      </c>
    </row>
    <row r="272">
      <c r="A272" s="2" t="str">
        <f>IFERROR(__xludf.DUMMYFUNCTION("""COMPUTED_VALUE"""),"P-19882-00")</f>
        <v>P-19882-00</v>
      </c>
      <c r="B272" s="2" t="str">
        <f>IFERROR(__xludf.DUMMYFUNCTION("""COMPUTED_VALUE"""),"General - Socket Pipa PVC JIS AW 2inch; Rucika; -; 1 pc")</f>
        <v>General - Socket Pipa PVC JIS AW 2inch; Rucika; -; 1 pc</v>
      </c>
      <c r="C272" s="2" t="str">
        <f>IFERROR(__xludf.DUMMYFUNCTION("""COMPUTED_VALUE"""),"pc")</f>
        <v>pc</v>
      </c>
      <c r="D272" s="2">
        <f>IFERROR(__xludf.DUMMYFUNCTION("""COMPUTED_VALUE"""),6.0)</f>
        <v>6</v>
      </c>
      <c r="E272" s="2"/>
    </row>
    <row r="273">
      <c r="A273" s="2" t="str">
        <f>IFERROR(__xludf.DUMMYFUNCTION("""COMPUTED_VALUE"""),"P-13650-00")</f>
        <v>P-13650-00</v>
      </c>
      <c r="B273" s="2" t="str">
        <f>IFERROR(__xludf.DUMMYFUNCTION("""COMPUTED_VALUE"""),"General - Shut-off Valve, HE-2-QS-6; Festo; 153467; 1 pcs")</f>
        <v>General - Shut-off Valve, HE-2-QS-6; Festo; 153467; 1 pcs</v>
      </c>
      <c r="C273" s="2" t="str">
        <f>IFERROR(__xludf.DUMMYFUNCTION("""COMPUTED_VALUE"""),"pc")</f>
        <v>pc</v>
      </c>
      <c r="D273" s="2">
        <f>IFERROR(__xludf.DUMMYFUNCTION("""COMPUTED_VALUE"""),11.0)</f>
        <v>11</v>
      </c>
      <c r="E273" s="2" t="str">
        <f>IFERROR(__xludf.DUMMYFUNCTION("""COMPUTED_VALUE"""),"M3")</f>
        <v>M3</v>
      </c>
    </row>
    <row r="274">
      <c r="A274" s="2" t="str">
        <f>IFERROR(__xludf.DUMMYFUNCTION("""COMPUTED_VALUE"""),"O-16706-00")</f>
        <v>O-16706-00</v>
      </c>
      <c r="B274" s="2" t="str">
        <f>IFERROR(__xludf.DUMMYFUNCTION("""COMPUTED_VALUE"""),"Capping VCM200 - Coupling for Encoder NBK MST 32 - P/N : -  pc")</f>
        <v>Capping VCM200 - Coupling for Encoder NBK MST 32 - P/N : -  pc</v>
      </c>
      <c r="C274" s="2" t="str">
        <f>IFERROR(__xludf.DUMMYFUNCTION("""COMPUTED_VALUE"""),"pc")</f>
        <v>pc</v>
      </c>
      <c r="D274" s="2">
        <f>IFERROR(__xludf.DUMMYFUNCTION("""COMPUTED_VALUE"""),2.0)</f>
        <v>2</v>
      </c>
      <c r="E274" s="2" t="str">
        <f>IFERROR(__xludf.DUMMYFUNCTION("""COMPUTED_VALUE"""),"A-1-3C")</f>
        <v>A-1-3C</v>
      </c>
    </row>
    <row r="275">
      <c r="A275" s="2" t="str">
        <f>IFERROR(__xludf.DUMMYFUNCTION("""COMPUTED_VALUE"""),"O-53441-00")</f>
        <v>O-53441-00</v>
      </c>
      <c r="B275" s="2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275" s="2" t="str">
        <f>IFERROR(__xludf.DUMMYFUNCTION("""COMPUTED_VALUE"""),"pc")</f>
        <v>pc</v>
      </c>
      <c r="D275" s="2">
        <f>IFERROR(__xludf.DUMMYFUNCTION("""COMPUTED_VALUE"""),1.0)</f>
        <v>1</v>
      </c>
      <c r="E275" s="2" t="str">
        <f>IFERROR(__xludf.DUMMYFUNCTION("""COMPUTED_VALUE"""),"H-3-6")</f>
        <v>H-3-6</v>
      </c>
    </row>
    <row r="276">
      <c r="A276" s="2" t="str">
        <f>IFERROR(__xludf.DUMMYFUNCTION("""COMPUTED_VALUE"""),"O-53465-00")</f>
        <v>O-53465-00</v>
      </c>
      <c r="B276" s="2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276" s="2" t="str">
        <f>IFERROR(__xludf.DUMMYFUNCTION("""COMPUTED_VALUE"""),"pc")</f>
        <v>pc</v>
      </c>
      <c r="D276" s="2">
        <f>IFERROR(__xludf.DUMMYFUNCTION("""COMPUTED_VALUE"""),1.0)</f>
        <v>1</v>
      </c>
      <c r="E276" s="2" t="str">
        <f>IFERROR(__xludf.DUMMYFUNCTION("""COMPUTED_VALUE"""),"-")</f>
        <v>-</v>
      </c>
    </row>
    <row r="277">
      <c r="A277" s="2" t="str">
        <f>IFERROR(__xludf.DUMMYFUNCTION("""COMPUTED_VALUE"""),"P-14955-00")</f>
        <v>P-14955-00</v>
      </c>
      <c r="B277" s="2" t="str">
        <f>IFERROR(__xludf.DUMMYFUNCTION("""COMPUTED_VALUE"""),"Straight Union KQ2H04-00A; ; ;")</f>
        <v>Straight Union KQ2H04-00A; ; ;</v>
      </c>
      <c r="C277" s="2" t="str">
        <f>IFERROR(__xludf.DUMMYFUNCTION("""COMPUTED_VALUE"""),"pc")</f>
        <v>pc</v>
      </c>
      <c r="D277" s="2">
        <f>IFERROR(__xludf.DUMMYFUNCTION("""COMPUTED_VALUE"""),6.0)</f>
        <v>6</v>
      </c>
      <c r="E277" s="2" t="str">
        <f>IFERROR(__xludf.DUMMYFUNCTION("""COMPUTED_VALUE"""),"M3")</f>
        <v>M3</v>
      </c>
    </row>
    <row r="278">
      <c r="A278" s="2" t="str">
        <f>IFERROR(__xludf.DUMMYFUNCTION("""COMPUTED_VALUE"""),"O-11169-00")</f>
        <v>O-11169-00</v>
      </c>
      <c r="B278" s="2" t="str">
        <f>IFERROR(__xludf.DUMMYFUNCTION("""COMPUTED_VALUE"""),"General - Bearing 6207 ZZ; SKF; -; 1 pcs")</f>
        <v>General - Bearing 6207 ZZ; SKF; -; 1 pcs</v>
      </c>
      <c r="C278" s="2" t="str">
        <f>IFERROR(__xludf.DUMMYFUNCTION("""COMPUTED_VALUE"""),"pc")</f>
        <v>pc</v>
      </c>
      <c r="D278" s="2">
        <f>IFERROR(__xludf.DUMMYFUNCTION("""COMPUTED_VALUE"""),5.0)</f>
        <v>5</v>
      </c>
      <c r="E278" s="2" t="str">
        <f>IFERROR(__xludf.DUMMYFUNCTION("""COMPUTED_VALUE"""),"G-2")</f>
        <v>G-2</v>
      </c>
    </row>
    <row r="279">
      <c r="A279" s="2" t="str">
        <f>IFERROR(__xludf.DUMMYFUNCTION("""COMPUTED_VALUE"""),"O-18120-00")</f>
        <v>O-18120-00</v>
      </c>
      <c r="B279" s="2" t="str">
        <f>IFERROR(__xludf.DUMMYFUNCTION("""COMPUTED_VALUE"""),"Capping VCM209 - Lock Nut Cramping; Custom/Lokal; -; 1 Pc")</f>
        <v>Capping VCM209 - Lock Nut Cramping; Custom/Lokal; -; 1 Pc</v>
      </c>
      <c r="C279" s="2" t="str">
        <f>IFERROR(__xludf.DUMMYFUNCTION("""COMPUTED_VALUE"""),"pc")</f>
        <v>pc</v>
      </c>
      <c r="D279" s="2">
        <f>IFERROR(__xludf.DUMMYFUNCTION("""COMPUTED_VALUE"""),5.0)</f>
        <v>5</v>
      </c>
      <c r="E279" s="2" t="str">
        <f>IFERROR(__xludf.DUMMYFUNCTION("""COMPUTED_VALUE"""),"-")</f>
        <v>-</v>
      </c>
    </row>
    <row r="280">
      <c r="A280" s="2" t="str">
        <f>IFERROR(__xludf.DUMMYFUNCTION("""COMPUTED_VALUE"""),"P-50495-00")</f>
        <v>P-50495-00</v>
      </c>
      <c r="B280" s="2" t="str">
        <f>IFERROR(__xludf.DUMMYFUNCTION("""COMPUTED_VALUE"""),"General - Relay, 230V, 50-60Hz, 12A, 250VAC; Schneider; RXM2AB2P7; 1 pc")</f>
        <v>General - Relay, 230V, 50-60Hz, 12A, 250VAC; Schneider; RXM2AB2P7; 1 pc</v>
      </c>
      <c r="C280" s="2" t="str">
        <f>IFERROR(__xludf.DUMMYFUNCTION("""COMPUTED_VALUE"""),"pc")</f>
        <v>pc</v>
      </c>
      <c r="D280" s="2">
        <f>IFERROR(__xludf.DUMMYFUNCTION("""COMPUTED_VALUE"""),14.0)</f>
        <v>14</v>
      </c>
      <c r="E280" s="2" t="str">
        <f>IFERROR(__xludf.DUMMYFUNCTION("""COMPUTED_VALUE"""),"F-3-1A")</f>
        <v>F-3-1A</v>
      </c>
    </row>
    <row r="281">
      <c r="A281" s="2" t="str">
        <f>IFERROR(__xludf.DUMMYFUNCTION("""COMPUTED_VALUE"""),"O-52882-00")</f>
        <v>O-52882-00</v>
      </c>
      <c r="B281" s="2" t="str">
        <f>IFERROR(__xludf.DUMMYFUNCTION("""COMPUTED_VALUE"""),"General - Sensor; Video Jet; C2DM-11N; 1 Pc")</f>
        <v>General - Sensor; Video Jet; C2DM-11N; 1 Pc</v>
      </c>
      <c r="C281" s="2" t="str">
        <f>IFERROR(__xludf.DUMMYFUNCTION("""COMPUTED_VALUE"""),"pc")</f>
        <v>pc</v>
      </c>
      <c r="D281" s="2">
        <f>IFERROR(__xludf.DUMMYFUNCTION("""COMPUTED_VALUE"""),1.0)</f>
        <v>1</v>
      </c>
      <c r="E281" s="2" t="str">
        <f>IFERROR(__xludf.DUMMYFUNCTION("""COMPUTED_VALUE"""),"A-3-7C")</f>
        <v>A-3-7C</v>
      </c>
    </row>
    <row r="282">
      <c r="A282" s="2" t="str">
        <f>IFERROR(__xludf.DUMMYFUNCTION("""COMPUTED_VALUE"""),"O-18897-00")</f>
        <v>O-18897-00</v>
      </c>
      <c r="B282" s="2" t="str">
        <f>IFERROR(__xludf.DUMMYFUNCTION("""COMPUTED_VALUE"""),"General - Oring Silicone 50x39.4x5.3 mm; -; -; 1 Pc")</f>
        <v>General - Oring Silicone 50x39.4x5.3 mm; -; -; 1 Pc</v>
      </c>
      <c r="C282" s="2" t="str">
        <f>IFERROR(__xludf.DUMMYFUNCTION("""COMPUTED_VALUE"""),"pc")</f>
        <v>pc</v>
      </c>
      <c r="D282" s="2">
        <f>IFERROR(__xludf.DUMMYFUNCTION("""COMPUTED_VALUE"""),6.0)</f>
        <v>6</v>
      </c>
      <c r="E282" s="2" t="str">
        <f>IFERROR(__xludf.DUMMYFUNCTION("""COMPUTED_VALUE"""),"E-3-8B")</f>
        <v>E-3-8B</v>
      </c>
    </row>
    <row r="283">
      <c r="A283" s="2" t="str">
        <f>IFERROR(__xludf.DUMMYFUNCTION("""COMPUTED_VALUE"""),"P-18725-00")</f>
        <v>P-18725-00</v>
      </c>
      <c r="B283" s="2" t="str">
        <f>IFERROR(__xludf.DUMMYFUNCTION("""COMPUTED_VALUE"""),"General - Freon R507; Chemours; -; 1 pcs")</f>
        <v>General - Freon R507; Chemours; -; 1 pcs</v>
      </c>
      <c r="C283" s="2" t="str">
        <f>IFERROR(__xludf.DUMMYFUNCTION("""COMPUTED_VALUE"""),"Can")</f>
        <v>Can</v>
      </c>
      <c r="D283" s="2">
        <f>IFERROR(__xludf.DUMMYFUNCTION("""COMPUTED_VALUE"""),6.0)</f>
        <v>6</v>
      </c>
      <c r="E283" s="2" t="str">
        <f>IFERROR(__xludf.DUMMYFUNCTION("""COMPUTED_VALUE"""),"Biru")</f>
        <v>Biru</v>
      </c>
    </row>
    <row r="284">
      <c r="A284" s="2" t="str">
        <f>IFERROR(__xludf.DUMMYFUNCTION("""COMPUTED_VALUE"""),"O-52336-00")</f>
        <v>O-52336-00</v>
      </c>
      <c r="B284" s="2" t="str">
        <f>IFERROR(__xludf.DUMMYFUNCTION("""COMPUTED_VALUE"""),"Capping VCM206 - Encoder 10-32 VDC; Sick; ARS60-A4A08192; 1 Pc")</f>
        <v>Capping VCM206 - Encoder 10-32 VDC; Sick; ARS60-A4A08192; 1 Pc</v>
      </c>
      <c r="C284" s="2" t="str">
        <f>IFERROR(__xludf.DUMMYFUNCTION("""COMPUTED_VALUE"""),"pc")</f>
        <v>pc</v>
      </c>
      <c r="D284" s="2">
        <f>IFERROR(__xludf.DUMMYFUNCTION("""COMPUTED_VALUE"""),1.0)</f>
        <v>1</v>
      </c>
      <c r="E284" s="2" t="str">
        <f>IFERROR(__xludf.DUMMYFUNCTION("""COMPUTED_VALUE"""),"A-3")</f>
        <v>A-3</v>
      </c>
    </row>
    <row r="285">
      <c r="A285" s="2" t="str">
        <f>IFERROR(__xludf.DUMMYFUNCTION("""COMPUTED_VALUE"""),"O-16646-00")</f>
        <v>O-16646-00</v>
      </c>
      <c r="B285" s="2" t="str">
        <f>IFERROR(__xludf.DUMMYFUNCTION("""COMPUTED_VALUE"""),"Oring NBR OD: 162 mm T: 6.7 mm; ; ;")</f>
        <v>Oring NBR OD: 162 mm T: 6.7 mm; ; ;</v>
      </c>
      <c r="C285" s="2" t="str">
        <f>IFERROR(__xludf.DUMMYFUNCTION("""COMPUTED_VALUE"""),"pc")</f>
        <v>pc</v>
      </c>
      <c r="D285" s="2">
        <f>IFERROR(__xludf.DUMMYFUNCTION("""COMPUTED_VALUE"""),1.0)</f>
        <v>1</v>
      </c>
      <c r="E285" s="2" t="str">
        <f>IFERROR(__xludf.DUMMYFUNCTION("""COMPUTED_VALUE"""),"A-3-3D")</f>
        <v>A-3-3D</v>
      </c>
    </row>
    <row r="286">
      <c r="A286" s="2" t="str">
        <f>IFERROR(__xludf.DUMMYFUNCTION("""COMPUTED_VALUE"""),"O-52443-00")</f>
        <v>O-52443-00</v>
      </c>
      <c r="B286" s="2" t="str">
        <f>IFERROR(__xludf.DUMMYFUNCTION("""COMPUTED_VALUE"""),"Analog Input 8 Channel 331-7KF02-0AB0; Siemens; ;")</f>
        <v>Analog Input 8 Channel 331-7KF02-0AB0; Siemens; ;</v>
      </c>
      <c r="C286" s="2" t="str">
        <f>IFERROR(__xludf.DUMMYFUNCTION("""COMPUTED_VALUE"""),"pc")</f>
        <v>pc</v>
      </c>
      <c r="D286" s="2">
        <f>IFERROR(__xludf.DUMMYFUNCTION("""COMPUTED_VALUE"""),1.0)</f>
        <v>1</v>
      </c>
      <c r="E286" s="2" t="str">
        <f>IFERROR(__xludf.DUMMYFUNCTION("""COMPUTED_VALUE"""),"D-2-3B")</f>
        <v>D-2-3B</v>
      </c>
    </row>
    <row r="287">
      <c r="A287" s="2" t="str">
        <f>IFERROR(__xludf.DUMMYFUNCTION("""COMPUTED_VALUE"""),"O-19288-00")</f>
        <v>O-19288-00</v>
      </c>
      <c r="B287" s="2" t="str">
        <f>IFERROR(__xludf.DUMMYFUNCTION("""COMPUTED_VALUE"""),"Mixing Machine - Gasket Gloves Leak Tester Port Mixing; Custom/Lokal; -; 1 Pc")</f>
        <v>Mixing Machine - Gasket Gloves Leak Tester Port Mixing; Custom/Lokal; -; 1 Pc</v>
      </c>
      <c r="C287" s="2" t="str">
        <f>IFERROR(__xludf.DUMMYFUNCTION("""COMPUTED_VALUE"""),"pc")</f>
        <v>pc</v>
      </c>
      <c r="D287" s="2">
        <f>IFERROR(__xludf.DUMMYFUNCTION("""COMPUTED_VALUE"""),5.0)</f>
        <v>5</v>
      </c>
      <c r="E287" s="2"/>
    </row>
    <row r="288">
      <c r="A288" s="2" t="str">
        <f>IFERROR(__xludf.DUMMYFUNCTION("""COMPUTED_VALUE"""),"O-11109-00")</f>
        <v>O-11109-00</v>
      </c>
      <c r="B288" s="2" t="str">
        <f>IFERROR(__xludf.DUMMYFUNCTION("""COMPUTED_VALUE"""),"General - Bearing 6002 2RSH; No Brand; -; 1 pcs")</f>
        <v>General - Bearing 6002 2RSH; No Brand; -; 1 pcs</v>
      </c>
      <c r="C288" s="2" t="str">
        <f>IFERROR(__xludf.DUMMYFUNCTION("""COMPUTED_VALUE"""),"pc")</f>
        <v>pc</v>
      </c>
      <c r="D288" s="2">
        <f>IFERROR(__xludf.DUMMYFUNCTION("""COMPUTED_VALUE"""),5.0)</f>
        <v>5</v>
      </c>
      <c r="E288" s="2" t="str">
        <f>IFERROR(__xludf.DUMMYFUNCTION("""COMPUTED_VALUE"""),"C-2-2C")</f>
        <v>C-2-2C</v>
      </c>
    </row>
    <row r="289">
      <c r="A289" s="2" t="str">
        <f>IFERROR(__xludf.DUMMYFUNCTION("""COMPUTED_VALUE"""),"P-12282-00")</f>
        <v>P-12282-00</v>
      </c>
      <c r="B289" s="2" t="str">
        <f>IFERROR(__xludf.DUMMYFUNCTION("""COMPUTED_VALUE"""),"FESTO - QS-12-10 Push in Connector p/n: 153040")</f>
        <v>FESTO - QS-12-10 Push in Connector p/n: 153040</v>
      </c>
      <c r="C289" s="2" t="str">
        <f>IFERROR(__xludf.DUMMYFUNCTION("""COMPUTED_VALUE"""),"pc")</f>
        <v>pc</v>
      </c>
      <c r="D289" s="2">
        <f>IFERROR(__xludf.DUMMYFUNCTION("""COMPUTED_VALUE"""),27.0)</f>
        <v>27</v>
      </c>
      <c r="E289" s="2" t="str">
        <f>IFERROR(__xludf.DUMMYFUNCTION("""COMPUTED_VALUE"""),"M-3-7A")</f>
        <v>M-3-7A</v>
      </c>
    </row>
    <row r="290">
      <c r="A290" s="2" t="str">
        <f>IFERROR(__xludf.DUMMYFUNCTION("""COMPUTED_VALUE"""),"P-13087-00")</f>
        <v>P-13087-00</v>
      </c>
      <c r="B290" s="2" t="str">
        <f>IFERROR(__xludf.DUMMYFUNCTION("""COMPUTED_VALUE"""),"General - Socket, Tembaga, 1 5/8""; No Brand; -; 1 pcs")</f>
        <v>General - Socket, Tembaga, 1 5/8"; No Brand; -; 1 pcs</v>
      </c>
      <c r="C290" s="2" t="str">
        <f>IFERROR(__xludf.DUMMYFUNCTION("""COMPUTED_VALUE"""),"pc")</f>
        <v>pc</v>
      </c>
      <c r="D290" s="2">
        <f>IFERROR(__xludf.DUMMYFUNCTION("""COMPUTED_VALUE"""),20.0)</f>
        <v>20</v>
      </c>
      <c r="E290" s="2" t="str">
        <f>IFERROR(__xludf.DUMMYFUNCTION("""COMPUTED_VALUE"""),"D-1-1")</f>
        <v>D-1-1</v>
      </c>
    </row>
    <row r="291">
      <c r="A291" s="2" t="str">
        <f>IFERROR(__xludf.DUMMYFUNCTION("""COMPUTED_VALUE"""),"P-50961-00")</f>
        <v>P-50961-00</v>
      </c>
      <c r="B291" s="2" t="str">
        <f>IFERROR(__xludf.DUMMYFUNCTION("""COMPUTED_VALUE"""),"General - Fuse kaca 5A x 5 x 20mm; Lokal; -; 1 pc")</f>
        <v>General - Fuse kaca 5A x 5 x 20mm; Lokal; -; 1 pc</v>
      </c>
      <c r="C291" s="2" t="str">
        <f>IFERROR(__xludf.DUMMYFUNCTION("""COMPUTED_VALUE"""),"pc")</f>
        <v>pc</v>
      </c>
      <c r="D291" s="2">
        <f>IFERROR(__xludf.DUMMYFUNCTION("""COMPUTED_VALUE"""),20.0)</f>
        <v>20</v>
      </c>
      <c r="E291" s="2" t="str">
        <f>IFERROR(__xludf.DUMMYFUNCTION("""COMPUTED_VALUE"""),"Box Kennedy")</f>
        <v>Box Kennedy</v>
      </c>
    </row>
    <row r="292">
      <c r="A292" s="2" t="str">
        <f>IFERROR(__xludf.DUMMYFUNCTION("""COMPUTED_VALUE"""),"O-21429-00")</f>
        <v>O-21429-00</v>
      </c>
      <c r="B292" s="2" t="str">
        <f>IFERROR(__xludf.DUMMYFUNCTION("""COMPUTED_VALUE"""),"Blister TR100LT - Teflon Forming 5689 ukuran 9.5x19; Custom/Lokal; -; 1 Pc")</f>
        <v>Blister TR100LT - Teflon Forming 5689 ukuran 9.5x19; Custom/Lokal; -; 1 Pc</v>
      </c>
      <c r="C292" s="2" t="str">
        <f>IFERROR(__xludf.DUMMYFUNCTION("""COMPUTED_VALUE"""),"pc")</f>
        <v>pc</v>
      </c>
      <c r="D292" s="2">
        <f>IFERROR(__xludf.DUMMYFUNCTION("""COMPUTED_VALUE"""),30.0)</f>
        <v>30</v>
      </c>
      <c r="E292" s="2" t="str">
        <f>IFERROR(__xludf.DUMMYFUNCTION("""COMPUTED_VALUE"""),"-")</f>
        <v>-</v>
      </c>
    </row>
    <row r="293">
      <c r="A293" s="2" t="str">
        <f>IFERROR(__xludf.DUMMYFUNCTION("""COMPUTED_VALUE"""),"P-52519-00")</f>
        <v>P-52519-00</v>
      </c>
      <c r="B293" s="2" t="str">
        <f>IFERROR(__xludf.DUMMYFUNCTION("""COMPUTED_VALUE"""),"General - Capacitor, 3.5 uF, 450 V, 2 kutub; No Brand; -; 1 pcs")</f>
        <v>General - Capacitor, 3.5 uF, 450 V, 2 kutub; No Brand; -; 1 pcs</v>
      </c>
      <c r="C293" s="2" t="str">
        <f>IFERROR(__xludf.DUMMYFUNCTION("""COMPUTED_VALUE"""),"pc")</f>
        <v>pc</v>
      </c>
      <c r="D293" s="2">
        <f>IFERROR(__xludf.DUMMYFUNCTION("""COMPUTED_VALUE"""),4.0)</f>
        <v>4</v>
      </c>
      <c r="E293" s="2" t="str">
        <f>IFERROR(__xludf.DUMMYFUNCTION("""COMPUTED_VALUE"""),"O2")</f>
        <v>O2</v>
      </c>
    </row>
    <row r="294">
      <c r="A294" s="2" t="str">
        <f>IFERROR(__xludf.DUMMYFUNCTION("""COMPUTED_VALUE"""),"O-53047-00")</f>
        <v>O-53047-00</v>
      </c>
      <c r="B294" s="2" t="str">
        <f>IFERROR(__xludf.DUMMYFUNCTION("""COMPUTED_VALUE"""),"MCB 400V 10kA 3Pole; Siemens; 5SL4304-7CC;")</f>
        <v>MCB 400V 10kA 3Pole; Siemens; 5SL4304-7CC;</v>
      </c>
      <c r="C294" s="2" t="str">
        <f>IFERROR(__xludf.DUMMYFUNCTION("""COMPUTED_VALUE"""),"pc")</f>
        <v>pc</v>
      </c>
      <c r="D294" s="2">
        <f>IFERROR(__xludf.DUMMYFUNCTION("""COMPUTED_VALUE"""),1.0)</f>
        <v>1</v>
      </c>
      <c r="E294" s="2" t="str">
        <f>IFERROR(__xludf.DUMMYFUNCTION("""COMPUTED_VALUE"""),"B-4")</f>
        <v>B-4</v>
      </c>
    </row>
    <row r="295">
      <c r="A295" s="2" t="str">
        <f>IFERROR(__xludf.DUMMYFUNCTION("""COMPUTED_VALUE"""),"O-53451-00")</f>
        <v>O-53451-00</v>
      </c>
      <c r="B295" s="2" t="str">
        <f>IFERROR(__xludf.DUMMYFUNCTION("""COMPUTED_VALUE"""),"Capping VCM200 - Eco Position Indicators; Misumi; E-DSNR1-14; 1 Pc")</f>
        <v>Capping VCM200 - Eco Position Indicators; Misumi; E-DSNR1-14; 1 Pc</v>
      </c>
      <c r="C295" s="2" t="str">
        <f>IFERROR(__xludf.DUMMYFUNCTION("""COMPUTED_VALUE"""),"pc")</f>
        <v>pc</v>
      </c>
      <c r="D295" s="2">
        <f>IFERROR(__xludf.DUMMYFUNCTION("""COMPUTED_VALUE"""),2.0)</f>
        <v>2</v>
      </c>
      <c r="E295" s="2" t="str">
        <f>IFERROR(__xludf.DUMMYFUNCTION("""COMPUTED_VALUE"""),"-")</f>
        <v>-</v>
      </c>
    </row>
    <row r="296">
      <c r="A296" s="2" t="str">
        <f>IFERROR(__xludf.DUMMYFUNCTION("""COMPUTED_VALUE"""),"P-15833-00")</f>
        <v>P-15833-00</v>
      </c>
      <c r="B296" s="2" t="str">
        <f>IFERROR(__xludf.DUMMYFUNCTION("""COMPUTED_VALUE"""),"SMC - Pressure Filter Regulator Manual Drain AW30-03BG-A; ; ;")</f>
        <v>SMC - Pressure Filter Regulator Manual Drain AW30-03BG-A; ; ;</v>
      </c>
      <c r="C296" s="2" t="str">
        <f>IFERROR(__xludf.DUMMYFUNCTION("""COMPUTED_VALUE"""),"pc")</f>
        <v>pc</v>
      </c>
      <c r="D296" s="2">
        <f>IFERROR(__xludf.DUMMYFUNCTION("""COMPUTED_VALUE"""),1.0)</f>
        <v>1</v>
      </c>
      <c r="E296" s="2" t="str">
        <f>IFERROR(__xludf.DUMMYFUNCTION("""COMPUTED_VALUE"""),"S-3")</f>
        <v>S-3</v>
      </c>
    </row>
    <row r="297">
      <c r="A297" s="2" t="str">
        <f>IFERROR(__xludf.DUMMYFUNCTION("""COMPUTED_VALUE"""),"O-19894-00")</f>
        <v>O-19894-00</v>
      </c>
      <c r="B297" s="2" t="str">
        <f>IFERROR(__xludf.DUMMYFUNCTION("""COMPUTED_VALUE"""),"Capping VCM207 - Guide Starwheel Vial Pom hitam 319x329x17 mm; Custom/Lokal; -; 1 Pc")</f>
        <v>Capping VCM207 - Guide Starwheel Vial Pom hitam 319x329x17 mm; Custom/Lokal; -; 1 Pc</v>
      </c>
      <c r="C297" s="2" t="str">
        <f>IFERROR(__xludf.DUMMYFUNCTION("""COMPUTED_VALUE"""),"pc")</f>
        <v>pc</v>
      </c>
      <c r="D297" s="2">
        <f>IFERROR(__xludf.DUMMYFUNCTION("""COMPUTED_VALUE"""),1.0)</f>
        <v>1</v>
      </c>
      <c r="E297" s="2"/>
    </row>
    <row r="298">
      <c r="A298" s="2" t="str">
        <f>IFERROR(__xludf.DUMMYFUNCTION("""COMPUTED_VALUE"""),"O-51793-00")</f>
        <v>O-51793-00</v>
      </c>
      <c r="B298" s="2" t="str">
        <f>IFERROR(__xludf.DUMMYFUNCTION("""COMPUTED_VALUE"""),"Pneumatic Actuator Double Acting-063 Festork; ; ;")</f>
        <v>Pneumatic Actuator Double Acting-063 Festork; ; ;</v>
      </c>
      <c r="C298" s="2" t="str">
        <f>IFERROR(__xludf.DUMMYFUNCTION("""COMPUTED_VALUE"""),"pc")</f>
        <v>pc</v>
      </c>
      <c r="D298" s="2">
        <f>IFERROR(__xludf.DUMMYFUNCTION("""COMPUTED_VALUE"""),3.0)</f>
        <v>3</v>
      </c>
      <c r="E298" s="2" t="str">
        <f>IFERROR(__xludf.DUMMYFUNCTION("""COMPUTED_VALUE"""),"B-4")</f>
        <v>B-4</v>
      </c>
    </row>
    <row r="299">
      <c r="A299" s="2" t="str">
        <f>IFERROR(__xludf.DUMMYFUNCTION("""COMPUTED_VALUE"""),"O-14621-00")</f>
        <v>O-14621-00</v>
      </c>
      <c r="B299" s="2" t="str">
        <f>IFERROR(__xludf.DUMMYFUNCTION("""COMPUTED_VALUE"""),"Coil U2 11W 24VDC; Univer; c/n 5233;")</f>
        <v>Coil U2 11W 24VDC; Univer; c/n 5233;</v>
      </c>
      <c r="C299" s="2" t="str">
        <f>IFERROR(__xludf.DUMMYFUNCTION("""COMPUTED_VALUE"""),"unt")</f>
        <v>unt</v>
      </c>
      <c r="D299" s="2">
        <f>IFERROR(__xludf.DUMMYFUNCTION("""COMPUTED_VALUE"""),4.0)</f>
        <v>4</v>
      </c>
      <c r="E299" s="2" t="str">
        <f>IFERROR(__xludf.DUMMYFUNCTION("""COMPUTED_VALUE"""),"C-2-6")</f>
        <v>C-2-6</v>
      </c>
    </row>
    <row r="300">
      <c r="A300" s="2" t="str">
        <f>IFERROR(__xludf.DUMMYFUNCTION("""COMPUTED_VALUE"""),"P-20853-00")</f>
        <v>P-20853-00</v>
      </c>
      <c r="B300" s="2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300" s="2" t="str">
        <f>IFERROR(__xludf.DUMMYFUNCTION("""COMPUTED_VALUE"""),"pc")</f>
        <v>pc</v>
      </c>
      <c r="D300" s="2">
        <f>IFERROR(__xludf.DUMMYFUNCTION("""COMPUTED_VALUE"""),1.0)</f>
        <v>1</v>
      </c>
      <c r="E300" s="2" t="str">
        <f>IFERROR(__xludf.DUMMYFUNCTION("""COMPUTED_VALUE"""),"-")</f>
        <v>-</v>
      </c>
    </row>
    <row r="301">
      <c r="A301" s="2" t="str">
        <f>IFERROR(__xludf.DUMMYFUNCTION("""COMPUTED_VALUE"""),"O-16981-00")</f>
        <v>O-16981-00</v>
      </c>
      <c r="B301" s="2" t="str">
        <f>IFERROR(__xludf.DUMMYFUNCTION("""COMPUTED_VALUE"""),"General - Diaphragm 25 mm ER Grade EPDM; Saunders; DA025ER M4; 1 Pc")</f>
        <v>General - Diaphragm 25 mm ER Grade EPDM; Saunders; DA025ER M4; 1 Pc</v>
      </c>
      <c r="C301" s="2" t="str">
        <f>IFERROR(__xludf.DUMMYFUNCTION("""COMPUTED_VALUE"""),"pc")</f>
        <v>pc</v>
      </c>
      <c r="D301" s="2">
        <f>IFERROR(__xludf.DUMMYFUNCTION("""COMPUTED_VALUE"""),31.0)</f>
        <v>31</v>
      </c>
      <c r="E301" s="2" t="str">
        <f>IFERROR(__xludf.DUMMYFUNCTION("""COMPUTED_VALUE"""),"D3")</f>
        <v>D3</v>
      </c>
    </row>
    <row r="302">
      <c r="A302" s="2" t="str">
        <f>IFERROR(__xludf.DUMMYFUNCTION("""COMPUTED_VALUE"""),"O-18559-00")</f>
        <v>O-18559-00</v>
      </c>
      <c r="B302" s="2" t="str">
        <f>IFERROR(__xludf.DUMMYFUNCTION("""COMPUTED_VALUE"""),"FD Lyofast 10 - Vacuum Regulating Valve EB22-00710 Disused:0248A-5000SV+1249A Replaced by:MKS_0248D; IMA Life; -; 1 pc")</f>
        <v>FD Lyofast 10 - Vacuum Regulating Valve EB22-00710 Disused:0248A-5000SV+1249A Replaced by:MKS_0248D; IMA Life; -; 1 pc</v>
      </c>
      <c r="C302" s="2" t="str">
        <f>IFERROR(__xludf.DUMMYFUNCTION("""COMPUTED_VALUE"""),"pc")</f>
        <v>pc</v>
      </c>
      <c r="D302" s="2">
        <f>IFERROR(__xludf.DUMMYFUNCTION("""COMPUTED_VALUE"""),1.0)</f>
        <v>1</v>
      </c>
      <c r="E302" s="2" t="str">
        <f>IFERROR(__xludf.DUMMYFUNCTION("""COMPUTED_VALUE"""),"D-1-14")</f>
        <v>D-1-14</v>
      </c>
    </row>
    <row r="303">
      <c r="A303" s="2" t="str">
        <f>IFERROR(__xludf.DUMMYFUNCTION("""COMPUTED_VALUE"""),"O-15697-00")</f>
        <v>O-15697-00</v>
      </c>
      <c r="B303" s="2" t="str">
        <f>IFERROR(__xludf.DUMMYFUNCTION("""COMPUTED_VALUE"""),"General - SILICONE SUCKER 01.16.20; Steriline; 202370; 1 Pc")</f>
        <v>General - SILICONE SUCKER 01.16.20; Steriline; 202370; 1 Pc</v>
      </c>
      <c r="C303" s="2" t="str">
        <f>IFERROR(__xludf.DUMMYFUNCTION("""COMPUTED_VALUE"""),"unt")</f>
        <v>unt</v>
      </c>
      <c r="D303" s="2">
        <f>IFERROR(__xludf.DUMMYFUNCTION("""COMPUTED_VALUE"""),55.0)</f>
        <v>55</v>
      </c>
      <c r="E303" s="2" t="str">
        <f>IFERROR(__xludf.DUMMYFUNCTION("""COMPUTED_VALUE"""),"A-1-4B")</f>
        <v>A-1-4B</v>
      </c>
    </row>
    <row r="304">
      <c r="A304" s="2" t="str">
        <f>IFERROR(__xludf.DUMMYFUNCTION("""COMPUTED_VALUE"""),"O-13521-00")</f>
        <v>O-13521-00</v>
      </c>
      <c r="B304" s="2" t="str">
        <f>IFERROR(__xludf.DUMMYFUNCTION("""COMPUTED_VALUE"""),"General - Gasket 1 1/2"", EPDM; No Brand; -; 1 pcs")</f>
        <v>General - Gasket 1 1/2", EPDM; No Brand; -; 1 pcs</v>
      </c>
      <c r="C304" s="2" t="str">
        <f>IFERROR(__xludf.DUMMYFUNCTION("""COMPUTED_VALUE"""),"pc")</f>
        <v>pc</v>
      </c>
      <c r="D304" s="2">
        <f>IFERROR(__xludf.DUMMYFUNCTION("""COMPUTED_VALUE"""),19.0)</f>
        <v>19</v>
      </c>
      <c r="E304" s="2" t="str">
        <f>IFERROR(__xludf.DUMMYFUNCTION("""COMPUTED_VALUE"""),"M3")</f>
        <v>M3</v>
      </c>
    </row>
    <row r="305">
      <c r="A305" s="2" t="str">
        <f>IFERROR(__xludf.DUMMYFUNCTION("""COMPUTED_VALUE"""),"P-11405-00")</f>
        <v>P-11405-00</v>
      </c>
      <c r="B305" s="2" t="str">
        <f>IFERROR(__xludf.DUMMYFUNCTION("""COMPUTED_VALUE"""),"General - Seal Ferrule Teflon 1inch; No Brand; -; 1 pcs")</f>
        <v>General - Seal Ferrule Teflon 1inch; No Brand; -; 1 pcs</v>
      </c>
      <c r="C305" s="2" t="str">
        <f>IFERROR(__xludf.DUMMYFUNCTION("""COMPUTED_VALUE"""),"pc")</f>
        <v>pc</v>
      </c>
      <c r="D305" s="2">
        <f>IFERROR(__xludf.DUMMYFUNCTION("""COMPUTED_VALUE"""),28.0)</f>
        <v>28</v>
      </c>
      <c r="E305" s="2" t="str">
        <f>IFERROR(__xludf.DUMMYFUNCTION("""COMPUTED_VALUE"""),"M3")</f>
        <v>M3</v>
      </c>
    </row>
    <row r="306">
      <c r="A306" s="2" t="str">
        <f>IFERROR(__xludf.DUMMYFUNCTION("""COMPUTED_VALUE"""),"O-16570-00")</f>
        <v>O-16570-00</v>
      </c>
      <c r="B306" s="2" t="str">
        <f>IFERROR(__xludf.DUMMYFUNCTION("""COMPUTED_VALUE"""),"Marchesini MA155 - Conveyor Belt TS10 720 x 40 Habasit p/n:C720007240; Habasit; C720007240; 1 Pc")</f>
        <v>Marchesini MA155 - Conveyor Belt TS10 720 x 40 Habasit p/n:C720007240; Habasit; C720007240; 1 Pc</v>
      </c>
      <c r="C306" s="2" t="str">
        <f>IFERROR(__xludf.DUMMYFUNCTION("""COMPUTED_VALUE"""),"pc")</f>
        <v>pc</v>
      </c>
      <c r="D306" s="2">
        <f>IFERROR(__xludf.DUMMYFUNCTION("""COMPUTED_VALUE"""),1.0)</f>
        <v>1</v>
      </c>
      <c r="E306" s="2" t="str">
        <f>IFERROR(__xludf.DUMMYFUNCTION("""COMPUTED_VALUE"""),"G-2")</f>
        <v>G-2</v>
      </c>
    </row>
    <row r="307">
      <c r="A307" s="2" t="str">
        <f>IFERROR(__xludf.DUMMYFUNCTION("""COMPUTED_VALUE"""),"Q-60213-00")</f>
        <v>Q-60213-00</v>
      </c>
      <c r="B307" s="2" t="str">
        <f>IFERROR(__xludf.DUMMYFUNCTION("""COMPUTED_VALUE"""),"Cat Ftalit KF-25 Grass Green;Kansai Paint;Type 115-125 Grass Green;pack size per 1 kg can")</f>
        <v>Cat Ftalit KF-25 Grass Green;Kansai Paint;Type 115-125 Grass Green;pack size per 1 kg can</v>
      </c>
      <c r="C307" s="2" t="str">
        <f>IFERROR(__xludf.DUMMYFUNCTION("""COMPUTED_VALUE"""),"Can")</f>
        <v>Can</v>
      </c>
      <c r="D307" s="2">
        <f>IFERROR(__xludf.DUMMYFUNCTION("""COMPUTED_VALUE"""),6.0)</f>
        <v>6</v>
      </c>
      <c r="E307" s="2" t="str">
        <f>IFERROR(__xludf.DUMMYFUNCTION("""COMPUTED_VALUE"""),"Flammable")</f>
        <v>Flammable</v>
      </c>
    </row>
    <row r="308">
      <c r="A308" s="2" t="str">
        <f>IFERROR(__xludf.DUMMYFUNCTION("""COMPUTED_VALUE"""),"P-53404-00")</f>
        <v>P-53404-00</v>
      </c>
      <c r="B308" s="2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308" s="2" t="str">
        <f>IFERROR(__xludf.DUMMYFUNCTION("""COMPUTED_VALUE"""),"pc")</f>
        <v>pc</v>
      </c>
      <c r="D308" s="2">
        <f>IFERROR(__xludf.DUMMYFUNCTION("""COMPUTED_VALUE"""),1.0)</f>
        <v>1</v>
      </c>
      <c r="E308" s="2" t="str">
        <f>IFERROR(__xludf.DUMMYFUNCTION("""COMPUTED_VALUE"""),"M-4")</f>
        <v>M-4</v>
      </c>
    </row>
    <row r="309">
      <c r="A309" s="2" t="str">
        <f>IFERROR(__xludf.DUMMYFUNCTION("""COMPUTED_VALUE"""),"O-20648-00")</f>
        <v>O-20648-00</v>
      </c>
      <c r="B309" s="2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309" s="2" t="str">
        <f>IFERROR(__xludf.DUMMYFUNCTION("""COMPUTED_VALUE"""),"pc")</f>
        <v>pc</v>
      </c>
      <c r="D309" s="2">
        <f>IFERROR(__xludf.DUMMYFUNCTION("""COMPUTED_VALUE"""),1.0)</f>
        <v>1</v>
      </c>
      <c r="E309" s="2" t="str">
        <f>IFERROR(__xludf.DUMMYFUNCTION("""COMPUTED_VALUE"""),"-")</f>
        <v>-</v>
      </c>
    </row>
    <row r="310">
      <c r="A310" s="2" t="str">
        <f>IFERROR(__xludf.DUMMYFUNCTION("""COMPUTED_VALUE"""),"O-21437-00")</f>
        <v>O-21437-00</v>
      </c>
      <c r="B310" s="2" t="str">
        <f>IFERROR(__xludf.DUMMYFUNCTION("""COMPUTED_VALUE"""),"Marchesini MA155 - Gas Spring; Misumi; FGSS15050B; 1 Pc")</f>
        <v>Marchesini MA155 - Gas Spring; Misumi; FGSS15050B; 1 Pc</v>
      </c>
      <c r="C310" s="2" t="str">
        <f>IFERROR(__xludf.DUMMYFUNCTION("""COMPUTED_VALUE"""),"pc")</f>
        <v>pc</v>
      </c>
      <c r="D310" s="2">
        <f>IFERROR(__xludf.DUMMYFUNCTION("""COMPUTED_VALUE"""),1.0)</f>
        <v>1</v>
      </c>
      <c r="E310" s="2" t="str">
        <f>IFERROR(__xludf.DUMMYFUNCTION("""COMPUTED_VALUE"""),"G-3-4")</f>
        <v>G-3-4</v>
      </c>
    </row>
    <row r="311">
      <c r="A311" s="2" t="str">
        <f>IFERROR(__xludf.DUMMYFUNCTION("""COMPUTED_VALUE"""),"P-19080-00")</f>
        <v>P-19080-00</v>
      </c>
      <c r="B311" s="2" t="str">
        <f>IFERROR(__xludf.DUMMYFUNCTION("""COMPUTED_VALUE"""),"General - Cabel Tie Mount 30 x 30 mm; Sigma; -; 1 pc")</f>
        <v>General - Cabel Tie Mount 30 x 30 mm; Sigma; -; 1 pc</v>
      </c>
      <c r="C311" s="2" t="str">
        <f>IFERROR(__xludf.DUMMYFUNCTION("""COMPUTED_VALUE"""),"pc")</f>
        <v>pc</v>
      </c>
      <c r="D311" s="2">
        <f>IFERROR(__xludf.DUMMYFUNCTION("""COMPUTED_VALUE"""),1.0)</f>
        <v>1</v>
      </c>
      <c r="E311" s="2" t="str">
        <f>IFERROR(__xludf.DUMMYFUNCTION("""COMPUTED_VALUE"""),"N-3")</f>
        <v>N-3</v>
      </c>
    </row>
    <row r="312">
      <c r="A312" s="2" t="str">
        <f>IFERROR(__xludf.DUMMYFUNCTION("""COMPUTED_VALUE"""),"P-52119-00")</f>
        <v>P-52119-00</v>
      </c>
      <c r="B312" s="2" t="str">
        <f>IFERROR(__xludf.DUMMYFUNCTION("""COMPUTED_VALUE"""),"General - Accu 6FM40, Baterai Kering, 12 V, 40 Ah; Vision; -; 1 pcs")</f>
        <v>General - Accu 6FM40, Baterai Kering, 12 V, 40 Ah; Vision; -; 1 pcs</v>
      </c>
      <c r="C312" s="2" t="str">
        <f>IFERROR(__xludf.DUMMYFUNCTION("""COMPUTED_VALUE"""),"pc")</f>
        <v>pc</v>
      </c>
      <c r="D312" s="2">
        <f>IFERROR(__xludf.DUMMYFUNCTION("""COMPUTED_VALUE"""),10.0)</f>
        <v>10</v>
      </c>
      <c r="E312" s="2" t="str">
        <f>IFERROR(__xludf.DUMMYFUNCTION("""COMPUTED_VALUE"""),"Sparepart")</f>
        <v>Sparepart</v>
      </c>
    </row>
    <row r="313">
      <c r="A313" s="2" t="str">
        <f>IFERROR(__xludf.DUMMYFUNCTION("""COMPUTED_VALUE"""),"P-51302-00")</f>
        <v>P-51302-00</v>
      </c>
      <c r="B313" s="2" t="str">
        <f>IFERROR(__xludf.DUMMYFUNCTION("""COMPUTED_VALUE"""),"General - Timah Solder Dia. 1mm; No Brand; -; 1 Pc")</f>
        <v>General - Timah Solder Dia. 1mm; No Brand; -; 1 Pc</v>
      </c>
      <c r="C313" s="2" t="str">
        <f>IFERROR(__xludf.DUMMYFUNCTION("""COMPUTED_VALUE"""),"pc")</f>
        <v>pc</v>
      </c>
      <c r="D313" s="2">
        <f>IFERROR(__xludf.DUMMYFUNCTION("""COMPUTED_VALUE"""),1.0)</f>
        <v>1</v>
      </c>
      <c r="E313" s="2" t="str">
        <f>IFERROR(__xludf.DUMMYFUNCTION("""COMPUTED_VALUE"""),"N3")</f>
        <v>N3</v>
      </c>
    </row>
    <row r="314">
      <c r="A314" s="2" t="str">
        <f>IFERROR(__xludf.DUMMYFUNCTION("""COMPUTED_VALUE"""),"P-20449-00")</f>
        <v>P-20449-00</v>
      </c>
      <c r="B314" s="2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314" s="2" t="str">
        <f>IFERROR(__xludf.DUMMYFUNCTION("""COMPUTED_VALUE"""),"pc")</f>
        <v>pc</v>
      </c>
      <c r="D314" s="2">
        <f>IFERROR(__xludf.DUMMYFUNCTION("""COMPUTED_VALUE"""),4.0)</f>
        <v>4</v>
      </c>
      <c r="E314" s="2" t="str">
        <f>IFERROR(__xludf.DUMMYFUNCTION("""COMPUTED_VALUE"""),"-")</f>
        <v>-</v>
      </c>
    </row>
    <row r="315">
      <c r="A315" s="2" t="str">
        <f>IFERROR(__xludf.DUMMYFUNCTION("""COMPUTED_VALUE"""),"O-53421-00")</f>
        <v>O-53421-00</v>
      </c>
      <c r="B315" s="2" t="str">
        <f>IFERROR(__xludf.DUMMYFUNCTION("""COMPUTED_VALUE"""),"General - Analog Input Module 4AI 0-10 VDC, Light Gray; Wago; 750-468; 1 Pc")</f>
        <v>General - Analog Input Module 4AI 0-10 VDC, Light Gray; Wago; 750-468; 1 Pc</v>
      </c>
      <c r="C315" s="2" t="str">
        <f>IFERROR(__xludf.DUMMYFUNCTION("""COMPUTED_VALUE"""),"pc")</f>
        <v>pc</v>
      </c>
      <c r="D315" s="2">
        <f>IFERROR(__xludf.DUMMYFUNCTION("""COMPUTED_VALUE"""),2.0)</f>
        <v>2</v>
      </c>
      <c r="E315" s="2" t="str">
        <f>IFERROR(__xludf.DUMMYFUNCTION("""COMPUTED_VALUE"""),"R-2-3")</f>
        <v>R-2-3</v>
      </c>
    </row>
    <row r="316">
      <c r="A316" s="2" t="str">
        <f>IFERROR(__xludf.DUMMYFUNCTION("""COMPUTED_VALUE"""),"O-50964-00")</f>
        <v>O-50964-00</v>
      </c>
      <c r="B316" s="2" t="str">
        <f>IFERROR(__xludf.DUMMYFUNCTION("""COMPUTED_VALUE"""),"General - Safety Relay PNOZ X3 24 VAC 24VDC 3n/o 1n/c 1so; PILZ; 774310; 1 Pc")</f>
        <v>General - Safety Relay PNOZ X3 24 VAC 24VDC 3n/o 1n/c 1so; PILZ; 774310; 1 Pc</v>
      </c>
      <c r="C316" s="2" t="str">
        <f>IFERROR(__xludf.DUMMYFUNCTION("""COMPUTED_VALUE"""),"pc")</f>
        <v>pc</v>
      </c>
      <c r="D316" s="2">
        <f>IFERROR(__xludf.DUMMYFUNCTION("""COMPUTED_VALUE"""),1.0)</f>
        <v>1</v>
      </c>
      <c r="E316" s="2" t="str">
        <f>IFERROR(__xludf.DUMMYFUNCTION("""COMPUTED_VALUE"""),"B-2-5B")</f>
        <v>B-2-5B</v>
      </c>
    </row>
    <row r="317">
      <c r="A317" s="2" t="str">
        <f>IFERROR(__xludf.DUMMYFUNCTION("""COMPUTED_VALUE"""),"P-54447-00")</f>
        <v>P-54447-00</v>
      </c>
      <c r="B317" s="2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317" s="2" t="str">
        <f>IFERROR(__xludf.DUMMYFUNCTION("""COMPUTED_VALUE"""),"pc")</f>
        <v>pc</v>
      </c>
      <c r="D317" s="2">
        <f>IFERROR(__xludf.DUMMYFUNCTION("""COMPUTED_VALUE"""),50.0)</f>
        <v>50</v>
      </c>
      <c r="E317" s="2" t="str">
        <f>IFERROR(__xludf.DUMMYFUNCTION("""COMPUTED_VALUE"""),"-")</f>
        <v>-</v>
      </c>
    </row>
    <row r="318">
      <c r="A318" s="2" t="str">
        <f>IFERROR(__xludf.DUMMYFUNCTION("""COMPUTED_VALUE"""),"P-19889-00")</f>
        <v>P-19889-00</v>
      </c>
      <c r="B318" s="2" t="str">
        <f>IFERROR(__xludf.DUMMYFUNCTION("""COMPUTED_VALUE"""),"General - Air Accu Merah; DeQuua; -; 20L/can")</f>
        <v>General - Air Accu Merah; DeQuua; -; 20L/can</v>
      </c>
      <c r="C318" s="2" t="str">
        <f>IFERROR(__xludf.DUMMYFUNCTION("""COMPUTED_VALUE"""),"Can")</f>
        <v>Can</v>
      </c>
      <c r="D318" s="2">
        <f>IFERROR(__xludf.DUMMYFUNCTION("""COMPUTED_VALUE"""),1.0)</f>
        <v>1</v>
      </c>
      <c r="E318" s="2" t="str">
        <f>IFERROR(__xludf.DUMMYFUNCTION("""COMPUTED_VALUE"""),"-")</f>
        <v>-</v>
      </c>
    </row>
    <row r="319">
      <c r="A319" s="2" t="str">
        <f>IFERROR(__xludf.DUMMYFUNCTION("""COMPUTED_VALUE"""),"P-13641-00")</f>
        <v>P-13641-00</v>
      </c>
      <c r="B319" s="2" t="str">
        <f>IFERROR(__xludf.DUMMYFUNCTION("""COMPUTED_VALUE"""),"General - Filter SO 5 micron 30 inch O-ring 222 Bayonet; No Brand; -; 1 Pc")</f>
        <v>General - Filter SO 5 micron 30 inch O-ring 222 Bayonet; No Brand; -; 1 Pc</v>
      </c>
      <c r="C319" s="2" t="str">
        <f>IFERROR(__xludf.DUMMYFUNCTION("""COMPUTED_VALUE"""),"pc")</f>
        <v>pc</v>
      </c>
      <c r="D319" s="2">
        <f>IFERROR(__xludf.DUMMYFUNCTION("""COMPUTED_VALUE"""),5.0)</f>
        <v>5</v>
      </c>
      <c r="E319" s="2" t="str">
        <f>IFERROR(__xludf.DUMMYFUNCTION("""COMPUTED_VALUE"""),"L-4")</f>
        <v>L-4</v>
      </c>
    </row>
    <row r="320">
      <c r="A320" s="2" t="str">
        <f>IFERROR(__xludf.DUMMYFUNCTION("""COMPUTED_VALUE"""),"P-14407-00")</f>
        <v>P-14407-00</v>
      </c>
      <c r="B320" s="2" t="str">
        <f>IFERROR(__xludf.DUMMYFUNCTION("""COMPUTED_VALUE"""),"General - Gate Valve 1/2inch; Kitz; -; 1 pc")</f>
        <v>General - Gate Valve 1/2inch; Kitz; -; 1 pc</v>
      </c>
      <c r="C320" s="2" t="str">
        <f>IFERROR(__xludf.DUMMYFUNCTION("""COMPUTED_VALUE"""),"pc")</f>
        <v>pc</v>
      </c>
      <c r="D320" s="2">
        <f>IFERROR(__xludf.DUMMYFUNCTION("""COMPUTED_VALUE"""),2.0)</f>
        <v>2</v>
      </c>
      <c r="E320" s="2" t="str">
        <f>IFERROR(__xludf.DUMMYFUNCTION("""COMPUTED_VALUE"""),"S-3-9")</f>
        <v>S-3-9</v>
      </c>
    </row>
    <row r="321">
      <c r="A321" s="2" t="str">
        <f>IFERROR(__xludf.DUMMYFUNCTION("""COMPUTED_VALUE"""),"P-54543-00")</f>
        <v>P-54543-00</v>
      </c>
      <c r="B321" s="2" t="str">
        <f>IFERROR(__xludf.DUMMYFUNCTION("""COMPUTED_VALUE"""),"General - Junction Box MG 33 x 22 x 12cm; Duradus; -; 1 pc")</f>
        <v>General - Junction Box MG 33 x 22 x 12cm; Duradus; -; 1 pc</v>
      </c>
      <c r="C321" s="2" t="str">
        <f>IFERROR(__xludf.DUMMYFUNCTION("""COMPUTED_VALUE"""),"pc")</f>
        <v>pc</v>
      </c>
      <c r="D321" s="2">
        <f>IFERROR(__xludf.DUMMYFUNCTION("""COMPUTED_VALUE"""),1.0)</f>
        <v>1</v>
      </c>
      <c r="E321" s="2" t="str">
        <f>IFERROR(__xludf.DUMMYFUNCTION("""COMPUTED_VALUE"""),"-")</f>
        <v>-</v>
      </c>
    </row>
    <row r="322">
      <c r="A322" s="2" t="str">
        <f>IFERROR(__xludf.DUMMYFUNCTION("""COMPUTED_VALUE"""),"P-50274-00")</f>
        <v>P-50274-00</v>
      </c>
      <c r="B322" s="2" t="str">
        <f>IFERROR(__xludf.DUMMYFUNCTION("""COMPUTED_VALUE"""),"General - Kabel NYAF Uk. 1 x 0.75mm, Warna Merah; Supreme; -; 100meter/roll")</f>
        <v>General - Kabel NYAF Uk. 1 x 0.75mm, Warna Merah; Supreme; -; 100meter/roll</v>
      </c>
      <c r="C322" s="2" t="str">
        <f>IFERROR(__xludf.DUMMYFUNCTION("""COMPUTED_VALUE"""),"pc")</f>
        <v>pc</v>
      </c>
      <c r="D322" s="2">
        <f>IFERROR(__xludf.DUMMYFUNCTION("""COMPUTED_VALUE"""),50.0)</f>
        <v>50</v>
      </c>
      <c r="E322" s="2" t="str">
        <f>IFERROR(__xludf.DUMMYFUNCTION("""COMPUTED_VALUE"""),"S-3-3")</f>
        <v>S-3-3</v>
      </c>
    </row>
    <row r="323">
      <c r="A323" s="2" t="str">
        <f>IFERROR(__xludf.DUMMYFUNCTION("""COMPUTED_VALUE"""),"P-18019-00")</f>
        <v>P-18019-00</v>
      </c>
      <c r="B323" s="2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323" s="2" t="str">
        <f>IFERROR(__xludf.DUMMYFUNCTION("""COMPUTED_VALUE"""),"pc")</f>
        <v>pc</v>
      </c>
      <c r="D323" s="2">
        <f>IFERROR(__xludf.DUMMYFUNCTION("""COMPUTED_VALUE"""),2.0)</f>
        <v>2</v>
      </c>
      <c r="E323" s="2"/>
    </row>
    <row r="324">
      <c r="A324" s="2" t="str">
        <f>IFERROR(__xludf.DUMMYFUNCTION("""COMPUTED_VALUE"""),"P-52254-00")</f>
        <v>P-52254-00</v>
      </c>
      <c r="B324" s="2" t="str">
        <f>IFERROR(__xludf.DUMMYFUNCTION("""COMPUTED_VALUE"""),"General - Capacitor, 40 mF, 400/450 VAC; No Brand; -; 1 pcs")</f>
        <v>General - Capacitor, 40 mF, 400/450 VAC; No Brand; -; 1 pcs</v>
      </c>
      <c r="C324" s="2" t="str">
        <f>IFERROR(__xludf.DUMMYFUNCTION("""COMPUTED_VALUE"""),"pc")</f>
        <v>pc</v>
      </c>
      <c r="D324" s="2">
        <f>IFERROR(__xludf.DUMMYFUNCTION("""COMPUTED_VALUE"""),1.0)</f>
        <v>1</v>
      </c>
      <c r="E324" s="2" t="str">
        <f>IFERROR(__xludf.DUMMYFUNCTION("""COMPUTED_VALUE"""),"S-2-4")</f>
        <v>S-2-4</v>
      </c>
    </row>
    <row r="325">
      <c r="A325" s="2" t="str">
        <f>IFERROR(__xludf.DUMMYFUNCTION("""COMPUTED_VALUE"""),"O-18918-00")</f>
        <v>O-18918-00</v>
      </c>
      <c r="B325" s="2" t="str">
        <f>IFERROR(__xludf.DUMMYFUNCTION("""COMPUTED_VALUE"""),"Freeze Dryer MBE1207 - Oil Cooling Heat Exchanger B25THx20/1P-SC-S; SWEP; IMA Beijing; EB15-00282; 1 Unit")</f>
        <v>Freeze Dryer MBE1207 - Oil Cooling Heat Exchanger B25THx20/1P-SC-S; SWEP; IMA Beijing; EB15-00282; 1 Unit</v>
      </c>
      <c r="C325" s="2" t="str">
        <f>IFERROR(__xludf.DUMMYFUNCTION("""COMPUTED_VALUE"""),"unt")</f>
        <v>unt</v>
      </c>
      <c r="D325" s="2">
        <f>IFERROR(__xludf.DUMMYFUNCTION("""COMPUTED_VALUE"""),2.0)</f>
        <v>2</v>
      </c>
      <c r="E325" s="2" t="str">
        <f>IFERROR(__xludf.DUMMYFUNCTION("""COMPUTED_VALUE"""),"D-4-7")</f>
        <v>D-4-7</v>
      </c>
    </row>
    <row r="326">
      <c r="A326" s="2" t="str">
        <f>IFERROR(__xludf.DUMMYFUNCTION("""COMPUTED_VALUE"""),"P-12816-00")</f>
        <v>P-12816-00</v>
      </c>
      <c r="B326" s="2" t="str">
        <f>IFERROR(__xludf.DUMMYFUNCTION("""COMPUTED_VALUE"""),"General - Socket, PVC AW, 1 1/2""; Rucika; -; 1 pcs")</f>
        <v>General - Socket, PVC AW, 1 1/2"; Rucika; -; 1 pcs</v>
      </c>
      <c r="C326" s="2" t="str">
        <f>IFERROR(__xludf.DUMMYFUNCTION("""COMPUTED_VALUE"""),"pc")</f>
        <v>pc</v>
      </c>
      <c r="D326" s="2">
        <f>IFERROR(__xludf.DUMMYFUNCTION("""COMPUTED_VALUE"""),10.0)</f>
        <v>10</v>
      </c>
      <c r="E326" s="2" t="str">
        <f>IFERROR(__xludf.DUMMYFUNCTION("""COMPUTED_VALUE"""),"-")</f>
        <v>-</v>
      </c>
    </row>
    <row r="327">
      <c r="A327" s="2" t="str">
        <f>IFERROR(__xludf.DUMMYFUNCTION("""COMPUTED_VALUE"""),"P-19381-00")</f>
        <v>P-19381-00</v>
      </c>
      <c r="B327" s="2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327" s="2" t="str">
        <f>IFERROR(__xludf.DUMMYFUNCTION("""COMPUTED_VALUE"""),"pc")</f>
        <v>pc</v>
      </c>
      <c r="D327" s="2">
        <f>IFERROR(__xludf.DUMMYFUNCTION("""COMPUTED_VALUE"""),3.0)</f>
        <v>3</v>
      </c>
      <c r="E327" s="2"/>
    </row>
    <row r="328">
      <c r="A328" s="2" t="str">
        <f>IFERROR(__xludf.DUMMYFUNCTION("""COMPUTED_VALUE"""),"P-52278-00")</f>
        <v>P-52278-00</v>
      </c>
      <c r="B328" s="2" t="str">
        <f>IFERROR(__xludf.DUMMYFUNCTION("""COMPUTED_VALUE"""),"General - Capacitor, +/- 5%, Screw (KMT), 50 F, 250 VAC, 25 A,; No Brand; -; 1 pcs")</f>
        <v>General - Capacitor, +/- 5%, Screw (KMT), 50 F, 250 VAC, 25 A,; No Brand; -; 1 pcs</v>
      </c>
      <c r="C328" s="2" t="str">
        <f>IFERROR(__xludf.DUMMYFUNCTION("""COMPUTED_VALUE"""),"pc")</f>
        <v>pc</v>
      </c>
      <c r="D328" s="2">
        <f>IFERROR(__xludf.DUMMYFUNCTION("""COMPUTED_VALUE"""),12.0)</f>
        <v>12</v>
      </c>
      <c r="E328" s="2" t="str">
        <f>IFERROR(__xludf.DUMMYFUNCTION("""COMPUTED_VALUE"""),"O2")</f>
        <v>O2</v>
      </c>
    </row>
    <row r="329">
      <c r="A329" s="2" t="str">
        <f>IFERROR(__xludf.DUMMYFUNCTION("""COMPUTED_VALUE"""),"O-16030-00")</f>
        <v>O-16030-00</v>
      </c>
      <c r="B329" s="2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329" s="2" t="str">
        <f>IFERROR(__xludf.DUMMYFUNCTION("""COMPUTED_VALUE"""),"unt")</f>
        <v>unt</v>
      </c>
      <c r="D329" s="2">
        <f>IFERROR(__xludf.DUMMYFUNCTION("""COMPUTED_VALUE"""),20.0)</f>
        <v>20</v>
      </c>
      <c r="E329" s="2" t="str">
        <f>IFERROR(__xludf.DUMMYFUNCTION("""COMPUTED_VALUE"""),"C5")</f>
        <v>C5</v>
      </c>
    </row>
    <row r="330">
      <c r="A330" s="2" t="str">
        <f>IFERROR(__xludf.DUMMYFUNCTION("""COMPUTED_VALUE"""),"O-20859-00")</f>
        <v>O-20859-00</v>
      </c>
      <c r="B330" s="2" t="str">
        <f>IFERROR(__xludf.DUMMYFUNCTION("""COMPUTED_VALUE"""),"Marchesini MA155 - Leaflet Gripper; Marchesini; A920000005; 1 Pc")</f>
        <v>Marchesini MA155 - Leaflet Gripper; Marchesini; A920000005; 1 Pc</v>
      </c>
      <c r="C330" s="2" t="str">
        <f>IFERROR(__xludf.DUMMYFUNCTION("""COMPUTED_VALUE"""),"pc")</f>
        <v>pc</v>
      </c>
      <c r="D330" s="2">
        <f>IFERROR(__xludf.DUMMYFUNCTION("""COMPUTED_VALUE"""),2.0)</f>
        <v>2</v>
      </c>
      <c r="E330" s="2" t="str">
        <f>IFERROR(__xludf.DUMMYFUNCTION("""COMPUTED_VALUE"""),"G-2")</f>
        <v>G-2</v>
      </c>
    </row>
    <row r="331">
      <c r="A331" s="2" t="str">
        <f>IFERROR(__xludf.DUMMYFUNCTION("""COMPUTED_VALUE"""),"P-14957-00")</f>
        <v>P-14957-00</v>
      </c>
      <c r="B331" s="2" t="str">
        <f>IFERROR(__xludf.DUMMYFUNCTION("""COMPUTED_VALUE"""),"General - Straight Union KQ2H08-00A; No Brand; -; 1 Pc")</f>
        <v>General - Straight Union KQ2H08-00A; No Brand; -; 1 Pc</v>
      </c>
      <c r="C331" s="2" t="str">
        <f>IFERROR(__xludf.DUMMYFUNCTION("""COMPUTED_VALUE"""),"pc")</f>
        <v>pc</v>
      </c>
      <c r="D331" s="2">
        <f>IFERROR(__xludf.DUMMYFUNCTION("""COMPUTED_VALUE"""),10.0)</f>
        <v>10</v>
      </c>
      <c r="E331" s="2" t="str">
        <f>IFERROR(__xludf.DUMMYFUNCTION("""COMPUTED_VALUE"""),"M3")</f>
        <v>M3</v>
      </c>
    </row>
    <row r="332">
      <c r="A332" s="2" t="str">
        <f>IFERROR(__xludf.DUMMYFUNCTION("""COMPUTED_VALUE"""),"P-51027-00")</f>
        <v>P-51027-00</v>
      </c>
      <c r="B332" s="2" t="str">
        <f>IFERROR(__xludf.DUMMYFUNCTION("""COMPUTED_VALUE"""),"General - IsoLasi Kabel Hitam 33 (19mm x 20mm x 0.177mm); Scotch; -; 1 Pcs")</f>
        <v>General - IsoLasi Kabel Hitam 33 (19mm x 20mm x 0.177mm); Scotch; -; 1 Pcs</v>
      </c>
      <c r="C332" s="2" t="str">
        <f>IFERROR(__xludf.DUMMYFUNCTION("""COMPUTED_VALUE"""),"pc")</f>
        <v>pc</v>
      </c>
      <c r="D332" s="2">
        <f>IFERROR(__xludf.DUMMYFUNCTION("""COMPUTED_VALUE"""),1.0)</f>
        <v>1</v>
      </c>
      <c r="E332" s="2" t="str">
        <f>IFERROR(__xludf.DUMMYFUNCTION("""COMPUTED_VALUE"""),"N3")</f>
        <v>N3</v>
      </c>
    </row>
    <row r="333">
      <c r="A333" s="2" t="str">
        <f>IFERROR(__xludf.DUMMYFUNCTION("""COMPUTED_VALUE"""),"P-54554-00")</f>
        <v>P-54554-00</v>
      </c>
      <c r="B333" s="2" t="str">
        <f>IFERROR(__xludf.DUMMYFUNCTION("""COMPUTED_VALUE"""),"General - Lampu Tl LED Slimliner II T5 10W Cool Light; Hannoch; -; 1 pc")</f>
        <v>General - Lampu Tl LED Slimliner II T5 10W Cool Light; Hannoch; -; 1 pc</v>
      </c>
      <c r="C333" s="2" t="str">
        <f>IFERROR(__xludf.DUMMYFUNCTION("""COMPUTED_VALUE"""),"pc")</f>
        <v>pc</v>
      </c>
      <c r="D333" s="2">
        <f>IFERROR(__xludf.DUMMYFUNCTION("""COMPUTED_VALUE"""),59.0)</f>
        <v>59</v>
      </c>
      <c r="E333" s="2" t="str">
        <f>IFERROR(__xludf.DUMMYFUNCTION("""COMPUTED_VALUE"""),"-")</f>
        <v>-</v>
      </c>
    </row>
    <row r="334">
      <c r="A334" s="2" t="str">
        <f>IFERROR(__xludf.DUMMYFUNCTION("""COMPUTED_VALUE"""),"P-54575-00")</f>
        <v>P-54575-00</v>
      </c>
      <c r="B334" s="2" t="str">
        <f>IFERROR(__xludf.DUMMYFUNCTION("""COMPUTED_VALUE"""),"General - Fitting Lampu Halogen MR16 Socket GY5.3; No Brand; -; 1 pc")</f>
        <v>General - Fitting Lampu Halogen MR16 Socket GY5.3; No Brand; -; 1 pc</v>
      </c>
      <c r="C334" s="2" t="str">
        <f>IFERROR(__xludf.DUMMYFUNCTION("""COMPUTED_VALUE"""),"pc")</f>
        <v>pc</v>
      </c>
      <c r="D334" s="2">
        <f>IFERROR(__xludf.DUMMYFUNCTION("""COMPUTED_VALUE"""),5.0)</f>
        <v>5</v>
      </c>
      <c r="E334" s="2" t="str">
        <f>IFERROR(__xludf.DUMMYFUNCTION("""COMPUTED_VALUE"""),"R-2-18")</f>
        <v>R-2-18</v>
      </c>
    </row>
    <row r="335">
      <c r="A335" s="2" t="str">
        <f>IFERROR(__xludf.DUMMYFUNCTION("""COMPUTED_VALUE"""),"O-53165-00")</f>
        <v>O-53165-00</v>
      </c>
      <c r="B335" s="2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335" s="2" t="str">
        <f>IFERROR(__xludf.DUMMYFUNCTION("""COMPUTED_VALUE"""),"pc")</f>
        <v>pc</v>
      </c>
      <c r="D335" s="2">
        <f>IFERROR(__xludf.DUMMYFUNCTION("""COMPUTED_VALUE"""),1.0)</f>
        <v>1</v>
      </c>
      <c r="E335" s="2" t="str">
        <f>IFERROR(__xludf.DUMMYFUNCTION("""COMPUTED_VALUE"""),"-")</f>
        <v>-</v>
      </c>
    </row>
    <row r="336">
      <c r="A336" s="2" t="str">
        <f>IFERROR(__xludf.DUMMYFUNCTION("""COMPUTED_VALUE"""),"P-52228-00")</f>
        <v>P-52228-00</v>
      </c>
      <c r="B336" s="2" t="str">
        <f>IFERROR(__xludf.DUMMYFUNCTION("""COMPUTED_VALUE"""),"General - Inline Duct Fan 6""; CKE; CDI-150; 1 pcs")</f>
        <v>General - Inline Duct Fan 6"; CKE; CDI-150; 1 pcs</v>
      </c>
      <c r="C336" s="2" t="str">
        <f>IFERROR(__xludf.DUMMYFUNCTION("""COMPUTED_VALUE"""),"pc")</f>
        <v>pc</v>
      </c>
      <c r="D336" s="2">
        <f>IFERROR(__xludf.DUMMYFUNCTION("""COMPUTED_VALUE"""),1.0)</f>
        <v>1</v>
      </c>
      <c r="E336" s="2" t="str">
        <f>IFERROR(__xludf.DUMMYFUNCTION("""COMPUTED_VALUE"""),"T5")</f>
        <v>T5</v>
      </c>
    </row>
    <row r="337">
      <c r="A337" s="2" t="str">
        <f>IFERROR(__xludf.DUMMYFUNCTION("""COMPUTED_VALUE"""),"O-14364-00")</f>
        <v>O-14364-00</v>
      </c>
      <c r="B337" s="2" t="str">
        <f>IFERROR(__xludf.DUMMYFUNCTION("""COMPUTED_VALUE"""),"Membrane Diaphragm Valve EPDM PTFE DN 50 p/n: 600 50M5E-221 Gemu; ; ;")</f>
        <v>Membrane Diaphragm Valve EPDM PTFE DN 50 p/n: 600 50M5E-221 Gemu; ; ;</v>
      </c>
      <c r="C337" s="2" t="str">
        <f>IFERROR(__xludf.DUMMYFUNCTION("""COMPUTED_VALUE"""),"pc")</f>
        <v>pc</v>
      </c>
      <c r="D337" s="2">
        <f>IFERROR(__xludf.DUMMYFUNCTION("""COMPUTED_VALUE"""),2.0)</f>
        <v>2</v>
      </c>
      <c r="E337" s="2" t="str">
        <f>IFERROR(__xludf.DUMMYFUNCTION("""COMPUTED_VALUE"""),"F-1")</f>
        <v>F-1</v>
      </c>
    </row>
    <row r="338">
      <c r="A338" s="2" t="str">
        <f>IFERROR(__xludf.DUMMYFUNCTION("""COMPUTED_VALUE"""),"O-19511-00")</f>
        <v>O-19511-00</v>
      </c>
      <c r="B338" s="2" t="str">
        <f>IFERROR(__xludf.DUMMYFUNCTION("""COMPUTED_VALUE"""),"General - Reducer, Tembaga, 1 3/8"" x 7/8""; No Brand; -; 1 pcs")</f>
        <v>General - Reducer, Tembaga, 1 3/8" x 7/8"; No Brand; -; 1 pcs</v>
      </c>
      <c r="C338" s="2" t="str">
        <f>IFERROR(__xludf.DUMMYFUNCTION("""COMPUTED_VALUE"""),"pc")</f>
        <v>pc</v>
      </c>
      <c r="D338" s="2">
        <f>IFERROR(__xludf.DUMMYFUNCTION("""COMPUTED_VALUE"""),1.0)</f>
        <v>1</v>
      </c>
      <c r="E338" s="2" t="str">
        <f>IFERROR(__xludf.DUMMYFUNCTION("""COMPUTED_VALUE"""),"D-1-3C")</f>
        <v>D-1-3C</v>
      </c>
    </row>
    <row r="339">
      <c r="A339" s="2" t="str">
        <f>IFERROR(__xludf.DUMMYFUNCTION("""COMPUTED_VALUE"""),"P-13389-00")</f>
        <v>P-13389-00</v>
      </c>
      <c r="B339" s="2" t="str">
        <f>IFERROR(__xludf.DUMMYFUNCTION("""COMPUTED_VALUE"""),"Scotch Brite 3M; ; ;")</f>
        <v>Scotch Brite 3M; ; ;</v>
      </c>
      <c r="C339" s="2" t="str">
        <f>IFERROR(__xludf.DUMMYFUNCTION("""COMPUTED_VALUE"""),"pc")</f>
        <v>pc</v>
      </c>
      <c r="D339" s="2">
        <f>IFERROR(__xludf.DUMMYFUNCTION("""COMPUTED_VALUE"""),46.0)</f>
        <v>46</v>
      </c>
      <c r="E339" s="2" t="str">
        <f>IFERROR(__xludf.DUMMYFUNCTION("""COMPUTED_VALUE"""),"O-2")</f>
        <v>O-2</v>
      </c>
    </row>
    <row r="340">
      <c r="A340" s="2" t="str">
        <f>IFERROR(__xludf.DUMMYFUNCTION("""COMPUTED_VALUE"""),"P-15834-00")</f>
        <v>P-15834-00</v>
      </c>
      <c r="B340" s="2" t="str">
        <f>IFERROR(__xludf.DUMMYFUNCTION("""COMPUTED_VALUE"""),"SMC - Pressure Filter Regulator Auto Drain AW40-40DG-A; ; ;")</f>
        <v>SMC - Pressure Filter Regulator Auto Drain AW40-40DG-A; ; ;</v>
      </c>
      <c r="C340" s="2" t="str">
        <f>IFERROR(__xludf.DUMMYFUNCTION("""COMPUTED_VALUE"""),"pc")</f>
        <v>pc</v>
      </c>
      <c r="D340" s="2">
        <f>IFERROR(__xludf.DUMMYFUNCTION("""COMPUTED_VALUE"""),1.0)</f>
        <v>1</v>
      </c>
      <c r="E340" s="2" t="str">
        <f>IFERROR(__xludf.DUMMYFUNCTION("""COMPUTED_VALUE"""),"I2")</f>
        <v>I2</v>
      </c>
    </row>
    <row r="341">
      <c r="A341" s="2" t="str">
        <f>IFERROR(__xludf.DUMMYFUNCTION("""COMPUTED_VALUE"""),"P-14966-00")</f>
        <v>P-14966-00</v>
      </c>
      <c r="B341" s="2" t="str">
        <f>IFERROR(__xludf.DUMMYFUNCTION("""COMPUTED_VALUE"""),"General - Gate Valve Kuningan 2inch; Kitz; -; 1pc")</f>
        <v>General - Gate Valve Kuningan 2inch; Kitz; -; 1pc</v>
      </c>
      <c r="C341" s="2" t="str">
        <f>IFERROR(__xludf.DUMMYFUNCTION("""COMPUTED_VALUE"""),"pc")</f>
        <v>pc</v>
      </c>
      <c r="D341" s="2">
        <f>IFERROR(__xludf.DUMMYFUNCTION("""COMPUTED_VALUE"""),2.0)</f>
        <v>2</v>
      </c>
      <c r="E341" s="2" t="str">
        <f>IFERROR(__xludf.DUMMYFUNCTION("""COMPUTED_VALUE"""),"F-1")</f>
        <v>F-1</v>
      </c>
    </row>
    <row r="342">
      <c r="A342" s="2" t="str">
        <f>IFERROR(__xludf.DUMMYFUNCTION("""COMPUTED_VALUE"""),"P-50288-00")</f>
        <v>P-50288-00</v>
      </c>
      <c r="B342" s="2" t="str">
        <f>IFERROR(__xludf.DUMMYFUNCTION("""COMPUTED_VALUE"""),"General - Lampu Halogen 20 W; Osram; -; 1 unt")</f>
        <v>General - Lampu Halogen 20 W; Osram; -; 1 unt</v>
      </c>
      <c r="C342" s="2" t="str">
        <f>IFERROR(__xludf.DUMMYFUNCTION("""COMPUTED_VALUE"""),"pc")</f>
        <v>pc</v>
      </c>
      <c r="D342" s="2">
        <f>IFERROR(__xludf.DUMMYFUNCTION("""COMPUTED_VALUE"""),2.0)</f>
        <v>2</v>
      </c>
      <c r="E342" s="2" t="str">
        <f>IFERROR(__xludf.DUMMYFUNCTION("""COMPUTED_VALUE"""),"E-4")</f>
        <v>E-4</v>
      </c>
    </row>
    <row r="343">
      <c r="A343" s="2" t="str">
        <f>IFERROR(__xludf.DUMMYFUNCTION("""COMPUTED_VALUE"""),"P-70005-00")</f>
        <v>P-70005-00</v>
      </c>
      <c r="B343" s="2" t="str">
        <f>IFERROR(__xludf.DUMMYFUNCTION("""COMPUTED_VALUE"""),"Forklift Jungheinrich - Oil Transmission 80W 90 (L); Jungheinrich; -; 1 pc")</f>
        <v>Forklift Jungheinrich - Oil Transmission 80W 90 (L); Jungheinrich; -; 1 pc</v>
      </c>
      <c r="C343" s="2" t="str">
        <f>IFERROR(__xludf.DUMMYFUNCTION("""COMPUTED_VALUE"""),"ST")</f>
        <v>ST</v>
      </c>
      <c r="D343" s="2">
        <f>IFERROR(__xludf.DUMMYFUNCTION("""COMPUTED_VALUE"""),5.0)</f>
        <v>5</v>
      </c>
      <c r="E343" s="2" t="str">
        <f>IFERROR(__xludf.DUMMYFUNCTION("""COMPUTED_VALUE"""),"-")</f>
        <v>-</v>
      </c>
    </row>
    <row r="344">
      <c r="A344" s="2" t="str">
        <f>IFERROR(__xludf.DUMMYFUNCTION("""COMPUTED_VALUE"""),"P-11424-00")</f>
        <v>P-11424-00</v>
      </c>
      <c r="B344" s="2" t="str">
        <f>IFERROR(__xludf.DUMMYFUNCTION("""COMPUTED_VALUE"""),"General - Plastic Tubing, PUN-H-12X2-BL; Festo; 197387; 1 m")</f>
        <v>General - Plastic Tubing, PUN-H-12X2-BL; Festo; 197387; 1 m</v>
      </c>
      <c r="C344" s="2" t="str">
        <f>IFERROR(__xludf.DUMMYFUNCTION("""COMPUTED_VALUE"""),"m")</f>
        <v>m</v>
      </c>
      <c r="D344" s="2">
        <f>IFERROR(__xludf.DUMMYFUNCTION("""COMPUTED_VALUE"""),45.0)</f>
        <v>45</v>
      </c>
      <c r="E344" s="2" t="str">
        <f>IFERROR(__xludf.DUMMYFUNCTION("""COMPUTED_VALUE"""),"-")</f>
        <v>-</v>
      </c>
    </row>
    <row r="345">
      <c r="A345" s="2" t="str">
        <f>IFERROR(__xludf.DUMMYFUNCTION("""COMPUTED_VALUE"""),"P-12280-00")</f>
        <v>P-12280-00</v>
      </c>
      <c r="B345" s="2" t="str">
        <f>IFERROR(__xludf.DUMMYFUNCTION("""COMPUTED_VALUE"""),"General - Push-in Fitting, QS-1/8-8; Festo; 153004; 1 pcs")</f>
        <v>General - Push-in Fitting, QS-1/8-8; Festo; 153004; 1 pcs</v>
      </c>
      <c r="C345" s="2" t="str">
        <f>IFERROR(__xludf.DUMMYFUNCTION("""COMPUTED_VALUE"""),"pc")</f>
        <v>pc</v>
      </c>
      <c r="D345" s="2">
        <f>IFERROR(__xludf.DUMMYFUNCTION("""COMPUTED_VALUE"""),17.0)</f>
        <v>17</v>
      </c>
      <c r="E345" s="2" t="str">
        <f>IFERROR(__xludf.DUMMYFUNCTION("""COMPUTED_VALUE"""),"M3")</f>
        <v>M3</v>
      </c>
    </row>
    <row r="346">
      <c r="A346" s="2" t="str">
        <f>IFERROR(__xludf.DUMMYFUNCTION("""COMPUTED_VALUE"""),"P-52665-00")</f>
        <v>P-52665-00</v>
      </c>
      <c r="B346" s="2" t="str">
        <f>IFERROR(__xludf.DUMMYFUNCTION("""COMPUTED_VALUE"""),"General - Buzzer Electronic Siren; Tab; PW-235; 1 Pc")</f>
        <v>General - Buzzer Electronic Siren; Tab; PW-235; 1 Pc</v>
      </c>
      <c r="C346" s="2" t="str">
        <f>IFERROR(__xludf.DUMMYFUNCTION("""COMPUTED_VALUE"""),"pc")</f>
        <v>pc</v>
      </c>
      <c r="D346" s="2">
        <f>IFERROR(__xludf.DUMMYFUNCTION("""COMPUTED_VALUE"""),2.0)</f>
        <v>2</v>
      </c>
      <c r="E346" s="2" t="str">
        <f>IFERROR(__xludf.DUMMYFUNCTION("""COMPUTED_VALUE"""),"M-4")</f>
        <v>M-4</v>
      </c>
    </row>
    <row r="347">
      <c r="A347" s="2" t="str">
        <f>IFERROR(__xludf.DUMMYFUNCTION("""COMPUTED_VALUE"""),"P-19845-00")</f>
        <v>P-19845-00</v>
      </c>
      <c r="B347" s="2" t="str">
        <f>IFERROR(__xludf.DUMMYFUNCTION("""COMPUTED_VALUE"""),"General - Roda PU 2 Inch tebal 25mm (Hanya Roda); No Brand; -; 1 pc")</f>
        <v>General - Roda PU 2 Inch tebal 25mm (Hanya Roda); No Brand; -; 1 pc</v>
      </c>
      <c r="C347" s="2" t="str">
        <f>IFERROR(__xludf.DUMMYFUNCTION("""COMPUTED_VALUE"""),"pc")</f>
        <v>pc</v>
      </c>
      <c r="D347" s="2">
        <f>IFERROR(__xludf.DUMMYFUNCTION("""COMPUTED_VALUE"""),4.0)</f>
        <v>4</v>
      </c>
      <c r="E347" s="2"/>
    </row>
    <row r="348">
      <c r="A348" s="2" t="str">
        <f>IFERROR(__xludf.DUMMYFUNCTION("""COMPUTED_VALUE"""),"O-54176-00")</f>
        <v>O-54176-00</v>
      </c>
      <c r="B348" s="2" t="str">
        <f>IFERROR(__xludf.DUMMYFUNCTION("""COMPUTED_VALUE"""),"General - Encoder RD1A-P8-TI2-PB-E2-M; Lika; 125101266; 1 Pc")</f>
        <v>General - Encoder RD1A-P8-TI2-PB-E2-M; Lika; 125101266; 1 Pc</v>
      </c>
      <c r="C348" s="2" t="str">
        <f>IFERROR(__xludf.DUMMYFUNCTION("""COMPUTED_VALUE"""),"unt")</f>
        <v>unt</v>
      </c>
      <c r="D348" s="2">
        <f>IFERROR(__xludf.DUMMYFUNCTION("""COMPUTED_VALUE"""),1.0)</f>
        <v>1</v>
      </c>
      <c r="E348" s="2" t="str">
        <f>IFERROR(__xludf.DUMMYFUNCTION("""COMPUTED_VALUE"""),"B-1-2")</f>
        <v>B-1-2</v>
      </c>
    </row>
    <row r="349">
      <c r="A349" s="2" t="str">
        <f>IFERROR(__xludf.DUMMYFUNCTION("""COMPUTED_VALUE"""),"P-19952-00")</f>
        <v>P-19952-00</v>
      </c>
      <c r="B349" s="2" t="str">
        <f>IFERROR(__xludf.DUMMYFUNCTION("""COMPUTED_VALUE"""),"General - Fitting SMC; SMC; KQ2U08-00A; 1 pc")</f>
        <v>General - Fitting SMC; SMC; KQ2U08-00A; 1 pc</v>
      </c>
      <c r="C349" s="2" t="str">
        <f>IFERROR(__xludf.DUMMYFUNCTION("""COMPUTED_VALUE"""),"pc")</f>
        <v>pc</v>
      </c>
      <c r="D349" s="2">
        <f>IFERROR(__xludf.DUMMYFUNCTION("""COMPUTED_VALUE"""),1.0)</f>
        <v>1</v>
      </c>
      <c r="E349" s="2"/>
    </row>
    <row r="350">
      <c r="A350" s="2" t="str">
        <f>IFERROR(__xludf.DUMMYFUNCTION("""COMPUTED_VALUE"""),"O-53516-00")</f>
        <v>O-53516-00</v>
      </c>
      <c r="B350" s="2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350" s="2" t="str">
        <f>IFERROR(__xludf.DUMMYFUNCTION("""COMPUTED_VALUE"""),"pc")</f>
        <v>pc</v>
      </c>
      <c r="D350" s="2">
        <f>IFERROR(__xludf.DUMMYFUNCTION("""COMPUTED_VALUE"""),2.0)</f>
        <v>2</v>
      </c>
      <c r="E350" s="2" t="str">
        <f>IFERROR(__xludf.DUMMYFUNCTION("""COMPUTED_VALUE"""),"-")</f>
        <v>-</v>
      </c>
    </row>
    <row r="351">
      <c r="A351" s="2" t="str">
        <f>IFERROR(__xludf.DUMMYFUNCTION("""COMPUTED_VALUE"""),"O-20487-00")</f>
        <v>O-20487-00</v>
      </c>
      <c r="B351" s="2" t="str">
        <f>IFERROR(__xludf.DUMMYFUNCTION("""COMPUTED_VALUE"""),"General - Isolator Glove Smaller glove CSM  (AS : E10330 Y 7 E4); Austar; ; 1 Pc")</f>
        <v>General - Isolator Glove Smaller glove CSM  (AS : E10330 Y 7 E4); Austar; ; 1 Pc</v>
      </c>
      <c r="C351" s="2" t="str">
        <f>IFERROR(__xludf.DUMMYFUNCTION("""COMPUTED_VALUE"""),"pc")</f>
        <v>pc</v>
      </c>
      <c r="D351" s="2">
        <f>IFERROR(__xludf.DUMMYFUNCTION("""COMPUTED_VALUE"""),1.0)</f>
        <v>1</v>
      </c>
      <c r="E351" s="2" t="str">
        <f>IFERROR(__xludf.DUMMYFUNCTION("""COMPUTED_VALUE"""),"B-5")</f>
        <v>B-5</v>
      </c>
    </row>
    <row r="352">
      <c r="A352" s="2" t="str">
        <f>IFERROR(__xludf.DUMMYFUNCTION("""COMPUTED_VALUE"""),"P-51299-00")</f>
        <v>P-51299-00</v>
      </c>
      <c r="B352" s="2" t="str">
        <f>IFERROR(__xludf.DUMMYFUNCTION("""COMPUTED_VALUE"""),"General - Terminal Plastik, dia. 6 mm; No Brand; -; 1 pcs")</f>
        <v>General - Terminal Plastik, dia. 6 mm; No Brand; -; 1 pcs</v>
      </c>
      <c r="C352" s="2" t="str">
        <f>IFERROR(__xludf.DUMMYFUNCTION("""COMPUTED_VALUE"""),"pc")</f>
        <v>pc</v>
      </c>
      <c r="D352" s="2">
        <f>IFERROR(__xludf.DUMMYFUNCTION("""COMPUTED_VALUE"""),9.0)</f>
        <v>9</v>
      </c>
      <c r="E352" s="2" t="str">
        <f>IFERROR(__xludf.DUMMYFUNCTION("""COMPUTED_VALUE"""),"A-4-3B")</f>
        <v>A-4-3B</v>
      </c>
    </row>
    <row r="353">
      <c r="A353" s="2" t="str">
        <f>IFERROR(__xludf.DUMMYFUNCTION("""COMPUTED_VALUE"""),"P-12750-00")</f>
        <v>P-12750-00</v>
      </c>
      <c r="B353" s="2" t="str">
        <f>IFERROR(__xludf.DUMMYFUNCTION("""COMPUTED_VALUE"""),"General - Pipa PVC AW dia. 1/2inch, Warna Abu-Abu; Rucika; -; 1 pcs")</f>
        <v>General - Pipa PVC AW dia. 1/2inch, Warna Abu-Abu; Rucika; -; 1 pcs</v>
      </c>
      <c r="C353" s="2" t="str">
        <f>IFERROR(__xludf.DUMMYFUNCTION("""COMPUTED_VALUE"""),"pc")</f>
        <v>pc</v>
      </c>
      <c r="D353" s="2">
        <f>IFERROR(__xludf.DUMMYFUNCTION("""COMPUTED_VALUE"""),14.0)</f>
        <v>14</v>
      </c>
      <c r="E353" s="2"/>
    </row>
    <row r="354">
      <c r="A354" s="2" t="str">
        <f>IFERROR(__xludf.DUMMYFUNCTION("""COMPUTED_VALUE"""),"P-11431-00")</f>
        <v>P-11431-00</v>
      </c>
      <c r="B354" s="2" t="str">
        <f>IFERROR(__xludf.DUMMYFUNCTION("""COMPUTED_VALUE"""),"General - Plastic Tubing, PUN-H-8X1,25-BL; Festo; 197385; 1 m")</f>
        <v>General - Plastic Tubing, PUN-H-8X1,25-BL; Festo; 197385; 1 m</v>
      </c>
      <c r="C354" s="2" t="str">
        <f>IFERROR(__xludf.DUMMYFUNCTION("""COMPUTED_VALUE"""),"m")</f>
        <v>m</v>
      </c>
      <c r="D354" s="2">
        <f>IFERROR(__xludf.DUMMYFUNCTION("""COMPUTED_VALUE"""),199.0)</f>
        <v>199</v>
      </c>
      <c r="E354" s="2"/>
    </row>
    <row r="355">
      <c r="A355" s="2" t="str">
        <f>IFERROR(__xludf.DUMMYFUNCTION("""COMPUTED_VALUE"""),"O-18963-00")</f>
        <v>O-18963-00</v>
      </c>
      <c r="B355" s="2" t="str">
        <f>IFERROR(__xludf.DUMMYFUNCTION("""COMPUTED_VALUE"""),"Capping VCM204 - Clamp Holder; Custom/Lokal; -; 1 Pc")</f>
        <v>Capping VCM204 - Clamp Holder; Custom/Lokal; -; 1 Pc</v>
      </c>
      <c r="C355" s="2" t="str">
        <f>IFERROR(__xludf.DUMMYFUNCTION("""COMPUTED_VALUE"""),"pc")</f>
        <v>pc</v>
      </c>
      <c r="D355" s="2">
        <f>IFERROR(__xludf.DUMMYFUNCTION("""COMPUTED_VALUE"""),1.0)</f>
        <v>1</v>
      </c>
      <c r="E355" s="2"/>
    </row>
    <row r="356">
      <c r="A356" s="2" t="str">
        <f>IFERROR(__xludf.DUMMYFUNCTION("""COMPUTED_VALUE"""),"P-12763-00")</f>
        <v>P-12763-00</v>
      </c>
      <c r="B356" s="2" t="str">
        <f>IFERROR(__xludf.DUMMYFUNCTION("""COMPUTED_VALUE"""),"General - Silicone Gasket for Ferrule dia. 1 1/2inch; Custom; -; 1 pcs")</f>
        <v>General - Silicone Gasket for Ferrule dia. 1 1/2inch; Custom; -; 1 pcs</v>
      </c>
      <c r="C356" s="2" t="str">
        <f>IFERROR(__xludf.DUMMYFUNCTION("""COMPUTED_VALUE"""),"pc")</f>
        <v>pc</v>
      </c>
      <c r="D356" s="2">
        <f>IFERROR(__xludf.DUMMYFUNCTION("""COMPUTED_VALUE"""),30.0)</f>
        <v>30</v>
      </c>
      <c r="E356" s="2"/>
    </row>
    <row r="357">
      <c r="A357" s="2" t="str">
        <f>IFERROR(__xludf.DUMMYFUNCTION("""COMPUTED_VALUE"""),"P-54507-00")</f>
        <v>P-54507-00</v>
      </c>
      <c r="B357" s="2" t="str">
        <f>IFERROR(__xludf.DUMMYFUNCTION("""COMPUTED_VALUE"""),"General - Relay MY2N-GS-R AC24 BY OMZ; Omron; -; 1 pc")</f>
        <v>General - Relay MY2N-GS-R AC24 BY OMZ; Omron; -; 1 pc</v>
      </c>
      <c r="C357" s="2" t="str">
        <f>IFERROR(__xludf.DUMMYFUNCTION("""COMPUTED_VALUE"""),"pc")</f>
        <v>pc</v>
      </c>
      <c r="D357" s="2">
        <f>IFERROR(__xludf.DUMMYFUNCTION("""COMPUTED_VALUE"""),10.0)</f>
        <v>10</v>
      </c>
      <c r="E357" s="2" t="str">
        <f>IFERROR(__xludf.DUMMYFUNCTION("""COMPUTED_VALUE"""),"A-4-13C")</f>
        <v>A-4-13C</v>
      </c>
    </row>
    <row r="358">
      <c r="A358" s="2" t="str">
        <f>IFERROR(__xludf.DUMMYFUNCTION("""COMPUTED_VALUE"""),"P-50286-00")</f>
        <v>P-50286-00</v>
      </c>
      <c r="B358" s="2" t="str">
        <f>IFERROR(__xludf.DUMMYFUNCTION("""COMPUTED_VALUE"""),"General - Kabel NYYHY 3 x 1.5mm; SUPREME; -; 1 meter")</f>
        <v>General - Kabel NYYHY 3 x 1.5mm; SUPREME; -; 1 meter</v>
      </c>
      <c r="C358" s="2" t="str">
        <f>IFERROR(__xludf.DUMMYFUNCTION("""COMPUTED_VALUE"""),"pc")</f>
        <v>pc</v>
      </c>
      <c r="D358" s="2">
        <f>IFERROR(__xludf.DUMMYFUNCTION("""COMPUTED_VALUE"""),80.0)</f>
        <v>80</v>
      </c>
      <c r="E358" s="2" t="str">
        <f>IFERROR(__xludf.DUMMYFUNCTION("""COMPUTED_VALUE"""),"-")</f>
        <v>-</v>
      </c>
    </row>
    <row r="359">
      <c r="A359" s="2" t="str">
        <f>IFERROR(__xludf.DUMMYFUNCTION("""COMPUTED_VALUE"""),"O-18929-00")</f>
        <v>O-18929-00</v>
      </c>
      <c r="B359" s="2" t="str">
        <f>IFERROR(__xludf.DUMMYFUNCTION("""COMPUTED_VALUE"""),"Freeze Dryer MBE1207 - SANRONG FILTER ELEMENT for SFR487T Housing; IMA Beijing; EDF16-01060; 1 pc")</f>
        <v>Freeze Dryer MBE1207 - SANRONG FILTER ELEMENT for SFR487T Housing; IMA Beijing; EDF16-01060; 1 pc</v>
      </c>
      <c r="C359" s="2" t="str">
        <f>IFERROR(__xludf.DUMMYFUNCTION("""COMPUTED_VALUE"""),"pc")</f>
        <v>pc</v>
      </c>
      <c r="D359" s="2">
        <f>IFERROR(__xludf.DUMMYFUNCTION("""COMPUTED_VALUE"""),2.0)</f>
        <v>2</v>
      </c>
      <c r="E359" s="2" t="str">
        <f>IFERROR(__xludf.DUMMYFUNCTION("""COMPUTED_VALUE"""),"D-2-5B")</f>
        <v>D-2-5B</v>
      </c>
    </row>
    <row r="360">
      <c r="A360" s="2" t="str">
        <f>IFERROR(__xludf.DUMMYFUNCTION("""COMPUTED_VALUE"""),"O-19848-00")</f>
        <v>O-19848-00</v>
      </c>
      <c r="B360" s="2" t="str">
        <f>IFERROR(__xludf.DUMMYFUNCTION("""COMPUTED_VALUE"""),"General - Pneumatic ball valve_1 inch welded WORCESTEREDF50-00196; IMA Life Beijing; EDF50-00196; 1 Pc")</f>
        <v>General - Pneumatic ball valve_1 inch welded WORCESTEREDF50-00196; IMA Life Beijing; EDF50-00196; 1 Pc</v>
      </c>
      <c r="C360" s="2" t="str">
        <f>IFERROR(__xludf.DUMMYFUNCTION("""COMPUTED_VALUE"""),"pc")</f>
        <v>pc</v>
      </c>
      <c r="D360" s="2">
        <f>IFERROR(__xludf.DUMMYFUNCTION("""COMPUTED_VALUE"""),1.0)</f>
        <v>1</v>
      </c>
      <c r="E360" s="2" t="str">
        <f>IFERROR(__xludf.DUMMYFUNCTION("""COMPUTED_VALUE"""),"D-1-8")</f>
        <v>D-1-8</v>
      </c>
    </row>
    <row r="361">
      <c r="A361" s="2" t="str">
        <f>IFERROR(__xludf.DUMMYFUNCTION("""COMPUTED_VALUE"""),"P-54410-00")</f>
        <v>P-54410-00</v>
      </c>
      <c r="B361" s="2" t="str">
        <f>IFERROR(__xludf.DUMMYFUNCTION("""COMPUTED_VALUE"""),"General - Fuse Kaca 1.5A, 250V, 5 x 20mm; No Brand; -; 1 pc")</f>
        <v>General - Fuse Kaca 1.5A, 250V, 5 x 20mm; No Brand; -; 1 pc</v>
      </c>
      <c r="C361" s="2" t="str">
        <f>IFERROR(__xludf.DUMMYFUNCTION("""COMPUTED_VALUE"""),"pc")</f>
        <v>pc</v>
      </c>
      <c r="D361" s="2">
        <f>IFERROR(__xludf.DUMMYFUNCTION("""COMPUTED_VALUE"""),16.0)</f>
        <v>16</v>
      </c>
      <c r="E361" s="2"/>
    </row>
    <row r="362">
      <c r="A362" s="2" t="str">
        <f>IFERROR(__xludf.DUMMYFUNCTION("""COMPUTED_VALUE"""),"O-53236-00")</f>
        <v>O-53236-00</v>
      </c>
      <c r="B362" s="2" t="str">
        <f>IFERROR(__xludf.DUMMYFUNCTION("""COMPUTED_VALUE"""),"General - Advanced Control Unit 24VDC 1.25-5A; Schneider; LUCB05BL; 1 Pc")</f>
        <v>General - Advanced Control Unit 24VDC 1.25-5A; Schneider; LUCB05BL; 1 Pc</v>
      </c>
      <c r="C362" s="2" t="str">
        <f>IFERROR(__xludf.DUMMYFUNCTION("""COMPUTED_VALUE"""),"pc")</f>
        <v>pc</v>
      </c>
      <c r="D362" s="2">
        <f>IFERROR(__xludf.DUMMYFUNCTION("""COMPUTED_VALUE"""),3.0)</f>
        <v>3</v>
      </c>
      <c r="E362" s="2" t="str">
        <f>IFERROR(__xludf.DUMMYFUNCTION("""COMPUTED_VALUE"""),"E-2-5B")</f>
        <v>E-2-5B</v>
      </c>
    </row>
    <row r="363">
      <c r="A363" s="2" t="str">
        <f>IFERROR(__xludf.DUMMYFUNCTION("""COMPUTED_VALUE"""),"O-53423-00")</f>
        <v>O-53423-00</v>
      </c>
      <c r="B363" s="2" t="str">
        <f>IFERROR(__xludf.DUMMYFUNCTION("""COMPUTED_VALUE"""),"General - Fiber Optic Sensor BF3RX; Autonics; A00291; 1 Pc")</f>
        <v>General - Fiber Optic Sensor BF3RX; Autonics; A00291; 1 Pc</v>
      </c>
      <c r="C363" s="2" t="str">
        <f>IFERROR(__xludf.DUMMYFUNCTION("""COMPUTED_VALUE"""),"pc")</f>
        <v>pc</v>
      </c>
      <c r="D363" s="2">
        <f>IFERROR(__xludf.DUMMYFUNCTION("""COMPUTED_VALUE"""),2.0)</f>
        <v>2</v>
      </c>
      <c r="E363" s="2" t="str">
        <f>IFERROR(__xludf.DUMMYFUNCTION("""COMPUTED_VALUE"""),"G-2")</f>
        <v>G-2</v>
      </c>
    </row>
    <row r="364">
      <c r="A364" s="2" t="str">
        <f>IFERROR(__xludf.DUMMYFUNCTION("""COMPUTED_VALUE"""),"P-10907-00")</f>
        <v>P-10907-00</v>
      </c>
      <c r="B364" s="2" t="str">
        <f>IFERROR(__xludf.DUMMYFUNCTION("""COMPUTED_VALUE"""),"General - Tee, PVC AW, 2""; Rucika; -; 1 pcs")</f>
        <v>General - Tee, PVC AW, 2"; Rucika; -; 1 pcs</v>
      </c>
      <c r="C364" s="2" t="str">
        <f>IFERROR(__xludf.DUMMYFUNCTION("""COMPUTED_VALUE"""),"pc")</f>
        <v>pc</v>
      </c>
      <c r="D364" s="2">
        <f>IFERROR(__xludf.DUMMYFUNCTION("""COMPUTED_VALUE"""),4.0)</f>
        <v>4</v>
      </c>
      <c r="E364" s="2" t="str">
        <f>IFERROR(__xludf.DUMMYFUNCTION("""COMPUTED_VALUE"""),"-")</f>
        <v>-</v>
      </c>
    </row>
    <row r="365">
      <c r="A365" s="2" t="str">
        <f>IFERROR(__xludf.DUMMYFUNCTION("""COMPUTED_VALUE"""),"O-20503-00")</f>
        <v>O-20503-00</v>
      </c>
      <c r="B365" s="2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365" s="2" t="str">
        <f>IFERROR(__xludf.DUMMYFUNCTION("""COMPUTED_VALUE"""),"unt")</f>
        <v>unt</v>
      </c>
      <c r="D365" s="2">
        <f>IFERROR(__xludf.DUMMYFUNCTION("""COMPUTED_VALUE"""),1.0)</f>
        <v>1</v>
      </c>
      <c r="E365" s="2" t="str">
        <f>IFERROR(__xludf.DUMMYFUNCTION("""COMPUTED_VALUE"""),"-")</f>
        <v>-</v>
      </c>
    </row>
    <row r="366">
      <c r="A366" s="2" t="str">
        <f>IFERROR(__xludf.DUMMYFUNCTION("""COMPUTED_VALUE"""),"O-53442-00")</f>
        <v>O-53442-00</v>
      </c>
      <c r="B366" s="2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366" s="2" t="str">
        <f>IFERROR(__xludf.DUMMYFUNCTION("""COMPUTED_VALUE"""),"pc")</f>
        <v>pc</v>
      </c>
      <c r="D366" s="2">
        <f>IFERROR(__xludf.DUMMYFUNCTION("""COMPUTED_VALUE"""),1.0)</f>
        <v>1</v>
      </c>
      <c r="E366" s="2" t="str">
        <f>IFERROR(__xludf.DUMMYFUNCTION("""COMPUTED_VALUE"""),"-")</f>
        <v>-</v>
      </c>
    </row>
    <row r="367">
      <c r="A367" s="2" t="str">
        <f>IFERROR(__xludf.DUMMYFUNCTION("""COMPUTED_VALUE"""),"P-12471-00")</f>
        <v>P-12471-00</v>
      </c>
      <c r="B367" s="2" t="str">
        <f>IFERROR(__xludf.DUMMYFUNCTION("""COMPUTED_VALUE"""),"General - Lem silicone; Elastosil; E41; 90gram/tube")</f>
        <v>General - Lem silicone; Elastosil; E41; 90gram/tube</v>
      </c>
      <c r="C367" s="2" t="str">
        <f>IFERROR(__xludf.DUMMYFUNCTION("""COMPUTED_VALUE"""),"pc")</f>
        <v>pc</v>
      </c>
      <c r="D367" s="2">
        <f>IFERROR(__xludf.DUMMYFUNCTION("""COMPUTED_VALUE"""),8.0)</f>
        <v>8</v>
      </c>
      <c r="E367" s="2" t="str">
        <f>IFERROR(__xludf.DUMMYFUNCTION("""COMPUTED_VALUE"""),"M3")</f>
        <v>M3</v>
      </c>
    </row>
    <row r="368">
      <c r="A368" s="2" t="str">
        <f>IFERROR(__xludf.DUMMYFUNCTION("""COMPUTED_VALUE"""),"P-20541-00")</f>
        <v>P-20541-00</v>
      </c>
      <c r="B368" s="2" t="str">
        <f>IFERROR(__xludf.DUMMYFUNCTION("""COMPUTED_VALUE"""),"General - Lidah Handle Panel E5-6110; Southco; -; 1 pc")</f>
        <v>General - Lidah Handle Panel E5-6110; Southco; -; 1 pc</v>
      </c>
      <c r="C368" s="2" t="str">
        <f>IFERROR(__xludf.DUMMYFUNCTION("""COMPUTED_VALUE"""),"pc")</f>
        <v>pc</v>
      </c>
      <c r="D368" s="2">
        <f>IFERROR(__xludf.DUMMYFUNCTION("""COMPUTED_VALUE"""),2.0)</f>
        <v>2</v>
      </c>
      <c r="E368" s="2" t="str">
        <f>IFERROR(__xludf.DUMMYFUNCTION("""COMPUTED_VALUE"""),"-")</f>
        <v>-</v>
      </c>
    </row>
    <row r="369">
      <c r="A369" s="2" t="str">
        <f>IFERROR(__xludf.DUMMYFUNCTION("""COMPUTED_VALUE"""),"O-16715-00")</f>
        <v>O-16715-00</v>
      </c>
      <c r="B369" s="2" t="str">
        <f>IFERROR(__xludf.DUMMYFUNCTION("""COMPUTED_VALUE"""),"General - Membrane Diaphragm Valve EPDM PTFE DN 25; Gemu; 600 25M 17; 1 Pc")</f>
        <v>General - Membrane Diaphragm Valve EPDM PTFE DN 25; Gemu; 600 25M 17; 1 Pc</v>
      </c>
      <c r="C369" s="2" t="str">
        <f>IFERROR(__xludf.DUMMYFUNCTION("""COMPUTED_VALUE"""),"pc")</f>
        <v>pc</v>
      </c>
      <c r="D369" s="2">
        <f>IFERROR(__xludf.DUMMYFUNCTION("""COMPUTED_VALUE"""),7.0)</f>
        <v>7</v>
      </c>
      <c r="E369" s="2" t="str">
        <f>IFERROR(__xludf.DUMMYFUNCTION("""COMPUTED_VALUE"""),"F-1")</f>
        <v>F-1</v>
      </c>
    </row>
    <row r="370">
      <c r="A370" s="2" t="str">
        <f>IFERROR(__xludf.DUMMYFUNCTION("""COMPUTED_VALUE"""),"O-14641-00")</f>
        <v>O-14641-00</v>
      </c>
      <c r="B370" s="2" t="str">
        <f>IFERROR(__xludf.DUMMYFUNCTION("""COMPUTED_VALUE"""),"General - Silicone Gasket for Ferrule dia. 1""; -; -; 1 Pc")</f>
        <v>General - Silicone Gasket for Ferrule dia. 1"; -; -; 1 Pc</v>
      </c>
      <c r="C370" s="2" t="str">
        <f>IFERROR(__xludf.DUMMYFUNCTION("""COMPUTED_VALUE"""),"pc")</f>
        <v>pc</v>
      </c>
      <c r="D370" s="2">
        <f>IFERROR(__xludf.DUMMYFUNCTION("""COMPUTED_VALUE"""),8.0)</f>
        <v>8</v>
      </c>
      <c r="E370" s="2" t="str">
        <f>IFERROR(__xludf.DUMMYFUNCTION("""COMPUTED_VALUE"""),"M3")</f>
        <v>M3</v>
      </c>
    </row>
    <row r="371">
      <c r="A371" s="2" t="str">
        <f>IFERROR(__xludf.DUMMYFUNCTION("""COMPUTED_VALUE"""),"O-11154-00")</f>
        <v>O-11154-00</v>
      </c>
      <c r="B371" s="2" t="str">
        <f>IFERROR(__xludf.DUMMYFUNCTION("""COMPUTED_VALUE"""),"General - Bearing 6204 2Z; SKF; -; 1 pcs")</f>
        <v>General - Bearing 6204 2Z; SKF; -; 1 pcs</v>
      </c>
      <c r="C371" s="2" t="str">
        <f>IFERROR(__xludf.DUMMYFUNCTION("""COMPUTED_VALUE"""),"pc")</f>
        <v>pc</v>
      </c>
      <c r="D371" s="2">
        <f>IFERROR(__xludf.DUMMYFUNCTION("""COMPUTED_VALUE"""),7.0)</f>
        <v>7</v>
      </c>
      <c r="E371" s="2" t="str">
        <f>IFERROR(__xludf.DUMMYFUNCTION("""COMPUTED_VALUE"""),"G-2")</f>
        <v>G-2</v>
      </c>
    </row>
    <row r="372">
      <c r="A372" s="2" t="str">
        <f>IFERROR(__xludf.DUMMYFUNCTION("""COMPUTED_VALUE"""),"P-20016-00")</f>
        <v>P-20016-00</v>
      </c>
      <c r="B372" s="2" t="str">
        <f>IFERROR(__xludf.DUMMYFUNCTION("""COMPUTED_VALUE"""),"General - Mur Baja M14; No Brand; -; 1 pc")</f>
        <v>General - Mur Baja M14; No Brand; -; 1 pc</v>
      </c>
      <c r="C372" s="2" t="str">
        <f>IFERROR(__xludf.DUMMYFUNCTION("""COMPUTED_VALUE"""),"pc")</f>
        <v>pc</v>
      </c>
      <c r="D372" s="2">
        <f>IFERROR(__xludf.DUMMYFUNCTION("""COMPUTED_VALUE"""),10.0)</f>
        <v>10</v>
      </c>
      <c r="E372" s="2" t="str">
        <f>IFERROR(__xludf.DUMMYFUNCTION("""COMPUTED_VALUE"""),"A-1-6")</f>
        <v>A-1-6</v>
      </c>
    </row>
    <row r="373">
      <c r="A373" s="2" t="str">
        <f>IFERROR(__xludf.DUMMYFUNCTION("""COMPUTED_VALUE"""),"O-18690-00")</f>
        <v>O-18690-00</v>
      </c>
      <c r="B373" s="2" t="str">
        <f>IFERROR(__xludf.DUMMYFUNCTION("""COMPUTED_VALUE"""),"Autoclave Fedegari FVA2/A1 NB2963AT - DN48/DN50 CLAMP P/N: GM100049; ; ;")</f>
        <v>Autoclave Fedegari FVA2/A1 NB2963AT - DN48/DN50 CLAMP P/N: GM100049; ; ;</v>
      </c>
      <c r="C373" s="2" t="str">
        <f>IFERROR(__xludf.DUMMYFUNCTION("""COMPUTED_VALUE"""),"pc")</f>
        <v>pc</v>
      </c>
      <c r="D373" s="2">
        <f>IFERROR(__xludf.DUMMYFUNCTION("""COMPUTED_VALUE"""),5.0)</f>
        <v>5</v>
      </c>
      <c r="E373" s="2" t="str">
        <f>IFERROR(__xludf.DUMMYFUNCTION("""COMPUTED_VALUE"""),"E-3-4")</f>
        <v>E-3-4</v>
      </c>
    </row>
    <row r="374">
      <c r="A374" s="2" t="str">
        <f>IFERROR(__xludf.DUMMYFUNCTION("""COMPUTED_VALUE"""),"O-50831-00")</f>
        <v>O-50831-00</v>
      </c>
      <c r="B374" s="2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374" s="2" t="str">
        <f>IFERROR(__xludf.DUMMYFUNCTION("""COMPUTED_VALUE"""),"pc")</f>
        <v>pc</v>
      </c>
      <c r="D374" s="2">
        <f>IFERROR(__xludf.DUMMYFUNCTION("""COMPUTED_VALUE"""),2.0)</f>
        <v>2</v>
      </c>
      <c r="E374" s="2" t="str">
        <f>IFERROR(__xludf.DUMMYFUNCTION("""COMPUTED_VALUE"""),"E1")</f>
        <v>E1</v>
      </c>
    </row>
    <row r="375">
      <c r="A375" s="2" t="str">
        <f>IFERROR(__xludf.DUMMYFUNCTION("""COMPUTED_VALUE"""),"P-13367-00")</f>
        <v>P-13367-00</v>
      </c>
      <c r="B375" s="2" t="str">
        <f>IFERROR(__xludf.DUMMYFUNCTION("""COMPUTED_VALUE"""),"TGK330 Temperature Sensor; Regin Control; ;")</f>
        <v>TGK330 Temperature Sensor; Regin Control; ;</v>
      </c>
      <c r="C375" s="2" t="str">
        <f>IFERROR(__xludf.DUMMYFUNCTION("""COMPUTED_VALUE"""),"unt")</f>
        <v>unt</v>
      </c>
      <c r="D375" s="2">
        <f>IFERROR(__xludf.DUMMYFUNCTION("""COMPUTED_VALUE"""),1.0)</f>
        <v>1</v>
      </c>
      <c r="E375" s="2" t="str">
        <f>IFERROR(__xludf.DUMMYFUNCTION("""COMPUTED_VALUE"""),"F-1")</f>
        <v>F-1</v>
      </c>
    </row>
    <row r="376">
      <c r="A376" s="2" t="str">
        <f>IFERROR(__xludf.DUMMYFUNCTION("""COMPUTED_VALUE"""),"O-19690-00")</f>
        <v>O-19690-00</v>
      </c>
      <c r="B376" s="2" t="str">
        <f>IFERROR(__xludf.DUMMYFUNCTION("""COMPUTED_VALUE"""),"General - Per Tekan SS304 ID 3,5 x OD 4,5 x P 53,5 mm; -; -; 1 Pc")</f>
        <v>General - Per Tekan SS304 ID 3,5 x OD 4,5 x P 53,5 mm; -; -; 1 Pc</v>
      </c>
      <c r="C376" s="2" t="str">
        <f>IFERROR(__xludf.DUMMYFUNCTION("""COMPUTED_VALUE"""),"pc")</f>
        <v>pc</v>
      </c>
      <c r="D376" s="2">
        <f>IFERROR(__xludf.DUMMYFUNCTION("""COMPUTED_VALUE"""),13.0)</f>
        <v>13</v>
      </c>
      <c r="E376" s="2" t="str">
        <f>IFERROR(__xludf.DUMMYFUNCTION("""COMPUTED_VALUE"""),"F-3")</f>
        <v>F-3</v>
      </c>
    </row>
    <row r="377">
      <c r="A377" s="2" t="str">
        <f>IFERROR(__xludf.DUMMYFUNCTION("""COMPUTED_VALUE"""),"P-13576-00")</f>
        <v>P-13576-00</v>
      </c>
      <c r="B377" s="2" t="str">
        <f>IFERROR(__xludf.DUMMYFUNCTION("""COMPUTED_VALUE"""),"Pen Cartridge Green Model: B9902AN for Recorder Yokogawa Model: SR10002; ; ;")</f>
        <v>Pen Cartridge Green Model: B9902AN for Recorder Yokogawa Model: SR10002; ; ;</v>
      </c>
      <c r="C377" s="2" t="str">
        <f>IFERROR(__xludf.DUMMYFUNCTION("""COMPUTED_VALUE"""),"ST")</f>
        <v>ST</v>
      </c>
      <c r="D377" s="2">
        <f>IFERROR(__xludf.DUMMYFUNCTION("""COMPUTED_VALUE"""),2.0)</f>
        <v>2</v>
      </c>
      <c r="E377" s="2" t="str">
        <f>IFERROR(__xludf.DUMMYFUNCTION("""COMPUTED_VALUE"""),"M-4")</f>
        <v>M-4</v>
      </c>
    </row>
    <row r="378">
      <c r="A378" s="2" t="str">
        <f>IFERROR(__xludf.DUMMYFUNCTION("""COMPUTED_VALUE"""),"P-19273-00")</f>
        <v>P-19273-00</v>
      </c>
      <c r="B378" s="2" t="str">
        <f>IFERROR(__xludf.DUMMYFUNCTION("""COMPUTED_VALUE"""),"General - Free Float Steam Trap 3/4 inch (DN 20); TLV; J5X10; 1 pc")</f>
        <v>General - Free Float Steam Trap 3/4 inch (DN 20); TLV; J5X10; 1 pc</v>
      </c>
      <c r="C378" s="2" t="str">
        <f>IFERROR(__xludf.DUMMYFUNCTION("""COMPUTED_VALUE"""),"pc")</f>
        <v>pc</v>
      </c>
      <c r="D378" s="2">
        <f>IFERROR(__xludf.DUMMYFUNCTION("""COMPUTED_VALUE"""),1.0)</f>
        <v>1</v>
      </c>
      <c r="E378" s="2" t="str">
        <f>IFERROR(__xludf.DUMMYFUNCTION("""COMPUTED_VALUE"""),"L-4")</f>
        <v>L-4</v>
      </c>
    </row>
    <row r="379">
      <c r="A379" s="2" t="str">
        <f>IFERROR(__xludf.DUMMYFUNCTION("""COMPUTED_VALUE"""),"O-19521-00")</f>
        <v>O-19521-00</v>
      </c>
      <c r="B379" s="2" t="str">
        <f>IFERROR(__xludf.DUMMYFUNCTION("""COMPUTED_VALUE"""),"General - Ball Valve 7/8 inch; Castel; 1705866; 1 Pc")</f>
        <v>General - Ball Valve 7/8 inch; Castel; 1705866; 1 Pc</v>
      </c>
      <c r="C379" s="2" t="str">
        <f>IFERROR(__xludf.DUMMYFUNCTION("""COMPUTED_VALUE"""),"pc")</f>
        <v>pc</v>
      </c>
      <c r="D379" s="2">
        <f>IFERROR(__xludf.DUMMYFUNCTION("""COMPUTED_VALUE"""),4.0)</f>
        <v>4</v>
      </c>
      <c r="E379" s="2" t="str">
        <f>IFERROR(__xludf.DUMMYFUNCTION("""COMPUTED_VALUE"""),"D-1-6")</f>
        <v>D-1-6</v>
      </c>
    </row>
    <row r="380">
      <c r="A380" s="2" t="str">
        <f>IFERROR(__xludf.DUMMYFUNCTION("""COMPUTED_VALUE"""),"P-17562-00")</f>
        <v>P-17562-00</v>
      </c>
      <c r="B380" s="2" t="str">
        <f>IFERROR(__xludf.DUMMYFUNCTION("""COMPUTED_VALUE"""),"General - Mounting Base 20 x 20mm; SIGMA; -; 1 Pc")</f>
        <v>General - Mounting Base 20 x 20mm; SIGMA; -; 1 Pc</v>
      </c>
      <c r="C380" s="2" t="str">
        <f>IFERROR(__xludf.DUMMYFUNCTION("""COMPUTED_VALUE"""),"pc")</f>
        <v>pc</v>
      </c>
      <c r="D380" s="2">
        <f>IFERROR(__xludf.DUMMYFUNCTION("""COMPUTED_VALUE"""),3.0)</f>
        <v>3</v>
      </c>
      <c r="E380" s="2" t="str">
        <f>IFERROR(__xludf.DUMMYFUNCTION("""COMPUTED_VALUE"""),"N-3-4")</f>
        <v>N-3-4</v>
      </c>
    </row>
    <row r="381">
      <c r="A381" s="2" t="str">
        <f>IFERROR(__xludf.DUMMYFUNCTION("""COMPUTED_VALUE"""),"O-16961-00")</f>
        <v>O-16961-00</v>
      </c>
      <c r="B381" s="2" t="str">
        <f>IFERROR(__xludf.DUMMYFUNCTION("""COMPUTED_VALUE"""),"CRQS-1/8-6 FESTO P/N : 162862 pc")</f>
        <v>CRQS-1/8-6 FESTO P/N : 162862 pc</v>
      </c>
      <c r="C381" s="2" t="str">
        <f>IFERROR(__xludf.DUMMYFUNCTION("""COMPUTED_VALUE"""),"pc")</f>
        <v>pc</v>
      </c>
      <c r="D381" s="2">
        <f>IFERROR(__xludf.DUMMYFUNCTION("""COMPUTED_VALUE"""),1.0)</f>
        <v>1</v>
      </c>
      <c r="E381" s="2" t="str">
        <f>IFERROR(__xludf.DUMMYFUNCTION("""COMPUTED_VALUE"""),"M3")</f>
        <v>M3</v>
      </c>
    </row>
    <row r="382">
      <c r="A382" s="2" t="str">
        <f>IFERROR(__xludf.DUMMYFUNCTION("""COMPUTED_VALUE"""),"P-13384-00")</f>
        <v>P-13384-00</v>
      </c>
      <c r="B382" s="2" t="str">
        <f>IFERROR(__xludf.DUMMYFUNCTION("""COMPUTED_VALUE"""),"Sok Drat Luar 2"" Pvc Rucika; ; ;")</f>
        <v>Sok Drat Luar 2" Pvc Rucika; ; ;</v>
      </c>
      <c r="C382" s="2" t="str">
        <f>IFERROR(__xludf.DUMMYFUNCTION("""COMPUTED_VALUE"""),"pc")</f>
        <v>pc</v>
      </c>
      <c r="D382" s="2">
        <f>IFERROR(__xludf.DUMMYFUNCTION("""COMPUTED_VALUE"""),4.0)</f>
        <v>4</v>
      </c>
      <c r="E382" s="2" t="str">
        <f>IFERROR(__xludf.DUMMYFUNCTION("""COMPUTED_VALUE"""),"-")</f>
        <v>-</v>
      </c>
    </row>
    <row r="383">
      <c r="A383" s="2" t="str">
        <f>IFERROR(__xludf.DUMMYFUNCTION("""COMPUTED_VALUE"""),"P-14458-00")</f>
        <v>P-14458-00</v>
      </c>
      <c r="B383" s="2" t="str">
        <f>IFERROR(__xludf.DUMMYFUNCTION("""COMPUTED_VALUE"""),"General - Filter IAF MBV Series (Medium Filter), efficiency : 90-95 %, Size: 12 x 24 x 12 inch; IAF; -; 1 pcs")</f>
        <v>General - Filter IAF MBV Series (Medium Filter), efficiency : 90-95 %, Size: 12 x 24 x 12 inch; IAF; -; 1 pcs</v>
      </c>
      <c r="C383" s="2" t="str">
        <f>IFERROR(__xludf.DUMMYFUNCTION("""COMPUTED_VALUE"""),"pc")</f>
        <v>pc</v>
      </c>
      <c r="D383" s="2">
        <f>IFERROR(__xludf.DUMMYFUNCTION("""COMPUTED_VALUE"""),22.0)</f>
        <v>22</v>
      </c>
      <c r="E383" s="2" t="str">
        <f>IFERROR(__xludf.DUMMYFUNCTION("""COMPUTED_VALUE"""),"Ruang filter")</f>
        <v>Ruang filter</v>
      </c>
    </row>
    <row r="384">
      <c r="A384" s="2" t="str">
        <f>IFERROR(__xludf.DUMMYFUNCTION("""COMPUTED_VALUE"""),"P-54224-00")</f>
        <v>P-54224-00</v>
      </c>
      <c r="B384" s="2" t="str">
        <f>IFERROR(__xludf.DUMMYFUNCTION("""COMPUTED_VALUE"""),"General - Lampu TL Emergency 18 W; No Brand; -; 1 unt")</f>
        <v>General - Lampu TL Emergency 18 W; No Brand; -; 1 unt</v>
      </c>
      <c r="C384" s="2" t="str">
        <f>IFERROR(__xludf.DUMMYFUNCTION("""COMPUTED_VALUE"""),"pc")</f>
        <v>pc</v>
      </c>
      <c r="D384" s="2">
        <f>IFERROR(__xludf.DUMMYFUNCTION("""COMPUTED_VALUE"""),11.0)</f>
        <v>11</v>
      </c>
      <c r="E384" s="2" t="str">
        <f>IFERROR(__xludf.DUMMYFUNCTION("""COMPUTED_VALUE"""),"O4")</f>
        <v>O4</v>
      </c>
    </row>
    <row r="385">
      <c r="A385" s="2" t="str">
        <f>IFERROR(__xludf.DUMMYFUNCTION("""COMPUTED_VALUE"""),"P-52791-00")</f>
        <v>P-52791-00</v>
      </c>
      <c r="B385" s="2" t="str">
        <f>IFERROR(__xludf.DUMMYFUNCTION("""COMPUTED_VALUE"""),"General - IC Components LTC2411IMS; No Brand; -; 1 pc")</f>
        <v>General - IC Components LTC2411IMS; No Brand; -; 1 pc</v>
      </c>
      <c r="C385" s="2" t="str">
        <f>IFERROR(__xludf.DUMMYFUNCTION("""COMPUTED_VALUE"""),"pc")</f>
        <v>pc</v>
      </c>
      <c r="D385" s="2">
        <f>IFERROR(__xludf.DUMMYFUNCTION("""COMPUTED_VALUE"""),4.0)</f>
        <v>4</v>
      </c>
      <c r="E385" s="2" t="str">
        <f>IFERROR(__xludf.DUMMYFUNCTION("""COMPUTED_VALUE"""),"D-3-1D")</f>
        <v>D-3-1D</v>
      </c>
    </row>
    <row r="386">
      <c r="A386" s="2" t="str">
        <f>IFERROR(__xludf.DUMMYFUNCTION("""COMPUTED_VALUE"""),"O-17831-00")</f>
        <v>O-17831-00</v>
      </c>
      <c r="B386" s="2" t="str">
        <f>IFERROR(__xludf.DUMMYFUNCTION("""COMPUTED_VALUE"""),"Autoclave Machine - Gear Door Autoclave; Custom/Lokal; -; 1 Pc")</f>
        <v>Autoclave Machine - Gear Door Autoclave; Custom/Lokal; -; 1 Pc</v>
      </c>
      <c r="C386" s="2" t="str">
        <f>IFERROR(__xludf.DUMMYFUNCTION("""COMPUTED_VALUE"""),"pc")</f>
        <v>pc</v>
      </c>
      <c r="D386" s="2">
        <f>IFERROR(__xludf.DUMMYFUNCTION("""COMPUTED_VALUE"""),1.0)</f>
        <v>1</v>
      </c>
      <c r="E386" s="2" t="str">
        <f>IFERROR(__xludf.DUMMYFUNCTION("""COMPUTED_VALUE"""),"E-3-3D")</f>
        <v>E-3-3D</v>
      </c>
    </row>
    <row r="387">
      <c r="A387" s="2" t="str">
        <f>IFERROR(__xludf.DUMMYFUNCTION("""COMPUTED_VALUE"""),"P-20272-00")</f>
        <v>P-20272-00</v>
      </c>
      <c r="B387" s="2" t="str">
        <f>IFERROR(__xludf.DUMMYFUNCTION("""COMPUTED_VALUE"""),"General - V Belt SPA 1132; Mitsuboshi; -; 1 pc")</f>
        <v>General - V Belt SPA 1132; Mitsuboshi; -; 1 pc</v>
      </c>
      <c r="C387" s="2" t="str">
        <f>IFERROR(__xludf.DUMMYFUNCTION("""COMPUTED_VALUE"""),"pc")</f>
        <v>pc</v>
      </c>
      <c r="D387" s="2">
        <f>IFERROR(__xludf.DUMMYFUNCTION("""COMPUTED_VALUE"""),10.0)</f>
        <v>10</v>
      </c>
      <c r="E387" s="2"/>
    </row>
    <row r="388">
      <c r="A388" s="2" t="str">
        <f>IFERROR(__xludf.DUMMYFUNCTION("""COMPUTED_VALUE"""),"P-13657-00")</f>
        <v>P-13657-00</v>
      </c>
      <c r="B388" s="2" t="str">
        <f>IFERROR(__xludf.DUMMYFUNCTION("""COMPUTED_VALUE"""),"Sock Tembaga 5/8 inch; ; ;")</f>
        <v>Sock Tembaga 5/8 inch; ; ;</v>
      </c>
      <c r="C388" s="2" t="str">
        <f>IFERROR(__xludf.DUMMYFUNCTION("""COMPUTED_VALUE"""),"pc")</f>
        <v>pc</v>
      </c>
      <c r="D388" s="2">
        <f>IFERROR(__xludf.DUMMYFUNCTION("""COMPUTED_VALUE"""),2.0)</f>
        <v>2</v>
      </c>
      <c r="E388" s="2" t="str">
        <f>IFERROR(__xludf.DUMMYFUNCTION("""COMPUTED_VALUE"""),"D-2-2C")</f>
        <v>D-2-2C</v>
      </c>
    </row>
    <row r="389">
      <c r="A389" s="2" t="str">
        <f>IFERROR(__xludf.DUMMYFUNCTION("""COMPUTED_VALUE"""),"O-51965-00")</f>
        <v>O-51965-00</v>
      </c>
      <c r="B389" s="2" t="str">
        <f>IFERROR(__xludf.DUMMYFUNCTION("""COMPUTED_VALUE"""),"IMA CLU EK2046 - Module MOXA IO Logic-E1214 p/n:6822921; ; ;")</f>
        <v>IMA CLU EK2046 - Module MOXA IO Logic-E1214 p/n:6822921; ; ;</v>
      </c>
      <c r="C389" s="2" t="str">
        <f>IFERROR(__xludf.DUMMYFUNCTION("""COMPUTED_VALUE"""),"pc")</f>
        <v>pc</v>
      </c>
      <c r="D389" s="2">
        <f>IFERROR(__xludf.DUMMYFUNCTION("""COMPUTED_VALUE"""),1.0)</f>
        <v>1</v>
      </c>
      <c r="E389" s="2" t="str">
        <f>IFERROR(__xludf.DUMMYFUNCTION("""COMPUTED_VALUE"""),"C-3-1")</f>
        <v>C-3-1</v>
      </c>
    </row>
    <row r="390">
      <c r="A390" s="2" t="str">
        <f>IFERROR(__xludf.DUMMYFUNCTION("""COMPUTED_VALUE"""),"O-20119-00")</f>
        <v>O-20119-00</v>
      </c>
      <c r="B390" s="2" t="str">
        <f>IFERROR(__xludf.DUMMYFUNCTION("""COMPUTED_VALUE"""),"General - Oil Seal TC 70x90x10; No Brand; ; 1 Pc")</f>
        <v>General - Oil Seal TC 70x90x10; No Brand; ; 1 Pc</v>
      </c>
      <c r="C390" s="2" t="str">
        <f>IFERROR(__xludf.DUMMYFUNCTION("""COMPUTED_VALUE"""),"pc")</f>
        <v>pc</v>
      </c>
      <c r="D390" s="2">
        <f>IFERROR(__xludf.DUMMYFUNCTION("""COMPUTED_VALUE"""),2.0)</f>
        <v>2</v>
      </c>
      <c r="E390" s="2" t="str">
        <f>IFERROR(__xludf.DUMMYFUNCTION("""COMPUTED_VALUE"""),"A-1-6")</f>
        <v>A-1-6</v>
      </c>
    </row>
    <row r="391">
      <c r="A391" s="2" t="str">
        <f>IFERROR(__xludf.DUMMYFUNCTION("""COMPUTED_VALUE"""),"P-51908-00")</f>
        <v>P-51908-00</v>
      </c>
      <c r="B391" s="2" t="str">
        <f>IFERROR(__xludf.DUMMYFUNCTION("""COMPUTED_VALUE"""),"Control Switch Model: S2SR-S4W2A Autonics; ; ;")</f>
        <v>Control Switch Model: S2SR-S4W2A Autonics; ; ;</v>
      </c>
      <c r="C391" s="2" t="str">
        <f>IFERROR(__xludf.DUMMYFUNCTION("""COMPUTED_VALUE"""),"pc")</f>
        <v>pc</v>
      </c>
      <c r="D391" s="2">
        <f>IFERROR(__xludf.DUMMYFUNCTION("""COMPUTED_VALUE"""),1.0)</f>
        <v>1</v>
      </c>
      <c r="E391" s="2" t="str">
        <f>IFERROR(__xludf.DUMMYFUNCTION("""COMPUTED_VALUE"""),"O2")</f>
        <v>O2</v>
      </c>
    </row>
    <row r="392">
      <c r="A392" s="2" t="str">
        <f>IFERROR(__xludf.DUMMYFUNCTION("""COMPUTED_VALUE"""),"O-17242-00")</f>
        <v>O-17242-00</v>
      </c>
      <c r="B392" s="2" t="str">
        <f>IFERROR(__xludf.DUMMYFUNCTION("""COMPUTED_VALUE"""),"General - Belt HTD 720-5M-95mm + Lapisan Blue Sponge 6mm; Custom/Lokal; -; 1 Pc")</f>
        <v>General - Belt HTD 720-5M-95mm + Lapisan Blue Sponge 6mm; Custom/Lokal; -; 1 Pc</v>
      </c>
      <c r="C392" s="2" t="str">
        <f>IFERROR(__xludf.DUMMYFUNCTION("""COMPUTED_VALUE"""),"pc")</f>
        <v>pc</v>
      </c>
      <c r="D392" s="2">
        <f>IFERROR(__xludf.DUMMYFUNCTION("""COMPUTED_VALUE"""),3.0)</f>
        <v>3</v>
      </c>
      <c r="E392" s="2" t="str">
        <f>IFERROR(__xludf.DUMMYFUNCTION("""COMPUTED_VALUE"""),"G-2")</f>
        <v>G-2</v>
      </c>
    </row>
    <row r="393">
      <c r="A393" s="2" t="str">
        <f>IFERROR(__xludf.DUMMYFUNCTION("""COMPUTED_VALUE"""),"O-11149-00")</f>
        <v>O-11149-00</v>
      </c>
      <c r="B393" s="2" t="str">
        <f>IFERROR(__xludf.DUMMYFUNCTION("""COMPUTED_VALUE"""),"Bearing 6202 ZZ - P/N : -  pc")</f>
        <v>Bearing 6202 ZZ - P/N : -  pc</v>
      </c>
      <c r="C393" s="2" t="str">
        <f>IFERROR(__xludf.DUMMYFUNCTION("""COMPUTED_VALUE"""),"pc")</f>
        <v>pc</v>
      </c>
      <c r="D393" s="2">
        <f>IFERROR(__xludf.DUMMYFUNCTION("""COMPUTED_VALUE"""),6.0)</f>
        <v>6</v>
      </c>
      <c r="E393" s="2" t="str">
        <f>IFERROR(__xludf.DUMMYFUNCTION("""COMPUTED_VALUE"""),"G-2")</f>
        <v>G-2</v>
      </c>
    </row>
    <row r="394">
      <c r="A394" s="2" t="str">
        <f>IFERROR(__xludf.DUMMYFUNCTION("""COMPUTED_VALUE"""),"P-54402-00")</f>
        <v>P-54402-00</v>
      </c>
      <c r="B394" s="2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394" s="2" t="str">
        <f>IFERROR(__xludf.DUMMYFUNCTION("""COMPUTED_VALUE"""),"pc")</f>
        <v>pc</v>
      </c>
      <c r="D394" s="2">
        <f>IFERROR(__xludf.DUMMYFUNCTION("""COMPUTED_VALUE"""),2.0)</f>
        <v>2</v>
      </c>
      <c r="E394" s="2" t="str">
        <f>IFERROR(__xludf.DUMMYFUNCTION("""COMPUTED_VALUE"""),"F-1")</f>
        <v>F-1</v>
      </c>
    </row>
    <row r="395">
      <c r="A395" s="2" t="str">
        <f>IFERROR(__xludf.DUMMYFUNCTION("""COMPUTED_VALUE"""),"O-52200-00")</f>
        <v>O-52200-00</v>
      </c>
      <c r="B395" s="2" t="str">
        <f>IFERROR(__xludf.DUMMYFUNCTION("""COMPUTED_VALUE"""),"General - Proximity Sensor, SME-8M-DS-24V-K-0,3-M8D; Festo; 543861; 1 pcs")</f>
        <v>General - Proximity Sensor, SME-8M-DS-24V-K-0,3-M8D; Festo; 543861; 1 pcs</v>
      </c>
      <c r="C395" s="2" t="str">
        <f>IFERROR(__xludf.DUMMYFUNCTION("""COMPUTED_VALUE"""),"pc")</f>
        <v>pc</v>
      </c>
      <c r="D395" s="2">
        <f>IFERROR(__xludf.DUMMYFUNCTION("""COMPUTED_VALUE"""),1.0)</f>
        <v>1</v>
      </c>
      <c r="E395" s="2" t="str">
        <f>IFERROR(__xludf.DUMMYFUNCTION("""COMPUTED_VALUE"""),"B-2-4A")</f>
        <v>B-2-4A</v>
      </c>
    </row>
    <row r="396">
      <c r="A396" s="2" t="str">
        <f>IFERROR(__xludf.DUMMYFUNCTION("""COMPUTED_VALUE"""),"P-54353-00")</f>
        <v>P-54353-00</v>
      </c>
      <c r="B396" s="2" t="str">
        <f>IFERROR(__xludf.DUMMYFUNCTION("""COMPUTED_VALUE"""),"General - Relay MKS2P + Socket; Omron; -; 1 set")</f>
        <v>General - Relay MKS2P + Socket; Omron; -; 1 set</v>
      </c>
      <c r="C396" s="2" t="str">
        <f>IFERROR(__xludf.DUMMYFUNCTION("""COMPUTED_VALUE"""),"ST")</f>
        <v>ST</v>
      </c>
      <c r="D396" s="2">
        <f>IFERROR(__xludf.DUMMYFUNCTION("""COMPUTED_VALUE"""),1.0)</f>
        <v>1</v>
      </c>
      <c r="E396" s="2" t="str">
        <f>IFERROR(__xludf.DUMMYFUNCTION("""COMPUTED_VALUE"""),"R-3-6")</f>
        <v>R-3-6</v>
      </c>
    </row>
    <row r="397">
      <c r="A397" s="2" t="str">
        <f>IFERROR(__xludf.DUMMYFUNCTION("""COMPUTED_VALUE"""),"P-54652-00")</f>
        <v>P-54652-00</v>
      </c>
      <c r="B397" s="2" t="str">
        <f>IFERROR(__xludf.DUMMYFUNCTION("""COMPUTED_VALUE"""),"General - Power Supply Switching 24VDC; Autonics; SPA-075-24; 1 pc")</f>
        <v>General - Power Supply Switching 24VDC; Autonics; SPA-075-24; 1 pc</v>
      </c>
      <c r="C397" s="2" t="str">
        <f>IFERROR(__xludf.DUMMYFUNCTION("""COMPUTED_VALUE"""),"pc")</f>
        <v>pc</v>
      </c>
      <c r="D397" s="2">
        <f>IFERROR(__xludf.DUMMYFUNCTION("""COMPUTED_VALUE"""),1.0)</f>
        <v>1</v>
      </c>
      <c r="E397" s="2" t="str">
        <f>IFERROR(__xludf.DUMMYFUNCTION("""COMPUTED_VALUE"""),"S-3")</f>
        <v>S-3</v>
      </c>
    </row>
    <row r="398">
      <c r="A398" s="2" t="str">
        <f>IFERROR(__xludf.DUMMYFUNCTION("""COMPUTED_VALUE"""),"P-19192-00")</f>
        <v>P-19192-00</v>
      </c>
      <c r="B398" s="2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398" s="2" t="str">
        <f>IFERROR(__xludf.DUMMYFUNCTION("""COMPUTED_VALUE"""),"pc")</f>
        <v>pc</v>
      </c>
      <c r="D398" s="2">
        <f>IFERROR(__xludf.DUMMYFUNCTION("""COMPUTED_VALUE"""),1.0)</f>
        <v>1</v>
      </c>
      <c r="E398" s="2" t="str">
        <f>IFERROR(__xludf.DUMMYFUNCTION("""COMPUTED_VALUE"""),"H-3-6")</f>
        <v>H-3-6</v>
      </c>
    </row>
    <row r="399">
      <c r="A399" s="2" t="str">
        <f>IFERROR(__xludf.DUMMYFUNCTION("""COMPUTED_VALUE"""),"O-51309-00")</f>
        <v>O-51309-00</v>
      </c>
      <c r="B399" s="2" t="str">
        <f>IFERROR(__xludf.DUMMYFUNCTION("""COMPUTED_VALUE"""),"General - I/O SYSTEM PROFIBUS DP/FMS-12 MBAUD-DPV1-COUPL; Wago; 750-333; 1 Pc")</f>
        <v>General - I/O SYSTEM PROFIBUS DP/FMS-12 MBAUD-DPV1-COUPL; Wago; 750-333; 1 Pc</v>
      </c>
      <c r="C399" s="2" t="str">
        <f>IFERROR(__xludf.DUMMYFUNCTION("""COMPUTED_VALUE"""),"unt")</f>
        <v>unt</v>
      </c>
      <c r="D399" s="2">
        <f>IFERROR(__xludf.DUMMYFUNCTION("""COMPUTED_VALUE"""),1.0)</f>
        <v>1</v>
      </c>
      <c r="E399" s="2" t="str">
        <f>IFERROR(__xludf.DUMMYFUNCTION("""COMPUTED_VALUE"""),"B-4")</f>
        <v>B-4</v>
      </c>
    </row>
    <row r="400">
      <c r="A400" s="2" t="str">
        <f>IFERROR(__xludf.DUMMYFUNCTION("""COMPUTED_VALUE"""),"P-12515-00")</f>
        <v>P-12515-00</v>
      </c>
      <c r="B400" s="2" t="str">
        <f>IFERROR(__xludf.DUMMYFUNCTION("""COMPUTED_VALUE"""),"General - Mata Bor, HSS, 1 - 13 mm; NACHI; -; 25 pcs per set")</f>
        <v>General - Mata Bor, HSS, 1 - 13 mm; NACHI; -; 25 pcs per set</v>
      </c>
      <c r="C400" s="2" t="str">
        <f>IFERROR(__xludf.DUMMYFUNCTION("""COMPUTED_VALUE"""),"pc")</f>
        <v>pc</v>
      </c>
      <c r="D400" s="2">
        <f>IFERROR(__xludf.DUMMYFUNCTION("""COMPUTED_VALUE"""),1.0)</f>
        <v>1</v>
      </c>
      <c r="E400" s="2" t="str">
        <f>IFERROR(__xludf.DUMMYFUNCTION("""COMPUTED_VALUE"""),"-")</f>
        <v>-</v>
      </c>
    </row>
    <row r="401">
      <c r="A401" s="2" t="str">
        <f>IFERROR(__xludf.DUMMYFUNCTION("""COMPUTED_VALUE"""),"P-50427-00")</f>
        <v>P-50427-00</v>
      </c>
      <c r="B401" s="2" t="str">
        <f>IFERROR(__xludf.DUMMYFUNCTION("""COMPUTED_VALUE"""),"General - Pilot Lamps 220VAC Red; AXLE; -; 1 Pc")</f>
        <v>General - Pilot Lamps 220VAC Red; AXLE; -; 1 Pc</v>
      </c>
      <c r="C401" s="2" t="str">
        <f>IFERROR(__xludf.DUMMYFUNCTION("""COMPUTED_VALUE"""),"pc")</f>
        <v>pc</v>
      </c>
      <c r="D401" s="2">
        <f>IFERROR(__xludf.DUMMYFUNCTION("""COMPUTED_VALUE"""),8.0)</f>
        <v>8</v>
      </c>
      <c r="E401" s="2"/>
    </row>
    <row r="402">
      <c r="A402" s="2" t="str">
        <f>IFERROR(__xludf.DUMMYFUNCTION("""COMPUTED_VALUE"""),"O-21032-00")</f>
        <v>O-21032-00</v>
      </c>
      <c r="B402" s="2" t="str">
        <f>IFERROR(__xludf.DUMMYFUNCTION("""COMPUTED_VALUE"""),"Washing RAR4 - Steel Ball / Gotri 2.5mm; -; -; 1 pck = 100pc")</f>
        <v>Washing RAR4 - Steel Ball / Gotri 2.5mm; -; -; 1 pck = 100pc</v>
      </c>
      <c r="C402" s="2" t="str">
        <f>IFERROR(__xludf.DUMMYFUNCTION("""COMPUTED_VALUE"""),"Pck")</f>
        <v>Pck</v>
      </c>
      <c r="D402" s="2">
        <f>IFERROR(__xludf.DUMMYFUNCTION("""COMPUTED_VALUE"""),2.0)</f>
        <v>2</v>
      </c>
      <c r="E402" s="2" t="str">
        <f>IFERROR(__xludf.DUMMYFUNCTION("""COMPUTED_VALUE"""),"R-3-12")</f>
        <v>R-3-12</v>
      </c>
    </row>
    <row r="403">
      <c r="A403" s="2" t="str">
        <f>IFERROR(__xludf.DUMMYFUNCTION("""COMPUTED_VALUE"""),"O-54164-00")</f>
        <v>O-54164-00</v>
      </c>
      <c r="B403" s="2" t="str">
        <f>IFERROR(__xludf.DUMMYFUNCTION("""COMPUTED_VALUE"""),"Capping VCM200 - Fieldline Modular Device; Steriline; P/N 202024;")</f>
        <v>Capping VCM200 - Fieldline Modular Device; Steriline; P/N 202024;</v>
      </c>
      <c r="C403" s="2" t="str">
        <f>IFERROR(__xludf.DUMMYFUNCTION("""COMPUTED_VALUE"""),"pc")</f>
        <v>pc</v>
      </c>
      <c r="D403" s="2">
        <f>IFERROR(__xludf.DUMMYFUNCTION("""COMPUTED_VALUE"""),1.0)</f>
        <v>1</v>
      </c>
      <c r="E403" s="2" t="str">
        <f>IFERROR(__xludf.DUMMYFUNCTION("""COMPUTED_VALUE"""),"A-1-9D")</f>
        <v>A-1-9D</v>
      </c>
    </row>
    <row r="404">
      <c r="A404" s="2" t="str">
        <f>IFERROR(__xludf.DUMMYFUNCTION("""COMPUTED_VALUE"""),"P-54190-00")</f>
        <v>P-54190-00</v>
      </c>
      <c r="B404" s="2" t="str">
        <f>IFERROR(__xludf.DUMMYFUNCTION("""COMPUTED_VALUE"""),"General - Stop Kontak IP55 16A; Legrand; -; 1 pc")</f>
        <v>General - Stop Kontak IP55 16A; Legrand; -; 1 pc</v>
      </c>
      <c r="C404" s="2" t="str">
        <f>IFERROR(__xludf.DUMMYFUNCTION("""COMPUTED_VALUE"""),"pc")</f>
        <v>pc</v>
      </c>
      <c r="D404" s="2">
        <f>IFERROR(__xludf.DUMMYFUNCTION("""COMPUTED_VALUE"""),2.0)</f>
        <v>2</v>
      </c>
      <c r="E404" s="2" t="str">
        <f>IFERROR(__xludf.DUMMYFUNCTION("""COMPUTED_VALUE"""),"B4")</f>
        <v>B4</v>
      </c>
    </row>
    <row r="405">
      <c r="A405" s="2" t="str">
        <f>IFERROR(__xludf.DUMMYFUNCTION("""COMPUTED_VALUE"""),"P-13600-00")</f>
        <v>P-13600-00</v>
      </c>
      <c r="B405" s="2" t="str">
        <f>IFERROR(__xludf.DUMMYFUNCTION("""COMPUTED_VALUE"""),"General - Besi Pejal, SS 304, dia. 8 mm; No Brand; -; 1 pcs")</f>
        <v>General - Besi Pejal, SS 304, dia. 8 mm; No Brand; -; 1 pcs</v>
      </c>
      <c r="C405" s="2" t="str">
        <f>IFERROR(__xludf.DUMMYFUNCTION("""COMPUTED_VALUE"""),"pc")</f>
        <v>pc</v>
      </c>
      <c r="D405" s="2">
        <f>IFERROR(__xludf.DUMMYFUNCTION("""COMPUTED_VALUE"""),1.0)</f>
        <v>1</v>
      </c>
      <c r="E405" s="2" t="str">
        <f>IFERROR(__xludf.DUMMYFUNCTION("""COMPUTED_VALUE"""),"-")</f>
        <v>-</v>
      </c>
    </row>
    <row r="406">
      <c r="A406" s="2" t="str">
        <f>IFERROR(__xludf.DUMMYFUNCTION("""COMPUTED_VALUE"""),"P-20532-00")</f>
        <v>P-20532-00</v>
      </c>
      <c r="B406" s="2" t="str">
        <f>IFERROR(__xludf.DUMMYFUNCTION("""COMPUTED_VALUE"""),"General - Hand Tap M3 x 0.5; Yamawa; -; 3pcs/pack")</f>
        <v>General - Hand Tap M3 x 0.5; Yamawa; -; 3pcs/pack</v>
      </c>
      <c r="C406" s="2" t="str">
        <f>IFERROR(__xludf.DUMMYFUNCTION("""COMPUTED_VALUE"""),"Pck")</f>
        <v>Pck</v>
      </c>
      <c r="D406" s="2">
        <f>IFERROR(__xludf.DUMMYFUNCTION("""COMPUTED_VALUE"""),4.0)</f>
        <v>4</v>
      </c>
      <c r="E406" s="2" t="str">
        <f>IFERROR(__xludf.DUMMYFUNCTION("""COMPUTED_VALUE"""),"S-2-8")</f>
        <v>S-2-8</v>
      </c>
    </row>
    <row r="407">
      <c r="A407" s="2" t="str">
        <f>IFERROR(__xludf.DUMMYFUNCTION("""COMPUTED_VALUE"""),"O-54165-00")</f>
        <v>O-54165-00</v>
      </c>
      <c r="B407" s="2" t="str">
        <f>IFERROR(__xludf.DUMMYFUNCTION("""COMPUTED_VALUE"""),"General - Electronic Expansion Valve; Parker; ESS2U; 1 Pc")</f>
        <v>General - Electronic Expansion Valve; Parker; ESS2U; 1 Pc</v>
      </c>
      <c r="C407" s="2" t="str">
        <f>IFERROR(__xludf.DUMMYFUNCTION("""COMPUTED_VALUE"""),"pc")</f>
        <v>pc</v>
      </c>
      <c r="D407" s="2">
        <f>IFERROR(__xludf.DUMMYFUNCTION("""COMPUTED_VALUE"""),3.0)</f>
        <v>3</v>
      </c>
      <c r="E407" s="2" t="str">
        <f>IFERROR(__xludf.DUMMYFUNCTION("""COMPUTED_VALUE"""),"D-3-3")</f>
        <v>D-3-3</v>
      </c>
    </row>
    <row r="408">
      <c r="A408" s="2" t="str">
        <f>IFERROR(__xludf.DUMMYFUNCTION("""COMPUTED_VALUE"""),"P-13388-00")</f>
        <v>P-13388-00</v>
      </c>
      <c r="B408" s="2" t="str">
        <f>IFERROR(__xludf.DUMMYFUNCTION("""COMPUTED_VALUE"""),"General - Ball Valve 1/2inch; KITZ; -; 1 pcs")</f>
        <v>General - Ball Valve 1/2inch; KITZ; -; 1 pcs</v>
      </c>
      <c r="C408" s="2" t="str">
        <f>IFERROR(__xludf.DUMMYFUNCTION("""COMPUTED_VALUE"""),"pc")</f>
        <v>pc</v>
      </c>
      <c r="D408" s="2">
        <f>IFERROR(__xludf.DUMMYFUNCTION("""COMPUTED_VALUE"""),1.0)</f>
        <v>1</v>
      </c>
      <c r="E408" s="2" t="str">
        <f>IFERROR(__xludf.DUMMYFUNCTION("""COMPUTED_VALUE"""),"-")</f>
        <v>-</v>
      </c>
    </row>
    <row r="409">
      <c r="A409" s="2" t="str">
        <f>IFERROR(__xludf.DUMMYFUNCTION("""COMPUTED_VALUE"""),"P-50768-00")</f>
        <v>P-50768-00</v>
      </c>
      <c r="B409" s="2" t="str">
        <f>IFERROR(__xludf.DUMMYFUNCTION("""COMPUTED_VALUE"""),"General - Counter Timer; Autonics; CT6S-1P4; 1 pc")</f>
        <v>General - Counter Timer; Autonics; CT6S-1P4; 1 pc</v>
      </c>
      <c r="C409" s="2" t="str">
        <f>IFERROR(__xludf.DUMMYFUNCTION("""COMPUTED_VALUE"""),"pc")</f>
        <v>pc</v>
      </c>
      <c r="D409" s="2">
        <f>IFERROR(__xludf.DUMMYFUNCTION("""COMPUTED_VALUE"""),1.0)</f>
        <v>1</v>
      </c>
      <c r="E409" s="2" t="str">
        <f>IFERROR(__xludf.DUMMYFUNCTION("""COMPUTED_VALUE"""),"F-3")</f>
        <v>F-3</v>
      </c>
    </row>
    <row r="410">
      <c r="A410" s="2" t="str">
        <f>IFERROR(__xludf.DUMMYFUNCTION("""COMPUTED_VALUE"""),"P-52590-00")</f>
        <v>P-52590-00</v>
      </c>
      <c r="B410" s="2" t="str">
        <f>IFERROR(__xludf.DUMMYFUNCTION("""COMPUTED_VALUE"""),"General - Heater Ducting Dia. 11.2 x 300mm 220V 5000W; No Brand; -; 1 Pc")</f>
        <v>General - Heater Ducting Dia. 11.2 x 300mm 220V 5000W; No Brand; -; 1 Pc</v>
      </c>
      <c r="C410" s="2" t="str">
        <f>IFERROR(__xludf.DUMMYFUNCTION("""COMPUTED_VALUE"""),"pc")</f>
        <v>pc</v>
      </c>
      <c r="D410" s="2">
        <f>IFERROR(__xludf.DUMMYFUNCTION("""COMPUTED_VALUE"""),6.0)</f>
        <v>6</v>
      </c>
      <c r="E410" s="2" t="str">
        <f>IFERROR(__xludf.DUMMYFUNCTION("""COMPUTED_VALUE"""),"F-1")</f>
        <v>F-1</v>
      </c>
    </row>
    <row r="411">
      <c r="A411" s="2" t="str">
        <f>IFERROR(__xludf.DUMMYFUNCTION("""COMPUTED_VALUE"""),"O-20652-00")</f>
        <v>O-20652-00</v>
      </c>
      <c r="B411" s="2" t="str">
        <f>IFERROR(__xludf.DUMMYFUNCTION("""COMPUTED_VALUE"""),"Integrated Granulation Line - Blowback Cone Seal PTFE")</f>
        <v>Integrated Granulation Line - Blowback Cone Seal PTFE</v>
      </c>
      <c r="C411" s="2" t="str">
        <f>IFERROR(__xludf.DUMMYFUNCTION("""COMPUTED_VALUE"""),"pc")</f>
        <v>pc</v>
      </c>
      <c r="D411" s="2">
        <f>IFERROR(__xludf.DUMMYFUNCTION("""COMPUTED_VALUE"""),4.0)</f>
        <v>4</v>
      </c>
      <c r="E411" s="2" t="str">
        <f>IFERROR(__xludf.DUMMYFUNCTION("""COMPUTED_VALUE"""),"-")</f>
        <v>-</v>
      </c>
    </row>
    <row r="412">
      <c r="A412" s="2" t="str">
        <f>IFERROR(__xludf.DUMMYFUNCTION("""COMPUTED_VALUE"""),"P-20517-00")</f>
        <v>P-20517-00</v>
      </c>
      <c r="B412" s="2" t="str">
        <f>IFERROR(__xludf.DUMMYFUNCTION("""COMPUTED_VALUE"""),"General - Hole Saw SS TCT 23mm; Kugel; -; 1 pc")</f>
        <v>General - Hole Saw SS TCT 23mm; Kugel; -; 1 pc</v>
      </c>
      <c r="C412" s="2" t="str">
        <f>IFERROR(__xludf.DUMMYFUNCTION("""COMPUTED_VALUE"""),"pc")</f>
        <v>pc</v>
      </c>
      <c r="D412" s="2">
        <f>IFERROR(__xludf.DUMMYFUNCTION("""COMPUTED_VALUE"""),1.0)</f>
        <v>1</v>
      </c>
      <c r="E412" s="2" t="str">
        <f>IFERROR(__xludf.DUMMYFUNCTION("""COMPUTED_VALUE"""),"-")</f>
        <v>-</v>
      </c>
    </row>
    <row r="413">
      <c r="A413" s="2" t="str">
        <f>IFERROR(__xludf.DUMMYFUNCTION("""COMPUTED_VALUE"""),"P-54576-00")</f>
        <v>P-54576-00</v>
      </c>
      <c r="B413" s="2" t="str">
        <f>IFERROR(__xludf.DUMMYFUNCTION("""COMPUTED_VALUE"""),"General - End Plate for Terminal Blok TBR20; No Brand; -; 1 pc")</f>
        <v>General - End Plate for Terminal Blok TBR20; No Brand; -; 1 pc</v>
      </c>
      <c r="C413" s="2" t="str">
        <f>IFERROR(__xludf.DUMMYFUNCTION("""COMPUTED_VALUE"""),"pc")</f>
        <v>pc</v>
      </c>
      <c r="D413" s="2">
        <f>IFERROR(__xludf.DUMMYFUNCTION("""COMPUTED_VALUE"""),100.0)</f>
        <v>100</v>
      </c>
      <c r="E413" s="2" t="str">
        <f>IFERROR(__xludf.DUMMYFUNCTION("""COMPUTED_VALUE"""),"-")</f>
        <v>-</v>
      </c>
    </row>
    <row r="414">
      <c r="A414" s="2" t="str">
        <f>IFERROR(__xludf.DUMMYFUNCTION("""COMPUTED_VALUE"""),"P-13760-00")</f>
        <v>P-13760-00</v>
      </c>
      <c r="B414" s="2" t="str">
        <f>IFERROR(__xludf.DUMMYFUNCTION("""COMPUTED_VALUE"""),"V-trap PVC uk. 4 inch; ; ;")</f>
        <v>V-trap PVC uk. 4 inch; ; ;</v>
      </c>
      <c r="C414" s="2" t="str">
        <f>IFERROR(__xludf.DUMMYFUNCTION("""COMPUTED_VALUE"""),"pc")</f>
        <v>pc</v>
      </c>
      <c r="D414" s="2">
        <f>IFERROR(__xludf.DUMMYFUNCTION("""COMPUTED_VALUE"""),1.0)</f>
        <v>1</v>
      </c>
      <c r="E414" s="2" t="str">
        <f>IFERROR(__xludf.DUMMYFUNCTION("""COMPUTED_VALUE"""),"L2")</f>
        <v>L2</v>
      </c>
    </row>
    <row r="415">
      <c r="A415" s="2" t="str">
        <f>IFERROR(__xludf.DUMMYFUNCTION("""COMPUTED_VALUE"""),"O-14618-00")</f>
        <v>O-14618-00</v>
      </c>
      <c r="B415" s="2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15" s="2" t="str">
        <f>IFERROR(__xludf.DUMMYFUNCTION("""COMPUTED_VALUE"""),"unt")</f>
        <v>unt</v>
      </c>
      <c r="D415" s="2">
        <f>IFERROR(__xludf.DUMMYFUNCTION("""COMPUTED_VALUE"""),15.0)</f>
        <v>15</v>
      </c>
      <c r="E415" s="2" t="str">
        <f>IFERROR(__xludf.DUMMYFUNCTION("""COMPUTED_VALUE"""),"B-2")</f>
        <v>B-2</v>
      </c>
    </row>
    <row r="416">
      <c r="A416" s="2" t="str">
        <f>IFERROR(__xludf.DUMMYFUNCTION("""COMPUTED_VALUE"""),"P-51756-00")</f>
        <v>P-51756-00</v>
      </c>
      <c r="B416" s="2" t="str">
        <f>IFERROR(__xludf.DUMMYFUNCTION("""COMPUTED_VALUE"""),"General - Kabel NYYHY 3 x 0.75mm; Jembo; -; 1 meter")</f>
        <v>General - Kabel NYYHY 3 x 0.75mm; Jembo; -; 1 meter</v>
      </c>
      <c r="C416" s="2" t="str">
        <f>IFERROR(__xludf.DUMMYFUNCTION("""COMPUTED_VALUE"""),"m")</f>
        <v>m</v>
      </c>
      <c r="D416" s="2">
        <f>IFERROR(__xludf.DUMMYFUNCTION("""COMPUTED_VALUE"""),200.0)</f>
        <v>200</v>
      </c>
      <c r="E416" s="2" t="str">
        <f>IFERROR(__xludf.DUMMYFUNCTION("""COMPUTED_VALUE"""),"-")</f>
        <v>-</v>
      </c>
    </row>
    <row r="417">
      <c r="A417" s="2" t="str">
        <f>IFERROR(__xludf.DUMMYFUNCTION("""COMPUTED_VALUE"""),"O-54122-00")</f>
        <v>O-54122-00</v>
      </c>
      <c r="B417" s="2" t="str">
        <f>IFERROR(__xludf.DUMMYFUNCTION("""COMPUTED_VALUE"""),"Freeze Dryer MBE1207; - Oring 106X5.30; IMA Life Beijing; EB41-00292; 1 Pc")</f>
        <v>Freeze Dryer MBE1207; - Oring 106X5.30; IMA Life Beijing; EB41-00292; 1 Pc</v>
      </c>
      <c r="C417" s="2" t="str">
        <f>IFERROR(__xludf.DUMMYFUNCTION("""COMPUTED_VALUE"""),"pc")</f>
        <v>pc</v>
      </c>
      <c r="D417" s="2">
        <f>IFERROR(__xludf.DUMMYFUNCTION("""COMPUTED_VALUE"""),6.0)</f>
        <v>6</v>
      </c>
      <c r="E417" s="2"/>
    </row>
    <row r="418">
      <c r="A418" s="2" t="str">
        <f>IFERROR(__xludf.DUMMYFUNCTION("""COMPUTED_VALUE"""),"O-17534-00")</f>
        <v>O-17534-00</v>
      </c>
      <c r="B418" s="2" t="str">
        <f>IFERROR(__xludf.DUMMYFUNCTION("""COMPUTED_VALUE"""),"General - Oring Viton 234x5.3 mm; -; -; 1 Pc")</f>
        <v>General - Oring Viton 234x5.3 mm; -; -; 1 Pc</v>
      </c>
      <c r="C418" s="2" t="str">
        <f>IFERROR(__xludf.DUMMYFUNCTION("""COMPUTED_VALUE"""),"pc")</f>
        <v>pc</v>
      </c>
      <c r="D418" s="2">
        <f>IFERROR(__xludf.DUMMYFUNCTION("""COMPUTED_VALUE"""),4.0)</f>
        <v>4</v>
      </c>
      <c r="E418" s="2"/>
    </row>
    <row r="419">
      <c r="A419" s="2" t="str">
        <f>IFERROR(__xludf.DUMMYFUNCTION("""COMPUTED_VALUE"""),"O-18124-00")</f>
        <v>O-18124-00</v>
      </c>
      <c r="B419" s="2" t="str">
        <f>IFERROR(__xludf.DUMMYFUNCTION("""COMPUTED_VALUE"""),"Mixing Machine - USM T60 Impeller with 20mm Silicon Carbide; NovAseptic; G10-012; 1 Pc")</f>
        <v>Mixing Machine - USM T60 Impeller with 20mm Silicon Carbide; NovAseptic; G10-012; 1 Pc</v>
      </c>
      <c r="C419" s="2" t="str">
        <f>IFERROR(__xludf.DUMMYFUNCTION("""COMPUTED_VALUE"""),"pc")</f>
        <v>pc</v>
      </c>
      <c r="D419" s="2">
        <f>IFERROR(__xludf.DUMMYFUNCTION("""COMPUTED_VALUE"""),1.0)</f>
        <v>1</v>
      </c>
      <c r="E419" s="2" t="str">
        <f>IFERROR(__xludf.DUMMYFUNCTION("""COMPUTED_VALUE"""),"E-4")</f>
        <v>E-4</v>
      </c>
    </row>
    <row r="420">
      <c r="A420" s="2" t="str">
        <f>IFERROR(__xludf.DUMMYFUNCTION("""COMPUTED_VALUE"""),"O-19347-00")</f>
        <v>O-19347-00</v>
      </c>
      <c r="B420" s="2" t="str">
        <f>IFERROR(__xludf.DUMMYFUNCTION("""COMPUTED_VALUE"""),"General - HEPA filter H13 minipleat, size: 1220X610X93; Hencolin; -; 1 Pc")</f>
        <v>General - HEPA filter H13 minipleat, size: 1220X610X93; Hencolin; -; 1 Pc</v>
      </c>
      <c r="C420" s="2" t="str">
        <f>IFERROR(__xludf.DUMMYFUNCTION("""COMPUTED_VALUE"""),"pc")</f>
        <v>pc</v>
      </c>
      <c r="D420" s="2">
        <f>IFERROR(__xludf.DUMMYFUNCTION("""COMPUTED_VALUE"""),9.0)</f>
        <v>9</v>
      </c>
      <c r="E420" s="2" t="str">
        <f>IFERROR(__xludf.DUMMYFUNCTION("""COMPUTED_VALUE"""),"Ruang Filter")</f>
        <v>Ruang Filter</v>
      </c>
    </row>
    <row r="421">
      <c r="A421" s="2" t="str">
        <f>IFERROR(__xludf.DUMMYFUNCTION("""COMPUTED_VALUE"""),"P-19638-00")</f>
        <v>P-19638-00</v>
      </c>
      <c r="B421" s="2" t="str">
        <f>IFERROR(__xludf.DUMMYFUNCTION("""COMPUTED_VALUE"""),"General - Mini Regulator for Spray Gun with Filter; No Brand; -; 1 pc")</f>
        <v>General - Mini Regulator for Spray Gun with Filter; No Brand; -; 1 pc</v>
      </c>
      <c r="C421" s="2" t="str">
        <f>IFERROR(__xludf.DUMMYFUNCTION("""COMPUTED_VALUE"""),"pc")</f>
        <v>pc</v>
      </c>
      <c r="D421" s="2">
        <f>IFERROR(__xludf.DUMMYFUNCTION("""COMPUTED_VALUE"""),1.0)</f>
        <v>1</v>
      </c>
      <c r="E421" s="2"/>
    </row>
    <row r="422">
      <c r="A422" s="2" t="str">
        <f>IFERROR(__xludf.DUMMYFUNCTION("""COMPUTED_VALUE"""),"O-54123-00")</f>
        <v>O-54123-00</v>
      </c>
      <c r="B422" s="2" t="str">
        <f>IFERROR(__xludf.DUMMYFUNCTION("""COMPUTED_VALUE"""),"Freeze Dryer MBE1207; - Oring 132X5.30; IMA Life Beijing; EB41-00298; 1 Pc")</f>
        <v>Freeze Dryer MBE1207; - Oring 132X5.30; IMA Life Beijing; EB41-00298; 1 Pc</v>
      </c>
      <c r="C422" s="2" t="str">
        <f>IFERROR(__xludf.DUMMYFUNCTION("""COMPUTED_VALUE"""),"pc")</f>
        <v>pc</v>
      </c>
      <c r="D422" s="2">
        <f>IFERROR(__xludf.DUMMYFUNCTION("""COMPUTED_VALUE"""),10.0)</f>
        <v>10</v>
      </c>
      <c r="E422" s="2" t="str">
        <f>IFERROR(__xludf.DUMMYFUNCTION("""COMPUTED_VALUE"""),"D-2-9D")</f>
        <v>D-2-9D</v>
      </c>
    </row>
    <row r="423">
      <c r="A423" s="2" t="str">
        <f>IFERROR(__xludf.DUMMYFUNCTION("""COMPUTED_VALUE"""),"O-51769-00")</f>
        <v>O-51769-00</v>
      </c>
      <c r="B423" s="2" t="str">
        <f>IFERROR(__xludf.DUMMYFUNCTION("""COMPUTED_VALUE"""),"General - 8-CHANNEL DIGITAL INPUT MODULE STD PACK; ; ;; Wago; 750-430; 1 Pc")</f>
        <v>General - 8-CHANNEL DIGITAL INPUT MODULE STD PACK; ; ;; Wago; 750-430; 1 Pc</v>
      </c>
      <c r="C423" s="2" t="str">
        <f>IFERROR(__xludf.DUMMYFUNCTION("""COMPUTED_VALUE"""),"unt")</f>
        <v>unt</v>
      </c>
      <c r="D423" s="2">
        <f>IFERROR(__xludf.DUMMYFUNCTION("""COMPUTED_VALUE"""),1.0)</f>
        <v>1</v>
      </c>
      <c r="E423" s="2" t="str">
        <f>IFERROR(__xludf.DUMMYFUNCTION("""COMPUTED_VALUE"""),"A-3-2C")</f>
        <v>A-3-2C</v>
      </c>
    </row>
    <row r="424">
      <c r="A424" s="2" t="str">
        <f>IFERROR(__xludf.DUMMYFUNCTION("""COMPUTED_VALUE"""),"P-14424-00")</f>
        <v>P-14424-00</v>
      </c>
      <c r="B424" s="2" t="str">
        <f>IFERROR(__xludf.DUMMYFUNCTION("""COMPUTED_VALUE"""),"Chemical - Garam Kutreat RGN-9800F; Lokal; -; 25Kg/zak")</f>
        <v>Chemical - Garam Kutreat RGN-9800F; Lokal; -; 25Kg/zak</v>
      </c>
      <c r="C424" s="2" t="str">
        <f>IFERROR(__xludf.DUMMYFUNCTION("""COMPUTED_VALUE"""),"Kg")</f>
        <v>Kg</v>
      </c>
      <c r="D424" s="2">
        <f>IFERROR(__xludf.DUMMYFUNCTION("""COMPUTED_VALUE"""),475.0)</f>
        <v>475</v>
      </c>
      <c r="E424" s="2" t="str">
        <f>IFERROR(__xludf.DUMMYFUNCTION("""COMPUTED_VALUE"""),"Sparepart")</f>
        <v>Sparepart</v>
      </c>
    </row>
    <row r="425">
      <c r="A425" s="2" t="str">
        <f>IFERROR(__xludf.DUMMYFUNCTION("""COMPUTED_VALUE"""),"P-50122-00")</f>
        <v>P-50122-00</v>
      </c>
      <c r="B425" s="2" t="str">
        <f>IFERROR(__xludf.DUMMYFUNCTION("""COMPUTED_VALUE"""),"General - Ballast Elektronik Quicktronic 1x18/20W; Osram; -; 1 pc")</f>
        <v>General - Ballast Elektronik Quicktronic 1x18/20W; Osram; -; 1 pc</v>
      </c>
      <c r="C425" s="2" t="str">
        <f>IFERROR(__xludf.DUMMYFUNCTION("""COMPUTED_VALUE"""),"pc")</f>
        <v>pc</v>
      </c>
      <c r="D425" s="2">
        <f>IFERROR(__xludf.DUMMYFUNCTION("""COMPUTED_VALUE"""),4.0)</f>
        <v>4</v>
      </c>
      <c r="E425" s="2" t="str">
        <f>IFERROR(__xludf.DUMMYFUNCTION("""COMPUTED_VALUE"""),"O2")</f>
        <v>O2</v>
      </c>
    </row>
    <row r="426">
      <c r="A426" s="2" t="str">
        <f>IFERROR(__xludf.DUMMYFUNCTION("""COMPUTED_VALUE"""),"P-51928-00")</f>
        <v>P-51928-00</v>
      </c>
      <c r="B426" s="2" t="str">
        <f>IFERROR(__xludf.DUMMYFUNCTION("""COMPUTED_VALUE"""),"Battery Lithium 3V CR2477N; ; ;")</f>
        <v>Battery Lithium 3V CR2477N; ; ;</v>
      </c>
      <c r="C426" s="2" t="str">
        <f>IFERROR(__xludf.DUMMYFUNCTION("""COMPUTED_VALUE"""),"pc")</f>
        <v>pc</v>
      </c>
      <c r="D426" s="2">
        <f>IFERROR(__xludf.DUMMYFUNCTION("""COMPUTED_VALUE"""),1.0)</f>
        <v>1</v>
      </c>
      <c r="E426" s="2" t="str">
        <f>IFERROR(__xludf.DUMMYFUNCTION("""COMPUTED_VALUE"""),"G-3")</f>
        <v>G-3</v>
      </c>
    </row>
    <row r="427">
      <c r="A427" s="2" t="str">
        <f>IFERROR(__xludf.DUMMYFUNCTION("""COMPUTED_VALUE"""),"P-54466-00")</f>
        <v>P-54466-00</v>
      </c>
      <c r="B427" s="2" t="str">
        <f>IFERROR(__xludf.DUMMYFUNCTION("""COMPUTED_VALUE"""),"General - MCB 10A 1Phase Domae; Schneider; DOMF01110; 1 pc")</f>
        <v>General - MCB 10A 1Phase Domae; Schneider; DOMF01110; 1 pc</v>
      </c>
      <c r="C427" s="2" t="str">
        <f>IFERROR(__xludf.DUMMYFUNCTION("""COMPUTED_VALUE"""),"pc")</f>
        <v>pc</v>
      </c>
      <c r="D427" s="2">
        <f>IFERROR(__xludf.DUMMYFUNCTION("""COMPUTED_VALUE"""),3.0)</f>
        <v>3</v>
      </c>
      <c r="E427" s="2" t="str">
        <f>IFERROR(__xludf.DUMMYFUNCTION("""COMPUTED_VALUE"""),"-")</f>
        <v>-</v>
      </c>
    </row>
    <row r="428">
      <c r="A428" s="2" t="str">
        <f>IFERROR(__xludf.DUMMYFUNCTION("""COMPUTED_VALUE"""),"O-53168-00")</f>
        <v>O-53168-00</v>
      </c>
      <c r="B428" s="2" t="str">
        <f>IFERROR(__xludf.DUMMYFUNCTION("""COMPUTED_VALUE"""),"General - Manual Motor Starter 100 Ka MS 132-4.0 ABB 1SAM350000R1008")</f>
        <v>General - Manual Motor Starter 100 Ka MS 132-4.0 ABB 1SAM350000R1008</v>
      </c>
      <c r="C428" s="2" t="str">
        <f>IFERROR(__xludf.DUMMYFUNCTION("""COMPUTED_VALUE"""),"pc")</f>
        <v>pc</v>
      </c>
      <c r="D428" s="2">
        <f>IFERROR(__xludf.DUMMYFUNCTION("""COMPUTED_VALUE"""),1.0)</f>
        <v>1</v>
      </c>
      <c r="E428" s="2" t="str">
        <f>IFERROR(__xludf.DUMMYFUNCTION("""COMPUTED_VALUE"""),"E-4")</f>
        <v>E-4</v>
      </c>
    </row>
    <row r="429">
      <c r="A429" s="2" t="str">
        <f>IFERROR(__xludf.DUMMYFUNCTION("""COMPUTED_VALUE"""),"O-51967-00")</f>
        <v>O-51967-00</v>
      </c>
      <c r="B429" s="2" t="str">
        <f>IFERROR(__xludf.DUMMYFUNCTION("""COMPUTED_VALUE"""),"General - Solid State Relay 3-32 VDC - 330 VAC 25 A; Fotek; SSR 3-32; 1 Pc")</f>
        <v>General - Solid State Relay 3-32 VDC - 330 VAC 25 A; Fotek; SSR 3-32; 1 Pc</v>
      </c>
      <c r="C429" s="2" t="str">
        <f>IFERROR(__xludf.DUMMYFUNCTION("""COMPUTED_VALUE"""),"pc")</f>
        <v>pc</v>
      </c>
      <c r="D429" s="2">
        <f>IFERROR(__xludf.DUMMYFUNCTION("""COMPUTED_VALUE"""),9.0)</f>
        <v>9</v>
      </c>
      <c r="E429" s="2" t="str">
        <f>IFERROR(__xludf.DUMMYFUNCTION("""COMPUTED_VALUE"""),"A-4-11B")</f>
        <v>A-4-11B</v>
      </c>
    </row>
    <row r="430">
      <c r="A430" s="2" t="str">
        <f>IFERROR(__xludf.DUMMYFUNCTION("""COMPUTED_VALUE"""),"P-70002-00")</f>
        <v>P-70002-00</v>
      </c>
      <c r="B430" s="2" t="str">
        <f>IFERROR(__xludf.DUMMYFUNCTION("""COMPUTED_VALUE"""),"Forklift Jungheinrich - Filter Cartridge; Jungheinrich; 5140412; 1 pc")</f>
        <v>Forklift Jungheinrich - Filter Cartridge; Jungheinrich; 5140412; 1 pc</v>
      </c>
      <c r="C430" s="2" t="str">
        <f>IFERROR(__xludf.DUMMYFUNCTION("""COMPUTED_VALUE"""),"pc")</f>
        <v>pc</v>
      </c>
      <c r="D430" s="2">
        <f>IFERROR(__xludf.DUMMYFUNCTION("""COMPUTED_VALUE"""),1.0)</f>
        <v>1</v>
      </c>
      <c r="E430" s="2" t="str">
        <f>IFERROR(__xludf.DUMMYFUNCTION("""COMPUTED_VALUE"""),"S-3-2")</f>
        <v>S-3-2</v>
      </c>
    </row>
    <row r="431">
      <c r="A431" s="2" t="str">
        <f>IFERROR(__xludf.DUMMYFUNCTION("""COMPUTED_VALUE"""),"O-21031-00")</f>
        <v>O-21031-00</v>
      </c>
      <c r="B431" s="2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431" s="2" t="str">
        <f>IFERROR(__xludf.DUMMYFUNCTION("""COMPUTED_VALUE"""),"pc")</f>
        <v>pc</v>
      </c>
      <c r="D431" s="2">
        <f>IFERROR(__xludf.DUMMYFUNCTION("""COMPUTED_VALUE"""),3.0)</f>
        <v>3</v>
      </c>
      <c r="E431" s="2" t="str">
        <f>IFERROR(__xludf.DUMMYFUNCTION("""COMPUTED_VALUE"""),"-")</f>
        <v>-</v>
      </c>
    </row>
    <row r="432">
      <c r="A432" s="2" t="str">
        <f>IFERROR(__xludf.DUMMYFUNCTION("""COMPUTED_VALUE"""),"O-15912-00")</f>
        <v>O-15912-00</v>
      </c>
      <c r="B432" s="2" t="str">
        <f>IFERROR(__xludf.DUMMYFUNCTION("""COMPUTED_VALUE"""),"Fedegari FVA2/A1 - CLAMP DN34-DN35 (MICROCASTED); Code : GM100094; ; ;")</f>
        <v>Fedegari FVA2/A1 - CLAMP DN34-DN35 (MICROCASTED); Code : GM100094; ; ;</v>
      </c>
      <c r="C432" s="2" t="str">
        <f>IFERROR(__xludf.DUMMYFUNCTION("""COMPUTED_VALUE"""),"unt")</f>
        <v>unt</v>
      </c>
      <c r="D432" s="2">
        <f>IFERROR(__xludf.DUMMYFUNCTION("""COMPUTED_VALUE"""),2.0)</f>
        <v>2</v>
      </c>
      <c r="E432" s="2"/>
    </row>
    <row r="433">
      <c r="A433" s="2" t="str">
        <f>IFERROR(__xludf.DUMMYFUNCTION("""COMPUTED_VALUE"""),"O-17399-00")</f>
        <v>O-17399-00</v>
      </c>
      <c r="B433" s="2" t="str">
        <f>IFERROR(__xludf.DUMMYFUNCTION("""COMPUTED_VALUE"""),"Autoclave Fedegari FOF / 6 AC - O-RING21.82x3.53 ; p/n CC150010; ; ;")</f>
        <v>Autoclave Fedegari FOF / 6 AC - O-RING21.82x3.53 ; p/n CC150010; ; ;</v>
      </c>
      <c r="C433" s="2" t="str">
        <f>IFERROR(__xludf.DUMMYFUNCTION("""COMPUTED_VALUE"""),"pc")</f>
        <v>pc</v>
      </c>
      <c r="D433" s="2">
        <f>IFERROR(__xludf.DUMMYFUNCTION("""COMPUTED_VALUE"""),20.0)</f>
        <v>20</v>
      </c>
      <c r="E433" s="2" t="str">
        <f>IFERROR(__xludf.DUMMYFUNCTION("""COMPUTED_VALUE"""),"-")</f>
        <v>-</v>
      </c>
    </row>
    <row r="434">
      <c r="A434" s="2" t="str">
        <f>IFERROR(__xludf.DUMMYFUNCTION("""COMPUTED_VALUE"""),"O-53033-00")</f>
        <v>O-53033-00</v>
      </c>
      <c r="B434" s="2" t="str">
        <f>IFERROR(__xludf.DUMMYFUNCTION("""COMPUTED_VALUE"""),"General - Saklar Switch Lampu ZN On Off Kaki 4 Kaki Pin 15-20A; -; -; 1 Pc")</f>
        <v>General - Saklar Switch Lampu ZN On Off Kaki 4 Kaki Pin 15-20A; -; -; 1 Pc</v>
      </c>
      <c r="C434" s="2" t="str">
        <f>IFERROR(__xludf.DUMMYFUNCTION("""COMPUTED_VALUE"""),"pc")</f>
        <v>pc</v>
      </c>
      <c r="D434" s="2">
        <f>IFERROR(__xludf.DUMMYFUNCTION("""COMPUTED_VALUE"""),14.0)</f>
        <v>14</v>
      </c>
      <c r="E434" s="2" t="str">
        <f>IFERROR(__xludf.DUMMYFUNCTION("""COMPUTED_VALUE"""),"A-4-10C")</f>
        <v>A-4-10C</v>
      </c>
    </row>
    <row r="435">
      <c r="A435" s="2" t="str">
        <f>IFERROR(__xludf.DUMMYFUNCTION("""COMPUTED_VALUE"""),"P-20183-00")</f>
        <v>P-20183-00</v>
      </c>
      <c r="B435" s="2" t="str">
        <f>IFERROR(__xludf.DUMMYFUNCTION("""COMPUTED_VALUE"""),"General - Kawat Las RB26 2mm 6013; Kobelco; -; 5kg/box")</f>
        <v>General - Kawat Las RB26 2mm 6013; Kobelco; -; 5kg/box</v>
      </c>
      <c r="C435" s="2" t="str">
        <f>IFERROR(__xludf.DUMMYFUNCTION("""COMPUTED_VALUE"""),"Box")</f>
        <v>Box</v>
      </c>
      <c r="D435" s="2">
        <f>IFERROR(__xludf.DUMMYFUNCTION("""COMPUTED_VALUE"""),1.0)</f>
        <v>1</v>
      </c>
      <c r="E435" s="2"/>
    </row>
    <row r="436">
      <c r="A436" s="2" t="str">
        <f>IFERROR(__xludf.DUMMYFUNCTION("""COMPUTED_VALUE"""),"P-12488-00")</f>
        <v>P-12488-00</v>
      </c>
      <c r="B436" s="2" t="str">
        <f>IFERROR(__xludf.DUMMYFUNCTION("""COMPUTED_VALUE"""),"General - Mata Bor Besi, dia. 4 mm; NACHI; -; 1 pcs")</f>
        <v>General - Mata Bor Besi, dia. 4 mm; NACHI; -; 1 pcs</v>
      </c>
      <c r="C436" s="2" t="str">
        <f>IFERROR(__xludf.DUMMYFUNCTION("""COMPUTED_VALUE"""),"pc")</f>
        <v>pc</v>
      </c>
      <c r="D436" s="2">
        <f>IFERROR(__xludf.DUMMYFUNCTION("""COMPUTED_VALUE"""),1.0)</f>
        <v>1</v>
      </c>
      <c r="E436" s="2" t="str">
        <f>IFERROR(__xludf.DUMMYFUNCTION("""COMPUTED_VALUE"""),"S-2-8")</f>
        <v>S-2-8</v>
      </c>
    </row>
    <row r="437">
      <c r="A437" s="2" t="str">
        <f>IFERROR(__xludf.DUMMYFUNCTION("""COMPUTED_VALUE"""),"P-19844-00")</f>
        <v>P-19844-00</v>
      </c>
      <c r="B437" s="2" t="str">
        <f>IFERROR(__xludf.DUMMYFUNCTION("""COMPUTED_VALUE"""),"General - Drain Pan WIHC; Custom Agru Farma; -; 1 pc")</f>
        <v>General - Drain Pan WIHC; Custom Agru Farma; -; 1 pc</v>
      </c>
      <c r="C437" s="2" t="str">
        <f>IFERROR(__xludf.DUMMYFUNCTION("""COMPUTED_VALUE"""),"pc")</f>
        <v>pc</v>
      </c>
      <c r="D437" s="2">
        <f>IFERROR(__xludf.DUMMYFUNCTION("""COMPUTED_VALUE"""),1.0)</f>
        <v>1</v>
      </c>
      <c r="E437" s="2" t="str">
        <f>IFERROR(__xludf.DUMMYFUNCTION("""COMPUTED_VALUE"""),"Putih")</f>
        <v>Putih</v>
      </c>
    </row>
    <row r="438">
      <c r="A438" s="2" t="str">
        <f>IFERROR(__xludf.DUMMYFUNCTION("""COMPUTED_VALUE"""),"P-12747-00")</f>
        <v>P-12747-00</v>
      </c>
      <c r="B438" s="2" t="str">
        <f>IFERROR(__xludf.DUMMYFUNCTION("""COMPUTED_VALUE"""),"General - Pipa PVC AW dia. 3/4inch; Rucika; -; 1 pcs")</f>
        <v>General - Pipa PVC AW dia. 3/4inch; Rucika; -; 1 pcs</v>
      </c>
      <c r="C438" s="2" t="str">
        <f>IFERROR(__xludf.DUMMYFUNCTION("""COMPUTED_VALUE"""),"pc")</f>
        <v>pc</v>
      </c>
      <c r="D438" s="2">
        <f>IFERROR(__xludf.DUMMYFUNCTION("""COMPUTED_VALUE"""),5.0)</f>
        <v>5</v>
      </c>
      <c r="E438" s="2"/>
    </row>
    <row r="439">
      <c r="A439" s="2" t="str">
        <f>IFERROR(__xludf.DUMMYFUNCTION("""COMPUTED_VALUE"""),"P-10863-00")</f>
        <v>P-10863-00</v>
      </c>
      <c r="B439" s="2" t="str">
        <f>IFERROR(__xludf.DUMMYFUNCTION("""COMPUTED_VALUE"""),"General - Elbow PVC 2inch; Rucika; -; 1 Pc")</f>
        <v>General - Elbow PVC 2inch; Rucika; -; 1 Pc</v>
      </c>
      <c r="C439" s="2" t="str">
        <f>IFERROR(__xludf.DUMMYFUNCTION("""COMPUTED_VALUE"""),"pc")</f>
        <v>pc</v>
      </c>
      <c r="D439" s="2">
        <f>IFERROR(__xludf.DUMMYFUNCTION("""COMPUTED_VALUE"""),5.0)</f>
        <v>5</v>
      </c>
      <c r="E439" s="2"/>
    </row>
    <row r="440">
      <c r="A440" s="2" t="str">
        <f>IFERROR(__xludf.DUMMYFUNCTION("""COMPUTED_VALUE"""),"O-21153-00")</f>
        <v>O-21153-00</v>
      </c>
      <c r="B440" s="2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440" s="2" t="str">
        <f>IFERROR(__xludf.DUMMYFUNCTION("""COMPUTED_VALUE"""),"pc")</f>
        <v>pc</v>
      </c>
      <c r="D440" s="2">
        <f>IFERROR(__xludf.DUMMYFUNCTION("""COMPUTED_VALUE"""),1.0)</f>
        <v>1</v>
      </c>
      <c r="E440" s="2" t="str">
        <f>IFERROR(__xludf.DUMMYFUNCTION("""COMPUTED_VALUE"""),"-")</f>
        <v>-</v>
      </c>
    </row>
    <row r="441">
      <c r="A441" s="2" t="str">
        <f>IFERROR(__xludf.DUMMYFUNCTION("""COMPUTED_VALUE"""),"O-20558-00")</f>
        <v>O-20558-00</v>
      </c>
      <c r="B441" s="2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441" s="2" t="str">
        <f>IFERROR(__xludf.DUMMYFUNCTION("""COMPUTED_VALUE"""),"pc")</f>
        <v>pc</v>
      </c>
      <c r="D441" s="2">
        <f>IFERROR(__xludf.DUMMYFUNCTION("""COMPUTED_VALUE"""),4.0)</f>
        <v>4</v>
      </c>
      <c r="E441" s="2" t="str">
        <f>IFERROR(__xludf.DUMMYFUNCTION("""COMPUTED_VALUE"""),"G-2")</f>
        <v>G-2</v>
      </c>
    </row>
    <row r="442">
      <c r="A442" s="2" t="str">
        <f>IFERROR(__xludf.DUMMYFUNCTION("""COMPUTED_VALUE"""),"O-19381-00")</f>
        <v>O-19381-00</v>
      </c>
      <c r="B442" s="2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442" s="2" t="str">
        <f>IFERROR(__xludf.DUMMYFUNCTION("""COMPUTED_VALUE"""),"pc")</f>
        <v>pc</v>
      </c>
      <c r="D442" s="2">
        <f>IFERROR(__xludf.DUMMYFUNCTION("""COMPUTED_VALUE"""),1.0)</f>
        <v>1</v>
      </c>
      <c r="E442" s="2" t="str">
        <f>IFERROR(__xludf.DUMMYFUNCTION("""COMPUTED_VALUE"""),"-")</f>
        <v>-</v>
      </c>
    </row>
    <row r="443">
      <c r="A443" s="2" t="str">
        <f>IFERROR(__xludf.DUMMYFUNCTION("""COMPUTED_VALUE"""),"P-13598-00")</f>
        <v>P-13598-00</v>
      </c>
      <c r="B443" s="2" t="str">
        <f>IFERROR(__xludf.DUMMYFUNCTION("""COMPUTED_VALUE"""),"General - Regulator Hydrogen; Morris; 96A-10M; 1 pc")</f>
        <v>General - Regulator Hydrogen; Morris; 96A-10M; 1 pc</v>
      </c>
      <c r="C443" s="2" t="str">
        <f>IFERROR(__xludf.DUMMYFUNCTION("""COMPUTED_VALUE"""),"pc")</f>
        <v>pc</v>
      </c>
      <c r="D443" s="2">
        <f>IFERROR(__xludf.DUMMYFUNCTION("""COMPUTED_VALUE"""),1.0)</f>
        <v>1</v>
      </c>
      <c r="E443" s="2" t="str">
        <f>IFERROR(__xludf.DUMMYFUNCTION("""COMPUTED_VALUE"""),"F-4")</f>
        <v>F-4</v>
      </c>
    </row>
    <row r="444">
      <c r="A444" s="2" t="str">
        <f>IFERROR(__xludf.DUMMYFUNCTION("""COMPUTED_VALUE"""),"O-19912-00")</f>
        <v>O-19912-00</v>
      </c>
      <c r="B444" s="2" t="str">
        <f>IFERROR(__xludf.DUMMYFUNCTION("""COMPUTED_VALUE"""),"General - Pipa N2 Mixing SUS 316 dia 1/2 &amp; 1 inch, uk 248x50 mm; Custom/Lokal; -; 1 Pc")</f>
        <v>General - Pipa N2 Mixing SUS 316 dia 1/2 &amp; 1 inch, uk 248x50 mm; Custom/Lokal; -; 1 Pc</v>
      </c>
      <c r="C444" s="2" t="str">
        <f>IFERROR(__xludf.DUMMYFUNCTION("""COMPUTED_VALUE"""),"pc")</f>
        <v>pc</v>
      </c>
      <c r="D444" s="2">
        <f>IFERROR(__xludf.DUMMYFUNCTION("""COMPUTED_VALUE"""),2.0)</f>
        <v>2</v>
      </c>
      <c r="E444" s="2" t="str">
        <f>IFERROR(__xludf.DUMMYFUNCTION("""COMPUTED_VALUE"""),"E-4")</f>
        <v>E-4</v>
      </c>
    </row>
    <row r="445">
      <c r="A445" s="2" t="str">
        <f>IFERROR(__xludf.DUMMYFUNCTION("""COMPUTED_VALUE"""),"P-16402-00")</f>
        <v>P-16402-00</v>
      </c>
      <c r="B445" s="2" t="str">
        <f>IFERROR(__xludf.DUMMYFUNCTION("""COMPUTED_VALUE"""),"General - Kaca Las Warna Hitam No. 10; No Brand; -; 1 pc")</f>
        <v>General - Kaca Las Warna Hitam No. 10; No Brand; -; 1 pc</v>
      </c>
      <c r="C445" s="2" t="str">
        <f>IFERROR(__xludf.DUMMYFUNCTION("""COMPUTED_VALUE"""),"pc")</f>
        <v>pc</v>
      </c>
      <c r="D445" s="2">
        <f>IFERROR(__xludf.DUMMYFUNCTION("""COMPUTED_VALUE"""),1.0)</f>
        <v>1</v>
      </c>
      <c r="E445" s="2"/>
    </row>
    <row r="446">
      <c r="A446" s="2" t="str">
        <f>IFERROR(__xludf.DUMMYFUNCTION("""COMPUTED_VALUE"""),"O-20297-00")</f>
        <v>O-20297-00</v>
      </c>
      <c r="B446" s="2" t="str">
        <f>IFERROR(__xludf.DUMMYFUNCTION("""COMPUTED_VALUE"""),"Autoclave Fedegari Fva/A1 - Oring Viton OD. 15 mm, ID. 15 mm, Tebal 2 mm Custom/Lokal  -")</f>
        <v>Autoclave Fedegari Fva/A1 - Oring Viton OD. 15 mm, ID. 15 mm, Tebal 2 mm Custom/Lokal  -</v>
      </c>
      <c r="C446" s="2" t="str">
        <f>IFERROR(__xludf.DUMMYFUNCTION("""COMPUTED_VALUE"""),"pc")</f>
        <v>pc</v>
      </c>
      <c r="D446" s="2">
        <f>IFERROR(__xludf.DUMMYFUNCTION("""COMPUTED_VALUE"""),38.0)</f>
        <v>38</v>
      </c>
      <c r="E446" s="2" t="str">
        <f>IFERROR(__xludf.DUMMYFUNCTION("""COMPUTED_VALUE"""),"E-3-8B")</f>
        <v>E-3-8B</v>
      </c>
    </row>
    <row r="447">
      <c r="A447" s="2" t="str">
        <f>IFERROR(__xludf.DUMMYFUNCTION("""COMPUTED_VALUE"""),"P-20575-00")</f>
        <v>P-20575-00</v>
      </c>
      <c r="B447" s="2" t="str">
        <f>IFERROR(__xludf.DUMMYFUNCTION("""COMPUTED_VALUE"""),"General - Baut L SS304 M5 x 40mm HT (Socket Cap Screw); No Brand; -; 100pc/pck")</f>
        <v>General - Baut L SS304 M5 x 40mm HT (Socket Cap Screw); No Brand; -; 100pc/pck</v>
      </c>
      <c r="C447" s="2" t="str">
        <f>IFERROR(__xludf.DUMMYFUNCTION("""COMPUTED_VALUE"""),"Pck")</f>
        <v>Pck</v>
      </c>
      <c r="D447" s="2">
        <f>IFERROR(__xludf.DUMMYFUNCTION("""COMPUTED_VALUE"""),1.0)</f>
        <v>1</v>
      </c>
      <c r="E447" s="2" t="str">
        <f>IFERROR(__xludf.DUMMYFUNCTION("""COMPUTED_VALUE"""),"-")</f>
        <v>-</v>
      </c>
    </row>
    <row r="448">
      <c r="A448" s="2" t="str">
        <f>IFERROR(__xludf.DUMMYFUNCTION("""COMPUTED_VALUE"""),"P-19777-00")</f>
        <v>P-19777-00</v>
      </c>
      <c r="B448" s="2" t="str">
        <f>IFERROR(__xludf.DUMMYFUNCTION("""COMPUTED_VALUE"""),"General - Coupling Adapter Mixer SS 304 SMBS Uk. 35x100mm; Custom; -; 1 pc")</f>
        <v>General - Coupling Adapter Mixer SS 304 SMBS Uk. 35x100mm; Custom; -; 1 pc</v>
      </c>
      <c r="C448" s="2" t="str">
        <f>IFERROR(__xludf.DUMMYFUNCTION("""COMPUTED_VALUE"""),"pc")</f>
        <v>pc</v>
      </c>
      <c r="D448" s="2">
        <f>IFERROR(__xludf.DUMMYFUNCTION("""COMPUTED_VALUE"""),1.0)</f>
        <v>1</v>
      </c>
      <c r="E448" s="2" t="str">
        <f>IFERROR(__xludf.DUMMYFUNCTION("""COMPUTED_VALUE"""),"D-3-8C")</f>
        <v>D-3-8C</v>
      </c>
    </row>
    <row r="449">
      <c r="A449" s="2" t="str">
        <f>IFERROR(__xludf.DUMMYFUNCTION("""COMPUTED_VALUE"""),"O-13216-00")</f>
        <v>O-13216-00</v>
      </c>
      <c r="B449" s="2" t="str">
        <f>IFERROR(__xludf.DUMMYFUNCTION("""COMPUTED_VALUE"""),"General - BECHEM Staroil G 320; BECHEM; 10000431; 20 L per pail")</f>
        <v>General - BECHEM Staroil G 320; BECHEM; 10000431; 20 L per pail</v>
      </c>
      <c r="C449" s="2" t="str">
        <f>IFERROR(__xludf.DUMMYFUNCTION("""COMPUTED_VALUE"""),"L")</f>
        <v>L</v>
      </c>
      <c r="D449" s="2">
        <f>IFERROR(__xludf.DUMMYFUNCTION("""COMPUTED_VALUE"""),20.0)</f>
        <v>20</v>
      </c>
      <c r="E449" s="2"/>
    </row>
    <row r="450">
      <c r="A450" s="2" t="str">
        <f>IFERROR(__xludf.DUMMYFUNCTION("""COMPUTED_VALUE"""),"O-18388-00")</f>
        <v>O-18388-00</v>
      </c>
      <c r="B450" s="2" t="str">
        <f>IFERROR(__xludf.DUMMYFUNCTION("""COMPUTED_VALUE"""),"General - Membrane Valve PTFE/EPDM DN15; Gemu; 600 25M 5M; 1 Pc")</f>
        <v>General - Membrane Valve PTFE/EPDM DN15; Gemu; 600 25M 5M; 1 Pc</v>
      </c>
      <c r="C450" s="2" t="str">
        <f>IFERROR(__xludf.DUMMYFUNCTION("""COMPUTED_VALUE"""),"pc")</f>
        <v>pc</v>
      </c>
      <c r="D450" s="2">
        <f>IFERROR(__xludf.DUMMYFUNCTION("""COMPUTED_VALUE"""),4.0)</f>
        <v>4</v>
      </c>
      <c r="E450" s="2" t="str">
        <f>IFERROR(__xludf.DUMMYFUNCTION("""COMPUTED_VALUE"""),"F-1")</f>
        <v>F-1</v>
      </c>
    </row>
    <row r="451">
      <c r="A451" s="2" t="str">
        <f>IFERROR(__xludf.DUMMYFUNCTION("""COMPUTED_VALUE"""),"P-10893-00")</f>
        <v>P-10893-00</v>
      </c>
      <c r="B451" s="2" t="str">
        <f>IFERROR(__xludf.DUMMYFUNCTION("""COMPUTED_VALUE"""),"General - Socket Drat Luar, PVC, 2""; Rucika; -; 1 pcs")</f>
        <v>General - Socket Drat Luar, PVC, 2"; Rucika; -; 1 pcs</v>
      </c>
      <c r="C451" s="2" t="str">
        <f>IFERROR(__xludf.DUMMYFUNCTION("""COMPUTED_VALUE"""),"pc")</f>
        <v>pc</v>
      </c>
      <c r="D451" s="2">
        <f>IFERROR(__xludf.DUMMYFUNCTION("""COMPUTED_VALUE"""),4.0)</f>
        <v>4</v>
      </c>
      <c r="E451" s="2" t="str">
        <f>IFERROR(__xludf.DUMMYFUNCTION("""COMPUTED_VALUE"""),"-")</f>
        <v>-</v>
      </c>
    </row>
    <row r="452">
      <c r="A452" s="2" t="str">
        <f>IFERROR(__xludf.DUMMYFUNCTION("""COMPUTED_VALUE"""),"O-21487-00")</f>
        <v>O-21487-00</v>
      </c>
      <c r="B452" s="2" t="str">
        <f>IFERROR(__xludf.DUMMYFUNCTION("""COMPUTED_VALUE"""),"Colamark - Bracket/Dudukan Monitor Ukuran 3x100x410 mm; Custom/Lokal; -; 1 pc")</f>
        <v>Colamark - Bracket/Dudukan Monitor Ukuran 3x100x410 mm; Custom/Lokal; -; 1 pc</v>
      </c>
      <c r="C452" s="2" t="str">
        <f>IFERROR(__xludf.DUMMYFUNCTION("""COMPUTED_VALUE"""),"pc")</f>
        <v>pc</v>
      </c>
      <c r="D452" s="2">
        <f>IFERROR(__xludf.DUMMYFUNCTION("""COMPUTED_VALUE"""),1.0)</f>
        <v>1</v>
      </c>
      <c r="E452" s="2" t="str">
        <f>IFERROR(__xludf.DUMMYFUNCTION("""COMPUTED_VALUE"""),"-")</f>
        <v>-</v>
      </c>
    </row>
    <row r="453">
      <c r="A453" s="2" t="str">
        <f>IFERROR(__xludf.DUMMYFUNCTION("""COMPUTED_VALUE"""),"O-21125-00")</f>
        <v>O-21125-00</v>
      </c>
      <c r="B453" s="2" t="str">
        <f>IFERROR(__xludf.DUMMYFUNCTION("""COMPUTED_VALUE"""),"Autoclave Service NA2247AU - O ring 34.52x3.53; Fedegari; CC150171; 1 Pc")</f>
        <v>Autoclave Service NA2247AU - O ring 34.52x3.53; Fedegari; CC150171; 1 Pc</v>
      </c>
      <c r="C453" s="2" t="str">
        <f>IFERROR(__xludf.DUMMYFUNCTION("""COMPUTED_VALUE"""),"pc")</f>
        <v>pc</v>
      </c>
      <c r="D453" s="2">
        <f>IFERROR(__xludf.DUMMYFUNCTION("""COMPUTED_VALUE"""),5.0)</f>
        <v>5</v>
      </c>
      <c r="E453" s="2" t="str">
        <f>IFERROR(__xludf.DUMMYFUNCTION("""COMPUTED_VALUE"""),"I-3-6")</f>
        <v>I-3-6</v>
      </c>
    </row>
    <row r="454">
      <c r="A454" s="2" t="str">
        <f>IFERROR(__xludf.DUMMYFUNCTION("""COMPUTED_VALUE"""),"O-21124-00")</f>
        <v>O-21124-00</v>
      </c>
      <c r="B454" s="2" t="str">
        <f>IFERROR(__xludf.DUMMYFUNCTION("""COMPUTED_VALUE"""),"Autoclave Service NA2247AU - O ring 15.47x3.53; Fedegari; CC150170; 1 Pc")</f>
        <v>Autoclave Service NA2247AU - O ring 15.47x3.53; Fedegari; CC150170; 1 Pc</v>
      </c>
      <c r="C454" s="2" t="str">
        <f>IFERROR(__xludf.DUMMYFUNCTION("""COMPUTED_VALUE"""),"pc")</f>
        <v>pc</v>
      </c>
      <c r="D454" s="2">
        <f>IFERROR(__xludf.DUMMYFUNCTION("""COMPUTED_VALUE"""),5.0)</f>
        <v>5</v>
      </c>
      <c r="E454" s="2" t="str">
        <f>IFERROR(__xludf.DUMMYFUNCTION("""COMPUTED_VALUE"""),"I-3-6")</f>
        <v>I-3-6</v>
      </c>
    </row>
    <row r="455">
      <c r="A455" s="2" t="str">
        <f>IFERROR(__xludf.DUMMYFUNCTION("""COMPUTED_VALUE"""),"O-51157-00")</f>
        <v>O-51157-00</v>
      </c>
      <c r="B455" s="2" t="str">
        <f>IFERROR(__xludf.DUMMYFUNCTION("""COMPUTED_VALUE"""),"General - Fuse Keramik 6A 10x38; -; -; 1 Pc")</f>
        <v>General - Fuse Keramik 6A 10x38; -; -; 1 Pc</v>
      </c>
      <c r="C455" s="2" t="str">
        <f>IFERROR(__xludf.DUMMYFUNCTION("""COMPUTED_VALUE"""),"pc")</f>
        <v>pc</v>
      </c>
      <c r="D455" s="2">
        <f>IFERROR(__xludf.DUMMYFUNCTION("""COMPUTED_VALUE"""),10.0)</f>
        <v>10</v>
      </c>
      <c r="E455" s="2" t="str">
        <f>IFERROR(__xludf.DUMMYFUNCTION("""COMPUTED_VALUE"""),"Box Kennedy")</f>
        <v>Box Kennedy</v>
      </c>
    </row>
    <row r="456">
      <c r="A456" s="2" t="str">
        <f>IFERROR(__xludf.DUMMYFUNCTION("""COMPUTED_VALUE"""),"O-21455-00")</f>
        <v>O-21455-00</v>
      </c>
      <c r="B456" s="2" t="str">
        <f>IFERROR(__xludf.DUMMYFUNCTION("""COMPUTED_VALUE"""),"Washing RAR4 - Ball Valve SS304 Ferrule End Size 3/4 Inch; -; -; 1 Pc")</f>
        <v>Washing RAR4 - Ball Valve SS304 Ferrule End Size 3/4 Inch; -; -; 1 Pc</v>
      </c>
      <c r="C456" s="2" t="str">
        <f>IFERROR(__xludf.DUMMYFUNCTION("""COMPUTED_VALUE"""),"pc")</f>
        <v>pc</v>
      </c>
      <c r="D456" s="2">
        <f>IFERROR(__xludf.DUMMYFUNCTION("""COMPUTED_VALUE"""),2.0)</f>
        <v>2</v>
      </c>
      <c r="E456" s="2" t="str">
        <f>IFERROR(__xludf.DUMMYFUNCTION("""COMPUTED_VALUE"""),"S-2-7")</f>
        <v>S-2-7</v>
      </c>
    </row>
    <row r="457">
      <c r="A457" s="2" t="str">
        <f>IFERROR(__xludf.DUMMYFUNCTION("""COMPUTED_VALUE"""),"P-13706-00")</f>
        <v>P-13706-00</v>
      </c>
      <c r="B457" s="2" t="str">
        <f>IFERROR(__xludf.DUMMYFUNCTION("""COMPUTED_VALUE"""),"Gasket Flange DN65; ; ;")</f>
        <v>Gasket Flange DN65; ; ;</v>
      </c>
      <c r="C457" s="2" t="str">
        <f>IFERROR(__xludf.DUMMYFUNCTION("""COMPUTED_VALUE"""),"pc")</f>
        <v>pc</v>
      </c>
      <c r="D457" s="2">
        <f>IFERROR(__xludf.DUMMYFUNCTION("""COMPUTED_VALUE"""),2.0)</f>
        <v>2</v>
      </c>
      <c r="E457" s="2" t="str">
        <f>IFERROR(__xludf.DUMMYFUNCTION("""COMPUTED_VALUE"""),"M2")</f>
        <v>M2</v>
      </c>
    </row>
    <row r="458">
      <c r="A458" s="2" t="str">
        <f>IFERROR(__xludf.DUMMYFUNCTION("""COMPUTED_VALUE"""),"O-14360-00")</f>
        <v>O-14360-00</v>
      </c>
      <c r="B458" s="2" t="str">
        <f>IFERROR(__xludf.DUMMYFUNCTION("""COMPUTED_VALUE"""),"General - Membran Valve EPDM PTFE DN 40; Gemu; 600 40M5E-221; 1 Pc")</f>
        <v>General - Membran Valve EPDM PTFE DN 40; Gemu; 600 40M5E-221; 1 Pc</v>
      </c>
      <c r="C458" s="2" t="str">
        <f>IFERROR(__xludf.DUMMYFUNCTION("""COMPUTED_VALUE"""),"pc")</f>
        <v>pc</v>
      </c>
      <c r="D458" s="2">
        <f>IFERROR(__xludf.DUMMYFUNCTION("""COMPUTED_VALUE"""),6.0)</f>
        <v>6</v>
      </c>
      <c r="E458" s="2" t="str">
        <f>IFERROR(__xludf.DUMMYFUNCTION("""COMPUTED_VALUE"""),"F-1")</f>
        <v>F-1</v>
      </c>
    </row>
    <row r="459">
      <c r="A459" s="2" t="str">
        <f>IFERROR(__xludf.DUMMYFUNCTION("""COMPUTED_VALUE"""),"O-13522-00")</f>
        <v>O-13522-00</v>
      </c>
      <c r="B459" s="2" t="str">
        <f>IFERROR(__xludf.DUMMYFUNCTION("""COMPUTED_VALUE"""),"General - Gasket 2"" EPDM; No Brand; -; 1 pcs")</f>
        <v>General - Gasket 2" EPDM; No Brand; -; 1 pcs</v>
      </c>
      <c r="C459" s="2" t="str">
        <f>IFERROR(__xludf.DUMMYFUNCTION("""COMPUTED_VALUE"""),"pc")</f>
        <v>pc</v>
      </c>
      <c r="D459" s="2">
        <f>IFERROR(__xludf.DUMMYFUNCTION("""COMPUTED_VALUE"""),30.0)</f>
        <v>30</v>
      </c>
      <c r="E459" s="2" t="str">
        <f>IFERROR(__xludf.DUMMYFUNCTION("""COMPUTED_VALUE"""),"M3")</f>
        <v>M3</v>
      </c>
    </row>
    <row r="460">
      <c r="A460" s="2" t="str">
        <f>IFERROR(__xludf.DUMMYFUNCTION("""COMPUTED_VALUE"""),"P-12819-00")</f>
        <v>P-12819-00</v>
      </c>
      <c r="B460" s="2" t="str">
        <f>IFERROR(__xludf.DUMMYFUNCTION("""COMPUTED_VALUE"""),"General - Socket, PVC AW, 1/2""; Rucika; -; 1 pcs")</f>
        <v>General - Socket, PVC AW, 1/2"; Rucika; -; 1 pcs</v>
      </c>
      <c r="C460" s="2" t="str">
        <f>IFERROR(__xludf.DUMMYFUNCTION("""COMPUTED_VALUE"""),"pc")</f>
        <v>pc</v>
      </c>
      <c r="D460" s="2">
        <f>IFERROR(__xludf.DUMMYFUNCTION("""COMPUTED_VALUE"""),5.0)</f>
        <v>5</v>
      </c>
      <c r="E460" s="2" t="str">
        <f>IFERROR(__xludf.DUMMYFUNCTION("""COMPUTED_VALUE"""),"Klaris")</f>
        <v>Klaris</v>
      </c>
    </row>
    <row r="461">
      <c r="A461" s="2" t="str">
        <f>IFERROR(__xludf.DUMMYFUNCTION("""COMPUTED_VALUE"""),"P-20361-00")</f>
        <v>P-20361-00</v>
      </c>
      <c r="B461" s="2" t="str">
        <f>IFERROR(__xludf.DUMMYFUNCTION("""COMPUTED_VALUE"""),"General - Ball Valve PVC 1 Inch Gagang Stainless; No Brand; -; 1 pc")</f>
        <v>General - Ball Valve PVC 1 Inch Gagang Stainless; No Brand; -; 1 pc</v>
      </c>
      <c r="C461" s="2" t="str">
        <f>IFERROR(__xludf.DUMMYFUNCTION("""COMPUTED_VALUE"""),"pc")</f>
        <v>pc</v>
      </c>
      <c r="D461" s="2">
        <f>IFERROR(__xludf.DUMMYFUNCTION("""COMPUTED_VALUE"""),4.0)</f>
        <v>4</v>
      </c>
      <c r="E461" s="2" t="str">
        <f>IFERROR(__xludf.DUMMYFUNCTION("""COMPUTED_VALUE"""),"-")</f>
        <v>-</v>
      </c>
    </row>
    <row r="462">
      <c r="A462" s="2" t="str">
        <f>IFERROR(__xludf.DUMMYFUNCTION("""COMPUTED_VALUE"""),"P-12266-00")</f>
        <v>P-12266-00</v>
      </c>
      <c r="B462" s="2" t="str">
        <f>IFERROR(__xludf.DUMMYFUNCTION("""COMPUTED_VALUE"""),"General - Push-in Fitting, QS-1/2-10; Festo; 190646; 1 pcs")</f>
        <v>General - Push-in Fitting, QS-1/2-10; Festo; 190646; 1 pcs</v>
      </c>
      <c r="C462" s="2" t="str">
        <f>IFERROR(__xludf.DUMMYFUNCTION("""COMPUTED_VALUE"""),"pc")</f>
        <v>pc</v>
      </c>
      <c r="D462" s="2">
        <f>IFERROR(__xludf.DUMMYFUNCTION("""COMPUTED_VALUE"""),14.0)</f>
        <v>14</v>
      </c>
      <c r="E462" s="2" t="str">
        <f>IFERROR(__xludf.DUMMYFUNCTION("""COMPUTED_VALUE"""),"M-3")</f>
        <v>M-3</v>
      </c>
    </row>
    <row r="463">
      <c r="A463" s="2" t="str">
        <f>IFERROR(__xludf.DUMMYFUNCTION("""COMPUTED_VALUE"""),"O-17209-00")</f>
        <v>O-17209-00</v>
      </c>
      <c r="B463" s="2" t="str">
        <f>IFERROR(__xludf.DUMMYFUNCTION("""COMPUTED_VALUE"""),"General - Oring Silicone Merah 20 x 15.5 x 2 mm; -; -; 1 Pc")</f>
        <v>General - Oring Silicone Merah 20 x 15.5 x 2 mm; -; -; 1 Pc</v>
      </c>
      <c r="C463" s="2" t="str">
        <f>IFERROR(__xludf.DUMMYFUNCTION("""COMPUTED_VALUE"""),"pc")</f>
        <v>pc</v>
      </c>
      <c r="D463" s="2">
        <f>IFERROR(__xludf.DUMMYFUNCTION("""COMPUTED_VALUE"""),7.0)</f>
        <v>7</v>
      </c>
      <c r="E463" s="2" t="str">
        <f>IFERROR(__xludf.DUMMYFUNCTION("""COMPUTED_VALUE"""),"E-3-8A")</f>
        <v>E-3-8A</v>
      </c>
    </row>
    <row r="464">
      <c r="A464" s="2" t="str">
        <f>IFERROR(__xludf.DUMMYFUNCTION("""COMPUTED_VALUE"""),"O-18893-00")</f>
        <v>O-18893-00</v>
      </c>
      <c r="B464" s="2" t="str">
        <f>IFERROR(__xludf.DUMMYFUNCTION("""COMPUTED_VALUE"""),"Freeze Dryer MBE1207 - MV1250 Angle Valve 1x3/4 Inch-12UNF 1x3/8 Inch ODF; BITZER; EB15-00755; 1 pc")</f>
        <v>Freeze Dryer MBE1207 - MV1250 Angle Valve 1x3/4 Inch-12UNF 1x3/8 Inch ODF; BITZER; EB15-00755; 1 pc</v>
      </c>
      <c r="C464" s="2" t="str">
        <f>IFERROR(__xludf.DUMMYFUNCTION("""COMPUTED_VALUE"""),"pc")</f>
        <v>pc</v>
      </c>
      <c r="D464" s="2">
        <f>IFERROR(__xludf.DUMMYFUNCTION("""COMPUTED_VALUE"""),2.0)</f>
        <v>2</v>
      </c>
      <c r="E464" s="2" t="str">
        <f>IFERROR(__xludf.DUMMYFUNCTION("""COMPUTED_VALUE"""),"D-1-11A")</f>
        <v>D-1-11A</v>
      </c>
    </row>
    <row r="465">
      <c r="A465" s="2" t="str">
        <f>IFERROR(__xludf.DUMMYFUNCTION("""COMPUTED_VALUE"""),"P-52640-00")</f>
        <v>P-52640-00</v>
      </c>
      <c r="B465" s="2" t="str">
        <f>IFERROR(__xludf.DUMMYFUNCTION("""COMPUTED_VALUE"""),"General - Lampu Bayonet 5 W 220 V; No Brand; -; 1 unt")</f>
        <v>General - Lampu Bayonet 5 W 220 V; No Brand; -; 1 unt</v>
      </c>
      <c r="C465" s="2" t="str">
        <f>IFERROR(__xludf.DUMMYFUNCTION("""COMPUTED_VALUE"""),"pc")</f>
        <v>pc</v>
      </c>
      <c r="D465" s="2">
        <f>IFERROR(__xludf.DUMMYFUNCTION("""COMPUTED_VALUE"""),11.0)</f>
        <v>11</v>
      </c>
      <c r="E465" s="2" t="str">
        <f>IFERROR(__xludf.DUMMYFUNCTION("""COMPUTED_VALUE"""),"O2")</f>
        <v>O2</v>
      </c>
    </row>
    <row r="466">
      <c r="A466" s="2" t="str">
        <f>IFERROR(__xludf.DUMMYFUNCTION("""COMPUTED_VALUE"""),"O-51677-00")</f>
        <v>O-51677-00</v>
      </c>
      <c r="B466" s="2" t="str">
        <f>IFERROR(__xludf.DUMMYFUNCTION("""COMPUTED_VALUE"""),"General - Fork Sensor type WFL80-60B416; SICK; 6036833; 1 Pc")</f>
        <v>General - Fork Sensor type WFL80-60B416; SICK; 6036833; 1 Pc</v>
      </c>
      <c r="C466" s="2" t="str">
        <f>IFERROR(__xludf.DUMMYFUNCTION("""COMPUTED_VALUE"""),"unt")</f>
        <v>unt</v>
      </c>
      <c r="D466" s="2">
        <f>IFERROR(__xludf.DUMMYFUNCTION("""COMPUTED_VALUE"""),1.0)</f>
        <v>1</v>
      </c>
      <c r="E466" s="2" t="str">
        <f>IFERROR(__xludf.DUMMYFUNCTION("""COMPUTED_VALUE"""),"A-3-3B")</f>
        <v>A-3-3B</v>
      </c>
    </row>
    <row r="467">
      <c r="A467" s="2" t="str">
        <f>IFERROR(__xludf.DUMMYFUNCTION("""COMPUTED_VALUE"""),"O-15820-00")</f>
        <v>O-15820-00</v>
      </c>
      <c r="B467" s="2" t="str">
        <f>IFERROR(__xludf.DUMMYFUNCTION("""COMPUTED_VALUE"""),"General - MCB C60H 1 phase 1 pole 2 A; Schneider; -; 1 Pc")</f>
        <v>General - MCB C60H 1 phase 1 pole 2 A; Schneider; -; 1 Pc</v>
      </c>
      <c r="C467" s="2" t="str">
        <f>IFERROR(__xludf.DUMMYFUNCTION("""COMPUTED_VALUE"""),"pc")</f>
        <v>pc</v>
      </c>
      <c r="D467" s="2">
        <f>IFERROR(__xludf.DUMMYFUNCTION("""COMPUTED_VALUE"""),4.0)</f>
        <v>4</v>
      </c>
      <c r="E467" s="2" t="str">
        <f>IFERROR(__xludf.DUMMYFUNCTION("""COMPUTED_VALUE"""),"S-3-1")</f>
        <v>S-3-1</v>
      </c>
    </row>
    <row r="468">
      <c r="A468" s="2" t="str">
        <f>IFERROR(__xludf.DUMMYFUNCTION("""COMPUTED_VALUE"""),"P-11167-00")</f>
        <v>P-11167-00</v>
      </c>
      <c r="B468" s="2" t="str">
        <f>IFERROR(__xludf.DUMMYFUNCTION("""COMPUTED_VALUE"""),"General - Push-in Fitting, QS-1/4-10; Festo; 153007; 1 pcs")</f>
        <v>General - Push-in Fitting, QS-1/4-10; Festo; 153007; 1 pcs</v>
      </c>
      <c r="C468" s="2" t="str">
        <f>IFERROR(__xludf.DUMMYFUNCTION("""COMPUTED_VALUE"""),"pc")</f>
        <v>pc</v>
      </c>
      <c r="D468" s="2">
        <f>IFERROR(__xludf.DUMMYFUNCTION("""COMPUTED_VALUE"""),10.0)</f>
        <v>10</v>
      </c>
      <c r="E468" s="2" t="str">
        <f>IFERROR(__xludf.DUMMYFUNCTION("""COMPUTED_VALUE"""),"R-4-6")</f>
        <v>R-4-6</v>
      </c>
    </row>
    <row r="469">
      <c r="A469" s="2" t="str">
        <f>IFERROR(__xludf.DUMMYFUNCTION("""COMPUTED_VALUE"""),"O-53011-00")</f>
        <v>O-53011-00</v>
      </c>
      <c r="B469" s="2" t="str">
        <f>IFERROR(__xludf.DUMMYFUNCTION("""COMPUTED_VALUE"""),"General - Timer Digital LE8B-BF; Autonics; A01761; 1 Pc")</f>
        <v>General - Timer Digital LE8B-BF; Autonics; A01761; 1 Pc</v>
      </c>
      <c r="C469" s="2" t="str">
        <f>IFERROR(__xludf.DUMMYFUNCTION("""COMPUTED_VALUE"""),"pc")</f>
        <v>pc</v>
      </c>
      <c r="D469" s="2">
        <f>IFERROR(__xludf.DUMMYFUNCTION("""COMPUTED_VALUE"""),2.0)</f>
        <v>2</v>
      </c>
      <c r="E469" s="2" t="str">
        <f>IFERROR(__xludf.DUMMYFUNCTION("""COMPUTED_VALUE"""),"F-3-4D")</f>
        <v>F-3-4D</v>
      </c>
    </row>
    <row r="470">
      <c r="A470" s="2" t="str">
        <f>IFERROR(__xludf.DUMMYFUNCTION("""COMPUTED_VALUE"""),"P-54222-00")</f>
        <v>P-54222-00</v>
      </c>
      <c r="B470" s="2" t="str">
        <f>IFERROR(__xludf.DUMMYFUNCTION("""COMPUTED_VALUE"""),"General - 3x160-690 V analog monitoring relay phase failure and sequence 3 x 160...690 V 50...60 Hz AC 1 changeover contact screw terminal; Siemens; 3UG4512-1AR20; 1 pcs")</f>
        <v>General - 3x160-690 V analog monitoring relay phase failure and sequence 3 x 160...690 V 50...60 Hz AC 1 changeover contact screw terminal; Siemens; 3UG4512-1AR20; 1 pcs</v>
      </c>
      <c r="C470" s="2" t="str">
        <f>IFERROR(__xludf.DUMMYFUNCTION("""COMPUTED_VALUE"""),"pc")</f>
        <v>pc</v>
      </c>
      <c r="D470" s="2">
        <f>IFERROR(__xludf.DUMMYFUNCTION("""COMPUTED_VALUE"""),2.0)</f>
        <v>2</v>
      </c>
      <c r="E470" s="2" t="str">
        <f>IFERROR(__xludf.DUMMYFUNCTION("""COMPUTED_VALUE"""),"L3")</f>
        <v>L3</v>
      </c>
    </row>
    <row r="471">
      <c r="A471" s="2" t="str">
        <f>IFERROR(__xludf.DUMMYFUNCTION("""COMPUTED_VALUE"""),"O-52326-00")</f>
        <v>O-52326-00</v>
      </c>
      <c r="B471" s="2" t="str">
        <f>IFERROR(__xludf.DUMMYFUNCTION("""COMPUTED_VALUE"""),"Marchesini MA155 - Power Supply cV5_DC A5E30947477-H3; Siemens; ;")</f>
        <v>Marchesini MA155 - Power Supply cV5_DC A5E30947477-H3; Siemens; ;</v>
      </c>
      <c r="C471" s="2" t="str">
        <f>IFERROR(__xludf.DUMMYFUNCTION("""COMPUTED_VALUE"""),"pc")</f>
        <v>pc</v>
      </c>
      <c r="D471" s="2">
        <f>IFERROR(__xludf.DUMMYFUNCTION("""COMPUTED_VALUE"""),1.0)</f>
        <v>1</v>
      </c>
      <c r="E471" s="2" t="str">
        <f>IFERROR(__xludf.DUMMYFUNCTION("""COMPUTED_VALUE"""),"G-2")</f>
        <v>G-2</v>
      </c>
    </row>
    <row r="472">
      <c r="A472" s="2" t="str">
        <f>IFERROR(__xludf.DUMMYFUNCTION("""COMPUTED_VALUE"""),"O-51768-00")</f>
        <v>O-51768-00</v>
      </c>
      <c r="B472" s="2" t="str">
        <f>IFERROR(__xludf.DUMMYFUNCTION("""COMPUTED_VALUE"""),"WAGO 750-513 2-CHANNEL RELAY OUTPUT MODULE STD PACK; ; ;")</f>
        <v>WAGO 750-513 2-CHANNEL RELAY OUTPUT MODULE STD PACK; ; ;</v>
      </c>
      <c r="C472" s="2" t="str">
        <f>IFERROR(__xludf.DUMMYFUNCTION("""COMPUTED_VALUE"""),"unt")</f>
        <v>unt</v>
      </c>
      <c r="D472" s="2">
        <f>IFERROR(__xludf.DUMMYFUNCTION("""COMPUTED_VALUE"""),1.0)</f>
        <v>1</v>
      </c>
      <c r="E472" s="2" t="str">
        <f>IFERROR(__xludf.DUMMYFUNCTION("""COMPUTED_VALUE"""),"B-3-5")</f>
        <v>B-3-5</v>
      </c>
    </row>
    <row r="473">
      <c r="A473" s="2" t="str">
        <f>IFERROR(__xludf.DUMMYFUNCTION("""COMPUTED_VALUE"""),"O-17535-00")</f>
        <v>O-17535-00</v>
      </c>
      <c r="B473" s="2" t="str">
        <f>IFERROR(__xludf.DUMMYFUNCTION("""COMPUTED_VALUE"""),"General - Hepa-Filter; Miele; 10083920; 1 Pc")</f>
        <v>General - Hepa-Filter; Miele; 10083920; 1 Pc</v>
      </c>
      <c r="C473" s="2" t="str">
        <f>IFERROR(__xludf.DUMMYFUNCTION("""COMPUTED_VALUE"""),"pc")</f>
        <v>pc</v>
      </c>
      <c r="D473" s="2">
        <f>IFERROR(__xludf.DUMMYFUNCTION("""COMPUTED_VALUE"""),1.0)</f>
        <v>1</v>
      </c>
      <c r="E473" s="2" t="str">
        <f>IFERROR(__xludf.DUMMYFUNCTION("""COMPUTED_VALUE"""),"F-2-6")</f>
        <v>F-2-6</v>
      </c>
    </row>
    <row r="474">
      <c r="A474" s="2" t="str">
        <f>IFERROR(__xludf.DUMMYFUNCTION("""COMPUTED_VALUE"""),"P-51560-00")</f>
        <v>P-51560-00</v>
      </c>
      <c r="B474" s="2" t="str">
        <f>IFERROR(__xludf.DUMMYFUNCTION("""COMPUTED_VALUE"""),"General - Lampu TL T5 28W White; Philips; -; 1 unt")</f>
        <v>General - Lampu TL T5 28W White; Philips; -; 1 unt</v>
      </c>
      <c r="C474" s="2" t="str">
        <f>IFERROR(__xludf.DUMMYFUNCTION("""COMPUTED_VALUE"""),"pc")</f>
        <v>pc</v>
      </c>
      <c r="D474" s="2">
        <f>IFERROR(__xludf.DUMMYFUNCTION("""COMPUTED_VALUE"""),10.0)</f>
        <v>10</v>
      </c>
      <c r="E474" s="2" t="str">
        <f>IFERROR(__xludf.DUMMYFUNCTION("""COMPUTED_VALUE"""),"O3")</f>
        <v>O3</v>
      </c>
    </row>
    <row r="475">
      <c r="A475" s="2" t="str">
        <f>IFERROR(__xludf.DUMMYFUNCTION("""COMPUTED_VALUE"""),"P-50505-00")</f>
        <v>P-50505-00</v>
      </c>
      <c r="B475" s="2" t="str">
        <f>IFERROR(__xludf.DUMMYFUNCTION("""COMPUTED_VALUE"""),"General - Saklar Seri 250 V; Clipsal; -; 1 pc")</f>
        <v>General - Saklar Seri 250 V; Clipsal; -; 1 pc</v>
      </c>
      <c r="C475" s="2" t="str">
        <f>IFERROR(__xludf.DUMMYFUNCTION("""COMPUTED_VALUE"""),"pc")</f>
        <v>pc</v>
      </c>
      <c r="D475" s="2">
        <f>IFERROR(__xludf.DUMMYFUNCTION("""COMPUTED_VALUE"""),11.0)</f>
        <v>11</v>
      </c>
      <c r="E475" s="2" t="str">
        <f>IFERROR(__xludf.DUMMYFUNCTION("""COMPUTED_VALUE"""),"O2")</f>
        <v>O2</v>
      </c>
    </row>
    <row r="476">
      <c r="A476" s="2" t="str">
        <f>IFERROR(__xludf.DUMMYFUNCTION("""COMPUTED_VALUE"""),"O-20230-00")</f>
        <v>O-20230-00</v>
      </c>
      <c r="B476" s="2" t="str">
        <f>IFERROR(__xludf.DUMMYFUNCTION("""COMPUTED_VALUE"""),"Washing RAV4 - Black Arm Mat. SUS 304; Custom/Lokal; -; 1 Pc")</f>
        <v>Washing RAV4 - Black Arm Mat. SUS 304; Custom/Lokal; -; 1 Pc</v>
      </c>
      <c r="C476" s="2" t="str">
        <f>IFERROR(__xludf.DUMMYFUNCTION("""COMPUTED_VALUE"""),"pc")</f>
        <v>pc</v>
      </c>
      <c r="D476" s="2">
        <f>IFERROR(__xludf.DUMMYFUNCTION("""COMPUTED_VALUE"""),2.0)</f>
        <v>2</v>
      </c>
      <c r="E476" s="2"/>
    </row>
    <row r="477">
      <c r="A477" s="2" t="str">
        <f>IFERROR(__xludf.DUMMYFUNCTION("""COMPUTED_VALUE"""),"P-19784-00")</f>
        <v>P-19784-00</v>
      </c>
      <c r="B477" s="2" t="str">
        <f>IFERROR(__xludf.DUMMYFUNCTION("""COMPUTED_VALUE"""),"General - Male Connector M6 x 1/4inch NPT SS 316; Lokal; MC-NPT4-316; 1 pc")</f>
        <v>General - Male Connector M6 x 1/4inch NPT SS 316; Lokal; MC-NPT4-316; 1 pc</v>
      </c>
      <c r="C477" s="2" t="str">
        <f>IFERROR(__xludf.DUMMYFUNCTION("""COMPUTED_VALUE"""),"pc")</f>
        <v>pc</v>
      </c>
      <c r="D477" s="2">
        <f>IFERROR(__xludf.DUMMYFUNCTION("""COMPUTED_VALUE"""),6.0)</f>
        <v>6</v>
      </c>
      <c r="E477" s="2" t="str">
        <f>IFERROR(__xludf.DUMMYFUNCTION("""COMPUTED_VALUE"""),"M-4")</f>
        <v>M-4</v>
      </c>
    </row>
    <row r="478">
      <c r="A478" s="2" t="str">
        <f>IFERROR(__xludf.DUMMYFUNCTION("""COMPUTED_VALUE"""),"P-17026-00")</f>
        <v>P-17026-00</v>
      </c>
      <c r="B478" s="2" t="str">
        <f>IFERROR(__xludf.DUMMYFUNCTION("""COMPUTED_VALUE"""),"Cover Gasket Set DN15-25MM; ; ;")</f>
        <v>Cover Gasket Set DN15-25MM; ; ;</v>
      </c>
      <c r="C478" s="2" t="str">
        <f>IFERROR(__xludf.DUMMYFUNCTION("""COMPUTED_VALUE"""),"unt")</f>
        <v>unt</v>
      </c>
      <c r="D478" s="2">
        <f>IFERROR(__xludf.DUMMYFUNCTION("""COMPUTED_VALUE"""),8.0)</f>
        <v>8</v>
      </c>
      <c r="E478" s="2" t="str">
        <f>IFERROR(__xludf.DUMMYFUNCTION("""COMPUTED_VALUE"""),"M-2")</f>
        <v>M-2</v>
      </c>
    </row>
    <row r="479">
      <c r="A479" s="2" t="str">
        <f>IFERROR(__xludf.DUMMYFUNCTION("""COMPUTED_VALUE"""),"O-14022-00")</f>
        <v>O-14022-00</v>
      </c>
      <c r="B479" s="2" t="str">
        <f>IFERROR(__xludf.DUMMYFUNCTION("""COMPUTED_VALUE"""),"General - Front Panel Valve, SV-3-M5; Festo; 6817; 1 pcs")</f>
        <v>General - Front Panel Valve, SV-3-M5; Festo; 6817; 1 pcs</v>
      </c>
      <c r="C479" s="2" t="str">
        <f>IFERROR(__xludf.DUMMYFUNCTION("""COMPUTED_VALUE"""),"pc")</f>
        <v>pc</v>
      </c>
      <c r="D479" s="2">
        <f>IFERROR(__xludf.DUMMYFUNCTION("""COMPUTED_VALUE"""),1.0)</f>
        <v>1</v>
      </c>
      <c r="E479" s="2"/>
    </row>
    <row r="480">
      <c r="A480" s="2" t="str">
        <f>IFERROR(__xludf.DUMMYFUNCTION("""COMPUTED_VALUE"""),"P-52369-00")</f>
        <v>P-52369-00</v>
      </c>
      <c r="B480" s="2" t="str">
        <f>IFERROR(__xludf.DUMMYFUNCTION("""COMPUTED_VALUE"""),"HVAC - Micaflex MF-PFC 100Pa, 24VAC/20-23 VDC; Micatrone; -; 1 pc")</f>
        <v>HVAC - Micaflex MF-PFC 100Pa, 24VAC/20-23 VDC; Micatrone; -; 1 pc</v>
      </c>
      <c r="C480" s="2" t="str">
        <f>IFERROR(__xludf.DUMMYFUNCTION("""COMPUTED_VALUE"""),"unt")</f>
        <v>unt</v>
      </c>
      <c r="D480" s="2">
        <f>IFERROR(__xludf.DUMMYFUNCTION("""COMPUTED_VALUE"""),3.0)</f>
        <v>3</v>
      </c>
      <c r="E480" s="2" t="str">
        <f>IFERROR(__xludf.DUMMYFUNCTION("""COMPUTED_VALUE"""),"L4")</f>
        <v>L4</v>
      </c>
    </row>
    <row r="481">
      <c r="A481" s="2" t="str">
        <f>IFERROR(__xludf.DUMMYFUNCTION("""COMPUTED_VALUE"""),"Q-10128-00")</f>
        <v>Q-10128-00</v>
      </c>
      <c r="B481" s="2" t="str">
        <f>IFERROR(__xludf.DUMMYFUNCTION("""COMPUTED_VALUE"""),"Thinner;Impala;;pack size per can")</f>
        <v>Thinner;Impala;;pack size per can</v>
      </c>
      <c r="C481" s="2" t="str">
        <f>IFERROR(__xludf.DUMMYFUNCTION("""COMPUTED_VALUE"""),"pc")</f>
        <v>pc</v>
      </c>
      <c r="D481" s="2">
        <f>IFERROR(__xludf.DUMMYFUNCTION("""COMPUTED_VALUE"""),3.0)</f>
        <v>3</v>
      </c>
      <c r="E481" s="2" t="str">
        <f>IFERROR(__xludf.DUMMYFUNCTION("""COMPUTED_VALUE"""),"Flammable")</f>
        <v>Flammable</v>
      </c>
    </row>
    <row r="482">
      <c r="A482" s="2" t="str">
        <f>IFERROR(__xludf.DUMMYFUNCTION("""COMPUTED_VALUE"""),"O-16980-00")</f>
        <v>O-16980-00</v>
      </c>
      <c r="B482" s="2" t="str">
        <f>IFERROR(__xludf.DUMMYFUNCTION("""COMPUTED_VALUE"""),"General - Diaphragm 40 mm ER Grade EPDM; Saunders; DA040ER M4; 1 Pc")</f>
        <v>General - Diaphragm 40 mm ER Grade EPDM; Saunders; DA040ER M4; 1 Pc</v>
      </c>
      <c r="C482" s="2" t="str">
        <f>IFERROR(__xludf.DUMMYFUNCTION("""COMPUTED_VALUE"""),"pc")</f>
        <v>pc</v>
      </c>
      <c r="D482" s="2">
        <f>IFERROR(__xludf.DUMMYFUNCTION("""COMPUTED_VALUE"""),18.0)</f>
        <v>18</v>
      </c>
      <c r="E482" s="2" t="str">
        <f>IFERROR(__xludf.DUMMYFUNCTION("""COMPUTED_VALUE"""),"D3")</f>
        <v>D3</v>
      </c>
    </row>
    <row r="483">
      <c r="A483" s="2" t="str">
        <f>IFERROR(__xludf.DUMMYFUNCTION("""COMPUTED_VALUE"""),"O-20496-00")</f>
        <v>O-20496-00</v>
      </c>
      <c r="B483" s="2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483" s="2" t="str">
        <f>IFERROR(__xludf.DUMMYFUNCTION("""COMPUTED_VALUE"""),"pc")</f>
        <v>pc</v>
      </c>
      <c r="D483" s="2">
        <f>IFERROR(__xludf.DUMMYFUNCTION("""COMPUTED_VALUE"""),6.0)</f>
        <v>6</v>
      </c>
      <c r="E483" s="2" t="str">
        <f>IFERROR(__xludf.DUMMYFUNCTION("""COMPUTED_VALUE"""),"R-4-4")</f>
        <v>R-4-4</v>
      </c>
    </row>
    <row r="484">
      <c r="A484" s="2" t="str">
        <f>IFERROR(__xludf.DUMMYFUNCTION("""COMPUTED_VALUE"""),"P-17361-00")</f>
        <v>P-17361-00</v>
      </c>
      <c r="B484" s="2" t="str">
        <f>IFERROR(__xludf.DUMMYFUNCTION("""COMPUTED_VALUE"""),"General - O-ring EPDM 15 x 9 x 3 mm; No Brand; -; 1 pc")</f>
        <v>General - O-ring EPDM 15 x 9 x 3 mm; No Brand; -; 1 pc</v>
      </c>
      <c r="C484" s="2" t="str">
        <f>IFERROR(__xludf.DUMMYFUNCTION("""COMPUTED_VALUE"""),"pc")</f>
        <v>pc</v>
      </c>
      <c r="D484" s="2">
        <f>IFERROR(__xludf.DUMMYFUNCTION("""COMPUTED_VALUE"""),20.0)</f>
        <v>20</v>
      </c>
      <c r="E484" s="2" t="str">
        <f>IFERROR(__xludf.DUMMYFUNCTION("""COMPUTED_VALUE"""),"E3")</f>
        <v>E3</v>
      </c>
    </row>
    <row r="485">
      <c r="A485" s="2" t="str">
        <f>IFERROR(__xludf.DUMMYFUNCTION("""COMPUTED_VALUE"""),"O-16757-00")</f>
        <v>O-16757-00</v>
      </c>
      <c r="B485" s="2" t="str">
        <f>IFERROR(__xludf.DUMMYFUNCTION("""COMPUTED_VALUE"""),"Capping VCM200 - Coupling  MISUMI P/N : CPJ30-BL-10-10 pc")</f>
        <v>Capping VCM200 - Coupling  MISUMI P/N : CPJ30-BL-10-10 pc</v>
      </c>
      <c r="C485" s="2" t="str">
        <f>IFERROR(__xludf.DUMMYFUNCTION("""COMPUTED_VALUE"""),"pc")</f>
        <v>pc</v>
      </c>
      <c r="D485" s="2">
        <f>IFERROR(__xludf.DUMMYFUNCTION("""COMPUTED_VALUE"""),1.0)</f>
        <v>1</v>
      </c>
      <c r="E485" s="2" t="str">
        <f>IFERROR(__xludf.DUMMYFUNCTION("""COMPUTED_VALUE"""),"A-1-3B")</f>
        <v>A-1-3B</v>
      </c>
    </row>
    <row r="486">
      <c r="A486" s="2" t="str">
        <f>IFERROR(__xludf.DUMMYFUNCTION("""COMPUTED_VALUE"""),"P-50140-00")</f>
        <v>P-50140-00</v>
      </c>
      <c r="B486" s="2" t="str">
        <f>IFERROR(__xludf.DUMMYFUNCTION("""COMPUTED_VALUE"""),"General - Accu NP9-12, Baterai Kering, 12 V, 9 Ah; Yuasa; -; 1 pcs")</f>
        <v>General - Accu NP9-12, Baterai Kering, 12 V, 9 Ah; Yuasa; -; 1 pcs</v>
      </c>
      <c r="C486" s="2" t="str">
        <f>IFERROR(__xludf.DUMMYFUNCTION("""COMPUTED_VALUE"""),"pc")</f>
        <v>pc</v>
      </c>
      <c r="D486" s="2">
        <f>IFERROR(__xludf.DUMMYFUNCTION("""COMPUTED_VALUE"""),10.0)</f>
        <v>10</v>
      </c>
      <c r="E486" s="2" t="str">
        <f>IFERROR(__xludf.DUMMYFUNCTION("""COMPUTED_VALUE"""),"M3")</f>
        <v>M3</v>
      </c>
    </row>
    <row r="487">
      <c r="A487" s="2" t="str">
        <f>IFERROR(__xludf.DUMMYFUNCTION("""COMPUTED_VALUE"""),"P-54354-00")</f>
        <v>P-54354-00</v>
      </c>
      <c r="B487" s="2" t="str">
        <f>IFERROR(__xludf.DUMMYFUNCTION("""COMPUTED_VALUE"""),"General - UX52 Variable Speed Controller 90W; Houle; -; 1 pc")</f>
        <v>General - UX52 Variable Speed Controller 90W; Houle; -; 1 pc</v>
      </c>
      <c r="C487" s="2" t="str">
        <f>IFERROR(__xludf.DUMMYFUNCTION("""COMPUTED_VALUE"""),"pc")</f>
        <v>pc</v>
      </c>
      <c r="D487" s="2">
        <f>IFERROR(__xludf.DUMMYFUNCTION("""COMPUTED_VALUE"""),1.0)</f>
        <v>1</v>
      </c>
      <c r="E487" s="2" t="str">
        <f>IFERROR(__xludf.DUMMYFUNCTION("""COMPUTED_VALUE"""),"G-3")</f>
        <v>G-3</v>
      </c>
    </row>
    <row r="488">
      <c r="A488" s="2" t="str">
        <f>IFERROR(__xludf.DUMMYFUNCTION("""COMPUTED_VALUE"""),"P-50091-00")</f>
        <v>P-50091-00</v>
      </c>
      <c r="B488" s="2" t="str">
        <f>IFERROR(__xludf.DUMMYFUNCTION("""COMPUTED_VALUE"""),"General - Contactor 25A, 220V Product Reference LC1D25M7; Schneider; -; 1 unit")</f>
        <v>General - Contactor 25A, 220V Product Reference LC1D25M7; Schneider; -; 1 unit</v>
      </c>
      <c r="C488" s="2" t="str">
        <f>IFERROR(__xludf.DUMMYFUNCTION("""COMPUTED_VALUE"""),"pc")</f>
        <v>pc</v>
      </c>
      <c r="D488" s="2">
        <f>IFERROR(__xludf.DUMMYFUNCTION("""COMPUTED_VALUE"""),4.0)</f>
        <v>4</v>
      </c>
      <c r="E488" s="2" t="str">
        <f>IFERROR(__xludf.DUMMYFUNCTION("""COMPUTED_VALUE"""),"M-4")</f>
        <v>M-4</v>
      </c>
    </row>
    <row r="489">
      <c r="A489" s="2" t="str">
        <f>IFERROR(__xludf.DUMMYFUNCTION("""COMPUTED_VALUE"""),"P-12300-00")</f>
        <v>P-12300-00</v>
      </c>
      <c r="B489" s="2" t="str">
        <f>IFERROR(__xludf.DUMMYFUNCTION("""COMPUTED_VALUE"""),"General - Push-in L-fitting, QSML-M5-4; Festo; 153333; 1 pcs")</f>
        <v>General - Push-in L-fitting, QSML-M5-4; Festo; 153333; 1 pcs</v>
      </c>
      <c r="C489" s="2" t="str">
        <f>IFERROR(__xludf.DUMMYFUNCTION("""COMPUTED_VALUE"""),"pc")</f>
        <v>pc</v>
      </c>
      <c r="D489" s="2">
        <f>IFERROR(__xludf.DUMMYFUNCTION("""COMPUTED_VALUE"""),8.0)</f>
        <v>8</v>
      </c>
      <c r="E489" s="2" t="str">
        <f>IFERROR(__xludf.DUMMYFUNCTION("""COMPUTED_VALUE"""),"B-2-1C")</f>
        <v>B-2-1C</v>
      </c>
    </row>
    <row r="490">
      <c r="A490" s="2" t="str">
        <f>IFERROR(__xludf.DUMMYFUNCTION("""COMPUTED_VALUE"""),"P-15433-00")</f>
        <v>P-15433-00</v>
      </c>
      <c r="B490" s="2" t="str">
        <f>IFERROR(__xludf.DUMMYFUNCTION("""COMPUTED_VALUE"""),"General - Fitting KQ2E06-00A; SMC; -; 1 Pc")</f>
        <v>General - Fitting KQ2E06-00A; SMC; -; 1 Pc</v>
      </c>
      <c r="C490" s="2" t="str">
        <f>IFERROR(__xludf.DUMMYFUNCTION("""COMPUTED_VALUE"""),"pc")</f>
        <v>pc</v>
      </c>
      <c r="D490" s="2">
        <f>IFERROR(__xludf.DUMMYFUNCTION("""COMPUTED_VALUE"""),10.0)</f>
        <v>10</v>
      </c>
      <c r="E490" s="2" t="str">
        <f>IFERROR(__xludf.DUMMYFUNCTION("""COMPUTED_VALUE"""),"R-2-9")</f>
        <v>R-2-9</v>
      </c>
    </row>
    <row r="491">
      <c r="A491" s="2" t="str">
        <f>IFERROR(__xludf.DUMMYFUNCTION("""COMPUTED_VALUE"""),"P-54254-00")</f>
        <v>P-54254-00</v>
      </c>
      <c r="B491" s="2" t="str">
        <f>IFERROR(__xludf.DUMMYFUNCTION("""COMPUTED_VALUE"""),"General - Control Valve DN20 with Actuator; Regin; DFCM-220X; 1 pcs")</f>
        <v>General - Control Valve DN20 with Actuator; Regin; DFCM-220X; 1 pcs</v>
      </c>
      <c r="C491" s="2" t="str">
        <f>IFERROR(__xludf.DUMMYFUNCTION("""COMPUTED_VALUE"""),"pc")</f>
        <v>pc</v>
      </c>
      <c r="D491" s="2">
        <f>IFERROR(__xludf.DUMMYFUNCTION("""COMPUTED_VALUE"""),3.0)</f>
        <v>3</v>
      </c>
      <c r="E491" s="2" t="str">
        <f>IFERROR(__xludf.DUMMYFUNCTION("""COMPUTED_VALUE"""),"F-1")</f>
        <v>F-1</v>
      </c>
    </row>
    <row r="492">
      <c r="A492" s="2" t="str">
        <f>IFERROR(__xludf.DUMMYFUNCTION("""COMPUTED_VALUE"""),"O-15493-00")</f>
        <v>O-15493-00</v>
      </c>
      <c r="B492" s="2" t="str">
        <f>IFERROR(__xludf.DUMMYFUNCTION("""COMPUTED_VALUE"""),"General - Fan Belt; Optibelt; SPA 1082; 1 Pc")</f>
        <v>General - Fan Belt; Optibelt; SPA 1082; 1 Pc</v>
      </c>
      <c r="C492" s="2" t="str">
        <f>IFERROR(__xludf.DUMMYFUNCTION("""COMPUTED_VALUE"""),"pc")</f>
        <v>pc</v>
      </c>
      <c r="D492" s="2">
        <f>IFERROR(__xludf.DUMMYFUNCTION("""COMPUTED_VALUE"""),2.0)</f>
        <v>2</v>
      </c>
      <c r="E492" s="2" t="str">
        <f>IFERROR(__xludf.DUMMYFUNCTION("""COMPUTED_VALUE"""),"L2")</f>
        <v>L2</v>
      </c>
    </row>
    <row r="493">
      <c r="A493" s="2" t="str">
        <f>IFERROR(__xludf.DUMMYFUNCTION("""COMPUTED_VALUE"""),"O-16949-00")</f>
        <v>O-16949-00</v>
      </c>
      <c r="B493" s="2" t="str">
        <f>IFERROR(__xludf.DUMMYFUNCTION("""COMPUTED_VALUE"""),"Hepa Filter - H14 ( 99.999% ) size: 457x305x150 IAF P/N : -  pc")</f>
        <v>Hepa Filter - H14 ( 99.999% ) size: 457x305x150 IAF P/N : -  pc</v>
      </c>
      <c r="C493" s="2" t="str">
        <f>IFERROR(__xludf.DUMMYFUNCTION("""COMPUTED_VALUE"""),"pc")</f>
        <v>pc</v>
      </c>
      <c r="D493" s="2">
        <f>IFERROR(__xludf.DUMMYFUNCTION("""COMPUTED_VALUE"""),1.0)</f>
        <v>1</v>
      </c>
      <c r="E493" s="2" t="str">
        <f>IFERROR(__xludf.DUMMYFUNCTION("""COMPUTED_VALUE"""),"Ruang Filter")</f>
        <v>Ruang Filter</v>
      </c>
    </row>
    <row r="494">
      <c r="A494" s="2" t="str">
        <f>IFERROR(__xludf.DUMMYFUNCTION("""COMPUTED_VALUE"""),"P-54328-00")</f>
        <v>P-54328-00</v>
      </c>
      <c r="B494" s="2" t="str">
        <f>IFERROR(__xludf.DUMMYFUNCTION("""COMPUTED_VALUE"""),"General - Lampu LED T8 9W Kuning 3000K; Hannochs; -; 1 pc")</f>
        <v>General - Lampu LED T8 9W Kuning 3000K; Hannochs; -; 1 pc</v>
      </c>
      <c r="C494" s="2" t="str">
        <f>IFERROR(__xludf.DUMMYFUNCTION("""COMPUTED_VALUE"""),"pc")</f>
        <v>pc</v>
      </c>
      <c r="D494" s="2">
        <f>IFERROR(__xludf.DUMMYFUNCTION("""COMPUTED_VALUE"""),11.0)</f>
        <v>11</v>
      </c>
      <c r="E494" s="2"/>
    </row>
    <row r="495">
      <c r="A495" s="2" t="str">
        <f>IFERROR(__xludf.DUMMYFUNCTION("""COMPUTED_VALUE"""),"O-15559-00")</f>
        <v>O-15559-00</v>
      </c>
      <c r="B495" s="2" t="str">
        <f>IFERROR(__xludf.DUMMYFUNCTION("""COMPUTED_VALUE"""),"General - BEARING KH 1428; INA; -; 1 Pc")</f>
        <v>General - BEARING KH 1428; INA; -; 1 Pc</v>
      </c>
      <c r="C495" s="2" t="str">
        <f>IFERROR(__xludf.DUMMYFUNCTION("""COMPUTED_VALUE"""),"unt")</f>
        <v>unt</v>
      </c>
      <c r="D495" s="2">
        <f>IFERROR(__xludf.DUMMYFUNCTION("""COMPUTED_VALUE"""),5.0)</f>
        <v>5</v>
      </c>
      <c r="E495" s="2" t="str">
        <f>IFERROR(__xludf.DUMMYFUNCTION("""COMPUTED_VALUE"""),"C-2-2B")</f>
        <v>C-2-2B</v>
      </c>
    </row>
    <row r="496">
      <c r="A496" s="2" t="str">
        <f>IFERROR(__xludf.DUMMYFUNCTION("""COMPUTED_VALUE"""),"P-53149-00")</f>
        <v>P-53149-00</v>
      </c>
      <c r="B496" s="2" t="str">
        <f>IFERROR(__xludf.DUMMYFUNCTION("""COMPUTED_VALUE"""),"General - Kabel NYAF 3 x 2.5mm; Jembo; -; 1 meter")</f>
        <v>General - Kabel NYAF 3 x 2.5mm; Jembo; -; 1 meter</v>
      </c>
      <c r="C496" s="2" t="str">
        <f>IFERROR(__xludf.DUMMYFUNCTION("""COMPUTED_VALUE"""),"m")</f>
        <v>m</v>
      </c>
      <c r="D496" s="2">
        <f>IFERROR(__xludf.DUMMYFUNCTION("""COMPUTED_VALUE"""),179.0)</f>
        <v>179</v>
      </c>
      <c r="E496" s="2" t="str">
        <f>IFERROR(__xludf.DUMMYFUNCTION("""COMPUTED_VALUE"""),"-")</f>
        <v>-</v>
      </c>
    </row>
    <row r="497">
      <c r="A497" s="2" t="str">
        <f>IFERROR(__xludf.DUMMYFUNCTION("""COMPUTED_VALUE"""),"P-19660-00")</f>
        <v>P-19660-00</v>
      </c>
      <c r="B497" s="2" t="str">
        <f>IFERROR(__xludf.DUMMYFUNCTION("""COMPUTED_VALUE"""),"General - Tee PVC 2.5 Inch; Rucika; -; 1 pc")</f>
        <v>General - Tee PVC 2.5 Inch; Rucika; -; 1 pc</v>
      </c>
      <c r="C497" s="2" t="str">
        <f>IFERROR(__xludf.DUMMYFUNCTION("""COMPUTED_VALUE"""),"pc")</f>
        <v>pc</v>
      </c>
      <c r="D497" s="2">
        <f>IFERROR(__xludf.DUMMYFUNCTION("""COMPUTED_VALUE"""),10.0)</f>
        <v>10</v>
      </c>
      <c r="E497" s="2" t="str">
        <f>IFERROR(__xludf.DUMMYFUNCTION("""COMPUTED_VALUE"""),"F-2-10")</f>
        <v>F-2-10</v>
      </c>
    </row>
    <row r="498">
      <c r="A498" s="2" t="str">
        <f>IFERROR(__xludf.DUMMYFUNCTION("""COMPUTED_VALUE"""),"P-50430-00")</f>
        <v>P-50430-00</v>
      </c>
      <c r="B498" s="2" t="str">
        <f>IFERROR(__xludf.DUMMYFUNCTION("""COMPUTED_VALUE"""),"General - Pilot Lamps 24 VDC, Red; AXLE; AD22-221DSI; 1 Pc")</f>
        <v>General - Pilot Lamps 24 VDC, Red; AXLE; AD22-221DSI; 1 Pc</v>
      </c>
      <c r="C498" s="2" t="str">
        <f>IFERROR(__xludf.DUMMYFUNCTION("""COMPUTED_VALUE"""),"pc")</f>
        <v>pc</v>
      </c>
      <c r="D498" s="2">
        <f>IFERROR(__xludf.DUMMYFUNCTION("""COMPUTED_VALUE"""),2.0)</f>
        <v>2</v>
      </c>
      <c r="E498" s="2"/>
    </row>
    <row r="499">
      <c r="A499" s="2" t="str">
        <f>IFERROR(__xludf.DUMMYFUNCTION("""COMPUTED_VALUE"""),"P-19877-00")</f>
        <v>P-19877-00</v>
      </c>
      <c r="B499" s="2" t="str">
        <f>IFERROR(__xludf.DUMMYFUNCTION("""COMPUTED_VALUE"""),"General - Flexible Ducting Pipa Alumunium 4inch; No Brand; -; 1 pc")</f>
        <v>General - Flexible Ducting Pipa Alumunium 4inch; No Brand; -; 1 pc</v>
      </c>
      <c r="C499" s="2" t="str">
        <f>IFERROR(__xludf.DUMMYFUNCTION("""COMPUTED_VALUE"""),"pc")</f>
        <v>pc</v>
      </c>
      <c r="D499" s="2">
        <f>IFERROR(__xludf.DUMMYFUNCTION("""COMPUTED_VALUE"""),6.0)</f>
        <v>6</v>
      </c>
      <c r="E499" s="2" t="str">
        <f>IFERROR(__xludf.DUMMYFUNCTION("""COMPUTED_VALUE"""),"-")</f>
        <v>-</v>
      </c>
    </row>
    <row r="500">
      <c r="A500" s="2" t="str">
        <f>IFERROR(__xludf.DUMMYFUNCTION("""COMPUTED_VALUE"""),"O-51774-00")</f>
        <v>O-51774-00</v>
      </c>
      <c r="B500" s="2" t="str">
        <f>IFERROR(__xludf.DUMMYFUNCTION("""COMPUTED_VALUE"""),"General - 2-CHANNEL ANALOG INPUT MODULE STD PACK; ; ;; Wago; 750-472; 1 Pc")</f>
        <v>General - 2-CHANNEL ANALOG INPUT MODULE STD PACK; ; ;; Wago; 750-472; 1 Pc</v>
      </c>
      <c r="C500" s="2" t="str">
        <f>IFERROR(__xludf.DUMMYFUNCTION("""COMPUTED_VALUE"""),"unt")</f>
        <v>unt</v>
      </c>
      <c r="D500" s="2">
        <f>IFERROR(__xludf.DUMMYFUNCTION("""COMPUTED_VALUE"""),1.0)</f>
        <v>1</v>
      </c>
      <c r="E500" s="2" t="str">
        <f>IFERROR(__xludf.DUMMYFUNCTION("""COMPUTED_VALUE"""),"B-3-6A")</f>
        <v>B-3-6A</v>
      </c>
    </row>
    <row r="501">
      <c r="A501" s="2" t="str">
        <f>IFERROR(__xludf.DUMMYFUNCTION("""COMPUTED_VALUE"""),"O-54007-00")</f>
        <v>O-54007-00</v>
      </c>
      <c r="B501" s="2" t="str">
        <f>IFERROR(__xludf.DUMMYFUNCTION("""COMPUTED_VALUE"""),"MCB 1 PHASE, SCHNEIDER ELECTRIC, IC60H 10Ka 16 AMPERE")</f>
        <v>MCB 1 PHASE, SCHNEIDER ELECTRIC, IC60H 10Ka 16 AMPERE</v>
      </c>
      <c r="C501" s="2" t="str">
        <f>IFERROR(__xludf.DUMMYFUNCTION("""COMPUTED_VALUE"""),"pc")</f>
        <v>pc</v>
      </c>
      <c r="D501" s="2">
        <f>IFERROR(__xludf.DUMMYFUNCTION("""COMPUTED_VALUE"""),7.0)</f>
        <v>7</v>
      </c>
      <c r="E501" s="2" t="str">
        <f>IFERROR(__xludf.DUMMYFUNCTION("""COMPUTED_VALUE"""),"O2")</f>
        <v>O2</v>
      </c>
    </row>
    <row r="502">
      <c r="A502" s="2" t="str">
        <f>IFERROR(__xludf.DUMMYFUNCTION("""COMPUTED_VALUE"""),"P-51298-00")</f>
        <v>P-51298-00</v>
      </c>
      <c r="B502" s="2" t="str">
        <f>IFERROR(__xludf.DUMMYFUNCTION("""COMPUTED_VALUE"""),"General - Terminal Plastik, dia. 4 mm; No Brand; -; 1 pcs")</f>
        <v>General - Terminal Plastik, dia. 4 mm; No Brand; -; 1 pcs</v>
      </c>
      <c r="C502" s="2" t="str">
        <f>IFERROR(__xludf.DUMMYFUNCTION("""COMPUTED_VALUE"""),"pc")</f>
        <v>pc</v>
      </c>
      <c r="D502" s="2">
        <f>IFERROR(__xludf.DUMMYFUNCTION("""COMPUTED_VALUE"""),3.0)</f>
        <v>3</v>
      </c>
      <c r="E502" s="2" t="str">
        <f>IFERROR(__xludf.DUMMYFUNCTION("""COMPUTED_VALUE"""),"-")</f>
        <v>-</v>
      </c>
    </row>
    <row r="503">
      <c r="A503" s="2" t="str">
        <f>IFERROR(__xludf.DUMMYFUNCTION("""COMPUTED_VALUE"""),"O-18870-00")</f>
        <v>O-18870-00</v>
      </c>
      <c r="B503" s="2" t="str">
        <f>IFERROR(__xludf.DUMMYFUNCTION("""COMPUTED_VALUE"""),"General - Oring Silicone Merah 18.4x13x2.7 mm; -; -; 1 Pc")</f>
        <v>General - Oring Silicone Merah 18.4x13x2.7 mm; -; -; 1 Pc</v>
      </c>
      <c r="C503" s="2" t="str">
        <f>IFERROR(__xludf.DUMMYFUNCTION("""COMPUTED_VALUE"""),"pc")</f>
        <v>pc</v>
      </c>
      <c r="D503" s="2">
        <f>IFERROR(__xludf.DUMMYFUNCTION("""COMPUTED_VALUE"""),22.0)</f>
        <v>22</v>
      </c>
      <c r="E503" s="2" t="str">
        <f>IFERROR(__xludf.DUMMYFUNCTION("""COMPUTED_VALUE"""),"A-1-5B")</f>
        <v>A-1-5B</v>
      </c>
    </row>
    <row r="504">
      <c r="A504" s="2" t="str">
        <f>IFERROR(__xludf.DUMMYFUNCTION("""COMPUTED_VALUE"""),"P-12419-00")</f>
        <v>P-12419-00</v>
      </c>
      <c r="B504" s="2" t="str">
        <f>IFERROR(__xludf.DUMMYFUNCTION("""COMPUTED_VALUE"""),"General - Hole Saw for Stainless Steel, dia. 22 mm; UNIKA; -; 1 pcs")</f>
        <v>General - Hole Saw for Stainless Steel, dia. 22 mm; UNIKA; -; 1 pcs</v>
      </c>
      <c r="C504" s="2" t="str">
        <f>IFERROR(__xludf.DUMMYFUNCTION("""COMPUTED_VALUE"""),"pc")</f>
        <v>pc</v>
      </c>
      <c r="D504" s="2">
        <f>IFERROR(__xludf.DUMMYFUNCTION("""COMPUTED_VALUE"""),3.0)</f>
        <v>3</v>
      </c>
      <c r="E504" s="2" t="str">
        <f>IFERROR(__xludf.DUMMYFUNCTION("""COMPUTED_VALUE"""),"S-2-8")</f>
        <v>S-2-8</v>
      </c>
    </row>
    <row r="505">
      <c r="A505" s="2" t="str">
        <f>IFERROR(__xludf.DUMMYFUNCTION("""COMPUTED_VALUE"""),"O-16984-00")</f>
        <v>O-16984-00</v>
      </c>
      <c r="B505" s="2" t="str">
        <f>IFERROR(__xludf.DUMMYFUNCTION("""COMPUTED_VALUE"""),"Freeze Dryer MBE1207 - Butterfly Valve SS316 DN65 EB14-00067; Bray; -; 1 pc")</f>
        <v>Freeze Dryer MBE1207 - Butterfly Valve SS316 DN65 EB14-00067; Bray; -; 1 pc</v>
      </c>
      <c r="C505" s="2" t="str">
        <f>IFERROR(__xludf.DUMMYFUNCTION("""COMPUTED_VALUE"""),"pc")</f>
        <v>pc</v>
      </c>
      <c r="D505" s="2">
        <f>IFERROR(__xludf.DUMMYFUNCTION("""COMPUTED_VALUE"""),2.0)</f>
        <v>2</v>
      </c>
      <c r="E505" s="2" t="str">
        <f>IFERROR(__xludf.DUMMYFUNCTION("""COMPUTED_VALUE"""),"D-3-11")</f>
        <v>D-3-11</v>
      </c>
    </row>
    <row r="506">
      <c r="A506" s="2" t="str">
        <f>IFERROR(__xludf.DUMMYFUNCTION("""COMPUTED_VALUE"""),"Q-10134-00")</f>
        <v>Q-10134-00</v>
      </c>
      <c r="B506" s="2" t="str">
        <f>IFERROR(__xludf.DUMMYFUNCTION("""COMPUTED_VALUE"""),"Jet Shower Spray;TOTO;Type TX403S;pack size per pcs")</f>
        <v>Jet Shower Spray;TOTO;Type TX403S;pack size per pcs</v>
      </c>
      <c r="C506" s="2" t="str">
        <f>IFERROR(__xludf.DUMMYFUNCTION("""COMPUTED_VALUE"""),"pc")</f>
        <v>pc</v>
      </c>
      <c r="D506" s="2">
        <f>IFERROR(__xludf.DUMMYFUNCTION("""COMPUTED_VALUE"""),4.0)</f>
        <v>4</v>
      </c>
      <c r="E506" s="2" t="str">
        <f>IFERROR(__xludf.DUMMYFUNCTION("""COMPUTED_VALUE"""),"L3")</f>
        <v>L3</v>
      </c>
    </row>
    <row r="507">
      <c r="A507" s="2" t="str">
        <f>IFERROR(__xludf.DUMMYFUNCTION("""COMPUTED_VALUE"""),"Q-10401-00")</f>
        <v>Q-10401-00</v>
      </c>
      <c r="B507" s="2" t="str">
        <f>IFERROR(__xludf.DUMMYFUNCTION("""COMPUTED_VALUE"""),"Kuas Cat Uk. 3 inch;Eterna;Tipe 611;pack size per pcs")</f>
        <v>Kuas Cat Uk. 3 inch;Eterna;Tipe 611;pack size per pcs</v>
      </c>
      <c r="C507" s="2" t="str">
        <f>IFERROR(__xludf.DUMMYFUNCTION("""COMPUTED_VALUE"""),"pc")</f>
        <v>pc</v>
      </c>
      <c r="D507" s="2">
        <f>IFERROR(__xludf.DUMMYFUNCTION("""COMPUTED_VALUE"""),9.0)</f>
        <v>9</v>
      </c>
      <c r="E507" s="2" t="str">
        <f>IFERROR(__xludf.DUMMYFUNCTION("""COMPUTED_VALUE"""),"R-4-10")</f>
        <v>R-4-10</v>
      </c>
    </row>
    <row r="508">
      <c r="A508" s="2" t="str">
        <f>IFERROR(__xludf.DUMMYFUNCTION("""COMPUTED_VALUE"""),"P-19898-00")</f>
        <v>P-19898-00</v>
      </c>
      <c r="B508" s="2" t="str">
        <f>IFERROR(__xludf.DUMMYFUNCTION("""COMPUTED_VALUE"""),"General - Bushing VAV dia. 24 x 26mm; Custom Agru Farma; -; 1 pc")</f>
        <v>General - Bushing VAV dia. 24 x 26mm; Custom Agru Farma; -; 1 pc</v>
      </c>
      <c r="C508" s="2" t="str">
        <f>IFERROR(__xludf.DUMMYFUNCTION("""COMPUTED_VALUE"""),"pc")</f>
        <v>pc</v>
      </c>
      <c r="D508" s="2">
        <f>IFERROR(__xludf.DUMMYFUNCTION("""COMPUTED_VALUE"""),50.0)</f>
        <v>50</v>
      </c>
      <c r="E508" s="2"/>
    </row>
    <row r="509">
      <c r="A509" s="2" t="str">
        <f>IFERROR(__xludf.DUMMYFUNCTION("""COMPUTED_VALUE"""),"P-10564-00")</f>
        <v>P-10564-00</v>
      </c>
      <c r="B509" s="2" t="str">
        <f>IFERROR(__xludf.DUMMYFUNCTION("""COMPUTED_VALUE"""),"Bearing 6000 2RS H SKF")</f>
        <v>Bearing 6000 2RS H SKF</v>
      </c>
      <c r="C509" s="2" t="str">
        <f>IFERROR(__xludf.DUMMYFUNCTION("""COMPUTED_VALUE"""),"pc")</f>
        <v>pc</v>
      </c>
      <c r="D509" s="2">
        <f>IFERROR(__xludf.DUMMYFUNCTION("""COMPUTED_VALUE"""),40.0)</f>
        <v>40</v>
      </c>
      <c r="E509" s="2"/>
    </row>
    <row r="510">
      <c r="A510" s="2" t="str">
        <f>IFERROR(__xludf.DUMMYFUNCTION("""COMPUTED_VALUE"""),"O-19901-00")</f>
        <v>O-19901-00</v>
      </c>
      <c r="B510" s="2" t="str">
        <f>IFERROR(__xludf.DUMMYFUNCTION("""COMPUTED_VALUE"""),"Freeze Dryer MBE1207 - New Seat Valve Dia 36x22x7; Custom/Lokal; -; 1 pc")</f>
        <v>Freeze Dryer MBE1207 - New Seat Valve Dia 36x22x7; Custom/Lokal; -; 1 pc</v>
      </c>
      <c r="C510" s="2" t="str">
        <f>IFERROR(__xludf.DUMMYFUNCTION("""COMPUTED_VALUE"""),"ST")</f>
        <v>ST</v>
      </c>
      <c r="D510" s="2">
        <f>IFERROR(__xludf.DUMMYFUNCTION("""COMPUTED_VALUE"""),2.0)</f>
        <v>2</v>
      </c>
      <c r="E510" s="2" t="str">
        <f>IFERROR(__xludf.DUMMYFUNCTION("""COMPUTED_VALUE"""),"D2")</f>
        <v>D2</v>
      </c>
    </row>
    <row r="511">
      <c r="A511" s="2" t="str">
        <f>IFERROR(__xludf.DUMMYFUNCTION("""COMPUTED_VALUE"""),"P-10558-00")</f>
        <v>P-10558-00</v>
      </c>
      <c r="B511" s="2" t="str">
        <f>IFERROR(__xludf.DUMMYFUNCTION("""COMPUTED_VALUE"""),"General - Bearing 51113; SKF; 1 Pc")</f>
        <v>General - Bearing 51113; SKF; 1 Pc</v>
      </c>
      <c r="C511" s="2" t="str">
        <f>IFERROR(__xludf.DUMMYFUNCTION("""COMPUTED_VALUE"""),"pc")</f>
        <v>pc</v>
      </c>
      <c r="D511" s="2">
        <f>IFERROR(__xludf.DUMMYFUNCTION("""COMPUTED_VALUE"""),2.0)</f>
        <v>2</v>
      </c>
      <c r="E511" s="2" t="str">
        <f>IFERROR(__xludf.DUMMYFUNCTION("""COMPUTED_VALUE"""),"-")</f>
        <v>-</v>
      </c>
    </row>
    <row r="512">
      <c r="A512" s="2" t="str">
        <f>IFERROR(__xludf.DUMMYFUNCTION("""COMPUTED_VALUE"""),"P-19539-00")</f>
        <v>P-19539-00</v>
      </c>
      <c r="B512" s="2" t="str">
        <f>IFERROR(__xludf.DUMMYFUNCTION("""COMPUTED_VALUE"""),"General - Roda Pu 3 Inch 75X32 Mm Tanpa Bracket  -  -")</f>
        <v>General - Roda Pu 3 Inch 75X32 Mm Tanpa Bracket  -  -</v>
      </c>
      <c r="C512" s="2" t="str">
        <f>IFERROR(__xludf.DUMMYFUNCTION("""COMPUTED_VALUE"""),"pc")</f>
        <v>pc</v>
      </c>
      <c r="D512" s="2">
        <f>IFERROR(__xludf.DUMMYFUNCTION("""COMPUTED_VALUE"""),1.0)</f>
        <v>1</v>
      </c>
      <c r="E512" s="2" t="str">
        <f>IFERROR(__xludf.DUMMYFUNCTION("""COMPUTED_VALUE"""),"Dekat Dumpwaiter")</f>
        <v>Dekat Dumpwaiter</v>
      </c>
    </row>
    <row r="513">
      <c r="A513" s="2" t="str">
        <f>IFERROR(__xludf.DUMMYFUNCTION("""COMPUTED_VALUE"""),"P-19637-00")</f>
        <v>P-19637-00</v>
      </c>
      <c r="B513" s="2" t="str">
        <f>IFERROR(__xludf.DUMMYFUNCTION("""COMPUTED_VALUE"""),"General - Recoil Spiral Hose dia. 5 x 8mm x 12 meter; No Brand; -; 1 pc")</f>
        <v>General - Recoil Spiral Hose dia. 5 x 8mm x 12 meter; No Brand; -; 1 pc</v>
      </c>
      <c r="C513" s="2" t="str">
        <f>IFERROR(__xludf.DUMMYFUNCTION("""COMPUTED_VALUE"""),"pc")</f>
        <v>pc</v>
      </c>
      <c r="D513" s="2">
        <f>IFERROR(__xludf.DUMMYFUNCTION("""COMPUTED_VALUE"""),1.0)</f>
        <v>1</v>
      </c>
      <c r="E513" s="2"/>
    </row>
    <row r="514">
      <c r="A514" s="2" t="str">
        <f>IFERROR(__xludf.DUMMYFUNCTION("""COMPUTED_VALUE"""),"O-51773-00")</f>
        <v>O-51773-00</v>
      </c>
      <c r="B514" s="2" t="str">
        <f>IFERROR(__xludf.DUMMYFUNCTION("""COMPUTED_VALUE"""),"General - 2-CHANNEL ANALOG OUTPUT MODULE STD PACK; ; ;; Wago; 750-550; 1 Pc")</f>
        <v>General - 2-CHANNEL ANALOG OUTPUT MODULE STD PACK; ; ;; Wago; 750-550; 1 Pc</v>
      </c>
      <c r="C514" s="2" t="str">
        <f>IFERROR(__xludf.DUMMYFUNCTION("""COMPUTED_VALUE"""),"unt")</f>
        <v>unt</v>
      </c>
      <c r="D514" s="2">
        <f>IFERROR(__xludf.DUMMYFUNCTION("""COMPUTED_VALUE"""),1.0)</f>
        <v>1</v>
      </c>
      <c r="E514" s="2" t="str">
        <f>IFERROR(__xludf.DUMMYFUNCTION("""COMPUTED_VALUE"""),"A-3-2A")</f>
        <v>A-3-2A</v>
      </c>
    </row>
    <row r="515">
      <c r="A515" s="2" t="str">
        <f>IFERROR(__xludf.DUMMYFUNCTION("""COMPUTED_VALUE"""),"P-53023-00")</f>
        <v>P-53023-00</v>
      </c>
      <c r="B515" s="2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515" s="2" t="str">
        <f>IFERROR(__xludf.DUMMYFUNCTION("""COMPUTED_VALUE"""),"unt")</f>
        <v>unt</v>
      </c>
      <c r="D515" s="2">
        <f>IFERROR(__xludf.DUMMYFUNCTION("""COMPUTED_VALUE"""),1.0)</f>
        <v>1</v>
      </c>
      <c r="E515" s="2" t="str">
        <f>IFERROR(__xludf.DUMMYFUNCTION("""COMPUTED_VALUE"""),"M-4")</f>
        <v>M-4</v>
      </c>
    </row>
    <row r="516">
      <c r="A516" s="2" t="str">
        <f>IFERROR(__xludf.DUMMYFUNCTION("""COMPUTED_VALUE"""),"P-11170-00")</f>
        <v>P-11170-00</v>
      </c>
      <c r="B516" s="2" t="str">
        <f>IFERROR(__xludf.DUMMYFUNCTION("""COMPUTED_VALUE"""),"General - Push-in Fitting, QS-1/4-8; Festo; 153005; 1 pcs")</f>
        <v>General - Push-in Fitting, QS-1/4-8; Festo; 153005; 1 pcs</v>
      </c>
      <c r="C516" s="2" t="str">
        <f>IFERROR(__xludf.DUMMYFUNCTION("""COMPUTED_VALUE"""),"pc")</f>
        <v>pc</v>
      </c>
      <c r="D516" s="2">
        <f>IFERROR(__xludf.DUMMYFUNCTION("""COMPUTED_VALUE"""),7.0)</f>
        <v>7</v>
      </c>
      <c r="E516" s="2" t="str">
        <f>IFERROR(__xludf.DUMMYFUNCTION("""COMPUTED_VALUE"""),"R-4-8")</f>
        <v>R-4-8</v>
      </c>
    </row>
    <row r="517">
      <c r="A517" s="2" t="str">
        <f>IFERROR(__xludf.DUMMYFUNCTION("""COMPUTED_VALUE"""),"P-52436-00")</f>
        <v>P-52436-00</v>
      </c>
      <c r="B517" s="2" t="str">
        <f>IFERROR(__xludf.DUMMYFUNCTION("""COMPUTED_VALUE"""),"General - Kabel NYYHY 4 x 1.5mm; SUPREME; -; 1 meter")</f>
        <v>General - Kabel NYYHY 4 x 1.5mm; SUPREME; -; 1 meter</v>
      </c>
      <c r="C517" s="2" t="str">
        <f>IFERROR(__xludf.DUMMYFUNCTION("""COMPUTED_VALUE"""),"rl")</f>
        <v>rl</v>
      </c>
      <c r="D517" s="2">
        <f>IFERROR(__xludf.DUMMYFUNCTION("""COMPUTED_VALUE"""),1.0)</f>
        <v>1</v>
      </c>
      <c r="E517" s="2" t="str">
        <f>IFERROR(__xludf.DUMMYFUNCTION("""COMPUTED_VALUE"""),"-")</f>
        <v>-</v>
      </c>
    </row>
    <row r="518">
      <c r="A518" s="2" t="str">
        <f>IFERROR(__xludf.DUMMYFUNCTION("""COMPUTED_VALUE"""),"O-53169-00")</f>
        <v>O-53169-00</v>
      </c>
      <c r="B518" s="2" t="str">
        <f>IFERROR(__xludf.DUMMYFUNCTION("""COMPUTED_VALUE"""),"General - Manual Motor Starter 50 Ka MS 132-20 ABB 1SAM350000R1003")</f>
        <v>General - Manual Motor Starter 50 Ka MS 132-20 ABB 1SAM350000R1003</v>
      </c>
      <c r="C518" s="2" t="str">
        <f>IFERROR(__xludf.DUMMYFUNCTION("""COMPUTED_VALUE"""),"pc")</f>
        <v>pc</v>
      </c>
      <c r="D518" s="2">
        <f>IFERROR(__xludf.DUMMYFUNCTION("""COMPUTED_VALUE"""),1.0)</f>
        <v>1</v>
      </c>
      <c r="E518" s="2" t="str">
        <f>IFERROR(__xludf.DUMMYFUNCTION("""COMPUTED_VALUE"""),"E-4")</f>
        <v>E-4</v>
      </c>
    </row>
    <row r="519">
      <c r="A519" s="2" t="str">
        <f>IFERROR(__xludf.DUMMYFUNCTION("""COMPUTED_VALUE"""),"P-20284-00")</f>
        <v>P-20284-00</v>
      </c>
      <c r="B519" s="2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519" s="2" t="str">
        <f>IFERROR(__xludf.DUMMYFUNCTION("""COMPUTED_VALUE"""),"pc")</f>
        <v>pc</v>
      </c>
      <c r="D519" s="2">
        <f>IFERROR(__xludf.DUMMYFUNCTION("""COMPUTED_VALUE"""),2.0)</f>
        <v>2</v>
      </c>
      <c r="E519" s="2" t="str">
        <f>IFERROR(__xludf.DUMMYFUNCTION("""COMPUTED_VALUE"""),"L-4")</f>
        <v>L-4</v>
      </c>
    </row>
    <row r="520">
      <c r="A520" s="2" t="str">
        <f>IFERROR(__xludf.DUMMYFUNCTION("""COMPUTED_VALUE"""),"P-51851-00")</f>
        <v>P-51851-00</v>
      </c>
      <c r="B520" s="2" t="str">
        <f>IFERROR(__xludf.DUMMYFUNCTION("""COMPUTED_VALUE"""),"General - Capacitor, 2 mF, 400 VAC; No Brand; -; 1 pcs")</f>
        <v>General - Capacitor, 2 mF, 400 VAC; No Brand; -; 1 pcs</v>
      </c>
      <c r="C520" s="2" t="str">
        <f>IFERROR(__xludf.DUMMYFUNCTION("""COMPUTED_VALUE"""),"pc")</f>
        <v>pc</v>
      </c>
      <c r="D520" s="2">
        <f>IFERROR(__xludf.DUMMYFUNCTION("""COMPUTED_VALUE"""),5.0)</f>
        <v>5</v>
      </c>
      <c r="E520" s="2" t="str">
        <f>IFERROR(__xludf.DUMMYFUNCTION("""COMPUTED_VALUE"""),"O2")</f>
        <v>O2</v>
      </c>
    </row>
    <row r="521">
      <c r="A521" s="2" t="str">
        <f>IFERROR(__xludf.DUMMYFUNCTION("""COMPUTED_VALUE"""),"P-54518-00")</f>
        <v>P-54518-00</v>
      </c>
      <c r="B521" s="2" t="str">
        <f>IFERROR(__xludf.DUMMYFUNCTION("""COMPUTED_VALUE"""),"General - Stop Kontak Panel Mounting 2Phase, 16A, 220V; Fort; CEE112; 1 pc")</f>
        <v>General - Stop Kontak Panel Mounting 2Phase, 16A, 220V; Fort; CEE112; 1 pc</v>
      </c>
      <c r="C521" s="2" t="str">
        <f>IFERROR(__xludf.DUMMYFUNCTION("""COMPUTED_VALUE"""),"pc")</f>
        <v>pc</v>
      </c>
      <c r="D521" s="2">
        <f>IFERROR(__xludf.DUMMYFUNCTION("""COMPUTED_VALUE"""),1.0)</f>
        <v>1</v>
      </c>
      <c r="E521" s="2" t="str">
        <f>IFERROR(__xludf.DUMMYFUNCTION("""COMPUTED_VALUE"""),"-")</f>
        <v>-</v>
      </c>
    </row>
    <row r="522">
      <c r="A522" s="2" t="str">
        <f>IFERROR(__xludf.DUMMYFUNCTION("""COMPUTED_VALUE"""),"O-19783-00")</f>
        <v>O-19783-00</v>
      </c>
      <c r="B522" s="2" t="str">
        <f>IFERROR(__xludf.DUMMYFUNCTION("""COMPUTED_VALUE"""),"Washing RAR4 - Strainer Drain Recycle Tank Uk 32 x 30 Material SUS 304; Custom/Lokal; -; 1 Pc")</f>
        <v>Washing RAR4 - Strainer Drain Recycle Tank Uk 32 x 30 Material SUS 304; Custom/Lokal; -; 1 Pc</v>
      </c>
      <c r="C522" s="2" t="str">
        <f>IFERROR(__xludf.DUMMYFUNCTION("""COMPUTED_VALUE"""),"pc")</f>
        <v>pc</v>
      </c>
      <c r="D522" s="2">
        <f>IFERROR(__xludf.DUMMYFUNCTION("""COMPUTED_VALUE"""),1.0)</f>
        <v>1</v>
      </c>
      <c r="E522" s="2" t="str">
        <f>IFERROR(__xludf.DUMMYFUNCTION("""COMPUTED_VALUE"""),"B-2-6")</f>
        <v>B-2-6</v>
      </c>
    </row>
    <row r="523">
      <c r="A523" s="2" t="str">
        <f>IFERROR(__xludf.DUMMYFUNCTION("""COMPUTED_VALUE"""),"P-20544-00")</f>
        <v>P-20544-00</v>
      </c>
      <c r="B523" s="2" t="str">
        <f>IFERROR(__xludf.DUMMYFUNCTION("""COMPUTED_VALUE"""),"General - General Ferrule EPDM NW200; No Brand; -; 1pc")</f>
        <v>General - General Ferrule EPDM NW200; No Brand; -; 1pc</v>
      </c>
      <c r="C523" s="2" t="str">
        <f>IFERROR(__xludf.DUMMYFUNCTION("""COMPUTED_VALUE"""),"pc")</f>
        <v>pc</v>
      </c>
      <c r="D523" s="2">
        <f>IFERROR(__xludf.DUMMYFUNCTION("""COMPUTED_VALUE"""),4.0)</f>
        <v>4</v>
      </c>
      <c r="E523" s="2" t="str">
        <f>IFERROR(__xludf.DUMMYFUNCTION("""COMPUTED_VALUE"""),"S-3-8")</f>
        <v>S-3-8</v>
      </c>
    </row>
    <row r="524">
      <c r="A524" s="2" t="str">
        <f>IFERROR(__xludf.DUMMYFUNCTION("""COMPUTED_VALUE"""),"P-52695-00")</f>
        <v>P-52695-00</v>
      </c>
      <c r="B524" s="2" t="str">
        <f>IFERROR(__xludf.DUMMYFUNCTION("""COMPUTED_VALUE"""),"General - ORP Electrode; Jumo; 201027/10-22-07-82-120/000; 1 pc")</f>
        <v>General - ORP Electrode; Jumo; 201027/10-22-07-82-120/000; 1 pc</v>
      </c>
      <c r="C524" s="2" t="str">
        <f>IFERROR(__xludf.DUMMYFUNCTION("""COMPUTED_VALUE"""),"pc")</f>
        <v>pc</v>
      </c>
      <c r="D524" s="2">
        <f>IFERROR(__xludf.DUMMYFUNCTION("""COMPUTED_VALUE"""),1.0)</f>
        <v>1</v>
      </c>
      <c r="E524" s="2" t="str">
        <f>IFERROR(__xludf.DUMMYFUNCTION("""COMPUTED_VALUE"""),"-")</f>
        <v>-</v>
      </c>
    </row>
    <row r="525">
      <c r="A525" s="2" t="str">
        <f>IFERROR(__xludf.DUMMYFUNCTION("""COMPUTED_VALUE"""),"O-19796-00")</f>
        <v>O-19796-00</v>
      </c>
      <c r="B525" s="2" t="str">
        <f>IFERROR(__xludf.DUMMYFUNCTION("""COMPUTED_VALUE"""),"General - Blind Plate SS304 for Clamp KF16; -; -; 1 Pc")</f>
        <v>General - Blind Plate SS304 for Clamp KF16; -; -; 1 Pc</v>
      </c>
      <c r="C525" s="2" t="str">
        <f>IFERROR(__xludf.DUMMYFUNCTION("""COMPUTED_VALUE"""),"pc")</f>
        <v>pc</v>
      </c>
      <c r="D525" s="2">
        <f>IFERROR(__xludf.DUMMYFUNCTION("""COMPUTED_VALUE"""),7.0)</f>
        <v>7</v>
      </c>
      <c r="E525" s="2" t="str">
        <f>IFERROR(__xludf.DUMMYFUNCTION("""COMPUTED_VALUE"""),"D3")</f>
        <v>D3</v>
      </c>
    </row>
    <row r="526">
      <c r="A526" s="2" t="str">
        <f>IFERROR(__xludf.DUMMYFUNCTION("""COMPUTED_VALUE"""),"P-18965-00")</f>
        <v>P-18965-00</v>
      </c>
      <c r="B526" s="2" t="str">
        <f>IFERROR(__xludf.DUMMYFUNCTION("""COMPUTED_VALUE"""),"General - Sparepart Maintenance Kit SRV66 Size 1-2 Inch (0,8 - 2,5 barg); Spirax Sarco; 6404141UA-1; 1 pcs")</f>
        <v>General - Sparepart Maintenance Kit SRV66 Size 1-2 Inch (0,8 - 2,5 barg); Spirax Sarco; 6404141UA-1; 1 pcs</v>
      </c>
      <c r="C526" s="2" t="str">
        <f>IFERROR(__xludf.DUMMYFUNCTION("""COMPUTED_VALUE"""),"pc")</f>
        <v>pc</v>
      </c>
      <c r="D526" s="2">
        <f>IFERROR(__xludf.DUMMYFUNCTION("""COMPUTED_VALUE"""),1.0)</f>
        <v>1</v>
      </c>
      <c r="E526" s="2" t="str">
        <f>IFERROR(__xludf.DUMMYFUNCTION("""COMPUTED_VALUE"""),"F-1")</f>
        <v>F-1</v>
      </c>
    </row>
    <row r="527">
      <c r="A527" s="2" t="str">
        <f>IFERROR(__xludf.DUMMYFUNCTION("""COMPUTED_VALUE"""),"P-70004-00")</f>
        <v>P-70004-00</v>
      </c>
      <c r="B527" s="2" t="str">
        <f>IFERROR(__xludf.DUMMYFUNCTION("""COMPUTED_VALUE"""),"Forklift Jungheinrich - Oil Hidraulic UG 46 (C); Jungheinrich; -; 1 pc")</f>
        <v>Forklift Jungheinrich - Oil Hidraulic UG 46 (C); Jungheinrich; -; 1 pc</v>
      </c>
      <c r="C527" s="2" t="str">
        <f>IFERROR(__xludf.DUMMYFUNCTION("""COMPUTED_VALUE"""),"ST")</f>
        <v>ST</v>
      </c>
      <c r="D527" s="2">
        <f>IFERROR(__xludf.DUMMYFUNCTION("""COMPUTED_VALUE"""),35.0)</f>
        <v>35</v>
      </c>
      <c r="E527" s="2" t="str">
        <f>IFERROR(__xludf.DUMMYFUNCTION("""COMPUTED_VALUE"""),"-")</f>
        <v>-</v>
      </c>
    </row>
    <row r="528">
      <c r="A528" s="2" t="str">
        <f>IFERROR(__xludf.DUMMYFUNCTION("""COMPUTED_VALUE"""),"P-11393-00")</f>
        <v>P-11393-00</v>
      </c>
      <c r="B528" s="2" t="str">
        <f>IFERROR(__xludf.DUMMYFUNCTION("""COMPUTED_VALUE"""),"General - Seal Ferrule EPDM 3inch; No Brand; -; 1 pcs")</f>
        <v>General - Seal Ferrule EPDM 3inch; No Brand; -; 1 pcs</v>
      </c>
      <c r="C528" s="2" t="str">
        <f>IFERROR(__xludf.DUMMYFUNCTION("""COMPUTED_VALUE"""),"pc")</f>
        <v>pc</v>
      </c>
      <c r="D528" s="2">
        <f>IFERROR(__xludf.DUMMYFUNCTION("""COMPUTED_VALUE"""),15.0)</f>
        <v>15</v>
      </c>
      <c r="E528" s="2" t="str">
        <f>IFERROR(__xludf.DUMMYFUNCTION("""COMPUTED_VALUE"""),"M-3")</f>
        <v>M-3</v>
      </c>
    </row>
    <row r="529">
      <c r="A529" s="2" t="str">
        <f>IFERROR(__xludf.DUMMYFUNCTION("""COMPUTED_VALUE"""),"P-12223-00")</f>
        <v>P-12223-00</v>
      </c>
      <c r="B529" s="2" t="str">
        <f>IFERROR(__xludf.DUMMYFUNCTION("""COMPUTED_VALUE"""),"FESTO - Blanking plug QSC-6H  p/n 153268")</f>
        <v>FESTO - Blanking plug QSC-6H  p/n 153268</v>
      </c>
      <c r="C529" s="2" t="str">
        <f>IFERROR(__xludf.DUMMYFUNCTION("""COMPUTED_VALUE"""),"pc")</f>
        <v>pc</v>
      </c>
      <c r="D529" s="2">
        <f>IFERROR(__xludf.DUMMYFUNCTION("""COMPUTED_VALUE"""),15.0)</f>
        <v>15</v>
      </c>
      <c r="E529" s="2" t="str">
        <f>IFERROR(__xludf.DUMMYFUNCTION("""COMPUTED_VALUE"""),"H-3-2")</f>
        <v>H-3-2</v>
      </c>
    </row>
    <row r="530">
      <c r="A530" s="2" t="str">
        <f>IFERROR(__xludf.DUMMYFUNCTION("""COMPUTED_VALUE"""),"P-12942-00")</f>
        <v>P-12942-00</v>
      </c>
      <c r="B530" s="2" t="str">
        <f>IFERROR(__xludf.DUMMYFUNCTION("""COMPUTED_VALUE"""),"Water Mur PVC dia 1inch")</f>
        <v>Water Mur PVC dia 1inch</v>
      </c>
      <c r="C530" s="2" t="str">
        <f>IFERROR(__xludf.DUMMYFUNCTION("""COMPUTED_VALUE"""),"pc")</f>
        <v>pc</v>
      </c>
      <c r="D530" s="2">
        <f>IFERROR(__xludf.DUMMYFUNCTION("""COMPUTED_VALUE"""),11.0)</f>
        <v>11</v>
      </c>
      <c r="E530" s="2"/>
    </row>
    <row r="531">
      <c r="A531" s="2" t="str">
        <f>IFERROR(__xludf.DUMMYFUNCTION("""COMPUTED_VALUE"""),"P-19434-00")</f>
        <v>P-19434-00</v>
      </c>
      <c r="B531" s="2" t="str">
        <f>IFERROR(__xludf.DUMMYFUNCTION("""COMPUTED_VALUE"""),"General - Chemical Cleaning; Kuclean; AC 101; 1 PL = 25 Kg")</f>
        <v>General - Chemical Cleaning; Kuclean; AC 101; 1 PL = 25 Kg</v>
      </c>
      <c r="C531" s="2" t="str">
        <f>IFERROR(__xludf.DUMMYFUNCTION("""COMPUTED_VALUE"""),"PL")</f>
        <v>PL</v>
      </c>
      <c r="D531" s="2">
        <f>IFERROR(__xludf.DUMMYFUNCTION("""COMPUTED_VALUE"""),1.0)</f>
        <v>1</v>
      </c>
      <c r="E531" s="2" t="str">
        <f>IFERROR(__xludf.DUMMYFUNCTION("""COMPUTED_VALUE"""),"Sparepart")</f>
        <v>Sparepart</v>
      </c>
    </row>
    <row r="532">
      <c r="A532" s="2" t="str">
        <f>IFERROR(__xludf.DUMMYFUNCTION("""COMPUTED_VALUE"""),"P-10857-00")</f>
        <v>P-10857-00</v>
      </c>
      <c r="B532" s="2" t="str">
        <f>IFERROR(__xludf.DUMMYFUNCTION("""COMPUTED_VALUE"""),"General - Elbow PVC 90 AW 1 1/2inch; Rucika; -; 1 Pc")</f>
        <v>General - Elbow PVC 90 AW 1 1/2inch; Rucika; -; 1 Pc</v>
      </c>
      <c r="C532" s="2" t="str">
        <f>IFERROR(__xludf.DUMMYFUNCTION("""COMPUTED_VALUE"""),"pc")</f>
        <v>pc</v>
      </c>
      <c r="D532" s="2">
        <f>IFERROR(__xludf.DUMMYFUNCTION("""COMPUTED_VALUE"""),4.0)</f>
        <v>4</v>
      </c>
      <c r="E532" s="2"/>
    </row>
    <row r="533">
      <c r="A533" s="2" t="str">
        <f>IFERROR(__xludf.DUMMYFUNCTION("""COMPUTED_VALUE"""),"O-21154-00")</f>
        <v>O-21154-00</v>
      </c>
      <c r="B533" s="2" t="str">
        <f>IFERROR(__xludf.DUMMYFUNCTION("""COMPUTED_VALUE"""),"Blister TR100LT - Dudukan Forming 40x10 mm, Mat. VCN; Custom /Lokal; -; 1 Pc")</f>
        <v>Blister TR100LT - Dudukan Forming 40x10 mm, Mat. VCN; Custom /Lokal; -; 1 Pc</v>
      </c>
      <c r="C533" s="2" t="str">
        <f>IFERROR(__xludf.DUMMYFUNCTION("""COMPUTED_VALUE"""),"pc")</f>
        <v>pc</v>
      </c>
      <c r="D533" s="2">
        <f>IFERROR(__xludf.DUMMYFUNCTION("""COMPUTED_VALUE"""),1.0)</f>
        <v>1</v>
      </c>
      <c r="E533" s="2" t="str">
        <f>IFERROR(__xludf.DUMMYFUNCTION("""COMPUTED_VALUE"""),"S-2-11")</f>
        <v>S-2-11</v>
      </c>
    </row>
    <row r="534">
      <c r="A534" s="2" t="str">
        <f>IFERROR(__xludf.DUMMYFUNCTION("""COMPUTED_VALUE"""),"O-20556-00")</f>
        <v>O-20556-00</v>
      </c>
      <c r="B534" s="2" t="str">
        <f>IFERROR(__xludf.DUMMYFUNCTION("""COMPUTED_VALUE"""),"Marchesini MA155 - Upper Belt Shaft, 21. 4. 0. 1/0. 394K; -; M660010002; 1 Pc")</f>
        <v>Marchesini MA155 - Upper Belt Shaft, 21. 4. 0. 1/0. 394K; -; M660010002; 1 Pc</v>
      </c>
      <c r="C534" s="2" t="str">
        <f>IFERROR(__xludf.DUMMYFUNCTION("""COMPUTED_VALUE"""),"pc")</f>
        <v>pc</v>
      </c>
      <c r="D534" s="2">
        <f>IFERROR(__xludf.DUMMYFUNCTION("""COMPUTED_VALUE"""),1.0)</f>
        <v>1</v>
      </c>
      <c r="E534" s="2" t="str">
        <f>IFERROR(__xludf.DUMMYFUNCTION("""COMPUTED_VALUE"""),"G-2")</f>
        <v>G-2</v>
      </c>
    </row>
    <row r="535">
      <c r="A535" s="2" t="str">
        <f>IFERROR(__xludf.DUMMYFUNCTION("""COMPUTED_VALUE"""),"O-18968-00")</f>
        <v>O-18968-00</v>
      </c>
      <c r="B535" s="2" t="str">
        <f>IFERROR(__xludf.DUMMYFUNCTION("""COMPUTED_VALUE"""),"Capping VCM216 - Washer B; ; ;; Custom/Lokal; -; 1 Pc")</f>
        <v>Capping VCM216 - Washer B; ; ;; Custom/Lokal; -; 1 Pc</v>
      </c>
      <c r="C535" s="2" t="str">
        <f>IFERROR(__xludf.DUMMYFUNCTION("""COMPUTED_VALUE"""),"pc")</f>
        <v>pc</v>
      </c>
      <c r="D535" s="2">
        <f>IFERROR(__xludf.DUMMYFUNCTION("""COMPUTED_VALUE"""),1.0)</f>
        <v>1</v>
      </c>
      <c r="E535" s="2"/>
    </row>
    <row r="536">
      <c r="A536" s="2" t="str">
        <f>IFERROR(__xludf.DUMMYFUNCTION("""COMPUTED_VALUE"""),"O-20903-00")</f>
        <v>O-20903-00</v>
      </c>
      <c r="B536" s="2" t="str">
        <f>IFERROR(__xludf.DUMMYFUNCTION("""COMPUTED_VALUE"""),"Filling VFM100 - Base Plate Loadcell 163.5x28x4mm; Custom/Lokal; -; 1 Pc")</f>
        <v>Filling VFM100 - Base Plate Loadcell 163.5x28x4mm; Custom/Lokal; -; 1 Pc</v>
      </c>
      <c r="C536" s="2" t="str">
        <f>IFERROR(__xludf.DUMMYFUNCTION("""COMPUTED_VALUE"""),"pc")</f>
        <v>pc</v>
      </c>
      <c r="D536" s="2">
        <f>IFERROR(__xludf.DUMMYFUNCTION("""COMPUTED_VALUE"""),1.0)</f>
        <v>1</v>
      </c>
      <c r="E536" s="2"/>
    </row>
    <row r="537">
      <c r="A537" s="2" t="str">
        <f>IFERROR(__xludf.DUMMYFUNCTION("""COMPUTED_VALUE"""),"P-20637-00")</f>
        <v>P-20637-00</v>
      </c>
      <c r="B537" s="2" t="str">
        <f>IFERROR(__xludf.DUMMYFUNCTION("""COMPUTED_VALUE"""),"General - Motorize Valve; Belimo; NMX 120-3; 1 pc")</f>
        <v>General - Motorize Valve; Belimo; NMX 120-3; 1 pc</v>
      </c>
      <c r="C537" s="2" t="str">
        <f>IFERROR(__xludf.DUMMYFUNCTION("""COMPUTED_VALUE"""),"pc")</f>
        <v>pc</v>
      </c>
      <c r="D537" s="2">
        <f>IFERROR(__xludf.DUMMYFUNCTION("""COMPUTED_VALUE"""),1.0)</f>
        <v>1</v>
      </c>
      <c r="E537" s="2" t="str">
        <f>IFERROR(__xludf.DUMMYFUNCTION("""COMPUTED_VALUE"""),"R-2-2")</f>
        <v>R-2-2</v>
      </c>
    </row>
    <row r="538">
      <c r="A538" s="2" t="str">
        <f>IFERROR(__xludf.DUMMYFUNCTION("""COMPUTED_VALUE"""),"O-53151-00")</f>
        <v>O-53151-00</v>
      </c>
      <c r="B538" s="2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538" s="2" t="str">
        <f>IFERROR(__xludf.DUMMYFUNCTION("""COMPUTED_VALUE"""),"pc")</f>
        <v>pc</v>
      </c>
      <c r="D538" s="2">
        <f>IFERROR(__xludf.DUMMYFUNCTION("""COMPUTED_VALUE"""),2.0)</f>
        <v>2</v>
      </c>
      <c r="E538" s="2" t="str">
        <f>IFERROR(__xludf.DUMMYFUNCTION("""COMPUTED_VALUE"""),"D-1-16A")</f>
        <v>D-1-16A</v>
      </c>
    </row>
    <row r="539">
      <c r="A539" s="2" t="str">
        <f>IFERROR(__xludf.DUMMYFUNCTION("""COMPUTED_VALUE"""),"P-20182-00")</f>
        <v>P-20182-00</v>
      </c>
      <c r="B539" s="2" t="str">
        <f>IFERROR(__xludf.DUMMYFUNCTION("""COMPUTED_VALUE"""),"General - Kawat Las SS E-308 2.0mm; No Brand; -; 1 kg/pack")</f>
        <v>General - Kawat Las SS E-308 2.0mm; No Brand; -; 1 kg/pack</v>
      </c>
      <c r="C539" s="2" t="str">
        <f>IFERROR(__xludf.DUMMYFUNCTION("""COMPUTED_VALUE"""),"Pck")</f>
        <v>Pck</v>
      </c>
      <c r="D539" s="2">
        <f>IFERROR(__xludf.DUMMYFUNCTION("""COMPUTED_VALUE"""),1.0)</f>
        <v>1</v>
      </c>
      <c r="E539" s="2"/>
    </row>
    <row r="540">
      <c r="A540" s="2" t="str">
        <f>IFERROR(__xludf.DUMMYFUNCTION("""COMPUTED_VALUE"""),"P-14245-00")</f>
        <v>P-14245-00</v>
      </c>
      <c r="B540" s="2" t="str">
        <f>IFERROR(__xludf.DUMMYFUNCTION("""COMPUTED_VALUE"""),"General - Shut-off Valve, HE-2-QS-8; Festo; 153468; 1 pcs")</f>
        <v>General - Shut-off Valve, HE-2-QS-8; Festo; 153468; 1 pcs</v>
      </c>
      <c r="C540" s="2" t="str">
        <f>IFERROR(__xludf.DUMMYFUNCTION("""COMPUTED_VALUE"""),"pc")</f>
        <v>pc</v>
      </c>
      <c r="D540" s="2">
        <f>IFERROR(__xludf.DUMMYFUNCTION("""COMPUTED_VALUE"""),13.0)</f>
        <v>13</v>
      </c>
      <c r="E540" s="2" t="str">
        <f>IFERROR(__xludf.DUMMYFUNCTION("""COMPUTED_VALUE"""),"M3")</f>
        <v>M3</v>
      </c>
    </row>
    <row r="541">
      <c r="A541" s="2" t="str">
        <f>IFERROR(__xludf.DUMMYFUNCTION("""COMPUTED_VALUE"""),"O-52430-00")</f>
        <v>O-52430-00</v>
      </c>
      <c r="B541" s="2" t="str">
        <f>IFERROR(__xludf.DUMMYFUNCTION("""COMPUTED_VALUE"""),"General - Fan 24V; Sunon; KDE2405PFB1-8; 1 pc")</f>
        <v>General - Fan 24V; Sunon; KDE2405PFB1-8; 1 pc</v>
      </c>
      <c r="C541" s="2" t="str">
        <f>IFERROR(__xludf.DUMMYFUNCTION("""COMPUTED_VALUE"""),"pc")</f>
        <v>pc</v>
      </c>
      <c r="D541" s="2">
        <f>IFERROR(__xludf.DUMMYFUNCTION("""COMPUTED_VALUE"""),1.0)</f>
        <v>1</v>
      </c>
      <c r="E541" s="2" t="str">
        <f>IFERROR(__xludf.DUMMYFUNCTION("""COMPUTED_VALUE"""),"F-2")</f>
        <v>F-2</v>
      </c>
    </row>
    <row r="542">
      <c r="A542" s="2" t="str">
        <f>IFERROR(__xludf.DUMMYFUNCTION("""COMPUTED_VALUE"""),"O-52224-00")</f>
        <v>O-52224-00</v>
      </c>
      <c r="B542" s="2" t="str">
        <f>IFERROR(__xludf.DUMMYFUNCTION("""COMPUTED_VALUE"""),"General - Fuse Keramik 22x58 40A 200kA; -; -; 1 Pc")</f>
        <v>General - Fuse Keramik 22x58 40A 200kA; -; -; 1 Pc</v>
      </c>
      <c r="C542" s="2" t="str">
        <f>IFERROR(__xludf.DUMMYFUNCTION("""COMPUTED_VALUE"""),"pc")</f>
        <v>pc</v>
      </c>
      <c r="D542" s="2">
        <f>IFERROR(__xludf.DUMMYFUNCTION("""COMPUTED_VALUE"""),6.0)</f>
        <v>6</v>
      </c>
      <c r="E542" s="2" t="str">
        <f>IFERROR(__xludf.DUMMYFUNCTION("""COMPUTED_VALUE"""),"B-3-5")</f>
        <v>B-3-5</v>
      </c>
    </row>
    <row r="543">
      <c r="A543" s="2" t="str">
        <f>IFERROR(__xludf.DUMMYFUNCTION("""COMPUTED_VALUE"""),"P-19232-00")</f>
        <v>P-19232-00</v>
      </c>
      <c r="B543" s="2" t="str">
        <f>IFERROR(__xludf.DUMMYFUNCTION("""COMPUTED_VALUE"""),"General - Fitting QSL 3/8 x 12 mm; EMC; -; 1 pc")</f>
        <v>General - Fitting QSL 3/8 x 12 mm; EMC; -; 1 pc</v>
      </c>
      <c r="C543" s="2" t="str">
        <f>IFERROR(__xludf.DUMMYFUNCTION("""COMPUTED_VALUE"""),"pc")</f>
        <v>pc</v>
      </c>
      <c r="D543" s="2">
        <f>IFERROR(__xludf.DUMMYFUNCTION("""COMPUTED_VALUE"""),10.0)</f>
        <v>10</v>
      </c>
      <c r="E543" s="2" t="str">
        <f>IFERROR(__xludf.DUMMYFUNCTION("""COMPUTED_VALUE"""),"R-4-8")</f>
        <v>R-4-8</v>
      </c>
    </row>
    <row r="544">
      <c r="A544" s="2" t="str">
        <f>IFERROR(__xludf.DUMMYFUNCTION("""COMPUTED_VALUE"""),"P-18963-00")</f>
        <v>P-18963-00</v>
      </c>
      <c r="B544" s="2" t="str">
        <f>IFERROR(__xludf.DUMMYFUNCTION("""COMPUTED_VALUE"""),"General - Tubing Nylon Putih 6 x 8mm; No Brand; -; 1 Pc")</f>
        <v>General - Tubing Nylon Putih 6 x 8mm; No Brand; -; 1 Pc</v>
      </c>
      <c r="C544" s="2" t="str">
        <f>IFERROR(__xludf.DUMMYFUNCTION("""COMPUTED_VALUE"""),"pc")</f>
        <v>pc</v>
      </c>
      <c r="D544" s="2">
        <f>IFERROR(__xludf.DUMMYFUNCTION("""COMPUTED_VALUE"""),30.0)</f>
        <v>30</v>
      </c>
      <c r="E544" s="2" t="str">
        <f>IFERROR(__xludf.DUMMYFUNCTION("""COMPUTED_VALUE"""),"-")</f>
        <v>-</v>
      </c>
    </row>
    <row r="545">
      <c r="A545" s="2" t="str">
        <f>IFERROR(__xludf.DUMMYFUNCTION("""COMPUTED_VALUE"""),"P-14519-00")</f>
        <v>P-14519-00</v>
      </c>
      <c r="B545" s="2" t="str">
        <f>IFERROR(__xludf.DUMMYFUNCTION("""COMPUTED_VALUE"""),"General - Baut Hexagonal, SS, M8 x 30 mm + Mur + Ring; No Brand; -; 1 pcs")</f>
        <v>General - Baut Hexagonal, SS, M8 x 30 mm + Mur + Ring; No Brand; -; 1 pcs</v>
      </c>
      <c r="C545" s="2" t="str">
        <f>IFERROR(__xludf.DUMMYFUNCTION("""COMPUTED_VALUE"""),"pc")</f>
        <v>pc</v>
      </c>
      <c r="D545" s="2">
        <f>IFERROR(__xludf.DUMMYFUNCTION("""COMPUTED_VALUE"""),100.0)</f>
        <v>100</v>
      </c>
      <c r="E545" s="2" t="str">
        <f>IFERROR(__xludf.DUMMYFUNCTION("""COMPUTED_VALUE"""),"-")</f>
        <v>-</v>
      </c>
    </row>
    <row r="546">
      <c r="A546" s="2" t="str">
        <f>IFERROR(__xludf.DUMMYFUNCTION("""COMPUTED_VALUE"""),"O-53466-00")</f>
        <v>O-53466-00</v>
      </c>
      <c r="B546" s="2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546" s="2" t="str">
        <f>IFERROR(__xludf.DUMMYFUNCTION("""COMPUTED_VALUE"""),"pc")</f>
        <v>pc</v>
      </c>
      <c r="D546" s="2">
        <f>IFERROR(__xludf.DUMMYFUNCTION("""COMPUTED_VALUE"""),1.0)</f>
        <v>1</v>
      </c>
      <c r="E546" s="2" t="str">
        <f>IFERROR(__xludf.DUMMYFUNCTION("""COMPUTED_VALUE"""),"F-2-7")</f>
        <v>F-2-7</v>
      </c>
    </row>
    <row r="547">
      <c r="A547" s="2" t="str">
        <f>IFERROR(__xludf.DUMMYFUNCTION("""COMPUTED_VALUE"""),"O-18175-00")</f>
        <v>O-18175-00</v>
      </c>
      <c r="B547" s="2" t="str">
        <f>IFERROR(__xludf.DUMMYFUNCTION("""COMPUTED_VALUE"""),"Freeze Dryer MBE1207 - Teflon Self, Mat. Teflon; Custom/Lokal; -; 1 Pc")</f>
        <v>Freeze Dryer MBE1207 - Teflon Self, Mat. Teflon; Custom/Lokal; -; 1 Pc</v>
      </c>
      <c r="C547" s="2" t="str">
        <f>IFERROR(__xludf.DUMMYFUNCTION("""COMPUTED_VALUE"""),"pc")</f>
        <v>pc</v>
      </c>
      <c r="D547" s="2">
        <f>IFERROR(__xludf.DUMMYFUNCTION("""COMPUTED_VALUE"""),10.0)</f>
        <v>10</v>
      </c>
      <c r="E547" s="2" t="str">
        <f>IFERROR(__xludf.DUMMYFUNCTION("""COMPUTED_VALUE"""),"D-2-1D")</f>
        <v>D-2-1D</v>
      </c>
    </row>
    <row r="548">
      <c r="A548" s="2" t="str">
        <f>IFERROR(__xludf.DUMMYFUNCTION("""COMPUTED_VALUE"""),"P-13365-00")</f>
        <v>P-13365-00</v>
      </c>
      <c r="B548" s="2" t="str">
        <f>IFERROR(__xludf.DUMMYFUNCTION("""COMPUTED_VALUE"""),"General - Cutting Wheel 14inch; Nippon Resibon; -; 1 pc")</f>
        <v>General - Cutting Wheel 14inch; Nippon Resibon; -; 1 pc</v>
      </c>
      <c r="C548" s="2" t="str">
        <f>IFERROR(__xludf.DUMMYFUNCTION("""COMPUTED_VALUE"""),"pc")</f>
        <v>pc</v>
      </c>
      <c r="D548" s="2">
        <f>IFERROR(__xludf.DUMMYFUNCTION("""COMPUTED_VALUE"""),2.0)</f>
        <v>2</v>
      </c>
      <c r="E548" s="2" t="str">
        <f>IFERROR(__xludf.DUMMYFUNCTION("""COMPUTED_VALUE"""),"L-2")</f>
        <v>L-2</v>
      </c>
    </row>
    <row r="549">
      <c r="A549" s="2" t="str">
        <f>IFERROR(__xludf.DUMMYFUNCTION("""COMPUTED_VALUE"""),"O-15911-00")</f>
        <v>O-15911-00</v>
      </c>
      <c r="B549" s="2" t="str">
        <f>IFERROR(__xludf.DUMMYFUNCTION("""COMPUTED_VALUE"""),"Fedegari FVA2/A1 - PLUG DN35 ASTM; PM102749; -; 1 pc")</f>
        <v>Fedegari FVA2/A1 - PLUG DN35 ASTM; PM102749; -; 1 pc</v>
      </c>
      <c r="C549" s="2" t="str">
        <f>IFERROR(__xludf.DUMMYFUNCTION("""COMPUTED_VALUE"""),"unt")</f>
        <v>unt</v>
      </c>
      <c r="D549" s="2">
        <f>IFERROR(__xludf.DUMMYFUNCTION("""COMPUTED_VALUE"""),5.0)</f>
        <v>5</v>
      </c>
      <c r="E549" s="2" t="str">
        <f>IFERROR(__xludf.DUMMYFUNCTION("""COMPUTED_VALUE"""),"E-3-5")</f>
        <v>E-3-5</v>
      </c>
    </row>
    <row r="550">
      <c r="A550" s="2" t="str">
        <f>IFERROR(__xludf.DUMMYFUNCTION("""COMPUTED_VALUE"""),"P-12029-00")</f>
        <v>P-12029-00</v>
      </c>
      <c r="B550" s="2" t="str">
        <f>IFERROR(__xludf.DUMMYFUNCTION("""COMPUTED_VALUE"""),"Chemical - NS-stain Clean, Stainless Steel Pickling Gel; Nikko Steel; -; 1 kg/can")</f>
        <v>Chemical - NS-stain Clean, Stainless Steel Pickling Gel; Nikko Steel; -; 1 kg/can</v>
      </c>
      <c r="C550" s="2" t="str">
        <f>IFERROR(__xludf.DUMMYFUNCTION("""COMPUTED_VALUE"""),"pc")</f>
        <v>pc</v>
      </c>
      <c r="D550" s="2">
        <f>IFERROR(__xludf.DUMMYFUNCTION("""COMPUTED_VALUE"""),5.0)</f>
        <v>5</v>
      </c>
      <c r="E550" s="2" t="str">
        <f>IFERROR(__xludf.DUMMYFUNCTION("""COMPUTED_VALUE"""),"Flammable")</f>
        <v>Flammable</v>
      </c>
    </row>
    <row r="551">
      <c r="A551" s="2" t="str">
        <f>IFERROR(__xludf.DUMMYFUNCTION("""COMPUTED_VALUE"""),"P-18788-00")</f>
        <v>P-18788-00</v>
      </c>
      <c r="B551" s="2" t="str">
        <f>IFERROR(__xludf.DUMMYFUNCTION("""COMPUTED_VALUE"""),"General - Baut Hexagonal, SS, M6 x 55 mm + Mur; No Brand; -; 1 pcs")</f>
        <v>General - Baut Hexagonal, SS, M6 x 55 mm + Mur; No Brand; -; 1 pcs</v>
      </c>
      <c r="C551" s="2" t="str">
        <f>IFERROR(__xludf.DUMMYFUNCTION("""COMPUTED_VALUE"""),"pc")</f>
        <v>pc</v>
      </c>
      <c r="D551" s="2">
        <f>IFERROR(__xludf.DUMMYFUNCTION("""COMPUTED_VALUE"""),30.0)</f>
        <v>30</v>
      </c>
      <c r="E551" s="2" t="str">
        <f>IFERROR(__xludf.DUMMYFUNCTION("""COMPUTED_VALUE"""),"A-1-6")</f>
        <v>A-1-6</v>
      </c>
    </row>
    <row r="552">
      <c r="A552" s="2" t="str">
        <f>IFERROR(__xludf.DUMMYFUNCTION("""COMPUTED_VALUE"""),"O-18041-00")</f>
        <v>O-18041-00</v>
      </c>
      <c r="B552" s="2" t="str">
        <f>IFERROR(__xludf.DUMMYFUNCTION("""COMPUTED_VALUE"""),"General - Bearing 624 ZZ; SKF; -; 1 pcs")</f>
        <v>General - Bearing 624 ZZ; SKF; -; 1 pcs</v>
      </c>
      <c r="C552" s="2" t="str">
        <f>IFERROR(__xludf.DUMMYFUNCTION("""COMPUTED_VALUE"""),"pc")</f>
        <v>pc</v>
      </c>
      <c r="D552" s="2">
        <f>IFERROR(__xludf.DUMMYFUNCTION("""COMPUTED_VALUE"""),22.0)</f>
        <v>22</v>
      </c>
      <c r="E552" s="2" t="str">
        <f>IFERROR(__xludf.DUMMYFUNCTION("""COMPUTED_VALUE"""),"C-2-2A")</f>
        <v>C-2-2A</v>
      </c>
    </row>
    <row r="553">
      <c r="A553" s="2" t="str">
        <f>IFERROR(__xludf.DUMMYFUNCTION("""COMPUTED_VALUE"""),"P-14951-00")</f>
        <v>P-14951-00</v>
      </c>
      <c r="B553" s="2" t="str">
        <f>IFERROR(__xludf.DUMMYFUNCTION("""COMPUTED_VALUE"""),"General - Fitting Union Tee KQ2T06-00A; SMC; -; 1 pc")</f>
        <v>General - Fitting Union Tee KQ2T06-00A; SMC; -; 1 pc</v>
      </c>
      <c r="C553" s="2" t="str">
        <f>IFERROR(__xludf.DUMMYFUNCTION("""COMPUTED_VALUE"""),"pc")</f>
        <v>pc</v>
      </c>
      <c r="D553" s="2">
        <f>IFERROR(__xludf.DUMMYFUNCTION("""COMPUTED_VALUE"""),11.0)</f>
        <v>11</v>
      </c>
      <c r="E553" s="2" t="str">
        <f>IFERROR(__xludf.DUMMYFUNCTION("""COMPUTED_VALUE"""),"R-2-3")</f>
        <v>R-2-3</v>
      </c>
    </row>
    <row r="554">
      <c r="A554" s="2" t="str">
        <f>IFERROR(__xludf.DUMMYFUNCTION("""COMPUTED_VALUE"""),"P-50781-00")</f>
        <v>P-50781-00</v>
      </c>
      <c r="B554" s="2" t="str">
        <f>IFERROR(__xludf.DUMMYFUNCTION("""COMPUTED_VALUE"""),"Battery 12V 18AH merk LONG")</f>
        <v>Battery 12V 18AH merk LONG</v>
      </c>
      <c r="C554" s="2" t="str">
        <f>IFERROR(__xludf.DUMMYFUNCTION("""COMPUTED_VALUE"""),"pc")</f>
        <v>pc</v>
      </c>
      <c r="D554" s="2">
        <f>IFERROR(__xludf.DUMMYFUNCTION("""COMPUTED_VALUE"""),4.0)</f>
        <v>4</v>
      </c>
      <c r="E554" s="2" t="str">
        <f>IFERROR(__xludf.DUMMYFUNCTION("""COMPUTED_VALUE"""),"G-3")</f>
        <v>G-3</v>
      </c>
    </row>
    <row r="555">
      <c r="A555" s="2" t="str">
        <f>IFERROR(__xludf.DUMMYFUNCTION("""COMPUTED_VALUE"""),"Q-12073-00")</f>
        <v>Q-12073-00</v>
      </c>
      <c r="B555" s="2" t="str">
        <f>IFERROR(__xludf.DUMMYFUNCTION("""COMPUTED_VALUE"""),"Door Seal Brush Alumunium; Lokal; Ukuran 100 cm x 3,5 cm; pc")</f>
        <v>Door Seal Brush Alumunium; Lokal; Ukuran 100 cm x 3,5 cm; pc</v>
      </c>
      <c r="C555" s="2" t="str">
        <f>IFERROR(__xludf.DUMMYFUNCTION("""COMPUTED_VALUE"""),"pc")</f>
        <v>pc</v>
      </c>
      <c r="D555" s="2">
        <f>IFERROR(__xludf.DUMMYFUNCTION("""COMPUTED_VALUE"""),4.0)</f>
        <v>4</v>
      </c>
      <c r="E555" s="2"/>
    </row>
    <row r="556">
      <c r="A556" s="2" t="str">
        <f>IFERROR(__xludf.DUMMYFUNCTION("""COMPUTED_VALUE"""),"P-18467-00")</f>
        <v>P-18467-00</v>
      </c>
      <c r="B556" s="2" t="str">
        <f>IFERROR(__xludf.DUMMYFUNCTION("""COMPUTED_VALUE"""),"General - Pass Box Stickers JZC-A Kecil; No Brand; -; 1 Pc")</f>
        <v>General - Pass Box Stickers JZC-A Kecil; No Brand; -; 1 Pc</v>
      </c>
      <c r="C556" s="2" t="str">
        <f>IFERROR(__xludf.DUMMYFUNCTION("""COMPUTED_VALUE"""),"pc")</f>
        <v>pc</v>
      </c>
      <c r="D556" s="2">
        <f>IFERROR(__xludf.DUMMYFUNCTION("""COMPUTED_VALUE"""),23.0)</f>
        <v>23</v>
      </c>
      <c r="E556" s="2" t="str">
        <f>IFERROR(__xludf.DUMMYFUNCTION("""COMPUTED_VALUE"""),"F-3-4B")</f>
        <v>F-3-4B</v>
      </c>
    </row>
    <row r="557">
      <c r="A557" s="2" t="str">
        <f>IFERROR(__xludf.DUMMYFUNCTION("""COMPUTED_VALUE"""),"P-12881-00")</f>
        <v>P-12881-00</v>
      </c>
      <c r="B557" s="2" t="str">
        <f>IFERROR(__xludf.DUMMYFUNCTION("""COMPUTED_VALUE"""),"General - Tee, PVC AW, 1 1/2"" x 1 1/2""; No Brand; -; 1 pcs")</f>
        <v>General - Tee, PVC AW, 1 1/2" x 1 1/2"; No Brand; -; 1 pcs</v>
      </c>
      <c r="C557" s="2" t="str">
        <f>IFERROR(__xludf.DUMMYFUNCTION("""COMPUTED_VALUE"""),"pc")</f>
        <v>pc</v>
      </c>
      <c r="D557" s="2">
        <f>IFERROR(__xludf.DUMMYFUNCTION("""COMPUTED_VALUE"""),10.0)</f>
        <v>10</v>
      </c>
      <c r="E557" s="2" t="str">
        <f>IFERROR(__xludf.DUMMYFUNCTION("""COMPUTED_VALUE"""),"-")</f>
        <v>-</v>
      </c>
    </row>
    <row r="558">
      <c r="A558" s="2" t="str">
        <f>IFERROR(__xludf.DUMMYFUNCTION("""COMPUTED_VALUE"""),"O-21458-00")</f>
        <v>O-21458-00</v>
      </c>
      <c r="B558" s="2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558" s="2" t="str">
        <f>IFERROR(__xludf.DUMMYFUNCTION("""COMPUTED_VALUE"""),"pc")</f>
        <v>pc</v>
      </c>
      <c r="D558" s="2">
        <f>IFERROR(__xludf.DUMMYFUNCTION("""COMPUTED_VALUE"""),1.0)</f>
        <v>1</v>
      </c>
      <c r="E558" s="2" t="str">
        <f>IFERROR(__xludf.DUMMYFUNCTION("""COMPUTED_VALUE"""),"-")</f>
        <v>-</v>
      </c>
    </row>
    <row r="559">
      <c r="A559" s="2" t="str">
        <f>IFERROR(__xludf.DUMMYFUNCTION("""COMPUTED_VALUE"""),"O-53197-00")</f>
        <v>O-53197-00</v>
      </c>
      <c r="B559" s="2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559" s="2" t="str">
        <f>IFERROR(__xludf.DUMMYFUNCTION("""COMPUTED_VALUE"""),"pc")</f>
        <v>pc</v>
      </c>
      <c r="D559" s="2">
        <f>IFERROR(__xludf.DUMMYFUNCTION("""COMPUTED_VALUE"""),1.0)</f>
        <v>1</v>
      </c>
      <c r="E559" s="2" t="str">
        <f>IFERROR(__xludf.DUMMYFUNCTION("""COMPUTED_VALUE"""),"B-1")</f>
        <v>B-1</v>
      </c>
    </row>
    <row r="560">
      <c r="A560" s="2" t="str">
        <f>IFERROR(__xludf.DUMMYFUNCTION("""COMPUTED_VALUE"""),"O-53200-00")</f>
        <v>O-53200-00</v>
      </c>
      <c r="B560" s="2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560" s="2" t="str">
        <f>IFERROR(__xludf.DUMMYFUNCTION("""COMPUTED_VALUE"""),"pc")</f>
        <v>pc</v>
      </c>
      <c r="D560" s="2">
        <f>IFERROR(__xludf.DUMMYFUNCTION("""COMPUTED_VALUE"""),1.0)</f>
        <v>1</v>
      </c>
      <c r="E560" s="2" t="str">
        <f>IFERROR(__xludf.DUMMYFUNCTION("""COMPUTED_VALUE"""),"B-2-8A")</f>
        <v>B-2-8A</v>
      </c>
    </row>
    <row r="561">
      <c r="A561" s="2" t="str">
        <f>IFERROR(__xludf.DUMMYFUNCTION("""COMPUTED_VALUE"""),"Q-10817-00")</f>
        <v>Q-10817-00</v>
      </c>
      <c r="B561" s="2" t="str">
        <f>IFERROR(__xludf.DUMMYFUNCTION("""COMPUTED_VALUE"""),"Door Closer TS 77 Hold Open;Dorma;Model: TS 77;pack size per pcs")</f>
        <v>Door Closer TS 77 Hold Open;Dorma;Model: TS 77;pack size per pcs</v>
      </c>
      <c r="C561" s="2" t="str">
        <f>IFERROR(__xludf.DUMMYFUNCTION("""COMPUTED_VALUE"""),"pc")</f>
        <v>pc</v>
      </c>
      <c r="D561" s="2">
        <f>IFERROR(__xludf.DUMMYFUNCTION("""COMPUTED_VALUE"""),1.0)</f>
        <v>1</v>
      </c>
      <c r="E561" s="2" t="str">
        <f>IFERROR(__xludf.DUMMYFUNCTION("""COMPUTED_VALUE"""),"O-4")</f>
        <v>O-4</v>
      </c>
    </row>
    <row r="562">
      <c r="A562" s="2" t="str">
        <f>IFERROR(__xludf.DUMMYFUNCTION("""COMPUTED_VALUE"""),"P-17830-00")</f>
        <v>P-17830-00</v>
      </c>
      <c r="B562" s="2" t="str">
        <f>IFERROR(__xludf.DUMMYFUNCTION("""COMPUTED_VALUE"""),"Chemical - Cleaner Stainless Stell &amp; Polish; 3M; -; 600g/can")</f>
        <v>Chemical - Cleaner Stainless Stell &amp; Polish; 3M; -; 600g/can</v>
      </c>
      <c r="C562" s="2" t="str">
        <f>IFERROR(__xludf.DUMMYFUNCTION("""COMPUTED_VALUE"""),"Can")</f>
        <v>Can</v>
      </c>
      <c r="D562" s="2">
        <f>IFERROR(__xludf.DUMMYFUNCTION("""COMPUTED_VALUE"""),3.0)</f>
        <v>3</v>
      </c>
      <c r="E562" s="2" t="str">
        <f>IFERROR(__xludf.DUMMYFUNCTION("""COMPUTED_VALUE"""),"Flammable")</f>
        <v>Flammable</v>
      </c>
    </row>
    <row r="563">
      <c r="A563" s="2" t="str">
        <f>IFERROR(__xludf.DUMMYFUNCTION("""COMPUTED_VALUE"""),"P-15945-00")</f>
        <v>P-15945-00</v>
      </c>
      <c r="B563" s="2" t="str">
        <f>IFERROR(__xludf.DUMMYFUNCTION("""COMPUTED_VALUE"""),"General - V-belt SPA 2082 MAXSTAR WEDGE; Optibelt; -; 1 unt")</f>
        <v>General - V-belt SPA 2082 MAXSTAR WEDGE; Optibelt; -; 1 unt</v>
      </c>
      <c r="C563" s="2" t="str">
        <f>IFERROR(__xludf.DUMMYFUNCTION("""COMPUTED_VALUE"""),"unt")</f>
        <v>unt</v>
      </c>
      <c r="D563" s="2">
        <f>IFERROR(__xludf.DUMMYFUNCTION("""COMPUTED_VALUE"""),2.0)</f>
        <v>2</v>
      </c>
      <c r="E563" s="2" t="str">
        <f>IFERROR(__xludf.DUMMYFUNCTION("""COMPUTED_VALUE"""),"L3")</f>
        <v>L3</v>
      </c>
    </row>
    <row r="564">
      <c r="A564" s="2" t="str">
        <f>IFERROR(__xludf.DUMMYFUNCTION("""COMPUTED_VALUE"""),"P-51844-00")</f>
        <v>P-51844-00</v>
      </c>
      <c r="B564" s="2" t="str">
        <f>IFERROR(__xludf.DUMMYFUNCTION("""COMPUTED_VALUE"""),"General - round Green push-button ? 22 - flush spring return - 1NO; Schneider; XA2EA31; 1 pcs")</f>
        <v>General - round Green push-button ? 22 - flush spring return - 1NO; Schneider; XA2EA31; 1 pcs</v>
      </c>
      <c r="C564" s="2" t="str">
        <f>IFERROR(__xludf.DUMMYFUNCTION("""COMPUTED_VALUE"""),"pc")</f>
        <v>pc</v>
      </c>
      <c r="D564" s="2">
        <f>IFERROR(__xludf.DUMMYFUNCTION("""COMPUTED_VALUE"""),2.0)</f>
        <v>2</v>
      </c>
      <c r="E564" s="2" t="str">
        <f>IFERROR(__xludf.DUMMYFUNCTION("""COMPUTED_VALUE"""),"A-4-15B")</f>
        <v>A-4-15B</v>
      </c>
    </row>
    <row r="565">
      <c r="A565" s="2" t="str">
        <f>IFERROR(__xludf.DUMMYFUNCTION("""COMPUTED_VALUE"""),"P-51253-00")</f>
        <v>P-51253-00</v>
      </c>
      <c r="B565" s="2" t="str">
        <f>IFERROR(__xludf.DUMMYFUNCTION("""COMPUTED_VALUE"""),"General - Skun Y 0.75mm; No Brand; -; 100pcs/pack")</f>
        <v>General - Skun Y 0.75mm; No Brand; -; 100pcs/pack</v>
      </c>
      <c r="C565" s="2" t="str">
        <f>IFERROR(__xludf.DUMMYFUNCTION("""COMPUTED_VALUE"""),"pc")</f>
        <v>pc</v>
      </c>
      <c r="D565" s="2">
        <f>IFERROR(__xludf.DUMMYFUNCTION("""COMPUTED_VALUE"""),1.0)</f>
        <v>1</v>
      </c>
      <c r="E565" s="2" t="str">
        <f>IFERROR(__xludf.DUMMYFUNCTION("""COMPUTED_VALUE"""),"-")</f>
        <v>-</v>
      </c>
    </row>
    <row r="566">
      <c r="A566" s="2" t="str">
        <f>IFERROR(__xludf.DUMMYFUNCTION("""COMPUTED_VALUE"""),"O-19212-00")</f>
        <v>O-19212-00</v>
      </c>
      <c r="B566" s="2" t="str">
        <f>IFERROR(__xludf.DUMMYFUNCTION("""COMPUTED_VALUE"""),"General - Orifice No. 03; Danfoss; 068-2006; 1 Pc")</f>
        <v>General - Orifice No. 03; Danfoss; 068-2006; 1 Pc</v>
      </c>
      <c r="C566" s="2" t="str">
        <f>IFERROR(__xludf.DUMMYFUNCTION("""COMPUTED_VALUE"""),"pc")</f>
        <v>pc</v>
      </c>
      <c r="D566" s="2">
        <f>IFERROR(__xludf.DUMMYFUNCTION("""COMPUTED_VALUE"""),4.0)</f>
        <v>4</v>
      </c>
      <c r="E566" s="2" t="str">
        <f>IFERROR(__xludf.DUMMYFUNCTION("""COMPUTED_VALUE"""),"D-2-8A")</f>
        <v>D-2-8A</v>
      </c>
    </row>
    <row r="567">
      <c r="A567" s="2" t="str">
        <f>IFERROR(__xludf.DUMMYFUNCTION("""COMPUTED_VALUE"""),"O-50994-00")</f>
        <v>O-50994-00</v>
      </c>
      <c r="B567" s="2" t="str">
        <f>IFERROR(__xludf.DUMMYFUNCTION("""COMPUTED_VALUE"""),"Battery kering 12V 7,2AH; ; ;")</f>
        <v>Battery kering 12V 7,2AH; ; ;</v>
      </c>
      <c r="C567" s="2" t="str">
        <f>IFERROR(__xludf.DUMMYFUNCTION("""COMPUTED_VALUE"""),"pc")</f>
        <v>pc</v>
      </c>
      <c r="D567" s="2">
        <f>IFERROR(__xludf.DUMMYFUNCTION("""COMPUTED_VALUE"""),1.0)</f>
        <v>1</v>
      </c>
      <c r="E567" s="2" t="str">
        <f>IFERROR(__xludf.DUMMYFUNCTION("""COMPUTED_VALUE"""),"R-2-11")</f>
        <v>R-2-11</v>
      </c>
    </row>
    <row r="568">
      <c r="A568" s="2" t="str">
        <f>IFERROR(__xludf.DUMMYFUNCTION("""COMPUTED_VALUE"""),"P-51813-00")</f>
        <v>P-51813-00</v>
      </c>
      <c r="B568" s="2" t="str">
        <f>IFERROR(__xludf.DUMMYFUNCTION("""COMPUTED_VALUE"""),"Heavy Duty Door contact; ; ;")</f>
        <v>Heavy Duty Door contact; ; ;</v>
      </c>
      <c r="C568" s="2" t="str">
        <f>IFERROR(__xludf.DUMMYFUNCTION("""COMPUTED_VALUE"""),"unt")</f>
        <v>unt</v>
      </c>
      <c r="D568" s="2">
        <f>IFERROR(__xludf.DUMMYFUNCTION("""COMPUTED_VALUE"""),1.0)</f>
        <v>1</v>
      </c>
      <c r="E568" s="2" t="str">
        <f>IFERROR(__xludf.DUMMYFUNCTION("""COMPUTED_VALUE"""),"F-2-2C")</f>
        <v>F-2-2C</v>
      </c>
    </row>
    <row r="569">
      <c r="A569" s="2" t="str">
        <f>IFERROR(__xludf.DUMMYFUNCTION("""COMPUTED_VALUE"""),"P-17034-00")</f>
        <v>P-17034-00</v>
      </c>
      <c r="B569" s="2" t="str">
        <f>IFERROR(__xludf.DUMMYFUNCTION("""COMPUTED_VALUE"""),"O-ring Gasket packet for 1/2"" BTM7 Thermostatic Steam Trap; ; ;")</f>
        <v>O-ring Gasket packet for 1/2" BTM7 Thermostatic Steam Trap; ; ;</v>
      </c>
      <c r="C569" s="2" t="str">
        <f>IFERROR(__xludf.DUMMYFUNCTION("""COMPUTED_VALUE"""),"unt")</f>
        <v>unt</v>
      </c>
      <c r="D569" s="2">
        <f>IFERROR(__xludf.DUMMYFUNCTION("""COMPUTED_VALUE"""),2.0)</f>
        <v>2</v>
      </c>
      <c r="E569" s="2" t="str">
        <f>IFERROR(__xludf.DUMMYFUNCTION("""COMPUTED_VALUE"""),"M2")</f>
        <v>M2</v>
      </c>
    </row>
    <row r="570">
      <c r="A570" s="2" t="str">
        <f>IFERROR(__xludf.DUMMYFUNCTION("""COMPUTED_VALUE"""),"O-17068-00")</f>
        <v>O-17068-00</v>
      </c>
      <c r="B570" s="2" t="str">
        <f>IFERROR(__xludf.DUMMYFUNCTION("""COMPUTED_VALUE"""),"Washing RAR4 - Pincers Jaws 4 Positions 10R Vial Neck d=15.5; Custom/Lokal; -; 1 Pc")</f>
        <v>Washing RAR4 - Pincers Jaws 4 Positions 10R Vial Neck d=15.5; Custom/Lokal; -; 1 Pc</v>
      </c>
      <c r="C570" s="2" t="str">
        <f>IFERROR(__xludf.DUMMYFUNCTION("""COMPUTED_VALUE"""),"pc")</f>
        <v>pc</v>
      </c>
      <c r="D570" s="2">
        <f>IFERROR(__xludf.DUMMYFUNCTION("""COMPUTED_VALUE"""),19.0)</f>
        <v>19</v>
      </c>
      <c r="E570" s="2" t="str">
        <f>IFERROR(__xludf.DUMMYFUNCTION("""COMPUTED_VALUE"""),"A-1-3D")</f>
        <v>A-1-3D</v>
      </c>
    </row>
    <row r="571">
      <c r="A571" s="2" t="str">
        <f>IFERROR(__xludf.DUMMYFUNCTION("""COMPUTED_VALUE"""),"P-15002-00")</f>
        <v>P-15002-00</v>
      </c>
      <c r="B571" s="2" t="str">
        <f>IFERROR(__xludf.DUMMYFUNCTION("""COMPUTED_VALUE"""),"General - Room Air Temp. &amp; RH Sensor; Siemens; QFA2060D; 1 Pc")</f>
        <v>General - Room Air Temp. &amp; RH Sensor; Siemens; QFA2060D; 1 Pc</v>
      </c>
      <c r="C571" s="2" t="str">
        <f>IFERROR(__xludf.DUMMYFUNCTION("""COMPUTED_VALUE"""),"unt")</f>
        <v>unt</v>
      </c>
      <c r="D571" s="2">
        <f>IFERROR(__xludf.DUMMYFUNCTION("""COMPUTED_VALUE"""),2.0)</f>
        <v>2</v>
      </c>
      <c r="E571" s="2" t="str">
        <f>IFERROR(__xludf.DUMMYFUNCTION("""COMPUTED_VALUE"""),"F-1")</f>
        <v>F-1</v>
      </c>
    </row>
    <row r="572">
      <c r="A572" s="2" t="str">
        <f>IFERROR(__xludf.DUMMYFUNCTION("""COMPUTED_VALUE"""),"P-10877-00")</f>
        <v>P-10877-00</v>
      </c>
      <c r="B572" s="2" t="str">
        <f>IFERROR(__xludf.DUMMYFUNCTION("""COMPUTED_VALUE"""),"General - Reducer, PVC, 2"" x 1""; Rucika; -; 1 pcs")</f>
        <v>General - Reducer, PVC, 2" x 1"; Rucika; -; 1 pcs</v>
      </c>
      <c r="C572" s="2" t="str">
        <f>IFERROR(__xludf.DUMMYFUNCTION("""COMPUTED_VALUE"""),"pc")</f>
        <v>pc</v>
      </c>
      <c r="D572" s="2">
        <f>IFERROR(__xludf.DUMMYFUNCTION("""COMPUTED_VALUE"""),10.0)</f>
        <v>10</v>
      </c>
      <c r="E572" s="2"/>
    </row>
    <row r="573">
      <c r="A573" s="2" t="str">
        <f>IFERROR(__xludf.DUMMYFUNCTION("""COMPUTED_VALUE"""),"O-52884-00")</f>
        <v>O-52884-00</v>
      </c>
      <c r="B573" s="2" t="str">
        <f>IFERROR(__xludf.DUMMYFUNCTION("""COMPUTED_VALUE"""),"General - Laser Sensor World beam 10-30 VDC; Banner; QS18VP6LAF250Q5; 1 Pc")</f>
        <v>General - Laser Sensor World beam 10-30 VDC; Banner; QS18VP6LAF250Q5; 1 Pc</v>
      </c>
      <c r="C573" s="2" t="str">
        <f>IFERROR(__xludf.DUMMYFUNCTION("""COMPUTED_VALUE"""),"pc")</f>
        <v>pc</v>
      </c>
      <c r="D573" s="2">
        <f>IFERROR(__xludf.DUMMYFUNCTION("""COMPUTED_VALUE"""),3.0)</f>
        <v>3</v>
      </c>
      <c r="E573" s="2" t="str">
        <f>IFERROR(__xludf.DUMMYFUNCTION("""COMPUTED_VALUE"""),"C-2-7C")</f>
        <v>C-2-7C</v>
      </c>
    </row>
    <row r="574">
      <c r="A574" s="2" t="str">
        <f>IFERROR(__xludf.DUMMYFUNCTION("""COMPUTED_VALUE"""),"O-15643-00")</f>
        <v>O-15643-00</v>
      </c>
      <c r="B574" s="2" t="str">
        <f>IFERROR(__xludf.DUMMYFUNCTION("""COMPUTED_VALUE"""),"NOZZLE FOR WATER ; STERILINE ;  SS AISI 316L A-1/8MJJXP020S316; PART NO :5311")</f>
        <v>NOZZLE FOR WATER ; STERILINE ;  SS AISI 316L A-1/8MJJXP020S316; PART NO :5311</v>
      </c>
      <c r="C574" s="2" t="str">
        <f>IFERROR(__xludf.DUMMYFUNCTION("""COMPUTED_VALUE"""),"unt")</f>
        <v>unt</v>
      </c>
      <c r="D574" s="2">
        <f>IFERROR(__xludf.DUMMYFUNCTION("""COMPUTED_VALUE"""),2.0)</f>
        <v>2</v>
      </c>
      <c r="E574" s="2" t="str">
        <f>IFERROR(__xludf.DUMMYFUNCTION("""COMPUTED_VALUE"""),"B-2-6")</f>
        <v>B-2-6</v>
      </c>
    </row>
    <row r="575">
      <c r="A575" s="2" t="str">
        <f>IFERROR(__xludf.DUMMYFUNCTION("""COMPUTED_VALUE"""),"O-19393-00")</f>
        <v>O-19393-00</v>
      </c>
      <c r="B575" s="2" t="str">
        <f>IFERROR(__xludf.DUMMYFUNCTION("""COMPUTED_VALUE"""),"Marchesini MA155 - BOCC. Scorrim. Antirotaz. D. 12 Bushing; Marchesini; A108121820; 1 Pc")</f>
        <v>Marchesini MA155 - BOCC. Scorrim. Antirotaz. D. 12 Bushing; Marchesini; A108121820; 1 Pc</v>
      </c>
      <c r="C575" s="2" t="str">
        <f>IFERROR(__xludf.DUMMYFUNCTION("""COMPUTED_VALUE"""),"pc")</f>
        <v>pc</v>
      </c>
      <c r="D575" s="2">
        <f>IFERROR(__xludf.DUMMYFUNCTION("""COMPUTED_VALUE"""),4.0)</f>
        <v>4</v>
      </c>
      <c r="E575" s="2" t="str">
        <f>IFERROR(__xludf.DUMMYFUNCTION("""COMPUTED_VALUE"""),"G-2")</f>
        <v>G-2</v>
      </c>
    </row>
    <row r="576">
      <c r="A576" s="2" t="str">
        <f>IFERROR(__xludf.DUMMYFUNCTION("""COMPUTED_VALUE"""),"Q-60242-00")</f>
        <v>Q-60242-00</v>
      </c>
      <c r="B576" s="2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576" s="2" t="str">
        <f>IFERROR(__xludf.DUMMYFUNCTION("""COMPUTED_VALUE"""),"PL")</f>
        <v>PL</v>
      </c>
      <c r="D576" s="2">
        <f>IFERROR(__xludf.DUMMYFUNCTION("""COMPUTED_VALUE"""),1.0)</f>
        <v>1</v>
      </c>
      <c r="E576" s="2" t="str">
        <f>IFERROR(__xludf.DUMMYFUNCTION("""COMPUTED_VALUE"""),"Flammable")</f>
        <v>Flammable</v>
      </c>
    </row>
    <row r="577">
      <c r="A577" s="2" t="str">
        <f>IFERROR(__xludf.DUMMYFUNCTION("""COMPUTED_VALUE"""),"O-51875-00")</f>
        <v>O-51875-00</v>
      </c>
      <c r="B577" s="2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577" s="2" t="str">
        <f>IFERROR(__xludf.DUMMYFUNCTION("""COMPUTED_VALUE"""),"unt")</f>
        <v>unt</v>
      </c>
      <c r="D577" s="2">
        <f>IFERROR(__xludf.DUMMYFUNCTION("""COMPUTED_VALUE"""),1.0)</f>
        <v>1</v>
      </c>
      <c r="E577" s="2" t="str">
        <f>IFERROR(__xludf.DUMMYFUNCTION("""COMPUTED_VALUE"""),"C-1-13")</f>
        <v>C-1-13</v>
      </c>
    </row>
    <row r="578">
      <c r="A578" s="2" t="str">
        <f>IFERROR(__xludf.DUMMYFUNCTION("""COMPUTED_VALUE"""),"P-52069-00")</f>
        <v>P-52069-00</v>
      </c>
      <c r="B578" s="2" t="str">
        <f>IFERROR(__xludf.DUMMYFUNCTION("""COMPUTED_VALUE"""),"Over Load Schneider LRD08; ; ; pcs")</f>
        <v>Over Load Schneider LRD08; ; ; pcs</v>
      </c>
      <c r="C578" s="2" t="str">
        <f>IFERROR(__xludf.DUMMYFUNCTION("""COMPUTED_VALUE"""),"pc")</f>
        <v>pc</v>
      </c>
      <c r="D578" s="2">
        <f>IFERROR(__xludf.DUMMYFUNCTION("""COMPUTED_VALUE"""),2.0)</f>
        <v>2</v>
      </c>
      <c r="E578" s="2" t="str">
        <f>IFERROR(__xludf.DUMMYFUNCTION("""COMPUTED_VALUE"""),"M-4")</f>
        <v>M-4</v>
      </c>
    </row>
    <row r="579">
      <c r="A579" s="2" t="str">
        <f>IFERROR(__xludf.DUMMYFUNCTION("""COMPUTED_VALUE"""),"O-52001-00")</f>
        <v>O-52001-00</v>
      </c>
      <c r="B579" s="2" t="str">
        <f>IFERROR(__xludf.DUMMYFUNCTION("""COMPUTED_VALUE"""),"Contactor Merk. Schneider LC1D40A 220 V")</f>
        <v>Contactor Merk. Schneider LC1D40A 220 V</v>
      </c>
      <c r="C579" s="2" t="str">
        <f>IFERROR(__xludf.DUMMYFUNCTION("""COMPUTED_VALUE"""),"pc")</f>
        <v>pc</v>
      </c>
      <c r="D579" s="2">
        <f>IFERROR(__xludf.DUMMYFUNCTION("""COMPUTED_VALUE"""),4.0)</f>
        <v>4</v>
      </c>
      <c r="E579" s="2" t="str">
        <f>IFERROR(__xludf.DUMMYFUNCTION("""COMPUTED_VALUE"""),"M-4")</f>
        <v>M-4</v>
      </c>
    </row>
    <row r="580">
      <c r="A580" s="2" t="str">
        <f>IFERROR(__xludf.DUMMYFUNCTION("""COMPUTED_VALUE"""),"S-13374-00")</f>
        <v>S-13374-00</v>
      </c>
      <c r="B580" s="2" t="str">
        <f>IFERROR(__xludf.DUMMYFUNCTION("""COMPUTED_VALUE"""),"Smoke Detector Tester ; Sabre; ; ;")</f>
        <v>Smoke Detector Tester ; Sabre; ; ;</v>
      </c>
      <c r="C580" s="2" t="str">
        <f>IFERROR(__xludf.DUMMYFUNCTION("""COMPUTED_VALUE"""),"pc")</f>
        <v>pc</v>
      </c>
      <c r="D580" s="2">
        <f>IFERROR(__xludf.DUMMYFUNCTION("""COMPUTED_VALUE"""),5.0)</f>
        <v>5</v>
      </c>
      <c r="E580" s="2" t="str">
        <f>IFERROR(__xludf.DUMMYFUNCTION("""COMPUTED_VALUE"""),"Flammable")</f>
        <v>Flammable</v>
      </c>
    </row>
    <row r="581">
      <c r="A581" s="2" t="str">
        <f>IFERROR(__xludf.DUMMYFUNCTION("""COMPUTED_VALUE"""),"P-52379-00")</f>
        <v>P-52379-00</v>
      </c>
      <c r="B581" s="2" t="str">
        <f>IFERROR(__xludf.DUMMYFUNCTION("""COMPUTED_VALUE"""),"General - Selenoid Valve 1/8inch, 24VDC; TPC; DS2120-5G-01; 1 pc")</f>
        <v>General - Selenoid Valve 1/8inch, 24VDC; TPC; DS2120-5G-01; 1 pc</v>
      </c>
      <c r="C581" s="2" t="str">
        <f>IFERROR(__xludf.DUMMYFUNCTION("""COMPUTED_VALUE"""),"pc")</f>
        <v>pc</v>
      </c>
      <c r="D581" s="2">
        <f>IFERROR(__xludf.DUMMYFUNCTION("""COMPUTED_VALUE"""),1.0)</f>
        <v>1</v>
      </c>
      <c r="E581" s="2" t="str">
        <f>IFERROR(__xludf.DUMMYFUNCTION("""COMPUTED_VALUE"""),"Kardus L3")</f>
        <v>Kardus L3</v>
      </c>
    </row>
    <row r="582">
      <c r="A582" s="2" t="str">
        <f>IFERROR(__xludf.DUMMYFUNCTION("""COMPUTED_VALUE"""),"P-10953-00")</f>
        <v>P-10953-00</v>
      </c>
      <c r="B582" s="2" t="str">
        <f>IFERROR(__xludf.DUMMYFUNCTION("""COMPUTED_VALUE"""),"General - Kawat Las SS 308L Tig Welding 1.6 x 1000mm; No Brand; -; 1 kg")</f>
        <v>General - Kawat Las SS 308L Tig Welding 1.6 x 1000mm; No Brand; -; 1 kg</v>
      </c>
      <c r="C582" s="2" t="str">
        <f>IFERROR(__xludf.DUMMYFUNCTION("""COMPUTED_VALUE"""),"pc")</f>
        <v>pc</v>
      </c>
      <c r="D582" s="2">
        <f>IFERROR(__xludf.DUMMYFUNCTION("""COMPUTED_VALUE"""),1.0)</f>
        <v>1</v>
      </c>
      <c r="E582" s="2" t="str">
        <f>IFERROR(__xludf.DUMMYFUNCTION("""COMPUTED_VALUE"""),"-")</f>
        <v>-</v>
      </c>
    </row>
    <row r="583">
      <c r="A583" s="2" t="str">
        <f>IFERROR(__xludf.DUMMYFUNCTION("""COMPUTED_VALUE"""),"P-17680-00")</f>
        <v>P-17680-00</v>
      </c>
      <c r="B583" s="2" t="str">
        <f>IFERROR(__xludf.DUMMYFUNCTION("""COMPUTED_VALUE"""),"General - Water Mur PVC dia. 2 1/2inch; No Brand; -; 1 pcs")</f>
        <v>General - Water Mur PVC dia. 2 1/2inch; No Brand; -; 1 pcs</v>
      </c>
      <c r="C583" s="2" t="str">
        <f>IFERROR(__xludf.DUMMYFUNCTION("""COMPUTED_VALUE"""),"pc")</f>
        <v>pc</v>
      </c>
      <c r="D583" s="2">
        <f>IFERROR(__xludf.DUMMYFUNCTION("""COMPUTED_VALUE"""),4.0)</f>
        <v>4</v>
      </c>
      <c r="E583" s="2"/>
    </row>
    <row r="584">
      <c r="A584" s="2" t="str">
        <f>IFERROR(__xludf.DUMMYFUNCTION("""COMPUTED_VALUE"""),"O-53095-00")</f>
        <v>O-53095-00</v>
      </c>
      <c r="B584" s="2" t="str">
        <f>IFERROR(__xludf.DUMMYFUNCTION("""COMPUTED_VALUE"""),"FD S/N MBE1207 - Electric Control Lock DTDF MCN224; SUN; EB02-00535;")</f>
        <v>FD S/N MBE1207 - Electric Control Lock DTDF MCN224; SUN; EB02-00535;</v>
      </c>
      <c r="C584" s="2" t="str">
        <f>IFERROR(__xludf.DUMMYFUNCTION("""COMPUTED_VALUE"""),"pc")</f>
        <v>pc</v>
      </c>
      <c r="D584" s="2">
        <f>IFERROR(__xludf.DUMMYFUNCTION("""COMPUTED_VALUE"""),1.0)</f>
        <v>1</v>
      </c>
      <c r="E584" s="2" t="str">
        <f>IFERROR(__xludf.DUMMYFUNCTION("""COMPUTED_VALUE"""),"D-1-11D")</f>
        <v>D-1-11D</v>
      </c>
    </row>
    <row r="585">
      <c r="A585" s="2" t="str">
        <f>IFERROR(__xludf.DUMMYFUNCTION("""COMPUTED_VALUE"""),"P-18555-00")</f>
        <v>P-18555-00</v>
      </c>
      <c r="B585" s="2" t="str">
        <f>IFERROR(__xludf.DUMMYFUNCTION("""COMPUTED_VALUE"""),"General - Baut L, SS 304, M3 x 6 mm + Mur; No Brand; -; 1 pcs")</f>
        <v>General - Baut L, SS 304, M3 x 6 mm + Mur; No Brand; -; 1 pcs</v>
      </c>
      <c r="C585" s="2" t="str">
        <f>IFERROR(__xludf.DUMMYFUNCTION("""COMPUTED_VALUE"""),"pc")</f>
        <v>pc</v>
      </c>
      <c r="D585" s="2">
        <f>IFERROR(__xludf.DUMMYFUNCTION("""COMPUTED_VALUE"""),100.0)</f>
        <v>100</v>
      </c>
      <c r="E585" s="2" t="str">
        <f>IFERROR(__xludf.DUMMYFUNCTION("""COMPUTED_VALUE"""),"S-2-11")</f>
        <v>S-2-11</v>
      </c>
    </row>
    <row r="586">
      <c r="A586" s="2" t="str">
        <f>IFERROR(__xludf.DUMMYFUNCTION("""COMPUTED_VALUE"""),"P-12994-00")</f>
        <v>P-12994-00</v>
      </c>
      <c r="B586" s="2" t="str">
        <f>IFERROR(__xludf.DUMMYFUNCTION("""COMPUTED_VALUE"""),"General - Adhesive Tape 13 x 50 x 10mm; Nippon; ASF-110FR; 1 pc")</f>
        <v>General - Adhesive Tape 13 x 50 x 10mm; Nippon; ASF-110FR; 1 pc</v>
      </c>
      <c r="C586" s="2" t="str">
        <f>IFERROR(__xludf.DUMMYFUNCTION("""COMPUTED_VALUE"""),"pc")</f>
        <v>pc</v>
      </c>
      <c r="D586" s="2">
        <f>IFERROR(__xludf.DUMMYFUNCTION("""COMPUTED_VALUE"""),7.0)</f>
        <v>7</v>
      </c>
      <c r="E586" s="2" t="str">
        <f>IFERROR(__xludf.DUMMYFUNCTION("""COMPUTED_VALUE"""),"A-2-5")</f>
        <v>A-2-5</v>
      </c>
    </row>
    <row r="587">
      <c r="A587" s="2" t="str">
        <f>IFERROR(__xludf.DUMMYFUNCTION("""COMPUTED_VALUE"""),"P-10895-00")</f>
        <v>P-10895-00</v>
      </c>
      <c r="B587" s="2" t="str">
        <f>IFERROR(__xludf.DUMMYFUNCTION("""COMPUTED_VALUE"""),"General - Socket, PVC, 1/2""; Rucika; -; 1 pcs")</f>
        <v>General - Socket, PVC, 1/2"; Rucika; -; 1 pcs</v>
      </c>
      <c r="C587" s="2" t="str">
        <f>IFERROR(__xludf.DUMMYFUNCTION("""COMPUTED_VALUE"""),"pc")</f>
        <v>pc</v>
      </c>
      <c r="D587" s="2">
        <f>IFERROR(__xludf.DUMMYFUNCTION("""COMPUTED_VALUE"""),12.0)</f>
        <v>12</v>
      </c>
      <c r="E587" s="2"/>
    </row>
    <row r="588">
      <c r="A588" s="2" t="str">
        <f>IFERROR(__xludf.DUMMYFUNCTION("""COMPUTED_VALUE"""),"P-20533-00")</f>
        <v>P-20533-00</v>
      </c>
      <c r="B588" s="2" t="str">
        <f>IFERROR(__xludf.DUMMYFUNCTION("""COMPUTED_VALUE"""),"General - Chain Lube; WD-40 Specialist; -; 360ml/can")</f>
        <v>General - Chain Lube; WD-40 Specialist; -; 360ml/can</v>
      </c>
      <c r="C588" s="2" t="str">
        <f>IFERROR(__xludf.DUMMYFUNCTION("""COMPUTED_VALUE"""),"Can")</f>
        <v>Can</v>
      </c>
      <c r="D588" s="2">
        <f>IFERROR(__xludf.DUMMYFUNCTION("""COMPUTED_VALUE"""),1.0)</f>
        <v>1</v>
      </c>
      <c r="E588" s="2" t="str">
        <f>IFERROR(__xludf.DUMMYFUNCTION("""COMPUTED_VALUE"""),"-")</f>
        <v>-</v>
      </c>
    </row>
    <row r="589">
      <c r="A589" s="2" t="str">
        <f>IFERROR(__xludf.DUMMYFUNCTION("""COMPUTED_VALUE"""),"P-20448-00")</f>
        <v>P-20448-00</v>
      </c>
      <c r="B589" s="2" t="str">
        <f>IFERROR(__xludf.DUMMYFUNCTION("""COMPUTED_VALUE"""),"General - Insulation Ducting Tebal 20mm Uk. 1.2 x 0.9m; Proflex; -; 1 pc")</f>
        <v>General - Insulation Ducting Tebal 20mm Uk. 1.2 x 0.9m; Proflex; -; 1 pc</v>
      </c>
      <c r="C589" s="2" t="str">
        <f>IFERROR(__xludf.DUMMYFUNCTION("""COMPUTED_VALUE"""),"pc")</f>
        <v>pc</v>
      </c>
      <c r="D589" s="2">
        <f>IFERROR(__xludf.DUMMYFUNCTION("""COMPUTED_VALUE"""),5.0)</f>
        <v>5</v>
      </c>
      <c r="E589" s="2" t="str">
        <f>IFERROR(__xludf.DUMMYFUNCTION("""COMPUTED_VALUE"""),"-")</f>
        <v>-</v>
      </c>
    </row>
    <row r="590">
      <c r="A590" s="2" t="str">
        <f>IFERROR(__xludf.DUMMYFUNCTION("""COMPUTED_VALUE"""),"P-20578-00")</f>
        <v>P-20578-00</v>
      </c>
      <c r="B590" s="2" t="str">
        <f>IFERROR(__xludf.DUMMYFUNCTION("""COMPUTED_VALUE"""),"General - Mur Rivet SS304 M5; No Brand; -; 100pcs/pck")</f>
        <v>General - Mur Rivet SS304 M5; No Brand; -; 100pcs/pck</v>
      </c>
      <c r="C590" s="2" t="str">
        <f>IFERROR(__xludf.DUMMYFUNCTION("""COMPUTED_VALUE"""),"Pck")</f>
        <v>Pck</v>
      </c>
      <c r="D590" s="2">
        <f>IFERROR(__xludf.DUMMYFUNCTION("""COMPUTED_VALUE"""),1.0)</f>
        <v>1</v>
      </c>
      <c r="E590" s="2" t="str">
        <f>IFERROR(__xludf.DUMMYFUNCTION("""COMPUTED_VALUE"""),"S-2-11")</f>
        <v>S-2-11</v>
      </c>
    </row>
    <row r="591">
      <c r="A591" s="2" t="str">
        <f>IFERROR(__xludf.DUMMYFUNCTION("""COMPUTED_VALUE"""),"O-52478-00")</f>
        <v>O-52478-00</v>
      </c>
      <c r="B591" s="2" t="str">
        <f>IFERROR(__xludf.DUMMYFUNCTION("""COMPUTED_VALUE"""),"General - Proximity Sensor BNS260-11ZG-ST-R; Schmersal; 101184363; 1 Pc")</f>
        <v>General - Proximity Sensor BNS260-11ZG-ST-R; Schmersal; 101184363; 1 Pc</v>
      </c>
      <c r="C591" s="2" t="str">
        <f>IFERROR(__xludf.DUMMYFUNCTION("""COMPUTED_VALUE"""),"pc")</f>
        <v>pc</v>
      </c>
      <c r="D591" s="2">
        <f>IFERROR(__xludf.DUMMYFUNCTION("""COMPUTED_VALUE"""),2.0)</f>
        <v>2</v>
      </c>
      <c r="E591" s="2" t="str">
        <f>IFERROR(__xludf.DUMMYFUNCTION("""COMPUTED_VALUE"""),"B-2-7D")</f>
        <v>B-2-7D</v>
      </c>
    </row>
    <row r="592">
      <c r="A592" s="2" t="str">
        <f>IFERROR(__xludf.DUMMYFUNCTION("""COMPUTED_VALUE"""),"Q-10153-00")</f>
        <v>Q-10153-00</v>
      </c>
      <c r="B592" s="2" t="str">
        <f>IFERROR(__xludf.DUMMYFUNCTION("""COMPUTED_VALUE"""),"Kuas Cat Roller uk. 110 mm;No Brand;;pack size per set")</f>
        <v>Kuas Cat Roller uk. 110 mm;No Brand;;pack size per set</v>
      </c>
      <c r="C592" s="2" t="str">
        <f>IFERROR(__xludf.DUMMYFUNCTION("""COMPUTED_VALUE"""),"pc")</f>
        <v>pc</v>
      </c>
      <c r="D592" s="2">
        <f>IFERROR(__xludf.DUMMYFUNCTION("""COMPUTED_VALUE"""),11.0)</f>
        <v>11</v>
      </c>
      <c r="E592" s="2" t="str">
        <f>IFERROR(__xludf.DUMMYFUNCTION("""COMPUTED_VALUE"""),"N4")</f>
        <v>N4</v>
      </c>
    </row>
    <row r="593">
      <c r="A593" s="2" t="str">
        <f>IFERROR(__xludf.DUMMYFUNCTION("""COMPUTED_VALUE"""),"O-19829-00")</f>
        <v>O-19829-00</v>
      </c>
      <c r="B593" s="2" t="str">
        <f>IFERROR(__xludf.DUMMYFUNCTION("""COMPUTED_VALUE"""),"Cartoning Machine - Pusher 50 H Cartoning; Custom/Lokal; -; 1 Pc")</f>
        <v>Cartoning Machine - Pusher 50 H Cartoning; Custom/Lokal; -; 1 Pc</v>
      </c>
      <c r="C593" s="2" t="str">
        <f>IFERROR(__xludf.DUMMYFUNCTION("""COMPUTED_VALUE"""),"Lot")</f>
        <v>Lot</v>
      </c>
      <c r="D593" s="2">
        <f>IFERROR(__xludf.DUMMYFUNCTION("""COMPUTED_VALUE"""),1.0)</f>
        <v>1</v>
      </c>
      <c r="E593" s="2" t="str">
        <f>IFERROR(__xludf.DUMMYFUNCTION("""COMPUTED_VALUE"""),"G-3")</f>
        <v>G-3</v>
      </c>
    </row>
    <row r="594">
      <c r="A594" s="2" t="str">
        <f>IFERROR(__xludf.DUMMYFUNCTION("""COMPUTED_VALUE"""),"P-19622-00")</f>
        <v>P-19622-00</v>
      </c>
      <c r="B594" s="2" t="str">
        <f>IFERROR(__xludf.DUMMYFUNCTION("""COMPUTED_VALUE"""),"General - Hollow SS 304 Uk. 40 x 40 x 1,2mm x 6m; No Brand; -; 1 pc")</f>
        <v>General - Hollow SS 304 Uk. 40 x 40 x 1,2mm x 6m; No Brand; -; 1 pc</v>
      </c>
      <c r="C594" s="2" t="str">
        <f>IFERROR(__xludf.DUMMYFUNCTION("""COMPUTED_VALUE"""),"pc")</f>
        <v>pc</v>
      </c>
      <c r="D594" s="2">
        <f>IFERROR(__xludf.DUMMYFUNCTION("""COMPUTED_VALUE"""),6.0)</f>
        <v>6</v>
      </c>
      <c r="E594" s="2"/>
    </row>
    <row r="595">
      <c r="A595" s="2" t="str">
        <f>IFERROR(__xludf.DUMMYFUNCTION("""COMPUTED_VALUE"""),"P-52642-00")</f>
        <v>P-52642-00</v>
      </c>
      <c r="B595" s="2" t="str">
        <f>IFERROR(__xludf.DUMMYFUNCTION("""COMPUTED_VALUE"""),"General - Kabel NYYHY 2 x 0.75mm; SUPREME; -; 1 meter")</f>
        <v>General - Kabel NYYHY 2 x 0.75mm; SUPREME; -; 1 meter</v>
      </c>
      <c r="C595" s="2" t="str">
        <f>IFERROR(__xludf.DUMMYFUNCTION("""COMPUTED_VALUE"""),"m")</f>
        <v>m</v>
      </c>
      <c r="D595" s="2">
        <f>IFERROR(__xludf.DUMMYFUNCTION("""COMPUTED_VALUE"""),150.0)</f>
        <v>150</v>
      </c>
      <c r="E595" s="2" t="str">
        <f>IFERROR(__xludf.DUMMYFUNCTION("""COMPUTED_VALUE"""),"-")</f>
        <v>-</v>
      </c>
    </row>
    <row r="596">
      <c r="A596" s="2" t="str">
        <f>IFERROR(__xludf.DUMMYFUNCTION("""COMPUTED_VALUE"""),"O-53335-00")</f>
        <v>O-53335-00</v>
      </c>
      <c r="B596" s="2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596" s="2" t="str">
        <f>IFERROR(__xludf.DUMMYFUNCTION("""COMPUTED_VALUE"""),"pc")</f>
        <v>pc</v>
      </c>
      <c r="D596" s="2">
        <f>IFERROR(__xludf.DUMMYFUNCTION("""COMPUTED_VALUE"""),1.0)</f>
        <v>1</v>
      </c>
      <c r="E596" s="2" t="str">
        <f>IFERROR(__xludf.DUMMYFUNCTION("""COMPUTED_VALUE"""),"-")</f>
        <v>-</v>
      </c>
    </row>
    <row r="597">
      <c r="A597" s="2" t="str">
        <f>IFERROR(__xludf.DUMMYFUNCTION("""COMPUTED_VALUE"""),"O-20728-00")</f>
        <v>O-20728-00</v>
      </c>
      <c r="B597" s="2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597" s="2" t="str">
        <f>IFERROR(__xludf.DUMMYFUNCTION("""COMPUTED_VALUE"""),"ST")</f>
        <v>ST</v>
      </c>
      <c r="D597" s="2">
        <f>IFERROR(__xludf.DUMMYFUNCTION("""COMPUTED_VALUE"""),1.0)</f>
        <v>1</v>
      </c>
      <c r="E597" s="2" t="str">
        <f>IFERROR(__xludf.DUMMYFUNCTION("""COMPUTED_VALUE"""),"H-3-11")</f>
        <v>H-3-11</v>
      </c>
    </row>
    <row r="598">
      <c r="A598" s="2" t="str">
        <f>IFERROR(__xludf.DUMMYFUNCTION("""COMPUTED_VALUE"""),"P-20850-00")</f>
        <v>P-20850-00</v>
      </c>
      <c r="B598" s="2" t="str">
        <f>IFERROR(__xludf.DUMMYFUNCTION("""COMPUTED_VALUE"""),"General - Paku Rivet 435 3,2mm x 9,5mm x 8mm; SIP; -; 1000pcs/box")</f>
        <v>General - Paku Rivet 435 3,2mm x 9,5mm x 8mm; SIP; -; 1000pcs/box</v>
      </c>
      <c r="C598" s="2" t="str">
        <f>IFERROR(__xludf.DUMMYFUNCTION("""COMPUTED_VALUE"""),"Box")</f>
        <v>Box</v>
      </c>
      <c r="D598" s="2">
        <f>IFERROR(__xludf.DUMMYFUNCTION("""COMPUTED_VALUE"""),1.0)</f>
        <v>1</v>
      </c>
      <c r="E598" s="2" t="str">
        <f>IFERROR(__xludf.DUMMYFUNCTION("""COMPUTED_VALUE"""),"S-2")</f>
        <v>S-2</v>
      </c>
    </row>
    <row r="599">
      <c r="A599" s="2" t="str">
        <f>IFERROR(__xludf.DUMMYFUNCTION("""COMPUTED_VALUE"""),"O-20106-00")</f>
        <v>O-20106-00</v>
      </c>
      <c r="B599" s="2" t="str">
        <f>IFERROR(__xludf.DUMMYFUNCTION("""COMPUTED_VALUE"""),"General - Bearing 32011 X; SKF; ; 1 Pc")</f>
        <v>General - Bearing 32011 X; SKF; ; 1 Pc</v>
      </c>
      <c r="C599" s="2" t="str">
        <f>IFERROR(__xludf.DUMMYFUNCTION("""COMPUTED_VALUE"""),"pc")</f>
        <v>pc</v>
      </c>
      <c r="D599" s="2">
        <f>IFERROR(__xludf.DUMMYFUNCTION("""COMPUTED_VALUE"""),2.0)</f>
        <v>2</v>
      </c>
      <c r="E599" s="2" t="str">
        <f>IFERROR(__xludf.DUMMYFUNCTION("""COMPUTED_VALUE"""),"G2")</f>
        <v>G2</v>
      </c>
    </row>
    <row r="600">
      <c r="A600" s="2" t="str">
        <f>IFERROR(__xludf.DUMMYFUNCTION("""COMPUTED_VALUE"""),"P-14377-00")</f>
        <v>P-14377-00</v>
      </c>
      <c r="B600" s="2" t="str">
        <f>IFERROR(__xludf.DUMMYFUNCTION("""COMPUTED_VALUE"""),"General - Gasket Ferrule EPDM 1inch; Lokal; -; 1 pc")</f>
        <v>General - Gasket Ferrule EPDM 1inch; Lokal; -; 1 pc</v>
      </c>
      <c r="C600" s="2" t="str">
        <f>IFERROR(__xludf.DUMMYFUNCTION("""COMPUTED_VALUE"""),"pc")</f>
        <v>pc</v>
      </c>
      <c r="D600" s="2">
        <f>IFERROR(__xludf.DUMMYFUNCTION("""COMPUTED_VALUE"""),50.0)</f>
        <v>50</v>
      </c>
      <c r="E600" s="2" t="str">
        <f>IFERROR(__xludf.DUMMYFUNCTION("""COMPUTED_VALUE"""),"M3")</f>
        <v>M3</v>
      </c>
    </row>
    <row r="601">
      <c r="A601" s="2" t="str">
        <f>IFERROR(__xludf.DUMMYFUNCTION("""COMPUTED_VALUE"""),"O-17996-00")</f>
        <v>O-17996-00</v>
      </c>
      <c r="B601" s="2" t="str">
        <f>IFERROR(__xludf.DUMMYFUNCTION("""COMPUTED_VALUE"""),"Freeze Dryer MBE1207 - Slot Door Pressure Gasket; IMA Beijing; EDF01-02008; 1 pc")</f>
        <v>Freeze Dryer MBE1207 - Slot Door Pressure Gasket; IMA Beijing; EDF01-02008; 1 pc</v>
      </c>
      <c r="C601" s="2" t="str">
        <f>IFERROR(__xludf.DUMMYFUNCTION("""COMPUTED_VALUE"""),"unt")</f>
        <v>unt</v>
      </c>
      <c r="D601" s="2">
        <f>IFERROR(__xludf.DUMMYFUNCTION("""COMPUTED_VALUE"""),1.0)</f>
        <v>1</v>
      </c>
      <c r="E601" s="2" t="str">
        <f>IFERROR(__xludf.DUMMYFUNCTION("""COMPUTED_VALUE"""),"D5")</f>
        <v>D5</v>
      </c>
    </row>
    <row r="602">
      <c r="A602" s="2" t="str">
        <f>IFERROR(__xludf.DUMMYFUNCTION("""COMPUTED_VALUE"""),"P-19206-00")</f>
        <v>P-19206-00</v>
      </c>
      <c r="B602" s="2" t="str">
        <f>IFERROR(__xludf.DUMMYFUNCTION("""COMPUTED_VALUE"""),"General - HB Series (H13) :592x592x292mm Minimum efficiency : 99,99% on 0,3 micron Rec.final resistance:50; IAF; -; 1 pcs")</f>
        <v>General - HB Series (H13) :592x592x292mm Minimum efficiency : 99,99% on 0,3 micron Rec.final resistance:50; IAF; -; 1 pcs</v>
      </c>
      <c r="C602" s="2" t="str">
        <f>IFERROR(__xludf.DUMMYFUNCTION("""COMPUTED_VALUE"""),"pc")</f>
        <v>pc</v>
      </c>
      <c r="D602" s="2">
        <f>IFERROR(__xludf.DUMMYFUNCTION("""COMPUTED_VALUE"""),6.0)</f>
        <v>6</v>
      </c>
      <c r="E602" s="2" t="str">
        <f>IFERROR(__xludf.DUMMYFUNCTION("""COMPUTED_VALUE"""),"-")</f>
        <v>-</v>
      </c>
    </row>
    <row r="603">
      <c r="A603" s="2" t="str">
        <f>IFERROR(__xludf.DUMMYFUNCTION("""COMPUTED_VALUE"""),"P-54306-00")</f>
        <v>P-54306-00</v>
      </c>
      <c r="B603" s="2" t="str">
        <f>IFERROR(__xludf.DUMMYFUNCTION("""COMPUTED_VALUE"""),"General - Kapacitor AC 40+2uF; Daikin; 3PN15960-4; 1 pc")</f>
        <v>General - Kapacitor AC 40+2uF; Daikin; 3PN15960-4; 1 pc</v>
      </c>
      <c r="C603" s="2" t="str">
        <f>IFERROR(__xludf.DUMMYFUNCTION("""COMPUTED_VALUE"""),"pc")</f>
        <v>pc</v>
      </c>
      <c r="D603" s="2">
        <f>IFERROR(__xludf.DUMMYFUNCTION("""COMPUTED_VALUE"""),3.0)</f>
        <v>3</v>
      </c>
      <c r="E603" s="2" t="str">
        <f>IFERROR(__xludf.DUMMYFUNCTION("""COMPUTED_VALUE"""),"F-1")</f>
        <v>F-1</v>
      </c>
    </row>
    <row r="604">
      <c r="A604" s="2" t="str">
        <f>IFERROR(__xludf.DUMMYFUNCTION("""COMPUTED_VALUE"""),"P-20186-00")</f>
        <v>P-20186-00</v>
      </c>
      <c r="B604" s="2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604" s="2" t="str">
        <f>IFERROR(__xludf.DUMMYFUNCTION("""COMPUTED_VALUE"""),"pc")</f>
        <v>pc</v>
      </c>
      <c r="D604" s="2">
        <f>IFERROR(__xludf.DUMMYFUNCTION("""COMPUTED_VALUE"""),1.0)</f>
        <v>1</v>
      </c>
      <c r="E604" s="2" t="str">
        <f>IFERROR(__xludf.DUMMYFUNCTION("""COMPUTED_VALUE"""),"-")</f>
        <v>-</v>
      </c>
    </row>
    <row r="605">
      <c r="A605" s="2" t="str">
        <f>IFERROR(__xludf.DUMMYFUNCTION("""COMPUTED_VALUE"""),"P-11195-00")</f>
        <v>P-11195-00</v>
      </c>
      <c r="B605" s="2" t="str">
        <f>IFERROR(__xludf.DUMMYFUNCTION("""COMPUTED_VALUE"""),"General - Push-in Fitting, QSF-1/8-6-B; Festo; 153023; 1 pcs")</f>
        <v>General - Push-in Fitting, QSF-1/8-6-B; Festo; 153023; 1 pcs</v>
      </c>
      <c r="C605" s="2" t="str">
        <f>IFERROR(__xludf.DUMMYFUNCTION("""COMPUTED_VALUE"""),"pc")</f>
        <v>pc</v>
      </c>
      <c r="D605" s="2">
        <f>IFERROR(__xludf.DUMMYFUNCTION("""COMPUTED_VALUE"""),20.0)</f>
        <v>20</v>
      </c>
      <c r="E605" s="2" t="str">
        <f>IFERROR(__xludf.DUMMYFUNCTION("""COMPUTED_VALUE"""),"M3")</f>
        <v>M3</v>
      </c>
    </row>
    <row r="606">
      <c r="A606" s="2" t="str">
        <f>IFERROR(__xludf.DUMMYFUNCTION("""COMPUTED_VALUE"""),"O-53510-00")</f>
        <v>O-53510-00</v>
      </c>
      <c r="B606" s="2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606" s="2" t="str">
        <f>IFERROR(__xludf.DUMMYFUNCTION("""COMPUTED_VALUE"""),"pc")</f>
        <v>pc</v>
      </c>
      <c r="D606" s="2">
        <f>IFERROR(__xludf.DUMMYFUNCTION("""COMPUTED_VALUE"""),1.0)</f>
        <v>1</v>
      </c>
      <c r="E606" s="2" t="str">
        <f>IFERROR(__xludf.DUMMYFUNCTION("""COMPUTED_VALUE"""),"-")</f>
        <v>-</v>
      </c>
    </row>
    <row r="607">
      <c r="A607" s="2" t="str">
        <f>IFERROR(__xludf.DUMMYFUNCTION("""COMPUTED_VALUE"""),"P-20852-00")</f>
        <v>P-20852-00</v>
      </c>
      <c r="B607" s="2" t="str">
        <f>IFERROR(__xludf.DUMMYFUNCTION("""COMPUTED_VALUE"""),"General - Tungsten Electrode WT20-2.4mm x 150mm; No Brand; -; 10 pcs/pack")</f>
        <v>General - Tungsten Electrode WT20-2.4mm x 150mm; No Brand; -; 10 pcs/pack</v>
      </c>
      <c r="C607" s="2" t="str">
        <f>IFERROR(__xludf.DUMMYFUNCTION("""COMPUTED_VALUE"""),"Pck")</f>
        <v>Pck</v>
      </c>
      <c r="D607" s="2">
        <f>IFERROR(__xludf.DUMMYFUNCTION("""COMPUTED_VALUE"""),1.0)</f>
        <v>1</v>
      </c>
      <c r="E607" s="2" t="str">
        <f>IFERROR(__xludf.DUMMYFUNCTION("""COMPUTED_VALUE"""),"S-2")</f>
        <v>S-2</v>
      </c>
    </row>
    <row r="608">
      <c r="A608" s="2" t="str">
        <f>IFERROR(__xludf.DUMMYFUNCTION("""COMPUTED_VALUE"""),"P-10604-00")</f>
        <v>P-10604-00</v>
      </c>
      <c r="B608" s="2" t="str">
        <f>IFERROR(__xludf.DUMMYFUNCTION("""COMPUTED_VALUE"""),"Bearing 6203 2Z SKF")</f>
        <v>Bearing 6203 2Z SKF</v>
      </c>
      <c r="C608" s="2" t="str">
        <f>IFERROR(__xludf.DUMMYFUNCTION("""COMPUTED_VALUE"""),"pc")</f>
        <v>pc</v>
      </c>
      <c r="D608" s="2">
        <f>IFERROR(__xludf.DUMMYFUNCTION("""COMPUTED_VALUE"""),10.0)</f>
        <v>10</v>
      </c>
      <c r="E608" s="2" t="str">
        <f>IFERROR(__xludf.DUMMYFUNCTION("""COMPUTED_VALUE"""),"G-2")</f>
        <v>G-2</v>
      </c>
    </row>
    <row r="609">
      <c r="A609" s="2" t="str">
        <f>IFERROR(__xludf.DUMMYFUNCTION("""COMPUTED_VALUE"""),"P-20369-00")</f>
        <v>P-20369-00</v>
      </c>
      <c r="B609" s="2" t="str">
        <f>IFERROR(__xludf.DUMMYFUNCTION("""COMPUTED_VALUE"""),"General - Terminal Viking Grounding 4mm; Legrand; -; 1 pc")</f>
        <v>General - Terminal Viking Grounding 4mm; Legrand; -; 1 pc</v>
      </c>
      <c r="C609" s="2" t="str">
        <f>IFERROR(__xludf.DUMMYFUNCTION("""COMPUTED_VALUE"""),"pc")</f>
        <v>pc</v>
      </c>
      <c r="D609" s="2">
        <f>IFERROR(__xludf.DUMMYFUNCTION("""COMPUTED_VALUE"""),50.0)</f>
        <v>50</v>
      </c>
      <c r="E609" s="2" t="str">
        <f>IFERROR(__xludf.DUMMYFUNCTION("""COMPUTED_VALUE"""),"R-2-12")</f>
        <v>R-2-12</v>
      </c>
    </row>
    <row r="610">
      <c r="A610" s="2" t="str">
        <f>IFERROR(__xludf.DUMMYFUNCTION("""COMPUTED_VALUE"""),"P-10865-00")</f>
        <v>P-10865-00</v>
      </c>
      <c r="B610" s="2" t="str">
        <f>IFERROR(__xludf.DUMMYFUNCTION("""COMPUTED_VALUE"""),"Fitting PVC - Elbow PVC 3/4""")</f>
        <v>Fitting PVC - Elbow PVC 3/4"</v>
      </c>
      <c r="C610" s="2" t="str">
        <f>IFERROR(__xludf.DUMMYFUNCTION("""COMPUTED_VALUE"""),"pc")</f>
        <v>pc</v>
      </c>
      <c r="D610" s="2">
        <f>IFERROR(__xludf.DUMMYFUNCTION("""COMPUTED_VALUE"""),5.0)</f>
        <v>5</v>
      </c>
      <c r="E610" s="2"/>
    </row>
    <row r="611">
      <c r="A611" s="2" t="str">
        <f>IFERROR(__xludf.DUMMYFUNCTION("""COMPUTED_VALUE"""),"P-10898-00")</f>
        <v>P-10898-00</v>
      </c>
      <c r="B611" s="2" t="str">
        <f>IFERROR(__xludf.DUMMYFUNCTION("""COMPUTED_VALUE"""),"General - Socket, PVC, 2""; Rucika; -; 1 pcs")</f>
        <v>General - Socket, PVC, 2"; Rucika; -; 1 pcs</v>
      </c>
      <c r="C611" s="2" t="str">
        <f>IFERROR(__xludf.DUMMYFUNCTION("""COMPUTED_VALUE"""),"pc")</f>
        <v>pc</v>
      </c>
      <c r="D611" s="2">
        <f>IFERROR(__xludf.DUMMYFUNCTION("""COMPUTED_VALUE"""),3.0)</f>
        <v>3</v>
      </c>
      <c r="E611" s="2"/>
    </row>
    <row r="612">
      <c r="A612" s="2" t="str">
        <f>IFERROR(__xludf.DUMMYFUNCTION("""COMPUTED_VALUE"""),"O-18965-00")</f>
        <v>O-18965-00</v>
      </c>
      <c r="B612" s="2" t="str">
        <f>IFERROR(__xludf.DUMMYFUNCTION("""COMPUTED_VALUE"""),"Capping VCM213 - Spring Head; ; ;; Custom/Lokal; -; 1 Pc")</f>
        <v>Capping VCM213 - Spring Head; ; ;; Custom/Lokal; -; 1 Pc</v>
      </c>
      <c r="C612" s="2" t="str">
        <f>IFERROR(__xludf.DUMMYFUNCTION("""COMPUTED_VALUE"""),"pc")</f>
        <v>pc</v>
      </c>
      <c r="D612" s="2">
        <f>IFERROR(__xludf.DUMMYFUNCTION("""COMPUTED_VALUE"""),1.0)</f>
        <v>1</v>
      </c>
      <c r="E612" s="2"/>
    </row>
    <row r="613">
      <c r="A613" s="2" t="str">
        <f>IFERROR(__xludf.DUMMYFUNCTION("""COMPUTED_VALUE"""),"P-50797-00")</f>
        <v>P-50797-00</v>
      </c>
      <c r="B613" s="2" t="str">
        <f>IFERROR(__xludf.DUMMYFUNCTION("""COMPUTED_VALUE"""),"General - Bola lampu 24V 5 Watt; No Brand; -; 1 pc")</f>
        <v>General - Bola lampu 24V 5 Watt; No Brand; -; 1 pc</v>
      </c>
      <c r="C613" s="2" t="str">
        <f>IFERROR(__xludf.DUMMYFUNCTION("""COMPUTED_VALUE"""),"pc")</f>
        <v>pc</v>
      </c>
      <c r="D613" s="2">
        <f>IFERROR(__xludf.DUMMYFUNCTION("""COMPUTED_VALUE"""),18.0)</f>
        <v>18</v>
      </c>
      <c r="E613" s="2" t="str">
        <f>IFERROR(__xludf.DUMMYFUNCTION("""COMPUTED_VALUE"""),"O-2")</f>
        <v>O-2</v>
      </c>
    </row>
    <row r="614">
      <c r="A614" s="2" t="str">
        <f>IFERROR(__xludf.DUMMYFUNCTION("""COMPUTED_VALUE"""),"P-19483-00")</f>
        <v>P-19483-00</v>
      </c>
      <c r="B614" s="2" t="str">
        <f>IFERROR(__xludf.DUMMYFUNCTION("""COMPUTED_VALUE"""),"General - Float Vent 1/2 Inch; Yoshitake; TA-22; 1 Pc")</f>
        <v>General - Float Vent 1/2 Inch; Yoshitake; TA-22; 1 Pc</v>
      </c>
      <c r="C614" s="2" t="str">
        <f>IFERROR(__xludf.DUMMYFUNCTION("""COMPUTED_VALUE"""),"pc")</f>
        <v>pc</v>
      </c>
      <c r="D614" s="2">
        <f>IFERROR(__xludf.DUMMYFUNCTION("""COMPUTED_VALUE"""),2.0)</f>
        <v>2</v>
      </c>
      <c r="E614" s="2" t="str">
        <f>IFERROR(__xludf.DUMMYFUNCTION("""COMPUTED_VALUE"""),"L-1")</f>
        <v>L-1</v>
      </c>
    </row>
    <row r="615">
      <c r="A615" s="2" t="str">
        <f>IFERROR(__xludf.DUMMYFUNCTION("""COMPUTED_VALUE"""),"P-18834-00")</f>
        <v>P-18834-00</v>
      </c>
      <c r="B615" s="2" t="str">
        <f>IFERROR(__xludf.DUMMYFUNCTION("""COMPUTED_VALUE"""),"General - Gland Packing Teflon PTFE 6 x 6mm; No Brand; -; 1 pc")</f>
        <v>General - Gland Packing Teflon PTFE 6 x 6mm; No Brand; -; 1 pc</v>
      </c>
      <c r="C615" s="2" t="str">
        <f>IFERROR(__xludf.DUMMYFUNCTION("""COMPUTED_VALUE"""),"m")</f>
        <v>m</v>
      </c>
      <c r="D615" s="2">
        <f>IFERROR(__xludf.DUMMYFUNCTION("""COMPUTED_VALUE"""),5.0)</f>
        <v>5</v>
      </c>
      <c r="E615" s="2"/>
    </row>
    <row r="616">
      <c r="A616" s="2" t="str">
        <f>IFERROR(__xludf.DUMMYFUNCTION("""COMPUTED_VALUE"""),"O-20041-00")</f>
        <v>O-20041-00</v>
      </c>
      <c r="B616" s="2" t="str">
        <f>IFERROR(__xludf.DUMMYFUNCTION("""COMPUTED_VALUE"""),"Capping VCM200 - Bearing NKIA5902; INA; ;")</f>
        <v>Capping VCM200 - Bearing NKIA5902; INA; ;</v>
      </c>
      <c r="C616" s="2" t="str">
        <f>IFERROR(__xludf.DUMMYFUNCTION("""COMPUTED_VALUE"""),"pc")</f>
        <v>pc</v>
      </c>
      <c r="D616" s="2">
        <f>IFERROR(__xludf.DUMMYFUNCTION("""COMPUTED_VALUE"""),40.0)</f>
        <v>40</v>
      </c>
      <c r="E616" s="2" t="str">
        <f>IFERROR(__xludf.DUMMYFUNCTION("""COMPUTED_VALUE"""),"A-2")</f>
        <v>A-2</v>
      </c>
    </row>
    <row r="617">
      <c r="A617" s="2" t="str">
        <f>IFERROR(__xludf.DUMMYFUNCTION("""COMPUTED_VALUE"""),"O-20211-00")</f>
        <v>O-20211-00</v>
      </c>
      <c r="B617" s="2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17" s="2" t="str">
        <f>IFERROR(__xludf.DUMMYFUNCTION("""COMPUTED_VALUE"""),"pc")</f>
        <v>pc</v>
      </c>
      <c r="D617" s="2">
        <f>IFERROR(__xludf.DUMMYFUNCTION("""COMPUTED_VALUE"""),2.0)</f>
        <v>2</v>
      </c>
      <c r="E617" s="2" t="str">
        <f>IFERROR(__xludf.DUMMYFUNCTION("""COMPUTED_VALUE"""),"D-1-18-B")</f>
        <v>D-1-18-B</v>
      </c>
    </row>
    <row r="618">
      <c r="A618" s="2" t="str">
        <f>IFERROR(__xludf.DUMMYFUNCTION("""COMPUTED_VALUE"""),"P-20367-00")</f>
        <v>P-20367-00</v>
      </c>
      <c r="B618" s="2" t="str">
        <f>IFERROR(__xludf.DUMMYFUNCTION("""COMPUTED_VALUE"""),"General - Oring 8 x 400 x 416mm NBR; Custom Trenade; -; 1 pc")</f>
        <v>General - Oring 8 x 400 x 416mm NBR; Custom Trenade; -; 1 pc</v>
      </c>
      <c r="C618" s="2" t="str">
        <f>IFERROR(__xludf.DUMMYFUNCTION("""COMPUTED_VALUE"""),"pc")</f>
        <v>pc</v>
      </c>
      <c r="D618" s="2">
        <f>IFERROR(__xludf.DUMMYFUNCTION("""COMPUTED_VALUE"""),1.0)</f>
        <v>1</v>
      </c>
      <c r="E618" s="2" t="str">
        <f>IFERROR(__xludf.DUMMYFUNCTION("""COMPUTED_VALUE"""),"-")</f>
        <v>-</v>
      </c>
    </row>
    <row r="619">
      <c r="A619" s="2" t="str">
        <f>IFERROR(__xludf.DUMMYFUNCTION("""COMPUTED_VALUE"""),"O-53211-00")</f>
        <v>O-53211-00</v>
      </c>
      <c r="B619" s="2" t="str">
        <f>IFERROR(__xludf.DUMMYFUNCTION("""COMPUTED_VALUE"""),"Filling VFM100 - Flow meter 40-500 NL/H (201787);INOX;Model 1900;")</f>
        <v>Filling VFM100 - Flow meter 40-500 NL/H (201787);INOX;Model 1900;</v>
      </c>
      <c r="C619" s="2" t="str">
        <f>IFERROR(__xludf.DUMMYFUNCTION("""COMPUTED_VALUE"""),"pc")</f>
        <v>pc</v>
      </c>
      <c r="D619" s="2">
        <f>IFERROR(__xludf.DUMMYFUNCTION("""COMPUTED_VALUE"""),1.0)</f>
        <v>1</v>
      </c>
      <c r="E619" s="2" t="str">
        <f>IFERROR(__xludf.DUMMYFUNCTION("""COMPUTED_VALUE"""),"C-2")</f>
        <v>C-2</v>
      </c>
    </row>
    <row r="620">
      <c r="A620" s="2" t="str">
        <f>IFERROR(__xludf.DUMMYFUNCTION("""COMPUTED_VALUE"""),"O-20499-00")</f>
        <v>O-20499-00</v>
      </c>
      <c r="B620" s="2" t="str">
        <f>IFERROR(__xludf.DUMMYFUNCTION("""COMPUTED_VALUE"""),"General - Gearbox Caps Chute; Bonfiglioli; VF44 P 7 B3; 1 Pc")</f>
        <v>General - Gearbox Caps Chute; Bonfiglioli; VF44 P 7 B3; 1 Pc</v>
      </c>
      <c r="C620" s="2" t="str">
        <f>IFERROR(__xludf.DUMMYFUNCTION("""COMPUTED_VALUE"""),"pc")</f>
        <v>pc</v>
      </c>
      <c r="D620" s="2">
        <f>IFERROR(__xludf.DUMMYFUNCTION("""COMPUTED_VALUE"""),1.0)</f>
        <v>1</v>
      </c>
      <c r="E620" s="2" t="str">
        <f>IFERROR(__xludf.DUMMYFUNCTION("""COMPUTED_VALUE"""),"-")</f>
        <v>-</v>
      </c>
    </row>
    <row r="621">
      <c r="A621" s="2" t="str">
        <f>IFERROR(__xludf.DUMMYFUNCTION("""COMPUTED_VALUE"""),"P-54446-00")</f>
        <v>P-54446-00</v>
      </c>
      <c r="B621" s="2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621" s="2" t="str">
        <f>IFERROR(__xludf.DUMMYFUNCTION("""COMPUTED_VALUE"""),"pc")</f>
        <v>pc</v>
      </c>
      <c r="D621" s="2">
        <f>IFERROR(__xludf.DUMMYFUNCTION("""COMPUTED_VALUE"""),1.0)</f>
        <v>1</v>
      </c>
      <c r="E621" s="2" t="str">
        <f>IFERROR(__xludf.DUMMYFUNCTION("""COMPUTED_VALUE"""),"R-3-14")</f>
        <v>R-3-14</v>
      </c>
    </row>
    <row r="622">
      <c r="A622" s="2" t="str">
        <f>IFERROR(__xludf.DUMMYFUNCTION("""COMPUTED_VALUE"""),"O-54159-00")</f>
        <v>O-54159-00</v>
      </c>
      <c r="B622" s="2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622" s="2" t="str">
        <f>IFERROR(__xludf.DUMMYFUNCTION("""COMPUTED_VALUE"""),"pc")</f>
        <v>pc</v>
      </c>
      <c r="D622" s="2">
        <f>IFERROR(__xludf.DUMMYFUNCTION("""COMPUTED_VALUE"""),4.0)</f>
        <v>4</v>
      </c>
      <c r="E622" s="2" t="str">
        <f>IFERROR(__xludf.DUMMYFUNCTION("""COMPUTED_VALUE"""),"S-3")</f>
        <v>S-3</v>
      </c>
    </row>
    <row r="623">
      <c r="A623" s="2" t="str">
        <f>IFERROR(__xludf.DUMMYFUNCTION("""COMPUTED_VALUE"""),"O-20982-00")</f>
        <v>O-20982-00</v>
      </c>
      <c r="B623" s="2" t="str">
        <f>IFERROR(__xludf.DUMMYFUNCTION("""COMPUTED_VALUE"""),"Autoclave FVA2/A1 - SILICONE GASKET FO-5 900X1300; Fedegari; PP600076; 1 Pc")</f>
        <v>Autoclave FVA2/A1 - SILICONE GASKET FO-5 900X1300; Fedegari; PP600076; 1 Pc</v>
      </c>
      <c r="C623" s="2" t="str">
        <f>IFERROR(__xludf.DUMMYFUNCTION("""COMPUTED_VALUE"""),"pc")</f>
        <v>pc</v>
      </c>
      <c r="D623" s="2">
        <f>IFERROR(__xludf.DUMMYFUNCTION("""COMPUTED_VALUE"""),1.0)</f>
        <v>1</v>
      </c>
      <c r="E623" s="2" t="str">
        <f>IFERROR(__xludf.DUMMYFUNCTION("""COMPUTED_VALUE"""),"-")</f>
        <v>-</v>
      </c>
    </row>
    <row r="624">
      <c r="A624" s="2" t="str">
        <f>IFERROR(__xludf.DUMMYFUNCTION("""COMPUTED_VALUE"""),"O-16732-00")</f>
        <v>O-16732-00</v>
      </c>
      <c r="B624" s="2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624" s="2" t="str">
        <f>IFERROR(__xludf.DUMMYFUNCTION("""COMPUTED_VALUE"""),"pc")</f>
        <v>pc</v>
      </c>
      <c r="D624" s="2">
        <f>IFERROR(__xludf.DUMMYFUNCTION("""COMPUTED_VALUE"""),3.0)</f>
        <v>3</v>
      </c>
      <c r="E624" s="2" t="str">
        <f>IFERROR(__xludf.DUMMYFUNCTION("""COMPUTED_VALUE"""),"I-3-5")</f>
        <v>I-3-5</v>
      </c>
    </row>
    <row r="625">
      <c r="A625" s="2" t="str">
        <f>IFERROR(__xludf.DUMMYFUNCTION("""COMPUTED_VALUE"""),"P-15817-00")</f>
        <v>P-15817-00</v>
      </c>
      <c r="B625" s="2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625" s="2" t="str">
        <f>IFERROR(__xludf.DUMMYFUNCTION("""COMPUTED_VALUE"""),"pc")</f>
        <v>pc</v>
      </c>
      <c r="D625" s="2">
        <f>IFERROR(__xludf.DUMMYFUNCTION("""COMPUTED_VALUE"""),1.0)</f>
        <v>1</v>
      </c>
      <c r="E625" s="2" t="str">
        <f>IFERROR(__xludf.DUMMYFUNCTION("""COMPUTED_VALUE"""),"Biru")</f>
        <v>Biru</v>
      </c>
    </row>
    <row r="626">
      <c r="A626" s="2" t="str">
        <f>IFERROR(__xludf.DUMMYFUNCTION("""COMPUTED_VALUE"""),"O-20559-00")</f>
        <v>O-20559-00</v>
      </c>
      <c r="B626" s="2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26" s="2" t="str">
        <f>IFERROR(__xludf.DUMMYFUNCTION("""COMPUTED_VALUE"""),"pc")</f>
        <v>pc</v>
      </c>
      <c r="D626" s="2">
        <f>IFERROR(__xludf.DUMMYFUNCTION("""COMPUTED_VALUE"""),3.0)</f>
        <v>3</v>
      </c>
      <c r="E626" s="2" t="str">
        <f>IFERROR(__xludf.DUMMYFUNCTION("""COMPUTED_VALUE"""),"G-2")</f>
        <v>G-2</v>
      </c>
    </row>
    <row r="627">
      <c r="A627" s="2" t="str">
        <f>IFERROR(__xludf.DUMMYFUNCTION("""COMPUTED_VALUE"""),"O-16647-00")</f>
        <v>O-16647-00</v>
      </c>
      <c r="B627" s="2" t="str">
        <f>IFERROR(__xludf.DUMMYFUNCTION("""COMPUTED_VALUE"""),"General - Oring Silicone Merah 23x18x2.5 mm; -; -; 1 Pc")</f>
        <v>General - Oring Silicone Merah 23x18x2.5 mm; -; -; 1 Pc</v>
      </c>
      <c r="C627" s="2" t="str">
        <f>IFERROR(__xludf.DUMMYFUNCTION("""COMPUTED_VALUE"""),"pc")</f>
        <v>pc</v>
      </c>
      <c r="D627" s="2">
        <f>IFERROR(__xludf.DUMMYFUNCTION("""COMPUTED_VALUE"""),391.0)</f>
        <v>391</v>
      </c>
      <c r="E627" s="2" t="str">
        <f>IFERROR(__xludf.DUMMYFUNCTION("""COMPUTED_VALUE"""),"A-2-1B")</f>
        <v>A-2-1B</v>
      </c>
    </row>
    <row r="628">
      <c r="A628" s="2" t="str">
        <f>IFERROR(__xludf.DUMMYFUNCTION("""COMPUTED_VALUE"""),"O-11166-00")</f>
        <v>O-11166-00</v>
      </c>
      <c r="B628" s="2" t="str">
        <f>IFERROR(__xludf.DUMMYFUNCTION("""COMPUTED_VALUE"""),"General - Bearing 6206 ZZ; No Brand; -; 1 pcs")</f>
        <v>General - Bearing 6206 ZZ; No Brand; -; 1 pcs</v>
      </c>
      <c r="C628" s="2" t="str">
        <f>IFERROR(__xludf.DUMMYFUNCTION("""COMPUTED_VALUE"""),"pc")</f>
        <v>pc</v>
      </c>
      <c r="D628" s="2">
        <f>IFERROR(__xludf.DUMMYFUNCTION("""COMPUTED_VALUE"""),8.0)</f>
        <v>8</v>
      </c>
      <c r="E628" s="2" t="str">
        <f>IFERROR(__xludf.DUMMYFUNCTION("""COMPUTED_VALUE"""),"G-2")</f>
        <v>G-2</v>
      </c>
    </row>
    <row r="629">
      <c r="A629" s="2" t="str">
        <f>IFERROR(__xludf.DUMMYFUNCTION("""COMPUTED_VALUE"""),"P-13285-00")</f>
        <v>P-13285-00</v>
      </c>
      <c r="B629" s="2" t="str">
        <f>IFERROR(__xludf.DUMMYFUNCTION("""COMPUTED_VALUE"""),"General - Socket Drat Luar, PVC, 1/2""; Rucika; -; 1 pcs")</f>
        <v>General - Socket Drat Luar, PVC, 1/2"; Rucika; -; 1 pcs</v>
      </c>
      <c r="C629" s="2" t="str">
        <f>IFERROR(__xludf.DUMMYFUNCTION("""COMPUTED_VALUE"""),"pc")</f>
        <v>pc</v>
      </c>
      <c r="D629" s="2">
        <f>IFERROR(__xludf.DUMMYFUNCTION("""COMPUTED_VALUE"""),3.0)</f>
        <v>3</v>
      </c>
      <c r="E629" s="2" t="str">
        <f>IFERROR(__xludf.DUMMYFUNCTION("""COMPUTED_VALUE"""),"-")</f>
        <v>-</v>
      </c>
    </row>
    <row r="630">
      <c r="A630" s="2" t="str">
        <f>IFERROR(__xludf.DUMMYFUNCTION("""COMPUTED_VALUE"""),"P-13513-00")</f>
        <v>P-13513-00</v>
      </c>
      <c r="B630" s="2" t="str">
        <f>IFERROR(__xludf.DUMMYFUNCTION("""COMPUTED_VALUE"""),"General - Magnehelic Pressure Gauges, Pressure 0-500Pa; Dwyer; 2000-500PA; 1 Pc")</f>
        <v>General - Magnehelic Pressure Gauges, Pressure 0-500Pa; Dwyer; 2000-500PA; 1 Pc</v>
      </c>
      <c r="C630" s="2" t="str">
        <f>IFERROR(__xludf.DUMMYFUNCTION("""COMPUTED_VALUE"""),"Pck")</f>
        <v>Pck</v>
      </c>
      <c r="D630" s="2">
        <f>IFERROR(__xludf.DUMMYFUNCTION("""COMPUTED_VALUE"""),4.0)</f>
        <v>4</v>
      </c>
      <c r="E630" s="2" t="str">
        <f>IFERROR(__xludf.DUMMYFUNCTION("""COMPUTED_VALUE"""),"R-3-13")</f>
        <v>R-3-13</v>
      </c>
    </row>
    <row r="631">
      <c r="A631" s="2" t="str">
        <f>IFERROR(__xludf.DUMMYFUNCTION("""COMPUTED_VALUE"""),"O-18693-00")</f>
        <v>O-18693-00</v>
      </c>
      <c r="B631" s="2" t="str">
        <f>IFERROR(__xludf.DUMMYFUNCTION("""COMPUTED_VALUE"""),"Autoclave Fedegari FVA2/A1 NB2963AT - DN16 Blind CAP P/N:PM102747; ; ;")</f>
        <v>Autoclave Fedegari FVA2/A1 NB2963AT - DN16 Blind CAP P/N:PM102747; ; ;</v>
      </c>
      <c r="C631" s="2" t="str">
        <f>IFERROR(__xludf.DUMMYFUNCTION("""COMPUTED_VALUE"""),"pc")</f>
        <v>pc</v>
      </c>
      <c r="D631" s="2">
        <f>IFERROR(__xludf.DUMMYFUNCTION("""COMPUTED_VALUE"""),3.0)</f>
        <v>3</v>
      </c>
      <c r="E631" s="2" t="str">
        <f>IFERROR(__xludf.DUMMYFUNCTION("""COMPUTED_VALUE"""),"E-3-5")</f>
        <v>E-3-5</v>
      </c>
    </row>
    <row r="632">
      <c r="A632" s="2" t="str">
        <f>IFERROR(__xludf.DUMMYFUNCTION("""COMPUTED_VALUE"""),"P-15000-00")</f>
        <v>P-15000-00</v>
      </c>
      <c r="B632" s="2" t="str">
        <f>IFERROR(__xludf.DUMMYFUNCTION("""COMPUTED_VALUE"""),"Air Diff. Press. Switch, P/N. QBM81; ; ;")</f>
        <v>Air Diff. Press. Switch, P/N. QBM81; ; ;</v>
      </c>
      <c r="C632" s="2" t="str">
        <f>IFERROR(__xludf.DUMMYFUNCTION("""COMPUTED_VALUE"""),"unt")</f>
        <v>unt</v>
      </c>
      <c r="D632" s="2">
        <f>IFERROR(__xludf.DUMMYFUNCTION("""COMPUTED_VALUE"""),9.0)</f>
        <v>9</v>
      </c>
      <c r="E632" s="2" t="str">
        <f>IFERROR(__xludf.DUMMYFUNCTION("""COMPUTED_VALUE"""),"L3")</f>
        <v>L3</v>
      </c>
    </row>
    <row r="633">
      <c r="A633" s="2" t="str">
        <f>IFERROR(__xludf.DUMMYFUNCTION("""COMPUTED_VALUE"""),"P-11404-00")</f>
        <v>P-11404-00</v>
      </c>
      <c r="B633" s="2" t="str">
        <f>IFERROR(__xludf.DUMMYFUNCTION("""COMPUTED_VALUE"""),"General - Seal Ferrule Teflon 1 1/2inch; No Brand; -; 1 pcs")</f>
        <v>General - Seal Ferrule Teflon 1 1/2inch; No Brand; -; 1 pcs</v>
      </c>
      <c r="C633" s="2" t="str">
        <f>IFERROR(__xludf.DUMMYFUNCTION("""COMPUTED_VALUE"""),"pc")</f>
        <v>pc</v>
      </c>
      <c r="D633" s="2">
        <f>IFERROR(__xludf.DUMMYFUNCTION("""COMPUTED_VALUE"""),24.0)</f>
        <v>24</v>
      </c>
      <c r="E633" s="2" t="str">
        <f>IFERROR(__xludf.DUMMYFUNCTION("""COMPUTED_VALUE"""),"M-3")</f>
        <v>M-3</v>
      </c>
    </row>
    <row r="634">
      <c r="A634" s="2" t="str">
        <f>IFERROR(__xludf.DUMMYFUNCTION("""COMPUTED_VALUE"""),"P-51841-00")</f>
        <v>P-51841-00</v>
      </c>
      <c r="B634" s="2" t="str">
        <f>IFERROR(__xludf.DUMMYFUNCTION("""COMPUTED_VALUE"""),"Power Supply LED Rainproof 250W/12VDC; ; ;")</f>
        <v>Power Supply LED Rainproof 250W/12VDC; ; ;</v>
      </c>
      <c r="C634" s="2" t="str">
        <f>IFERROR(__xludf.DUMMYFUNCTION("""COMPUTED_VALUE"""),"pc")</f>
        <v>pc</v>
      </c>
      <c r="D634" s="2">
        <f>IFERROR(__xludf.DUMMYFUNCTION("""COMPUTED_VALUE"""),1.0)</f>
        <v>1</v>
      </c>
      <c r="E634" s="2" t="str">
        <f>IFERROR(__xludf.DUMMYFUNCTION("""COMPUTED_VALUE"""),"L3")</f>
        <v>L3</v>
      </c>
    </row>
    <row r="635">
      <c r="A635" s="2" t="str">
        <f>IFERROR(__xludf.DUMMYFUNCTION("""COMPUTED_VALUE"""),"P-20570-00")</f>
        <v>P-20570-00</v>
      </c>
      <c r="B635" s="2" t="str">
        <f>IFERROR(__xludf.DUMMYFUNCTION("""COMPUTED_VALUE"""),"General - Dudukan Equinok Uk. 50 x 90 x 160mm; Custom Agru; -; 1 pc")</f>
        <v>General - Dudukan Equinok Uk. 50 x 90 x 160mm; Custom Agru; -; 1 pc</v>
      </c>
      <c r="C635" s="2" t="str">
        <f>IFERROR(__xludf.DUMMYFUNCTION("""COMPUTED_VALUE"""),"pc")</f>
        <v>pc</v>
      </c>
      <c r="D635" s="2">
        <f>IFERROR(__xludf.DUMMYFUNCTION("""COMPUTED_VALUE"""),1.0)</f>
        <v>1</v>
      </c>
      <c r="E635" s="2" t="str">
        <f>IFERROR(__xludf.DUMMYFUNCTION("""COMPUTED_VALUE"""),"-")</f>
        <v>-</v>
      </c>
    </row>
    <row r="636">
      <c r="A636" s="2" t="str">
        <f>IFERROR(__xludf.DUMMYFUNCTION("""COMPUTED_VALUE"""),"P-52731-00")</f>
        <v>P-52731-00</v>
      </c>
      <c r="B636" s="2" t="str">
        <f>IFERROR(__xludf.DUMMYFUNCTION("""COMPUTED_VALUE"""),"General - Spliter CN-6100-C2; Autonics; -; 1 pc")</f>
        <v>General - Spliter CN-6100-C2; Autonics; -; 1 pc</v>
      </c>
      <c r="C636" s="2" t="str">
        <f>IFERROR(__xludf.DUMMYFUNCTION("""COMPUTED_VALUE"""),"pc")</f>
        <v>pc</v>
      </c>
      <c r="D636" s="2">
        <f>IFERROR(__xludf.DUMMYFUNCTION("""COMPUTED_VALUE"""),1.0)</f>
        <v>1</v>
      </c>
      <c r="E636" s="2" t="str">
        <f>IFERROR(__xludf.DUMMYFUNCTION("""COMPUTED_VALUE"""),"L3")</f>
        <v>L3</v>
      </c>
    </row>
    <row r="637">
      <c r="A637" s="2" t="str">
        <f>IFERROR(__xludf.DUMMYFUNCTION("""COMPUTED_VALUE"""),"P-11169-00")</f>
        <v>P-11169-00</v>
      </c>
      <c r="B637" s="2" t="str">
        <f>IFERROR(__xludf.DUMMYFUNCTION("""COMPUTED_VALUE"""),"General - Push-in Fitting, QS-1/4-6; Festo; 153003; 1 pcs")</f>
        <v>General - Push-in Fitting, QS-1/4-6; Festo; 153003; 1 pcs</v>
      </c>
      <c r="C637" s="2" t="str">
        <f>IFERROR(__xludf.DUMMYFUNCTION("""COMPUTED_VALUE"""),"pc")</f>
        <v>pc</v>
      </c>
      <c r="D637" s="2">
        <f>IFERROR(__xludf.DUMMYFUNCTION("""COMPUTED_VALUE"""),16.0)</f>
        <v>16</v>
      </c>
      <c r="E637" s="2" t="str">
        <f>IFERROR(__xludf.DUMMYFUNCTION("""COMPUTED_VALUE"""),"R-4-7")</f>
        <v>R-4-7</v>
      </c>
    </row>
    <row r="638">
      <c r="A638" s="2" t="str">
        <f>IFERROR(__xludf.DUMMYFUNCTION("""COMPUTED_VALUE"""),"P-10892-00")</f>
        <v>P-10892-00</v>
      </c>
      <c r="B638" s="2" t="str">
        <f>IFERROR(__xludf.DUMMYFUNCTION("""COMPUTED_VALUE"""),"General - Socket Drat Luar, PVC, 1""; Rucika; -; 1 pcs")</f>
        <v>General - Socket Drat Luar, PVC, 1"; Rucika; -; 1 pcs</v>
      </c>
      <c r="C638" s="2" t="str">
        <f>IFERROR(__xludf.DUMMYFUNCTION("""COMPUTED_VALUE"""),"pc")</f>
        <v>pc</v>
      </c>
      <c r="D638" s="2">
        <f>IFERROR(__xludf.DUMMYFUNCTION("""COMPUTED_VALUE"""),4.0)</f>
        <v>4</v>
      </c>
      <c r="E638" s="2" t="str">
        <f>IFERROR(__xludf.DUMMYFUNCTION("""COMPUTED_VALUE"""),"-")</f>
        <v>-</v>
      </c>
    </row>
    <row r="639">
      <c r="A639" s="2" t="str">
        <f>IFERROR(__xludf.DUMMYFUNCTION("""COMPUTED_VALUE"""),"P-11838-00")</f>
        <v>P-11838-00</v>
      </c>
      <c r="B639" s="2" t="str">
        <f>IFERROR(__xludf.DUMMYFUNCTION("""COMPUTED_VALUE"""),"General - Ball Valve PVC 3/4inch; No Brand; -; 1 pcs")</f>
        <v>General - Ball Valve PVC 3/4inch; No Brand; -; 1 pcs</v>
      </c>
      <c r="C639" s="2" t="str">
        <f>IFERROR(__xludf.DUMMYFUNCTION("""COMPUTED_VALUE"""),"pc")</f>
        <v>pc</v>
      </c>
      <c r="D639" s="2">
        <f>IFERROR(__xludf.DUMMYFUNCTION("""COMPUTED_VALUE"""),2.0)</f>
        <v>2</v>
      </c>
      <c r="E639" s="2" t="str">
        <f>IFERROR(__xludf.DUMMYFUNCTION("""COMPUTED_VALUE"""),"-")</f>
        <v>-</v>
      </c>
    </row>
    <row r="640">
      <c r="A640" s="2" t="str">
        <f>IFERROR(__xludf.DUMMYFUNCTION("""COMPUTED_VALUE"""),"P-13386-00")</f>
        <v>P-13386-00</v>
      </c>
      <c r="B640" s="2" t="str">
        <f>IFERROR(__xludf.DUMMYFUNCTION("""COMPUTED_VALUE"""),"Sok Polos 2"" Rucika; ; ;")</f>
        <v>Sok Polos 2" Rucika; ; ;</v>
      </c>
      <c r="C640" s="2" t="str">
        <f>IFERROR(__xludf.DUMMYFUNCTION("""COMPUTED_VALUE"""),"pc")</f>
        <v>pc</v>
      </c>
      <c r="D640" s="2">
        <f>IFERROR(__xludf.DUMMYFUNCTION("""COMPUTED_VALUE"""),4.0)</f>
        <v>4</v>
      </c>
      <c r="E640" s="2" t="str">
        <f>IFERROR(__xludf.DUMMYFUNCTION("""COMPUTED_VALUE"""),"R-4-1")</f>
        <v>R-4-1</v>
      </c>
    </row>
    <row r="641">
      <c r="A641" s="2" t="str">
        <f>IFERROR(__xludf.DUMMYFUNCTION("""COMPUTED_VALUE"""),"O-18347-00")</f>
        <v>O-18347-00</v>
      </c>
      <c r="B641" s="2" t="str">
        <f>IFERROR(__xludf.DUMMYFUNCTION("""COMPUTED_VALUE"""),"Tunnel Machine - Silicone Inflatable Gasket AIRMATIC AIR 1055 MVQ Centre length:1312 mm; ; ;; Steriline; 7086; 1 Pc")</f>
        <v>Tunnel Machine - Silicone Inflatable Gasket AIRMATIC AIR 1055 MVQ Centre length:1312 mm; ; ;; Steriline; 7086; 1 Pc</v>
      </c>
      <c r="C641" s="2" t="str">
        <f>IFERROR(__xludf.DUMMYFUNCTION("""COMPUTED_VALUE"""),"pc")</f>
        <v>pc</v>
      </c>
      <c r="D641" s="2">
        <f>IFERROR(__xludf.DUMMYFUNCTION("""COMPUTED_VALUE"""),2.0)</f>
        <v>2</v>
      </c>
      <c r="E641" s="2" t="str">
        <f>IFERROR(__xludf.DUMMYFUNCTION("""COMPUTED_VALUE"""),"B-1")</f>
        <v>B-1</v>
      </c>
    </row>
    <row r="642">
      <c r="A642" s="2" t="str">
        <f>IFERROR(__xludf.DUMMYFUNCTION("""COMPUTED_VALUE"""),"P-54225-00")</f>
        <v>P-54225-00</v>
      </c>
      <c r="B642" s="2" t="str">
        <f>IFERROR(__xludf.DUMMYFUNCTION("""COMPUTED_VALUE"""),"General - Face Plate HDMI to VGA Skrup; AMP; -; 1 pc")</f>
        <v>General - Face Plate HDMI to VGA Skrup; AMP; -; 1 pc</v>
      </c>
      <c r="C642" s="2" t="str">
        <f>IFERROR(__xludf.DUMMYFUNCTION("""COMPUTED_VALUE"""),"pc")</f>
        <v>pc</v>
      </c>
      <c r="D642" s="2">
        <f>IFERROR(__xludf.DUMMYFUNCTION("""COMPUTED_VALUE"""),4.0)</f>
        <v>4</v>
      </c>
      <c r="E642" s="2" t="str">
        <f>IFERROR(__xludf.DUMMYFUNCTION("""COMPUTED_VALUE"""),"N3")</f>
        <v>N3</v>
      </c>
    </row>
    <row r="643">
      <c r="A643" s="2" t="str">
        <f>IFERROR(__xludf.DUMMYFUNCTION("""COMPUTED_VALUE"""),"O-16886-00")</f>
        <v>O-16886-00</v>
      </c>
      <c r="B643" s="2" t="str">
        <f>IFERROR(__xludf.DUMMYFUNCTION("""COMPUTED_VALUE"""),"Clamp Hose Alumunium Ferrule 3/4 inch  TATA SENTOSA PRASETYA, PT P/N : EN14420-3 pc")</f>
        <v>Clamp Hose Alumunium Ferrule 3/4 inch  TATA SENTOSA PRASETYA, PT P/N : EN14420-3 pc</v>
      </c>
      <c r="C643" s="2" t="str">
        <f>IFERROR(__xludf.DUMMYFUNCTION("""COMPUTED_VALUE"""),"pc")</f>
        <v>pc</v>
      </c>
      <c r="D643" s="2">
        <f>IFERROR(__xludf.DUMMYFUNCTION("""COMPUTED_VALUE"""),2.0)</f>
        <v>2</v>
      </c>
      <c r="E643" s="2" t="str">
        <f>IFERROR(__xludf.DUMMYFUNCTION("""COMPUTED_VALUE"""),"E-2-1D")</f>
        <v>E-2-1D</v>
      </c>
    </row>
    <row r="644">
      <c r="A644" s="2" t="str">
        <f>IFERROR(__xludf.DUMMYFUNCTION("""COMPUTED_VALUE"""),"O-17011-00")</f>
        <v>O-17011-00</v>
      </c>
      <c r="B644" s="2" t="str">
        <f>IFERROR(__xludf.DUMMYFUNCTION("""COMPUTED_VALUE"""),"Parallel Keys MISUMI P/N : KET3 pc")</f>
        <v>Parallel Keys MISUMI P/N : KET3 pc</v>
      </c>
      <c r="C644" s="2" t="str">
        <f>IFERROR(__xludf.DUMMYFUNCTION("""COMPUTED_VALUE"""),"pc")</f>
        <v>pc</v>
      </c>
      <c r="D644" s="2">
        <f>IFERROR(__xludf.DUMMYFUNCTION("""COMPUTED_VALUE"""),2.0)</f>
        <v>2</v>
      </c>
      <c r="E644" s="2" t="str">
        <f>IFERROR(__xludf.DUMMYFUNCTION("""COMPUTED_VALUE"""),"A2")</f>
        <v>A2</v>
      </c>
    </row>
    <row r="645">
      <c r="A645" s="2" t="str">
        <f>IFERROR(__xludf.DUMMYFUNCTION("""COMPUTED_VALUE"""),"O-19862-00")</f>
        <v>O-19862-00</v>
      </c>
      <c r="B645" s="2" t="str">
        <f>IFERROR(__xludf.DUMMYFUNCTION("""COMPUTED_VALUE"""),"Capping VCM214 - Transfer Plate material SS304Custom; Custom/Lokal; -; 1 Pc")</f>
        <v>Capping VCM214 - Transfer Plate material SS304Custom; Custom/Lokal; -; 1 Pc</v>
      </c>
      <c r="C645" s="2" t="str">
        <f>IFERROR(__xludf.DUMMYFUNCTION("""COMPUTED_VALUE"""),"pc")</f>
        <v>pc</v>
      </c>
      <c r="D645" s="2">
        <f>IFERROR(__xludf.DUMMYFUNCTION("""COMPUTED_VALUE"""),20.0)</f>
        <v>20</v>
      </c>
      <c r="E645" s="2" t="str">
        <f>IFERROR(__xludf.DUMMYFUNCTION("""COMPUTED_VALUE"""),"Not Located")</f>
        <v>Not Located</v>
      </c>
    </row>
    <row r="646">
      <c r="A646" s="2" t="str">
        <f>IFERROR(__xludf.DUMMYFUNCTION("""COMPUTED_VALUE"""),"P-50506-00")</f>
        <v>P-50506-00</v>
      </c>
      <c r="B646" s="2" t="str">
        <f>IFERROR(__xludf.DUMMYFUNCTION("""COMPUTED_VALUE"""),"General - Saklar Tunggal 250 V; Clipsal; -; 1 pc")</f>
        <v>General - Saklar Tunggal 250 V; Clipsal; -; 1 pc</v>
      </c>
      <c r="C646" s="2" t="str">
        <f>IFERROR(__xludf.DUMMYFUNCTION("""COMPUTED_VALUE"""),"pc")</f>
        <v>pc</v>
      </c>
      <c r="D646" s="2">
        <f>IFERROR(__xludf.DUMMYFUNCTION("""COMPUTED_VALUE"""),3.0)</f>
        <v>3</v>
      </c>
      <c r="E646" s="2" t="str">
        <f>IFERROR(__xludf.DUMMYFUNCTION("""COMPUTED_VALUE"""),"O2")</f>
        <v>O2</v>
      </c>
    </row>
    <row r="647">
      <c r="A647" s="2" t="str">
        <f>IFERROR(__xludf.DUMMYFUNCTION("""COMPUTED_VALUE"""),"O-20231-00")</f>
        <v>O-20231-00</v>
      </c>
      <c r="B647" s="2" t="str">
        <f>IFERROR(__xludf.DUMMYFUNCTION("""COMPUTED_VALUE"""),"Washing RAV4 - Base Black Arm Mat. VCN; Custom/Lokal; -; 1 Pc")</f>
        <v>Washing RAV4 - Base Black Arm Mat. VCN; Custom/Lokal; -; 1 Pc</v>
      </c>
      <c r="C647" s="2" t="str">
        <f>IFERROR(__xludf.DUMMYFUNCTION("""COMPUTED_VALUE"""),"pc")</f>
        <v>pc</v>
      </c>
      <c r="D647" s="2">
        <f>IFERROR(__xludf.DUMMYFUNCTION("""COMPUTED_VALUE"""),1.0)</f>
        <v>1</v>
      </c>
      <c r="E647" s="2"/>
    </row>
    <row r="648">
      <c r="A648" s="2" t="str">
        <f>IFERROR(__xludf.DUMMYFUNCTION("""COMPUTED_VALUE"""),"O-54137-00")</f>
        <v>O-54137-00</v>
      </c>
      <c r="B648" s="2" t="str">
        <f>IFERROR(__xludf.DUMMYFUNCTION("""COMPUTED_VALUE"""),"General - Terminal Block, 6 mm; Fort; -; 1 pcs")</f>
        <v>General - Terminal Block, 6 mm; Fort; -; 1 pcs</v>
      </c>
      <c r="C648" s="2" t="str">
        <f>IFERROR(__xludf.DUMMYFUNCTION("""COMPUTED_VALUE"""),"pc")</f>
        <v>pc</v>
      </c>
      <c r="D648" s="2">
        <f>IFERROR(__xludf.DUMMYFUNCTION("""COMPUTED_VALUE"""),62.0)</f>
        <v>62</v>
      </c>
      <c r="E648" s="2" t="str">
        <f>IFERROR(__xludf.DUMMYFUNCTION("""COMPUTED_VALUE"""),"O2")</f>
        <v>O2</v>
      </c>
    </row>
    <row r="649">
      <c r="A649" s="2" t="str">
        <f>IFERROR(__xludf.DUMMYFUNCTION("""COMPUTED_VALUE"""),"P-19757-00")</f>
        <v>P-19757-00</v>
      </c>
      <c r="B649" s="2" t="str">
        <f>IFERROR(__xludf.DUMMYFUNCTION("""COMPUTED_VALUE"""),"General - Filter Panel Size 4inch; No Brand; -; 1 pc")</f>
        <v>General - Filter Panel Size 4inch; No Brand; -; 1 pc</v>
      </c>
      <c r="C649" s="2" t="str">
        <f>IFERROR(__xludf.DUMMYFUNCTION("""COMPUTED_VALUE"""),"pc")</f>
        <v>pc</v>
      </c>
      <c r="D649" s="2">
        <f>IFERROR(__xludf.DUMMYFUNCTION("""COMPUTED_VALUE"""),2.0)</f>
        <v>2</v>
      </c>
      <c r="E649" s="2" t="str">
        <f>IFERROR(__xludf.DUMMYFUNCTION("""COMPUTED_VALUE"""),"M-4")</f>
        <v>M-4</v>
      </c>
    </row>
    <row r="650">
      <c r="A650" s="2" t="str">
        <f>IFERROR(__xludf.DUMMYFUNCTION("""COMPUTED_VALUE"""),"P-14948-00")</f>
        <v>P-14948-00</v>
      </c>
      <c r="B650" s="2" t="str">
        <f>IFERROR(__xludf.DUMMYFUNCTION("""COMPUTED_VALUE"""),"Fitting Male Elbow KQ2L08-02AS; ; ;")</f>
        <v>Fitting Male Elbow KQ2L08-02AS; ; ;</v>
      </c>
      <c r="C650" s="2" t="str">
        <f>IFERROR(__xludf.DUMMYFUNCTION("""COMPUTED_VALUE"""),"pc")</f>
        <v>pc</v>
      </c>
      <c r="D650" s="2">
        <f>IFERROR(__xludf.DUMMYFUNCTION("""COMPUTED_VALUE"""),3.0)</f>
        <v>3</v>
      </c>
      <c r="E650" s="2" t="str">
        <f>IFERROR(__xludf.DUMMYFUNCTION("""COMPUTED_VALUE"""),"R-2-8")</f>
        <v>R-2-8</v>
      </c>
    </row>
    <row r="651">
      <c r="A651" s="2" t="str">
        <f>IFERROR(__xludf.DUMMYFUNCTION("""COMPUTED_VALUE"""),"O-19589-00")</f>
        <v>O-19589-00</v>
      </c>
      <c r="B651" s="2" t="str">
        <f>IFERROR(__xludf.DUMMYFUNCTION("""COMPUTED_VALUE"""),"General - Press Gauge 0-500 Psi, Dia 2.5 Inch, Drat 1/4 Inch; -; -; 1 Pc")</f>
        <v>General - Press Gauge 0-500 Psi, Dia 2.5 Inch, Drat 1/4 Inch; -; -; 1 Pc</v>
      </c>
      <c r="C651" s="2" t="str">
        <f>IFERROR(__xludf.DUMMYFUNCTION("""COMPUTED_VALUE"""),"pc")</f>
        <v>pc</v>
      </c>
      <c r="D651" s="2">
        <f>IFERROR(__xludf.DUMMYFUNCTION("""COMPUTED_VALUE"""),2.0)</f>
        <v>2</v>
      </c>
      <c r="E651" s="2" t="str">
        <f>IFERROR(__xludf.DUMMYFUNCTION("""COMPUTED_VALUE"""),"D-4-9 ")</f>
        <v>D-4-9 </v>
      </c>
    </row>
    <row r="652">
      <c r="A652" s="2" t="str">
        <f>IFERROR(__xludf.DUMMYFUNCTION("""COMPUTED_VALUE"""),"P-18821-00")</f>
        <v>P-18821-00</v>
      </c>
      <c r="B652" s="2" t="str">
        <f>IFERROR(__xludf.DUMMYFUNCTION("""COMPUTED_VALUE"""),"General - Pentil Pengisian Freon, 1/4""; No Brand; -; 1 pcs")</f>
        <v>General - Pentil Pengisian Freon, 1/4"; No Brand; -; 1 pcs</v>
      </c>
      <c r="C652" s="2" t="str">
        <f>IFERROR(__xludf.DUMMYFUNCTION("""COMPUTED_VALUE"""),"pc")</f>
        <v>pc</v>
      </c>
      <c r="D652" s="2">
        <f>IFERROR(__xludf.DUMMYFUNCTION("""COMPUTED_VALUE"""),4.0)</f>
        <v>4</v>
      </c>
      <c r="E652" s="2" t="str">
        <f>IFERROR(__xludf.DUMMYFUNCTION("""COMPUTED_VALUE"""),"D-2-1B")</f>
        <v>D-2-1B</v>
      </c>
    </row>
    <row r="653">
      <c r="A653" s="2" t="str">
        <f>IFERROR(__xludf.DUMMYFUNCTION("""COMPUTED_VALUE"""),"P-51843-00")</f>
        <v>P-51843-00</v>
      </c>
      <c r="B653" s="2" t="str">
        <f>IFERROR(__xludf.DUMMYFUNCTION("""COMPUTED_VALUE"""),"General - round red push-button ? 22 - flush spring return - 1NC; Schneider; XA2EA42; 1 pcs")</f>
        <v>General - round red push-button ? 22 - flush spring return - 1NC; Schneider; XA2EA42; 1 pcs</v>
      </c>
      <c r="C653" s="2" t="str">
        <f>IFERROR(__xludf.DUMMYFUNCTION("""COMPUTED_VALUE"""),"pc")</f>
        <v>pc</v>
      </c>
      <c r="D653" s="2">
        <f>IFERROR(__xludf.DUMMYFUNCTION("""COMPUTED_VALUE"""),1.0)</f>
        <v>1</v>
      </c>
      <c r="E653" s="2" t="str">
        <f>IFERROR(__xludf.DUMMYFUNCTION("""COMPUTED_VALUE"""),"O2")</f>
        <v>O2</v>
      </c>
    </row>
    <row r="654">
      <c r="A654" s="2" t="str">
        <f>IFERROR(__xludf.DUMMYFUNCTION("""COMPUTED_VALUE"""),"O-52314-00")</f>
        <v>O-52314-00</v>
      </c>
      <c r="B654" s="2" t="str">
        <f>IFERROR(__xludf.DUMMYFUNCTION("""COMPUTED_VALUE"""),"General - Solenoid Valve, VSNC-FC-M52-MD-G14-F8-1B2; Festo; 577295; 1 pcs")</f>
        <v>General - Solenoid Valve, VSNC-FC-M52-MD-G14-F8-1B2; Festo; 577295; 1 pcs</v>
      </c>
      <c r="C654" s="2" t="str">
        <f>IFERROR(__xludf.DUMMYFUNCTION("""COMPUTED_VALUE"""),"pc")</f>
        <v>pc</v>
      </c>
      <c r="D654" s="2">
        <f>IFERROR(__xludf.DUMMYFUNCTION("""COMPUTED_VALUE"""),3.0)</f>
        <v>3</v>
      </c>
      <c r="E654" s="2" t="str">
        <f>IFERROR(__xludf.DUMMYFUNCTION("""COMPUTED_VALUE"""),"B-3-8")</f>
        <v>B-3-8</v>
      </c>
    </row>
    <row r="655">
      <c r="A655" s="2" t="str">
        <f>IFERROR(__xludf.DUMMYFUNCTION("""COMPUTED_VALUE"""),"Q-60503-00")</f>
        <v>Q-60503-00</v>
      </c>
      <c r="B655" s="2" t="str">
        <f>IFERROR(__xludf.DUMMYFUNCTION("""COMPUTED_VALUE"""),"Silicone Sealant;Silglaze;Type N10 Grey;pack size per pcs")</f>
        <v>Silicone Sealant;Silglaze;Type N10 Grey;pack size per pcs</v>
      </c>
      <c r="C655" s="2" t="str">
        <f>IFERROR(__xludf.DUMMYFUNCTION("""COMPUTED_VALUE"""),"pc")</f>
        <v>pc</v>
      </c>
      <c r="D655" s="2">
        <f>IFERROR(__xludf.DUMMYFUNCTION("""COMPUTED_VALUE"""),24.0)</f>
        <v>24</v>
      </c>
      <c r="E655" s="2" t="str">
        <f>IFERROR(__xludf.DUMMYFUNCTION("""COMPUTED_VALUE"""),"Q1")</f>
        <v>Q1</v>
      </c>
    </row>
    <row r="656">
      <c r="A656" s="2" t="str">
        <f>IFERROR(__xludf.DUMMYFUNCTION("""COMPUTED_VALUE"""),"P-12260-00")</f>
        <v>P-12260-00</v>
      </c>
      <c r="B656" s="2" t="str">
        <f>IFERROR(__xludf.DUMMYFUNCTION("""COMPUTED_VALUE"""),"FESTO - Push In Connector QS-4-4")</f>
        <v>FESTO - Push In Connector QS-4-4</v>
      </c>
      <c r="C656" s="2" t="str">
        <f>IFERROR(__xludf.DUMMYFUNCTION("""COMPUTED_VALUE"""),"pc")</f>
        <v>pc</v>
      </c>
      <c r="D656" s="2">
        <f>IFERROR(__xludf.DUMMYFUNCTION("""COMPUTED_VALUE"""),6.0)</f>
        <v>6</v>
      </c>
      <c r="E656" s="2" t="str">
        <f>IFERROR(__xludf.DUMMYFUNCTION("""COMPUTED_VALUE"""),"B-2-1D")</f>
        <v>B-2-1D</v>
      </c>
    </row>
    <row r="657">
      <c r="A657" s="2" t="str">
        <f>IFERROR(__xludf.DUMMYFUNCTION("""COMPUTED_VALUE"""),"O-54115-00")</f>
        <v>O-54115-00</v>
      </c>
      <c r="B657" s="2" t="str">
        <f>IFERROR(__xludf.DUMMYFUNCTION("""COMPUTED_VALUE"""),"General - Fiber Amplifier; KEYENCE; FS-V31CP;")</f>
        <v>General - Fiber Amplifier; KEYENCE; FS-V31CP;</v>
      </c>
      <c r="C657" s="2" t="str">
        <f>IFERROR(__xludf.DUMMYFUNCTION("""COMPUTED_VALUE"""),"pc")</f>
        <v>pc</v>
      </c>
      <c r="D657" s="2">
        <f>IFERROR(__xludf.DUMMYFUNCTION("""COMPUTED_VALUE"""),1.0)</f>
        <v>1</v>
      </c>
      <c r="E657" s="2" t="str">
        <f>IFERROR(__xludf.DUMMYFUNCTION("""COMPUTED_VALUE"""),"B-3-5")</f>
        <v>B-3-5</v>
      </c>
    </row>
    <row r="658">
      <c r="A658" s="2" t="str">
        <f>IFERROR(__xludf.DUMMYFUNCTION("""COMPUTED_VALUE"""),"P-14956-00")</f>
        <v>P-14956-00</v>
      </c>
      <c r="B658" s="2" t="str">
        <f>IFERROR(__xludf.DUMMYFUNCTION("""COMPUTED_VALUE"""),"General - Straight Union KQ2H06-00A; No Brand; -; 1 Pc")</f>
        <v>General - Straight Union KQ2H06-00A; No Brand; -; 1 Pc</v>
      </c>
      <c r="C658" s="2" t="str">
        <f>IFERROR(__xludf.DUMMYFUNCTION("""COMPUTED_VALUE"""),"pc")</f>
        <v>pc</v>
      </c>
      <c r="D658" s="2">
        <f>IFERROR(__xludf.DUMMYFUNCTION("""COMPUTED_VALUE"""),6.0)</f>
        <v>6</v>
      </c>
      <c r="E658" s="2" t="str">
        <f>IFERROR(__xludf.DUMMYFUNCTION("""COMPUTED_VALUE"""),"-")</f>
        <v>-</v>
      </c>
    </row>
    <row r="659">
      <c r="A659" s="2" t="str">
        <f>IFERROR(__xludf.DUMMYFUNCTION("""COMPUTED_VALUE"""),"O-20645-00")</f>
        <v>O-20645-00</v>
      </c>
      <c r="B659" s="2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59" s="2" t="str">
        <f>IFERROR(__xludf.DUMMYFUNCTION("""COMPUTED_VALUE"""),"pc")</f>
        <v>pc</v>
      </c>
      <c r="D659" s="2">
        <f>IFERROR(__xludf.DUMMYFUNCTION("""COMPUTED_VALUE"""),1.0)</f>
        <v>1</v>
      </c>
      <c r="E659" s="2" t="str">
        <f>IFERROR(__xludf.DUMMYFUNCTION("""COMPUTED_VALUE"""),"-")</f>
        <v>-</v>
      </c>
    </row>
    <row r="660">
      <c r="A660" s="2" t="str">
        <f>IFERROR(__xludf.DUMMYFUNCTION("""COMPUTED_VALUE"""),"O-18351-00")</f>
        <v>O-18351-00</v>
      </c>
      <c r="B660" s="2" t="str">
        <f>IFERROR(__xludf.DUMMYFUNCTION("""COMPUTED_VALUE"""),"General - Oring Silicone 3.1x19.4x25.6 mm; -; -; 1 Pc")</f>
        <v>General - Oring Silicone 3.1x19.4x25.6 mm; -; -; 1 Pc</v>
      </c>
      <c r="C660" s="2" t="str">
        <f>IFERROR(__xludf.DUMMYFUNCTION("""COMPUTED_VALUE"""),"pc")</f>
        <v>pc</v>
      </c>
      <c r="D660" s="2">
        <f>IFERROR(__xludf.DUMMYFUNCTION("""COMPUTED_VALUE"""),9.0)</f>
        <v>9</v>
      </c>
      <c r="E660" s="2" t="str">
        <f>IFERROR(__xludf.DUMMYFUNCTION("""COMPUTED_VALUE"""),"D-2-2A")</f>
        <v>D-2-2A</v>
      </c>
    </row>
    <row r="661">
      <c r="A661" s="2" t="str">
        <f>IFERROR(__xludf.DUMMYFUNCTION("""COMPUTED_VALUE"""),"P-19144-00")</f>
        <v>P-19144-00</v>
      </c>
      <c r="B661" s="2" t="str">
        <f>IFERROR(__xludf.DUMMYFUNCTION("""COMPUTED_VALUE"""),"General - O-ring Silicon Diameter 5,33mm; Trenade Energi; -; 1 pc")</f>
        <v>General - O-ring Silicon Diameter 5,33mm; Trenade Energi; -; 1 pc</v>
      </c>
      <c r="C661" s="2" t="str">
        <f>IFERROR(__xludf.DUMMYFUNCTION("""COMPUTED_VALUE"""),"m")</f>
        <v>m</v>
      </c>
      <c r="D661" s="2">
        <f>IFERROR(__xludf.DUMMYFUNCTION("""COMPUTED_VALUE"""),10.0)</f>
        <v>10</v>
      </c>
      <c r="E661" s="2" t="str">
        <f>IFERROR(__xludf.DUMMYFUNCTION("""COMPUTED_VALUE"""),"D4")</f>
        <v>D4</v>
      </c>
    </row>
    <row r="662">
      <c r="A662" s="2" t="str">
        <f>IFERROR(__xludf.DUMMYFUNCTION("""COMPUTED_VALUE"""),"P-19850-00")</f>
        <v>P-19850-00</v>
      </c>
      <c r="B662" s="2" t="str">
        <f>IFERROR(__xludf.DUMMYFUNCTION("""COMPUTED_VALUE"""),"General - Bearing 629ZZ; SKF; -; 1 pc")</f>
        <v>General - Bearing 629ZZ; SKF; -; 1 pc</v>
      </c>
      <c r="C662" s="2" t="str">
        <f>IFERROR(__xludf.DUMMYFUNCTION("""COMPUTED_VALUE"""),"pc")</f>
        <v>pc</v>
      </c>
      <c r="D662" s="2">
        <f>IFERROR(__xludf.DUMMYFUNCTION("""COMPUTED_VALUE"""),2.0)</f>
        <v>2</v>
      </c>
      <c r="E662" s="2" t="str">
        <f>IFERROR(__xludf.DUMMYFUNCTION("""COMPUTED_VALUE"""),"G-2")</f>
        <v>G-2</v>
      </c>
    </row>
    <row r="663">
      <c r="A663" s="2" t="str">
        <f>IFERROR(__xludf.DUMMYFUNCTION("""COMPUTED_VALUE"""),"P-20018-00")</f>
        <v>P-20018-00</v>
      </c>
      <c r="B663" s="2" t="str">
        <f>IFERROR(__xludf.DUMMYFUNCTION("""COMPUTED_VALUE"""),"General - Penutup Flexible Ducting 4inch; No Brand; -; 1 pc")</f>
        <v>General - Penutup Flexible Ducting 4inch; No Brand; -; 1 pc</v>
      </c>
      <c r="C663" s="2" t="str">
        <f>IFERROR(__xludf.DUMMYFUNCTION("""COMPUTED_VALUE"""),"pc")</f>
        <v>pc</v>
      </c>
      <c r="D663" s="2">
        <f>IFERROR(__xludf.DUMMYFUNCTION("""COMPUTED_VALUE"""),3.0)</f>
        <v>3</v>
      </c>
      <c r="E663" s="2" t="str">
        <f>IFERROR(__xludf.DUMMYFUNCTION("""COMPUTED_VALUE"""),"L-4")</f>
        <v>L-4</v>
      </c>
    </row>
    <row r="664">
      <c r="A664" s="2" t="str">
        <f>IFERROR(__xludf.DUMMYFUNCTION("""COMPUTED_VALUE"""),"O-20506-00")</f>
        <v>O-20506-00</v>
      </c>
      <c r="B664" s="2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64" s="2" t="str">
        <f>IFERROR(__xludf.DUMMYFUNCTION("""COMPUTED_VALUE"""),"pc")</f>
        <v>pc</v>
      </c>
      <c r="D664" s="2">
        <f>IFERROR(__xludf.DUMMYFUNCTION("""COMPUTED_VALUE"""),2.0)</f>
        <v>2</v>
      </c>
      <c r="E664" s="2" t="str">
        <f>IFERROR(__xludf.DUMMYFUNCTION("""COMPUTED_VALUE"""),"G-3")</f>
        <v>G-3</v>
      </c>
    </row>
    <row r="665">
      <c r="A665" s="2" t="str">
        <f>IFERROR(__xludf.DUMMYFUNCTION("""COMPUTED_VALUE"""),"O-51822-00")</f>
        <v>O-51822-00</v>
      </c>
      <c r="B665" s="2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665" s="2" t="str">
        <f>IFERROR(__xludf.DUMMYFUNCTION("""COMPUTED_VALUE"""),"unt")</f>
        <v>unt</v>
      </c>
      <c r="D665" s="2">
        <f>IFERROR(__xludf.DUMMYFUNCTION("""COMPUTED_VALUE"""),1.0)</f>
        <v>1</v>
      </c>
      <c r="E665" s="2" t="str">
        <f>IFERROR(__xludf.DUMMYFUNCTION("""COMPUTED_VALUE"""),"C2")</f>
        <v>C2</v>
      </c>
    </row>
    <row r="666">
      <c r="A666" s="2" t="str">
        <f>IFERROR(__xludf.DUMMYFUNCTION("""COMPUTED_VALUE"""),"O-14640-00")</f>
        <v>O-14640-00</v>
      </c>
      <c r="B666" s="2" t="str">
        <f>IFERROR(__xludf.DUMMYFUNCTION("""COMPUTED_VALUE"""),"General - Silicone Gasket for Ferrule dia. 3/4""; -; -; 1 Pc")</f>
        <v>General - Silicone Gasket for Ferrule dia. 3/4"; -; -; 1 Pc</v>
      </c>
      <c r="C666" s="2" t="str">
        <f>IFERROR(__xludf.DUMMYFUNCTION("""COMPUTED_VALUE"""),"pc")</f>
        <v>pc</v>
      </c>
      <c r="D666" s="2">
        <f>IFERROR(__xludf.DUMMYFUNCTION("""COMPUTED_VALUE"""),49.0)</f>
        <v>49</v>
      </c>
      <c r="E666" s="2" t="str">
        <f>IFERROR(__xludf.DUMMYFUNCTION("""COMPUTED_VALUE"""),"M3")</f>
        <v>M3</v>
      </c>
    </row>
    <row r="667">
      <c r="A667" s="2" t="str">
        <f>IFERROR(__xludf.DUMMYFUNCTION("""COMPUTED_VALUE"""),"P-15766-00")</f>
        <v>P-15766-00</v>
      </c>
      <c r="B667" s="2" t="str">
        <f>IFERROR(__xludf.DUMMYFUNCTION("""COMPUTED_VALUE"""),"General - Tee, PVC, 1 1/2""; Rucika; -; 1 pcs")</f>
        <v>General - Tee, PVC, 1 1/2"; Rucika; -; 1 pcs</v>
      </c>
      <c r="C667" s="2" t="str">
        <f>IFERROR(__xludf.DUMMYFUNCTION("""COMPUTED_VALUE"""),"pc")</f>
        <v>pc</v>
      </c>
      <c r="D667" s="2">
        <f>IFERROR(__xludf.DUMMYFUNCTION("""COMPUTED_VALUE"""),10.0)</f>
        <v>10</v>
      </c>
      <c r="E667" s="2"/>
    </row>
    <row r="668">
      <c r="A668" s="2" t="str">
        <f>IFERROR(__xludf.DUMMYFUNCTION("""COMPUTED_VALUE"""),"O-53094-00")</f>
        <v>O-53094-00</v>
      </c>
      <c r="B668" s="2" t="str">
        <f>IFERROR(__xludf.DUMMYFUNCTION("""COMPUTED_VALUE"""),"FD S/N MBE1207 - Pressure Switch IPN-350 ISO; ; EB02-00063;")</f>
        <v>FD S/N MBE1207 - Pressure Switch IPN-350 ISO; ; EB02-00063;</v>
      </c>
      <c r="C668" s="2" t="str">
        <f>IFERROR(__xludf.DUMMYFUNCTION("""COMPUTED_VALUE"""),"pc")</f>
        <v>pc</v>
      </c>
      <c r="D668" s="2">
        <f>IFERROR(__xludf.DUMMYFUNCTION("""COMPUTED_VALUE"""),2.0)</f>
        <v>2</v>
      </c>
      <c r="E668" s="2" t="str">
        <f>IFERROR(__xludf.DUMMYFUNCTION("""COMPUTED_VALUE"""),"D-2-3A")</f>
        <v>D-2-3A</v>
      </c>
    </row>
    <row r="669">
      <c r="A669" s="2" t="str">
        <f>IFERROR(__xludf.DUMMYFUNCTION("""COMPUTED_VALUE"""),"O-52355-00")</f>
        <v>O-52355-00</v>
      </c>
      <c r="B669" s="2" t="str">
        <f>IFERROR(__xludf.DUMMYFUNCTION("""COMPUTED_VALUE"""),"General - Solenoid Valve; MAC; 55B-24-PE-611JB; 1 Pc")</f>
        <v>General - Solenoid Valve; MAC; 55B-24-PE-611JB; 1 Pc</v>
      </c>
      <c r="C669" s="2" t="str">
        <f>IFERROR(__xludf.DUMMYFUNCTION("""COMPUTED_VALUE"""),"unt")</f>
        <v>unt</v>
      </c>
      <c r="D669" s="2">
        <f>IFERROR(__xludf.DUMMYFUNCTION("""COMPUTED_VALUE"""),1.0)</f>
        <v>1</v>
      </c>
      <c r="E669" s="2" t="str">
        <f>IFERROR(__xludf.DUMMYFUNCTION("""COMPUTED_VALUE"""),"A-2-5")</f>
        <v>A-2-5</v>
      </c>
    </row>
    <row r="670">
      <c r="A670" s="2" t="str">
        <f>IFERROR(__xludf.DUMMYFUNCTION("""COMPUTED_VALUE"""),"O-51986-00")</f>
        <v>O-51986-00</v>
      </c>
      <c r="B670" s="2" t="str">
        <f>IFERROR(__xludf.DUMMYFUNCTION("""COMPUTED_VALUE"""),"General - Flow Switch 1inch 220V; SAN-EI; -; 1 Pc")</f>
        <v>General - Flow Switch 1inch 220V; SAN-EI; -; 1 Pc</v>
      </c>
      <c r="C670" s="2" t="str">
        <f>IFERROR(__xludf.DUMMYFUNCTION("""COMPUTED_VALUE"""),"pc")</f>
        <v>pc</v>
      </c>
      <c r="D670" s="2">
        <f>IFERROR(__xludf.DUMMYFUNCTION("""COMPUTED_VALUE"""),1.0)</f>
        <v>1</v>
      </c>
      <c r="E670" s="2" t="str">
        <f>IFERROR(__xludf.DUMMYFUNCTION("""COMPUTED_VALUE"""),"F-1")</f>
        <v>F-1</v>
      </c>
    </row>
    <row r="671">
      <c r="A671" s="2" t="str">
        <f>IFERROR(__xludf.DUMMYFUNCTION("""COMPUTED_VALUE"""),"P-54508-00")</f>
        <v>P-54508-00</v>
      </c>
      <c r="B671" s="2" t="str">
        <f>IFERROR(__xludf.DUMMYFUNCTION("""COMPUTED_VALUE"""),"General - Comb Busbar Sisir, 3 Phase, 63A, 10391; Schneider; -; 1 pc")</f>
        <v>General - Comb Busbar Sisir, 3 Phase, 63A, 10391; Schneider; -; 1 pc</v>
      </c>
      <c r="C671" s="2" t="str">
        <f>IFERROR(__xludf.DUMMYFUNCTION("""COMPUTED_VALUE"""),"pc")</f>
        <v>pc</v>
      </c>
      <c r="D671" s="2">
        <f>IFERROR(__xludf.DUMMYFUNCTION("""COMPUTED_VALUE"""),2.0)</f>
        <v>2</v>
      </c>
      <c r="E671" s="2" t="str">
        <f>IFERROR(__xludf.DUMMYFUNCTION("""COMPUTED_VALUE"""),"-")</f>
        <v>-</v>
      </c>
    </row>
    <row r="672">
      <c r="A672" s="2" t="str">
        <f>IFERROR(__xludf.DUMMYFUNCTION("""COMPUTED_VALUE"""),"P-54535-00")</f>
        <v>P-54535-00</v>
      </c>
      <c r="B672" s="2" t="str">
        <f>IFERROR(__xludf.DUMMYFUNCTION("""COMPUTED_VALUE"""),"General - Stopper Din Rail 20mm; No Brand; -; 1 pc")</f>
        <v>General - Stopper Din Rail 20mm; No Brand; -; 1 pc</v>
      </c>
      <c r="C672" s="2" t="str">
        <f>IFERROR(__xludf.DUMMYFUNCTION("""COMPUTED_VALUE"""),"pc")</f>
        <v>pc</v>
      </c>
      <c r="D672" s="2">
        <f>IFERROR(__xludf.DUMMYFUNCTION("""COMPUTED_VALUE"""),25.0)</f>
        <v>25</v>
      </c>
      <c r="E672" s="2" t="str">
        <f>IFERROR(__xludf.DUMMYFUNCTION("""COMPUTED_VALUE"""),"-")</f>
        <v>-</v>
      </c>
    </row>
    <row r="673">
      <c r="A673" s="2" t="str">
        <f>IFERROR(__xludf.DUMMYFUNCTION("""COMPUTED_VALUE"""),"O-54170-00")</f>
        <v>O-54170-00</v>
      </c>
      <c r="B673" s="2" t="str">
        <f>IFERROR(__xludf.DUMMYFUNCTION("""COMPUTED_VALUE"""),"General - Electronic Expansion Valve; Parker; ESX24B; 1 Pc")</f>
        <v>General - Electronic Expansion Valve; Parker; ESX24B; 1 Pc</v>
      </c>
      <c r="C673" s="2" t="str">
        <f>IFERROR(__xludf.DUMMYFUNCTION("""COMPUTED_VALUE"""),"pc")</f>
        <v>pc</v>
      </c>
      <c r="D673" s="2">
        <f>IFERROR(__xludf.DUMMYFUNCTION("""COMPUTED_VALUE"""),2.0)</f>
        <v>2</v>
      </c>
      <c r="E673" s="2" t="str">
        <f>IFERROR(__xludf.DUMMYFUNCTION("""COMPUTED_VALUE"""),"D-3-2B")</f>
        <v>D-3-2B</v>
      </c>
    </row>
    <row r="674">
      <c r="A674" s="2" t="str">
        <f>IFERROR(__xludf.DUMMYFUNCTION("""COMPUTED_VALUE"""),"P-53174-00")</f>
        <v>P-53174-00</v>
      </c>
      <c r="B674" s="2" t="str">
        <f>IFERROR(__xludf.DUMMYFUNCTION("""COMPUTED_VALUE"""),"General - Trafo BalLast EBC 1x14W; Phillips; EB-C 114; 1 pcs")</f>
        <v>General - Trafo BalLast EBC 1x14W; Phillips; EB-C 114; 1 pcs</v>
      </c>
      <c r="C674" s="2" t="str">
        <f>IFERROR(__xludf.DUMMYFUNCTION("""COMPUTED_VALUE"""),"pc")</f>
        <v>pc</v>
      </c>
      <c r="D674" s="2">
        <f>IFERROR(__xludf.DUMMYFUNCTION("""COMPUTED_VALUE"""),5.0)</f>
        <v>5</v>
      </c>
      <c r="E674" s="2" t="str">
        <f>IFERROR(__xludf.DUMMYFUNCTION("""COMPUTED_VALUE"""),"A-4-1")</f>
        <v>A-4-1</v>
      </c>
    </row>
    <row r="675">
      <c r="A675" s="2" t="str">
        <f>IFERROR(__xludf.DUMMYFUNCTION("""COMPUTED_VALUE"""),"P-12830-00")</f>
        <v>P-12830-00</v>
      </c>
      <c r="B675" s="2" t="str">
        <f>IFERROR(__xludf.DUMMYFUNCTION("""COMPUTED_VALUE"""),"Sodium metabisulfit")</f>
        <v>Sodium metabisulfit</v>
      </c>
      <c r="C675" s="2" t="str">
        <f>IFERROR(__xludf.DUMMYFUNCTION("""COMPUTED_VALUE"""),"pc")</f>
        <v>pc</v>
      </c>
      <c r="D675" s="2">
        <f>IFERROR(__xludf.DUMMYFUNCTION("""COMPUTED_VALUE"""),3.0)</f>
        <v>3</v>
      </c>
      <c r="E675" s="2" t="str">
        <f>IFERROR(__xludf.DUMMYFUNCTION("""COMPUTED_VALUE"""),"WWTP")</f>
        <v>WWTP</v>
      </c>
    </row>
    <row r="676">
      <c r="A676" s="2" t="str">
        <f>IFERROR(__xludf.DUMMYFUNCTION("""COMPUTED_VALUE"""),"O-52225-00")</f>
        <v>O-52225-00</v>
      </c>
      <c r="B676" s="2" t="str">
        <f>IFERROR(__xludf.DUMMYFUNCTION("""COMPUTED_VALUE"""),"Tunnel ST1L - Fuse Keramik 25A; ; ;")</f>
        <v>Tunnel ST1L - Fuse Keramik 25A; ; ;</v>
      </c>
      <c r="C676" s="2" t="str">
        <f>IFERROR(__xludf.DUMMYFUNCTION("""COMPUTED_VALUE"""),"pc")</f>
        <v>pc</v>
      </c>
      <c r="D676" s="2">
        <f>IFERROR(__xludf.DUMMYFUNCTION("""COMPUTED_VALUE"""),1.0)</f>
        <v>1</v>
      </c>
      <c r="E676" s="2" t="str">
        <f>IFERROR(__xludf.DUMMYFUNCTION("""COMPUTED_VALUE"""),"B-3-4B")</f>
        <v>B-3-4B</v>
      </c>
    </row>
    <row r="677">
      <c r="A677" s="2" t="str">
        <f>IFERROR(__xludf.DUMMYFUNCTION("""COMPUTED_VALUE"""),"O-53273-00")</f>
        <v>O-53273-00</v>
      </c>
      <c r="B677" s="2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677" s="2" t="str">
        <f>IFERROR(__xludf.DUMMYFUNCTION("""COMPUTED_VALUE"""),"pc")</f>
        <v>pc</v>
      </c>
      <c r="D677" s="2">
        <f>IFERROR(__xludf.DUMMYFUNCTION("""COMPUTED_VALUE"""),1.0)</f>
        <v>1</v>
      </c>
      <c r="E677" s="2" t="str">
        <f>IFERROR(__xludf.DUMMYFUNCTION("""COMPUTED_VALUE"""),"-")</f>
        <v>-</v>
      </c>
    </row>
    <row r="678">
      <c r="A678" s="2" t="str">
        <f>IFERROR(__xludf.DUMMYFUNCTION("""COMPUTED_VALUE"""),"O-53275-00")</f>
        <v>O-53275-00</v>
      </c>
      <c r="B678" s="2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678" s="2" t="str">
        <f>IFERROR(__xludf.DUMMYFUNCTION("""COMPUTED_VALUE"""),"pc")</f>
        <v>pc</v>
      </c>
      <c r="D678" s="2">
        <f>IFERROR(__xludf.DUMMYFUNCTION("""COMPUTED_VALUE"""),1.0)</f>
        <v>1</v>
      </c>
      <c r="E678" s="2" t="str">
        <f>IFERROR(__xludf.DUMMYFUNCTION("""COMPUTED_VALUE"""),"-")</f>
        <v>-</v>
      </c>
    </row>
    <row r="679">
      <c r="A679" s="2" t="str">
        <f>IFERROR(__xludf.DUMMYFUNCTION("""COMPUTED_VALUE"""),"P-10391-00")</f>
        <v>P-10391-00</v>
      </c>
      <c r="B679" s="2" t="str">
        <f>IFERROR(__xludf.DUMMYFUNCTION("""COMPUTED_VALUE"""),"General - Ball Valve PVC 2inch; No Brand; -; 1 pcs")</f>
        <v>General - Ball Valve PVC 2inch; No Brand; -; 1 pcs</v>
      </c>
      <c r="C679" s="2" t="str">
        <f>IFERROR(__xludf.DUMMYFUNCTION("""COMPUTED_VALUE"""),"pc")</f>
        <v>pc</v>
      </c>
      <c r="D679" s="2">
        <f>IFERROR(__xludf.DUMMYFUNCTION("""COMPUTED_VALUE"""),2.0)</f>
        <v>2</v>
      </c>
      <c r="E679" s="2"/>
    </row>
    <row r="680">
      <c r="A680" s="2" t="str">
        <f>IFERROR(__xludf.DUMMYFUNCTION("""COMPUTED_VALUE"""),"P-15862-00")</f>
        <v>P-15862-00</v>
      </c>
      <c r="B680" s="2" t="str">
        <f>IFERROR(__xludf.DUMMYFUNCTION("""COMPUTED_VALUE"""),"General - Paper Record Folding Chart; Yokogawa; B9565AW; 1 Pc")</f>
        <v>General - Paper Record Folding Chart; Yokogawa; B9565AW; 1 Pc</v>
      </c>
      <c r="C680" s="2" t="str">
        <f>IFERROR(__xludf.DUMMYFUNCTION("""COMPUTED_VALUE"""),"pc")</f>
        <v>pc</v>
      </c>
      <c r="D680" s="2">
        <f>IFERROR(__xludf.DUMMYFUNCTION("""COMPUTED_VALUE"""),1.0)</f>
        <v>1</v>
      </c>
      <c r="E680" s="2" t="str">
        <f>IFERROR(__xludf.DUMMYFUNCTION("""COMPUTED_VALUE"""),"M-4")</f>
        <v>M-4</v>
      </c>
    </row>
    <row r="681">
      <c r="A681" s="2" t="str">
        <f>IFERROR(__xludf.DUMMYFUNCTION("""COMPUTED_VALUE"""),"P-50307-00")</f>
        <v>P-50307-00</v>
      </c>
      <c r="B681" s="2" t="str">
        <f>IFERROR(__xludf.DUMMYFUNCTION("""COMPUTED_VALUE"""),"General - Lampu SL Tornado 24 W / 220-240 V; Philips; -; 1 unt")</f>
        <v>General - Lampu SL Tornado 24 W / 220-240 V; Philips; -; 1 unt</v>
      </c>
      <c r="C681" s="2" t="str">
        <f>IFERROR(__xludf.DUMMYFUNCTION("""COMPUTED_VALUE"""),"pc")</f>
        <v>pc</v>
      </c>
      <c r="D681" s="2">
        <f>IFERROR(__xludf.DUMMYFUNCTION("""COMPUTED_VALUE"""),4.0)</f>
        <v>4</v>
      </c>
      <c r="E681" s="2" t="str">
        <f>IFERROR(__xludf.DUMMYFUNCTION("""COMPUTED_VALUE"""),"R-3-17")</f>
        <v>R-3-17</v>
      </c>
    </row>
    <row r="682">
      <c r="A682" s="2" t="str">
        <f>IFERROR(__xludf.DUMMYFUNCTION("""COMPUTED_VALUE"""),"P-13269-00")</f>
        <v>P-13269-00</v>
      </c>
      <c r="B682" s="2" t="str">
        <f>IFERROR(__xludf.DUMMYFUNCTION("""COMPUTED_VALUE"""),"General - Socket, PVC, 4""; Rucika; -; 1 pcs")</f>
        <v>General - Socket, PVC, 4"; Rucika; -; 1 pcs</v>
      </c>
      <c r="C682" s="2" t="str">
        <f>IFERROR(__xludf.DUMMYFUNCTION("""COMPUTED_VALUE"""),"pc")</f>
        <v>pc</v>
      </c>
      <c r="D682" s="2">
        <f>IFERROR(__xludf.DUMMYFUNCTION("""COMPUTED_VALUE"""),2.0)</f>
        <v>2</v>
      </c>
      <c r="E682" s="2" t="str">
        <f>IFERROR(__xludf.DUMMYFUNCTION("""COMPUTED_VALUE"""),"-")</f>
        <v>-</v>
      </c>
    </row>
    <row r="683">
      <c r="A683" s="2" t="str">
        <f>IFERROR(__xludf.DUMMYFUNCTION("""COMPUTED_VALUE"""),"O-19344-00")</f>
        <v>O-19344-00</v>
      </c>
      <c r="B683" s="2" t="str">
        <f>IFERROR(__xludf.DUMMYFUNCTION("""COMPUTED_VALUE"""),"General - HEPA filter H14 minipleat, size: 762x610x69 Class (EN 1822) - 99,995% MPPS; Hencolin; -; 1 Pc")</f>
        <v>General - HEPA filter H14 minipleat, size: 762x610x69 Class (EN 1822) - 99,995% MPPS; Hencolin; -; 1 Pc</v>
      </c>
      <c r="C683" s="2" t="str">
        <f>IFERROR(__xludf.DUMMYFUNCTION("""COMPUTED_VALUE"""),"pc")</f>
        <v>pc</v>
      </c>
      <c r="D683" s="2">
        <f>IFERROR(__xludf.DUMMYFUNCTION("""COMPUTED_VALUE"""),5.0)</f>
        <v>5</v>
      </c>
      <c r="E683" s="2" t="str">
        <f>IFERROR(__xludf.DUMMYFUNCTION("""COMPUTED_VALUE"""),"Ruang Filter")</f>
        <v>Ruang Filter</v>
      </c>
    </row>
    <row r="684">
      <c r="A684" s="2" t="str">
        <f>IFERROR(__xludf.DUMMYFUNCTION("""COMPUTED_VALUE"""),"P-18618-00")</f>
        <v>P-18618-00</v>
      </c>
      <c r="B684" s="2" t="str">
        <f>IFERROR(__xludf.DUMMYFUNCTION("""COMPUTED_VALUE"""),"Chemical - Kuclean; No Brand; HL-351; 20L/can")</f>
        <v>Chemical - Kuclean; No Brand; HL-351; 20L/can</v>
      </c>
      <c r="C684" s="2" t="str">
        <f>IFERROR(__xludf.DUMMYFUNCTION("""COMPUTED_VALUE"""),"unt")</f>
        <v>unt</v>
      </c>
      <c r="D684" s="2">
        <f>IFERROR(__xludf.DUMMYFUNCTION("""COMPUTED_VALUE"""),40.0)</f>
        <v>40</v>
      </c>
      <c r="E684" s="2" t="str">
        <f>IFERROR(__xludf.DUMMYFUNCTION("""COMPUTED_VALUE"""),"-")</f>
        <v>-</v>
      </c>
    </row>
    <row r="685">
      <c r="A685" s="2" t="str">
        <f>IFERROR(__xludf.DUMMYFUNCTION("""COMPUTED_VALUE"""),"O-19390-00")</f>
        <v>O-19390-00</v>
      </c>
      <c r="B685" s="2" t="str">
        <f>IFERROR(__xludf.DUMMYFUNCTION("""COMPUTED_VALUE"""),"General - HEPA filter H13 minipleat, size: 610X610X93; Hencolin; -; 1 Pc")</f>
        <v>General - HEPA filter H13 minipleat, size: 610X610X93; Hencolin; -; 1 Pc</v>
      </c>
      <c r="C685" s="2" t="str">
        <f>IFERROR(__xludf.DUMMYFUNCTION("""COMPUTED_VALUE"""),"pc")</f>
        <v>pc</v>
      </c>
      <c r="D685" s="2">
        <f>IFERROR(__xludf.DUMMYFUNCTION("""COMPUTED_VALUE"""),46.0)</f>
        <v>46</v>
      </c>
      <c r="E685" s="2" t="str">
        <f>IFERROR(__xludf.DUMMYFUNCTION("""COMPUTED_VALUE"""),"Ruang Filter")</f>
        <v>Ruang Filter</v>
      </c>
    </row>
    <row r="686">
      <c r="A686" s="2" t="str">
        <f>IFERROR(__xludf.DUMMYFUNCTION("""COMPUTED_VALUE"""),"O-19389-00")</f>
        <v>O-19389-00</v>
      </c>
      <c r="B686" s="2" t="str">
        <f>IFERROR(__xludf.DUMMYFUNCTION("""COMPUTED_VALUE"""),"General - HEPA filter H14 minipleat, size: 610X305X93; Hencolin; -; 1 Pc")</f>
        <v>General - HEPA filter H14 minipleat, size: 610X305X93; Hencolin; -; 1 Pc</v>
      </c>
      <c r="C686" s="2" t="str">
        <f>IFERROR(__xludf.DUMMYFUNCTION("""COMPUTED_VALUE"""),"pc")</f>
        <v>pc</v>
      </c>
      <c r="D686" s="2">
        <f>IFERROR(__xludf.DUMMYFUNCTION("""COMPUTED_VALUE"""),7.0)</f>
        <v>7</v>
      </c>
      <c r="E686" s="2" t="str">
        <f>IFERROR(__xludf.DUMMYFUNCTION("""COMPUTED_VALUE"""),"Ruang Filter")</f>
        <v>Ruang Filter</v>
      </c>
    </row>
    <row r="687">
      <c r="A687" s="2" t="str">
        <f>IFERROR(__xludf.DUMMYFUNCTION("""COMPUTED_VALUE"""),"P-20634-00")</f>
        <v>P-20634-00</v>
      </c>
      <c r="B687" s="2" t="str">
        <f>IFERROR(__xludf.DUMMYFUNCTION("""COMPUTED_VALUE"""),"General - Socket Tester Pro Voltage HT106D; Habotest; -; 1 pc")</f>
        <v>General - Socket Tester Pro Voltage HT106D; Habotest; -; 1 pc</v>
      </c>
      <c r="C687" s="2" t="str">
        <f>IFERROR(__xludf.DUMMYFUNCTION("""COMPUTED_VALUE"""),"pc")</f>
        <v>pc</v>
      </c>
      <c r="D687" s="2">
        <f>IFERROR(__xludf.DUMMYFUNCTION("""COMPUTED_VALUE"""),1.0)</f>
        <v>1</v>
      </c>
      <c r="E687" s="2" t="str">
        <f>IFERROR(__xludf.DUMMYFUNCTION("""COMPUTED_VALUE"""),"H-3-4")</f>
        <v>H-3-4</v>
      </c>
    </row>
    <row r="688">
      <c r="A688" s="2" t="str">
        <f>IFERROR(__xludf.DUMMYFUNCTION("""COMPUTED_VALUE"""),"O-21305-00")</f>
        <v>O-21305-00</v>
      </c>
      <c r="B688" s="2" t="str">
        <f>IFERROR(__xludf.DUMMYFUNCTION("""COMPUTED_VALUE"""),"Coating PLAB - Directional Control Valve; SMC; VNA101A-F6A; 1 Pc")</f>
        <v>Coating PLAB - Directional Control Valve; SMC; VNA101A-F6A; 1 Pc</v>
      </c>
      <c r="C688" s="2" t="str">
        <f>IFERROR(__xludf.DUMMYFUNCTION("""COMPUTED_VALUE"""),"pc")</f>
        <v>pc</v>
      </c>
      <c r="D688" s="2">
        <f>IFERROR(__xludf.DUMMYFUNCTION("""COMPUTED_VALUE"""),1.0)</f>
        <v>1</v>
      </c>
      <c r="E688" s="2" t="str">
        <f>IFERROR(__xludf.DUMMYFUNCTION("""COMPUTED_VALUE"""),"-")</f>
        <v>-</v>
      </c>
    </row>
    <row r="689">
      <c r="A689" s="2" t="str">
        <f>IFERROR(__xludf.DUMMYFUNCTION("""COMPUTED_VALUE"""),"O-51770-00")</f>
        <v>O-51770-00</v>
      </c>
      <c r="B689" s="2" t="str">
        <f>IFERROR(__xludf.DUMMYFUNCTION("""COMPUTED_VALUE"""),"General - SUPPLY MODULE STD PACK; ; ;; Wago; 750-602; 1 Pc")</f>
        <v>General - SUPPLY MODULE STD PACK; ; ;; Wago; 750-602; 1 Pc</v>
      </c>
      <c r="C689" s="2" t="str">
        <f>IFERROR(__xludf.DUMMYFUNCTION("""COMPUTED_VALUE"""),"unt")</f>
        <v>unt</v>
      </c>
      <c r="D689" s="2">
        <f>IFERROR(__xludf.DUMMYFUNCTION("""COMPUTED_VALUE"""),1.0)</f>
        <v>1</v>
      </c>
      <c r="E689" s="2" t="str">
        <f>IFERROR(__xludf.DUMMYFUNCTION("""COMPUTED_VALUE"""),"A3")</f>
        <v>A3</v>
      </c>
    </row>
    <row r="690">
      <c r="A690" s="2" t="str">
        <f>IFERROR(__xludf.DUMMYFUNCTION("""COMPUTED_VALUE"""),"P-20848-00")</f>
        <v>P-20848-00</v>
      </c>
      <c r="B690" s="2" t="str">
        <f>IFERROR(__xludf.DUMMYFUNCTION("""COMPUTED_VALUE"""),"General - Paku Rivet 529 4mm x 8mm; SIP; -; 1000pcs/box")</f>
        <v>General - Paku Rivet 529 4mm x 8mm; SIP; -; 1000pcs/box</v>
      </c>
      <c r="C690" s="2" t="str">
        <f>IFERROR(__xludf.DUMMYFUNCTION("""COMPUTED_VALUE"""),"Box")</f>
        <v>Box</v>
      </c>
      <c r="D690" s="2">
        <f>IFERROR(__xludf.DUMMYFUNCTION("""COMPUTED_VALUE"""),1.0)</f>
        <v>1</v>
      </c>
      <c r="E690" s="2" t="str">
        <f>IFERROR(__xludf.DUMMYFUNCTION("""COMPUTED_VALUE"""),"S-2")</f>
        <v>S-2</v>
      </c>
    </row>
    <row r="691">
      <c r="A691" s="2" t="str">
        <f>IFERROR(__xludf.DUMMYFUNCTION("""COMPUTED_VALUE"""),"O-20746-00")</f>
        <v>O-20746-00</v>
      </c>
      <c r="B691" s="2" t="str">
        <f>IFERROR(__xludf.DUMMYFUNCTION("""COMPUTED_VALUE"""),"Autoclave FOF5/9A - Oring Silicone 1.7x11x15 mm; Custom/Lokal; -; 1 Pc")</f>
        <v>Autoclave FOF5/9A - Oring Silicone 1.7x11x15 mm; Custom/Lokal; -; 1 Pc</v>
      </c>
      <c r="C691" s="2" t="str">
        <f>IFERROR(__xludf.DUMMYFUNCTION("""COMPUTED_VALUE"""),"pc")</f>
        <v>pc</v>
      </c>
      <c r="D691" s="2">
        <f>IFERROR(__xludf.DUMMYFUNCTION("""COMPUTED_VALUE"""),8.0)</f>
        <v>8</v>
      </c>
      <c r="E691" s="2" t="str">
        <f>IFERROR(__xludf.DUMMYFUNCTION("""COMPUTED_VALUE"""),"E-3-16A ")</f>
        <v>E-3-16A </v>
      </c>
    </row>
    <row r="692">
      <c r="A692" s="2" t="str">
        <f>IFERROR(__xludf.DUMMYFUNCTION("""COMPUTED_VALUE"""),"O-20624-00")</f>
        <v>O-20624-00</v>
      </c>
      <c r="B692" s="2" t="str">
        <f>IFERROR(__xludf.DUMMYFUNCTION("""COMPUTED_VALUE"""),"Baut L SS304 M6x10mm + Nut; ; ;")</f>
        <v>Baut L SS304 M6x10mm + Nut; ; ;</v>
      </c>
      <c r="C692" s="2" t="str">
        <f>IFERROR(__xludf.DUMMYFUNCTION("""COMPUTED_VALUE"""),"pc")</f>
        <v>pc</v>
      </c>
      <c r="D692" s="2">
        <f>IFERROR(__xludf.DUMMYFUNCTION("""COMPUTED_VALUE"""),100.0)</f>
        <v>100</v>
      </c>
      <c r="E692" s="2" t="str">
        <f>IFERROR(__xludf.DUMMYFUNCTION("""COMPUTED_VALUE"""),"-")</f>
        <v>-</v>
      </c>
    </row>
    <row r="693">
      <c r="A693" s="2" t="str">
        <f>IFERROR(__xludf.DUMMYFUNCTION("""COMPUTED_VALUE"""),"O-19431-00")</f>
        <v>O-19431-00</v>
      </c>
      <c r="B693" s="2" t="str">
        <f>IFERROR(__xludf.DUMMYFUNCTION("""COMPUTED_VALUE"""),"General - Baut L, SS, M8 x 30 mm + Mur + Ring; No Brand; -; 1 pcs")</f>
        <v>General - Baut L, SS, M8 x 30 mm + Mur + Ring; No Brand; -; 1 pcs</v>
      </c>
      <c r="C693" s="2" t="str">
        <f>IFERROR(__xludf.DUMMYFUNCTION("""COMPUTED_VALUE"""),"pc")</f>
        <v>pc</v>
      </c>
      <c r="D693" s="2">
        <f>IFERROR(__xludf.DUMMYFUNCTION("""COMPUTED_VALUE"""),80.0)</f>
        <v>80</v>
      </c>
      <c r="E693" s="2" t="str">
        <f>IFERROR(__xludf.DUMMYFUNCTION("""COMPUTED_VALUE"""),"R-2-14")</f>
        <v>R-2-14</v>
      </c>
    </row>
    <row r="694">
      <c r="A694" s="2" t="str">
        <f>IFERROR(__xludf.DUMMYFUNCTION("""COMPUTED_VALUE"""),"P-19233-00")</f>
        <v>P-19233-00</v>
      </c>
      <c r="B694" s="2" t="str">
        <f>IFERROR(__xludf.DUMMYFUNCTION("""COMPUTED_VALUE"""),"General - Fitting QS 1/2 x 8 mm; EMC; -; 1 pc")</f>
        <v>General - Fitting QS 1/2 x 8 mm; EMC; -; 1 pc</v>
      </c>
      <c r="C694" s="2" t="str">
        <f>IFERROR(__xludf.DUMMYFUNCTION("""COMPUTED_VALUE"""),"pc")</f>
        <v>pc</v>
      </c>
      <c r="D694" s="2">
        <f>IFERROR(__xludf.DUMMYFUNCTION("""COMPUTED_VALUE"""),5.0)</f>
        <v>5</v>
      </c>
      <c r="E694" s="2" t="str">
        <f>IFERROR(__xludf.DUMMYFUNCTION("""COMPUTED_VALUE"""),"R-4-8")</f>
        <v>R-4-8</v>
      </c>
    </row>
    <row r="695">
      <c r="A695" s="2" t="str">
        <f>IFERROR(__xludf.DUMMYFUNCTION("""COMPUTED_VALUE"""),"P-54513-00")</f>
        <v>P-54513-00</v>
      </c>
      <c r="B695" s="2" t="str">
        <f>IFERROR(__xludf.DUMMYFUNCTION("""COMPUTED_VALUE"""),"General - Kabel Gland PG25; No Brand; -; 1 pc")</f>
        <v>General - Kabel Gland PG25; No Brand; -; 1 pc</v>
      </c>
      <c r="C695" s="2" t="str">
        <f>IFERROR(__xludf.DUMMYFUNCTION("""COMPUTED_VALUE"""),"pc")</f>
        <v>pc</v>
      </c>
      <c r="D695" s="2">
        <f>IFERROR(__xludf.DUMMYFUNCTION("""COMPUTED_VALUE"""),10.0)</f>
        <v>10</v>
      </c>
      <c r="E695" s="2" t="str">
        <f>IFERROR(__xludf.DUMMYFUNCTION("""COMPUTED_VALUE"""),"-")</f>
        <v>-</v>
      </c>
    </row>
    <row r="696">
      <c r="A696" s="2" t="str">
        <f>IFERROR(__xludf.DUMMYFUNCTION("""COMPUTED_VALUE"""),"P-54509-00")</f>
        <v>P-54509-00</v>
      </c>
      <c r="B696" s="2" t="str">
        <f>IFERROR(__xludf.DUMMYFUNCTION("""COMPUTED_VALUE"""),"General - Buzzer Panel, 12VDC, 22mm, SCB-22; Shemco; -; 1 pc")</f>
        <v>General - Buzzer Panel, 12VDC, 22mm, SCB-22; Shemco; -; 1 pc</v>
      </c>
      <c r="C696" s="2" t="str">
        <f>IFERROR(__xludf.DUMMYFUNCTION("""COMPUTED_VALUE"""),"pc")</f>
        <v>pc</v>
      </c>
      <c r="D696" s="2">
        <f>IFERROR(__xludf.DUMMYFUNCTION("""COMPUTED_VALUE"""),5.0)</f>
        <v>5</v>
      </c>
      <c r="E696" s="2" t="str">
        <f>IFERROR(__xludf.DUMMYFUNCTION("""COMPUTED_VALUE"""),"-")</f>
        <v>-</v>
      </c>
    </row>
    <row r="697">
      <c r="A697" s="2" t="str">
        <f>IFERROR(__xludf.DUMMYFUNCTION("""COMPUTED_VALUE"""),"O-19419-00")</f>
        <v>O-19419-00</v>
      </c>
      <c r="B697" s="2" t="str">
        <f>IFERROR(__xludf.DUMMYFUNCTION("""COMPUTED_VALUE"""),"General - Oli Vacuum Pump 330ml; Value; -; 1 Pc")</f>
        <v>General - Oli Vacuum Pump 330ml; Value; -; 1 Pc</v>
      </c>
      <c r="C697" s="2" t="str">
        <f>IFERROR(__xludf.DUMMYFUNCTION("""COMPUTED_VALUE"""),"Can")</f>
        <v>Can</v>
      </c>
      <c r="D697" s="2">
        <f>IFERROR(__xludf.DUMMYFUNCTION("""COMPUTED_VALUE"""),3.0)</f>
        <v>3</v>
      </c>
      <c r="E697" s="2" t="str">
        <f>IFERROR(__xludf.DUMMYFUNCTION("""COMPUTED_VALUE"""),"Flammable")</f>
        <v>Flammable</v>
      </c>
    </row>
    <row r="698">
      <c r="A698" s="2" t="str">
        <f>IFERROR(__xludf.DUMMYFUNCTION("""COMPUTED_VALUE"""),"O-20895-00")</f>
        <v>O-20895-00</v>
      </c>
      <c r="B698" s="2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98" s="2" t="str">
        <f>IFERROR(__xludf.DUMMYFUNCTION("""COMPUTED_VALUE"""),"pc")</f>
        <v>pc</v>
      </c>
      <c r="D698" s="2">
        <f>IFERROR(__xludf.DUMMYFUNCTION("""COMPUTED_VALUE"""),1.0)</f>
        <v>1</v>
      </c>
      <c r="E698" s="2" t="str">
        <f>IFERROR(__xludf.DUMMYFUNCTION("""COMPUTED_VALUE"""),"-")</f>
        <v>-</v>
      </c>
    </row>
    <row r="699">
      <c r="A699" s="2" t="str">
        <f>IFERROR(__xludf.DUMMYFUNCTION("""COMPUTED_VALUE"""),"P-20185-00")</f>
        <v>P-20185-00</v>
      </c>
      <c r="B699" s="2" t="str">
        <f>IFERROR(__xludf.DUMMYFUNCTION("""COMPUTED_VALUE"""),"General - Siku SS304 30 x 30 x 3 x 6000mm; No Brand; -; 1 pc")</f>
        <v>General - Siku SS304 30 x 30 x 3 x 6000mm; No Brand; -; 1 pc</v>
      </c>
      <c r="C699" s="2" t="str">
        <f>IFERROR(__xludf.DUMMYFUNCTION("""COMPUTED_VALUE"""),"pc")</f>
        <v>pc</v>
      </c>
      <c r="D699" s="2">
        <f>IFERROR(__xludf.DUMMYFUNCTION("""COMPUTED_VALUE"""),2.0)</f>
        <v>2</v>
      </c>
      <c r="E699" s="2" t="str">
        <f>IFERROR(__xludf.DUMMYFUNCTION("""COMPUTED_VALUE"""),"-")</f>
        <v>-</v>
      </c>
    </row>
    <row r="700">
      <c r="A700" s="2" t="str">
        <f>IFERROR(__xludf.DUMMYFUNCTION("""COMPUTED_VALUE"""),"P-19647-00")</f>
        <v>P-19647-00</v>
      </c>
      <c r="B700" s="2" t="str">
        <f>IFERROR(__xludf.DUMMYFUNCTION("""COMPUTED_VALUE"""),"General - Gasket Ferrule EPDM 6inch; Lokal; -; 1 pc")</f>
        <v>General - Gasket Ferrule EPDM 6inch; Lokal; -; 1 pc</v>
      </c>
      <c r="C700" s="2" t="str">
        <f>IFERROR(__xludf.DUMMYFUNCTION("""COMPUTED_VALUE"""),"pc")</f>
        <v>pc</v>
      </c>
      <c r="D700" s="2">
        <f>IFERROR(__xludf.DUMMYFUNCTION("""COMPUTED_VALUE"""),3.0)</f>
        <v>3</v>
      </c>
      <c r="E700" s="2" t="str">
        <f>IFERROR(__xludf.DUMMYFUNCTION("""COMPUTED_VALUE"""),"E-4-6")</f>
        <v>E-4-6</v>
      </c>
    </row>
    <row r="701">
      <c r="A701" s="2" t="str">
        <f>IFERROR(__xludf.DUMMYFUNCTION("""COMPUTED_VALUE"""),"P-11228-00")</f>
        <v>P-11228-00</v>
      </c>
      <c r="B701" s="2" t="str">
        <f>IFERROR(__xludf.DUMMYFUNCTION("""COMPUTED_VALUE"""),"General - Push-in T-connector, QST-8; Festo; 153130; 1 pcs")</f>
        <v>General - Push-in T-connector, QST-8; Festo; 153130; 1 pcs</v>
      </c>
      <c r="C701" s="2" t="str">
        <f>IFERROR(__xludf.DUMMYFUNCTION("""COMPUTED_VALUE"""),"pc")</f>
        <v>pc</v>
      </c>
      <c r="D701" s="2">
        <f>IFERROR(__xludf.DUMMYFUNCTION("""COMPUTED_VALUE"""),18.0)</f>
        <v>18</v>
      </c>
      <c r="E701" s="2" t="str">
        <f>IFERROR(__xludf.DUMMYFUNCTION("""COMPUTED_VALUE"""),"M3")</f>
        <v>M3</v>
      </c>
    </row>
    <row r="702">
      <c r="A702" s="2" t="str">
        <f>IFERROR(__xludf.DUMMYFUNCTION("""COMPUTED_VALUE"""),"O-51742-00")</f>
        <v>O-51742-00</v>
      </c>
      <c r="B702" s="2" t="str">
        <f>IFERROR(__xludf.DUMMYFUNCTION("""COMPUTED_VALUE"""),"General - SENSOR SUHU 2 x PT100 (DUPLEX) Dia probe 6 mm, probe lenght 150 mm, conection threaded dia 29,1 mm. range temp. -15 - 150 oC; Jumo; 902810/13; 1 Pc")</f>
        <v>General - SENSOR SUHU 2 x PT100 (DUPLEX) Dia probe 6 mm, probe lenght 150 mm, conection threaded dia 29,1 mm. range temp. -15 - 150 oC; Jumo; 902810/13; 1 Pc</v>
      </c>
      <c r="C702" s="2" t="str">
        <f>IFERROR(__xludf.DUMMYFUNCTION("""COMPUTED_VALUE"""),"unt")</f>
        <v>unt</v>
      </c>
      <c r="D702" s="2">
        <f>IFERROR(__xludf.DUMMYFUNCTION("""COMPUTED_VALUE"""),2.0)</f>
        <v>2</v>
      </c>
      <c r="E702" s="2" t="str">
        <f>IFERROR(__xludf.DUMMYFUNCTION("""COMPUTED_VALUE"""),"E-4")</f>
        <v>E-4</v>
      </c>
    </row>
    <row r="703">
      <c r="A703" s="2" t="str">
        <f>IFERROR(__xludf.DUMMYFUNCTION("""COMPUTED_VALUE"""),"P-53416-00")</f>
        <v>P-53416-00</v>
      </c>
      <c r="B703" s="2" t="str">
        <f>IFERROR(__xludf.DUMMYFUNCTION("""COMPUTED_VALUE"""),"General - Ballast SMPS 300 TLD Driver LED 12VDC IP68; Talled; -; 1 pc")</f>
        <v>General - Ballast SMPS 300 TLD Driver LED 12VDC IP68; Talled; -; 1 pc</v>
      </c>
      <c r="C703" s="2" t="str">
        <f>IFERROR(__xludf.DUMMYFUNCTION("""COMPUTED_VALUE"""),"pc")</f>
        <v>pc</v>
      </c>
      <c r="D703" s="2">
        <f>IFERROR(__xludf.DUMMYFUNCTION("""COMPUTED_VALUE"""),1.0)</f>
        <v>1</v>
      </c>
      <c r="E703" s="2" t="str">
        <f>IFERROR(__xludf.DUMMYFUNCTION("""COMPUTED_VALUE"""),"M-4")</f>
        <v>M-4</v>
      </c>
    </row>
    <row r="704">
      <c r="A704" s="2" t="str">
        <f>IFERROR(__xludf.DUMMYFUNCTION("""COMPUTED_VALUE"""),"O-11763-00")</f>
        <v>O-11763-00</v>
      </c>
      <c r="B704" s="2" t="str">
        <f>IFERROR(__xludf.DUMMYFUNCTION("""COMPUTED_VALUE"""),"Marchesini MA255 Cartoning Machine - Food Belts, FNI-5E, 1110 x 75, Sil.; Habasit; -; 1 unt")</f>
        <v>Marchesini MA255 Cartoning Machine - Food Belts, FNI-5E, 1110 x 75, Sil.; Habasit; -; 1 unt</v>
      </c>
      <c r="C704" s="2" t="str">
        <f>IFERROR(__xludf.DUMMYFUNCTION("""COMPUTED_VALUE"""),"pc")</f>
        <v>pc</v>
      </c>
      <c r="D704" s="2">
        <f>IFERROR(__xludf.DUMMYFUNCTION("""COMPUTED_VALUE"""),2.0)</f>
        <v>2</v>
      </c>
      <c r="E704" s="2" t="str">
        <f>IFERROR(__xludf.DUMMYFUNCTION("""COMPUTED_VALUE"""),"-")</f>
        <v>-</v>
      </c>
    </row>
    <row r="705">
      <c r="A705" s="2" t="str">
        <f>IFERROR(__xludf.DUMMYFUNCTION("""COMPUTED_VALUE"""),"O-17832-00")</f>
        <v>O-17832-00</v>
      </c>
      <c r="B705" s="2" t="str">
        <f>IFERROR(__xludf.DUMMYFUNCTION("""COMPUTED_VALUE"""),"Washing RAR4 - Outfeed Teflon Left; Custom/Lokal; -; 1 Pc")</f>
        <v>Washing RAR4 - Outfeed Teflon Left; Custom/Lokal; -; 1 Pc</v>
      </c>
      <c r="C705" s="2" t="str">
        <f>IFERROR(__xludf.DUMMYFUNCTION("""COMPUTED_VALUE"""),"pc")</f>
        <v>pc</v>
      </c>
      <c r="D705" s="2">
        <f>IFERROR(__xludf.DUMMYFUNCTION("""COMPUTED_VALUE"""),1.0)</f>
        <v>1</v>
      </c>
      <c r="E705" s="2" t="str">
        <f>IFERROR(__xludf.DUMMYFUNCTION("""COMPUTED_VALUE"""),"-")</f>
        <v>-</v>
      </c>
    </row>
    <row r="706">
      <c r="A706" s="2" t="str">
        <f>IFERROR(__xludf.DUMMYFUNCTION("""COMPUTED_VALUE"""),"O-53026-00")</f>
        <v>O-53026-00</v>
      </c>
      <c r="B706" s="2" t="str">
        <f>IFERROR(__xludf.DUMMYFUNCTION("""COMPUTED_VALUE"""),"General - LKB butterfly valve,ISO2037; 316L+EPDM; weld ends: 51x1.2 + Actruator: 304 SS Spring Return, NC + MiAlfalavalFV401; IMA Life; -; 1 pc")</f>
        <v>General - LKB butterfly valve,ISO2037; 316L+EPDM; weld ends: 51x1.2 + Actruator: 304 SS Spring Return, NC + MiAlfalavalFV401; IMA Life; -; 1 pc</v>
      </c>
      <c r="C706" s="2" t="str">
        <f>IFERROR(__xludf.DUMMYFUNCTION("""COMPUTED_VALUE"""),"pc")</f>
        <v>pc</v>
      </c>
      <c r="D706" s="2">
        <f>IFERROR(__xludf.DUMMYFUNCTION("""COMPUTED_VALUE"""),2.0)</f>
        <v>2</v>
      </c>
      <c r="E706" s="2" t="str">
        <f>IFERROR(__xludf.DUMMYFUNCTION("""COMPUTED_VALUE"""),"D-4-9")</f>
        <v>D-4-9</v>
      </c>
    </row>
    <row r="707">
      <c r="A707" s="2" t="str">
        <f>IFERROR(__xludf.DUMMYFUNCTION("""COMPUTED_VALUE"""),"P-10859-00")</f>
        <v>P-10859-00</v>
      </c>
      <c r="B707" s="2" t="str">
        <f>IFERROR(__xludf.DUMMYFUNCTION("""COMPUTED_VALUE"""),"General - Elbow PVC 90 AW 1/2inch; Rucika; -; 1 Pc")</f>
        <v>General - Elbow PVC 90 AW 1/2inch; Rucika; -; 1 Pc</v>
      </c>
      <c r="C707" s="2" t="str">
        <f>IFERROR(__xludf.DUMMYFUNCTION("""COMPUTED_VALUE"""),"pc")</f>
        <v>pc</v>
      </c>
      <c r="D707" s="2">
        <f>IFERROR(__xludf.DUMMYFUNCTION("""COMPUTED_VALUE"""),4.0)</f>
        <v>4</v>
      </c>
      <c r="E707" s="2"/>
    </row>
    <row r="708">
      <c r="A708" s="2" t="str">
        <f>IFERROR(__xludf.DUMMYFUNCTION("""COMPUTED_VALUE"""),"O-21488-00")</f>
        <v>O-21488-00</v>
      </c>
      <c r="B708" s="2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08" s="2" t="str">
        <f>IFERROR(__xludf.DUMMYFUNCTION("""COMPUTED_VALUE"""),"pc")</f>
        <v>pc</v>
      </c>
      <c r="D708" s="2">
        <f>IFERROR(__xludf.DUMMYFUNCTION("""COMPUTED_VALUE"""),1.0)</f>
        <v>1</v>
      </c>
      <c r="E708" s="2" t="str">
        <f>IFERROR(__xludf.DUMMYFUNCTION("""COMPUTED_VALUE"""),"-")</f>
        <v>-</v>
      </c>
    </row>
    <row r="709">
      <c r="A709" s="2" t="str">
        <f>IFERROR(__xludf.DUMMYFUNCTION("""COMPUTED_VALUE"""),"Q-10752-00")</f>
        <v>Q-10752-00</v>
      </c>
      <c r="B709" s="2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709" s="2" t="str">
        <f>IFERROR(__xludf.DUMMYFUNCTION("""COMPUTED_VALUE"""),"Can")</f>
        <v>Can</v>
      </c>
      <c r="D709" s="2">
        <f>IFERROR(__xludf.DUMMYFUNCTION("""COMPUTED_VALUE"""),51.0)</f>
        <v>51</v>
      </c>
      <c r="E709" s="2"/>
    </row>
    <row r="710">
      <c r="A710" s="2" t="str">
        <f>IFERROR(__xludf.DUMMYFUNCTION("""COMPUTED_VALUE"""),"P-20557-00")</f>
        <v>P-20557-00</v>
      </c>
      <c r="B710" s="2" t="str">
        <f>IFERROR(__xludf.DUMMYFUNCTION("""COMPUTED_VALUE"""),"General - Reducer Ducting BJLS 6.4 x 3inch; No Brand; -; 1 pc")</f>
        <v>General - Reducer Ducting BJLS 6.4 x 3inch; No Brand; -; 1 pc</v>
      </c>
      <c r="C710" s="2" t="str">
        <f>IFERROR(__xludf.DUMMYFUNCTION("""COMPUTED_VALUE"""),"pc")</f>
        <v>pc</v>
      </c>
      <c r="D710" s="2">
        <f>IFERROR(__xludf.DUMMYFUNCTION("""COMPUTED_VALUE"""),2.0)</f>
        <v>2</v>
      </c>
      <c r="E710" s="2" t="str">
        <f>IFERROR(__xludf.DUMMYFUNCTION("""COMPUTED_VALUE"""),"-")</f>
        <v>-</v>
      </c>
    </row>
    <row r="711">
      <c r="A711" s="2" t="str">
        <f>IFERROR(__xludf.DUMMYFUNCTION("""COMPUTED_VALUE"""),"O-20992-00")</f>
        <v>O-20992-00</v>
      </c>
      <c r="B711" s="2" t="str">
        <f>IFERROR(__xludf.DUMMYFUNCTION("""COMPUTED_VALUE"""),"General - Spare Membrane diaphragm MA8 PTFE/EPDM; SED; 00210.190.508.51; 1 Pc")</f>
        <v>General - Spare Membrane diaphragm MA8 PTFE/EPDM; SED; 00210.190.508.51; 1 Pc</v>
      </c>
      <c r="C711" s="2" t="str">
        <f>IFERROR(__xludf.DUMMYFUNCTION("""COMPUTED_VALUE"""),"pc")</f>
        <v>pc</v>
      </c>
      <c r="D711" s="2">
        <f>IFERROR(__xludf.DUMMYFUNCTION("""COMPUTED_VALUE"""),4.0)</f>
        <v>4</v>
      </c>
      <c r="E711" s="2" t="str">
        <f>IFERROR(__xludf.DUMMYFUNCTION("""COMPUTED_VALUE"""),"C-1")</f>
        <v>C-1</v>
      </c>
    </row>
    <row r="712">
      <c r="A712" s="2" t="str">
        <f>IFERROR(__xludf.DUMMYFUNCTION("""COMPUTED_VALUE"""),"O-17376-00")</f>
        <v>O-17376-00</v>
      </c>
      <c r="B712" s="2" t="str">
        <f>IFERROR(__xludf.DUMMYFUNCTION("""COMPUTED_VALUE"""),"Autoclave Fedegari FOF / 6 AC - Kit DN22 Valve Mod; p/n: KK000310; ; ;")</f>
        <v>Autoclave Fedegari FOF / 6 AC - Kit DN22 Valve Mod; p/n: KK000310; ; ;</v>
      </c>
      <c r="C712" s="2" t="str">
        <f>IFERROR(__xludf.DUMMYFUNCTION("""COMPUTED_VALUE"""),"pc")</f>
        <v>pc</v>
      </c>
      <c r="D712" s="2">
        <f>IFERROR(__xludf.DUMMYFUNCTION("""COMPUTED_VALUE"""),8.0)</f>
        <v>8</v>
      </c>
      <c r="E712" s="2" t="str">
        <f>IFERROR(__xludf.DUMMYFUNCTION("""COMPUTED_VALUE"""),"H-3-13")</f>
        <v>H-3-13</v>
      </c>
    </row>
    <row r="713">
      <c r="A713" s="2" t="str">
        <f>IFERROR(__xludf.DUMMYFUNCTION("""COMPUTED_VALUE"""),"P-53210-00")</f>
        <v>P-53210-00</v>
      </c>
      <c r="B713" s="2" t="str">
        <f>IFERROR(__xludf.DUMMYFUNCTION("""COMPUTED_VALUE"""),"General - Capacitor, 5 uF, 220 V, 2 kutub; No Brand; -; 1 pcs")</f>
        <v>General - Capacitor, 5 uF, 220 V, 2 kutub; No Brand; -; 1 pcs</v>
      </c>
      <c r="C713" s="2" t="str">
        <f>IFERROR(__xludf.DUMMYFUNCTION("""COMPUTED_VALUE"""),"pc")</f>
        <v>pc</v>
      </c>
      <c r="D713" s="2">
        <f>IFERROR(__xludf.DUMMYFUNCTION("""COMPUTED_VALUE"""),4.0)</f>
        <v>4</v>
      </c>
      <c r="E713" s="2" t="str">
        <f>IFERROR(__xludf.DUMMYFUNCTION("""COMPUTED_VALUE"""),"G-3-4")</f>
        <v>G-3-4</v>
      </c>
    </row>
    <row r="714">
      <c r="A714" s="2" t="str">
        <f>IFERROR(__xludf.DUMMYFUNCTION("""COMPUTED_VALUE"""),"O-13501-00")</f>
        <v>O-13501-00</v>
      </c>
      <c r="B714" s="2" t="str">
        <f>IFERROR(__xludf.DUMMYFUNCTION("""COMPUTED_VALUE"""),"General - Push-in T-connector, QST-12; Festo; 153132; 1 pcs")</f>
        <v>General - Push-in T-connector, QST-12; Festo; 153132; 1 pcs</v>
      </c>
      <c r="C714" s="2" t="str">
        <f>IFERROR(__xludf.DUMMYFUNCTION("""COMPUTED_VALUE"""),"pc")</f>
        <v>pc</v>
      </c>
      <c r="D714" s="2">
        <f>IFERROR(__xludf.DUMMYFUNCTION("""COMPUTED_VALUE"""),19.0)</f>
        <v>19</v>
      </c>
      <c r="E714" s="2" t="str">
        <f>IFERROR(__xludf.DUMMYFUNCTION("""COMPUTED_VALUE"""),"S-2-6")</f>
        <v>S-2-6</v>
      </c>
    </row>
    <row r="715">
      <c r="A715" s="2" t="str">
        <f>IFERROR(__xludf.DUMMYFUNCTION("""COMPUTED_VALUE"""),"P-15438-00")</f>
        <v>P-15438-00</v>
      </c>
      <c r="B715" s="2" t="str">
        <f>IFERROR(__xludf.DUMMYFUNCTION("""COMPUTED_VALUE"""),"General - Cable Spiral Wrapping; KSS; KS12; 1 Pc")</f>
        <v>General - Cable Spiral Wrapping; KSS; KS12; 1 Pc</v>
      </c>
      <c r="C715" s="2" t="str">
        <f>IFERROR(__xludf.DUMMYFUNCTION("""COMPUTED_VALUE"""),"Pck")</f>
        <v>Pck</v>
      </c>
      <c r="D715" s="2">
        <f>IFERROR(__xludf.DUMMYFUNCTION("""COMPUTED_VALUE"""),2.0)</f>
        <v>2</v>
      </c>
      <c r="E715" s="2" t="str">
        <f>IFERROR(__xludf.DUMMYFUNCTION("""COMPUTED_VALUE"""),"J-5")</f>
        <v>J-5</v>
      </c>
    </row>
    <row r="716">
      <c r="A716" s="2" t="str">
        <f>IFERROR(__xludf.DUMMYFUNCTION("""COMPUTED_VALUE"""),"O-53604-00")</f>
        <v>O-53604-00</v>
      </c>
      <c r="B716" s="2" t="str">
        <f>IFERROR(__xludf.DUMMYFUNCTION("""COMPUTED_VALUE"""),"Freeze Dryer MBE1207 -  Flow Switch; SMC; IFW510-04-00; 1 pc")</f>
        <v>Freeze Dryer MBE1207 -  Flow Switch; SMC; IFW510-04-00; 1 pc</v>
      </c>
      <c r="C716" s="2" t="str">
        <f>IFERROR(__xludf.DUMMYFUNCTION("""COMPUTED_VALUE"""),"pc")</f>
        <v>pc</v>
      </c>
      <c r="D716" s="2">
        <f>IFERROR(__xludf.DUMMYFUNCTION("""COMPUTED_VALUE"""),2.0)</f>
        <v>2</v>
      </c>
      <c r="E716" s="2" t="str">
        <f>IFERROR(__xludf.DUMMYFUNCTION("""COMPUTED_VALUE"""),"I-3-2")</f>
        <v>I-3-2</v>
      </c>
    </row>
    <row r="717">
      <c r="A717" s="2" t="str">
        <f>IFERROR(__xludf.DUMMYFUNCTION("""COMPUTED_VALUE"""),"O-53460-00")</f>
        <v>O-53460-00</v>
      </c>
      <c r="B717" s="2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717" s="2" t="str">
        <f>IFERROR(__xludf.DUMMYFUNCTION("""COMPUTED_VALUE"""),"pc")</f>
        <v>pc</v>
      </c>
      <c r="D717" s="2">
        <f>IFERROR(__xludf.DUMMYFUNCTION("""COMPUTED_VALUE"""),1.0)</f>
        <v>1</v>
      </c>
      <c r="E717" s="2" t="str">
        <f>IFERROR(__xludf.DUMMYFUNCTION("""COMPUTED_VALUE"""),"T-3-19")</f>
        <v>T-3-19</v>
      </c>
    </row>
    <row r="718">
      <c r="A718" s="2" t="str">
        <f>IFERROR(__xludf.DUMMYFUNCTION("""COMPUTED_VALUE"""),"P-12748-00")</f>
        <v>P-12748-00</v>
      </c>
      <c r="B718" s="2" t="str">
        <f>IFERROR(__xludf.DUMMYFUNCTION("""COMPUTED_VALUE"""),"General - Pipa PVC AW dia. 1 1/4inch, Warna Abu-Abu; Rucika; -; 1 pcs")</f>
        <v>General - Pipa PVC AW dia. 1 1/4inch, Warna Abu-Abu; Rucika; -; 1 pcs</v>
      </c>
      <c r="C718" s="2" t="str">
        <f>IFERROR(__xludf.DUMMYFUNCTION("""COMPUTED_VALUE"""),"pc")</f>
        <v>pc</v>
      </c>
      <c r="D718" s="2">
        <f>IFERROR(__xludf.DUMMYFUNCTION("""COMPUTED_VALUE"""),15.0)</f>
        <v>15</v>
      </c>
      <c r="E718" s="2"/>
    </row>
    <row r="719">
      <c r="A719" s="2" t="str">
        <f>IFERROR(__xludf.DUMMYFUNCTION("""COMPUTED_VALUE"""),"O-20296-00")</f>
        <v>O-20296-00</v>
      </c>
      <c r="B719" s="2" t="str">
        <f>IFERROR(__xludf.DUMMYFUNCTION("""COMPUTED_VALUE"""),"General - Rotating Pincer Pneumatik  SMC MRHQ20D-180S-DIN00358")</f>
        <v>General - Rotating Pincer Pneumatik  SMC MRHQ20D-180S-DIN00358</v>
      </c>
      <c r="C719" s="2" t="str">
        <f>IFERROR(__xludf.DUMMYFUNCTION("""COMPUTED_VALUE"""),"pc")</f>
        <v>pc</v>
      </c>
      <c r="D719" s="2">
        <f>IFERROR(__xludf.DUMMYFUNCTION("""COMPUTED_VALUE"""),1.0)</f>
        <v>1</v>
      </c>
      <c r="E719" s="2" t="str">
        <f>IFERROR(__xludf.DUMMYFUNCTION("""COMPUTED_VALUE"""),"B-3")</f>
        <v>B-3</v>
      </c>
    </row>
    <row r="720">
      <c r="A720" s="2" t="str">
        <f>IFERROR(__xludf.DUMMYFUNCTION("""COMPUTED_VALUE"""),"P-12287-00")</f>
        <v>P-12287-00</v>
      </c>
      <c r="B720" s="2" t="str">
        <f>IFERROR(__xludf.DUMMYFUNCTION("""COMPUTED_VALUE"""),"FESTO - QS-3/8-8 Push-In fitting p/n 153006")</f>
        <v>FESTO - QS-3/8-8 Push-In fitting p/n 153006</v>
      </c>
      <c r="C720" s="2" t="str">
        <f>IFERROR(__xludf.DUMMYFUNCTION("""COMPUTED_VALUE"""),"pc")</f>
        <v>pc</v>
      </c>
      <c r="D720" s="2">
        <f>IFERROR(__xludf.DUMMYFUNCTION("""COMPUTED_VALUE"""),8.0)</f>
        <v>8</v>
      </c>
      <c r="E720" s="2"/>
    </row>
    <row r="721">
      <c r="A721" s="2" t="str">
        <f>IFERROR(__xludf.DUMMYFUNCTION("""COMPUTED_VALUE"""),"O-15917-00")</f>
        <v>O-15917-00</v>
      </c>
      <c r="B721" s="2" t="str">
        <f>IFERROR(__xludf.DUMMYFUNCTION("""COMPUTED_VALUE"""),"Fedegari FVA2/A1 - CENTERING RING DN16 CLAMP; Code : PP100907; ; ;")</f>
        <v>Fedegari FVA2/A1 - CENTERING RING DN16 CLAMP; Code : PP100907; ; ;</v>
      </c>
      <c r="C721" s="2" t="str">
        <f>IFERROR(__xludf.DUMMYFUNCTION("""COMPUTED_VALUE"""),"unt")</f>
        <v>unt</v>
      </c>
      <c r="D721" s="2">
        <f>IFERROR(__xludf.DUMMYFUNCTION("""COMPUTED_VALUE"""),3.0)</f>
        <v>3</v>
      </c>
      <c r="E721" s="2" t="str">
        <f>IFERROR(__xludf.DUMMYFUNCTION("""COMPUTED_VALUE"""),"A-1-7")</f>
        <v>A-1-7</v>
      </c>
    </row>
    <row r="722">
      <c r="A722" s="2" t="str">
        <f>IFERROR(__xludf.DUMMYFUNCTION("""COMPUTED_VALUE"""),"Q-12076-00")</f>
        <v>Q-12076-00</v>
      </c>
      <c r="B722" s="2" t="str">
        <f>IFERROR(__xludf.DUMMYFUNCTION("""COMPUTED_VALUE"""),"Kunci Laci Lemari Loker Slide; Huben; HL-505; per set")</f>
        <v>Kunci Laci Lemari Loker Slide; Huben; HL-505; per set</v>
      </c>
      <c r="C722" s="2" t="str">
        <f>IFERROR(__xludf.DUMMYFUNCTION("""COMPUTED_VALUE"""),"ST")</f>
        <v>ST</v>
      </c>
      <c r="D722" s="2">
        <f>IFERROR(__xludf.DUMMYFUNCTION("""COMPUTED_VALUE"""),4.0)</f>
        <v>4</v>
      </c>
      <c r="E722" s="2" t="str">
        <f>IFERROR(__xludf.DUMMYFUNCTION("""COMPUTED_VALUE"""),"O4")</f>
        <v>O4</v>
      </c>
    </row>
    <row r="723">
      <c r="A723" s="2" t="str">
        <f>IFERROR(__xludf.DUMMYFUNCTION("""COMPUTED_VALUE"""),"P-54628-00")</f>
        <v>P-54628-00</v>
      </c>
      <c r="B723" s="2" t="str">
        <f>IFERROR(__xludf.DUMMYFUNCTION("""COMPUTED_VALUE"""),"General - Solenoid Coil 018F6282 220V; No Brand; -; 1 pc")</f>
        <v>General - Solenoid Coil 018F6282 220V; No Brand; -; 1 pc</v>
      </c>
      <c r="C723" s="2" t="str">
        <f>IFERROR(__xludf.DUMMYFUNCTION("""COMPUTED_VALUE"""),"pc")</f>
        <v>pc</v>
      </c>
      <c r="D723" s="2">
        <f>IFERROR(__xludf.DUMMYFUNCTION("""COMPUTED_VALUE"""),1.0)</f>
        <v>1</v>
      </c>
      <c r="E723" s="2" t="str">
        <f>IFERROR(__xludf.DUMMYFUNCTION("""COMPUTED_VALUE"""),"D-2-10")</f>
        <v>D-2-10</v>
      </c>
    </row>
    <row r="724">
      <c r="A724" s="2" t="str">
        <f>IFERROR(__xludf.DUMMYFUNCTION("""COMPUTED_VALUE"""),"O-53195-00")</f>
        <v>O-53195-00</v>
      </c>
      <c r="B724" s="2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724" s="2" t="str">
        <f>IFERROR(__xludf.DUMMYFUNCTION("""COMPUTED_VALUE"""),"pc")</f>
        <v>pc</v>
      </c>
      <c r="D724" s="2">
        <f>IFERROR(__xludf.DUMMYFUNCTION("""COMPUTED_VALUE"""),1.0)</f>
        <v>1</v>
      </c>
      <c r="E724" s="2" t="str">
        <f>IFERROR(__xludf.DUMMYFUNCTION("""COMPUTED_VALUE"""),"B-2")</f>
        <v>B-2</v>
      </c>
    </row>
    <row r="725">
      <c r="A725" s="2" t="str">
        <f>IFERROR(__xludf.DUMMYFUNCTION("""COMPUTED_VALUE"""),"O-17070-00")</f>
        <v>O-17070-00</v>
      </c>
      <c r="B725" s="2" t="str">
        <f>IFERROR(__xludf.DUMMYFUNCTION("""COMPUTED_VALUE"""),"Washing RAR4 - Pincers Jaws for Vial 50mL; Custom/Lokal; -; 1 Pc")</f>
        <v>Washing RAR4 - Pincers Jaws for Vial 50mL; Custom/Lokal; -; 1 Pc</v>
      </c>
      <c r="C725" s="2" t="str">
        <f>IFERROR(__xludf.DUMMYFUNCTION("""COMPUTED_VALUE"""),"pc")</f>
        <v>pc</v>
      </c>
      <c r="D725" s="2">
        <f>IFERROR(__xludf.DUMMYFUNCTION("""COMPUTED_VALUE"""),12.0)</f>
        <v>12</v>
      </c>
      <c r="E725" s="2" t="str">
        <f>IFERROR(__xludf.DUMMYFUNCTION("""COMPUTED_VALUE"""),"A2")</f>
        <v>A2</v>
      </c>
    </row>
    <row r="726">
      <c r="A726" s="2" t="str">
        <f>IFERROR(__xludf.DUMMYFUNCTION("""COMPUTED_VALUE"""),"O-19340-00")</f>
        <v>O-19340-00</v>
      </c>
      <c r="B726" s="2" t="str">
        <f>IFERROR(__xludf.DUMMYFUNCTION("""COMPUTED_VALUE"""),"Washing RAR4 - Guide Rell Outfeed, Machining Plate Material Pom Putih; ; ;; Custom/Lokal; -; 1 Pc")</f>
        <v>Washing RAR4 - Guide Rell Outfeed, Machining Plate Material Pom Putih; ; ;; Custom/Lokal; -; 1 Pc</v>
      </c>
      <c r="C726" s="2" t="str">
        <f>IFERROR(__xludf.DUMMYFUNCTION("""COMPUTED_VALUE"""),"pc")</f>
        <v>pc</v>
      </c>
      <c r="D726" s="2">
        <f>IFERROR(__xludf.DUMMYFUNCTION("""COMPUTED_VALUE"""),1.0)</f>
        <v>1</v>
      </c>
      <c r="E726" s="2"/>
    </row>
    <row r="727">
      <c r="A727" s="2" t="str">
        <f>IFERROR(__xludf.DUMMYFUNCTION("""COMPUTED_VALUE"""),"O-15491-00")</f>
        <v>O-15491-00</v>
      </c>
      <c r="B727" s="2" t="str">
        <f>IFERROR(__xludf.DUMMYFUNCTION("""COMPUTED_VALUE"""),"SPA 2482 Lw Brand : Optibelt / Bando Merah; Optibelt; ;")</f>
        <v>SPA 2482 Lw Brand : Optibelt / Bando Merah; Optibelt; ;</v>
      </c>
      <c r="C727" s="2" t="str">
        <f>IFERROR(__xludf.DUMMYFUNCTION("""COMPUTED_VALUE"""),"pc")</f>
        <v>pc</v>
      </c>
      <c r="D727" s="2">
        <f>IFERROR(__xludf.DUMMYFUNCTION("""COMPUTED_VALUE"""),2.0)</f>
        <v>2</v>
      </c>
      <c r="E727" s="2" t="str">
        <f>IFERROR(__xludf.DUMMYFUNCTION("""COMPUTED_VALUE"""),"L2")</f>
        <v>L2</v>
      </c>
    </row>
    <row r="728">
      <c r="A728" s="2" t="str">
        <f>IFERROR(__xludf.DUMMYFUNCTION("""COMPUTED_VALUE"""),"P-51752-00")</f>
        <v>P-51752-00</v>
      </c>
      <c r="B728" s="2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728" s="2" t="str">
        <f>IFERROR(__xludf.DUMMYFUNCTION("""COMPUTED_VALUE"""),"unt")</f>
        <v>unt</v>
      </c>
      <c r="D728" s="2">
        <f>IFERROR(__xludf.DUMMYFUNCTION("""COMPUTED_VALUE"""),1.0)</f>
        <v>1</v>
      </c>
      <c r="E728" s="2" t="str">
        <f>IFERROR(__xludf.DUMMYFUNCTION("""COMPUTED_VALUE"""),"M4")</f>
        <v>M4</v>
      </c>
    </row>
    <row r="729">
      <c r="A729" s="2" t="str">
        <f>IFERROR(__xludf.DUMMYFUNCTION("""COMPUTED_VALUE"""),"O-15019-00")</f>
        <v>O-15019-00</v>
      </c>
      <c r="B729" s="2" t="str">
        <f>IFERROR(__xludf.DUMMYFUNCTION("""COMPUTED_VALUE"""),"General - Bearing 6004H SS; No Brand; -; 1 pcs")</f>
        <v>General - Bearing 6004H SS; No Brand; -; 1 pcs</v>
      </c>
      <c r="C729" s="2" t="str">
        <f>IFERROR(__xludf.DUMMYFUNCTION("""COMPUTED_VALUE"""),"pc")</f>
        <v>pc</v>
      </c>
      <c r="D729" s="2">
        <f>IFERROR(__xludf.DUMMYFUNCTION("""COMPUTED_VALUE"""),5.0)</f>
        <v>5</v>
      </c>
      <c r="E729" s="2" t="str">
        <f>IFERROR(__xludf.DUMMYFUNCTION("""COMPUTED_VALUE"""),"A-1-3A")</f>
        <v>A-1-3A</v>
      </c>
    </row>
    <row r="730">
      <c r="A730" s="2" t="str">
        <f>IFERROR(__xludf.DUMMYFUNCTION("""COMPUTED_VALUE"""),"P-12082-00")</f>
        <v>P-12082-00</v>
      </c>
      <c r="B730" s="2" t="str">
        <f>IFERROR(__xludf.DUMMYFUNCTION("""COMPUTED_VALUE"""),"General - Clamp Selang, SS, 3/4""; Tridon; -; 1 pcs")</f>
        <v>General - Clamp Selang, SS, 3/4"; Tridon; -; 1 pcs</v>
      </c>
      <c r="C730" s="2" t="str">
        <f>IFERROR(__xludf.DUMMYFUNCTION("""COMPUTED_VALUE"""),"pc")</f>
        <v>pc</v>
      </c>
      <c r="D730" s="2">
        <f>IFERROR(__xludf.DUMMYFUNCTION("""COMPUTED_VALUE"""),9.0)</f>
        <v>9</v>
      </c>
      <c r="E730" s="2"/>
    </row>
    <row r="731">
      <c r="A731" s="2" t="str">
        <f>IFERROR(__xludf.DUMMYFUNCTION("""COMPUTED_VALUE"""),"O-11761-00")</f>
        <v>O-11761-00</v>
      </c>
      <c r="B731" s="2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731" s="2" t="str">
        <f>IFERROR(__xludf.DUMMYFUNCTION("""COMPUTED_VALUE"""),"pc")</f>
        <v>pc</v>
      </c>
      <c r="D731" s="2">
        <f>IFERROR(__xludf.DUMMYFUNCTION("""COMPUTED_VALUE"""),2.0)</f>
        <v>2</v>
      </c>
      <c r="E731" s="2" t="str">
        <f>IFERROR(__xludf.DUMMYFUNCTION("""COMPUTED_VALUE"""),"I-3-8")</f>
        <v>I-3-8</v>
      </c>
    </row>
    <row r="732">
      <c r="A732" s="2" t="str">
        <f>IFERROR(__xludf.DUMMYFUNCTION("""COMPUTED_VALUE"""),"O-53568-00")</f>
        <v>O-53568-00</v>
      </c>
      <c r="B732" s="2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732" s="2" t="str">
        <f>IFERROR(__xludf.DUMMYFUNCTION("""COMPUTED_VALUE"""),"pc")</f>
        <v>pc</v>
      </c>
      <c r="D732" s="2">
        <f>IFERROR(__xludf.DUMMYFUNCTION("""COMPUTED_VALUE"""),6.0)</f>
        <v>6</v>
      </c>
      <c r="E732" s="2" t="str">
        <f>IFERROR(__xludf.DUMMYFUNCTION("""COMPUTED_VALUE"""),"-")</f>
        <v>-</v>
      </c>
    </row>
    <row r="733">
      <c r="A733" s="2" t="str">
        <f>IFERROR(__xludf.DUMMYFUNCTION("""COMPUTED_VALUE"""),"O-15905-00")</f>
        <v>O-15905-00</v>
      </c>
      <c r="B733" s="2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733" s="2" t="str">
        <f>IFERROR(__xludf.DUMMYFUNCTION("""COMPUTED_VALUE"""),"unt")</f>
        <v>unt</v>
      </c>
      <c r="D733" s="2">
        <f>IFERROR(__xludf.DUMMYFUNCTION("""COMPUTED_VALUE"""),1.0)</f>
        <v>1</v>
      </c>
      <c r="E733" s="2" t="str">
        <f>IFERROR(__xludf.DUMMYFUNCTION("""COMPUTED_VALUE"""),"C2")</f>
        <v>C2</v>
      </c>
    </row>
    <row r="734">
      <c r="A734" s="2" t="str">
        <f>IFERROR(__xludf.DUMMYFUNCTION("""COMPUTED_VALUE"""),"O-20646-00")</f>
        <v>O-20646-00</v>
      </c>
      <c r="B734" s="2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734" s="2" t="str">
        <f>IFERROR(__xludf.DUMMYFUNCTION("""COMPUTED_VALUE"""),"pc")</f>
        <v>pc</v>
      </c>
      <c r="D734" s="2">
        <f>IFERROR(__xludf.DUMMYFUNCTION("""COMPUTED_VALUE"""),1.0)</f>
        <v>1</v>
      </c>
      <c r="E734" s="2" t="str">
        <f>IFERROR(__xludf.DUMMYFUNCTION("""COMPUTED_VALUE"""),"-")</f>
        <v>-</v>
      </c>
    </row>
    <row r="735">
      <c r="A735" s="2" t="str">
        <f>IFERROR(__xludf.DUMMYFUNCTION("""COMPUTED_VALUE"""),"P-51704-00")</f>
        <v>P-51704-00</v>
      </c>
      <c r="B735" s="2" t="str">
        <f>IFERROR(__xludf.DUMMYFUNCTION("""COMPUTED_VALUE"""),"Terminal Krustin 6 Terminal; ; ;")</f>
        <v>Terminal Krustin 6 Terminal; ; ;</v>
      </c>
      <c r="C735" s="2" t="str">
        <f>IFERROR(__xludf.DUMMYFUNCTION("""COMPUTED_VALUE"""),"pc")</f>
        <v>pc</v>
      </c>
      <c r="D735" s="2">
        <f>IFERROR(__xludf.DUMMYFUNCTION("""COMPUTED_VALUE"""),10.0)</f>
        <v>10</v>
      </c>
      <c r="E735" s="2" t="str">
        <f>IFERROR(__xludf.DUMMYFUNCTION("""COMPUTED_VALUE"""),"-")</f>
        <v>-</v>
      </c>
    </row>
    <row r="736">
      <c r="A736" s="2" t="str">
        <f>IFERROR(__xludf.DUMMYFUNCTION("""COMPUTED_VALUE"""),"P-14456-00")</f>
        <v>P-14456-00</v>
      </c>
      <c r="B736" s="2" t="str">
        <f>IFERROR(__xludf.DUMMYFUNCTION("""COMPUTED_VALUE"""),"General - Filter IAF MBV Series (Medium Filter), efficiency : 80-85 %, Size: 12 x 24 x 12 inch; IAF; -; 1 pcs")</f>
        <v>General - Filter IAF MBV Series (Medium Filter), efficiency : 80-85 %, Size: 12 x 24 x 12 inch; IAF; -; 1 pcs</v>
      </c>
      <c r="C736" s="2" t="str">
        <f>IFERROR(__xludf.DUMMYFUNCTION("""COMPUTED_VALUE"""),"pc")</f>
        <v>pc</v>
      </c>
      <c r="D736" s="2">
        <f>IFERROR(__xludf.DUMMYFUNCTION("""COMPUTED_VALUE"""),14.0)</f>
        <v>14</v>
      </c>
      <c r="E736" s="2" t="str">
        <f>IFERROR(__xludf.DUMMYFUNCTION("""COMPUTED_VALUE"""),"Ruang Filter")</f>
        <v>Ruang Filter</v>
      </c>
    </row>
    <row r="737">
      <c r="A737" s="2" t="str">
        <f>IFERROR(__xludf.DUMMYFUNCTION("""COMPUTED_VALUE"""),"O-51818-00")</f>
        <v>O-51818-00</v>
      </c>
      <c r="B737" s="2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737" s="2" t="str">
        <f>IFERROR(__xludf.DUMMYFUNCTION("""COMPUTED_VALUE"""),"unt")</f>
        <v>unt</v>
      </c>
      <c r="D737" s="2">
        <f>IFERROR(__xludf.DUMMYFUNCTION("""COMPUTED_VALUE"""),1.0)</f>
        <v>1</v>
      </c>
      <c r="E737" s="2" t="str">
        <f>IFERROR(__xludf.DUMMYFUNCTION("""COMPUTED_VALUE"""),"C-2-4")</f>
        <v>C-2-4</v>
      </c>
    </row>
    <row r="738">
      <c r="A738" s="2" t="str">
        <f>IFERROR(__xludf.DUMMYFUNCTION("""COMPUTED_VALUE"""),"O-53144-00")</f>
        <v>O-53144-00</v>
      </c>
      <c r="B738" s="2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738" s="2" t="str">
        <f>IFERROR(__xludf.DUMMYFUNCTION("""COMPUTED_VALUE"""),"pc")</f>
        <v>pc</v>
      </c>
      <c r="D738" s="2">
        <f>IFERROR(__xludf.DUMMYFUNCTION("""COMPUTED_VALUE"""),1.0)</f>
        <v>1</v>
      </c>
      <c r="E738" s="2"/>
    </row>
    <row r="739">
      <c r="A739" s="2" t="str">
        <f>IFERROR(__xludf.DUMMYFUNCTION("""COMPUTED_VALUE"""),"P-17679-00")</f>
        <v>P-17679-00</v>
      </c>
      <c r="B739" s="2" t="str">
        <f>IFERROR(__xludf.DUMMYFUNCTION("""COMPUTED_VALUE"""),"Water Mur PVC DIA 1 1/2""; ; ; pcs")</f>
        <v>Water Mur PVC DIA 1 1/2"; ; ; pcs</v>
      </c>
      <c r="C739" s="2" t="str">
        <f>IFERROR(__xludf.DUMMYFUNCTION("""COMPUTED_VALUE"""),"pc")</f>
        <v>pc</v>
      </c>
      <c r="D739" s="2">
        <f>IFERROR(__xludf.DUMMYFUNCTION("""COMPUTED_VALUE"""),4.0)</f>
        <v>4</v>
      </c>
      <c r="E739" s="2"/>
    </row>
    <row r="740">
      <c r="A740" s="2" t="str">
        <f>IFERROR(__xludf.DUMMYFUNCTION("""COMPUTED_VALUE"""),"P-50428-00")</f>
        <v>P-50428-00</v>
      </c>
      <c r="B740" s="2" t="str">
        <f>IFERROR(__xludf.DUMMYFUNCTION("""COMPUTED_VALUE"""),"General - Pilot Lamp LED Kuning; AXLE; AD22-22DS; 1 pcs")</f>
        <v>General - Pilot Lamp LED Kuning; AXLE; AD22-22DS; 1 pcs</v>
      </c>
      <c r="C740" s="2" t="str">
        <f>IFERROR(__xludf.DUMMYFUNCTION("""COMPUTED_VALUE"""),"pc")</f>
        <v>pc</v>
      </c>
      <c r="D740" s="2">
        <f>IFERROR(__xludf.DUMMYFUNCTION("""COMPUTED_VALUE"""),6.0)</f>
        <v>6</v>
      </c>
      <c r="E740" s="2"/>
    </row>
    <row r="741">
      <c r="A741" s="2" t="str">
        <f>IFERROR(__xludf.DUMMYFUNCTION("""COMPUTED_VALUE"""),"P-18504-00")</f>
        <v>P-18504-00</v>
      </c>
      <c r="B741" s="2" t="str">
        <f>IFERROR(__xludf.DUMMYFUNCTION("""COMPUTED_VALUE"""),"General - Freon 404A; Chemours; -; 1 pcs")</f>
        <v>General - Freon 404A; Chemours; -; 1 pcs</v>
      </c>
      <c r="C741" s="2" t="str">
        <f>IFERROR(__xludf.DUMMYFUNCTION("""COMPUTED_VALUE"""),"Can")</f>
        <v>Can</v>
      </c>
      <c r="D741" s="2">
        <f>IFERROR(__xludf.DUMMYFUNCTION("""COMPUTED_VALUE"""),2.0)</f>
        <v>2</v>
      </c>
      <c r="E741" s="2" t="str">
        <f>IFERROR(__xludf.DUMMYFUNCTION("""COMPUTED_VALUE"""),"N1")</f>
        <v>N1</v>
      </c>
    </row>
    <row r="742">
      <c r="A742" s="2" t="str">
        <f>IFERROR(__xludf.DUMMYFUNCTION("""COMPUTED_VALUE"""),"O-18456-00")</f>
        <v>O-18456-00</v>
      </c>
      <c r="B742" s="2" t="str">
        <f>IFERROR(__xludf.DUMMYFUNCTION("""COMPUTED_VALUE"""),"General - Oring Material Viton Dia. 170 x 6.99 mm; -; -; 1 Pc")</f>
        <v>General - Oring Material Viton Dia. 170 x 6.99 mm; -; -; 1 Pc</v>
      </c>
      <c r="C742" s="2" t="str">
        <f>IFERROR(__xludf.DUMMYFUNCTION("""COMPUTED_VALUE"""),"pc")</f>
        <v>pc</v>
      </c>
      <c r="D742" s="2">
        <f>IFERROR(__xludf.DUMMYFUNCTION("""COMPUTED_VALUE"""),5.0)</f>
        <v>5</v>
      </c>
      <c r="E742" s="2" t="str">
        <f>IFERROR(__xludf.DUMMYFUNCTION("""COMPUTED_VALUE"""),"C-2-1")</f>
        <v>C-2-1</v>
      </c>
    </row>
    <row r="743">
      <c r="A743" s="2" t="str">
        <f>IFERROR(__xludf.DUMMYFUNCTION("""COMPUTED_VALUE"""),"O-20748-00")</f>
        <v>O-20748-00</v>
      </c>
      <c r="B743" s="2" t="str">
        <f>IFERROR(__xludf.DUMMYFUNCTION("""COMPUTED_VALUE"""),"cRABS Z064CR - Cabinet Handle ENUX RAL 9005; Steriline; 1135571; 1 Pc")</f>
        <v>cRABS Z064CR - Cabinet Handle ENUX RAL 9005; Steriline; 1135571; 1 Pc</v>
      </c>
      <c r="C743" s="2" t="str">
        <f>IFERROR(__xludf.DUMMYFUNCTION("""COMPUTED_VALUE"""),"pc")</f>
        <v>pc</v>
      </c>
      <c r="D743" s="2">
        <f>IFERROR(__xludf.DUMMYFUNCTION("""COMPUTED_VALUE"""),3.0)</f>
        <v>3</v>
      </c>
      <c r="E743" s="2" t="str">
        <f>IFERROR(__xludf.DUMMYFUNCTION("""COMPUTED_VALUE"""),"B-4")</f>
        <v>B-4</v>
      </c>
    </row>
    <row r="744">
      <c r="A744" s="2" t="str">
        <f>IFERROR(__xludf.DUMMYFUNCTION("""COMPUTED_VALUE"""),"P-12495-00")</f>
        <v>P-12495-00</v>
      </c>
      <c r="B744" s="2" t="str">
        <f>IFERROR(__xludf.DUMMYFUNCTION("""COMPUTED_VALUE"""),"Mata Bor besi dia 7.5 mm ex NACHI")</f>
        <v>Mata Bor besi dia 7.5 mm ex NACHI</v>
      </c>
      <c r="C744" s="2" t="str">
        <f>IFERROR(__xludf.DUMMYFUNCTION("""COMPUTED_VALUE"""),"pc")</f>
        <v>pc</v>
      </c>
      <c r="D744" s="2">
        <f>IFERROR(__xludf.DUMMYFUNCTION("""COMPUTED_VALUE"""),2.0)</f>
        <v>2</v>
      </c>
      <c r="E744" s="2" t="str">
        <f>IFERROR(__xludf.DUMMYFUNCTION("""COMPUTED_VALUE"""),"S-2-8")</f>
        <v>S-2-8</v>
      </c>
    </row>
    <row r="745">
      <c r="A745" s="2" t="str">
        <f>IFERROR(__xludf.DUMMYFUNCTION("""COMPUTED_VALUE"""),"O-18890-00")</f>
        <v>O-18890-00</v>
      </c>
      <c r="B745" s="2" t="str">
        <f>IFERROR(__xludf.DUMMYFUNCTION("""COMPUTED_VALUE"""),"General - SV102 Valve body (Replace the old model 032F1212) EVR6 3/8 Inch; Danfoss; 032L1212; 1 Pc")</f>
        <v>General - SV102 Valve body (Replace the old model 032F1212) EVR6 3/8 Inch; Danfoss; 032L1212; 1 Pc</v>
      </c>
      <c r="C745" s="2" t="str">
        <f>IFERROR(__xludf.DUMMYFUNCTION("""COMPUTED_VALUE"""),"pc")</f>
        <v>pc</v>
      </c>
      <c r="D745" s="2">
        <f>IFERROR(__xludf.DUMMYFUNCTION("""COMPUTED_VALUE"""),1.0)</f>
        <v>1</v>
      </c>
      <c r="E745" s="2" t="str">
        <f>IFERROR(__xludf.DUMMYFUNCTION("""COMPUTED_VALUE"""),"D-4-9")</f>
        <v>D-4-9</v>
      </c>
    </row>
    <row r="746">
      <c r="A746" s="2" t="str">
        <f>IFERROR(__xludf.DUMMYFUNCTION("""COMPUTED_VALUE"""),"P-15961-00")</f>
        <v>P-15961-00</v>
      </c>
      <c r="B746" s="2" t="str">
        <f>IFERROR(__xludf.DUMMYFUNCTION("""COMPUTED_VALUE"""),"General - Freon 134A; No brand; -; 1 pcs")</f>
        <v>General - Freon 134A; No brand; -; 1 pcs</v>
      </c>
      <c r="C746" s="2" t="str">
        <f>IFERROR(__xludf.DUMMYFUNCTION("""COMPUTED_VALUE"""),"Can")</f>
        <v>Can</v>
      </c>
      <c r="D746" s="2">
        <f>IFERROR(__xludf.DUMMYFUNCTION("""COMPUTED_VALUE"""),1.0)</f>
        <v>1</v>
      </c>
      <c r="E746" s="2" t="str">
        <f>IFERROR(__xludf.DUMMYFUNCTION("""COMPUTED_VALUE"""),"N1")</f>
        <v>N1</v>
      </c>
    </row>
    <row r="747">
      <c r="A747" s="2" t="str">
        <f>IFERROR(__xludf.DUMMYFUNCTION("""COMPUTED_VALUE"""),"P-54334-00")</f>
        <v>P-54334-00</v>
      </c>
      <c r="B747" s="2" t="str">
        <f>IFERROR(__xludf.DUMMYFUNCTION("""COMPUTED_VALUE"""),"General - Socket Relay PYFZ-14-E; Omron; -; 1 pc")</f>
        <v>General - Socket Relay PYFZ-14-E; Omron; -; 1 pc</v>
      </c>
      <c r="C747" s="2" t="str">
        <f>IFERROR(__xludf.DUMMYFUNCTION("""COMPUTED_VALUE"""),"pc")</f>
        <v>pc</v>
      </c>
      <c r="D747" s="2">
        <f>IFERROR(__xludf.DUMMYFUNCTION("""COMPUTED_VALUE"""),9.0)</f>
        <v>9</v>
      </c>
      <c r="E747" s="2" t="str">
        <f>IFERROR(__xludf.DUMMYFUNCTION("""COMPUTED_VALUE"""),"B-4")</f>
        <v>B-4</v>
      </c>
    </row>
    <row r="748">
      <c r="A748" s="2" t="str">
        <f>IFERROR(__xludf.DUMMYFUNCTION("""COMPUTED_VALUE"""),"Q-60063-00")</f>
        <v>Q-60063-00</v>
      </c>
      <c r="B748" s="2" t="str">
        <f>IFERROR(__xludf.DUMMYFUNCTION("""COMPUTED_VALUE"""),"Cat Pylox White;Nippon Paint;Type 102 White;pack size per can")</f>
        <v>Cat Pylox White;Nippon Paint;Type 102 White;pack size per can</v>
      </c>
      <c r="C748" s="2" t="str">
        <f>IFERROR(__xludf.DUMMYFUNCTION("""COMPUTED_VALUE"""),"Can")</f>
        <v>Can</v>
      </c>
      <c r="D748" s="2">
        <f>IFERROR(__xludf.DUMMYFUNCTION("""COMPUTED_VALUE"""),17.0)</f>
        <v>17</v>
      </c>
      <c r="E748" s="2" t="str">
        <f>IFERROR(__xludf.DUMMYFUNCTION("""COMPUTED_VALUE"""),"Flammable")</f>
        <v>Flammable</v>
      </c>
    </row>
    <row r="749">
      <c r="A749" s="2" t="str">
        <f>IFERROR(__xludf.DUMMYFUNCTION("""COMPUTED_VALUE"""),"P-20443-00")</f>
        <v>P-20443-00</v>
      </c>
      <c r="B749" s="2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749" s="2" t="str">
        <f>IFERROR(__xludf.DUMMYFUNCTION("""COMPUTED_VALUE"""),"pc")</f>
        <v>pc</v>
      </c>
      <c r="D749" s="2">
        <f>IFERROR(__xludf.DUMMYFUNCTION("""COMPUTED_VALUE"""),3.0)</f>
        <v>3</v>
      </c>
      <c r="E749" s="2" t="str">
        <f>IFERROR(__xludf.DUMMYFUNCTION("""COMPUTED_VALUE"""),"-")</f>
        <v>-</v>
      </c>
    </row>
    <row r="750">
      <c r="A750" s="2" t="str">
        <f>IFERROR(__xludf.DUMMYFUNCTION("""COMPUTED_VALUE"""),"P-53660-00")</f>
        <v>P-53660-00</v>
      </c>
      <c r="B750" s="2" t="str">
        <f>IFERROR(__xludf.DUMMYFUNCTION("""COMPUTED_VALUE"""),"General - Heat Shrink dia. 3 mm Warna Hitam; No Brand; -; 100m/roll")</f>
        <v>General - Heat Shrink dia. 3 mm Warna Hitam; No Brand; -; 100m/roll</v>
      </c>
      <c r="C750" s="2" t="str">
        <f>IFERROR(__xludf.DUMMYFUNCTION("""COMPUTED_VALUE"""),"pc")</f>
        <v>pc</v>
      </c>
      <c r="D750" s="2">
        <f>IFERROR(__xludf.DUMMYFUNCTION("""COMPUTED_VALUE"""),1.0)</f>
        <v>1</v>
      </c>
      <c r="E750" s="2" t="str">
        <f>IFERROR(__xludf.DUMMYFUNCTION("""COMPUTED_VALUE"""),"A3")</f>
        <v>A3</v>
      </c>
    </row>
    <row r="751">
      <c r="A751" s="2" t="str">
        <f>IFERROR(__xludf.DUMMYFUNCTION("""COMPUTED_VALUE"""),"P-14521-00")</f>
        <v>P-14521-00</v>
      </c>
      <c r="B751" s="2" t="str">
        <f>IFERROR(__xludf.DUMMYFUNCTION("""COMPUTED_VALUE"""),"General - Freon R410A; Dupont; -; 1 pcs")</f>
        <v>General - Freon R410A; Dupont; -; 1 pcs</v>
      </c>
      <c r="C751" s="2" t="str">
        <f>IFERROR(__xludf.DUMMYFUNCTION("""COMPUTED_VALUE"""),"Can")</f>
        <v>Can</v>
      </c>
      <c r="D751" s="2">
        <f>IFERROR(__xludf.DUMMYFUNCTION("""COMPUTED_VALUE"""),2.0)</f>
        <v>2</v>
      </c>
      <c r="E751" s="2" t="str">
        <f>IFERROR(__xludf.DUMMYFUNCTION("""COMPUTED_VALUE"""),"-")</f>
        <v>-</v>
      </c>
    </row>
    <row r="752">
      <c r="A752" s="2" t="str">
        <f>IFERROR(__xludf.DUMMYFUNCTION("""COMPUTED_VALUE"""),"P-18290-00")</f>
        <v>P-18290-00</v>
      </c>
      <c r="B752" s="2" t="str">
        <f>IFERROR(__xludf.DUMMYFUNCTION("""COMPUTED_VALUE"""),"General - ISO Cylinder, DSBC-40-40-PPVA-N3; Festo; 1376657; 1 pcs")</f>
        <v>General - ISO Cylinder, DSBC-40-40-PPVA-N3; Festo; 1376657; 1 pcs</v>
      </c>
      <c r="C752" s="2" t="str">
        <f>IFERROR(__xludf.DUMMYFUNCTION("""COMPUTED_VALUE"""),"pc")</f>
        <v>pc</v>
      </c>
      <c r="D752" s="2">
        <f>IFERROR(__xludf.DUMMYFUNCTION("""COMPUTED_VALUE"""),1.0)</f>
        <v>1</v>
      </c>
      <c r="E752" s="2" t="str">
        <f>IFERROR(__xludf.DUMMYFUNCTION("""COMPUTED_VALUE"""),"I-3-1")</f>
        <v>I-3-1</v>
      </c>
    </row>
    <row r="753">
      <c r="A753" s="2" t="str">
        <f>IFERROR(__xludf.DUMMYFUNCTION("""COMPUTED_VALUE"""),"P-54463-00")</f>
        <v>P-54463-00</v>
      </c>
      <c r="B753" s="2" t="str">
        <f>IFERROR(__xludf.DUMMYFUNCTION("""COMPUTED_VALUE"""),"General - MCB 4A 1Phase Domae; Schneider; DOMF01104; 1 pc")</f>
        <v>General - MCB 4A 1Phase Domae; Schneider; DOMF01104; 1 pc</v>
      </c>
      <c r="C753" s="2" t="str">
        <f>IFERROR(__xludf.DUMMYFUNCTION("""COMPUTED_VALUE"""),"pc")</f>
        <v>pc</v>
      </c>
      <c r="D753" s="2">
        <f>IFERROR(__xludf.DUMMYFUNCTION("""COMPUTED_VALUE"""),3.0)</f>
        <v>3</v>
      </c>
      <c r="E753" s="2" t="str">
        <f>IFERROR(__xludf.DUMMYFUNCTION("""COMPUTED_VALUE"""),"-")</f>
        <v>-</v>
      </c>
    </row>
    <row r="754">
      <c r="A754" s="2" t="str">
        <f>IFERROR(__xludf.DUMMYFUNCTION("""COMPUTED_VALUE"""),"P-12920-00")</f>
        <v>P-12920-00</v>
      </c>
      <c r="B754" s="2" t="str">
        <f>IFERROR(__xludf.DUMMYFUNCTION("""COMPUTED_VALUE"""),"General - Tungsten Electrodes dia 1.6 mm; No Brand; -; 1 pc")</f>
        <v>General - Tungsten Electrodes dia 1.6 mm; No Brand; -; 1 pc</v>
      </c>
      <c r="C754" s="2" t="str">
        <f>IFERROR(__xludf.DUMMYFUNCTION("""COMPUTED_VALUE"""),"pc")</f>
        <v>pc</v>
      </c>
      <c r="D754" s="2">
        <f>IFERROR(__xludf.DUMMYFUNCTION("""COMPUTED_VALUE"""),14.0)</f>
        <v>14</v>
      </c>
      <c r="E754" s="2" t="str">
        <f>IFERROR(__xludf.DUMMYFUNCTION("""COMPUTED_VALUE"""),"N-3")</f>
        <v>N-3</v>
      </c>
    </row>
    <row r="755">
      <c r="A755" s="2" t="str">
        <f>IFERROR(__xludf.DUMMYFUNCTION("""COMPUTED_VALUE"""),"P-52696-00")</f>
        <v>P-52696-00</v>
      </c>
      <c r="B755" s="2" t="str">
        <f>IFERROR(__xludf.DUMMYFUNCTION("""COMPUTED_VALUE"""),"General - ORP Cable; Jumo; 202990/02; 1 pc")</f>
        <v>General - ORP Cable; Jumo; 202990/02; 1 pc</v>
      </c>
      <c r="C755" s="2" t="str">
        <f>IFERROR(__xludf.DUMMYFUNCTION("""COMPUTED_VALUE"""),"pc")</f>
        <v>pc</v>
      </c>
      <c r="D755" s="2">
        <f>IFERROR(__xludf.DUMMYFUNCTION("""COMPUTED_VALUE"""),1.0)</f>
        <v>1</v>
      </c>
      <c r="E755" s="2" t="str">
        <f>IFERROR(__xludf.DUMMYFUNCTION("""COMPUTED_VALUE"""),"-")</f>
        <v>-</v>
      </c>
    </row>
    <row r="756">
      <c r="A756" s="2" t="str">
        <f>IFERROR(__xludf.DUMMYFUNCTION("""COMPUTED_VALUE"""),"O-20910-00")</f>
        <v>O-20910-00</v>
      </c>
      <c r="B756" s="2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756" s="2" t="str">
        <f>IFERROR(__xludf.DUMMYFUNCTION("""COMPUTED_VALUE"""),"pc")</f>
        <v>pc</v>
      </c>
      <c r="D756" s="2">
        <f>IFERROR(__xludf.DUMMYFUNCTION("""COMPUTED_VALUE"""),1.0)</f>
        <v>1</v>
      </c>
      <c r="E756" s="2" t="str">
        <f>IFERROR(__xludf.DUMMYFUNCTION("""COMPUTED_VALUE"""),"-")</f>
        <v>-</v>
      </c>
    </row>
    <row r="757">
      <c r="A757" s="2" t="str">
        <f>IFERROR(__xludf.DUMMYFUNCTION("""COMPUTED_VALUE"""),"O-17988-00")</f>
        <v>O-17988-00</v>
      </c>
      <c r="B757" s="2" t="str">
        <f>IFERROR(__xludf.DUMMYFUNCTION("""COMPUTED_VALUE"""),"Cam Follow (Idle Pin); INA; KR16-X-PP-A; pc")</f>
        <v>Cam Follow (Idle Pin); INA; KR16-X-PP-A; pc</v>
      </c>
      <c r="C757" s="2" t="str">
        <f>IFERROR(__xludf.DUMMYFUNCTION("""COMPUTED_VALUE"""),"pc")</f>
        <v>pc</v>
      </c>
      <c r="D757" s="2">
        <f>IFERROR(__xludf.DUMMYFUNCTION("""COMPUTED_VALUE"""),16.0)</f>
        <v>16</v>
      </c>
      <c r="E757" s="2" t="str">
        <f>IFERROR(__xludf.DUMMYFUNCTION("""COMPUTED_VALUE"""),"B-3-1")</f>
        <v>B-3-1</v>
      </c>
    </row>
    <row r="758">
      <c r="A758" s="2" t="str">
        <f>IFERROR(__xludf.DUMMYFUNCTION("""COMPUTED_VALUE"""),"O-18125-00")</f>
        <v>O-18125-00</v>
      </c>
      <c r="B758" s="2" t="str">
        <f>IFERROR(__xludf.DUMMYFUNCTION("""COMPUTED_VALUE"""),"General - USM T60 Male Bearing Pin 20mm Silicon Carbide; NovAseptic; G20-008; 1 Pc")</f>
        <v>General - USM T60 Male Bearing Pin 20mm Silicon Carbide; NovAseptic; G20-008; 1 Pc</v>
      </c>
      <c r="C758" s="2" t="str">
        <f>IFERROR(__xludf.DUMMYFUNCTION("""COMPUTED_VALUE"""),"pc")</f>
        <v>pc</v>
      </c>
      <c r="D758" s="2">
        <f>IFERROR(__xludf.DUMMYFUNCTION("""COMPUTED_VALUE"""),1.0)</f>
        <v>1</v>
      </c>
      <c r="E758" s="2" t="str">
        <f>IFERROR(__xludf.DUMMYFUNCTION("""COMPUTED_VALUE"""),"E-4")</f>
        <v>E-4</v>
      </c>
    </row>
    <row r="759">
      <c r="A759" s="2" t="str">
        <f>IFERROR(__xludf.DUMMYFUNCTION("""COMPUTED_VALUE"""),"O-53045-00")</f>
        <v>O-53045-00</v>
      </c>
      <c r="B759" s="2" t="str">
        <f>IFERROR(__xludf.DUMMYFUNCTION("""COMPUTED_VALUE"""),"General - Saklar Switch On Off DC 12V Lampu Merah; -; -; 1 Pc")</f>
        <v>General - Saklar Switch On Off DC 12V Lampu Merah; -; -; 1 Pc</v>
      </c>
      <c r="C759" s="2" t="str">
        <f>IFERROR(__xludf.DUMMYFUNCTION("""COMPUTED_VALUE"""),"pc")</f>
        <v>pc</v>
      </c>
      <c r="D759" s="2">
        <f>IFERROR(__xludf.DUMMYFUNCTION("""COMPUTED_VALUE"""),9.0)</f>
        <v>9</v>
      </c>
      <c r="E759" s="2" t="str">
        <f>IFERROR(__xludf.DUMMYFUNCTION("""COMPUTED_VALUE"""),"O2")</f>
        <v>O2</v>
      </c>
    </row>
    <row r="760">
      <c r="A760" s="2" t="str">
        <f>IFERROR(__xludf.DUMMYFUNCTION("""COMPUTED_VALUE"""),"P-20015-00")</f>
        <v>P-20015-00</v>
      </c>
      <c r="B760" s="2" t="str">
        <f>IFERROR(__xludf.DUMMYFUNCTION("""COMPUTED_VALUE"""),"General - Pressure Gauge 0-6 Bar, Drat 1/2inch; WIKA; -; 1 pc")</f>
        <v>General - Pressure Gauge 0-6 Bar, Drat 1/2inch; WIKA; -; 1 pc</v>
      </c>
      <c r="C760" s="2" t="str">
        <f>IFERROR(__xludf.DUMMYFUNCTION("""COMPUTED_VALUE"""),"pc")</f>
        <v>pc</v>
      </c>
      <c r="D760" s="2">
        <f>IFERROR(__xludf.DUMMYFUNCTION("""COMPUTED_VALUE"""),2.0)</f>
        <v>2</v>
      </c>
      <c r="E760" s="2"/>
    </row>
    <row r="761">
      <c r="A761" s="2" t="str">
        <f>IFERROR(__xludf.DUMMYFUNCTION("""COMPUTED_VALUE"""),"P-19405-00")</f>
        <v>P-19405-00</v>
      </c>
      <c r="B761" s="2" t="str">
        <f>IFERROR(__xludf.DUMMYFUNCTION("""COMPUTED_VALUE"""),"General- Mechanical Sear CR 32 HQQE; Grundfoss; P/N : 96525458; 1 Pc")</f>
        <v>General- Mechanical Sear CR 32 HQQE; Grundfoss; P/N : 96525458; 1 Pc</v>
      </c>
      <c r="C761" s="2" t="str">
        <f>IFERROR(__xludf.DUMMYFUNCTION("""COMPUTED_VALUE"""),"unt")</f>
        <v>unt</v>
      </c>
      <c r="D761" s="2">
        <f>IFERROR(__xludf.DUMMYFUNCTION("""COMPUTED_VALUE"""),1.0)</f>
        <v>1</v>
      </c>
      <c r="E761" s="2" t="str">
        <f>IFERROR(__xludf.DUMMYFUNCTION("""COMPUTED_VALUE"""),"L-3")</f>
        <v>L-3</v>
      </c>
    </row>
    <row r="762">
      <c r="A762" s="2" t="str">
        <f>IFERROR(__xludf.DUMMYFUNCTION("""COMPUTED_VALUE"""),"O-19391-00")</f>
        <v>O-19391-00</v>
      </c>
      <c r="B762" s="2" t="str">
        <f>IFERROR(__xludf.DUMMYFUNCTION("""COMPUTED_VALUE"""),"General - HEPA filter H13 minipleat, size: 610X305X93; Hencolin; -; 1 Pc")</f>
        <v>General - HEPA filter H13 minipleat, size: 610X305X93; Hencolin; -; 1 Pc</v>
      </c>
      <c r="C762" s="2" t="str">
        <f>IFERROR(__xludf.DUMMYFUNCTION("""COMPUTED_VALUE"""),"pc")</f>
        <v>pc</v>
      </c>
      <c r="D762" s="2">
        <f>IFERROR(__xludf.DUMMYFUNCTION("""COMPUTED_VALUE"""),2.0)</f>
        <v>2</v>
      </c>
      <c r="E762" s="2" t="str">
        <f>IFERROR(__xludf.DUMMYFUNCTION("""COMPUTED_VALUE"""),"Ruang Filter")</f>
        <v>Ruang Filter</v>
      </c>
    </row>
    <row r="763">
      <c r="A763" s="2" t="str">
        <f>IFERROR(__xludf.DUMMYFUNCTION("""COMPUTED_VALUE"""),"O-16032-00")</f>
        <v>O-16032-00</v>
      </c>
      <c r="B763" s="2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763" s="2" t="str">
        <f>IFERROR(__xludf.DUMMYFUNCTION("""COMPUTED_VALUE"""),"unt")</f>
        <v>unt</v>
      </c>
      <c r="D763" s="2">
        <f>IFERROR(__xludf.DUMMYFUNCTION("""COMPUTED_VALUE"""),15.0)</f>
        <v>15</v>
      </c>
      <c r="E763" s="2" t="str">
        <f>IFERROR(__xludf.DUMMYFUNCTION("""COMPUTED_VALUE"""),"A3")</f>
        <v>A3</v>
      </c>
    </row>
    <row r="764">
      <c r="A764" s="2" t="str">
        <f>IFERROR(__xludf.DUMMYFUNCTION("""COMPUTED_VALUE"""),"O-19386-00")</f>
        <v>O-19386-00</v>
      </c>
      <c r="B764" s="2" t="str">
        <f>IFERROR(__xludf.DUMMYFUNCTION("""COMPUTED_VALUE"""),"General - HEPA FILTER H14 610 x 610 x 305, 99,999%; Hencolin; -; 1 Pc")</f>
        <v>General - HEPA FILTER H14 610 x 610 x 305, 99,999%; Hencolin; -; 1 Pc</v>
      </c>
      <c r="C764" s="2" t="str">
        <f>IFERROR(__xludf.DUMMYFUNCTION("""COMPUTED_VALUE"""),"pc")</f>
        <v>pc</v>
      </c>
      <c r="D764" s="2">
        <f>IFERROR(__xludf.DUMMYFUNCTION("""COMPUTED_VALUE"""),2.0)</f>
        <v>2</v>
      </c>
      <c r="E764" s="2" t="str">
        <f>IFERROR(__xludf.DUMMYFUNCTION("""COMPUTED_VALUE"""),"-")</f>
        <v>-</v>
      </c>
    </row>
    <row r="765">
      <c r="A765" s="2" t="str">
        <f>IFERROR(__xludf.DUMMYFUNCTION("""COMPUTED_VALUE"""),"P-10887-00")</f>
        <v>P-10887-00</v>
      </c>
      <c r="B765" s="2" t="str">
        <f>IFERROR(__xludf.DUMMYFUNCTION("""COMPUTED_VALUE"""),"General - Socket Drat Dalam, PVC, 2""; Rucika; -; 1 pcs")</f>
        <v>General - Socket Drat Dalam, PVC, 2"; Rucika; -; 1 pcs</v>
      </c>
      <c r="C765" s="2" t="str">
        <f>IFERROR(__xludf.DUMMYFUNCTION("""COMPUTED_VALUE"""),"pc")</f>
        <v>pc</v>
      </c>
      <c r="D765" s="2">
        <f>IFERROR(__xludf.DUMMYFUNCTION("""COMPUTED_VALUE"""),4.0)</f>
        <v>4</v>
      </c>
      <c r="E765" s="2" t="str">
        <f>IFERROR(__xludf.DUMMYFUNCTION("""COMPUTED_VALUE"""),"-")</f>
        <v>-</v>
      </c>
    </row>
    <row r="766">
      <c r="A766" s="2" t="str">
        <f>IFERROR(__xludf.DUMMYFUNCTION("""COMPUTED_VALUE"""),"O-54008-00")</f>
        <v>O-54008-00</v>
      </c>
      <c r="B766" s="2" t="str">
        <f>IFERROR(__xludf.DUMMYFUNCTION("""COMPUTED_VALUE"""),"General - MCB 1 PHASE 25 AMPERE; Schneider; -; 1 Pc")</f>
        <v>General - MCB 1 PHASE 25 AMPERE; Schneider; -; 1 Pc</v>
      </c>
      <c r="C766" s="2" t="str">
        <f>IFERROR(__xludf.DUMMYFUNCTION("""COMPUTED_VALUE"""),"pc")</f>
        <v>pc</v>
      </c>
      <c r="D766" s="2">
        <f>IFERROR(__xludf.DUMMYFUNCTION("""COMPUTED_VALUE"""),5.0)</f>
        <v>5</v>
      </c>
      <c r="E766" s="2" t="str">
        <f>IFERROR(__xludf.DUMMYFUNCTION("""COMPUTED_VALUE"""),"S-3-1")</f>
        <v>S-3-1</v>
      </c>
    </row>
    <row r="767">
      <c r="A767" s="2" t="str">
        <f>IFERROR(__xludf.DUMMYFUNCTION("""COMPUTED_VALUE"""),"Q-10172-00")</f>
        <v>Q-10172-00</v>
      </c>
      <c r="B767" s="2" t="str">
        <f>IFERROR(__xludf.DUMMYFUNCTION("""COMPUTED_VALUE"""),"Polyfloor Epoxy PFT-213-2K SF Light Blue;Propan;Type Light Blue;pack size per 20 kg pail")</f>
        <v>Polyfloor Epoxy PFT-213-2K SF Light Blue;Propan;Type Light Blue;pack size per 20 kg pail</v>
      </c>
      <c r="C767" s="2" t="str">
        <f>IFERROR(__xludf.DUMMYFUNCTION("""COMPUTED_VALUE"""),"pc")</f>
        <v>pc</v>
      </c>
      <c r="D767" s="2">
        <f>IFERROR(__xludf.DUMMYFUNCTION("""COMPUTED_VALUE"""),4.0)</f>
        <v>4</v>
      </c>
      <c r="E767" s="2" t="str">
        <f>IFERROR(__xludf.DUMMYFUNCTION("""COMPUTED_VALUE"""),"Flammable")</f>
        <v>Flammable</v>
      </c>
    </row>
    <row r="768">
      <c r="A768" s="2" t="str">
        <f>IFERROR(__xludf.DUMMYFUNCTION("""COMPUTED_VALUE"""),"O-20751-00")</f>
        <v>O-20751-00</v>
      </c>
      <c r="B768" s="2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768" s="2" t="str">
        <f>IFERROR(__xludf.DUMMYFUNCTION("""COMPUTED_VALUE"""),"pc")</f>
        <v>pc</v>
      </c>
      <c r="D768" s="2">
        <f>IFERROR(__xludf.DUMMYFUNCTION("""COMPUTED_VALUE"""),26.0)</f>
        <v>26</v>
      </c>
      <c r="E768" s="2" t="str">
        <f>IFERROR(__xludf.DUMMYFUNCTION("""COMPUTED_VALUE"""),"G-2")</f>
        <v>G-2</v>
      </c>
    </row>
    <row r="769">
      <c r="A769" s="2" t="str">
        <f>IFERROR(__xludf.DUMMYFUNCTION("""COMPUTED_VALUE"""),"O-53474-00")</f>
        <v>O-53474-00</v>
      </c>
      <c r="B769" s="2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769" s="2" t="str">
        <f>IFERROR(__xludf.DUMMYFUNCTION("""COMPUTED_VALUE"""),"pc")</f>
        <v>pc</v>
      </c>
      <c r="D769" s="2">
        <f>IFERROR(__xludf.DUMMYFUNCTION("""COMPUTED_VALUE"""),2.0)</f>
        <v>2</v>
      </c>
      <c r="E769" s="2" t="str">
        <f>IFERROR(__xludf.DUMMYFUNCTION("""COMPUTED_VALUE"""),"-")</f>
        <v>-</v>
      </c>
    </row>
    <row r="770">
      <c r="A770" s="2" t="str">
        <f>IFERROR(__xludf.DUMMYFUNCTION("""COMPUTED_VALUE"""),"P-54688-00")</f>
        <v>P-54688-00</v>
      </c>
      <c r="B770" s="2" t="str">
        <f>IFERROR(__xludf.DUMMYFUNCTION("""COMPUTED_VALUE"""),"General - Room Display Unit with Alarm Settings 3-Channel (3 Analog Input, Modbus RTU RS-485 Output); EMX; MFDP11810M0; 1 unit")</f>
        <v>General - Room Display Unit with Alarm Settings 3-Channel (3 Analog Input, Modbus RTU RS-485 Output); EMX; MFDP11810M0; 1 unit</v>
      </c>
      <c r="C770" s="2" t="str">
        <f>IFERROR(__xludf.DUMMYFUNCTION("""COMPUTED_VALUE"""),"unt")</f>
        <v>unt</v>
      </c>
      <c r="D770" s="2">
        <f>IFERROR(__xludf.DUMMYFUNCTION("""COMPUTED_VALUE"""),1.0)</f>
        <v>1</v>
      </c>
      <c r="E770" s="2" t="str">
        <f>IFERROR(__xludf.DUMMYFUNCTION("""COMPUTED_VALUE"""),"-")</f>
        <v>-</v>
      </c>
    </row>
    <row r="771">
      <c r="A771" s="2" t="str">
        <f>IFERROR(__xludf.DUMMYFUNCTION("""COMPUTED_VALUE"""),"P-17645-00")</f>
        <v>P-17645-00</v>
      </c>
      <c r="B771" s="2" t="str">
        <f>IFERROR(__xludf.DUMMYFUNCTION("""COMPUTED_VALUE"""),"Chemical - Sodium Hiphoclorite; No Brand; -; 1 Liter")</f>
        <v>Chemical - Sodium Hiphoclorite; No Brand; -; 1 Liter</v>
      </c>
      <c r="C771" s="2" t="str">
        <f>IFERROR(__xludf.DUMMYFUNCTION("""COMPUTED_VALUE"""),"L")</f>
        <v>L</v>
      </c>
      <c r="D771" s="2">
        <f>IFERROR(__xludf.DUMMYFUNCTION("""COMPUTED_VALUE"""),1450.0)</f>
        <v>1450</v>
      </c>
      <c r="E771" s="2" t="str">
        <f>IFERROR(__xludf.DUMMYFUNCTION("""COMPUTED_VALUE"""),"WWTP")</f>
        <v>WWTP</v>
      </c>
    </row>
    <row r="772">
      <c r="A772" s="2" t="str">
        <f>IFERROR(__xludf.DUMMYFUNCTION("""COMPUTED_VALUE"""),"O-54127-00")</f>
        <v>O-54127-00</v>
      </c>
      <c r="B772" s="2" t="str">
        <f>IFERROR(__xludf.DUMMYFUNCTION("""COMPUTED_VALUE"""),"General - Control Unit G120 E-type safety Sinamics; Siemens; CU240E-2 DP; 1 Pc")</f>
        <v>General - Control Unit G120 E-type safety Sinamics; Siemens; CU240E-2 DP; 1 Pc</v>
      </c>
      <c r="C772" s="2" t="str">
        <f>IFERROR(__xludf.DUMMYFUNCTION("""COMPUTED_VALUE"""),"pc")</f>
        <v>pc</v>
      </c>
      <c r="D772" s="2">
        <f>IFERROR(__xludf.DUMMYFUNCTION("""COMPUTED_VALUE"""),5.0)</f>
        <v>5</v>
      </c>
      <c r="E772" s="2" t="str">
        <f>IFERROR(__xludf.DUMMYFUNCTION("""COMPUTED_VALUE"""),"B-5")</f>
        <v>B-5</v>
      </c>
    </row>
    <row r="773">
      <c r="A773" s="2" t="str">
        <f>IFERROR(__xludf.DUMMYFUNCTION("""COMPUTED_VALUE"""),"O-11181-00")</f>
        <v>O-11181-00</v>
      </c>
      <c r="B773" s="2" t="str">
        <f>IFERROR(__xludf.DUMMYFUNCTION("""COMPUTED_VALUE"""),"General - Bearing 626 2Z; No Brand; -; 1 pcs")</f>
        <v>General - Bearing 626 2Z; No Brand; -; 1 pcs</v>
      </c>
      <c r="C773" s="2" t="str">
        <f>IFERROR(__xludf.DUMMYFUNCTION("""COMPUTED_VALUE"""),"pc")</f>
        <v>pc</v>
      </c>
      <c r="D773" s="2">
        <f>IFERROR(__xludf.DUMMYFUNCTION("""COMPUTED_VALUE"""),110.0)</f>
        <v>110</v>
      </c>
      <c r="E773" s="2" t="str">
        <f>IFERROR(__xludf.DUMMYFUNCTION("""COMPUTED_VALUE"""),"A-2-4")</f>
        <v>A-2-4</v>
      </c>
    </row>
    <row r="774">
      <c r="A774" s="2" t="str">
        <f>IFERROR(__xludf.DUMMYFUNCTION("""COMPUTED_VALUE"""),"O-18446-00")</f>
        <v>O-18446-00</v>
      </c>
      <c r="B774" s="2" t="str">
        <f>IFERROR(__xludf.DUMMYFUNCTION("""COMPUTED_VALUE"""),"General - Silicone Guide Infeed; Custom/Lokal; -; 1 Pc")</f>
        <v>General - Silicone Guide Infeed; Custom/Lokal; -; 1 Pc</v>
      </c>
      <c r="C774" s="2" t="str">
        <f>IFERROR(__xludf.DUMMYFUNCTION("""COMPUTED_VALUE"""),"pc")</f>
        <v>pc</v>
      </c>
      <c r="D774" s="2">
        <f>IFERROR(__xludf.DUMMYFUNCTION("""COMPUTED_VALUE"""),1.0)</f>
        <v>1</v>
      </c>
      <c r="E774" s="2"/>
    </row>
    <row r="775">
      <c r="A775" s="2" t="str">
        <f>IFERROR(__xludf.DUMMYFUNCTION("""COMPUTED_VALUE"""),"O-20298-00")</f>
        <v>O-20298-00</v>
      </c>
      <c r="B775" s="2" t="str">
        <f>IFERROR(__xludf.DUMMYFUNCTION("""COMPUTED_VALUE"""),"Marchesini Ma155 - Belt  Conveyor PU UOUO 1120 x 75 x 1.1 mmE Custom/Lokal  -")</f>
        <v>Marchesini Ma155 - Belt  Conveyor PU UOUO 1120 x 75 x 1.1 mmE Custom/Lokal  -</v>
      </c>
      <c r="C775" s="2" t="str">
        <f>IFERROR(__xludf.DUMMYFUNCTION("""COMPUTED_VALUE"""),"pc")</f>
        <v>pc</v>
      </c>
      <c r="D775" s="2">
        <f>IFERROR(__xludf.DUMMYFUNCTION("""COMPUTED_VALUE"""),2.0)</f>
        <v>2</v>
      </c>
      <c r="E775" s="2"/>
    </row>
    <row r="776">
      <c r="A776" s="2" t="str">
        <f>IFERROR(__xludf.DUMMYFUNCTION("""COMPUTED_VALUE"""),"P-17858-00")</f>
        <v>P-17858-00</v>
      </c>
      <c r="B776" s="2" t="str">
        <f>IFERROR(__xludf.DUMMYFUNCTION("""COMPUTED_VALUE"""),"General - H14 ( 99.999% ) size:305x610x69mm; IAF; -; 1 pcs")</f>
        <v>General - H14 ( 99.999% ) size:305x610x69mm; IAF; -; 1 pcs</v>
      </c>
      <c r="C776" s="2" t="str">
        <f>IFERROR(__xludf.DUMMYFUNCTION("""COMPUTED_VALUE"""),"pc")</f>
        <v>pc</v>
      </c>
      <c r="D776" s="2">
        <f>IFERROR(__xludf.DUMMYFUNCTION("""COMPUTED_VALUE"""),2.0)</f>
        <v>2</v>
      </c>
      <c r="E776" s="2" t="str">
        <f>IFERROR(__xludf.DUMMYFUNCTION("""COMPUTED_VALUE"""),"Ruang Filter")</f>
        <v>Ruang Filter</v>
      </c>
    </row>
    <row r="777">
      <c r="A777" s="2" t="str">
        <f>IFERROR(__xludf.DUMMYFUNCTION("""COMPUTED_VALUE"""),"P-53202-00")</f>
        <v>P-53202-00</v>
      </c>
      <c r="B777" s="2" t="str">
        <f>IFERROR(__xludf.DUMMYFUNCTION("""COMPUTED_VALUE"""),"HVAC - Micaflex Sensor MF-HTT 100 Deg C, 24VAC/DC; Micatrone; -; 1 pc")</f>
        <v>HVAC - Micaflex Sensor MF-HTT 100 Deg C, 24VAC/DC; Micatrone; -; 1 pc</v>
      </c>
      <c r="C777" s="2" t="str">
        <f>IFERROR(__xludf.DUMMYFUNCTION("""COMPUTED_VALUE"""),"unt")</f>
        <v>unt</v>
      </c>
      <c r="D777" s="2">
        <f>IFERROR(__xludf.DUMMYFUNCTION("""COMPUTED_VALUE"""),1.0)</f>
        <v>1</v>
      </c>
      <c r="E777" s="2" t="str">
        <f>IFERROR(__xludf.DUMMYFUNCTION("""COMPUTED_VALUE"""),"F-1")</f>
        <v>F-1</v>
      </c>
    </row>
    <row r="778">
      <c r="A778" s="2" t="str">
        <f>IFERROR(__xludf.DUMMYFUNCTION("""COMPUTED_VALUE"""),"O-51750-00")</f>
        <v>O-51750-00</v>
      </c>
      <c r="B778" s="2" t="str">
        <f>IFERROR(__xludf.DUMMYFUNCTION("""COMPUTED_VALUE"""),"General - PHOTOCELL SENSOR WITH REFLECTOR PZ-G62CP WITH R-5; Keyence; PZ-G62CP+R-5; 1 Pc")</f>
        <v>General - PHOTOCELL SENSOR WITH REFLECTOR PZ-G62CP WITH R-5; Keyence; PZ-G62CP+R-5; 1 Pc</v>
      </c>
      <c r="C778" s="2" t="str">
        <f>IFERROR(__xludf.DUMMYFUNCTION("""COMPUTED_VALUE"""),"unt")</f>
        <v>unt</v>
      </c>
      <c r="D778" s="2">
        <f>IFERROR(__xludf.DUMMYFUNCTION("""COMPUTED_VALUE"""),2.0)</f>
        <v>2</v>
      </c>
      <c r="E778" s="2" t="str">
        <f>IFERROR(__xludf.DUMMYFUNCTION("""COMPUTED_VALUE"""),"B-3-3")</f>
        <v>B-3-3</v>
      </c>
    </row>
    <row r="779">
      <c r="A779" s="2" t="str">
        <f>IFERROR(__xludf.DUMMYFUNCTION("""COMPUTED_VALUE"""),"O-18917-00")</f>
        <v>O-18917-00</v>
      </c>
      <c r="B779" s="2" t="str">
        <f>IFERROR(__xludf.DUMMYFUNCTION("""COMPUTED_VALUE"""),"General - OIL COOLING WATER REGULATOR AVTA15 G 1/2 Inch Kv=1.9m3/h Temperature, EDB00023; Danfoss; 282; 1 Pc")</f>
        <v>General - OIL COOLING WATER REGULATOR AVTA15 G 1/2 Inch Kv=1.9m3/h Temperature, EDB00023; Danfoss; 282; 1 Pc</v>
      </c>
      <c r="C779" s="2" t="str">
        <f>IFERROR(__xludf.DUMMYFUNCTION("""COMPUTED_VALUE"""),"pc")</f>
        <v>pc</v>
      </c>
      <c r="D779" s="2">
        <f>IFERROR(__xludf.DUMMYFUNCTION("""COMPUTED_VALUE"""),1.0)</f>
        <v>1</v>
      </c>
      <c r="E779" s="2" t="str">
        <f>IFERROR(__xludf.DUMMYFUNCTION("""COMPUTED_VALUE"""),"D-2-11")</f>
        <v>D-2-11</v>
      </c>
    </row>
    <row r="780">
      <c r="A780" s="2" t="str">
        <f>IFERROR(__xludf.DUMMYFUNCTION("""COMPUTED_VALUE"""),"P-19029-00")</f>
        <v>P-19029-00</v>
      </c>
      <c r="B780" s="2" t="str">
        <f>IFERROR(__xludf.DUMMYFUNCTION("""COMPUTED_VALUE"""),"General - Washable G4 Avg arrestance : 94%. Rec. Final resistance: 250 Pa. Size: 12"" x 24"" x 2""; IAF; -; 1 pcs")</f>
        <v>General - Washable G4 Avg arrestance : 94%. Rec. Final resistance: 250 Pa. Size: 12" x 24" x 2"; IAF; -; 1 pcs</v>
      </c>
      <c r="C780" s="2" t="str">
        <f>IFERROR(__xludf.DUMMYFUNCTION("""COMPUTED_VALUE"""),"pc")</f>
        <v>pc</v>
      </c>
      <c r="D780" s="2">
        <f>IFERROR(__xludf.DUMMYFUNCTION("""COMPUTED_VALUE"""),10.0)</f>
        <v>10</v>
      </c>
      <c r="E780" s="2"/>
    </row>
    <row r="781">
      <c r="A781" s="2" t="str">
        <f>IFERROR(__xludf.DUMMYFUNCTION("""COMPUTED_VALUE"""),"O-53196-00")</f>
        <v>O-53196-00</v>
      </c>
      <c r="B781" s="2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781" s="2" t="str">
        <f>IFERROR(__xludf.DUMMYFUNCTION("""COMPUTED_VALUE"""),"pc")</f>
        <v>pc</v>
      </c>
      <c r="D781" s="2">
        <f>IFERROR(__xludf.DUMMYFUNCTION("""COMPUTED_VALUE"""),1.0)</f>
        <v>1</v>
      </c>
      <c r="E781" s="2" t="str">
        <f>IFERROR(__xludf.DUMMYFUNCTION("""COMPUTED_VALUE"""),"B-2-6")</f>
        <v>B-2-6</v>
      </c>
    </row>
    <row r="782">
      <c r="A782" s="2" t="str">
        <f>IFERROR(__xludf.DUMMYFUNCTION("""COMPUTED_VALUE"""),"O-16658-00")</f>
        <v>O-16658-00</v>
      </c>
      <c r="B782" s="2" t="str">
        <f>IFERROR(__xludf.DUMMYFUNCTION("""COMPUTED_VALUE"""),"General - Compact Cylinder, ADNGF-16-15-P-A; Festo; 554214; 1 pcs")</f>
        <v>General - Compact Cylinder, ADNGF-16-15-P-A; Festo; 554214; 1 pcs</v>
      </c>
      <c r="C782" s="2" t="str">
        <f>IFERROR(__xludf.DUMMYFUNCTION("""COMPUTED_VALUE"""),"pc")</f>
        <v>pc</v>
      </c>
      <c r="D782" s="2">
        <f>IFERROR(__xludf.DUMMYFUNCTION("""COMPUTED_VALUE"""),2.0)</f>
        <v>2</v>
      </c>
      <c r="E782" s="2" t="str">
        <f>IFERROR(__xludf.DUMMYFUNCTION("""COMPUTED_VALUE"""),"B-2-4D")</f>
        <v>B-2-4D</v>
      </c>
    </row>
    <row r="783">
      <c r="A783" s="2" t="str">
        <f>IFERROR(__xludf.DUMMYFUNCTION("""COMPUTED_VALUE"""),"O-18010-00")</f>
        <v>O-18010-00</v>
      </c>
      <c r="B783" s="2" t="str">
        <f>IFERROR(__xludf.DUMMYFUNCTION("""COMPUTED_VALUE"""),"General - KQ2 Fitting, KQ2H08-03AS; SMC Pneumatics; -; 10 pcs per pack")</f>
        <v>General - KQ2 Fitting, KQ2H08-03AS; SMC Pneumatics; -; 10 pcs per pack</v>
      </c>
      <c r="C783" s="2" t="str">
        <f>IFERROR(__xludf.DUMMYFUNCTION("""COMPUTED_VALUE"""),"pc")</f>
        <v>pc</v>
      </c>
      <c r="D783" s="2">
        <f>IFERROR(__xludf.DUMMYFUNCTION("""COMPUTED_VALUE"""),3.0)</f>
        <v>3</v>
      </c>
      <c r="E783" s="2" t="str">
        <f>IFERROR(__xludf.DUMMYFUNCTION("""COMPUTED_VALUE"""),"C-2-5B")</f>
        <v>C-2-5B</v>
      </c>
    </row>
    <row r="784">
      <c r="A784" s="2" t="str">
        <f>IFERROR(__xludf.DUMMYFUNCTION("""COMPUTED_VALUE"""),"P-13758-00")</f>
        <v>P-13758-00</v>
      </c>
      <c r="B784" s="2" t="str">
        <f>IFERROR(__xludf.DUMMYFUNCTION("""COMPUTED_VALUE"""),"STILL RX 50-10C - Oil Rem; No Brand; -; 1 Pc")</f>
        <v>STILL RX 50-10C - Oil Rem; No Brand; -; 1 Pc</v>
      </c>
      <c r="C784" s="2" t="str">
        <f>IFERROR(__xludf.DUMMYFUNCTION("""COMPUTED_VALUE"""),"pc")</f>
        <v>pc</v>
      </c>
      <c r="D784" s="2">
        <f>IFERROR(__xludf.DUMMYFUNCTION("""COMPUTED_VALUE"""),1.0)</f>
        <v>1</v>
      </c>
      <c r="E784" s="2" t="str">
        <f>IFERROR(__xludf.DUMMYFUNCTION("""COMPUTED_VALUE"""),"L3")</f>
        <v>L3</v>
      </c>
    </row>
    <row r="785">
      <c r="A785" s="2" t="str">
        <f>IFERROR(__xludf.DUMMYFUNCTION("""COMPUTED_VALUE"""),"P-18472-00")</f>
        <v>P-18472-00</v>
      </c>
      <c r="B785" s="2" t="str">
        <f>IFERROR(__xludf.DUMMYFUNCTION("""COMPUTED_VALUE"""),"General - Thermostatic Steam Trap LV6-CE DN20 SS; TLV; -; 1 Pc")</f>
        <v>General - Thermostatic Steam Trap LV6-CE DN20 SS; TLV; -; 1 Pc</v>
      </c>
      <c r="C785" s="2" t="str">
        <f>IFERROR(__xludf.DUMMYFUNCTION("""COMPUTED_VALUE"""),"pc")</f>
        <v>pc</v>
      </c>
      <c r="D785" s="2">
        <f>IFERROR(__xludf.DUMMYFUNCTION("""COMPUTED_VALUE"""),2.0)</f>
        <v>2</v>
      </c>
      <c r="E785" s="2" t="str">
        <f>IFERROR(__xludf.DUMMYFUNCTION("""COMPUTED_VALUE"""),"L4")</f>
        <v>L4</v>
      </c>
    </row>
    <row r="786">
      <c r="A786" s="2" t="str">
        <f>IFERROR(__xludf.DUMMYFUNCTION("""COMPUTED_VALUE"""),"P-11967-00")</f>
        <v>P-11967-00</v>
      </c>
      <c r="B786" s="2" t="str">
        <f>IFERROR(__xludf.DUMMYFUNCTION("""COMPUTED_VALUE"""),"General - Belt dressing; Global; GL-1033; 1 pc")</f>
        <v>General - Belt dressing; Global; GL-1033; 1 pc</v>
      </c>
      <c r="C786" s="2" t="str">
        <f>IFERROR(__xludf.DUMMYFUNCTION("""COMPUTED_VALUE"""),"pc")</f>
        <v>pc</v>
      </c>
      <c r="D786" s="2">
        <f>IFERROR(__xludf.DUMMYFUNCTION("""COMPUTED_VALUE"""),3.0)</f>
        <v>3</v>
      </c>
      <c r="E786" s="2" t="str">
        <f>IFERROR(__xludf.DUMMYFUNCTION("""COMPUTED_VALUE"""),"Flammable")</f>
        <v>Flammable</v>
      </c>
    </row>
    <row r="787">
      <c r="A787" s="2" t="str">
        <f>IFERROR(__xludf.DUMMYFUNCTION("""COMPUTED_VALUE"""),"P-14993-00")</f>
        <v>P-14993-00</v>
      </c>
      <c r="B787" s="2" t="str">
        <f>IFERROR(__xludf.DUMMYFUNCTION("""COMPUTED_VALUE"""),"General - Ferrule to Hose 1,5 inch x 7mm; No Brand; -; 1 pc")</f>
        <v>General - Ferrule to Hose 1,5 inch x 7mm; No Brand; -; 1 pc</v>
      </c>
      <c r="C787" s="2" t="str">
        <f>IFERROR(__xludf.DUMMYFUNCTION("""COMPUTED_VALUE"""),"pc")</f>
        <v>pc</v>
      </c>
      <c r="D787" s="2">
        <f>IFERROR(__xludf.DUMMYFUNCTION("""COMPUTED_VALUE"""),2.0)</f>
        <v>2</v>
      </c>
      <c r="E787" s="2" t="str">
        <f>IFERROR(__xludf.DUMMYFUNCTION("""COMPUTED_VALUE"""),"L-3")</f>
        <v>L-3</v>
      </c>
    </row>
    <row r="788">
      <c r="A788" s="2" t="str">
        <f>IFERROR(__xludf.DUMMYFUNCTION("""COMPUTED_VALUE"""),"O-16573-00")</f>
        <v>O-16573-00</v>
      </c>
      <c r="B788" s="2" t="str">
        <f>IFERROR(__xludf.DUMMYFUNCTION("""COMPUTED_VALUE"""),"Marchesini MA155 - Conveyor Belt TS10 290 x 40 Habasit p/n:C720002940; Habasit; C720002940; 1 Pc")</f>
        <v>Marchesini MA155 - Conveyor Belt TS10 290 x 40 Habasit p/n:C720002940; Habasit; C720002940; 1 Pc</v>
      </c>
      <c r="C788" s="2" t="str">
        <f>IFERROR(__xludf.DUMMYFUNCTION("""COMPUTED_VALUE"""),"pc")</f>
        <v>pc</v>
      </c>
      <c r="D788" s="2">
        <f>IFERROR(__xludf.DUMMYFUNCTION("""COMPUTED_VALUE"""),1.0)</f>
        <v>1</v>
      </c>
      <c r="E788" s="2" t="str">
        <f>IFERROR(__xludf.DUMMYFUNCTION("""COMPUTED_VALUE"""),"G-2")</f>
        <v>G-2</v>
      </c>
    </row>
    <row r="789">
      <c r="A789" s="2" t="str">
        <f>IFERROR(__xludf.DUMMYFUNCTION("""COMPUTED_VALUE"""),"O-16174-00")</f>
        <v>O-16174-00</v>
      </c>
      <c r="B789" s="2" t="str">
        <f>IFERROR(__xludf.DUMMYFUNCTION("""COMPUTED_VALUE"""),"O-RING T=3,53 :OR 4400 MVQ70SH +M4 40169997 ; Order No : 5025024; ; ;")</f>
        <v>O-RING T=3,53 :OR 4400 MVQ70SH +M4 40169997 ; Order No : 5025024; ; ;</v>
      </c>
      <c r="C789" s="2" t="str">
        <f>IFERROR(__xludf.DUMMYFUNCTION("""COMPUTED_VALUE"""),"unt")</f>
        <v>unt</v>
      </c>
      <c r="D789" s="2">
        <f>IFERROR(__xludf.DUMMYFUNCTION("""COMPUTED_VALUE"""),11.0)</f>
        <v>11</v>
      </c>
      <c r="E789" s="2" t="str">
        <f>IFERROR(__xludf.DUMMYFUNCTION("""COMPUTED_VALUE"""),"D-1-7")</f>
        <v>D-1-7</v>
      </c>
    </row>
    <row r="790">
      <c r="A790" s="2" t="str">
        <f>IFERROR(__xludf.DUMMYFUNCTION("""COMPUTED_VALUE"""),"O-21064-00")</f>
        <v>O-21064-00</v>
      </c>
      <c r="B790" s="2" t="str">
        <f>IFERROR(__xludf.DUMMYFUNCTION("""COMPUTED_VALUE"""),"General - POS10 Rod End Bearing Ulir kiri; -; -; 1 Pc")</f>
        <v>General - POS10 Rod End Bearing Ulir kiri; -; -; 1 Pc</v>
      </c>
      <c r="C790" s="2" t="str">
        <f>IFERROR(__xludf.DUMMYFUNCTION("""COMPUTED_VALUE"""),"pc")</f>
        <v>pc</v>
      </c>
      <c r="D790" s="2">
        <f>IFERROR(__xludf.DUMMYFUNCTION("""COMPUTED_VALUE"""),1.0)</f>
        <v>1</v>
      </c>
      <c r="E790" s="2" t="str">
        <f>IFERROR(__xludf.DUMMYFUNCTION("""COMPUTED_VALUE"""),"-")</f>
        <v>-</v>
      </c>
    </row>
    <row r="791">
      <c r="A791" s="2" t="str">
        <f>IFERROR(__xludf.DUMMYFUNCTION("""COMPUTED_VALUE"""),"Q-10429-00")</f>
        <v>Q-10429-00</v>
      </c>
      <c r="B791" s="2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791" s="2" t="str">
        <f>IFERROR(__xludf.DUMMYFUNCTION("""COMPUTED_VALUE"""),"pc")</f>
        <v>pc</v>
      </c>
      <c r="D791" s="2">
        <f>IFERROR(__xludf.DUMMYFUNCTION("""COMPUTED_VALUE"""),2.0)</f>
        <v>2</v>
      </c>
      <c r="E791" s="2" t="str">
        <f>IFERROR(__xludf.DUMMYFUNCTION("""COMPUTED_VALUE"""),"O3")</f>
        <v>O3</v>
      </c>
    </row>
    <row r="792">
      <c r="A792" s="2" t="str">
        <f>IFERROR(__xludf.DUMMYFUNCTION("""COMPUTED_VALUE"""),"P-20851-00")</f>
        <v>P-20851-00</v>
      </c>
      <c r="B792" s="2" t="str">
        <f>IFERROR(__xludf.DUMMYFUNCTION("""COMPUTED_VALUE"""),"General - Rivet Nut Aluminium M4; No Brand; -; 50pcs/box")</f>
        <v>General - Rivet Nut Aluminium M4; No Brand; -; 50pcs/box</v>
      </c>
      <c r="C792" s="2" t="str">
        <f>IFERROR(__xludf.DUMMYFUNCTION("""COMPUTED_VALUE"""),"Box")</f>
        <v>Box</v>
      </c>
      <c r="D792" s="2">
        <f>IFERROR(__xludf.DUMMYFUNCTION("""COMPUTED_VALUE"""),1.0)</f>
        <v>1</v>
      </c>
      <c r="E792" s="2" t="str">
        <f>IFERROR(__xludf.DUMMYFUNCTION("""COMPUTED_VALUE"""),"S-2")</f>
        <v>S-2</v>
      </c>
    </row>
    <row r="793">
      <c r="A793" s="2" t="str">
        <f>IFERROR(__xludf.DUMMYFUNCTION("""COMPUTED_VALUE"""),"O-51772-00")</f>
        <v>O-51772-00</v>
      </c>
      <c r="B793" s="2" t="str">
        <f>IFERROR(__xludf.DUMMYFUNCTION("""COMPUTED_VALUE"""),"General - 4-CHANNEL DIGITAL INPUT MODULE STD PACK; ; ;; Wago; 750-402; 1 Pc")</f>
        <v>General - 4-CHANNEL DIGITAL INPUT MODULE STD PACK; ; ;; Wago; 750-402; 1 Pc</v>
      </c>
      <c r="C793" s="2" t="str">
        <f>IFERROR(__xludf.DUMMYFUNCTION("""COMPUTED_VALUE"""),"unt")</f>
        <v>unt</v>
      </c>
      <c r="D793" s="2">
        <f>IFERROR(__xludf.DUMMYFUNCTION("""COMPUTED_VALUE"""),1.0)</f>
        <v>1</v>
      </c>
      <c r="E793" s="2" t="str">
        <f>IFERROR(__xludf.DUMMYFUNCTION("""COMPUTED_VALUE"""),"A-2-1A")</f>
        <v>A-2-1A</v>
      </c>
    </row>
    <row r="794">
      <c r="A794" s="2" t="str">
        <f>IFERROR(__xludf.DUMMYFUNCTION("""COMPUTED_VALUE"""),"P-50426-00")</f>
        <v>P-50426-00</v>
      </c>
      <c r="B794" s="2" t="str">
        <f>IFERROR(__xludf.DUMMYFUNCTION("""COMPUTED_VALUE"""),"General - Pilot Lamps 220VAC Green; AXLE; AD22-22DS; 1 Pc")</f>
        <v>General - Pilot Lamps 220VAC Green; AXLE; AD22-22DS; 1 Pc</v>
      </c>
      <c r="C794" s="2" t="str">
        <f>IFERROR(__xludf.DUMMYFUNCTION("""COMPUTED_VALUE"""),"pc")</f>
        <v>pc</v>
      </c>
      <c r="D794" s="2">
        <f>IFERROR(__xludf.DUMMYFUNCTION("""COMPUTED_VALUE"""),4.0)</f>
        <v>4</v>
      </c>
      <c r="E794" s="2" t="str">
        <f>IFERROR(__xludf.DUMMYFUNCTION("""COMPUTED_VALUE"""),"A-4-11D")</f>
        <v>A-4-11D</v>
      </c>
    </row>
    <row r="795">
      <c r="A795" s="2" t="str">
        <f>IFERROR(__xludf.DUMMYFUNCTION("""COMPUTED_VALUE"""),"O-53422-00")</f>
        <v>O-53422-00</v>
      </c>
      <c r="B795" s="2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795" s="2" t="str">
        <f>IFERROR(__xludf.DUMMYFUNCTION("""COMPUTED_VALUE"""),"pc")</f>
        <v>pc</v>
      </c>
      <c r="D795" s="2">
        <f>IFERROR(__xludf.DUMMYFUNCTION("""COMPUTED_VALUE"""),1.0)</f>
        <v>1</v>
      </c>
      <c r="E795" s="2" t="str">
        <f>IFERROR(__xludf.DUMMYFUNCTION("""COMPUTED_VALUE"""),"A-4")</f>
        <v>A-4</v>
      </c>
    </row>
    <row r="796">
      <c r="A796" s="2" t="str">
        <f>IFERROR(__xludf.DUMMYFUNCTION("""COMPUTED_VALUE"""),"P-54515-00")</f>
        <v>P-54515-00</v>
      </c>
      <c r="B796" s="2" t="str">
        <f>IFERROR(__xludf.DUMMYFUNCTION("""COMPUTED_VALUE"""),"General - Skun Y, 2.5mm, Kuning; Ewig; -; 100pcs/pack")</f>
        <v>General - Skun Y, 2.5mm, Kuning; Ewig; -; 100pcs/pack</v>
      </c>
      <c r="C796" s="2" t="str">
        <f>IFERROR(__xludf.DUMMYFUNCTION("""COMPUTED_VALUE"""),"pc")</f>
        <v>pc</v>
      </c>
      <c r="D796" s="2">
        <f>IFERROR(__xludf.DUMMYFUNCTION("""COMPUTED_VALUE"""),1.0)</f>
        <v>1</v>
      </c>
      <c r="E796" s="2" t="str">
        <f>IFERROR(__xludf.DUMMYFUNCTION("""COMPUTED_VALUE"""),"S-3-2")</f>
        <v>S-3-2</v>
      </c>
    </row>
    <row r="797">
      <c r="A797" s="2" t="str">
        <f>IFERROR(__xludf.DUMMYFUNCTION("""COMPUTED_VALUE"""),"P-18435-00")</f>
        <v>P-18435-00</v>
      </c>
      <c r="B797" s="2" t="str">
        <f>IFERROR(__xludf.DUMMYFUNCTION("""COMPUTED_VALUE"""),"General - Spring Sidearm Kit; Sanco; EP001287SP; 1 Pc")</f>
        <v>General - Spring Sidearm Kit; Sanco; EP001287SP; 1 Pc</v>
      </c>
      <c r="C797" s="2" t="str">
        <f>IFERROR(__xludf.DUMMYFUNCTION("""COMPUTED_VALUE"""),"pc")</f>
        <v>pc</v>
      </c>
      <c r="D797" s="2">
        <f>IFERROR(__xludf.DUMMYFUNCTION("""COMPUTED_VALUE"""),1.0)</f>
        <v>1</v>
      </c>
      <c r="E797" s="2" t="str">
        <f>IFERROR(__xludf.DUMMYFUNCTION("""COMPUTED_VALUE"""),"E3")</f>
        <v>E3</v>
      </c>
    </row>
    <row r="798">
      <c r="A798" s="2" t="str">
        <f>IFERROR(__xludf.DUMMYFUNCTION("""COMPUTED_VALUE"""),"O-18915-00")</f>
        <v>O-18915-00</v>
      </c>
      <c r="B798" s="2" t="str">
        <f>IFERROR(__xludf.DUMMYFUNCTION("""COMPUTED_VALUE"""),"Freeze Dryer MBE1207 - Pneumatic Actuator 93-0635FC-11300-532; Bray; EB14-00085; 1 pc")</f>
        <v>Freeze Dryer MBE1207 - Pneumatic Actuator 93-0635FC-11300-532; Bray; EB14-00085; 1 pc</v>
      </c>
      <c r="C798" s="2" t="str">
        <f>IFERROR(__xludf.DUMMYFUNCTION("""COMPUTED_VALUE"""),"pc")</f>
        <v>pc</v>
      </c>
      <c r="D798" s="2">
        <f>IFERROR(__xludf.DUMMYFUNCTION("""COMPUTED_VALUE"""),1.0)</f>
        <v>1</v>
      </c>
      <c r="E798" s="2" t="str">
        <f>IFERROR(__xludf.DUMMYFUNCTION("""COMPUTED_VALUE"""),"D4")</f>
        <v>D4</v>
      </c>
    </row>
    <row r="799">
      <c r="A799" s="2" t="str">
        <f>IFERROR(__xludf.DUMMYFUNCTION("""COMPUTED_VALUE"""),"O-51071-00")</f>
        <v>O-51071-00</v>
      </c>
      <c r="B799" s="2" t="str">
        <f>IFERROR(__xludf.DUMMYFUNCTION("""COMPUTED_VALUE"""),"Mixing Machine - Pressure Transmitter d trans P31 TN : 43010260 -1.5 bar rel, DC10..30V. 4..20mA 2-6; Jumo; 402050/000; 1 Pc")</f>
        <v>Mixing Machine - Pressure Transmitter d trans P31 TN : 43010260 -1.5 bar rel, DC10..30V. 4..20mA 2-6; Jumo; 402050/000; 1 Pc</v>
      </c>
      <c r="C799" s="2" t="str">
        <f>IFERROR(__xludf.DUMMYFUNCTION("""COMPUTED_VALUE"""),"pc")</f>
        <v>pc</v>
      </c>
      <c r="D799" s="2">
        <f>IFERROR(__xludf.DUMMYFUNCTION("""COMPUTED_VALUE"""),1.0)</f>
        <v>1</v>
      </c>
      <c r="E799" s="2" t="str">
        <f>IFERROR(__xludf.DUMMYFUNCTION("""COMPUTED_VALUE"""),"E-4-2A")</f>
        <v>E-4-2A</v>
      </c>
    </row>
    <row r="800">
      <c r="A800" s="2" t="str">
        <f>IFERROR(__xludf.DUMMYFUNCTION("""COMPUTED_VALUE"""),"P-51706-00")</f>
        <v>P-51706-00</v>
      </c>
      <c r="B800" s="2" t="str">
        <f>IFERROR(__xludf.DUMMYFUNCTION("""COMPUTED_VALUE"""),"General - Terminal Block, 4 Pin; No Brand; -; 1 pcs")</f>
        <v>General - Terminal Block, 4 Pin; No Brand; -; 1 pcs</v>
      </c>
      <c r="C800" s="2" t="str">
        <f>IFERROR(__xludf.DUMMYFUNCTION("""COMPUTED_VALUE"""),"pc")</f>
        <v>pc</v>
      </c>
      <c r="D800" s="2">
        <f>IFERROR(__xludf.DUMMYFUNCTION("""COMPUTED_VALUE"""),4.0)</f>
        <v>4</v>
      </c>
      <c r="E800" s="2" t="str">
        <f>IFERROR(__xludf.DUMMYFUNCTION("""COMPUTED_VALUE"""),"R-2-4")</f>
        <v>R-2-4</v>
      </c>
    </row>
    <row r="801">
      <c r="A801" s="2" t="str">
        <f>IFERROR(__xludf.DUMMYFUNCTION("""COMPUTED_VALUE"""),"O-21308-00")</f>
        <v>O-21308-00</v>
      </c>
      <c r="B801" s="2" t="str">
        <f>IFERROR(__xludf.DUMMYFUNCTION("""COMPUTED_VALUE"""),"Autoclave Fedegari FVA2/A1 - Oring EPDM 3.7x20.8x28.2mm; Custom/Lokal; -; 1 Pc")</f>
        <v>Autoclave Fedegari FVA2/A1 - Oring EPDM 3.7x20.8x28.2mm; Custom/Lokal; -; 1 Pc</v>
      </c>
      <c r="C801" s="2" t="str">
        <f>IFERROR(__xludf.DUMMYFUNCTION("""COMPUTED_VALUE"""),"pc")</f>
        <v>pc</v>
      </c>
      <c r="D801" s="2">
        <f>IFERROR(__xludf.DUMMYFUNCTION("""COMPUTED_VALUE"""),10.0)</f>
        <v>10</v>
      </c>
      <c r="E801" s="2" t="str">
        <f>IFERROR(__xludf.DUMMYFUNCTION("""COMPUTED_VALUE"""),"S-3-6")</f>
        <v>S-3-6</v>
      </c>
    </row>
    <row r="802">
      <c r="A802" s="2" t="str">
        <f>IFERROR(__xludf.DUMMYFUNCTION("""COMPUTED_VALUE"""),"P-20576-00")</f>
        <v>P-20576-00</v>
      </c>
      <c r="B802" s="2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802" s="2" t="str">
        <f>IFERROR(__xludf.DUMMYFUNCTION("""COMPUTED_VALUE"""),"pc")</f>
        <v>pc</v>
      </c>
      <c r="D802" s="2">
        <f>IFERROR(__xludf.DUMMYFUNCTION("""COMPUTED_VALUE"""),1.0)</f>
        <v>1</v>
      </c>
      <c r="E802" s="2" t="str">
        <f>IFERROR(__xludf.DUMMYFUNCTION("""COMPUTED_VALUE"""),"S-2-7")</f>
        <v>S-2-7</v>
      </c>
    </row>
    <row r="803">
      <c r="A803" s="2" t="str">
        <f>IFERROR(__xludf.DUMMYFUNCTION("""COMPUTED_VALUE"""),"O-21306-00")</f>
        <v>O-21306-00</v>
      </c>
      <c r="B803" s="2" t="str">
        <f>IFERROR(__xludf.DUMMYFUNCTION("""COMPUTED_VALUE"""),"Coating PLAB - Spare Kit; SMC; VN1-A3AA; ; ; 1 Pc")</f>
        <v>Coating PLAB - Spare Kit; SMC; VN1-A3AA; ; ; 1 Pc</v>
      </c>
      <c r="C803" s="2" t="str">
        <f>IFERROR(__xludf.DUMMYFUNCTION("""COMPUTED_VALUE"""),"pc")</f>
        <v>pc</v>
      </c>
      <c r="D803" s="2">
        <f>IFERROR(__xludf.DUMMYFUNCTION("""COMPUTED_VALUE"""),3.0)</f>
        <v>3</v>
      </c>
      <c r="E803" s="2" t="str">
        <f>IFERROR(__xludf.DUMMYFUNCTION("""COMPUTED_VALUE"""),"-")</f>
        <v>-</v>
      </c>
    </row>
    <row r="804">
      <c r="A804" s="2" t="str">
        <f>IFERROR(__xludf.DUMMYFUNCTION("""COMPUTED_VALUE"""),"P-20855-00")</f>
        <v>P-20855-00</v>
      </c>
      <c r="B804" s="2" t="str">
        <f>IFERROR(__xludf.DUMMYFUNCTION("""COMPUTED_VALUE"""),"General - Mur M10 SS304 A2-70; No Brand; -; 50pcs/box")</f>
        <v>General - Mur M10 SS304 A2-70; No Brand; -; 50pcs/box</v>
      </c>
      <c r="C804" s="2" t="str">
        <f>IFERROR(__xludf.DUMMYFUNCTION("""COMPUTED_VALUE"""),"Box")</f>
        <v>Box</v>
      </c>
      <c r="D804" s="2">
        <f>IFERROR(__xludf.DUMMYFUNCTION("""COMPUTED_VALUE"""),3.0)</f>
        <v>3</v>
      </c>
      <c r="E804" s="2" t="str">
        <f>IFERROR(__xludf.DUMMYFUNCTION("""COMPUTED_VALUE"""),"-")</f>
        <v>-</v>
      </c>
    </row>
    <row r="805">
      <c r="A805" s="2" t="str">
        <f>IFERROR(__xludf.DUMMYFUNCTION("""COMPUTED_VALUE"""),"P-19484-00")</f>
        <v>P-19484-00</v>
      </c>
      <c r="B805" s="2" t="str">
        <f>IFERROR(__xludf.DUMMYFUNCTION("""COMPUTED_VALUE"""),"General - Sliding Pintu Lift Barang Uk. 50 x 32 mm; Custom/Lokal; -; 1 Pc")</f>
        <v>General - Sliding Pintu Lift Barang Uk. 50 x 32 mm; Custom/Lokal; -; 1 Pc</v>
      </c>
      <c r="C805" s="2" t="str">
        <f>IFERROR(__xludf.DUMMYFUNCTION("""COMPUTED_VALUE"""),"pc")</f>
        <v>pc</v>
      </c>
      <c r="D805" s="2">
        <f>IFERROR(__xludf.DUMMYFUNCTION("""COMPUTED_VALUE"""),36.0)</f>
        <v>36</v>
      </c>
      <c r="E805" s="2" t="str">
        <f>IFERROR(__xludf.DUMMYFUNCTION("""COMPUTED_VALUE"""),"N3")</f>
        <v>N3</v>
      </c>
    </row>
    <row r="806">
      <c r="A806" s="2" t="str">
        <f>IFERROR(__xludf.DUMMYFUNCTION("""COMPUTED_VALUE"""),"Q-10433-00")</f>
        <v>Q-10433-00</v>
      </c>
      <c r="B806" s="2" t="str">
        <f>IFERROR(__xludf.DUMMYFUNCTION("""COMPUTED_VALUE"""),"Lampu Neon Philips TLD 15W/54-765 Cool Daylight; PHILIPS; TLD15W/54-765;")</f>
        <v>Lampu Neon Philips TLD 15W/54-765 Cool Daylight; PHILIPS; TLD15W/54-765;</v>
      </c>
      <c r="C806" s="2" t="str">
        <f>IFERROR(__xludf.DUMMYFUNCTION("""COMPUTED_VALUE"""),"pc")</f>
        <v>pc</v>
      </c>
      <c r="D806" s="2">
        <f>IFERROR(__xludf.DUMMYFUNCTION("""COMPUTED_VALUE"""),3.0)</f>
        <v>3</v>
      </c>
      <c r="E806" s="2" t="str">
        <f>IFERROR(__xludf.DUMMYFUNCTION("""COMPUTED_VALUE"""),"I4")</f>
        <v>I4</v>
      </c>
    </row>
    <row r="807">
      <c r="A807" s="2" t="str">
        <f>IFERROR(__xludf.DUMMYFUNCTION("""COMPUTED_VALUE"""),"P-20309-00")</f>
        <v>P-20309-00</v>
      </c>
      <c r="B807" s="2" t="str">
        <f>IFERROR(__xludf.DUMMYFUNCTION("""COMPUTED_VALUE"""),"General - Hole Saw TCT Kugel 100 mm; Kugel; ;")</f>
        <v>General - Hole Saw TCT Kugel 100 mm; Kugel; ;</v>
      </c>
      <c r="C807" s="2" t="str">
        <f>IFERROR(__xludf.DUMMYFUNCTION("""COMPUTED_VALUE"""),"pc")</f>
        <v>pc</v>
      </c>
      <c r="D807" s="2">
        <f>IFERROR(__xludf.DUMMYFUNCTION("""COMPUTED_VALUE"""),1.0)</f>
        <v>1</v>
      </c>
      <c r="E807" s="2" t="str">
        <f>IFERROR(__xludf.DUMMYFUNCTION("""COMPUTED_VALUE"""),"S-3-5")</f>
        <v>S-3-5</v>
      </c>
    </row>
    <row r="808">
      <c r="A808" s="2" t="str">
        <f>IFERROR(__xludf.DUMMYFUNCTION("""COMPUTED_VALUE"""),"P-15052-00")</f>
        <v>P-15052-00</v>
      </c>
      <c r="B808" s="2" t="str">
        <f>IFERROR(__xludf.DUMMYFUNCTION("""COMPUTED_VALUE"""),"General - Element Filter 1 micron; NXE-400-Z; -; 1 pc")</f>
        <v>General - Element Filter 1 micron; NXE-400-Z; -; 1 pc</v>
      </c>
      <c r="C808" s="2" t="str">
        <f>IFERROR(__xludf.DUMMYFUNCTION("""COMPUTED_VALUE"""),"pc")</f>
        <v>pc</v>
      </c>
      <c r="D808" s="2">
        <f>IFERROR(__xludf.DUMMYFUNCTION("""COMPUTED_VALUE"""),2.0)</f>
        <v>2</v>
      </c>
      <c r="E808" s="2"/>
    </row>
    <row r="809">
      <c r="A809" s="2" t="str">
        <f>IFERROR(__xludf.DUMMYFUNCTION("""COMPUTED_VALUE"""),"P-19954-00")</f>
        <v>P-19954-00</v>
      </c>
      <c r="B809" s="2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809" s="2" t="str">
        <f>IFERROR(__xludf.DUMMYFUNCTION("""COMPUTED_VALUE"""),"pc")</f>
        <v>pc</v>
      </c>
      <c r="D809" s="2">
        <f>IFERROR(__xludf.DUMMYFUNCTION("""COMPUTED_VALUE"""),1.0)</f>
        <v>1</v>
      </c>
      <c r="E809" s="2" t="str">
        <f>IFERROR(__xludf.DUMMYFUNCTION("""COMPUTED_VALUE"""),"F-4")</f>
        <v>F-4</v>
      </c>
    </row>
    <row r="810">
      <c r="A810" s="2" t="str">
        <f>IFERROR(__xludf.DUMMYFUNCTION("""COMPUTED_VALUE"""),"P-50023-00")</f>
        <v>P-50023-00</v>
      </c>
      <c r="B810" s="2" t="str">
        <f>IFERROR(__xludf.DUMMYFUNCTION("""COMPUTED_VALUE"""),"General - Lampu TL LED T8 30 W; Philips; -; 1 unt")</f>
        <v>General - Lampu TL LED T8 30 W; Philips; -; 1 unt</v>
      </c>
      <c r="C810" s="2" t="str">
        <f>IFERROR(__xludf.DUMMYFUNCTION("""COMPUTED_VALUE"""),"pc")</f>
        <v>pc</v>
      </c>
      <c r="D810" s="2">
        <f>IFERROR(__xludf.DUMMYFUNCTION("""COMPUTED_VALUE"""),3.0)</f>
        <v>3</v>
      </c>
      <c r="E810" s="2" t="str">
        <f>IFERROR(__xludf.DUMMYFUNCTION("""COMPUTED_VALUE"""),"O3")</f>
        <v>O3</v>
      </c>
    </row>
    <row r="811">
      <c r="A811" s="2" t="str">
        <f>IFERROR(__xludf.DUMMYFUNCTION("""COMPUTED_VALUE"""),"P-18665-00")</f>
        <v>P-18665-00</v>
      </c>
      <c r="B811" s="2" t="str">
        <f>IFERROR(__xludf.DUMMYFUNCTION("""COMPUTED_VALUE"""),"General - Clamp Ferrule, Heavy Duty, SS 304L, 1"" - 1 1/2""; No Brand; -; 1 pcs")</f>
        <v>General - Clamp Ferrule, Heavy Duty, SS 304L, 1" - 1 1/2"; No Brand; -; 1 pcs</v>
      </c>
      <c r="C811" s="2" t="str">
        <f>IFERROR(__xludf.DUMMYFUNCTION("""COMPUTED_VALUE"""),"pc")</f>
        <v>pc</v>
      </c>
      <c r="D811" s="2">
        <f>IFERROR(__xludf.DUMMYFUNCTION("""COMPUTED_VALUE"""),6.0)</f>
        <v>6</v>
      </c>
      <c r="E811" s="2" t="str">
        <f>IFERROR(__xludf.DUMMYFUNCTION("""COMPUTED_VALUE"""),"N-3")</f>
        <v>N-3</v>
      </c>
    </row>
    <row r="812">
      <c r="A812" s="2" t="str">
        <f>IFERROR(__xludf.DUMMYFUNCTION("""COMPUTED_VALUE"""),"O-20552-00")</f>
        <v>O-20552-00</v>
      </c>
      <c r="B812" s="2" t="str">
        <f>IFERROR(__xludf.DUMMYFUNCTION("""COMPUTED_VALUE"""),"Marchesini MA155 - Toothed Belt 240 L 075 GUK; -; M660010218; 1 Pc")</f>
        <v>Marchesini MA155 - Toothed Belt 240 L 075 GUK; -; M660010218; 1 Pc</v>
      </c>
      <c r="C812" s="2" t="str">
        <f>IFERROR(__xludf.DUMMYFUNCTION("""COMPUTED_VALUE"""),"pc")</f>
        <v>pc</v>
      </c>
      <c r="D812" s="2">
        <f>IFERROR(__xludf.DUMMYFUNCTION("""COMPUTED_VALUE"""),1.0)</f>
        <v>1</v>
      </c>
      <c r="E812" s="2" t="str">
        <f>IFERROR(__xludf.DUMMYFUNCTION("""COMPUTED_VALUE"""),"-")</f>
        <v>-</v>
      </c>
    </row>
    <row r="813">
      <c r="A813" s="2" t="str">
        <f>IFERROR(__xludf.DUMMYFUNCTION("""COMPUTED_VALUE"""),"O-18914-00")</f>
        <v>O-18914-00</v>
      </c>
      <c r="B813" s="2" t="str">
        <f>IFERROR(__xludf.DUMMYFUNCTION("""COMPUTED_VALUE"""),"Freeze Dryer MBE1207 - Valve Body S20 DN40 ANSI150 Flg BODY:CI DISC:316SS Mirror finish STEM 316SS P; IMA Beijing; EB14-00071; 1 Pc")</f>
        <v>Freeze Dryer MBE1207 - Valve Body S20 DN40 ANSI150 Flg BODY:CI DISC:316SS Mirror finish STEM 316SS P; IMA Beijing; EB14-00071; 1 Pc</v>
      </c>
      <c r="C813" s="2" t="str">
        <f>IFERROR(__xludf.DUMMYFUNCTION("""COMPUTED_VALUE"""),"pc")</f>
        <v>pc</v>
      </c>
      <c r="D813" s="2">
        <f>IFERROR(__xludf.DUMMYFUNCTION("""COMPUTED_VALUE"""),2.0)</f>
        <v>2</v>
      </c>
      <c r="E813" s="2"/>
    </row>
    <row r="814">
      <c r="A814" s="2" t="str">
        <f>IFERROR(__xludf.DUMMYFUNCTION("""COMPUTED_VALUE"""),"O-20905-00")</f>
        <v>O-20905-00</v>
      </c>
      <c r="B814" s="2" t="str">
        <f>IFERROR(__xludf.DUMMYFUNCTION("""COMPUTED_VALUE"""),"Filling VFM100 - Dudukan Piringan 30x14x9mm; Custom/Lokal; -; 1 Pc")</f>
        <v>Filling VFM100 - Dudukan Piringan 30x14x9mm; Custom/Lokal; -; 1 Pc</v>
      </c>
      <c r="C814" s="2" t="str">
        <f>IFERROR(__xludf.DUMMYFUNCTION("""COMPUTED_VALUE"""),"pc")</f>
        <v>pc</v>
      </c>
      <c r="D814" s="2">
        <f>IFERROR(__xludf.DUMMYFUNCTION("""COMPUTED_VALUE"""),1.0)</f>
        <v>1</v>
      </c>
      <c r="E814" s="2"/>
    </row>
    <row r="815">
      <c r="A815" s="2" t="str">
        <f>IFERROR(__xludf.DUMMYFUNCTION("""COMPUTED_VALUE"""),"P-11176-00")</f>
        <v>P-11176-00</v>
      </c>
      <c r="B815" s="2" t="str">
        <f>IFERROR(__xludf.DUMMYFUNCTION("""COMPUTED_VALUE"""),"Pneumatic  Fitting - QS 12 / PN : 153035 / Festo")</f>
        <v>Pneumatic  Fitting - QS 12 / PN : 153035 / Festo</v>
      </c>
      <c r="C815" s="2" t="str">
        <f>IFERROR(__xludf.DUMMYFUNCTION("""COMPUTED_VALUE"""),"pc")</f>
        <v>pc</v>
      </c>
      <c r="D815" s="2">
        <f>IFERROR(__xludf.DUMMYFUNCTION("""COMPUTED_VALUE"""),5.0)</f>
        <v>5</v>
      </c>
      <c r="E815" s="2" t="str">
        <f>IFERROR(__xludf.DUMMYFUNCTION("""COMPUTED_VALUE"""),"M3")</f>
        <v>M3</v>
      </c>
    </row>
    <row r="816">
      <c r="A816" s="2" t="str">
        <f>IFERROR(__xludf.DUMMYFUNCTION("""COMPUTED_VALUE"""),"O-53237-00")</f>
        <v>O-53237-00</v>
      </c>
      <c r="B816" s="2" t="str">
        <f>IFERROR(__xludf.DUMMYFUNCTION("""COMPUTED_VALUE"""),"General - Power Base TeSys 32A; Schneider; LUB32; 1 Pc")</f>
        <v>General - Power Base TeSys 32A; Schneider; LUB32; 1 Pc</v>
      </c>
      <c r="C816" s="2" t="str">
        <f>IFERROR(__xludf.DUMMYFUNCTION("""COMPUTED_VALUE"""),"pc")</f>
        <v>pc</v>
      </c>
      <c r="D816" s="2">
        <f>IFERROR(__xludf.DUMMYFUNCTION("""COMPUTED_VALUE"""),1.0)</f>
        <v>1</v>
      </c>
      <c r="E816" s="2" t="str">
        <f>IFERROR(__xludf.DUMMYFUNCTION("""COMPUTED_VALUE"""),"E-2-8B")</f>
        <v>E-2-8B</v>
      </c>
    </row>
    <row r="817">
      <c r="A817" s="2" t="str">
        <f>IFERROR(__xludf.DUMMYFUNCTION("""COMPUTED_VALUE"""),"P-17867-00")</f>
        <v>P-17867-00</v>
      </c>
      <c r="B817" s="2" t="str">
        <f>IFERROR(__xludf.DUMMYFUNCTION("""COMPUTED_VALUE"""),"General - Clamp Ferrule, SS 304, 2""; No Brand; -; 1 pcs")</f>
        <v>General - Clamp Ferrule, SS 304, 2"; No Brand; -; 1 pcs</v>
      </c>
      <c r="C817" s="2" t="str">
        <f>IFERROR(__xludf.DUMMYFUNCTION("""COMPUTED_VALUE"""),"unt")</f>
        <v>unt</v>
      </c>
      <c r="D817" s="2">
        <f>IFERROR(__xludf.DUMMYFUNCTION("""COMPUTED_VALUE"""),3.0)</f>
        <v>3</v>
      </c>
      <c r="E817" s="2" t="str">
        <f>IFERROR(__xludf.DUMMYFUNCTION("""COMPUTED_VALUE"""),"R-4-5")</f>
        <v>R-4-5</v>
      </c>
    </row>
    <row r="818">
      <c r="A818" s="2" t="str">
        <f>IFERROR(__xludf.DUMMYFUNCTION("""COMPUTED_VALUE"""),"O-20913-00")</f>
        <v>O-20913-00</v>
      </c>
      <c r="B818" s="2" t="str">
        <f>IFERROR(__xludf.DUMMYFUNCTION("""COMPUTED_VALUE"""),"General - Air Gripper; SMC; MHZJ2 20DS X43 X81B; 1 Pc")</f>
        <v>General - Air Gripper; SMC; MHZJ2 20DS X43 X81B; 1 Pc</v>
      </c>
      <c r="C818" s="2" t="str">
        <f>IFERROR(__xludf.DUMMYFUNCTION("""COMPUTED_VALUE"""),"pc")</f>
        <v>pc</v>
      </c>
      <c r="D818" s="2">
        <f>IFERROR(__xludf.DUMMYFUNCTION("""COMPUTED_VALUE"""),5.0)</f>
        <v>5</v>
      </c>
      <c r="E818" s="2" t="str">
        <f>IFERROR(__xludf.DUMMYFUNCTION("""COMPUTED_VALUE"""),"B-3-13")</f>
        <v>B-3-13</v>
      </c>
    </row>
    <row r="819">
      <c r="A819" s="2" t="str">
        <f>IFERROR(__xludf.DUMMYFUNCTION("""COMPUTED_VALUE"""),"O-20502-00")</f>
        <v>O-20502-00</v>
      </c>
      <c r="B819" s="2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819" s="2" t="str">
        <f>IFERROR(__xludf.DUMMYFUNCTION("""COMPUTED_VALUE"""),"unt")</f>
        <v>unt</v>
      </c>
      <c r="D819" s="2">
        <f>IFERROR(__xludf.DUMMYFUNCTION("""COMPUTED_VALUE"""),1.0)</f>
        <v>1</v>
      </c>
      <c r="E819" s="2" t="str">
        <f>IFERROR(__xludf.DUMMYFUNCTION("""COMPUTED_VALUE"""),"-")</f>
        <v>-</v>
      </c>
    </row>
    <row r="820">
      <c r="A820" s="2" t="str">
        <f>IFERROR(__xludf.DUMMYFUNCTION("""COMPUTED_VALUE"""),"P-51856-00")</f>
        <v>P-51856-00</v>
      </c>
      <c r="B820" s="2" t="str">
        <f>IFERROR(__xludf.DUMMYFUNCTION("""COMPUTED_VALUE"""),"General - Key Selector Switch; Autonics; S2KR-4CK2AM; 1 pc")</f>
        <v>General - Key Selector Switch; Autonics; S2KR-4CK2AM; 1 pc</v>
      </c>
      <c r="C820" s="2" t="str">
        <f>IFERROR(__xludf.DUMMYFUNCTION("""COMPUTED_VALUE"""),"pc")</f>
        <v>pc</v>
      </c>
      <c r="D820" s="2">
        <f>IFERROR(__xludf.DUMMYFUNCTION("""COMPUTED_VALUE"""),2.0)</f>
        <v>2</v>
      </c>
      <c r="E820" s="2" t="str">
        <f>IFERROR(__xludf.DUMMYFUNCTION("""COMPUTED_VALUE"""),"R-4-3")</f>
        <v>R-4-3</v>
      </c>
    </row>
    <row r="821">
      <c r="A821" s="2" t="str">
        <f>IFERROR(__xludf.DUMMYFUNCTION("""COMPUTED_VALUE"""),"P-20444-00")</f>
        <v>P-20444-00</v>
      </c>
      <c r="B821" s="2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821" s="2" t="str">
        <f>IFERROR(__xludf.DUMMYFUNCTION("""COMPUTED_VALUE"""),"pc")</f>
        <v>pc</v>
      </c>
      <c r="D821" s="2">
        <f>IFERROR(__xludf.DUMMYFUNCTION("""COMPUTED_VALUE"""),6.0)</f>
        <v>6</v>
      </c>
      <c r="E821" s="2" t="str">
        <f>IFERROR(__xludf.DUMMYFUNCTION("""COMPUTED_VALUE"""),"-")</f>
        <v>-</v>
      </c>
    </row>
    <row r="822">
      <c r="A822" s="2" t="str">
        <f>IFERROR(__xludf.DUMMYFUNCTION("""COMPUTED_VALUE"""),"P-13259-00")</f>
        <v>P-13259-00</v>
      </c>
      <c r="B822" s="2" t="str">
        <f>IFERROR(__xludf.DUMMYFUNCTION("""COMPUTED_VALUE"""),"General - Socket Drat Dalam, SS 304, 1""; No Brand; -; 1 pcs")</f>
        <v>General - Socket Drat Dalam, SS 304, 1"; No Brand; -; 1 pcs</v>
      </c>
      <c r="C822" s="2" t="str">
        <f>IFERROR(__xludf.DUMMYFUNCTION("""COMPUTED_VALUE"""),"pc")</f>
        <v>pc</v>
      </c>
      <c r="D822" s="2">
        <f>IFERROR(__xludf.DUMMYFUNCTION("""COMPUTED_VALUE"""),3.0)</f>
        <v>3</v>
      </c>
      <c r="E822" s="2" t="str">
        <f>IFERROR(__xludf.DUMMYFUNCTION("""COMPUTED_VALUE"""),"-")</f>
        <v>-</v>
      </c>
    </row>
    <row r="823">
      <c r="A823" s="2" t="str">
        <f>IFERROR(__xludf.DUMMYFUNCTION("""COMPUTED_VALUE"""),"O-53462-00")</f>
        <v>O-53462-00</v>
      </c>
      <c r="B823" s="2" t="str">
        <f>IFERROR(__xludf.DUMMYFUNCTION("""COMPUTED_VALUE"""),"Filling VFM100 - PROXIMITY SENSOR, DATALOGIC  M12 NON FLUSH SHORT PNP NO IS-12-D1-S2; ; 204170; 1 Pc")</f>
        <v>Filling VFM100 - PROXIMITY SENSOR, DATALOGIC  M12 NON FLUSH SHORT PNP NO IS-12-D1-S2; ; 204170; 1 Pc</v>
      </c>
      <c r="C823" s="2" t="str">
        <f>IFERROR(__xludf.DUMMYFUNCTION("""COMPUTED_VALUE"""),"pc")</f>
        <v>pc</v>
      </c>
      <c r="D823" s="2">
        <f>IFERROR(__xludf.DUMMYFUNCTION("""COMPUTED_VALUE"""),1.0)</f>
        <v>1</v>
      </c>
      <c r="E823" s="2" t="str">
        <f>IFERROR(__xludf.DUMMYFUNCTION("""COMPUTED_VALUE"""),"-")</f>
        <v>-</v>
      </c>
    </row>
    <row r="824">
      <c r="A824" s="2" t="str">
        <f>IFERROR(__xludf.DUMMYFUNCTION("""COMPUTED_VALUE"""),"P-10392-00")</f>
        <v>P-10392-00</v>
      </c>
      <c r="B824" s="2" t="str">
        <f>IFERROR(__xludf.DUMMYFUNCTION("""COMPUTED_VALUE"""),"General - Ball Valve 1inch, 1000 WOG Sankyo; Sankyo; -; 1 pcs")</f>
        <v>General - Ball Valve 1inch, 1000 WOG Sankyo; Sankyo; -; 1 pcs</v>
      </c>
      <c r="C824" s="2" t="str">
        <f>IFERROR(__xludf.DUMMYFUNCTION("""COMPUTED_VALUE"""),"pc")</f>
        <v>pc</v>
      </c>
      <c r="D824" s="2">
        <f>IFERROR(__xludf.DUMMYFUNCTION("""COMPUTED_VALUE"""),2.0)</f>
        <v>2</v>
      </c>
      <c r="E824" s="2" t="str">
        <f>IFERROR(__xludf.DUMMYFUNCTION("""COMPUTED_VALUE"""),"L-3")</f>
        <v>L-3</v>
      </c>
    </row>
    <row r="825">
      <c r="A825" s="2" t="str">
        <f>IFERROR(__xludf.DUMMYFUNCTION("""COMPUTED_VALUE"""),"P-20393-00")</f>
        <v>P-20393-00</v>
      </c>
      <c r="B825" s="2" t="str">
        <f>IFERROR(__xludf.DUMMYFUNCTION("""COMPUTED_VALUE"""),"General - Tee Reducer 2 1/2 x 3/4 inch; SCG; -; 1pc")</f>
        <v>General - Tee Reducer 2 1/2 x 3/4 inch; SCG; -; 1pc</v>
      </c>
      <c r="C825" s="2" t="str">
        <f>IFERROR(__xludf.DUMMYFUNCTION("""COMPUTED_VALUE"""),"pc")</f>
        <v>pc</v>
      </c>
      <c r="D825" s="2">
        <f>IFERROR(__xludf.DUMMYFUNCTION("""COMPUTED_VALUE"""),1.0)</f>
        <v>1</v>
      </c>
      <c r="E825" s="2" t="str">
        <f>IFERROR(__xludf.DUMMYFUNCTION("""COMPUTED_VALUE"""),"-")</f>
        <v>-</v>
      </c>
    </row>
    <row r="826">
      <c r="A826" s="2" t="str">
        <f>IFERROR(__xludf.DUMMYFUNCTION("""COMPUTED_VALUE"""),"P-13385-00")</f>
        <v>P-13385-00</v>
      </c>
      <c r="B826" s="2" t="str">
        <f>IFERROR(__xludf.DUMMYFUNCTION("""COMPUTED_VALUE"""),"Sok Drat Dalam 2"" Pvc Rucika; ; ;")</f>
        <v>Sok Drat Dalam 2" Pvc Rucika; ; ;</v>
      </c>
      <c r="C826" s="2" t="str">
        <f>IFERROR(__xludf.DUMMYFUNCTION("""COMPUTED_VALUE"""),"pc")</f>
        <v>pc</v>
      </c>
      <c r="D826" s="2">
        <f>IFERROR(__xludf.DUMMYFUNCTION("""COMPUTED_VALUE"""),3.0)</f>
        <v>3</v>
      </c>
      <c r="E826" s="2" t="str">
        <f>IFERROR(__xludf.DUMMYFUNCTION("""COMPUTED_VALUE"""),"Klaris")</f>
        <v>Klaris</v>
      </c>
    </row>
    <row r="827">
      <c r="A827" s="2" t="str">
        <f>IFERROR(__xludf.DUMMYFUNCTION("""COMPUTED_VALUE"""),"P-20022-00")</f>
        <v>P-20022-00</v>
      </c>
      <c r="B827" s="2" t="str">
        <f>IFERROR(__xludf.DUMMYFUNCTION("""COMPUTED_VALUE"""),"General - Long Drat 14mm x 1meter; No Brand; -; 1 pc")</f>
        <v>General - Long Drat 14mm x 1meter; No Brand; -; 1 pc</v>
      </c>
      <c r="C827" s="2" t="str">
        <f>IFERROR(__xludf.DUMMYFUNCTION("""COMPUTED_VALUE"""),"pc")</f>
        <v>pc</v>
      </c>
      <c r="D827" s="2">
        <f>IFERROR(__xludf.DUMMYFUNCTION("""COMPUTED_VALUE"""),2.0)</f>
        <v>2</v>
      </c>
      <c r="E827" s="2"/>
    </row>
    <row r="828">
      <c r="A828" s="2" t="str">
        <f>IFERROR(__xludf.DUMMYFUNCTION("""COMPUTED_VALUE"""),"O-18686-00")</f>
        <v>O-18686-00</v>
      </c>
      <c r="B828" s="2" t="str">
        <f>IFERROR(__xludf.DUMMYFUNCTION("""COMPUTED_VALUE"""),"Autoclave Fedegari FVA2/A1 NB2963AT - DN6-8 CLAMP P/N: GM100029; ; ;")</f>
        <v>Autoclave Fedegari FVA2/A1 NB2963AT - DN6-8 CLAMP P/N: GM100029; ; ;</v>
      </c>
      <c r="C828" s="2" t="str">
        <f>IFERROR(__xludf.DUMMYFUNCTION("""COMPUTED_VALUE"""),"pc")</f>
        <v>pc</v>
      </c>
      <c r="D828" s="2">
        <f>IFERROR(__xludf.DUMMYFUNCTION("""COMPUTED_VALUE"""),3.0)</f>
        <v>3</v>
      </c>
      <c r="E828" s="2" t="str">
        <f>IFERROR(__xludf.DUMMYFUNCTION("""COMPUTED_VALUE"""),"E1")</f>
        <v>E1</v>
      </c>
    </row>
    <row r="829">
      <c r="A829" s="2" t="str">
        <f>IFERROR(__xludf.DUMMYFUNCTION("""COMPUTED_VALUE"""),"P-18213-00")</f>
        <v>P-18213-00</v>
      </c>
      <c r="B829" s="2" t="str">
        <f>IFERROR(__xludf.DUMMYFUNCTION("""COMPUTED_VALUE"""),"General - Breathing Hepa Filter 75D x 75H; No Brand; -; 1 Pc")</f>
        <v>General - Breathing Hepa Filter 75D x 75H; No Brand; -; 1 Pc</v>
      </c>
      <c r="C829" s="2" t="str">
        <f>IFERROR(__xludf.DUMMYFUNCTION("""COMPUTED_VALUE"""),"unt")</f>
        <v>unt</v>
      </c>
      <c r="D829" s="2">
        <f>IFERROR(__xludf.DUMMYFUNCTION("""COMPUTED_VALUE"""),1.0)</f>
        <v>1</v>
      </c>
      <c r="E829" s="2" t="str">
        <f>IFERROR(__xludf.DUMMYFUNCTION("""COMPUTED_VALUE"""),"E1")</f>
        <v>E1</v>
      </c>
    </row>
    <row r="830">
      <c r="A830" s="2" t="str">
        <f>IFERROR(__xludf.DUMMYFUNCTION("""COMPUTED_VALUE"""),"O-15916-00")</f>
        <v>O-15916-00</v>
      </c>
      <c r="B830" s="2" t="str">
        <f>IFERROR(__xludf.DUMMYFUNCTION("""COMPUTED_VALUE"""),"Fedegari FVA2/A1 - CLAMP DN10 1/2"" (MICROCASTED); Code : GM100017; ; ;")</f>
        <v>Fedegari FVA2/A1 - CLAMP DN10 1/2" (MICROCASTED); Code : GM100017; ; ;</v>
      </c>
      <c r="C830" s="2" t="str">
        <f>IFERROR(__xludf.DUMMYFUNCTION("""COMPUTED_VALUE"""),"unt")</f>
        <v>unt</v>
      </c>
      <c r="D830" s="2">
        <f>IFERROR(__xludf.DUMMYFUNCTION("""COMPUTED_VALUE"""),1.0)</f>
        <v>1</v>
      </c>
      <c r="E830" s="2" t="str">
        <f>IFERROR(__xludf.DUMMYFUNCTION("""COMPUTED_VALUE"""),"E3")</f>
        <v>E3</v>
      </c>
    </row>
    <row r="831">
      <c r="A831" s="2" t="str">
        <f>IFERROR(__xludf.DUMMYFUNCTION("""COMPUTED_VALUE"""),"P-52651-00")</f>
        <v>P-52651-00</v>
      </c>
      <c r="B831" s="2" t="str">
        <f>IFERROR(__xludf.DUMMYFUNCTION("""COMPUTED_VALUE"""),"General - Selenoid Valve 1inch, 220VAC;; UNI-D; -; 1 pc")</f>
        <v>General - Selenoid Valve 1inch, 220VAC;; UNI-D; -; 1 pc</v>
      </c>
      <c r="C831" s="2" t="str">
        <f>IFERROR(__xludf.DUMMYFUNCTION("""COMPUTED_VALUE"""),"pc")</f>
        <v>pc</v>
      </c>
      <c r="D831" s="2">
        <f>IFERROR(__xludf.DUMMYFUNCTION("""COMPUTED_VALUE"""),2.0)</f>
        <v>2</v>
      </c>
      <c r="E831" s="2" t="str">
        <f>IFERROR(__xludf.DUMMYFUNCTION("""COMPUTED_VALUE"""),"M-4")</f>
        <v>M-4</v>
      </c>
    </row>
    <row r="832">
      <c r="A832" s="2" t="str">
        <f>IFERROR(__xludf.DUMMYFUNCTION("""COMPUTED_VALUE"""),"O-52240-00")</f>
        <v>O-52240-00</v>
      </c>
      <c r="B832" s="2" t="str">
        <f>IFERROR(__xludf.DUMMYFUNCTION("""COMPUTED_VALUE"""),"WAGO 750-623 Supply Modul Input 5-15 V; ; ;")</f>
        <v>WAGO 750-623 Supply Modul Input 5-15 V; ; ;</v>
      </c>
      <c r="C832" s="2" t="str">
        <f>IFERROR(__xludf.DUMMYFUNCTION("""COMPUTED_VALUE"""),"pc")</f>
        <v>pc</v>
      </c>
      <c r="D832" s="2">
        <f>IFERROR(__xludf.DUMMYFUNCTION("""COMPUTED_VALUE"""),1.0)</f>
        <v>1</v>
      </c>
      <c r="E832" s="2" t="str">
        <f>IFERROR(__xludf.DUMMYFUNCTION("""COMPUTED_VALUE"""),"B-3-6D")</f>
        <v>B-3-6D</v>
      </c>
    </row>
    <row r="833">
      <c r="A833" s="2" t="str">
        <f>IFERROR(__xludf.DUMMYFUNCTION("""COMPUTED_VALUE"""),"P-54627-00")</f>
        <v>P-54627-00</v>
      </c>
      <c r="B833" s="2" t="str">
        <f>IFERROR(__xludf.DUMMYFUNCTION("""COMPUTED_VALUE"""),"General - Solenoid Valve Welded EVR3 1/4 Inch; Danfoss; -; 1 pc")</f>
        <v>General - Solenoid Valve Welded EVR3 1/4 Inch; Danfoss; -; 1 pc</v>
      </c>
      <c r="C833" s="2" t="str">
        <f>IFERROR(__xludf.DUMMYFUNCTION("""COMPUTED_VALUE"""),"pc")</f>
        <v>pc</v>
      </c>
      <c r="D833" s="2">
        <f>IFERROR(__xludf.DUMMYFUNCTION("""COMPUTED_VALUE"""),1.0)</f>
        <v>1</v>
      </c>
      <c r="E833" s="2" t="str">
        <f>IFERROR(__xludf.DUMMYFUNCTION("""COMPUTED_VALUE"""),"D-2-10")</f>
        <v>D-2-10</v>
      </c>
    </row>
    <row r="834">
      <c r="A834" s="2" t="str">
        <f>IFERROR(__xludf.DUMMYFUNCTION("""COMPUTED_VALUE"""),"O-53198-00")</f>
        <v>O-53198-00</v>
      </c>
      <c r="B834" s="2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834" s="2" t="str">
        <f>IFERROR(__xludf.DUMMYFUNCTION("""COMPUTED_VALUE"""),"pc")</f>
        <v>pc</v>
      </c>
      <c r="D834" s="2">
        <f>IFERROR(__xludf.DUMMYFUNCTION("""COMPUTED_VALUE"""),1.0)</f>
        <v>1</v>
      </c>
      <c r="E834" s="2" t="str">
        <f>IFERROR(__xludf.DUMMYFUNCTION("""COMPUTED_VALUE"""),"B-1")</f>
        <v>B-1</v>
      </c>
    </row>
    <row r="835">
      <c r="A835" s="2" t="str">
        <f>IFERROR(__xludf.DUMMYFUNCTION("""COMPUTED_VALUE"""),"P-19570-00")</f>
        <v>P-19570-00</v>
      </c>
      <c r="B835" s="2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835" s="2" t="str">
        <f>IFERROR(__xludf.DUMMYFUNCTION("""COMPUTED_VALUE"""),"pc")</f>
        <v>pc</v>
      </c>
      <c r="D835" s="2">
        <f>IFERROR(__xludf.DUMMYFUNCTION("""COMPUTED_VALUE"""),3.0)</f>
        <v>3</v>
      </c>
      <c r="E835" s="2" t="str">
        <f>IFERROR(__xludf.DUMMYFUNCTION("""COMPUTED_VALUE"""),"F-1")</f>
        <v>F-1</v>
      </c>
    </row>
    <row r="836">
      <c r="A836" s="2" t="str">
        <f>IFERROR(__xludf.DUMMYFUNCTION("""COMPUTED_VALUE"""),"O-19781-00")</f>
        <v>O-19781-00</v>
      </c>
      <c r="B836" s="2" t="str">
        <f>IFERROR(__xludf.DUMMYFUNCTION("""COMPUTED_VALUE"""),"General - Shaft Bearing Rod End Pusher Cartoning M6 x 110 Material SUS 304; Custom/Lokal; -; 1 Pc")</f>
        <v>General - Shaft Bearing Rod End Pusher Cartoning M6 x 110 Material SUS 304; Custom/Lokal; -; 1 Pc</v>
      </c>
      <c r="C836" s="2" t="str">
        <f>IFERROR(__xludf.DUMMYFUNCTION("""COMPUTED_VALUE"""),"pc")</f>
        <v>pc</v>
      </c>
      <c r="D836" s="2">
        <f>IFERROR(__xludf.DUMMYFUNCTION("""COMPUTED_VALUE"""),1.0)</f>
        <v>1</v>
      </c>
      <c r="E836" s="2" t="str">
        <f>IFERROR(__xludf.DUMMYFUNCTION("""COMPUTED_VALUE"""),"G3")</f>
        <v>G3</v>
      </c>
    </row>
    <row r="837">
      <c r="A837" s="2" t="str">
        <f>IFERROR(__xludf.DUMMYFUNCTION("""COMPUTED_VALUE"""),"O-18108-00")</f>
        <v>O-18108-00</v>
      </c>
      <c r="B837" s="2" t="str">
        <f>IFERROR(__xludf.DUMMYFUNCTION("""COMPUTED_VALUE"""),"General - Therm.Exp.Valve TE2 R404A/R507A; Danfoss; 068Z3403; 1 Pc")</f>
        <v>General - Therm.Exp.Valve TE2 R404A/R507A; Danfoss; 068Z3403; 1 Pc</v>
      </c>
      <c r="C837" s="2" t="str">
        <f>IFERROR(__xludf.DUMMYFUNCTION("""COMPUTED_VALUE"""),"pc")</f>
        <v>pc</v>
      </c>
      <c r="D837" s="2">
        <f>IFERROR(__xludf.DUMMYFUNCTION("""COMPUTED_VALUE"""),2.0)</f>
        <v>2</v>
      </c>
      <c r="E837" s="2" t="str">
        <f>IFERROR(__xludf.DUMMYFUNCTION("""COMPUTED_VALUE"""),"D-2-10B")</f>
        <v>D-2-10B</v>
      </c>
    </row>
    <row r="838">
      <c r="A838" s="2" t="str">
        <f>IFERROR(__xludf.DUMMYFUNCTION("""COMPUTED_VALUE"""),"P-52591-00")</f>
        <v>P-52591-00</v>
      </c>
      <c r="B838" s="2" t="str">
        <f>IFERROR(__xludf.DUMMYFUNCTION("""COMPUTED_VALUE"""),"General - Relay APF 30324; Panasonic; -; 1 pc")</f>
        <v>General - Relay APF 30324; Panasonic; -; 1 pc</v>
      </c>
      <c r="C838" s="2" t="str">
        <f>IFERROR(__xludf.DUMMYFUNCTION("""COMPUTED_VALUE"""),"pc")</f>
        <v>pc</v>
      </c>
      <c r="D838" s="2">
        <f>IFERROR(__xludf.DUMMYFUNCTION("""COMPUTED_VALUE"""),4.0)</f>
        <v>4</v>
      </c>
      <c r="E838" s="2" t="str">
        <f>IFERROR(__xludf.DUMMYFUNCTION("""COMPUTED_VALUE"""),"Kardus L3")</f>
        <v>Kardus L3</v>
      </c>
    </row>
    <row r="839">
      <c r="A839" s="2" t="str">
        <f>IFERROR(__xludf.DUMMYFUNCTION("""COMPUTED_VALUE"""),"P-12983-00")</f>
        <v>P-12983-00</v>
      </c>
      <c r="B839" s="2" t="str">
        <f>IFERROR(__xludf.DUMMYFUNCTION("""COMPUTED_VALUE"""),"General - Helicoil, M6 x 6 mm; No Brand; -; 1 pcs")</f>
        <v>General - Helicoil, M6 x 6 mm; No Brand; -; 1 pcs</v>
      </c>
      <c r="C839" s="2" t="str">
        <f>IFERROR(__xludf.DUMMYFUNCTION("""COMPUTED_VALUE"""),"pc")</f>
        <v>pc</v>
      </c>
      <c r="D839" s="2">
        <f>IFERROR(__xludf.DUMMYFUNCTION("""COMPUTED_VALUE"""),3.0)</f>
        <v>3</v>
      </c>
      <c r="E839" s="2" t="str">
        <f>IFERROR(__xludf.DUMMYFUNCTION("""COMPUTED_VALUE"""),"N3")</f>
        <v>N3</v>
      </c>
    </row>
    <row r="840">
      <c r="A840" s="2" t="str">
        <f>IFERROR(__xludf.DUMMYFUNCTION("""COMPUTED_VALUE"""),"O-21428-00")</f>
        <v>O-21428-00</v>
      </c>
      <c r="B840" s="2" t="str">
        <f>IFERROR(__xludf.DUMMYFUNCTION("""COMPUTED_VALUE"""),"PLAB Coating - Oring ID 51 OD 56 Tebal 2,5 EPDM; Custom/Lokal; -; 1 Pc")</f>
        <v>PLAB Coating - Oring ID 51 OD 56 Tebal 2,5 EPDM; Custom/Lokal; -; 1 Pc</v>
      </c>
      <c r="C840" s="2" t="str">
        <f>IFERROR(__xludf.DUMMYFUNCTION("""COMPUTED_VALUE"""),"pc")</f>
        <v>pc</v>
      </c>
      <c r="D840" s="2">
        <f>IFERROR(__xludf.DUMMYFUNCTION("""COMPUTED_VALUE"""),5.0)</f>
        <v>5</v>
      </c>
      <c r="E840" s="2" t="str">
        <f>IFERROR(__xludf.DUMMYFUNCTION("""COMPUTED_VALUE"""),"T-3-12")</f>
        <v>T-3-12</v>
      </c>
    </row>
    <row r="841">
      <c r="A841" s="2" t="str">
        <f>IFERROR(__xludf.DUMMYFUNCTION("""COMPUTED_VALUE"""),"O-20104-00")</f>
        <v>O-20104-00</v>
      </c>
      <c r="B841" s="2" t="str">
        <f>IFERROR(__xludf.DUMMYFUNCTION("""COMPUTED_VALUE"""),"General - Bearing 61926; SKF; ; 1 Pc")</f>
        <v>General - Bearing 61926; SKF; ; 1 Pc</v>
      </c>
      <c r="C841" s="2" t="str">
        <f>IFERROR(__xludf.DUMMYFUNCTION("""COMPUTED_VALUE"""),"pc")</f>
        <v>pc</v>
      </c>
      <c r="D841" s="2">
        <f>IFERROR(__xludf.DUMMYFUNCTION("""COMPUTED_VALUE"""),2.0)</f>
        <v>2</v>
      </c>
      <c r="E841" s="2" t="str">
        <f>IFERROR(__xludf.DUMMYFUNCTION("""COMPUTED_VALUE"""),"G-2")</f>
        <v>G-2</v>
      </c>
    </row>
    <row r="842">
      <c r="A842" s="2" t="str">
        <f>IFERROR(__xludf.DUMMYFUNCTION("""COMPUTED_VALUE"""),"P-15077-00")</f>
        <v>P-15077-00</v>
      </c>
      <c r="B842" s="2" t="str">
        <f>IFERROR(__xludf.DUMMYFUNCTION("""COMPUTED_VALUE"""),"General - Fitting KQ2H06-03AS; SMC; -; 1 pc")</f>
        <v>General - Fitting KQ2H06-03AS; SMC; -; 1 pc</v>
      </c>
      <c r="C842" s="2" t="str">
        <f>IFERROR(__xludf.DUMMYFUNCTION("""COMPUTED_VALUE"""),"pc")</f>
        <v>pc</v>
      </c>
      <c r="D842" s="2">
        <f>IFERROR(__xludf.DUMMYFUNCTION("""COMPUTED_VALUE"""),8.0)</f>
        <v>8</v>
      </c>
      <c r="E842" s="2" t="str">
        <f>IFERROR(__xludf.DUMMYFUNCTION("""COMPUTED_VALUE"""),"-")</f>
        <v>-</v>
      </c>
    </row>
    <row r="843">
      <c r="A843" s="2" t="str">
        <f>IFERROR(__xludf.DUMMYFUNCTION("""COMPUTED_VALUE"""),"O-54121-00")</f>
        <v>O-54121-00</v>
      </c>
      <c r="B843" s="2" t="str">
        <f>IFERROR(__xludf.DUMMYFUNCTION("""COMPUTED_VALUE"""),"Freeze Dryer MBE1207; - Oring 180X3.55; IMA Life Beijing; EB41-00357; 1 Pc")</f>
        <v>Freeze Dryer MBE1207; - Oring 180X3.55; IMA Life Beijing; EB41-00357; 1 Pc</v>
      </c>
      <c r="C843" s="2" t="str">
        <f>IFERROR(__xludf.DUMMYFUNCTION("""COMPUTED_VALUE"""),"pc")</f>
        <v>pc</v>
      </c>
      <c r="D843" s="2">
        <f>IFERROR(__xludf.DUMMYFUNCTION("""COMPUTED_VALUE"""),6.0)</f>
        <v>6</v>
      </c>
      <c r="E843" s="2" t="str">
        <f>IFERROR(__xludf.DUMMYFUNCTION("""COMPUTED_VALUE"""),"D-2-9A")</f>
        <v>D-2-9A</v>
      </c>
    </row>
    <row r="844">
      <c r="A844" s="2" t="str">
        <f>IFERROR(__xludf.DUMMYFUNCTION("""COMPUTED_VALUE"""),"P-18620-00")</f>
        <v>P-18620-00</v>
      </c>
      <c r="B844" s="2" t="str">
        <f>IFERROR(__xludf.DUMMYFUNCTION("""COMPUTED_VALUE"""),"Filling VFM100 - Piringan Loadcell SS304; No Brand; -; 1 Pc")</f>
        <v>Filling VFM100 - Piringan Loadcell SS304; No Brand; -; 1 Pc</v>
      </c>
      <c r="C844" s="2" t="str">
        <f>IFERROR(__xludf.DUMMYFUNCTION("""COMPUTED_VALUE"""),"pc")</f>
        <v>pc</v>
      </c>
      <c r="D844" s="2">
        <f>IFERROR(__xludf.DUMMYFUNCTION("""COMPUTED_VALUE"""),2.0)</f>
        <v>2</v>
      </c>
      <c r="E844" s="2"/>
    </row>
    <row r="845">
      <c r="A845" s="2" t="str">
        <f>IFERROR(__xludf.DUMMYFUNCTION("""COMPUTED_VALUE"""),"O-51678-00")</f>
        <v>O-51678-00</v>
      </c>
      <c r="B845" s="2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845" s="2" t="str">
        <f>IFERROR(__xludf.DUMMYFUNCTION("""COMPUTED_VALUE"""),"unt")</f>
        <v>unt</v>
      </c>
      <c r="D845" s="2">
        <f>IFERROR(__xludf.DUMMYFUNCTION("""COMPUTED_VALUE"""),1.0)</f>
        <v>1</v>
      </c>
      <c r="E845" s="2" t="str">
        <f>IFERROR(__xludf.DUMMYFUNCTION("""COMPUTED_VALUE"""),"D1")</f>
        <v>D1</v>
      </c>
    </row>
    <row r="846">
      <c r="A846" s="2" t="str">
        <f>IFERROR(__xludf.DUMMYFUNCTION("""COMPUTED_VALUE"""),"P-15429-00")</f>
        <v>P-15429-00</v>
      </c>
      <c r="B846" s="2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846" s="2" t="str">
        <f>IFERROR(__xludf.DUMMYFUNCTION("""COMPUTED_VALUE"""),"unt")</f>
        <v>unt</v>
      </c>
      <c r="D846" s="2">
        <f>IFERROR(__xludf.DUMMYFUNCTION("""COMPUTED_VALUE"""),4.0)</f>
        <v>4</v>
      </c>
      <c r="E846" s="2" t="str">
        <f>IFERROR(__xludf.DUMMYFUNCTION("""COMPUTED_VALUE"""),"F-4")</f>
        <v>F-4</v>
      </c>
    </row>
    <row r="847">
      <c r="A847" s="2" t="str">
        <f>IFERROR(__xludf.DUMMYFUNCTION("""COMPUTED_VALUE"""),"P-20285-00")</f>
        <v>P-20285-00</v>
      </c>
      <c r="B847" s="2" t="str">
        <f>IFERROR(__xludf.DUMMYFUNCTION("""COMPUTED_VALUE"""),"General - Cover Sensor Temp RH 110 x 150mm; Custom Agru; -; 1 pc")</f>
        <v>General - Cover Sensor Temp RH 110 x 150mm; Custom Agru; -; 1 pc</v>
      </c>
      <c r="C847" s="2" t="str">
        <f>IFERROR(__xludf.DUMMYFUNCTION("""COMPUTED_VALUE"""),"pc")</f>
        <v>pc</v>
      </c>
      <c r="D847" s="2">
        <f>IFERROR(__xludf.DUMMYFUNCTION("""COMPUTED_VALUE"""),1.0)</f>
        <v>1</v>
      </c>
      <c r="E847" s="2" t="str">
        <f>IFERROR(__xludf.DUMMYFUNCTION("""COMPUTED_VALUE"""),"-")</f>
        <v>-</v>
      </c>
    </row>
    <row r="848">
      <c r="A848" s="2" t="str">
        <f>IFERROR(__xludf.DUMMYFUNCTION("""COMPUTED_VALUE"""),"O-53392-00")</f>
        <v>O-53392-00</v>
      </c>
      <c r="B848" s="2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848" s="2" t="str">
        <f>IFERROR(__xludf.DUMMYFUNCTION("""COMPUTED_VALUE"""),"pc")</f>
        <v>pc</v>
      </c>
      <c r="D848" s="2">
        <f>IFERROR(__xludf.DUMMYFUNCTION("""COMPUTED_VALUE"""),2.0)</f>
        <v>2</v>
      </c>
      <c r="E848" s="2" t="str">
        <f>IFERROR(__xludf.DUMMYFUNCTION("""COMPUTED_VALUE"""),"-")</f>
        <v>-</v>
      </c>
    </row>
    <row r="849">
      <c r="A849" s="2" t="str">
        <f>IFERROR(__xludf.DUMMYFUNCTION("""COMPUTED_VALUE"""),"O-51771-00")</f>
        <v>O-51771-00</v>
      </c>
      <c r="B849" s="2" t="str">
        <f>IFERROR(__xludf.DUMMYFUNCTION("""COMPUTED_VALUE"""),"General - 2-CHANNEL DIGITAL OUTPUT MODULE STD PACK; ; ;; Wago; 750-501; 1 Pc")</f>
        <v>General - 2-CHANNEL DIGITAL OUTPUT MODULE STD PACK; ; ;; Wago; 750-501; 1 Pc</v>
      </c>
      <c r="C849" s="2" t="str">
        <f>IFERROR(__xludf.DUMMYFUNCTION("""COMPUTED_VALUE"""),"unt")</f>
        <v>unt</v>
      </c>
      <c r="D849" s="2">
        <f>IFERROR(__xludf.DUMMYFUNCTION("""COMPUTED_VALUE"""),2.0)</f>
        <v>2</v>
      </c>
      <c r="E849" s="2" t="str">
        <f>IFERROR(__xludf.DUMMYFUNCTION("""COMPUTED_VALUE"""),"B-3-4A")</f>
        <v>B-3-4A</v>
      </c>
    </row>
    <row r="850">
      <c r="A850" s="2" t="str">
        <f>IFERROR(__xludf.DUMMYFUNCTION("""COMPUTED_VALUE"""),"P-50943-00")</f>
        <v>P-50943-00</v>
      </c>
      <c r="B850" s="2" t="str">
        <f>IFERROR(__xludf.DUMMYFUNCTION("""COMPUTED_VALUE"""),"General - Flexible Conduit Putih dia. 20mm; BOSS; -; 50m/roll")</f>
        <v>General - Flexible Conduit Putih dia. 20mm; BOSS; -; 50m/roll</v>
      </c>
      <c r="C850" s="2" t="str">
        <f>IFERROR(__xludf.DUMMYFUNCTION("""COMPUTED_VALUE"""),"pc")</f>
        <v>pc</v>
      </c>
      <c r="D850" s="2">
        <f>IFERROR(__xludf.DUMMYFUNCTION("""COMPUTED_VALUE"""),1.0)</f>
        <v>1</v>
      </c>
      <c r="E850" s="2" t="str">
        <f>IFERROR(__xludf.DUMMYFUNCTION("""COMPUTED_VALUE"""),"L3")</f>
        <v>L3</v>
      </c>
    </row>
    <row r="851">
      <c r="A851" s="2" t="str">
        <f>IFERROR(__xludf.DUMMYFUNCTION("""COMPUTED_VALUE"""),"P-14980-00")</f>
        <v>P-14980-00</v>
      </c>
      <c r="B851" s="2" t="str">
        <f>IFERROR(__xludf.DUMMYFUNCTION("""COMPUTED_VALUE"""),"General - Seal Ferrule Teflon 3/4inch; No Brand; -; 1 pcs")</f>
        <v>General - Seal Ferrule Teflon 3/4inch; No Brand; -; 1 pcs</v>
      </c>
      <c r="C851" s="2" t="str">
        <f>IFERROR(__xludf.DUMMYFUNCTION("""COMPUTED_VALUE"""),"pc")</f>
        <v>pc</v>
      </c>
      <c r="D851" s="2">
        <f>IFERROR(__xludf.DUMMYFUNCTION("""COMPUTED_VALUE"""),34.0)</f>
        <v>34</v>
      </c>
      <c r="E851" s="2" t="str">
        <f>IFERROR(__xludf.DUMMYFUNCTION("""COMPUTED_VALUE"""),"M3")</f>
        <v>M3</v>
      </c>
    </row>
    <row r="852">
      <c r="A852" s="2" t="str">
        <f>IFERROR(__xludf.DUMMYFUNCTION("""COMPUTED_VALUE"""),"O-52250-00")</f>
        <v>O-52250-00</v>
      </c>
      <c r="B852" s="2" t="str">
        <f>IFERROR(__xludf.DUMMYFUNCTION("""COMPUTED_VALUE"""),"General - END Module; Wago; 750-600; 1 Pc")</f>
        <v>General - END Module; Wago; 750-600; 1 Pc</v>
      </c>
      <c r="C852" s="2" t="str">
        <f>IFERROR(__xludf.DUMMYFUNCTION("""COMPUTED_VALUE"""),"pc")</f>
        <v>pc</v>
      </c>
      <c r="D852" s="2">
        <f>IFERROR(__xludf.DUMMYFUNCTION("""COMPUTED_VALUE"""),1.0)</f>
        <v>1</v>
      </c>
      <c r="E852" s="2" t="str">
        <f>IFERROR(__xludf.DUMMYFUNCTION("""COMPUTED_VALUE"""),"B-3-6C")</f>
        <v>B-3-6C</v>
      </c>
    </row>
    <row r="853">
      <c r="A853" s="2" t="str">
        <f>IFERROR(__xludf.DUMMYFUNCTION("""COMPUTED_VALUE"""),"P-50562-00")</f>
        <v>P-50562-00</v>
      </c>
      <c r="B853" s="2" t="str">
        <f>IFERROR(__xludf.DUMMYFUNCTION("""COMPUTED_VALUE"""),"Socket Relay PF083A-E; Omron; PF083A; 1 pieces")</f>
        <v>Socket Relay PF083A-E; Omron; PF083A; 1 pieces</v>
      </c>
      <c r="C853" s="2" t="str">
        <f>IFERROR(__xludf.DUMMYFUNCTION("""COMPUTED_VALUE"""),"pc")</f>
        <v>pc</v>
      </c>
      <c r="D853" s="2">
        <f>IFERROR(__xludf.DUMMYFUNCTION("""COMPUTED_VALUE"""),3.0)</f>
        <v>3</v>
      </c>
      <c r="E853" s="2" t="str">
        <f>IFERROR(__xludf.DUMMYFUNCTION("""COMPUTED_VALUE"""),"B-4")</f>
        <v>B-4</v>
      </c>
    </row>
    <row r="854">
      <c r="A854" s="2" t="str">
        <f>IFERROR(__xludf.DUMMYFUNCTION("""COMPUTED_VALUE"""),"O-18348-00")</f>
        <v>O-18348-00</v>
      </c>
      <c r="B854" s="2" t="str">
        <f>IFERROR(__xludf.DUMMYFUNCTION("""COMPUTED_VALUE"""),"Tunnel Machine - Connections AISI 304 - 1/8 Inch for Tunnel Inflatable Gasket Substitution Dia. Tube 6; ; ;; Steriline; 3427; 1 Pc")</f>
        <v>Tunnel Machine - Connections AISI 304 - 1/8 Inch for Tunnel Inflatable Gasket Substitution Dia. Tube 6; ; ;; Steriline; 3427; 1 Pc</v>
      </c>
      <c r="C854" s="2" t="str">
        <f>IFERROR(__xludf.DUMMYFUNCTION("""COMPUTED_VALUE"""),"pc")</f>
        <v>pc</v>
      </c>
      <c r="D854" s="2">
        <f>IFERROR(__xludf.DUMMYFUNCTION("""COMPUTED_VALUE"""),2.0)</f>
        <v>2</v>
      </c>
      <c r="E854" s="2" t="str">
        <f>IFERROR(__xludf.DUMMYFUNCTION("""COMPUTED_VALUE"""),"B-1-1B")</f>
        <v>B-1-1B</v>
      </c>
    </row>
    <row r="855">
      <c r="A855" s="2" t="str">
        <f>IFERROR(__xludf.DUMMYFUNCTION("""COMPUTED_VALUE"""),"O-20094-00")</f>
        <v>O-20094-00</v>
      </c>
      <c r="B855" s="2" t="str">
        <f>IFERROR(__xludf.DUMMYFUNCTION("""COMPUTED_VALUE"""),"Washing RAR4 - Plate Washing Spraying 166x20mm,; Custom/Lokal; ; 1 Pc")</f>
        <v>Washing RAR4 - Plate Washing Spraying 166x20mm,; Custom/Lokal; ; 1 Pc</v>
      </c>
      <c r="C855" s="2" t="str">
        <f>IFERROR(__xludf.DUMMYFUNCTION("""COMPUTED_VALUE"""),"pc")</f>
        <v>pc</v>
      </c>
      <c r="D855" s="2">
        <f>IFERROR(__xludf.DUMMYFUNCTION("""COMPUTED_VALUE"""),1.0)</f>
        <v>1</v>
      </c>
      <c r="E855" s="2"/>
    </row>
    <row r="856">
      <c r="A856" s="2" t="str">
        <f>IFERROR(__xludf.DUMMYFUNCTION("""COMPUTED_VALUE"""),"P-54351-00")</f>
        <v>P-54351-00</v>
      </c>
      <c r="B856" s="2" t="str">
        <f>IFERROR(__xludf.DUMMYFUNCTION("""COMPUTED_VALUE"""),"General - Carbon Brush Set Mini Grinder MG005; No Brand; -; 1 set")</f>
        <v>General - Carbon Brush Set Mini Grinder MG005; No Brand; -; 1 set</v>
      </c>
      <c r="C856" s="2" t="str">
        <f>IFERROR(__xludf.DUMMYFUNCTION("""COMPUTED_VALUE"""),"ST")</f>
        <v>ST</v>
      </c>
      <c r="D856" s="2">
        <f>IFERROR(__xludf.DUMMYFUNCTION("""COMPUTED_VALUE"""),2.0)</f>
        <v>2</v>
      </c>
      <c r="E856" s="2"/>
    </row>
    <row r="857">
      <c r="A857" s="2" t="str">
        <f>IFERROR(__xludf.DUMMYFUNCTION("""COMPUTED_VALUE"""),"P-11392-00")</f>
        <v>P-11392-00</v>
      </c>
      <c r="B857" s="2" t="str">
        <f>IFERROR(__xludf.DUMMYFUNCTION("""COMPUTED_VALUE"""),"General - Seal Ferrule EPDM 2inch; No Brand; -; 1 pcs")</f>
        <v>General - Seal Ferrule EPDM 2inch; No Brand; -; 1 pcs</v>
      </c>
      <c r="C857" s="2" t="str">
        <f>IFERROR(__xludf.DUMMYFUNCTION("""COMPUTED_VALUE"""),"pc")</f>
        <v>pc</v>
      </c>
      <c r="D857" s="2">
        <f>IFERROR(__xludf.DUMMYFUNCTION("""COMPUTED_VALUE"""),30.0)</f>
        <v>30</v>
      </c>
      <c r="E857" s="2" t="str">
        <f>IFERROR(__xludf.DUMMYFUNCTION("""COMPUTED_VALUE"""),"M3")</f>
        <v>M3</v>
      </c>
    </row>
    <row r="858">
      <c r="A858" s="2" t="str">
        <f>IFERROR(__xludf.DUMMYFUNCTION("""COMPUTED_VALUE"""),"P-19274-00")</f>
        <v>P-19274-00</v>
      </c>
      <c r="B858" s="2" t="str">
        <f>IFERROR(__xludf.DUMMYFUNCTION("""COMPUTED_VALUE"""),"General - Set swivel plate process valve 2000-A-2-20,0-EE-RG-GM85-B-D MC13+MS74+PX51, 2/2 Ways; Burkert; 185356; 1 pcs")</f>
        <v>General - Set swivel plate process valve 2000-A-2-20,0-EE-RG-GM85-B-D MC13+MS74+PX51, 2/2 Ways; Burkert; 185356; 1 pcs</v>
      </c>
      <c r="C858" s="2" t="str">
        <f>IFERROR(__xludf.DUMMYFUNCTION("""COMPUTED_VALUE"""),"pc")</f>
        <v>pc</v>
      </c>
      <c r="D858" s="2">
        <f>IFERROR(__xludf.DUMMYFUNCTION("""COMPUTED_VALUE"""),4.0)</f>
        <v>4</v>
      </c>
      <c r="E858" s="2" t="str">
        <f>IFERROR(__xludf.DUMMYFUNCTION("""COMPUTED_VALUE"""),"L4")</f>
        <v>L4</v>
      </c>
    </row>
    <row r="859">
      <c r="A859" s="2" t="str">
        <f>IFERROR(__xludf.DUMMYFUNCTION("""COMPUTED_VALUE"""),"P-54550-00")</f>
        <v>P-54550-00</v>
      </c>
      <c r="B859" s="2" t="str">
        <f>IFERROR(__xludf.DUMMYFUNCTION("""COMPUTED_VALUE"""),"General - Inline Fan Duct Size 6,4 Inch 755CMH; CKE; CI CDI160AZ; 1 pc")</f>
        <v>General - Inline Fan Duct Size 6,4 Inch 755CMH; CKE; CI CDI160AZ; 1 pc</v>
      </c>
      <c r="C859" s="2" t="str">
        <f>IFERROR(__xludf.DUMMYFUNCTION("""COMPUTED_VALUE"""),"pc")</f>
        <v>pc</v>
      </c>
      <c r="D859" s="2">
        <f>IFERROR(__xludf.DUMMYFUNCTION("""COMPUTED_VALUE"""),1.0)</f>
        <v>1</v>
      </c>
      <c r="E859" s="2" t="str">
        <f>IFERROR(__xludf.DUMMYFUNCTION("""COMPUTED_VALUE"""),"-")</f>
        <v>-</v>
      </c>
    </row>
    <row r="860">
      <c r="A860" s="2" t="str">
        <f>IFERROR(__xludf.DUMMYFUNCTION("""COMPUTED_VALUE"""),"O-18356-00")</f>
        <v>O-18356-00</v>
      </c>
      <c r="B860" s="2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860" s="2" t="str">
        <f>IFERROR(__xludf.DUMMYFUNCTION("""COMPUTED_VALUE"""),"m")</f>
        <v>m</v>
      </c>
      <c r="D860" s="2">
        <f>IFERROR(__xludf.DUMMYFUNCTION("""COMPUTED_VALUE"""),6.0)</f>
        <v>6</v>
      </c>
      <c r="E860" s="2" t="str">
        <f>IFERROR(__xludf.DUMMYFUNCTION("""COMPUTED_VALUE"""),"-")</f>
        <v>-</v>
      </c>
    </row>
    <row r="861">
      <c r="A861" s="2" t="str">
        <f>IFERROR(__xludf.DUMMYFUNCTION("""COMPUTED_VALUE"""),"P-15437-00")</f>
        <v>P-15437-00</v>
      </c>
      <c r="B861" s="2" t="str">
        <f>IFERROR(__xludf.DUMMYFUNCTION("""COMPUTED_VALUE"""),"CABLE SPIRAL WRAPPING, TYPE KS24, BRAND KSS; ; ;")</f>
        <v>CABLE SPIRAL WRAPPING, TYPE KS24, BRAND KSS; ; ;</v>
      </c>
      <c r="C861" s="2" t="str">
        <f>IFERROR(__xludf.DUMMYFUNCTION("""COMPUTED_VALUE"""),"Pck")</f>
        <v>Pck</v>
      </c>
      <c r="D861" s="2">
        <f>IFERROR(__xludf.DUMMYFUNCTION("""COMPUTED_VALUE"""),1.0)</f>
        <v>1</v>
      </c>
      <c r="E861" s="2" t="str">
        <f>IFERROR(__xludf.DUMMYFUNCTION("""COMPUTED_VALUE"""),"K4")</f>
        <v>K4</v>
      </c>
    </row>
    <row r="862">
      <c r="A862" s="2" t="str">
        <f>IFERROR(__xludf.DUMMYFUNCTION("""COMPUTED_VALUE"""),"O-15822-00")</f>
        <v>O-15822-00</v>
      </c>
      <c r="B862" s="2" t="str">
        <f>IFERROR(__xludf.DUMMYFUNCTION("""COMPUTED_VALUE"""),"General - MCB C60H 1 phase 1 pole 10 A; Schneider; -; 1 Pc")</f>
        <v>General - MCB C60H 1 phase 1 pole 10 A; Schneider; -; 1 Pc</v>
      </c>
      <c r="C862" s="2" t="str">
        <f>IFERROR(__xludf.DUMMYFUNCTION("""COMPUTED_VALUE"""),"pc")</f>
        <v>pc</v>
      </c>
      <c r="D862" s="2">
        <f>IFERROR(__xludf.DUMMYFUNCTION("""COMPUTED_VALUE"""),1.0)</f>
        <v>1</v>
      </c>
      <c r="E862" s="2" t="str">
        <f>IFERROR(__xludf.DUMMYFUNCTION("""COMPUTED_VALUE"""),"S-3-1")</f>
        <v>S-3-1</v>
      </c>
    </row>
    <row r="863">
      <c r="A863" s="2" t="str">
        <f>IFERROR(__xludf.DUMMYFUNCTION("""COMPUTED_VALUE"""),"P-54462-00")</f>
        <v>P-54462-00</v>
      </c>
      <c r="B863" s="2" t="str">
        <f>IFERROR(__xludf.DUMMYFUNCTION("""COMPUTED_VALUE"""),"General - MCB 6A 1Phase Domae; Schneider; DOMF01106; 1 pc")</f>
        <v>General - MCB 6A 1Phase Domae; Schneider; DOMF01106; 1 pc</v>
      </c>
      <c r="C863" s="2" t="str">
        <f>IFERROR(__xludf.DUMMYFUNCTION("""COMPUTED_VALUE"""),"pc")</f>
        <v>pc</v>
      </c>
      <c r="D863" s="2">
        <f>IFERROR(__xludf.DUMMYFUNCTION("""COMPUTED_VALUE"""),2.0)</f>
        <v>2</v>
      </c>
      <c r="E863" s="2" t="str">
        <f>IFERROR(__xludf.DUMMYFUNCTION("""COMPUTED_VALUE"""),"-")</f>
        <v>-</v>
      </c>
    </row>
    <row r="864">
      <c r="A864" s="2" t="str">
        <f>IFERROR(__xludf.DUMMYFUNCTION("""COMPUTED_VALUE"""),"P-19731-00")</f>
        <v>P-19731-00</v>
      </c>
      <c r="B864" s="2" t="str">
        <f>IFERROR(__xludf.DUMMYFUNCTION("""COMPUTED_VALUE"""),"General - Solenoid Valve 1 inch SS 304, UWS-25-E2; EMC; -; 1 pc")</f>
        <v>General - Solenoid Valve 1 inch SS 304, UWS-25-E2; EMC; -; 1 pc</v>
      </c>
      <c r="C864" s="2" t="str">
        <f>IFERROR(__xludf.DUMMYFUNCTION("""COMPUTED_VALUE"""),"pc")</f>
        <v>pc</v>
      </c>
      <c r="D864" s="2">
        <f>IFERROR(__xludf.DUMMYFUNCTION("""COMPUTED_VALUE"""),3.0)</f>
        <v>3</v>
      </c>
      <c r="E864" s="2" t="str">
        <f>IFERROR(__xludf.DUMMYFUNCTION("""COMPUTED_VALUE"""),"L-3")</f>
        <v>L-3</v>
      </c>
    </row>
    <row r="865">
      <c r="A865" s="2" t="str">
        <f>IFERROR(__xludf.DUMMYFUNCTION("""COMPUTED_VALUE"""),"O-15915-00")</f>
        <v>O-15915-00</v>
      </c>
      <c r="B865" s="2" t="str">
        <f>IFERROR(__xludf.DUMMYFUNCTION("""COMPUTED_VALUE"""),"Fedegari FVA2/A1 - DN16 ASTM CAP; Code : PM102747; ; ;")</f>
        <v>Fedegari FVA2/A1 - DN16 ASTM CAP; Code : PM102747; ; ;</v>
      </c>
      <c r="C865" s="2" t="str">
        <f>IFERROR(__xludf.DUMMYFUNCTION("""COMPUTED_VALUE"""),"unt")</f>
        <v>unt</v>
      </c>
      <c r="D865" s="2">
        <f>IFERROR(__xludf.DUMMYFUNCTION("""COMPUTED_VALUE"""),1.0)</f>
        <v>1</v>
      </c>
      <c r="E865" s="2"/>
    </row>
    <row r="866">
      <c r="A866" s="2" t="str">
        <f>IFERROR(__xludf.DUMMYFUNCTION("""COMPUTED_VALUE"""),"P-12195-00")</f>
        <v>P-12195-00</v>
      </c>
      <c r="B866" s="2" t="str">
        <f>IFERROR(__xludf.DUMMYFUNCTION("""COMPUTED_VALUE"""),"Elbow SS 316 L dia 1inch")</f>
        <v>Elbow SS 316 L dia 1inch</v>
      </c>
      <c r="C866" s="2" t="str">
        <f>IFERROR(__xludf.DUMMYFUNCTION("""COMPUTED_VALUE"""),"pc")</f>
        <v>pc</v>
      </c>
      <c r="D866" s="2">
        <f>IFERROR(__xludf.DUMMYFUNCTION("""COMPUTED_VALUE"""),6.0)</f>
        <v>6</v>
      </c>
      <c r="E866" s="2" t="str">
        <f>IFERROR(__xludf.DUMMYFUNCTION("""COMPUTED_VALUE"""),"R-2-13")</f>
        <v>R-2-13</v>
      </c>
    </row>
    <row r="867">
      <c r="A867" s="2" t="str">
        <f>IFERROR(__xludf.DUMMYFUNCTION("""COMPUTED_VALUE"""),"P-20020-00")</f>
        <v>P-20020-00</v>
      </c>
      <c r="B867" s="2" t="str">
        <f>IFERROR(__xludf.DUMMYFUNCTION("""COMPUTED_VALUE"""),"General - Besi UNP 100 x 50 x 3mm; No Brand; -; 1 pc")</f>
        <v>General - Besi UNP 100 x 50 x 3mm; No Brand; -; 1 pc</v>
      </c>
      <c r="C867" s="2" t="str">
        <f>IFERROR(__xludf.DUMMYFUNCTION("""COMPUTED_VALUE"""),"pc")</f>
        <v>pc</v>
      </c>
      <c r="D867" s="2">
        <f>IFERROR(__xludf.DUMMYFUNCTION("""COMPUTED_VALUE"""),8.0)</f>
        <v>8</v>
      </c>
      <c r="E867" s="2"/>
    </row>
    <row r="868">
      <c r="A868" s="2" t="str">
        <f>IFERROR(__xludf.DUMMYFUNCTION("""COMPUTED_VALUE"""),"P-10729-00")</f>
        <v>P-10729-00</v>
      </c>
      <c r="B868" s="2" t="str">
        <f>IFERROR(__xludf.DUMMYFUNCTION("""COMPUTED_VALUE"""),"General - Contact cleaner WD 40; No Brand; -; 382gr/can")</f>
        <v>General - Contact cleaner WD 40; No Brand; -; 382gr/can</v>
      </c>
      <c r="C868" s="2" t="str">
        <f>IFERROR(__xludf.DUMMYFUNCTION("""COMPUTED_VALUE"""),"pc")</f>
        <v>pc</v>
      </c>
      <c r="D868" s="2">
        <f>IFERROR(__xludf.DUMMYFUNCTION("""COMPUTED_VALUE"""),1.0)</f>
        <v>1</v>
      </c>
      <c r="E868" s="2" t="str">
        <f>IFERROR(__xludf.DUMMYFUNCTION("""COMPUTED_VALUE"""),"Flammable")</f>
        <v>Flammable</v>
      </c>
    </row>
    <row r="869">
      <c r="A869" s="2" t="str">
        <f>IFERROR(__xludf.DUMMYFUNCTION("""COMPUTED_VALUE"""),"O-21089-00")</f>
        <v>O-21089-00</v>
      </c>
      <c r="B869" s="2" t="str">
        <f>IFERROR(__xludf.DUMMYFUNCTION("""COMPUTED_VALUE"""),"Capping VCM200 - Oil Seal 20x28x4mm; NBR; -; 1 Pc")</f>
        <v>Capping VCM200 - Oil Seal 20x28x4mm; NBR; -; 1 Pc</v>
      </c>
      <c r="C869" s="2" t="str">
        <f>IFERROR(__xludf.DUMMYFUNCTION("""COMPUTED_VALUE"""),"pc")</f>
        <v>pc</v>
      </c>
      <c r="D869" s="2">
        <f>IFERROR(__xludf.DUMMYFUNCTION("""COMPUTED_VALUE"""),1.0)</f>
        <v>1</v>
      </c>
      <c r="E869" s="2"/>
    </row>
    <row r="870">
      <c r="A870" s="2" t="str">
        <f>IFERROR(__xludf.DUMMYFUNCTION("""COMPUTED_VALUE"""),"P-54506-00")</f>
        <v>P-54506-00</v>
      </c>
      <c r="B870" s="2" t="str">
        <f>IFERROR(__xludf.DUMMYFUNCTION("""COMPUTED_VALUE"""),"General - Sensor Stick Flow Probe MFS-R-500; Micatrone; -; 1 unit")</f>
        <v>General - Sensor Stick Flow Probe MFS-R-500; Micatrone; -; 1 unit</v>
      </c>
      <c r="C870" s="2" t="str">
        <f>IFERROR(__xludf.DUMMYFUNCTION("""COMPUTED_VALUE"""),"unt")</f>
        <v>unt</v>
      </c>
      <c r="D870" s="2">
        <f>IFERROR(__xludf.DUMMYFUNCTION("""COMPUTED_VALUE"""),2.0)</f>
        <v>2</v>
      </c>
      <c r="E870" s="2" t="str">
        <f>IFERROR(__xludf.DUMMYFUNCTION("""COMPUTED_VALUE"""),"S-3-7")</f>
        <v>S-3-7</v>
      </c>
    </row>
    <row r="871">
      <c r="A871" s="2" t="str">
        <f>IFERROR(__xludf.DUMMYFUNCTION("""COMPUTED_VALUE"""),"O-52878-00")</f>
        <v>O-52878-00</v>
      </c>
      <c r="B871" s="2" t="str">
        <f>IFERROR(__xludf.DUMMYFUNCTION("""COMPUTED_VALUE"""),"General - Heat Sink untuk SSR; Fotex; -; 1 Pc")</f>
        <v>General - Heat Sink untuk SSR; Fotex; -; 1 Pc</v>
      </c>
      <c r="C871" s="2" t="str">
        <f>IFERROR(__xludf.DUMMYFUNCTION("""COMPUTED_VALUE"""),"pc")</f>
        <v>pc</v>
      </c>
      <c r="D871" s="2">
        <f>IFERROR(__xludf.DUMMYFUNCTION("""COMPUTED_VALUE"""),5.0)</f>
        <v>5</v>
      </c>
      <c r="E871" s="2" t="str">
        <f>IFERROR(__xludf.DUMMYFUNCTION("""COMPUTED_VALUE"""),"-")</f>
        <v>-</v>
      </c>
    </row>
    <row r="872">
      <c r="A872" s="2" t="str">
        <f>IFERROR(__xludf.DUMMYFUNCTION("""COMPUTED_VALUE"""),"O-17285-00")</f>
        <v>O-17285-00</v>
      </c>
      <c r="B872" s="2" t="str">
        <f>IFERROR(__xludf.DUMMYFUNCTION("""COMPUTED_VALUE"""),"Freeze Dryer MBE1207 - Main Valve Bellow SUS316L ST105*75; Sealtech; -; 1 pc")</f>
        <v>Freeze Dryer MBE1207 - Main Valve Bellow SUS316L ST105*75; Sealtech; -; 1 pc</v>
      </c>
      <c r="C872" s="2" t="str">
        <f>IFERROR(__xludf.DUMMYFUNCTION("""COMPUTED_VALUE"""),"unt")</f>
        <v>unt</v>
      </c>
      <c r="D872" s="2">
        <f>IFERROR(__xludf.DUMMYFUNCTION("""COMPUTED_VALUE"""),1.0)</f>
        <v>1</v>
      </c>
      <c r="E872" s="2" t="str">
        <f>IFERROR(__xludf.DUMMYFUNCTION("""COMPUTED_VALUE"""),"Sparepart")</f>
        <v>Sparepart</v>
      </c>
    </row>
    <row r="873">
      <c r="A873" s="2" t="str">
        <f>IFERROR(__xludf.DUMMYFUNCTION("""COMPUTED_VALUE"""),"P-53400-00")</f>
        <v>P-53400-00</v>
      </c>
      <c r="B873" s="2" t="str">
        <f>IFERROR(__xludf.DUMMYFUNCTION("""COMPUTED_VALUE"""),"General - Gearbox, Ratio I=14.5, Frame 090, DIM. 30x60, Flange Mounted, Helical Gear; Motovario; HA52 F; 1 unit")</f>
        <v>General - Gearbox, Ratio I=14.5, Frame 090, DIM. 30x60, Flange Mounted, Helical Gear; Motovario; HA52 F; 1 unit</v>
      </c>
      <c r="C873" s="2" t="str">
        <f>IFERROR(__xludf.DUMMYFUNCTION("""COMPUTED_VALUE"""),"unt")</f>
        <v>unt</v>
      </c>
      <c r="D873" s="2">
        <f>IFERROR(__xludf.DUMMYFUNCTION("""COMPUTED_VALUE"""),2.0)</f>
        <v>2</v>
      </c>
      <c r="E873" s="2" t="str">
        <f>IFERROR(__xludf.DUMMYFUNCTION("""COMPUTED_VALUE"""),"P-2")</f>
        <v>P-2</v>
      </c>
    </row>
    <row r="874">
      <c r="A874" s="2" t="str">
        <f>IFERROR(__xludf.DUMMYFUNCTION("""COMPUTED_VALUE"""),"P-11183-00")</f>
        <v>P-11183-00</v>
      </c>
      <c r="B874" s="2" t="str">
        <f>IFERROR(__xludf.DUMMYFUNCTION("""COMPUTED_VALUE"""),"General - Push-in Connector, QS-6-4; Festo; 153037; 1 pcs")</f>
        <v>General - Push-in Connector, QS-6-4; Festo; 153037; 1 pcs</v>
      </c>
      <c r="C874" s="2" t="str">
        <f>IFERROR(__xludf.DUMMYFUNCTION("""COMPUTED_VALUE"""),"pc")</f>
        <v>pc</v>
      </c>
      <c r="D874" s="2">
        <f>IFERROR(__xludf.DUMMYFUNCTION("""COMPUTED_VALUE"""),8.0)</f>
        <v>8</v>
      </c>
      <c r="E874" s="2" t="str">
        <f>IFERROR(__xludf.DUMMYFUNCTION("""COMPUTED_VALUE"""),"R-4-7")</f>
        <v>R-4-7</v>
      </c>
    </row>
    <row r="875">
      <c r="A875" s="2" t="str">
        <f>IFERROR(__xludf.DUMMYFUNCTION("""COMPUTED_VALUE"""),"P-52685-00")</f>
        <v>P-52685-00</v>
      </c>
      <c r="B875" s="2" t="str">
        <f>IFERROR(__xludf.DUMMYFUNCTION("""COMPUTED_VALUE"""),"General - Power Supply 24VDC, 6A; Fort; S-145-24; 1 pc")</f>
        <v>General - Power Supply 24VDC, 6A; Fort; S-145-24; 1 pc</v>
      </c>
      <c r="C875" s="2" t="str">
        <f>IFERROR(__xludf.DUMMYFUNCTION("""COMPUTED_VALUE"""),"pc")</f>
        <v>pc</v>
      </c>
      <c r="D875" s="2">
        <f>IFERROR(__xludf.DUMMYFUNCTION("""COMPUTED_VALUE"""),1.0)</f>
        <v>1</v>
      </c>
      <c r="E875" s="2" t="str">
        <f>IFERROR(__xludf.DUMMYFUNCTION("""COMPUTED_VALUE"""),"I-3-4")</f>
        <v>I-3-4</v>
      </c>
    </row>
    <row r="876">
      <c r="A876" s="2" t="str">
        <f>IFERROR(__xludf.DUMMYFUNCTION("""COMPUTED_VALUE"""),"P-12286-00")</f>
        <v>P-12286-00</v>
      </c>
      <c r="B876" s="2" t="str">
        <f>IFERROR(__xludf.DUMMYFUNCTION("""COMPUTED_VALUE"""),"FESTO - QS-3/8-6 Push-In fitting p/n 190645")</f>
        <v>FESTO - QS-3/8-6 Push-In fitting p/n 190645</v>
      </c>
      <c r="C876" s="2" t="str">
        <f>IFERROR(__xludf.DUMMYFUNCTION("""COMPUTED_VALUE"""),"pc")</f>
        <v>pc</v>
      </c>
      <c r="D876" s="2">
        <f>IFERROR(__xludf.DUMMYFUNCTION("""COMPUTED_VALUE"""),20.0)</f>
        <v>20</v>
      </c>
      <c r="E876" s="2" t="str">
        <f>IFERROR(__xludf.DUMMYFUNCTION("""COMPUTED_VALUE"""),"R-4-8")</f>
        <v>R-4-8</v>
      </c>
    </row>
    <row r="877">
      <c r="A877" s="2" t="str">
        <f>IFERROR(__xludf.DUMMYFUNCTION("""COMPUTED_VALUE"""),"O-20498-00")</f>
        <v>O-20498-00</v>
      </c>
      <c r="B877" s="2" t="str">
        <f>IFERROR(__xludf.DUMMYFUNCTION("""COMPUTED_VALUE"""),"General - Gearbox Naik Turun Turet; Bonfiglioli; VF30 P 7 B3; 1 Pc")</f>
        <v>General - Gearbox Naik Turun Turet; Bonfiglioli; VF30 P 7 B3; 1 Pc</v>
      </c>
      <c r="C877" s="2" t="str">
        <f>IFERROR(__xludf.DUMMYFUNCTION("""COMPUTED_VALUE"""),"pc")</f>
        <v>pc</v>
      </c>
      <c r="D877" s="2">
        <f>IFERROR(__xludf.DUMMYFUNCTION("""COMPUTED_VALUE"""),1.0)</f>
        <v>1</v>
      </c>
      <c r="E877" s="2" t="str">
        <f>IFERROR(__xludf.DUMMYFUNCTION("""COMPUTED_VALUE"""),"-")</f>
        <v>-</v>
      </c>
    </row>
    <row r="878">
      <c r="A878" s="2" t="str">
        <f>IFERROR(__xludf.DUMMYFUNCTION("""COMPUTED_VALUE"""),"O-50697-00")</f>
        <v>O-50697-00</v>
      </c>
      <c r="B878" s="2" t="str">
        <f>IFERROR(__xludf.DUMMYFUNCTION("""COMPUTED_VALUE"""),"Autoclave Fedegari FOF / 6 AC - P/N. KK000304-KIT RICAMBI VALV.DN16 ON-OFF")</f>
        <v>Autoclave Fedegari FOF / 6 AC - P/N. KK000304-KIT RICAMBI VALV.DN16 ON-OFF</v>
      </c>
      <c r="C878" s="2" t="str">
        <f>IFERROR(__xludf.DUMMYFUNCTION("""COMPUTED_VALUE"""),"pc")</f>
        <v>pc</v>
      </c>
      <c r="D878" s="2">
        <f>IFERROR(__xludf.DUMMYFUNCTION("""COMPUTED_VALUE"""),5.0)</f>
        <v>5</v>
      </c>
      <c r="E878" s="2" t="str">
        <f>IFERROR(__xludf.DUMMYFUNCTION("""COMPUTED_VALUE"""),"H-3-13")</f>
        <v>H-3-13</v>
      </c>
    </row>
    <row r="879">
      <c r="A879" s="2" t="str">
        <f>IFERROR(__xludf.DUMMYFUNCTION("""COMPUTED_VALUE"""),"O-17960-00")</f>
        <v>O-17960-00</v>
      </c>
      <c r="B879" s="2" t="str">
        <f>IFERROR(__xludf.DUMMYFUNCTION("""COMPUTED_VALUE"""),"General - Mixer Male Bearing, GMP, pH Range: pH1 pH14, 1/pack; NovAseptic; G10-012; 1 Pc")</f>
        <v>General - Mixer Male Bearing, GMP, pH Range: pH1 pH14, 1/pack; NovAseptic; G10-012; 1 Pc</v>
      </c>
      <c r="C879" s="2" t="str">
        <f>IFERROR(__xludf.DUMMYFUNCTION("""COMPUTED_VALUE"""),"Pck")</f>
        <v>Pck</v>
      </c>
      <c r="D879" s="2">
        <f>IFERROR(__xludf.DUMMYFUNCTION("""COMPUTED_VALUE"""),1.0)</f>
        <v>1</v>
      </c>
      <c r="E879" s="2" t="str">
        <f>IFERROR(__xludf.DUMMYFUNCTION("""COMPUTED_VALUE"""),"E-4")</f>
        <v>E-4</v>
      </c>
    </row>
    <row r="880">
      <c r="A880" s="2" t="str">
        <f>IFERROR(__xludf.DUMMYFUNCTION("""COMPUTED_VALUE"""),"O-21484-00")</f>
        <v>O-21484-00</v>
      </c>
      <c r="B880" s="2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880" s="2" t="str">
        <f>IFERROR(__xludf.DUMMYFUNCTION("""COMPUTED_VALUE"""),"pc")</f>
        <v>pc</v>
      </c>
      <c r="D880" s="2">
        <f>IFERROR(__xludf.DUMMYFUNCTION("""COMPUTED_VALUE"""),17.0)</f>
        <v>17</v>
      </c>
      <c r="E880" s="2" t="str">
        <f>IFERROR(__xludf.DUMMYFUNCTION("""COMPUTED_VALUE"""),"-")</f>
        <v>-</v>
      </c>
    </row>
    <row r="881">
      <c r="A881" s="2" t="str">
        <f>IFERROR(__xludf.DUMMYFUNCTION("""COMPUTED_VALUE"""),"O-53263-00")</f>
        <v>O-53263-00</v>
      </c>
      <c r="B881" s="2" t="str">
        <f>IFERROR(__xludf.DUMMYFUNCTION("""COMPUTED_VALUE"""),"General - Kabel Sensor; Sick; YF8U14-020VA3XLEAX; 1 Pc")</f>
        <v>General - Kabel Sensor; Sick; YF8U14-020VA3XLEAX; 1 Pc</v>
      </c>
      <c r="C881" s="2" t="str">
        <f>IFERROR(__xludf.DUMMYFUNCTION("""COMPUTED_VALUE"""),"pc")</f>
        <v>pc</v>
      </c>
      <c r="D881" s="2">
        <f>IFERROR(__xludf.DUMMYFUNCTION("""COMPUTED_VALUE"""),2.0)</f>
        <v>2</v>
      </c>
      <c r="E881" s="2" t="str">
        <f>IFERROR(__xludf.DUMMYFUNCTION("""COMPUTED_VALUE"""),"G-3")</f>
        <v>G-3</v>
      </c>
    </row>
    <row r="882">
      <c r="A882" s="2" t="str">
        <f>IFERROR(__xludf.DUMMYFUNCTION("""COMPUTED_VALUE"""),"P-17389-00")</f>
        <v>P-17389-00</v>
      </c>
      <c r="B882" s="2" t="str">
        <f>IFERROR(__xludf.DUMMYFUNCTION("""COMPUTED_VALUE"""),"General - Kawat Las SS316 3.2mm; No Brand; -; 1 kg")</f>
        <v>General - Kawat Las SS316 3.2mm; No Brand; -; 1 kg</v>
      </c>
      <c r="C882" s="2" t="str">
        <f>IFERROR(__xludf.DUMMYFUNCTION("""COMPUTED_VALUE"""),"pc")</f>
        <v>pc</v>
      </c>
      <c r="D882" s="2">
        <f>IFERROR(__xludf.DUMMYFUNCTION("""COMPUTED_VALUE"""),10.0)</f>
        <v>10</v>
      </c>
      <c r="E882" s="2" t="str">
        <f>IFERROR(__xludf.DUMMYFUNCTION("""COMPUTED_VALUE"""),"-")</f>
        <v>-</v>
      </c>
    </row>
    <row r="883">
      <c r="A883" s="2" t="str">
        <f>IFERROR(__xludf.DUMMYFUNCTION("""COMPUTED_VALUE"""),"O-53194-00")</f>
        <v>O-53194-00</v>
      </c>
      <c r="B883" s="2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883" s="2" t="str">
        <f>IFERROR(__xludf.DUMMYFUNCTION("""COMPUTED_VALUE"""),"pc")</f>
        <v>pc</v>
      </c>
      <c r="D883" s="2">
        <f>IFERROR(__xludf.DUMMYFUNCTION("""COMPUTED_VALUE"""),1.0)</f>
        <v>1</v>
      </c>
      <c r="E883" s="2" t="str">
        <f>IFERROR(__xludf.DUMMYFUNCTION("""COMPUTED_VALUE"""),"B-1")</f>
        <v>B-1</v>
      </c>
    </row>
    <row r="884">
      <c r="A884" s="2" t="str">
        <f>IFERROR(__xludf.DUMMYFUNCTION("""COMPUTED_VALUE"""),"Q-60501-00")</f>
        <v>Q-60501-00</v>
      </c>
      <c r="B884" s="2" t="str">
        <f>IFERROR(__xludf.DUMMYFUNCTION("""COMPUTED_VALUE"""),"Silicone Sealant;Silglaze;Type N10 Clear;pack size per pcs")</f>
        <v>Silicone Sealant;Silglaze;Type N10 Clear;pack size per pcs</v>
      </c>
      <c r="C884" s="2" t="str">
        <f>IFERROR(__xludf.DUMMYFUNCTION("""COMPUTED_VALUE"""),"pc")</f>
        <v>pc</v>
      </c>
      <c r="D884" s="2">
        <f>IFERROR(__xludf.DUMMYFUNCTION("""COMPUTED_VALUE"""),6.0)</f>
        <v>6</v>
      </c>
      <c r="E884" s="2" t="str">
        <f>IFERROR(__xludf.DUMMYFUNCTION("""COMPUTED_VALUE"""),"Q-3")</f>
        <v>Q-3</v>
      </c>
    </row>
    <row r="885">
      <c r="A885" s="2" t="str">
        <f>IFERROR(__xludf.DUMMYFUNCTION("""COMPUTED_VALUE"""),"O-21304-00")</f>
        <v>O-21304-00</v>
      </c>
      <c r="B885" s="2" t="str">
        <f>IFERROR(__xludf.DUMMYFUNCTION("""COMPUTED_VALUE"""),"Coating PLAB - Inflatable Silicone Sealing Ring; ; GDA040193; 1 Pc")</f>
        <v>Coating PLAB - Inflatable Silicone Sealing Ring; ; GDA040193; 1 Pc</v>
      </c>
      <c r="C885" s="2" t="str">
        <f>IFERROR(__xludf.DUMMYFUNCTION("""COMPUTED_VALUE"""),"pc")</f>
        <v>pc</v>
      </c>
      <c r="D885" s="2">
        <f>IFERROR(__xludf.DUMMYFUNCTION("""COMPUTED_VALUE"""),1.0)</f>
        <v>1</v>
      </c>
      <c r="E885" s="2" t="str">
        <f>IFERROR(__xludf.DUMMYFUNCTION("""COMPUTED_VALUE"""),"-")</f>
        <v>-</v>
      </c>
    </row>
    <row r="886">
      <c r="A886" s="2" t="str">
        <f>IFERROR(__xludf.DUMMYFUNCTION("""COMPUTED_VALUE"""),"O-16943-00")</f>
        <v>O-16943-00</v>
      </c>
      <c r="B886" s="2" t="str">
        <f>IFERROR(__xludf.DUMMYFUNCTION("""COMPUTED_VALUE"""),"Tunnel Machine - Potentiometer Model 10K 3turns; Steriline; 3757; 1 Pc")</f>
        <v>Tunnel Machine - Potentiometer Model 10K 3turns; Steriline; 3757; 1 Pc</v>
      </c>
      <c r="C886" s="2" t="str">
        <f>IFERROR(__xludf.DUMMYFUNCTION("""COMPUTED_VALUE"""),"pc")</f>
        <v>pc</v>
      </c>
      <c r="D886" s="2">
        <f>IFERROR(__xludf.DUMMYFUNCTION("""COMPUTED_VALUE"""),7.0)</f>
        <v>7</v>
      </c>
      <c r="E886" s="2" t="str">
        <f>IFERROR(__xludf.DUMMYFUNCTION("""COMPUTED_VALUE"""),"B3")</f>
        <v>B3</v>
      </c>
    </row>
    <row r="887">
      <c r="A887" s="2" t="str">
        <f>IFERROR(__xludf.DUMMYFUNCTION("""COMPUTED_VALUE"""),"P-18358-00")</f>
        <v>P-18358-00</v>
      </c>
      <c r="B887" s="2" t="str">
        <f>IFERROR(__xludf.DUMMYFUNCTION("""COMPUTED_VALUE"""),"General - Quick Coupler Air Brush 1/8inch; No Brand; -; 1 Pc")</f>
        <v>General - Quick Coupler Air Brush 1/8inch; No Brand; -; 1 Pc</v>
      </c>
      <c r="C887" s="2" t="str">
        <f>IFERROR(__xludf.DUMMYFUNCTION("""COMPUTED_VALUE"""),"pc")</f>
        <v>pc</v>
      </c>
      <c r="D887" s="2">
        <f>IFERROR(__xludf.DUMMYFUNCTION("""COMPUTED_VALUE"""),1.0)</f>
        <v>1</v>
      </c>
      <c r="E887" s="2" t="str">
        <f>IFERROR(__xludf.DUMMYFUNCTION("""COMPUTED_VALUE"""),"F-2-2B")</f>
        <v>F-2-2B</v>
      </c>
    </row>
    <row r="888">
      <c r="A888" s="2" t="str">
        <f>IFERROR(__xludf.DUMMYFUNCTION("""COMPUTED_VALUE"""),"O-54138-00")</f>
        <v>O-54138-00</v>
      </c>
      <c r="B888" s="2" t="str">
        <f>IFERROR(__xludf.DUMMYFUNCTION("""COMPUTED_VALUE"""),"General - Terminal Block, 10 mm; Fort; -; 1 pcs")</f>
        <v>General - Terminal Block, 10 mm; Fort; -; 1 pcs</v>
      </c>
      <c r="C888" s="2" t="str">
        <f>IFERROR(__xludf.DUMMYFUNCTION("""COMPUTED_VALUE"""),"pc")</f>
        <v>pc</v>
      </c>
      <c r="D888" s="2">
        <f>IFERROR(__xludf.DUMMYFUNCTION("""COMPUTED_VALUE"""),13.0)</f>
        <v>13</v>
      </c>
      <c r="E888" s="2" t="str">
        <f>IFERROR(__xludf.DUMMYFUNCTION("""COMPUTED_VALUE"""),"A-4-11A")</f>
        <v>A-4-11A</v>
      </c>
    </row>
    <row r="889">
      <c r="A889" s="2" t="str">
        <f>IFERROR(__xludf.DUMMYFUNCTION("""COMPUTED_VALUE"""),"P-54210-00")</f>
        <v>P-54210-00</v>
      </c>
      <c r="B889" s="2" t="str">
        <f>IFERROR(__xludf.DUMMYFUNCTION("""COMPUTED_VALUE"""),"General - Cover Stop Kontak; Schneider; IEC 60529 BS5733; 1 pcs")</f>
        <v>General - Cover Stop Kontak; Schneider; IEC 60529 BS5733; 1 pcs</v>
      </c>
      <c r="C889" s="2" t="str">
        <f>IFERROR(__xludf.DUMMYFUNCTION("""COMPUTED_VALUE"""),"pc")</f>
        <v>pc</v>
      </c>
      <c r="D889" s="2">
        <f>IFERROR(__xludf.DUMMYFUNCTION("""COMPUTED_VALUE"""),15.0)</f>
        <v>15</v>
      </c>
      <c r="E889" s="2" t="str">
        <f>IFERROR(__xludf.DUMMYFUNCTION("""COMPUTED_VALUE"""),"H-5")</f>
        <v>H-5</v>
      </c>
    </row>
    <row r="890">
      <c r="A890" s="2" t="str">
        <f>IFERROR(__xludf.DUMMYFUNCTION("""COMPUTED_VALUE"""),"O-11762-00")</f>
        <v>O-11762-00</v>
      </c>
      <c r="B890" s="2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890" s="2" t="str">
        <f>IFERROR(__xludf.DUMMYFUNCTION("""COMPUTED_VALUE"""),"pc")</f>
        <v>pc</v>
      </c>
      <c r="D890" s="2">
        <f>IFERROR(__xludf.DUMMYFUNCTION("""COMPUTED_VALUE"""),2.0)</f>
        <v>2</v>
      </c>
      <c r="E890" s="2" t="str">
        <f>IFERROR(__xludf.DUMMYFUNCTION("""COMPUTED_VALUE"""),"-")</f>
        <v>-</v>
      </c>
    </row>
    <row r="891">
      <c r="A891" s="2" t="str">
        <f>IFERROR(__xludf.DUMMYFUNCTION("""COMPUTED_VALUE"""),"O-19213-00")</f>
        <v>O-19213-00</v>
      </c>
      <c r="B891" s="2" t="str">
        <f>IFERROR(__xludf.DUMMYFUNCTION("""COMPUTED_VALUE"""),"General - Orifice 04 for Expansi Valve TE5; Danfoss; 067B2792; 1 Pc")</f>
        <v>General - Orifice 04 for Expansi Valve TE5; Danfoss; 067B2792; 1 Pc</v>
      </c>
      <c r="C891" s="2" t="str">
        <f>IFERROR(__xludf.DUMMYFUNCTION("""COMPUTED_VALUE"""),"pc")</f>
        <v>pc</v>
      </c>
      <c r="D891" s="2">
        <f>IFERROR(__xludf.DUMMYFUNCTION("""COMPUTED_VALUE"""),2.0)</f>
        <v>2</v>
      </c>
      <c r="E891" s="2" t="str">
        <f>IFERROR(__xludf.DUMMYFUNCTION("""COMPUTED_VALUE"""),"D-2-9B")</f>
        <v>D-2-9B</v>
      </c>
    </row>
    <row r="892">
      <c r="A892" s="2" t="str">
        <f>IFERROR(__xludf.DUMMYFUNCTION("""COMPUTED_VALUE"""),"P-20359-00")</f>
        <v>P-20359-00</v>
      </c>
      <c r="B892" s="2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892" s="2" t="str">
        <f>IFERROR(__xludf.DUMMYFUNCTION("""COMPUTED_VALUE"""),"pc")</f>
        <v>pc</v>
      </c>
      <c r="D892" s="2">
        <f>IFERROR(__xludf.DUMMYFUNCTION("""COMPUTED_VALUE"""),1.0)</f>
        <v>1</v>
      </c>
      <c r="E892" s="2" t="str">
        <f>IFERROR(__xludf.DUMMYFUNCTION("""COMPUTED_VALUE"""),"-")</f>
        <v>-</v>
      </c>
    </row>
    <row r="893">
      <c r="A893" s="2" t="str">
        <f>IFERROR(__xludf.DUMMYFUNCTION("""COMPUTED_VALUE"""),"O-50578-00")</f>
        <v>O-50578-00</v>
      </c>
      <c r="B893" s="2" t="str">
        <f>IFERROR(__xludf.DUMMYFUNCTION("""COMPUTED_VALUE"""),"MARCHESINI ML616/MA155 - FOTOC.SSP/AP/1H (EX SSC/AP/1H) - Photocell; Marchesini; E32022021230; 1 Pc")</f>
        <v>MARCHESINI ML616/MA155 - FOTOC.SSP/AP/1H (EX SSC/AP/1H) - Photocell; Marchesini; E32022021230; 1 Pc</v>
      </c>
      <c r="C893" s="2" t="str">
        <f>IFERROR(__xludf.DUMMYFUNCTION("""COMPUTED_VALUE"""),"pc")</f>
        <v>pc</v>
      </c>
      <c r="D893" s="2">
        <f>IFERROR(__xludf.DUMMYFUNCTION("""COMPUTED_VALUE"""),1.0)</f>
        <v>1</v>
      </c>
      <c r="E893" s="2" t="str">
        <f>IFERROR(__xludf.DUMMYFUNCTION("""COMPUTED_VALUE"""),"G-2")</f>
        <v>G-2</v>
      </c>
    </row>
    <row r="894">
      <c r="A894" s="2" t="str">
        <f>IFERROR(__xludf.DUMMYFUNCTION("""COMPUTED_VALUE"""),"P-14953-00")</f>
        <v>P-14953-00</v>
      </c>
      <c r="B894" s="2" t="str">
        <f>IFERROR(__xludf.DUMMYFUNCTION("""COMPUTED_VALUE"""),"General - Straight Reducer KQ2H04-06A; SMC; -; 1 pc")</f>
        <v>General - Straight Reducer KQ2H04-06A; SMC; -; 1 pc</v>
      </c>
      <c r="C894" s="2" t="str">
        <f>IFERROR(__xludf.DUMMYFUNCTION("""COMPUTED_VALUE"""),"pc")</f>
        <v>pc</v>
      </c>
      <c r="D894" s="2">
        <f>IFERROR(__xludf.DUMMYFUNCTION("""COMPUTED_VALUE"""),6.0)</f>
        <v>6</v>
      </c>
      <c r="E894" s="2" t="str">
        <f>IFERROR(__xludf.DUMMYFUNCTION("""COMPUTED_VALUE"""),"-")</f>
        <v>-</v>
      </c>
    </row>
    <row r="895">
      <c r="A895" s="2" t="str">
        <f>IFERROR(__xludf.DUMMYFUNCTION("""COMPUTED_VALUE"""),"O-11145-00")</f>
        <v>O-11145-00</v>
      </c>
      <c r="B895" s="2" t="str">
        <f>IFERROR(__xludf.DUMMYFUNCTION("""COMPUTED_VALUE"""),"General - Bearing 6201 2Z; No Brand; -; 1 pcs")</f>
        <v>General - Bearing 6201 2Z; No Brand; -; 1 pcs</v>
      </c>
      <c r="C895" s="2" t="str">
        <f>IFERROR(__xludf.DUMMYFUNCTION("""COMPUTED_VALUE"""),"pc")</f>
        <v>pc</v>
      </c>
      <c r="D895" s="2">
        <f>IFERROR(__xludf.DUMMYFUNCTION("""COMPUTED_VALUE"""),3.0)</f>
        <v>3</v>
      </c>
      <c r="E895" s="2" t="str">
        <f>IFERROR(__xludf.DUMMYFUNCTION("""COMPUTED_VALUE"""),"G-2")</f>
        <v>G-2</v>
      </c>
    </row>
    <row r="896">
      <c r="A896" s="2" t="str">
        <f>IFERROR(__xludf.DUMMYFUNCTION("""COMPUTED_VALUE"""),"O-20647-00")</f>
        <v>O-20647-00</v>
      </c>
      <c r="B896" s="2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896" s="2" t="str">
        <f>IFERROR(__xludf.DUMMYFUNCTION("""COMPUTED_VALUE"""),"pc")</f>
        <v>pc</v>
      </c>
      <c r="D896" s="2">
        <f>IFERROR(__xludf.DUMMYFUNCTION("""COMPUTED_VALUE"""),1.0)</f>
        <v>1</v>
      </c>
      <c r="E896" s="2" t="str">
        <f>IFERROR(__xludf.DUMMYFUNCTION("""COMPUTED_VALUE"""),"-")</f>
        <v>-</v>
      </c>
    </row>
    <row r="897">
      <c r="A897" s="2" t="str">
        <f>IFERROR(__xludf.DUMMYFUNCTION("""COMPUTED_VALUE"""),"P-19811-00")</f>
        <v>P-19811-00</v>
      </c>
      <c r="B897" s="2" t="str">
        <f>IFERROR(__xludf.DUMMYFUNCTION("""COMPUTED_VALUE"""),"General - Clamp Ferrule Sanitary 3/4 Inch; No Brand; -; 1 pc")</f>
        <v>General - Clamp Ferrule Sanitary 3/4 Inch; No Brand; -; 1 pc</v>
      </c>
      <c r="C897" s="2" t="str">
        <f>IFERROR(__xludf.DUMMYFUNCTION("""COMPUTED_VALUE"""),"pc")</f>
        <v>pc</v>
      </c>
      <c r="D897" s="2">
        <f>IFERROR(__xludf.DUMMYFUNCTION("""COMPUTED_VALUE"""),5.0)</f>
        <v>5</v>
      </c>
      <c r="E897" s="2" t="str">
        <f>IFERROR(__xludf.DUMMYFUNCTION("""COMPUTED_VALUE"""),"F-2-10")</f>
        <v>F-2-10</v>
      </c>
    </row>
    <row r="898">
      <c r="A898" s="2" t="str">
        <f>IFERROR(__xludf.DUMMYFUNCTION("""COMPUTED_VALUE"""),"P-20556-00")</f>
        <v>P-20556-00</v>
      </c>
      <c r="B898" s="2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898" s="2" t="str">
        <f>IFERROR(__xludf.DUMMYFUNCTION("""COMPUTED_VALUE"""),"pc")</f>
        <v>pc</v>
      </c>
      <c r="D898" s="2">
        <f>IFERROR(__xludf.DUMMYFUNCTION("""COMPUTED_VALUE"""),3.0)</f>
        <v>3</v>
      </c>
      <c r="E898" s="2" t="str">
        <f>IFERROR(__xludf.DUMMYFUNCTION("""COMPUTED_VALUE"""),"-")</f>
        <v>-</v>
      </c>
    </row>
    <row r="899">
      <c r="A899" s="2" t="str">
        <f>IFERROR(__xludf.DUMMYFUNCTION("""COMPUTED_VALUE"""),"O-51814-00")</f>
        <v>O-51814-00</v>
      </c>
      <c r="B899" s="2" t="str">
        <f>IFERROR(__xludf.DUMMYFUNCTION("""COMPUTED_VALUE"""),"Cable gland for temperature probe with D15mm; 64940; ; ;")</f>
        <v>Cable gland for temperature probe with D15mm; 64940; ; ;</v>
      </c>
      <c r="C899" s="2" t="str">
        <f>IFERROR(__xludf.DUMMYFUNCTION("""COMPUTED_VALUE"""),"unt")</f>
        <v>unt</v>
      </c>
      <c r="D899" s="2">
        <f>IFERROR(__xludf.DUMMYFUNCTION("""COMPUTED_VALUE"""),1.0)</f>
        <v>1</v>
      </c>
      <c r="E899" s="2" t="str">
        <f>IFERROR(__xludf.DUMMYFUNCTION("""COMPUTED_VALUE"""),"C-2-5D")</f>
        <v>C-2-5D</v>
      </c>
    </row>
    <row r="900">
      <c r="A900" s="2" t="str">
        <f>IFERROR(__xludf.DUMMYFUNCTION("""COMPUTED_VALUE"""),"O-53480-00")</f>
        <v>O-53480-00</v>
      </c>
      <c r="B900" s="2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900" s="2" t="str">
        <f>IFERROR(__xludf.DUMMYFUNCTION("""COMPUTED_VALUE"""),"pc")</f>
        <v>pc</v>
      </c>
      <c r="D900" s="2">
        <f>IFERROR(__xludf.DUMMYFUNCTION("""COMPUTED_VALUE"""),1.0)</f>
        <v>1</v>
      </c>
      <c r="E900" s="2"/>
    </row>
    <row r="901">
      <c r="A901" s="2" t="str">
        <f>IFERROR(__xludf.DUMMYFUNCTION("""COMPUTED_VALUE"""),"P-20755-00")</f>
        <v>P-20755-00</v>
      </c>
      <c r="B901" s="2" t="str">
        <f>IFERROR(__xludf.DUMMYFUNCTION("""COMPUTED_VALUE"""),"General - Oring 260 Viton Tebal 5.7 ID 259.3 OD 270.7 mm; Custom; -; 1 pc")</f>
        <v>General - Oring 260 Viton Tebal 5.7 ID 259.3 OD 270.7 mm; Custom; -; 1 pc</v>
      </c>
      <c r="C901" s="2" t="str">
        <f>IFERROR(__xludf.DUMMYFUNCTION("""COMPUTED_VALUE"""),"pc")</f>
        <v>pc</v>
      </c>
      <c r="D901" s="2">
        <f>IFERROR(__xludf.DUMMYFUNCTION("""COMPUTED_VALUE"""),6.0)</f>
        <v>6</v>
      </c>
      <c r="E901" s="2" t="str">
        <f>IFERROR(__xludf.DUMMYFUNCTION("""COMPUTED_VALUE"""),"-")</f>
        <v>-</v>
      </c>
    </row>
    <row r="902">
      <c r="A902" s="2" t="str">
        <f>IFERROR(__xludf.DUMMYFUNCTION("""COMPUTED_VALUE"""),"O-15552-00")</f>
        <v>O-15552-00</v>
      </c>
      <c r="B902" s="2" t="str">
        <f>IFERROR(__xludf.DUMMYFUNCTION("""COMPUTED_VALUE"""),"General - Absolute Encoder SSI, 8192, Gray Radial Connector; Steriline; 202931; 1 pcs")</f>
        <v>General - Absolute Encoder SSI, 8192, Gray Radial Connector; Steriline; 202931; 1 pcs</v>
      </c>
      <c r="C902" s="2" t="str">
        <f>IFERROR(__xludf.DUMMYFUNCTION("""COMPUTED_VALUE"""),"unt")</f>
        <v>unt</v>
      </c>
      <c r="D902" s="2">
        <f>IFERROR(__xludf.DUMMYFUNCTION("""COMPUTED_VALUE"""),1.0)</f>
        <v>1</v>
      </c>
      <c r="E902" s="2" t="str">
        <f>IFERROR(__xludf.DUMMYFUNCTION("""COMPUTED_VALUE"""),"B-2")</f>
        <v>B-2</v>
      </c>
    </row>
    <row r="903">
      <c r="A903" s="2" t="str">
        <f>IFERROR(__xludf.DUMMYFUNCTION("""COMPUTED_VALUE"""),"O-21007-00")</f>
        <v>O-21007-00</v>
      </c>
      <c r="B903" s="2" t="str">
        <f>IFERROR(__xludf.DUMMYFUNCTION("""COMPUTED_VALUE"""),"Filling VFM100 - Handle Manual Valve Hexagon 60x27; Custom/Lokal; -; 1 Pc")</f>
        <v>Filling VFM100 - Handle Manual Valve Hexagon 60x27; Custom/Lokal; -; 1 Pc</v>
      </c>
      <c r="C903" s="2" t="str">
        <f>IFERROR(__xludf.DUMMYFUNCTION("""COMPUTED_VALUE"""),"pc")</f>
        <v>pc</v>
      </c>
      <c r="D903" s="2">
        <f>IFERROR(__xludf.DUMMYFUNCTION("""COMPUTED_VALUE"""),1.0)</f>
        <v>1</v>
      </c>
      <c r="E903" s="2" t="str">
        <f>IFERROR(__xludf.DUMMYFUNCTION("""COMPUTED_VALUE"""),"Not Located")</f>
        <v>Not Located</v>
      </c>
    </row>
    <row r="904">
      <c r="A904" s="2" t="str">
        <f>IFERROR(__xludf.DUMMYFUNCTION("""COMPUTED_VALUE"""),"O-53215-00")</f>
        <v>O-53215-00</v>
      </c>
      <c r="B904" s="2" t="str">
        <f>IFERROR(__xludf.DUMMYFUNCTION("""COMPUTED_VALUE"""),"General - Exhaust Fan;Ebm-Papst;R3G190-RC05-03;")</f>
        <v>General - Exhaust Fan;Ebm-Papst;R3G190-RC05-03;</v>
      </c>
      <c r="C904" s="2" t="str">
        <f>IFERROR(__xludf.DUMMYFUNCTION("""COMPUTED_VALUE"""),"pc")</f>
        <v>pc</v>
      </c>
      <c r="D904" s="2">
        <f>IFERROR(__xludf.DUMMYFUNCTION("""COMPUTED_VALUE"""),2.0)</f>
        <v>2</v>
      </c>
      <c r="E904" s="2" t="str">
        <f>IFERROR(__xludf.DUMMYFUNCTION("""COMPUTED_VALUE"""),"-")</f>
        <v>-</v>
      </c>
    </row>
    <row r="905">
      <c r="A905" s="2" t="str">
        <f>IFERROR(__xludf.DUMMYFUNCTION("""COMPUTED_VALUE"""),"P-54370-00")</f>
        <v>P-54370-00</v>
      </c>
      <c r="B905" s="2" t="str">
        <f>IFERROR(__xludf.DUMMYFUNCTION("""COMPUTED_VALUE"""),"General - Lampu Indikator 24V 5W 1kaki; Hella; -; 10pcs/box")</f>
        <v>General - Lampu Indikator 24V 5W 1kaki; Hella; -; 10pcs/box</v>
      </c>
      <c r="C905" s="2" t="str">
        <f>IFERROR(__xludf.DUMMYFUNCTION("""COMPUTED_VALUE"""),"Box")</f>
        <v>Box</v>
      </c>
      <c r="D905" s="2">
        <f>IFERROR(__xludf.DUMMYFUNCTION("""COMPUTED_VALUE"""),1.0)</f>
        <v>1</v>
      </c>
      <c r="E905" s="2"/>
    </row>
    <row r="906">
      <c r="A906" s="2" t="str">
        <f>IFERROR(__xludf.DUMMYFUNCTION("""COMPUTED_VALUE"""),"O-51996-00")</f>
        <v>O-51996-00</v>
      </c>
      <c r="B906" s="2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906" s="2" t="str">
        <f>IFERROR(__xludf.DUMMYFUNCTION("""COMPUTED_VALUE"""),"pc")</f>
        <v>pc</v>
      </c>
      <c r="D906" s="2">
        <f>IFERROR(__xludf.DUMMYFUNCTION("""COMPUTED_VALUE"""),1.0)</f>
        <v>1</v>
      </c>
      <c r="E906" s="2" t="str">
        <f>IFERROR(__xludf.DUMMYFUNCTION("""COMPUTED_VALUE"""),"C-2")</f>
        <v>C-2</v>
      </c>
    </row>
    <row r="907">
      <c r="A907" s="2" t="str">
        <f>IFERROR(__xludf.DUMMYFUNCTION("""COMPUTED_VALUE"""),"O-21378-00")</f>
        <v>O-21378-00</v>
      </c>
      <c r="B907" s="2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907" s="2" t="str">
        <f>IFERROR(__xludf.DUMMYFUNCTION("""COMPUTED_VALUE"""),"pc")</f>
        <v>pc</v>
      </c>
      <c r="D907" s="2">
        <f>IFERROR(__xludf.DUMMYFUNCTION("""COMPUTED_VALUE"""),1.0)</f>
        <v>1</v>
      </c>
      <c r="E907" s="2" t="str">
        <f>IFERROR(__xludf.DUMMYFUNCTION("""COMPUTED_VALUE"""),"S-3-8")</f>
        <v>S-3-8</v>
      </c>
    </row>
    <row r="908">
      <c r="A908" s="2" t="str">
        <f>IFERROR(__xludf.DUMMYFUNCTION("""COMPUTED_VALUE"""),"P-10017-00")</f>
        <v>P-10017-00</v>
      </c>
      <c r="B908" s="2" t="str">
        <f>IFERROR(__xludf.DUMMYFUNCTION("""COMPUTED_VALUE"""),"General - Pre Filter G4, Size : 24X24X2inch, Washable Aluminium Frame; IAF; -; 1 pc")</f>
        <v>General - Pre Filter G4, Size : 24X24X2inch, Washable Aluminium Frame; IAF; -; 1 pc</v>
      </c>
      <c r="C908" s="2" t="str">
        <f>IFERROR(__xludf.DUMMYFUNCTION("""COMPUTED_VALUE"""),"unt")</f>
        <v>unt</v>
      </c>
      <c r="D908" s="2">
        <f>IFERROR(__xludf.DUMMYFUNCTION("""COMPUTED_VALUE"""),11.0)</f>
        <v>11</v>
      </c>
      <c r="E908" s="2" t="str">
        <f>IFERROR(__xludf.DUMMYFUNCTION("""COMPUTED_VALUE"""),"Ruang Filter")</f>
        <v>Ruang Filter</v>
      </c>
    </row>
    <row r="909">
      <c r="A909" s="2" t="str">
        <f>IFERROR(__xludf.DUMMYFUNCTION("""COMPUTED_VALUE"""),"P-17359-00")</f>
        <v>P-17359-00</v>
      </c>
      <c r="B909" s="2" t="str">
        <f>IFERROR(__xludf.DUMMYFUNCTION("""COMPUTED_VALUE"""),"General - O-ring EPDM 41.5 x 35 x 3.5 mm; No Brand; -; 1 pc")</f>
        <v>General - O-ring EPDM 41.5 x 35 x 3.5 mm; No Brand; -; 1 pc</v>
      </c>
      <c r="C909" s="2" t="str">
        <f>IFERROR(__xludf.DUMMYFUNCTION("""COMPUTED_VALUE"""),"pc")</f>
        <v>pc</v>
      </c>
      <c r="D909" s="2">
        <f>IFERROR(__xludf.DUMMYFUNCTION("""COMPUTED_VALUE"""),19.0)</f>
        <v>19</v>
      </c>
      <c r="E909" s="2"/>
    </row>
    <row r="910">
      <c r="A910" s="2" t="str">
        <f>IFERROR(__xludf.DUMMYFUNCTION("""COMPUTED_VALUE"""),"O-16752-00")</f>
        <v>O-16752-00</v>
      </c>
      <c r="B910" s="2" t="str">
        <f>IFERROR(__xludf.DUMMYFUNCTION("""COMPUTED_VALUE"""),"General - MODULE,E.DOT+, 0,35MM NOZZLE Nordson; Nordson; ;; Nordson; 7301604; 1 Pc")</f>
        <v>General - MODULE,E.DOT+, 0,35MM NOZZLE Nordson; Nordson; ;; Nordson; 7301604; 1 Pc</v>
      </c>
      <c r="C910" s="2" t="str">
        <f>IFERROR(__xludf.DUMMYFUNCTION("""COMPUTED_VALUE"""),"pc")</f>
        <v>pc</v>
      </c>
      <c r="D910" s="2">
        <f>IFERROR(__xludf.DUMMYFUNCTION("""COMPUTED_VALUE"""),1.0)</f>
        <v>1</v>
      </c>
      <c r="E910" s="2" t="str">
        <f>IFERROR(__xludf.DUMMYFUNCTION("""COMPUTED_VALUE"""),"G-3-3")</f>
        <v>G-3-3</v>
      </c>
    </row>
    <row r="911">
      <c r="A911" s="2" t="str">
        <f>IFERROR(__xludf.DUMMYFUNCTION("""COMPUTED_VALUE"""),"P-19354-00")</f>
        <v>P-19354-00</v>
      </c>
      <c r="B911" s="2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911" s="2" t="str">
        <f>IFERROR(__xludf.DUMMYFUNCTION("""COMPUTED_VALUE"""),"unt")</f>
        <v>unt</v>
      </c>
      <c r="D911" s="2">
        <f>IFERROR(__xludf.DUMMYFUNCTION("""COMPUTED_VALUE"""),1.0)</f>
        <v>1</v>
      </c>
      <c r="E911" s="2" t="str">
        <f>IFERROR(__xludf.DUMMYFUNCTION("""COMPUTED_VALUE"""),"L-4")</f>
        <v>L-4</v>
      </c>
    </row>
    <row r="912">
      <c r="A912" s="2" t="str">
        <f>IFERROR(__xludf.DUMMYFUNCTION("""COMPUTED_VALUE"""),"O-54120-00")</f>
        <v>O-54120-00</v>
      </c>
      <c r="B912" s="2" t="str">
        <f>IFERROR(__xludf.DUMMYFUNCTION("""COMPUTED_VALUE"""),"Freeze Dryer MBE1207; - Oring 8X1.8; IMA Life Beijing; EB41-00336; 1 Pc")</f>
        <v>Freeze Dryer MBE1207; - Oring 8X1.8; IMA Life Beijing; EB41-00336; 1 Pc</v>
      </c>
      <c r="C912" s="2" t="str">
        <f>IFERROR(__xludf.DUMMYFUNCTION("""COMPUTED_VALUE"""),"pc")</f>
        <v>pc</v>
      </c>
      <c r="D912" s="2">
        <f>IFERROR(__xludf.DUMMYFUNCTION("""COMPUTED_VALUE"""),20.0)</f>
        <v>20</v>
      </c>
      <c r="E912" s="2" t="str">
        <f>IFERROR(__xludf.DUMMYFUNCTION("""COMPUTED_VALUE"""),"-")</f>
        <v>-</v>
      </c>
    </row>
    <row r="913">
      <c r="A913" s="2" t="str">
        <f>IFERROR(__xludf.DUMMYFUNCTION("""COMPUTED_VALUE"""),"P-52110-00")</f>
        <v>P-52110-00</v>
      </c>
      <c r="B913" s="2" t="str">
        <f>IFERROR(__xludf.DUMMYFUNCTION("""COMPUTED_VALUE"""),"General - Capacitor, 5 uF, 500 V, 50/60 Hz; MC; -; 1 pcs")</f>
        <v>General - Capacitor, 5 uF, 500 V, 50/60 Hz; MC; -; 1 pcs</v>
      </c>
      <c r="C913" s="2" t="str">
        <f>IFERROR(__xludf.DUMMYFUNCTION("""COMPUTED_VALUE"""),"pc")</f>
        <v>pc</v>
      </c>
      <c r="D913" s="2">
        <f>IFERROR(__xludf.DUMMYFUNCTION("""COMPUTED_VALUE"""),5.0)</f>
        <v>5</v>
      </c>
      <c r="E913" s="2" t="str">
        <f>IFERROR(__xludf.DUMMYFUNCTION("""COMPUTED_VALUE"""),"A-4-8B")</f>
        <v>A-4-8B</v>
      </c>
    </row>
    <row r="914">
      <c r="A914" s="2" t="str">
        <f>IFERROR(__xludf.DUMMYFUNCTION("""COMPUTED_VALUE"""),"O-19692-00")</f>
        <v>O-19692-00</v>
      </c>
      <c r="B914" s="2" t="str">
        <f>IFERROR(__xludf.DUMMYFUNCTION("""COMPUTED_VALUE"""),"Capping VCM202 - Box Counter SS 304 130 x 150 x 165 mm; Custom/Lokal; -; 1 Pc")</f>
        <v>Capping VCM202 - Box Counter SS 304 130 x 150 x 165 mm; Custom/Lokal; -; 1 Pc</v>
      </c>
      <c r="C914" s="2" t="str">
        <f>IFERROR(__xludf.DUMMYFUNCTION("""COMPUTED_VALUE"""),"pc")</f>
        <v>pc</v>
      </c>
      <c r="D914" s="2">
        <f>IFERROR(__xludf.DUMMYFUNCTION("""COMPUTED_VALUE"""),1.0)</f>
        <v>1</v>
      </c>
      <c r="E914" s="2">
        <f>IFERROR(__xludf.DUMMYFUNCTION("""COMPUTED_VALUE"""),0.0)</f>
        <v>0</v>
      </c>
    </row>
    <row r="915">
      <c r="A915" s="2" t="str">
        <f>IFERROR(__xludf.DUMMYFUNCTION("""COMPUTED_VALUE"""),"P-54465-00")</f>
        <v>P-54465-00</v>
      </c>
      <c r="B915" s="2" t="str">
        <f>IFERROR(__xludf.DUMMYFUNCTION("""COMPUTED_VALUE"""),"General - MCB 6A 3Phase C 6000A Domae; Schneider; -; 1 pc")</f>
        <v>General - MCB 6A 3Phase C 6000A Domae; Schneider; -; 1 pc</v>
      </c>
      <c r="C915" s="2" t="str">
        <f>IFERROR(__xludf.DUMMYFUNCTION("""COMPUTED_VALUE"""),"pc")</f>
        <v>pc</v>
      </c>
      <c r="D915" s="2">
        <f>IFERROR(__xludf.DUMMYFUNCTION("""COMPUTED_VALUE"""),4.0)</f>
        <v>4</v>
      </c>
      <c r="E915" s="2" t="str">
        <f>IFERROR(__xludf.DUMMYFUNCTION("""COMPUTED_VALUE"""),"-")</f>
        <v>-</v>
      </c>
    </row>
    <row r="916">
      <c r="A916" s="2" t="str">
        <f>IFERROR(__xludf.DUMMYFUNCTION("""COMPUTED_VALUE"""),"P-20049-00")</f>
        <v>P-20049-00</v>
      </c>
      <c r="B916" s="2" t="str">
        <f>IFERROR(__xludf.DUMMYFUNCTION("""COMPUTED_VALUE"""),"General - Bobbin Gulungan Kabel Jumbo 30cm; No Brand; -; 1 pc")</f>
        <v>General - Bobbin Gulungan Kabel Jumbo 30cm; No Brand; -; 1 pc</v>
      </c>
      <c r="C916" s="2" t="str">
        <f>IFERROR(__xludf.DUMMYFUNCTION("""COMPUTED_VALUE"""),"pc")</f>
        <v>pc</v>
      </c>
      <c r="D916" s="2">
        <f>IFERROR(__xludf.DUMMYFUNCTION("""COMPUTED_VALUE"""),10.0)</f>
        <v>10</v>
      </c>
      <c r="E916" s="2"/>
    </row>
    <row r="917">
      <c r="A917" s="2" t="str">
        <f>IFERROR(__xludf.DUMMYFUNCTION("""COMPUTED_VALUE"""),"P-54468-00")</f>
        <v>P-54468-00</v>
      </c>
      <c r="B917" s="2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917" s="2" t="str">
        <f>IFERROR(__xludf.DUMMYFUNCTION("""COMPUTED_VALUE"""),"pc")</f>
        <v>pc</v>
      </c>
      <c r="D917" s="2">
        <f>IFERROR(__xludf.DUMMYFUNCTION("""COMPUTED_VALUE"""),3.0)</f>
        <v>3</v>
      </c>
      <c r="E917" s="2" t="str">
        <f>IFERROR(__xludf.DUMMYFUNCTION("""COMPUTED_VALUE"""),"R-3-9")</f>
        <v>R-3-9</v>
      </c>
    </row>
    <row r="918">
      <c r="A918" s="2" t="str">
        <f>IFERROR(__xludf.DUMMYFUNCTION("""COMPUTED_VALUE"""),"P-11165-00")</f>
        <v>P-11165-00</v>
      </c>
      <c r="B918" s="2" t="str">
        <f>IFERROR(__xludf.DUMMYFUNCTION("""COMPUTED_VALUE"""),"General - Push-in Fitting, QS-1/2-12; Festo; 153010; 1 pcs")</f>
        <v>General - Push-in Fitting, QS-1/2-12; Festo; 153010; 1 pcs</v>
      </c>
      <c r="C918" s="2" t="str">
        <f>IFERROR(__xludf.DUMMYFUNCTION("""COMPUTED_VALUE"""),"pc")</f>
        <v>pc</v>
      </c>
      <c r="D918" s="2">
        <f>IFERROR(__xludf.DUMMYFUNCTION("""COMPUTED_VALUE"""),19.0)</f>
        <v>19</v>
      </c>
      <c r="E918" s="2" t="str">
        <f>IFERROR(__xludf.DUMMYFUNCTION("""COMPUTED_VALUE"""),"M3")</f>
        <v>M3</v>
      </c>
    </row>
    <row r="919">
      <c r="A919" s="2" t="str">
        <f>IFERROR(__xludf.DUMMYFUNCTION("""COMPUTED_VALUE"""),"P-11227-00")</f>
        <v>P-11227-00</v>
      </c>
      <c r="B919" s="2" t="str">
        <f>IFERROR(__xludf.DUMMYFUNCTION("""COMPUTED_VALUE"""),"General - Push-in T-connector, QST-6; Festo; 153129; 1 pcs")</f>
        <v>General - Push-in T-connector, QST-6; Festo; 153129; 1 pcs</v>
      </c>
      <c r="C919" s="2" t="str">
        <f>IFERROR(__xludf.DUMMYFUNCTION("""COMPUTED_VALUE"""),"pc")</f>
        <v>pc</v>
      </c>
      <c r="D919" s="2">
        <f>IFERROR(__xludf.DUMMYFUNCTION("""COMPUTED_VALUE"""),17.0)</f>
        <v>17</v>
      </c>
      <c r="E919" s="2" t="str">
        <f>IFERROR(__xludf.DUMMYFUNCTION("""COMPUTED_VALUE"""),"R-4-7")</f>
        <v>R-4-7</v>
      </c>
    </row>
    <row r="920">
      <c r="A920" s="2" t="str">
        <f>IFERROR(__xludf.DUMMYFUNCTION("""COMPUTED_VALUE"""),"O-16033-00")</f>
        <v>O-16033-00</v>
      </c>
      <c r="B920" s="2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920" s="2" t="str">
        <f>IFERROR(__xludf.DUMMYFUNCTION("""COMPUTED_VALUE"""),"unt")</f>
        <v>unt</v>
      </c>
      <c r="D920" s="2">
        <f>IFERROR(__xludf.DUMMYFUNCTION("""COMPUTED_VALUE"""),42.0)</f>
        <v>42</v>
      </c>
      <c r="E920" s="2" t="str">
        <f>IFERROR(__xludf.DUMMYFUNCTION("""COMPUTED_VALUE"""),"B-5-1")</f>
        <v>B-5-1</v>
      </c>
    </row>
    <row r="921">
      <c r="A921" s="2" t="str">
        <f>IFERROR(__xludf.DUMMYFUNCTION("""COMPUTED_VALUE"""),"P-52994-00")</f>
        <v>P-52994-00</v>
      </c>
      <c r="B921" s="2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921" s="2" t="str">
        <f>IFERROR(__xludf.DUMMYFUNCTION("""COMPUTED_VALUE"""),"pc")</f>
        <v>pc</v>
      </c>
      <c r="D921" s="2">
        <f>IFERROR(__xludf.DUMMYFUNCTION("""COMPUTED_VALUE"""),3.0)</f>
        <v>3</v>
      </c>
      <c r="E921" s="2" t="str">
        <f>IFERROR(__xludf.DUMMYFUNCTION("""COMPUTED_VALUE"""),"L3")</f>
        <v>L3</v>
      </c>
    </row>
    <row r="922">
      <c r="A922" s="2" t="str">
        <f>IFERROR(__xludf.DUMMYFUNCTION("""COMPUTED_VALUE"""),"P-16596-00")</f>
        <v>P-16596-00</v>
      </c>
      <c r="B922" s="2" t="str">
        <f>IFERROR(__xludf.DUMMYFUNCTION("""COMPUTED_VALUE"""),"General - Paku Ripet 5mm; No Brand; -; 1000pcs/box")</f>
        <v>General - Paku Ripet 5mm; No Brand; -; 1000pcs/box</v>
      </c>
      <c r="C922" s="2" t="str">
        <f>IFERROR(__xludf.DUMMYFUNCTION("""COMPUTED_VALUE"""),"Box")</f>
        <v>Box</v>
      </c>
      <c r="D922" s="2">
        <f>IFERROR(__xludf.DUMMYFUNCTION("""COMPUTED_VALUE"""),1.0)</f>
        <v>1</v>
      </c>
      <c r="E922" s="2"/>
    </row>
    <row r="923">
      <c r="A923" s="2" t="str">
        <f>IFERROR(__xludf.DUMMYFUNCTION("""COMPUTED_VALUE"""),"P-20252-00")</f>
        <v>P-20252-00</v>
      </c>
      <c r="B923" s="2" t="str">
        <f>IFERROR(__xludf.DUMMYFUNCTION("""COMPUTED_VALUE"""),"General - Pressure Gauge Range 0-6 Bar Conn 1/2inch; Sika; MREM32107500G; 1 pc")</f>
        <v>General - Pressure Gauge Range 0-6 Bar Conn 1/2inch; Sika; MREM32107500G; 1 pc</v>
      </c>
      <c r="C923" s="2" t="str">
        <f>IFERROR(__xludf.DUMMYFUNCTION("""COMPUTED_VALUE"""),"pc")</f>
        <v>pc</v>
      </c>
      <c r="D923" s="2">
        <f>IFERROR(__xludf.DUMMYFUNCTION("""COMPUTED_VALUE"""),1.0)</f>
        <v>1</v>
      </c>
      <c r="E923" s="2"/>
    </row>
    <row r="924">
      <c r="A924" s="2" t="str">
        <f>IFERROR(__xludf.DUMMYFUNCTION("""COMPUTED_VALUE"""),"P-50930-00")</f>
        <v>P-50930-00</v>
      </c>
      <c r="B924" s="2" t="str">
        <f>IFERROR(__xludf.DUMMYFUNCTION("""COMPUTED_VALUE"""),"General - One-way Flow Control Valve GRLA-M5-QS-4-RS-D; Festo; 197577; 1 pc")</f>
        <v>General - One-way Flow Control Valve GRLA-M5-QS-4-RS-D; Festo; 197577; 1 pc</v>
      </c>
      <c r="C924" s="2" t="str">
        <f>IFERROR(__xludf.DUMMYFUNCTION("""COMPUTED_VALUE"""),"pc")</f>
        <v>pc</v>
      </c>
      <c r="D924" s="2">
        <f>IFERROR(__xludf.DUMMYFUNCTION("""COMPUTED_VALUE"""),6.0)</f>
        <v>6</v>
      </c>
      <c r="E924" s="2" t="str">
        <f>IFERROR(__xludf.DUMMYFUNCTION("""COMPUTED_VALUE"""),"-")</f>
        <v>-</v>
      </c>
    </row>
    <row r="925">
      <c r="A925" s="2" t="str">
        <f>IFERROR(__xludf.DUMMYFUNCTION("""COMPUTED_VALUE"""),"P-15053-00")</f>
        <v>P-15053-00</v>
      </c>
      <c r="B925" s="2" t="str">
        <f>IFERROR(__xludf.DUMMYFUNCTION("""COMPUTED_VALUE"""),"General - Element Filter 0.01 micron; NXE-400-X; -; 1 pc")</f>
        <v>General - Element Filter 0.01 micron; NXE-400-X; -; 1 pc</v>
      </c>
      <c r="C925" s="2" t="str">
        <f>IFERROR(__xludf.DUMMYFUNCTION("""COMPUTED_VALUE"""),"pc")</f>
        <v>pc</v>
      </c>
      <c r="D925" s="2">
        <f>IFERROR(__xludf.DUMMYFUNCTION("""COMPUTED_VALUE"""),2.0)</f>
        <v>2</v>
      </c>
      <c r="E925" s="2" t="str">
        <f>IFERROR(__xludf.DUMMYFUNCTION("""COMPUTED_VALUE"""),"L-3")</f>
        <v>L-3</v>
      </c>
    </row>
    <row r="926">
      <c r="A926" s="2" t="str">
        <f>IFERROR(__xludf.DUMMYFUNCTION("""COMPUTED_VALUE"""),"P-10899-00")</f>
        <v>P-10899-00</v>
      </c>
      <c r="B926" s="2" t="str">
        <f>IFERROR(__xludf.DUMMYFUNCTION("""COMPUTED_VALUE"""),"General - Socket, PVC, 3/4""; Rucika; -; 1 pcs")</f>
        <v>General - Socket, PVC, 3/4"; Rucika; -; 1 pcs</v>
      </c>
      <c r="C926" s="2" t="str">
        <f>IFERROR(__xludf.DUMMYFUNCTION("""COMPUTED_VALUE"""),"pc")</f>
        <v>pc</v>
      </c>
      <c r="D926" s="2">
        <f>IFERROR(__xludf.DUMMYFUNCTION("""COMPUTED_VALUE"""),4.0)</f>
        <v>4</v>
      </c>
      <c r="E926" s="2"/>
    </row>
    <row r="927">
      <c r="A927" s="2" t="str">
        <f>IFERROR(__xludf.DUMMYFUNCTION("""COMPUTED_VALUE"""),"O-18966-00")</f>
        <v>O-18966-00</v>
      </c>
      <c r="B927" s="2" t="str">
        <f>IFERROR(__xludf.DUMMYFUNCTION("""COMPUTED_VALUE"""),"Capping VCM211 - Ring Washer; Custom/Lokal; -; 1 Pc")</f>
        <v>Capping VCM211 - Ring Washer; Custom/Lokal; -; 1 Pc</v>
      </c>
      <c r="C927" s="2" t="str">
        <f>IFERROR(__xludf.DUMMYFUNCTION("""COMPUTED_VALUE"""),"pc")</f>
        <v>pc</v>
      </c>
      <c r="D927" s="2">
        <f>IFERROR(__xludf.DUMMYFUNCTION("""COMPUTED_VALUE"""),1.0)</f>
        <v>1</v>
      </c>
      <c r="E927" s="2"/>
    </row>
    <row r="928">
      <c r="A928" s="2" t="str">
        <f>IFERROR(__xludf.DUMMYFUNCTION("""COMPUTED_VALUE"""),"O-20505-00")</f>
        <v>O-20505-00</v>
      </c>
      <c r="B928" s="2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928" s="2" t="str">
        <f>IFERROR(__xludf.DUMMYFUNCTION("""COMPUTED_VALUE"""),"pc")</f>
        <v>pc</v>
      </c>
      <c r="D928" s="2">
        <f>IFERROR(__xludf.DUMMYFUNCTION("""COMPUTED_VALUE"""),7.0)</f>
        <v>7</v>
      </c>
      <c r="E928" s="2" t="str">
        <f>IFERROR(__xludf.DUMMYFUNCTION("""COMPUTED_VALUE"""),"E-4")</f>
        <v>E-4</v>
      </c>
    </row>
    <row r="929">
      <c r="A929" s="2" t="str">
        <f>IFERROR(__xludf.DUMMYFUNCTION("""COMPUTED_VALUE"""),"O-18876-00")</f>
        <v>O-18876-00</v>
      </c>
      <c r="B929" s="2" t="str">
        <f>IFERROR(__xludf.DUMMYFUNCTION("""COMPUTED_VALUE"""),"General - Oring Silicone Merah 40.6x37x1.8 mm; -; -; 1 Pc")</f>
        <v>General - Oring Silicone Merah 40.6x37x1.8 mm; -; -; 1 Pc</v>
      </c>
      <c r="C929" s="2" t="str">
        <f>IFERROR(__xludf.DUMMYFUNCTION("""COMPUTED_VALUE"""),"pc")</f>
        <v>pc</v>
      </c>
      <c r="D929" s="2">
        <f>IFERROR(__xludf.DUMMYFUNCTION("""COMPUTED_VALUE"""),20.0)</f>
        <v>20</v>
      </c>
      <c r="E929" s="2"/>
    </row>
    <row r="930">
      <c r="A930" s="2" t="str">
        <f>IFERROR(__xludf.DUMMYFUNCTION("""COMPUTED_VALUE"""),"O-15592-00")</f>
        <v>O-15592-00</v>
      </c>
      <c r="B930" s="2" t="str">
        <f>IFERROR(__xludf.DUMMYFUNCTION("""COMPUTED_VALUE"""),"General - Hepa Filter Absolute 1 ER (GS) - PU (H14) 305X457X150, FRAME: STAINLESS STEEL; Camfil; 1 FRK-V; 1 Pc")</f>
        <v>General - Hepa Filter Absolute 1 ER (GS) - PU (H14) 305X457X150, FRAME: STAINLESS STEEL; Camfil; 1 FRK-V; 1 Pc</v>
      </c>
      <c r="C930" s="2" t="str">
        <f>IFERROR(__xludf.DUMMYFUNCTION("""COMPUTED_VALUE"""),"unt")</f>
        <v>unt</v>
      </c>
      <c r="D930" s="2">
        <f>IFERROR(__xludf.DUMMYFUNCTION("""COMPUTED_VALUE"""),1.0)</f>
        <v>1</v>
      </c>
      <c r="E930" s="2" t="str">
        <f>IFERROR(__xludf.DUMMYFUNCTION("""COMPUTED_VALUE"""),"-")</f>
        <v>-</v>
      </c>
    </row>
    <row r="931">
      <c r="A931" s="2" t="str">
        <f>IFERROR(__xludf.DUMMYFUNCTION("""COMPUTED_VALUE"""),"P-14454-00")</f>
        <v>P-14454-00</v>
      </c>
      <c r="B931" s="2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931" s="2" t="str">
        <f>IFERROR(__xludf.DUMMYFUNCTION("""COMPUTED_VALUE"""),"pc")</f>
        <v>pc</v>
      </c>
      <c r="D931" s="2">
        <f>IFERROR(__xludf.DUMMYFUNCTION("""COMPUTED_VALUE"""),8.0)</f>
        <v>8</v>
      </c>
      <c r="E931" s="2" t="str">
        <f>IFERROR(__xludf.DUMMYFUNCTION("""COMPUTED_VALUE"""),"Ruang Filter")</f>
        <v>Ruang Filter</v>
      </c>
    </row>
    <row r="932">
      <c r="A932" s="2" t="str">
        <f>IFERROR(__xludf.DUMMYFUNCTION("""COMPUTED_VALUE"""),"P-17896-00")</f>
        <v>P-17896-00</v>
      </c>
      <c r="B932" s="2" t="str">
        <f>IFERROR(__xludf.DUMMYFUNCTION("""COMPUTED_VALUE"""),"General - Hole Saw for Stainless Steel, dia. 37 mm; No Brand; -; 1 pcs")</f>
        <v>General - Hole Saw for Stainless Steel, dia. 37 mm; No Brand; -; 1 pcs</v>
      </c>
      <c r="C932" s="2" t="str">
        <f>IFERROR(__xludf.DUMMYFUNCTION("""COMPUTED_VALUE"""),"pc")</f>
        <v>pc</v>
      </c>
      <c r="D932" s="2">
        <f>IFERROR(__xludf.DUMMYFUNCTION("""COMPUTED_VALUE"""),2.0)</f>
        <v>2</v>
      </c>
      <c r="E932" s="2" t="str">
        <f>IFERROR(__xludf.DUMMYFUNCTION("""COMPUTED_VALUE"""),"R-4-9")</f>
        <v>R-4-9</v>
      </c>
    </row>
    <row r="933">
      <c r="A933" s="2" t="str">
        <f>IFERROR(__xludf.DUMMYFUNCTION("""COMPUTED_VALUE"""),"O-21485-00")</f>
        <v>O-21485-00</v>
      </c>
      <c r="B933" s="2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933" s="2" t="str">
        <f>IFERROR(__xludf.DUMMYFUNCTION("""COMPUTED_VALUE"""),"pc")</f>
        <v>pc</v>
      </c>
      <c r="D933" s="2">
        <f>IFERROR(__xludf.DUMMYFUNCTION("""COMPUTED_VALUE"""),15.0)</f>
        <v>15</v>
      </c>
      <c r="E933" s="2" t="str">
        <f>IFERROR(__xludf.DUMMYFUNCTION("""COMPUTED_VALUE"""),"-")</f>
        <v>-</v>
      </c>
    </row>
    <row r="934">
      <c r="A934" s="2" t="str">
        <f>IFERROR(__xludf.DUMMYFUNCTION("""COMPUTED_VALUE"""),"P-15851-00")</f>
        <v>P-15851-00</v>
      </c>
      <c r="B934" s="2" t="str">
        <f>IFERROR(__xludf.DUMMYFUNCTION("""COMPUTED_VALUE"""),"General - Ampelas P100; EAGLE; -; 1 pcs")</f>
        <v>General - Ampelas P100; EAGLE; -; 1 pcs</v>
      </c>
      <c r="C934" s="2" t="str">
        <f>IFERROR(__xludf.DUMMYFUNCTION("""COMPUTED_VALUE"""),"pc")</f>
        <v>pc</v>
      </c>
      <c r="D934" s="2">
        <f>IFERROR(__xludf.DUMMYFUNCTION("""COMPUTED_VALUE"""),17.0)</f>
        <v>17</v>
      </c>
      <c r="E934" s="2" t="str">
        <f>IFERROR(__xludf.DUMMYFUNCTION("""COMPUTED_VALUE"""),"N3")</f>
        <v>N3</v>
      </c>
    </row>
    <row r="935">
      <c r="A935" s="2" t="str">
        <f>IFERROR(__xludf.DUMMYFUNCTION("""COMPUTED_VALUE"""),"O-18692-00")</f>
        <v>O-18692-00</v>
      </c>
      <c r="B935" s="2" t="str">
        <f>IFERROR(__xludf.DUMMYFUNCTION("""COMPUTED_VALUE"""),"Autoclave Fedegari FVA2/A1 NB2963AT - DN10 Blind CAP P/N: PM102746; ; ;")</f>
        <v>Autoclave Fedegari FVA2/A1 NB2963AT - DN10 Blind CAP P/N: PM102746; ; ;</v>
      </c>
      <c r="C935" s="2" t="str">
        <f>IFERROR(__xludf.DUMMYFUNCTION("""COMPUTED_VALUE"""),"pc")</f>
        <v>pc</v>
      </c>
      <c r="D935" s="2">
        <f>IFERROR(__xludf.DUMMYFUNCTION("""COMPUTED_VALUE"""),1.0)</f>
        <v>1</v>
      </c>
      <c r="E935" s="2" t="str">
        <f>IFERROR(__xludf.DUMMYFUNCTION("""COMPUTED_VALUE"""),"E1")</f>
        <v>E1</v>
      </c>
    </row>
    <row r="936">
      <c r="A936" s="2" t="str">
        <f>IFERROR(__xludf.DUMMYFUNCTION("""COMPUTED_VALUE"""),"O-18691-00")</f>
        <v>O-18691-00</v>
      </c>
      <c r="B936" s="2" t="str">
        <f>IFERROR(__xludf.DUMMYFUNCTION("""COMPUTED_VALUE"""),"Autoclave Fedegari FVA2/A1 NB2963AT - DN6 Blind CAP P/N: PM101233; ; ;")</f>
        <v>Autoclave Fedegari FVA2/A1 NB2963AT - DN6 Blind CAP P/N: PM101233; ; ;</v>
      </c>
      <c r="C936" s="2" t="str">
        <f>IFERROR(__xludf.DUMMYFUNCTION("""COMPUTED_VALUE"""),"pc")</f>
        <v>pc</v>
      </c>
      <c r="D936" s="2">
        <f>IFERROR(__xludf.DUMMYFUNCTION("""COMPUTED_VALUE"""),3.0)</f>
        <v>3</v>
      </c>
      <c r="E936" s="2" t="str">
        <f>IFERROR(__xludf.DUMMYFUNCTION("""COMPUTED_VALUE"""),"E1")</f>
        <v>E1</v>
      </c>
    </row>
    <row r="937">
      <c r="A937" s="2" t="str">
        <f>IFERROR(__xludf.DUMMYFUNCTION("""COMPUTED_VALUE"""),"O-19383-00")</f>
        <v>O-19383-00</v>
      </c>
      <c r="B937" s="2" t="str">
        <f>IFERROR(__xludf.DUMMYFUNCTION("""COMPUTED_VALUE"""),"General - HEPA filter H14 minipleat, size: 762x457x69 Class (EN 1822)- 99,995% MPPS; Hencolin; -; 1 Pc")</f>
        <v>General - HEPA filter H14 minipleat, size: 762x457x69 Class (EN 1822)- 99,995% MPPS; Hencolin; -; 1 Pc</v>
      </c>
      <c r="C937" s="2" t="str">
        <f>IFERROR(__xludf.DUMMYFUNCTION("""COMPUTED_VALUE"""),"pc")</f>
        <v>pc</v>
      </c>
      <c r="D937" s="2">
        <f>IFERROR(__xludf.DUMMYFUNCTION("""COMPUTED_VALUE"""),1.0)</f>
        <v>1</v>
      </c>
      <c r="E937" s="2" t="str">
        <f>IFERROR(__xludf.DUMMYFUNCTION("""COMPUTED_VALUE"""),"-")</f>
        <v>-</v>
      </c>
    </row>
    <row r="938">
      <c r="A938" s="2" t="str">
        <f>IFERROR(__xludf.DUMMYFUNCTION("""COMPUTED_VALUE"""),"O-54003-00")</f>
        <v>O-54003-00</v>
      </c>
      <c r="B938" s="2" t="str">
        <f>IFERROR(__xludf.DUMMYFUNCTION("""COMPUTED_VALUE"""),"LAMPU PL-S 2P 11W/865, PHILIPS")</f>
        <v>LAMPU PL-S 2P 11W/865, PHILIPS</v>
      </c>
      <c r="C938" s="2" t="str">
        <f>IFERROR(__xludf.DUMMYFUNCTION("""COMPUTED_VALUE"""),"pc")</f>
        <v>pc</v>
      </c>
      <c r="D938" s="2">
        <f>IFERROR(__xludf.DUMMYFUNCTION("""COMPUTED_VALUE"""),19.0)</f>
        <v>19</v>
      </c>
      <c r="E938" s="2" t="str">
        <f>IFERROR(__xludf.DUMMYFUNCTION("""COMPUTED_VALUE"""),"O3")</f>
        <v>O3</v>
      </c>
    </row>
    <row r="939">
      <c r="A939" s="2" t="str">
        <f>IFERROR(__xludf.DUMMYFUNCTION("""COMPUTED_VALUE"""),"Q-60406-00")</f>
        <v>Q-60406-00</v>
      </c>
      <c r="B939" s="2" t="str">
        <f>IFERROR(__xludf.DUMMYFUNCTION("""COMPUTED_VALUE"""),"Stone Coat Pernis pelapis batu alam; Golden Horse; Type Black Gloss ; 1 kg/can")</f>
        <v>Stone Coat Pernis pelapis batu alam; Golden Horse; Type Black Gloss ; 1 kg/can</v>
      </c>
      <c r="C939" s="2" t="str">
        <f>IFERROR(__xludf.DUMMYFUNCTION("""COMPUTED_VALUE"""),"Can")</f>
        <v>Can</v>
      </c>
      <c r="D939" s="2">
        <f>IFERROR(__xludf.DUMMYFUNCTION("""COMPUTED_VALUE"""),1.0)</f>
        <v>1</v>
      </c>
      <c r="E939" s="2"/>
    </row>
    <row r="940">
      <c r="A940" s="2" t="str">
        <f>IFERROR(__xludf.DUMMYFUNCTION("""COMPUTED_VALUE"""),"P-17897-00")</f>
        <v>P-17897-00</v>
      </c>
      <c r="B940" s="2" t="str">
        <f>IFERROR(__xludf.DUMMYFUNCTION("""COMPUTED_VALUE"""),"General - Single Tape Foam 3mm x 25mm; No Brand; -; 10meter/roll")</f>
        <v>General - Single Tape Foam 3mm x 25mm; No Brand; -; 10meter/roll</v>
      </c>
      <c r="C940" s="2" t="str">
        <f>IFERROR(__xludf.DUMMYFUNCTION("""COMPUTED_VALUE"""),"pc")</f>
        <v>pc</v>
      </c>
      <c r="D940" s="2">
        <f>IFERROR(__xludf.DUMMYFUNCTION("""COMPUTED_VALUE"""),2.0)</f>
        <v>2</v>
      </c>
      <c r="E940" s="2" t="str">
        <f>IFERROR(__xludf.DUMMYFUNCTION("""COMPUTED_VALUE"""),"-")</f>
        <v>-</v>
      </c>
    </row>
    <row r="941">
      <c r="A941" s="2" t="str">
        <f>IFERROR(__xludf.DUMMYFUNCTION("""COMPUTED_VALUE"""),"O-53199-00")</f>
        <v>O-53199-00</v>
      </c>
      <c r="B941" s="2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941" s="2" t="str">
        <f>IFERROR(__xludf.DUMMYFUNCTION("""COMPUTED_VALUE"""),"pc")</f>
        <v>pc</v>
      </c>
      <c r="D941" s="2">
        <f>IFERROR(__xludf.DUMMYFUNCTION("""COMPUTED_VALUE"""),2.0)</f>
        <v>2</v>
      </c>
      <c r="E941" s="2" t="str">
        <f>IFERROR(__xludf.DUMMYFUNCTION("""COMPUTED_VALUE"""),"B-2")</f>
        <v>B-2</v>
      </c>
    </row>
    <row r="942">
      <c r="A942" s="2" t="str">
        <f>IFERROR(__xludf.DUMMYFUNCTION("""COMPUTED_VALUE"""),"O-52241-00")</f>
        <v>O-52241-00</v>
      </c>
      <c r="B942" s="2" t="str">
        <f>IFERROR(__xludf.DUMMYFUNCTION("""COMPUTED_VALUE"""),"Tunnel Machine - Potensio 10K; ; ;; Spectrol; -; 1 Pc")</f>
        <v>Tunnel Machine - Potensio 10K; ; ;; Spectrol; -; 1 Pc</v>
      </c>
      <c r="C942" s="2" t="str">
        <f>IFERROR(__xludf.DUMMYFUNCTION("""COMPUTED_VALUE"""),"pc")</f>
        <v>pc</v>
      </c>
      <c r="D942" s="2">
        <f>IFERROR(__xludf.DUMMYFUNCTION("""COMPUTED_VALUE"""),1.0)</f>
        <v>1</v>
      </c>
      <c r="E942" s="2" t="str">
        <f>IFERROR(__xludf.DUMMYFUNCTION("""COMPUTED_VALUE"""),"B3")</f>
        <v>B3</v>
      </c>
    </row>
    <row r="943">
      <c r="A943" s="2" t="str">
        <f>IFERROR(__xludf.DUMMYFUNCTION("""COMPUTED_VALUE"""),"P-20129-00")</f>
        <v>P-20129-00</v>
      </c>
      <c r="B943" s="2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943" s="2" t="str">
        <f>IFERROR(__xludf.DUMMYFUNCTION("""COMPUTED_VALUE"""),"pc")</f>
        <v>pc</v>
      </c>
      <c r="D943" s="2">
        <f>IFERROR(__xludf.DUMMYFUNCTION("""COMPUTED_VALUE"""),1.0)</f>
        <v>1</v>
      </c>
      <c r="E943" s="2" t="str">
        <f>IFERROR(__xludf.DUMMYFUNCTION("""COMPUTED_VALUE"""),"F-4")</f>
        <v>F-4</v>
      </c>
    </row>
    <row r="944">
      <c r="A944" s="2" t="str">
        <f>IFERROR(__xludf.DUMMYFUNCTION("""COMPUTED_VALUE"""),"O-19342-00")</f>
        <v>O-19342-00</v>
      </c>
      <c r="B944" s="2" t="str">
        <f>IFERROR(__xludf.DUMMYFUNCTION("""COMPUTED_VALUE"""),"Washing RAR4 - Pendorong Pusher Outfeed, Machining Plate Material Pom Putih; ; ;; Custom/Lokal; -; 1 Pc")</f>
        <v>Washing RAR4 - Pendorong Pusher Outfeed, Machining Plate Material Pom Putih; ; ;; Custom/Lokal; -; 1 Pc</v>
      </c>
      <c r="C944" s="2" t="str">
        <f>IFERROR(__xludf.DUMMYFUNCTION("""COMPUTED_VALUE"""),"pc")</f>
        <v>pc</v>
      </c>
      <c r="D944" s="2">
        <f>IFERROR(__xludf.DUMMYFUNCTION("""COMPUTED_VALUE"""),1.0)</f>
        <v>1</v>
      </c>
      <c r="E944" s="2"/>
    </row>
    <row r="945">
      <c r="A945" s="2" t="str">
        <f>IFERROR(__xludf.DUMMYFUNCTION("""COMPUTED_VALUE"""),"Q-60401-00")</f>
        <v>Q-60401-00</v>
      </c>
      <c r="B945" s="2" t="str">
        <f>IFERROR(__xludf.DUMMYFUNCTION("""COMPUTED_VALUE"""),"Handle Pintu Bulat, Elbow Press Lock; Meroni; N13NE TB127;")</f>
        <v>Handle Pintu Bulat, Elbow Press Lock; Meroni; N13NE TB127;</v>
      </c>
      <c r="C945" s="2" t="str">
        <f>IFERROR(__xludf.DUMMYFUNCTION("""COMPUTED_VALUE"""),"pc")</f>
        <v>pc</v>
      </c>
      <c r="D945" s="2">
        <f>IFERROR(__xludf.DUMMYFUNCTION("""COMPUTED_VALUE"""),1.0)</f>
        <v>1</v>
      </c>
      <c r="E945" s="2" t="str">
        <f>IFERROR(__xludf.DUMMYFUNCTION("""COMPUTED_VALUE"""),"N-2")</f>
        <v>N-2</v>
      </c>
    </row>
    <row r="946">
      <c r="A946" s="2" t="str">
        <f>IFERROR(__xludf.DUMMYFUNCTION("""COMPUTED_VALUE"""),"O-20117-00")</f>
        <v>O-20117-00</v>
      </c>
      <c r="B946" s="2" t="str">
        <f>IFERROR(__xludf.DUMMYFUNCTION("""COMPUTED_VALUE"""),"General - Oil Seal TC 140x170x12; No Brand; ; 1 Pc")</f>
        <v>General - Oil Seal TC 140x170x12; No Brand; ; 1 Pc</v>
      </c>
      <c r="C946" s="2" t="str">
        <f>IFERROR(__xludf.DUMMYFUNCTION("""COMPUTED_VALUE"""),"pc")</f>
        <v>pc</v>
      </c>
      <c r="D946" s="2">
        <f>IFERROR(__xludf.DUMMYFUNCTION("""COMPUTED_VALUE"""),2.0)</f>
        <v>2</v>
      </c>
      <c r="E946" s="2" t="str">
        <f>IFERROR(__xludf.DUMMYFUNCTION("""COMPUTED_VALUE"""),"A-1-1")</f>
        <v>A-1-1</v>
      </c>
    </row>
    <row r="947">
      <c r="A947" s="2" t="str">
        <f>IFERROR(__xludf.DUMMYFUNCTION("""COMPUTED_VALUE"""),"O-53590-00")</f>
        <v>O-53590-00</v>
      </c>
      <c r="B947" s="2" t="str">
        <f>IFERROR(__xludf.DUMMYFUNCTION("""COMPUTED_VALUE"""),"Filling VFM100 - Hyperion Medium Range Bar; Meech; A945IPS-0400; 1 Pc")</f>
        <v>Filling VFM100 - Hyperion Medium Range Bar; Meech; A945IPS-0400; 1 Pc</v>
      </c>
      <c r="C947" s="2" t="str">
        <f>IFERROR(__xludf.DUMMYFUNCTION("""COMPUTED_VALUE"""),"pc")</f>
        <v>pc</v>
      </c>
      <c r="D947" s="2">
        <f>IFERROR(__xludf.DUMMYFUNCTION("""COMPUTED_VALUE"""),1.0)</f>
        <v>1</v>
      </c>
      <c r="E947" s="2" t="str">
        <f>IFERROR(__xludf.DUMMYFUNCTION("""COMPUTED_VALUE"""),"-")</f>
        <v>-</v>
      </c>
    </row>
    <row r="948">
      <c r="A948" s="2" t="str">
        <f>IFERROR(__xludf.DUMMYFUNCTION("""COMPUTED_VALUE"""),"O-16175-00")</f>
        <v>O-16175-00</v>
      </c>
      <c r="B948" s="2" t="str">
        <f>IFERROR(__xludf.DUMMYFUNCTION("""COMPUTED_VALUE"""),"O-RING T=3,53 :OR 4725 MVQ NT70-RED+M4 39269097; Order No : 5025020; ; ;")</f>
        <v>O-RING T=3,53 :OR 4725 MVQ NT70-RED+M4 39269097; Order No : 5025020; ; ;</v>
      </c>
      <c r="C948" s="2" t="str">
        <f>IFERROR(__xludf.DUMMYFUNCTION("""COMPUTED_VALUE"""),"unt")</f>
        <v>unt</v>
      </c>
      <c r="D948" s="2">
        <f>IFERROR(__xludf.DUMMYFUNCTION("""COMPUTED_VALUE"""),12.0)</f>
        <v>12</v>
      </c>
      <c r="E948" s="2" t="str">
        <f>IFERROR(__xludf.DUMMYFUNCTION("""COMPUTED_VALUE"""),"D-1-7")</f>
        <v>D-1-7</v>
      </c>
    </row>
    <row r="949">
      <c r="A949" s="2" t="str">
        <f>IFERROR(__xludf.DUMMYFUNCTION("""COMPUTED_VALUE"""),"P-17668-00")</f>
        <v>P-17668-00</v>
      </c>
      <c r="B949" s="2" t="str">
        <f>IFERROR(__xludf.DUMMYFUNCTION("""COMPUTED_VALUE"""),"General - Flow Control With Fitting, AS2002F-04; SMC Pneumatics; -; 1 pcs")</f>
        <v>General - Flow Control With Fitting, AS2002F-04; SMC Pneumatics; -; 1 pcs</v>
      </c>
      <c r="C949" s="2" t="str">
        <f>IFERROR(__xludf.DUMMYFUNCTION("""COMPUTED_VALUE"""),"pc")</f>
        <v>pc</v>
      </c>
      <c r="D949" s="2">
        <f>IFERROR(__xludf.DUMMYFUNCTION("""COMPUTED_VALUE"""),10.0)</f>
        <v>10</v>
      </c>
      <c r="E949" s="2" t="str">
        <f>IFERROR(__xludf.DUMMYFUNCTION("""COMPUTED_VALUE"""),"-")</f>
        <v>-</v>
      </c>
    </row>
    <row r="950">
      <c r="A950" s="2" t="str">
        <f>IFERROR(__xludf.DUMMYFUNCTION("""COMPUTED_VALUE"""),"P-14455-00")</f>
        <v>P-14455-00</v>
      </c>
      <c r="B950" s="2" t="str">
        <f>IFERROR(__xludf.DUMMYFUNCTION("""COMPUTED_VALUE"""),"General - Filter IAF MBV Series (Medium Filter), efficiency : 80-85 %, Size: 24 x 24 x 12 inch; IAF; -; 1 pcs")</f>
        <v>General - Filter IAF MBV Series (Medium Filter), efficiency : 80-85 %, Size: 24 x 24 x 12 inch; IAF; -; 1 pcs</v>
      </c>
      <c r="C950" s="2" t="str">
        <f>IFERROR(__xludf.DUMMYFUNCTION("""COMPUTED_VALUE"""),"pc")</f>
        <v>pc</v>
      </c>
      <c r="D950" s="2">
        <f>IFERROR(__xludf.DUMMYFUNCTION("""COMPUTED_VALUE"""),9.0)</f>
        <v>9</v>
      </c>
      <c r="E950" s="2" t="str">
        <f>IFERROR(__xludf.DUMMYFUNCTION("""COMPUTED_VALUE"""),"Ruang Filter")</f>
        <v>Ruang Filter</v>
      </c>
    </row>
    <row r="951">
      <c r="A951" s="2" t="str">
        <f>IFERROR(__xludf.DUMMYFUNCTION("""COMPUTED_VALUE"""),"O-15902-00")</f>
        <v>O-15902-00</v>
      </c>
      <c r="B951" s="2" t="str">
        <f>IFERROR(__xludf.DUMMYFUNCTION("""COMPUTED_VALUE"""),"General - Suction Cup capping size 6R 01.11.16; Steriline; 202082; 1 Pc")</f>
        <v>General - Suction Cup capping size 6R 01.11.16; Steriline; 202082; 1 Pc</v>
      </c>
      <c r="C951" s="2" t="str">
        <f>IFERROR(__xludf.DUMMYFUNCTION("""COMPUTED_VALUE"""),"pc")</f>
        <v>pc</v>
      </c>
      <c r="D951" s="2">
        <f>IFERROR(__xludf.DUMMYFUNCTION("""COMPUTED_VALUE"""),107.0)</f>
        <v>107</v>
      </c>
      <c r="E951" s="2" t="str">
        <f>IFERROR(__xludf.DUMMYFUNCTION("""COMPUTED_VALUE"""),"A-1-4A")</f>
        <v>A-1-4A</v>
      </c>
    </row>
    <row r="952">
      <c r="A952" s="2" t="str">
        <f>IFERROR(__xludf.DUMMYFUNCTION("""COMPUTED_VALUE"""),"P-54516-00")</f>
        <v>P-54516-00</v>
      </c>
      <c r="B952" s="2" t="str">
        <f>IFERROR(__xludf.DUMMYFUNCTION("""COMPUTED_VALUE"""),"General - Skun Y, 2.5mm, Merah; Ewig; -; 100pcs/pack")</f>
        <v>General - Skun Y, 2.5mm, Merah; Ewig; -; 100pcs/pack</v>
      </c>
      <c r="C952" s="2" t="str">
        <f>IFERROR(__xludf.DUMMYFUNCTION("""COMPUTED_VALUE"""),"pc")</f>
        <v>pc</v>
      </c>
      <c r="D952" s="2">
        <f>IFERROR(__xludf.DUMMYFUNCTION("""COMPUTED_VALUE"""),1.0)</f>
        <v>1</v>
      </c>
      <c r="E952" s="2" t="str">
        <f>IFERROR(__xludf.DUMMYFUNCTION("""COMPUTED_VALUE"""),"S-3-2")</f>
        <v>S-3-2</v>
      </c>
    </row>
    <row r="953">
      <c r="A953" s="2" t="str">
        <f>IFERROR(__xludf.DUMMYFUNCTION("""COMPUTED_VALUE"""),"P-53169-00")</f>
        <v>P-53169-00</v>
      </c>
      <c r="B953" s="2" t="str">
        <f>IFERROR(__xludf.DUMMYFUNCTION("""COMPUTED_VALUE"""),"General - Trafo BalLast EBC 2x28W; Phillips; EB-C 228; 1 pcs")</f>
        <v>General - Trafo BalLast EBC 2x28W; Phillips; EB-C 228; 1 pcs</v>
      </c>
      <c r="C953" s="2" t="str">
        <f>IFERROR(__xludf.DUMMYFUNCTION("""COMPUTED_VALUE"""),"pc")</f>
        <v>pc</v>
      </c>
      <c r="D953" s="2">
        <f>IFERROR(__xludf.DUMMYFUNCTION("""COMPUTED_VALUE"""),10.0)</f>
        <v>10</v>
      </c>
      <c r="E953" s="2" t="str">
        <f>IFERROR(__xludf.DUMMYFUNCTION("""COMPUTED_VALUE"""),"A-4-2A")</f>
        <v>A-4-2A</v>
      </c>
    </row>
    <row r="954">
      <c r="A954" s="2" t="str">
        <f>IFERROR(__xludf.DUMMYFUNCTION("""COMPUTED_VALUE"""),"P-54349-00")</f>
        <v>P-54349-00</v>
      </c>
      <c r="B954" s="2" t="str">
        <f>IFERROR(__xludf.DUMMYFUNCTION("""COMPUTED_VALUE"""),"General - Threaded 3 Port Valve; Siemens; VXG44.32-16; 1 pc")</f>
        <v>General - Threaded 3 Port Valve; Siemens; VXG44.32-16; 1 pc</v>
      </c>
      <c r="C954" s="2" t="str">
        <f>IFERROR(__xludf.DUMMYFUNCTION("""COMPUTED_VALUE"""),"pc")</f>
        <v>pc</v>
      </c>
      <c r="D954" s="2">
        <f>IFERROR(__xludf.DUMMYFUNCTION("""COMPUTED_VALUE"""),2.0)</f>
        <v>2</v>
      </c>
      <c r="E954" s="2" t="str">
        <f>IFERROR(__xludf.DUMMYFUNCTION("""COMPUTED_VALUE"""),"R-3-4")</f>
        <v>R-3-4</v>
      </c>
    </row>
    <row r="955">
      <c r="A955" s="2" t="str">
        <f>IFERROR(__xludf.DUMMYFUNCTION("""COMPUTED_VALUE"""),"O-20651-00")</f>
        <v>O-20651-00</v>
      </c>
      <c r="B955" s="2" t="str">
        <f>IFERROR(__xludf.DUMMYFUNCTION("""COMPUTED_VALUE"""),"Integrated Granulation Line - Collar HC100")</f>
        <v>Integrated Granulation Line - Collar HC100</v>
      </c>
      <c r="C955" s="2" t="str">
        <f>IFERROR(__xludf.DUMMYFUNCTION("""COMPUTED_VALUE"""),"pc")</f>
        <v>pc</v>
      </c>
      <c r="D955" s="2">
        <f>IFERROR(__xludf.DUMMYFUNCTION("""COMPUTED_VALUE"""),3.0)</f>
        <v>3</v>
      </c>
      <c r="E955" s="2" t="str">
        <f>IFERROR(__xludf.DUMMYFUNCTION("""COMPUTED_VALUE"""),"-")</f>
        <v>-</v>
      </c>
    </row>
    <row r="956">
      <c r="A956" s="2" t="str">
        <f>IFERROR(__xludf.DUMMYFUNCTION("""COMPUTED_VALUE"""),"P-52513-00")</f>
        <v>P-52513-00</v>
      </c>
      <c r="B956" s="2" t="str">
        <f>IFERROR(__xludf.DUMMYFUNCTION("""COMPUTED_VALUE"""),"General - Emergency Stop 22mm; IDEC; -; 1 pc")</f>
        <v>General - Emergency Stop 22mm; IDEC; -; 1 pc</v>
      </c>
      <c r="C956" s="2" t="str">
        <f>IFERROR(__xludf.DUMMYFUNCTION("""COMPUTED_VALUE"""),"pc")</f>
        <v>pc</v>
      </c>
      <c r="D956" s="2">
        <f>IFERROR(__xludf.DUMMYFUNCTION("""COMPUTED_VALUE"""),2.0)</f>
        <v>2</v>
      </c>
      <c r="E956" s="2" t="str">
        <f>IFERROR(__xludf.DUMMYFUNCTION("""COMPUTED_VALUE"""),"S-2-9")</f>
        <v>S-2-9</v>
      </c>
    </row>
    <row r="957">
      <c r="A957" s="2" t="str">
        <f>IFERROR(__xludf.DUMMYFUNCTION("""COMPUTED_VALUE"""),"O-18912-00")</f>
        <v>O-18912-00</v>
      </c>
      <c r="B957" s="2" t="str">
        <f>IFERROR(__xludf.DUMMYFUNCTION("""COMPUTED_VALUE"""),"Freeze Dryer MBE1207 - Pneumatic Actuator 92-063-11300-532 Double Actuating; Bray; EB14-00083; 1 pc")</f>
        <v>Freeze Dryer MBE1207 - Pneumatic Actuator 92-063-11300-532 Double Actuating; Bray; EB14-00083; 1 pc</v>
      </c>
      <c r="C957" s="2" t="str">
        <f>IFERROR(__xludf.DUMMYFUNCTION("""COMPUTED_VALUE"""),"pc")</f>
        <v>pc</v>
      </c>
      <c r="D957" s="2">
        <f>IFERROR(__xludf.DUMMYFUNCTION("""COMPUTED_VALUE"""),2.0)</f>
        <v>2</v>
      </c>
      <c r="E957" s="2" t="str">
        <f>IFERROR(__xludf.DUMMYFUNCTION("""COMPUTED_VALUE"""),"D-4-6")</f>
        <v>D-4-6</v>
      </c>
    </row>
    <row r="958">
      <c r="A958" s="2" t="str">
        <f>IFERROR(__xludf.DUMMYFUNCTION("""COMPUTED_VALUE"""),"P-10266-00")</f>
        <v>P-10266-00</v>
      </c>
      <c r="B958" s="2" t="str">
        <f>IFERROR(__xludf.DUMMYFUNCTION("""COMPUTED_VALUE"""),"General - Valve Bellows Sealed Globe Valve BSA 1/BSA 1T PN 16 size 80mm; No Brand; -; 1 Pc")</f>
        <v>General - Valve Bellows Sealed Globe Valve BSA 1/BSA 1T PN 16 size 80mm; No Brand; -; 1 Pc</v>
      </c>
      <c r="C958" s="2" t="str">
        <f>IFERROR(__xludf.DUMMYFUNCTION("""COMPUTED_VALUE"""),"pc")</f>
        <v>pc</v>
      </c>
      <c r="D958" s="2">
        <f>IFERROR(__xludf.DUMMYFUNCTION("""COMPUTED_VALUE"""),1.0)</f>
        <v>1</v>
      </c>
      <c r="E958" s="2" t="str">
        <f>IFERROR(__xludf.DUMMYFUNCTION("""COMPUTED_VALUE"""),"H1")</f>
        <v>H1</v>
      </c>
    </row>
    <row r="959">
      <c r="A959" s="2" t="str">
        <f>IFERROR(__xludf.DUMMYFUNCTION("""COMPUTED_VALUE"""),"O-15669-00")</f>
        <v>O-15669-00</v>
      </c>
      <c r="B959" s="2" t="str">
        <f>IFERROR(__xludf.DUMMYFUNCTION("""COMPUTED_VALUE"""),"STERILIZING CHAMBER HEATERS - RIBBED HEATERS RCU - 1000W - 230VAC -50/60HZ MATERIAL AISI316/304, MECHANICAL DIMENSION:; LENGTH: 397 MM -CENTER DISTANCE: 50 MM HEATING BODY DIAMETER: 10 MM RIBBED DIAMETER: 22 MM; Steriline; 4541; 1 Pc")</f>
        <v>STERILIZING CHAMBER HEATERS - RIBBED HEATERS RCU - 1000W - 230VAC -50/60HZ MATERIAL AISI316/304, MECHANICAL DIMENSION:; LENGTH: 397 MM -CENTER DISTANCE: 50 MM HEATING BODY DIAMETER: 10 MM RIBBED DIAMETER: 22 MM; Steriline; 4541; 1 Pc</v>
      </c>
      <c r="C959" s="2" t="str">
        <f>IFERROR(__xludf.DUMMYFUNCTION("""COMPUTED_VALUE"""),"unt")</f>
        <v>unt</v>
      </c>
      <c r="D959" s="2">
        <f>IFERROR(__xludf.DUMMYFUNCTION("""COMPUTED_VALUE"""),5.0)</f>
        <v>5</v>
      </c>
      <c r="E959" s="2" t="str">
        <f>IFERROR(__xludf.DUMMYFUNCTION("""COMPUTED_VALUE"""),"B-1")</f>
        <v>B-1</v>
      </c>
    </row>
    <row r="960">
      <c r="A960" s="2" t="str">
        <f>IFERROR(__xludf.DUMMYFUNCTION("""COMPUTED_VALUE"""),"O-52169-00")</f>
        <v>O-52169-00</v>
      </c>
      <c r="B960" s="2" t="str">
        <f>IFERROR(__xludf.DUMMYFUNCTION("""COMPUTED_VALUE"""),"General - Thermal Magnetic Circuit Breaker 1.6-2.5A GV2ME07; Schneider; 10195; 1 Pc")</f>
        <v>General - Thermal Magnetic Circuit Breaker 1.6-2.5A GV2ME07; Schneider; 10195; 1 Pc</v>
      </c>
      <c r="C960" s="2" t="str">
        <f>IFERROR(__xludf.DUMMYFUNCTION("""COMPUTED_VALUE"""),"pc")</f>
        <v>pc</v>
      </c>
      <c r="D960" s="2">
        <f>IFERROR(__xludf.DUMMYFUNCTION("""COMPUTED_VALUE"""),1.0)</f>
        <v>1</v>
      </c>
      <c r="E960" s="2" t="str">
        <f>IFERROR(__xludf.DUMMYFUNCTION("""COMPUTED_VALUE"""),"A-4-8A")</f>
        <v>A-4-8A</v>
      </c>
    </row>
    <row r="961">
      <c r="A961" s="2" t="str">
        <f>IFERROR(__xludf.DUMMYFUNCTION("""COMPUTED_VALUE"""),"P-54577-00")</f>
        <v>P-54577-00</v>
      </c>
      <c r="B961" s="2" t="str">
        <f>IFERROR(__xludf.DUMMYFUNCTION("""COMPUTED_VALUE"""),"General - Lampu Neon LED Silinder II T5 16W Putih; Hannochs; -; 1 pc")</f>
        <v>General - Lampu Neon LED Silinder II T5 16W Putih; Hannochs; -; 1 pc</v>
      </c>
      <c r="C961" s="2" t="str">
        <f>IFERROR(__xludf.DUMMYFUNCTION("""COMPUTED_VALUE"""),"pc")</f>
        <v>pc</v>
      </c>
      <c r="D961" s="2">
        <f>IFERROR(__xludf.DUMMYFUNCTION("""COMPUTED_VALUE"""),98.0)</f>
        <v>98</v>
      </c>
      <c r="E961" s="2" t="str">
        <f>IFERROR(__xludf.DUMMYFUNCTION("""COMPUTED_VALUE"""),"-")</f>
        <v>-</v>
      </c>
    </row>
    <row r="962">
      <c r="A962" s="2" t="str">
        <f>IFERROR(__xludf.DUMMYFUNCTION("""COMPUTED_VALUE"""),"P-12764-00")</f>
        <v>P-12764-00</v>
      </c>
      <c r="B962" s="2" t="str">
        <f>IFERROR(__xludf.DUMMYFUNCTION("""COMPUTED_VALUE"""),"General - Silicone Gasket for Ferrule dia. 1/2inch; Custom; -; 1 pcs")</f>
        <v>General - Silicone Gasket for Ferrule dia. 1/2inch; Custom; -; 1 pcs</v>
      </c>
      <c r="C962" s="2" t="str">
        <f>IFERROR(__xludf.DUMMYFUNCTION("""COMPUTED_VALUE"""),"pc")</f>
        <v>pc</v>
      </c>
      <c r="D962" s="2">
        <f>IFERROR(__xludf.DUMMYFUNCTION("""COMPUTED_VALUE"""),9.0)</f>
        <v>9</v>
      </c>
      <c r="E962" s="2" t="str">
        <f>IFERROR(__xludf.DUMMYFUNCTION("""COMPUTED_VALUE"""),"M3")</f>
        <v>M3</v>
      </c>
    </row>
    <row r="963">
      <c r="A963" s="2" t="str">
        <f>IFERROR(__xludf.DUMMYFUNCTION("""COMPUTED_VALUE"""),"P-20150-00")</f>
        <v>P-20150-00</v>
      </c>
      <c r="B963" s="2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963" s="2" t="str">
        <f>IFERROR(__xludf.DUMMYFUNCTION("""COMPUTED_VALUE"""),"pc")</f>
        <v>pc</v>
      </c>
      <c r="D963" s="2">
        <f>IFERROR(__xludf.DUMMYFUNCTION("""COMPUTED_VALUE"""),1.0)</f>
        <v>1</v>
      </c>
      <c r="E963" s="2" t="str">
        <f>IFERROR(__xludf.DUMMYFUNCTION("""COMPUTED_VALUE"""),"R-3")</f>
        <v>R-3</v>
      </c>
    </row>
    <row r="964">
      <c r="A964" s="2" t="str">
        <f>IFERROR(__xludf.DUMMYFUNCTION("""COMPUTED_VALUE"""),"O-53478-00")</f>
        <v>O-53478-00</v>
      </c>
      <c r="B964" s="2" t="str">
        <f>IFERROR(__xludf.DUMMYFUNCTION("""COMPUTED_VALUE"""),"Filling VFM100 - Vacuump pump Vane balde; VT 4.16; Becker; 90134700007; 1 Pack")</f>
        <v>Filling VFM100 - Vacuump pump Vane balde; VT 4.16; Becker; 90134700007; 1 Pack</v>
      </c>
      <c r="C964" s="2" t="str">
        <f>IFERROR(__xludf.DUMMYFUNCTION("""COMPUTED_VALUE"""),"Pck")</f>
        <v>Pck</v>
      </c>
      <c r="D964" s="2">
        <f>IFERROR(__xludf.DUMMYFUNCTION("""COMPUTED_VALUE"""),1.0)</f>
        <v>1</v>
      </c>
      <c r="E964" s="2" t="str">
        <f>IFERROR(__xludf.DUMMYFUNCTION("""COMPUTED_VALUE"""),"-")</f>
        <v>-</v>
      </c>
    </row>
    <row r="965">
      <c r="A965" s="2" t="str">
        <f>IFERROR(__xludf.DUMMYFUNCTION("""COMPUTED_VALUE"""),"P-20849-00")</f>
        <v>P-20849-00</v>
      </c>
      <c r="B965" s="2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965" s="2" t="str">
        <f>IFERROR(__xludf.DUMMYFUNCTION("""COMPUTED_VALUE"""),"pc")</f>
        <v>pc</v>
      </c>
      <c r="D965" s="2">
        <f>IFERROR(__xludf.DUMMYFUNCTION("""COMPUTED_VALUE"""),10.0)</f>
        <v>10</v>
      </c>
      <c r="E965" s="2" t="str">
        <f>IFERROR(__xludf.DUMMYFUNCTION("""COMPUTED_VALUE"""),"S-3")</f>
        <v>S-3</v>
      </c>
    </row>
    <row r="966">
      <c r="A966" s="2" t="str">
        <f>IFERROR(__xludf.DUMMYFUNCTION("""COMPUTED_VALUE"""),"O-16772-00")</f>
        <v>O-16772-00</v>
      </c>
      <c r="B966" s="2" t="str">
        <f>IFERROR(__xludf.DUMMYFUNCTION("""COMPUTED_VALUE"""),"Oring Silicone Merah 40.5 x 37.5 x 1.5 mm; ; ;")</f>
        <v>Oring Silicone Merah 40.5 x 37.5 x 1.5 mm; ; ;</v>
      </c>
      <c r="C966" s="2" t="str">
        <f>IFERROR(__xludf.DUMMYFUNCTION("""COMPUTED_VALUE"""),"pc")</f>
        <v>pc</v>
      </c>
      <c r="D966" s="2">
        <f>IFERROR(__xludf.DUMMYFUNCTION("""COMPUTED_VALUE"""),10.0)</f>
        <v>10</v>
      </c>
      <c r="E966" s="2"/>
    </row>
    <row r="967">
      <c r="A967" s="2" t="str">
        <f>IFERROR(__xludf.DUMMYFUNCTION("""COMPUTED_VALUE"""),"P-20366-00")</f>
        <v>P-20366-00</v>
      </c>
      <c r="B967" s="2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967" s="2" t="str">
        <f>IFERROR(__xludf.DUMMYFUNCTION("""COMPUTED_VALUE"""),"pc")</f>
        <v>pc</v>
      </c>
      <c r="D967" s="2">
        <f>IFERROR(__xludf.DUMMYFUNCTION("""COMPUTED_VALUE"""),1.0)</f>
        <v>1</v>
      </c>
      <c r="E967" s="2" t="str">
        <f>IFERROR(__xludf.DUMMYFUNCTION("""COMPUTED_VALUE"""),"-")</f>
        <v>-</v>
      </c>
    </row>
    <row r="968">
      <c r="A968" s="2" t="str">
        <f>IFERROR(__xludf.DUMMYFUNCTION("""COMPUTED_VALUE"""),"P-52694-00")</f>
        <v>P-52694-00</v>
      </c>
      <c r="B968" s="2" t="str">
        <f>IFERROR(__xludf.DUMMYFUNCTION("""COMPUTED_VALUE"""),"General - ORP Transmitter (Field mounted); Jumo; 202551/05-8-01-4-0-00-25/000; 1 pc")</f>
        <v>General - ORP Transmitter (Field mounted); Jumo; 202551/05-8-01-4-0-00-25/000; 1 pc</v>
      </c>
      <c r="C968" s="2" t="str">
        <f>IFERROR(__xludf.DUMMYFUNCTION("""COMPUTED_VALUE"""),"pc")</f>
        <v>pc</v>
      </c>
      <c r="D968" s="2">
        <f>IFERROR(__xludf.DUMMYFUNCTION("""COMPUTED_VALUE"""),1.0)</f>
        <v>1</v>
      </c>
      <c r="E968" s="2" t="str">
        <f>IFERROR(__xludf.DUMMYFUNCTION("""COMPUTED_VALUE"""),"-")</f>
        <v>-</v>
      </c>
    </row>
    <row r="969">
      <c r="A969" s="2" t="str">
        <f>IFERROR(__xludf.DUMMYFUNCTION("""COMPUTED_VALUE"""),"P-11391-00")</f>
        <v>P-11391-00</v>
      </c>
      <c r="B969" s="2" t="str">
        <f>IFERROR(__xludf.DUMMYFUNCTION("""COMPUTED_VALUE"""),"General - Seal Ferrule EPDM 1.5inch; No Brand; -; 1 pcs")</f>
        <v>General - Seal Ferrule EPDM 1.5inch; No Brand; -; 1 pcs</v>
      </c>
      <c r="C969" s="2" t="str">
        <f>IFERROR(__xludf.DUMMYFUNCTION("""COMPUTED_VALUE"""),"pc")</f>
        <v>pc</v>
      </c>
      <c r="D969" s="2">
        <f>IFERROR(__xludf.DUMMYFUNCTION("""COMPUTED_VALUE"""),31.0)</f>
        <v>31</v>
      </c>
      <c r="E969" s="2" t="str">
        <f>IFERROR(__xludf.DUMMYFUNCTION("""COMPUTED_VALUE"""),"M-3-9A")</f>
        <v>M-3-9A</v>
      </c>
    </row>
    <row r="970">
      <c r="A970" s="2" t="str">
        <f>IFERROR(__xludf.DUMMYFUNCTION("""COMPUTED_VALUE"""),"O-19077-00")</f>
        <v>O-19077-00</v>
      </c>
      <c r="B970" s="2" t="str">
        <f>IFERROR(__xludf.DUMMYFUNCTION("""COMPUTED_VALUE"""),"Autoclave Fedegari FVA2/A1 NB2963AT - Gasket Safety Valve; ; ;")</f>
        <v>Autoclave Fedegari FVA2/A1 NB2963AT - Gasket Safety Valve; ; ;</v>
      </c>
      <c r="C970" s="2" t="str">
        <f>IFERROR(__xludf.DUMMYFUNCTION("""COMPUTED_VALUE"""),"pc")</f>
        <v>pc</v>
      </c>
      <c r="D970" s="2">
        <f>IFERROR(__xludf.DUMMYFUNCTION("""COMPUTED_VALUE"""),9.0)</f>
        <v>9</v>
      </c>
      <c r="E970" s="2" t="str">
        <f>IFERROR(__xludf.DUMMYFUNCTION("""COMPUTED_VALUE"""),"-")</f>
        <v>-</v>
      </c>
    </row>
    <row r="971">
      <c r="A971" s="2" t="str">
        <f>IFERROR(__xludf.DUMMYFUNCTION("""COMPUTED_VALUE"""),"O-15591-00")</f>
        <v>O-15591-00</v>
      </c>
      <c r="B971" s="2" t="str">
        <f>IFERROR(__xludf.DUMMYFUNCTION("""COMPUTED_VALUE"""),"General - Hepa Filter Absolute FRSI (H13) 762X457X150, DIN EN 1822, FRAME: STAINLESS STEEL; Camfil; 16280027-01; 1 Pc")</f>
        <v>General - Hepa Filter Absolute FRSI (H13) 762X457X150, DIN EN 1822, FRAME: STAINLESS STEEL; Camfil; 16280027-01; 1 Pc</v>
      </c>
      <c r="C971" s="2" t="str">
        <f>IFERROR(__xludf.DUMMYFUNCTION("""COMPUTED_VALUE"""),"unt")</f>
        <v>unt</v>
      </c>
      <c r="D971" s="2">
        <f>IFERROR(__xludf.DUMMYFUNCTION("""COMPUTED_VALUE"""),1.0)</f>
        <v>1</v>
      </c>
      <c r="E971" s="2" t="str">
        <f>IFERROR(__xludf.DUMMYFUNCTION("""COMPUTED_VALUE"""),"Ruang Flter")</f>
        <v>Ruang Flter</v>
      </c>
    </row>
    <row r="972">
      <c r="A972" s="2" t="str">
        <f>IFERROR(__xludf.DUMMYFUNCTION("""COMPUTED_VALUE"""),"O-53041-00")</f>
        <v>O-53041-00</v>
      </c>
      <c r="B972" s="2" t="str">
        <f>IFERROR(__xludf.DUMMYFUNCTION("""COMPUTED_VALUE"""),"General - Bola Lampu 24-30v 5-10W Uk. 16x28mm; -; -; 1 Pc")</f>
        <v>General - Bola Lampu 24-30v 5-10W Uk. 16x28mm; -; -; 1 Pc</v>
      </c>
      <c r="C972" s="2" t="str">
        <f>IFERROR(__xludf.DUMMYFUNCTION("""COMPUTED_VALUE"""),"pc")</f>
        <v>pc</v>
      </c>
      <c r="D972" s="2">
        <f>IFERROR(__xludf.DUMMYFUNCTION("""COMPUTED_VALUE"""),1.0)</f>
        <v>1</v>
      </c>
      <c r="E972" s="2" t="str">
        <f>IFERROR(__xludf.DUMMYFUNCTION("""COMPUTED_VALUE"""),"O-2")</f>
        <v>O-2</v>
      </c>
    </row>
    <row r="973">
      <c r="A973" s="2" t="str">
        <f>IFERROR(__xludf.DUMMYFUNCTION("""COMPUTED_VALUE"""),"O-53525-00")</f>
        <v>O-53525-00</v>
      </c>
      <c r="B973" s="2" t="str">
        <f>IFERROR(__xludf.DUMMYFUNCTION("""COMPUTED_VALUE"""),"cRABS Z064CR - Cable Gland for Temperature Probe; -; 64940; 1 Pc")</f>
        <v>cRABS Z064CR - Cable Gland for Temperature Probe; -; 64940; 1 Pc</v>
      </c>
      <c r="C973" s="2" t="str">
        <f>IFERROR(__xludf.DUMMYFUNCTION("""COMPUTED_VALUE"""),"pc")</f>
        <v>pc</v>
      </c>
      <c r="D973" s="2">
        <f>IFERROR(__xludf.DUMMYFUNCTION("""COMPUTED_VALUE"""),1.0)</f>
        <v>1</v>
      </c>
      <c r="E973" s="2" t="str">
        <f>IFERROR(__xludf.DUMMYFUNCTION("""COMPUTED_VALUE"""),"-")</f>
        <v>-</v>
      </c>
    </row>
    <row r="974">
      <c r="A974" s="2" t="str">
        <f>IFERROR(__xludf.DUMMYFUNCTION("""COMPUTED_VALUE"""),"O-19343-00")</f>
        <v>O-19343-00</v>
      </c>
      <c r="B974" s="2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974" s="2" t="str">
        <f>IFERROR(__xludf.DUMMYFUNCTION("""COMPUTED_VALUE"""),"pc")</f>
        <v>pc</v>
      </c>
      <c r="D974" s="2">
        <f>IFERROR(__xludf.DUMMYFUNCTION("""COMPUTED_VALUE"""),2.0)</f>
        <v>2</v>
      </c>
      <c r="E974" s="2" t="str">
        <f>IFERROR(__xludf.DUMMYFUNCTION("""COMPUTED_VALUE"""),"Ruang Filter")</f>
        <v>Ruang Filter</v>
      </c>
    </row>
    <row r="975">
      <c r="A975" s="2" t="str">
        <f>IFERROR(__xludf.DUMMYFUNCTION("""COMPUTED_VALUE"""),"O-16725-00")</f>
        <v>O-16725-00</v>
      </c>
      <c r="B975" s="2" t="str">
        <f>IFERROR(__xludf.DUMMYFUNCTION("""COMPUTED_VALUE"""),"3 Way Ball Valve SS304 3/4 inch c/w Pneumatic Actuator + Selenoid 24 VDC, NOCHRIDA SEJAHTERA, PT P/N : -  set")</f>
        <v>3 Way Ball Valve SS304 3/4 inch c/w Pneumatic Actuator + Selenoid 24 VDC, NOCHRIDA SEJAHTERA, PT P/N : -  set</v>
      </c>
      <c r="C975" s="2" t="str">
        <f>IFERROR(__xludf.DUMMYFUNCTION("""COMPUTED_VALUE"""),"unt")</f>
        <v>unt</v>
      </c>
      <c r="D975" s="2">
        <f>IFERROR(__xludf.DUMMYFUNCTION("""COMPUTED_VALUE"""),1.0)</f>
        <v>1</v>
      </c>
      <c r="E975" s="2" t="str">
        <f>IFERROR(__xludf.DUMMYFUNCTION("""COMPUTED_VALUE"""),"H-3-14")</f>
        <v>H-3-14</v>
      </c>
    </row>
    <row r="976">
      <c r="A976" s="2" t="str">
        <f>IFERROR(__xludf.DUMMYFUNCTION("""COMPUTED_VALUE"""),"P-18214-00")</f>
        <v>P-18214-00</v>
      </c>
      <c r="B976" s="2" t="str">
        <f>IFERROR(__xludf.DUMMYFUNCTION("""COMPUTED_VALUE"""),"General - Alpha Port Mesin SND 190mm; No Brand; -; 1 Pc")</f>
        <v>General - Alpha Port Mesin SND 190mm; No Brand; -; 1 Pc</v>
      </c>
      <c r="C976" s="2" t="str">
        <f>IFERROR(__xludf.DUMMYFUNCTION("""COMPUTED_VALUE"""),"unt")</f>
        <v>unt</v>
      </c>
      <c r="D976" s="2">
        <f>IFERROR(__xludf.DUMMYFUNCTION("""COMPUTED_VALUE"""),1.0)</f>
        <v>1</v>
      </c>
      <c r="E976" s="2" t="str">
        <f>IFERROR(__xludf.DUMMYFUNCTION("""COMPUTED_VALUE"""),"E4")</f>
        <v>E4</v>
      </c>
    </row>
    <row r="977">
      <c r="A977" s="2" t="str">
        <f>IFERROR(__xludf.DUMMYFUNCTION("""COMPUTED_VALUE"""),"P-20580-00")</f>
        <v>P-20580-00</v>
      </c>
      <c r="B977" s="2" t="str">
        <f>IFERROR(__xludf.DUMMYFUNCTION("""COMPUTED_VALUE"""),"General - Bracket Timbangan VGA Uk. 50 x 320 x 450mm; Custom Agru; -; 1 pc")</f>
        <v>General - Bracket Timbangan VGA Uk. 50 x 320 x 450mm; Custom Agru; -; 1 pc</v>
      </c>
      <c r="C977" s="2" t="str">
        <f>IFERROR(__xludf.DUMMYFUNCTION("""COMPUTED_VALUE"""),"pc")</f>
        <v>pc</v>
      </c>
      <c r="D977" s="2">
        <f>IFERROR(__xludf.DUMMYFUNCTION("""COMPUTED_VALUE"""),2.0)</f>
        <v>2</v>
      </c>
      <c r="E977" s="2" t="str">
        <f>IFERROR(__xludf.DUMMYFUNCTION("""COMPUTED_VALUE"""),"S-3-7")</f>
        <v>S-3-7</v>
      </c>
    </row>
    <row r="978">
      <c r="A978" s="2" t="str">
        <f>IFERROR(__xludf.DUMMYFUNCTION("""COMPUTED_VALUE"""),"O-21275-00")</f>
        <v>O-21275-00</v>
      </c>
      <c r="B978" s="2" t="str">
        <f>IFERROR(__xludf.DUMMYFUNCTION("""COMPUTED_VALUE"""),"General - Tray Kabel Isolator Ukuran 35x35x700; Custom/Lokal; -; 1 Pc")</f>
        <v>General - Tray Kabel Isolator Ukuran 35x35x700; Custom/Lokal; -; 1 Pc</v>
      </c>
      <c r="C978" s="2" t="str">
        <f>IFERROR(__xludf.DUMMYFUNCTION("""COMPUTED_VALUE"""),"pc")</f>
        <v>pc</v>
      </c>
      <c r="D978" s="2">
        <f>IFERROR(__xludf.DUMMYFUNCTION("""COMPUTED_VALUE"""),1.0)</f>
        <v>1</v>
      </c>
      <c r="E978" s="2" t="str">
        <f>IFERROR(__xludf.DUMMYFUNCTION("""COMPUTED_VALUE"""),"-")</f>
        <v>-</v>
      </c>
    </row>
    <row r="979">
      <c r="A979" s="2" t="str">
        <f>IFERROR(__xludf.DUMMYFUNCTION("""COMPUTED_VALUE"""),"P-10905-00")</f>
        <v>P-10905-00</v>
      </c>
      <c r="B979" s="2" t="str">
        <f>IFERROR(__xludf.DUMMYFUNCTION("""COMPUTED_VALUE"""),"General - Tee, PVC, 1/2""; Rucika; -; 1 pcs")</f>
        <v>General - Tee, PVC, 1/2"; Rucika; -; 1 pcs</v>
      </c>
      <c r="C979" s="2" t="str">
        <f>IFERROR(__xludf.DUMMYFUNCTION("""COMPUTED_VALUE"""),"pc")</f>
        <v>pc</v>
      </c>
      <c r="D979" s="2">
        <f>IFERROR(__xludf.DUMMYFUNCTION("""COMPUTED_VALUE"""),4.0)</f>
        <v>4</v>
      </c>
      <c r="E979" s="2" t="str">
        <f>IFERROR(__xludf.DUMMYFUNCTION("""COMPUTED_VALUE"""),"-")</f>
        <v>-</v>
      </c>
    </row>
    <row r="980">
      <c r="A980" s="2" t="str">
        <f>IFERROR(__xludf.DUMMYFUNCTION("""COMPUTED_VALUE"""),"P-10886-00")</f>
        <v>P-10886-00</v>
      </c>
      <c r="B980" s="2" t="str">
        <f>IFERROR(__xludf.DUMMYFUNCTION("""COMPUTED_VALUE"""),"General - Socket Drat Dalam, PVC, 1""; Rucika; -; 1 pcs")</f>
        <v>General - Socket Drat Dalam, PVC, 1"; Rucika; -; 1 pcs</v>
      </c>
      <c r="C980" s="2" t="str">
        <f>IFERROR(__xludf.DUMMYFUNCTION("""COMPUTED_VALUE"""),"pc")</f>
        <v>pc</v>
      </c>
      <c r="D980" s="2">
        <f>IFERROR(__xludf.DUMMYFUNCTION("""COMPUTED_VALUE"""),3.0)</f>
        <v>3</v>
      </c>
      <c r="E980" s="2" t="str">
        <f>IFERROR(__xludf.DUMMYFUNCTION("""COMPUTED_VALUE"""),"-")</f>
        <v>-</v>
      </c>
    </row>
    <row r="981">
      <c r="A981" s="2" t="str">
        <f>IFERROR(__xludf.DUMMYFUNCTION("""COMPUTED_VALUE"""),"O-20857-00")</f>
        <v>O-20857-00</v>
      </c>
      <c r="B981" s="2" t="str">
        <f>IFERROR(__xludf.DUMMYFUNCTION("""COMPUTED_VALUE"""),"Washing RAR4 - Needle CA, OD 15 x 168 mm, Mat. SS316; Custom/Lokal; -; 1 Pc")</f>
        <v>Washing RAR4 - Needle CA, OD 15 x 168 mm, Mat. SS316; Custom/Lokal; -; 1 Pc</v>
      </c>
      <c r="C981" s="2" t="str">
        <f>IFERROR(__xludf.DUMMYFUNCTION("""COMPUTED_VALUE"""),"pc")</f>
        <v>pc</v>
      </c>
      <c r="D981" s="2">
        <f>IFERROR(__xludf.DUMMYFUNCTION("""COMPUTED_VALUE"""),2.0)</f>
        <v>2</v>
      </c>
      <c r="E981" s="2" t="str">
        <f>IFERROR(__xludf.DUMMYFUNCTION("""COMPUTED_VALUE"""),"-")</f>
        <v>-</v>
      </c>
    </row>
    <row r="982">
      <c r="A982" s="2" t="str">
        <f>IFERROR(__xludf.DUMMYFUNCTION("""COMPUTED_VALUE"""),"P-51889-00")</f>
        <v>P-51889-00</v>
      </c>
      <c r="B982" s="2" t="str">
        <f>IFERROR(__xludf.DUMMYFUNCTION("""COMPUTED_VALUE"""),"General - Power Supply SPA-050-24VDC; Autonics; -; 1 pc")</f>
        <v>General - Power Supply SPA-050-24VDC; Autonics; -; 1 pc</v>
      </c>
      <c r="C982" s="2" t="str">
        <f>IFERROR(__xludf.DUMMYFUNCTION("""COMPUTED_VALUE"""),"pc")</f>
        <v>pc</v>
      </c>
      <c r="D982" s="2">
        <f>IFERROR(__xludf.DUMMYFUNCTION("""COMPUTED_VALUE"""),4.0)</f>
        <v>4</v>
      </c>
      <c r="E982" s="2" t="str">
        <f>IFERROR(__xludf.DUMMYFUNCTION("""COMPUTED_VALUE"""),"Kardus L3")</f>
        <v>Kardus L3</v>
      </c>
    </row>
    <row r="983">
      <c r="A983" s="2" t="str">
        <f>IFERROR(__xludf.DUMMYFUNCTION("""COMPUTED_VALUE"""),"O-21443-00")</f>
        <v>O-21443-00</v>
      </c>
      <c r="B983" s="2" t="str">
        <f>IFERROR(__xludf.DUMMYFUNCTION("""COMPUTED_VALUE"""),"Washing RAR4 - Ball Valve SS304 Ferrule End Size 1 Inch; -; -; 1 Pc")</f>
        <v>Washing RAR4 - Ball Valve SS304 Ferrule End Size 1 Inch; -; -; 1 Pc</v>
      </c>
      <c r="C983" s="2" t="str">
        <f>IFERROR(__xludf.DUMMYFUNCTION("""COMPUTED_VALUE"""),"pc")</f>
        <v>pc</v>
      </c>
      <c r="D983" s="2">
        <f>IFERROR(__xludf.DUMMYFUNCTION("""COMPUTED_VALUE"""),1.0)</f>
        <v>1</v>
      </c>
      <c r="E983" s="2" t="str">
        <f>IFERROR(__xludf.DUMMYFUNCTION("""COMPUTED_VALUE"""),"S-2-7")</f>
        <v>S-2-7</v>
      </c>
    </row>
    <row r="984">
      <c r="A984" s="2" t="str">
        <f>IFERROR(__xludf.DUMMYFUNCTION("""COMPUTED_VALUE"""),"P-12883-00")</f>
        <v>P-12883-00</v>
      </c>
      <c r="B984" s="2" t="str">
        <f>IFERROR(__xludf.DUMMYFUNCTION("""COMPUTED_VALUE"""),"General - Tee PVC AW dia 1/2inch X 1/2inch; Rucika; -; 1 pcs")</f>
        <v>General - Tee PVC AW dia 1/2inch X 1/2inch; Rucika; -; 1 pcs</v>
      </c>
      <c r="C984" s="2" t="str">
        <f>IFERROR(__xludf.DUMMYFUNCTION("""COMPUTED_VALUE"""),"pc")</f>
        <v>pc</v>
      </c>
      <c r="D984" s="2">
        <f>IFERROR(__xludf.DUMMYFUNCTION("""COMPUTED_VALUE"""),10.0)</f>
        <v>10</v>
      </c>
      <c r="E984" s="2"/>
    </row>
    <row r="985">
      <c r="A985" s="2" t="str">
        <f>IFERROR(__xludf.DUMMYFUNCTION("""COMPUTED_VALUE"""),"O-21433-00")</f>
        <v>O-21433-00</v>
      </c>
      <c r="B985" s="2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985" s="2" t="str">
        <f>IFERROR(__xludf.DUMMYFUNCTION("""COMPUTED_VALUE"""),"pc")</f>
        <v>pc</v>
      </c>
      <c r="D985" s="2">
        <f>IFERROR(__xludf.DUMMYFUNCTION("""COMPUTED_VALUE"""),5.0)</f>
        <v>5</v>
      </c>
      <c r="E985" s="2" t="str">
        <f>IFERROR(__xludf.DUMMYFUNCTION("""COMPUTED_VALUE"""),"G-3-3")</f>
        <v>G-3-3</v>
      </c>
    </row>
    <row r="986">
      <c r="A986" s="2" t="str">
        <f>IFERROR(__xludf.DUMMYFUNCTION("""COMPUTED_VALUE"""),"P-54467-00")</f>
        <v>P-54467-00</v>
      </c>
      <c r="B986" s="2" t="str">
        <f>IFERROR(__xludf.DUMMYFUNCTION("""COMPUTED_VALUE"""),"General - Selector Switch 3 Posisi 22mm; Idec; YW1S-3E20; 1 pc")</f>
        <v>General - Selector Switch 3 Posisi 22mm; Idec; YW1S-3E20; 1 pc</v>
      </c>
      <c r="C986" s="2" t="str">
        <f>IFERROR(__xludf.DUMMYFUNCTION("""COMPUTED_VALUE"""),"pc")</f>
        <v>pc</v>
      </c>
      <c r="D986" s="2">
        <f>IFERROR(__xludf.DUMMYFUNCTION("""COMPUTED_VALUE"""),19.0)</f>
        <v>19</v>
      </c>
      <c r="E986" s="2" t="str">
        <f>IFERROR(__xludf.DUMMYFUNCTION("""COMPUTED_VALUE"""),"-")</f>
        <v>-</v>
      </c>
    </row>
    <row r="987">
      <c r="A987" s="2" t="str">
        <f>IFERROR(__xludf.DUMMYFUNCTION("""COMPUTED_VALUE"""),"P-11185-00")</f>
        <v>P-11185-00</v>
      </c>
      <c r="B987" s="2" t="str">
        <f>IFERROR(__xludf.DUMMYFUNCTION("""COMPUTED_VALUE"""),"General - Push-in Connector, QS-8-6; Festo; 153038; 1 pcs")</f>
        <v>General - Push-in Connector, QS-8-6; Festo; 153038; 1 pcs</v>
      </c>
      <c r="C987" s="2" t="str">
        <f>IFERROR(__xludf.DUMMYFUNCTION("""COMPUTED_VALUE"""),"pc")</f>
        <v>pc</v>
      </c>
      <c r="D987" s="2">
        <f>IFERROR(__xludf.DUMMYFUNCTION("""COMPUTED_VALUE"""),23.0)</f>
        <v>23</v>
      </c>
      <c r="E987" s="2" t="str">
        <f>IFERROR(__xludf.DUMMYFUNCTION("""COMPUTED_VALUE"""),"M3")</f>
        <v>M3</v>
      </c>
    </row>
    <row r="988">
      <c r="A988" s="2" t="str">
        <f>IFERROR(__xludf.DUMMYFUNCTION("""COMPUTED_VALUE"""),"O-21127-00")</f>
        <v>O-21127-00</v>
      </c>
      <c r="B988" s="2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988" s="2" t="str">
        <f>IFERROR(__xludf.DUMMYFUNCTION("""COMPUTED_VALUE"""),"pc")</f>
        <v>pc</v>
      </c>
      <c r="D988" s="2">
        <f>IFERROR(__xludf.DUMMYFUNCTION("""COMPUTED_VALUE"""),5.0)</f>
        <v>5</v>
      </c>
      <c r="E988" s="2" t="str">
        <f>IFERROR(__xludf.DUMMYFUNCTION("""COMPUTED_VALUE"""),"-")</f>
        <v>-</v>
      </c>
    </row>
    <row r="989">
      <c r="A989" s="2" t="str">
        <f>IFERROR(__xludf.DUMMYFUNCTION("""COMPUTED_VALUE"""),"O-19510-00")</f>
        <v>O-19510-00</v>
      </c>
      <c r="B989" s="2" t="str">
        <f>IFERROR(__xludf.DUMMYFUNCTION("""COMPUTED_VALUE"""),"General - Reducer, Tembaga, 1 5/8"" x 1 3/8""; No Brand; -; 1 pcs")</f>
        <v>General - Reducer, Tembaga, 1 5/8" x 1 3/8"; No Brand; -; 1 pcs</v>
      </c>
      <c r="C989" s="2" t="str">
        <f>IFERROR(__xludf.DUMMYFUNCTION("""COMPUTED_VALUE"""),"pc")</f>
        <v>pc</v>
      </c>
      <c r="D989" s="2">
        <f>IFERROR(__xludf.DUMMYFUNCTION("""COMPUTED_VALUE"""),2.0)</f>
        <v>2</v>
      </c>
      <c r="E989" s="2" t="str">
        <f>IFERROR(__xludf.DUMMYFUNCTION("""COMPUTED_VALUE"""),"D-1-3D")</f>
        <v>D-1-3D</v>
      </c>
    </row>
    <row r="990">
      <c r="A990" s="2" t="str">
        <f>IFERROR(__xludf.DUMMYFUNCTION("""COMPUTED_VALUE"""),"O-52831-00")</f>
        <v>O-52831-00</v>
      </c>
      <c r="B990" s="2" t="str">
        <f>IFERROR(__xludf.DUMMYFUNCTION("""COMPUTED_VALUE"""),"Freeze Dryer MBE1207 - SV169 MYCOM COMPLETE SOLENOLD VALVE, XOF-240V1 include valve body and coil P/; MAYEKAWA; IMA Beijing; EB14-00445; 1 Pc")</f>
        <v>Freeze Dryer MBE1207 - SV169 MYCOM COMPLETE SOLENOLD VALVE, XOF-240V1 include valve body and coil P/; MAYEKAWA; IMA Beijing; EB14-00445; 1 Pc</v>
      </c>
      <c r="C990" s="2" t="str">
        <f>IFERROR(__xludf.DUMMYFUNCTION("""COMPUTED_VALUE"""),"unt")</f>
        <v>unt</v>
      </c>
      <c r="D990" s="2">
        <f>IFERROR(__xludf.DUMMYFUNCTION("""COMPUTED_VALUE"""),2.0)</f>
        <v>2</v>
      </c>
      <c r="E990" s="2" t="str">
        <f>IFERROR(__xludf.DUMMYFUNCTION("""COMPUTED_VALUE"""),"D-4-9")</f>
        <v>D-4-9</v>
      </c>
    </row>
    <row r="991">
      <c r="A991" s="2" t="str">
        <f>IFERROR(__xludf.DUMMYFUNCTION("""COMPUTED_VALUE"""),"O-53477-00")</f>
        <v>O-53477-00</v>
      </c>
      <c r="B991" s="2" t="str">
        <f>IFERROR(__xludf.DUMMYFUNCTION("""COMPUTED_VALUE"""),"Tunnel ST1L - Lens For Optic Fibers; Omron; E39F1; ; ; 1 Pc")</f>
        <v>Tunnel ST1L - Lens For Optic Fibers; Omron; E39F1; ; ; 1 Pc</v>
      </c>
      <c r="C991" s="2" t="str">
        <f>IFERROR(__xludf.DUMMYFUNCTION("""COMPUTED_VALUE"""),"pc")</f>
        <v>pc</v>
      </c>
      <c r="D991" s="2">
        <f>IFERROR(__xludf.DUMMYFUNCTION("""COMPUTED_VALUE"""),1.0)</f>
        <v>1</v>
      </c>
      <c r="E991" s="2"/>
    </row>
    <row r="992">
      <c r="A992" s="2" t="str">
        <f>IFERROR(__xludf.DUMMYFUNCTION("""COMPUTED_VALUE"""),"P-12803-00")</f>
        <v>P-12803-00</v>
      </c>
      <c r="B992" s="2" t="str">
        <f>IFERROR(__xludf.DUMMYFUNCTION("""COMPUTED_VALUE"""),"General - Socket Drat Dalam, PVC AW, 1""; No Brand; -; 1 pcs")</f>
        <v>General - Socket Drat Dalam, PVC AW, 1"; No Brand; -; 1 pcs</v>
      </c>
      <c r="C992" s="2" t="str">
        <f>IFERROR(__xludf.DUMMYFUNCTION("""COMPUTED_VALUE"""),"pc")</f>
        <v>pc</v>
      </c>
      <c r="D992" s="2">
        <f>IFERROR(__xludf.DUMMYFUNCTION("""COMPUTED_VALUE"""),10.0)</f>
        <v>10</v>
      </c>
      <c r="E992" s="2" t="str">
        <f>IFERROR(__xludf.DUMMYFUNCTION("""COMPUTED_VALUE"""),"-")</f>
        <v>-</v>
      </c>
    </row>
    <row r="993">
      <c r="A993" s="2" t="str">
        <f>IFERROR(__xludf.DUMMYFUNCTION("""COMPUTED_VALUE"""),"P-52336-00")</f>
        <v>P-52336-00</v>
      </c>
      <c r="B993" s="2" t="str">
        <f>IFERROR(__xludf.DUMMYFUNCTION("""COMPUTED_VALUE"""),"General - Saklar Lampu Sensor Gerak Motion Detector Plafon; No Brand; -; 1 pc")</f>
        <v>General - Saklar Lampu Sensor Gerak Motion Detector Plafon; No Brand; -; 1 pc</v>
      </c>
      <c r="C993" s="2" t="str">
        <f>IFERROR(__xludf.DUMMYFUNCTION("""COMPUTED_VALUE"""),"pc")</f>
        <v>pc</v>
      </c>
      <c r="D993" s="2">
        <f>IFERROR(__xludf.DUMMYFUNCTION("""COMPUTED_VALUE"""),3.0)</f>
        <v>3</v>
      </c>
      <c r="E993" s="2" t="str">
        <f>IFERROR(__xludf.DUMMYFUNCTION("""COMPUTED_VALUE"""),"L3")</f>
        <v>L3</v>
      </c>
    </row>
    <row r="994">
      <c r="A994" s="2" t="str">
        <f>IFERROR(__xludf.DUMMYFUNCTION("""COMPUTED_VALUE"""),"S-62063-00")</f>
        <v>S-62063-00</v>
      </c>
      <c r="B994" s="2" t="str">
        <f>IFERROR(__xludf.DUMMYFUNCTION("""COMPUTED_VALUE"""),"General - Helium Gas + Cylinder 1m3; No Brand; -; pcs")</f>
        <v>General - Helium Gas + Cylinder 1m3; No Brand; -; pcs</v>
      </c>
      <c r="C994" s="2" t="str">
        <f>IFERROR(__xludf.DUMMYFUNCTION("""COMPUTED_VALUE"""),"pc")</f>
        <v>pc</v>
      </c>
      <c r="D994" s="2">
        <f>IFERROR(__xludf.DUMMYFUNCTION("""COMPUTED_VALUE"""),1.0)</f>
        <v>1</v>
      </c>
      <c r="E994" s="2"/>
    </row>
    <row r="995">
      <c r="A995" s="2" t="str">
        <f>IFERROR(__xludf.DUMMYFUNCTION("""COMPUTED_VALUE"""),"O-51767-00")</f>
        <v>O-51767-00</v>
      </c>
      <c r="B995" s="2" t="str">
        <f>IFERROR(__xludf.DUMMYFUNCTION("""COMPUTED_VALUE"""),"WAGO 750-530 8-CHANNEL DIGITAL OUTPUT MODULE STD PACK; ; ;")</f>
        <v>WAGO 750-530 8-CHANNEL DIGITAL OUTPUT MODULE STD PACK; ; ;</v>
      </c>
      <c r="C995" s="2" t="str">
        <f>IFERROR(__xludf.DUMMYFUNCTION("""COMPUTED_VALUE"""),"unt")</f>
        <v>unt</v>
      </c>
      <c r="D995" s="2">
        <f>IFERROR(__xludf.DUMMYFUNCTION("""COMPUTED_VALUE"""),1.0)</f>
        <v>1</v>
      </c>
      <c r="E995" s="2" t="str">
        <f>IFERROR(__xludf.DUMMYFUNCTION("""COMPUTED_VALUE"""),"B-3-6B")</f>
        <v>B-3-6B</v>
      </c>
    </row>
    <row r="996">
      <c r="A996" s="2" t="str">
        <f>IFERROR(__xludf.DUMMYFUNCTION("""COMPUTED_VALUE"""),"O-20626-00")</f>
        <v>O-20626-00</v>
      </c>
      <c r="B996" s="2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996" s="2" t="str">
        <f>IFERROR(__xludf.DUMMYFUNCTION("""COMPUTED_VALUE"""),"pc")</f>
        <v>pc</v>
      </c>
      <c r="D996" s="2">
        <f>IFERROR(__xludf.DUMMYFUNCTION("""COMPUTED_VALUE"""),4.0)</f>
        <v>4</v>
      </c>
      <c r="E996" s="2" t="str">
        <f>IFERROR(__xludf.DUMMYFUNCTION("""COMPUTED_VALUE"""),"C-2-3")</f>
        <v>C-2-3</v>
      </c>
    </row>
    <row r="997">
      <c r="A997" s="2" t="str">
        <f>IFERROR(__xludf.DUMMYFUNCTION("""COMPUTED_VALUE"""),"P-12898-00")</f>
        <v>P-12898-00</v>
      </c>
      <c r="B997" s="2" t="str">
        <f>IFERROR(__xludf.DUMMYFUNCTION("""COMPUTED_VALUE"""),"Thermaflex lembaran uk. 1.5x1mtr tebal 1inch")</f>
        <v>Thermaflex lembaran uk. 1.5x1mtr tebal 1inch</v>
      </c>
      <c r="C997" s="2" t="str">
        <f>IFERROR(__xludf.DUMMYFUNCTION("""COMPUTED_VALUE"""),"pc")</f>
        <v>pc</v>
      </c>
      <c r="D997" s="2">
        <f>IFERROR(__xludf.DUMMYFUNCTION("""COMPUTED_VALUE"""),2.0)</f>
        <v>2</v>
      </c>
      <c r="E997" s="2" t="str">
        <f>IFERROR(__xludf.DUMMYFUNCTION("""COMPUTED_VALUE"""),"Sparepart")</f>
        <v>Sparepart</v>
      </c>
    </row>
    <row r="998">
      <c r="A998" s="2" t="str">
        <f>IFERROR(__xludf.DUMMYFUNCTION("""COMPUTED_VALUE"""),"O-17069-00")</f>
        <v>O-17069-00</v>
      </c>
      <c r="B998" s="2" t="str">
        <f>IFERROR(__xludf.DUMMYFUNCTION("""COMPUTED_VALUE"""),"Washing RAR4 - Pincers Jaws for Vial 20mL &amp; 25mL; Custom/Lokal; -; 1 Pc")</f>
        <v>Washing RAR4 - Pincers Jaws for Vial 20mL &amp; 25mL; Custom/Lokal; -; 1 Pc</v>
      </c>
      <c r="C998" s="2" t="str">
        <f>IFERROR(__xludf.DUMMYFUNCTION("""COMPUTED_VALUE"""),"pc")</f>
        <v>pc</v>
      </c>
      <c r="D998" s="2">
        <f>IFERROR(__xludf.DUMMYFUNCTION("""COMPUTED_VALUE"""),20.0)</f>
        <v>20</v>
      </c>
      <c r="E998" s="2"/>
    </row>
    <row r="999">
      <c r="A999" s="2" t="str">
        <f>IFERROR(__xludf.DUMMYFUNCTION("""COMPUTED_VALUE"""),"O-52845-00")</f>
        <v>O-52845-00</v>
      </c>
      <c r="B999" s="2" t="str">
        <f>IFERROR(__xludf.DUMMYFUNCTION("""COMPUTED_VALUE"""),"Freeze Dryer MBE1207 - SV169 Coil MKC-1 AC220V; Mycom; EB15-00507; 1 Pc")</f>
        <v>Freeze Dryer MBE1207 - SV169 Coil MKC-1 AC220V; Mycom; EB15-00507; 1 Pc</v>
      </c>
      <c r="C999" s="2" t="str">
        <f>IFERROR(__xludf.DUMMYFUNCTION("""COMPUTED_VALUE"""),"pc")</f>
        <v>pc</v>
      </c>
      <c r="D999" s="2">
        <f>IFERROR(__xludf.DUMMYFUNCTION("""COMPUTED_VALUE"""),2.0)</f>
        <v>2</v>
      </c>
      <c r="E999" s="2" t="str">
        <f>IFERROR(__xludf.DUMMYFUNCTION("""COMPUTED_VALUE"""),"D-1-9A")</f>
        <v>D-1-9A</v>
      </c>
    </row>
    <row r="1000">
      <c r="A1000" s="2" t="str">
        <f>IFERROR(__xludf.DUMMYFUNCTION("""COMPUTED_VALUE"""),"O-19214-00")</f>
        <v>O-19214-00</v>
      </c>
      <c r="B1000" s="2" t="str">
        <f>IFERROR(__xludf.DUMMYFUNCTION("""COMPUTED_VALUE"""),"General - Expansi Valve TE 5 R404A/R507; Danfoss; 067B3343; 1 Pc")</f>
        <v>General - Expansi Valve TE 5 R404A/R507; Danfoss; 067B3343; 1 Pc</v>
      </c>
      <c r="C1000" s="2" t="str">
        <f>IFERROR(__xludf.DUMMYFUNCTION("""COMPUTED_VALUE"""),"pc")</f>
        <v>pc</v>
      </c>
      <c r="D1000" s="2">
        <f>IFERROR(__xludf.DUMMYFUNCTION("""COMPUTED_VALUE"""),2.0)</f>
        <v>2</v>
      </c>
      <c r="E1000" s="2" t="str">
        <f>IFERROR(__xludf.DUMMYFUNCTION("""COMPUTED_VALUE"""),"D-2-11")</f>
        <v>D-2-11</v>
      </c>
    </row>
    <row r="1001">
      <c r="A1001" s="2" t="str">
        <f>IFERROR(__xludf.DUMMYFUNCTION("""COMPUTED_VALUE"""),"P-12258-00")</f>
        <v>P-12258-00</v>
      </c>
      <c r="B1001" s="2" t="str">
        <f>IFERROR(__xludf.DUMMYFUNCTION("""COMPUTED_VALUE"""),"FESTO - Push In Connector QS-10-10")</f>
        <v>FESTO - Push In Connector QS-10-10</v>
      </c>
      <c r="C1001" s="2" t="str">
        <f>IFERROR(__xludf.DUMMYFUNCTION("""COMPUTED_VALUE"""),"pc")</f>
        <v>pc</v>
      </c>
      <c r="D1001" s="2">
        <f>IFERROR(__xludf.DUMMYFUNCTION("""COMPUTED_VALUE"""),18.0)</f>
        <v>18</v>
      </c>
      <c r="E1001" s="2" t="str">
        <f>IFERROR(__xludf.DUMMYFUNCTION("""COMPUTED_VALUE"""),"M3")</f>
        <v>M3</v>
      </c>
    </row>
    <row r="1002">
      <c r="A1002" s="2" t="str">
        <f>IFERROR(__xludf.DUMMYFUNCTION("""COMPUTED_VALUE"""),"P-15076-00")</f>
        <v>P-15076-00</v>
      </c>
      <c r="B1002" s="2" t="str">
        <f>IFERROR(__xludf.DUMMYFUNCTION("""COMPUTED_VALUE"""),"General - Fitting KQ2H10-04AS; SMC; -; 1 pc")</f>
        <v>General - Fitting KQ2H10-04AS; SMC; -; 1 pc</v>
      </c>
      <c r="C1002" s="2" t="str">
        <f>IFERROR(__xludf.DUMMYFUNCTION("""COMPUTED_VALUE"""),"pc")</f>
        <v>pc</v>
      </c>
      <c r="D1002" s="2">
        <f>IFERROR(__xludf.DUMMYFUNCTION("""COMPUTED_VALUE"""),10.0)</f>
        <v>10</v>
      </c>
      <c r="E1002" s="2" t="str">
        <f>IFERROR(__xludf.DUMMYFUNCTION("""COMPUTED_VALUE"""),"R-2-8")</f>
        <v>R-2-8</v>
      </c>
    </row>
    <row r="1003">
      <c r="A1003" s="2" t="str">
        <f>IFERROR(__xludf.DUMMYFUNCTION("""COMPUTED_VALUE"""),"O-21068-00")</f>
        <v>O-21068-00</v>
      </c>
      <c r="B1003" s="2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1003" s="2" t="str">
        <f>IFERROR(__xludf.DUMMYFUNCTION("""COMPUTED_VALUE"""),"pc")</f>
        <v>pc</v>
      </c>
      <c r="D1003" s="2">
        <f>IFERROR(__xludf.DUMMYFUNCTION("""COMPUTED_VALUE"""),1.0)</f>
        <v>1</v>
      </c>
      <c r="E1003" s="2" t="str">
        <f>IFERROR(__xludf.DUMMYFUNCTION("""COMPUTED_VALUE"""),"-")</f>
        <v>-</v>
      </c>
    </row>
    <row r="1004">
      <c r="A1004" s="2" t="str">
        <f>IFERROR(__xludf.DUMMYFUNCTION("""COMPUTED_VALUE"""),"O-50863-00")</f>
        <v>O-50863-00</v>
      </c>
      <c r="B1004" s="2" t="str">
        <f>IFERROR(__xludf.DUMMYFUNCTION("""COMPUTED_VALUE"""),"General - Relay 220-240 VAC; Omron; MY4N; 1 Pc")</f>
        <v>General - Relay 220-240 VAC; Omron; MY4N; 1 Pc</v>
      </c>
      <c r="C1004" s="2" t="str">
        <f>IFERROR(__xludf.DUMMYFUNCTION("""COMPUTED_VALUE"""),"pc")</f>
        <v>pc</v>
      </c>
      <c r="D1004" s="2">
        <f>IFERROR(__xludf.DUMMYFUNCTION("""COMPUTED_VALUE"""),33.0)</f>
        <v>33</v>
      </c>
      <c r="E1004" s="2" t="str">
        <f>IFERROR(__xludf.DUMMYFUNCTION("""COMPUTED_VALUE"""),"A-4-13A")</f>
        <v>A-4-13A</v>
      </c>
    </row>
    <row r="1005">
      <c r="A1005" s="2" t="str">
        <f>IFERROR(__xludf.DUMMYFUNCTION("""COMPUTED_VALUE"""),"P-54327-00")</f>
        <v>P-54327-00</v>
      </c>
      <c r="B1005" s="2" t="str">
        <f>IFERROR(__xludf.DUMMYFUNCTION("""COMPUTED_VALUE"""),"General - Kap Lampu Waterptoof T8 1x18 IP65; No Brand; -; 1 pc")</f>
        <v>General - Kap Lampu Waterptoof T8 1x18 IP65; No Brand; -; 1 pc</v>
      </c>
      <c r="C1005" s="2" t="str">
        <f>IFERROR(__xludf.DUMMYFUNCTION("""COMPUTED_VALUE"""),"pc")</f>
        <v>pc</v>
      </c>
      <c r="D1005" s="2">
        <f>IFERROR(__xludf.DUMMYFUNCTION("""COMPUTED_VALUE"""),4.0)</f>
        <v>4</v>
      </c>
      <c r="E1005" s="2"/>
    </row>
    <row r="1006">
      <c r="A1006" s="2" t="str">
        <f>IFERROR(__xludf.DUMMYFUNCTION("""COMPUTED_VALUE"""),"O-52868-00")</f>
        <v>O-52868-00</v>
      </c>
      <c r="B1006" s="2" t="str">
        <f>IFERROR(__xludf.DUMMYFUNCTION("""COMPUTED_VALUE"""),"General - Auto-switch Accessory, D-A93L; SMC Pneumatics; -; 1 pcs")</f>
        <v>General - Auto-switch Accessory, D-A93L; SMC Pneumatics; -; 1 pcs</v>
      </c>
      <c r="C1006" s="2" t="str">
        <f>IFERROR(__xludf.DUMMYFUNCTION("""COMPUTED_VALUE"""),"pc")</f>
        <v>pc</v>
      </c>
      <c r="D1006" s="2">
        <f>IFERROR(__xludf.DUMMYFUNCTION("""COMPUTED_VALUE"""),2.0)</f>
        <v>2</v>
      </c>
      <c r="E1006" s="2" t="str">
        <f>IFERROR(__xludf.DUMMYFUNCTION("""COMPUTED_VALUE"""),"E-3-1D")</f>
        <v>E-3-1D</v>
      </c>
    </row>
    <row r="1007">
      <c r="A1007" s="2" t="str">
        <f>IFERROR(__xludf.DUMMYFUNCTION("""COMPUTED_VALUE"""),"O-52229-00")</f>
        <v>O-52229-00</v>
      </c>
      <c r="B1007" s="2" t="str">
        <f>IFERROR(__xludf.DUMMYFUNCTION("""COMPUTED_VALUE"""),"General - Inverter VLT Drive 0.75 Kw, 3x380-480 V 50/60Hz; Danfoss; FC-051PK75T4E20H3XXCXXXSXXX; 1 pc")</f>
        <v>General - Inverter VLT Drive 0.75 Kw, 3x380-480 V 50/60Hz; Danfoss; FC-051PK75T4E20H3XXCXXXSXXX; 1 pc</v>
      </c>
      <c r="C1007" s="2" t="str">
        <f>IFERROR(__xludf.DUMMYFUNCTION("""COMPUTED_VALUE"""),"pc")</f>
        <v>pc</v>
      </c>
      <c r="D1007" s="2">
        <f>IFERROR(__xludf.DUMMYFUNCTION("""COMPUTED_VALUE"""),1.0)</f>
        <v>1</v>
      </c>
      <c r="E1007" s="2" t="str">
        <f>IFERROR(__xludf.DUMMYFUNCTION("""COMPUTED_VALUE"""),"E-4-4")</f>
        <v>E-4-4</v>
      </c>
    </row>
    <row r="1008">
      <c r="A1008" s="2" t="str">
        <f>IFERROR(__xludf.DUMMYFUNCTION("""COMPUTED_VALUE"""),"O-54005-00")</f>
        <v>O-54005-00</v>
      </c>
      <c r="B1008" s="2" t="str">
        <f>IFERROR(__xludf.DUMMYFUNCTION("""COMPUTED_VALUE"""),"LAMPU UV 15 WATT, OSRAM")</f>
        <v>LAMPU UV 15 WATT, OSRAM</v>
      </c>
      <c r="C1008" s="2" t="str">
        <f>IFERROR(__xludf.DUMMYFUNCTION("""COMPUTED_VALUE"""),"pc")</f>
        <v>pc</v>
      </c>
      <c r="D1008" s="2">
        <f>IFERROR(__xludf.DUMMYFUNCTION("""COMPUTED_VALUE"""),7.0)</f>
        <v>7</v>
      </c>
      <c r="E1008" s="2" t="str">
        <f>IFERROR(__xludf.DUMMYFUNCTION("""COMPUTED_VALUE"""),"O3")</f>
        <v>O3</v>
      </c>
    </row>
    <row r="1009">
      <c r="A1009" s="2" t="str">
        <f>IFERROR(__xludf.DUMMYFUNCTION("""COMPUTED_VALUE"""),"P-17347-00")</f>
        <v>P-17347-00</v>
      </c>
      <c r="B1009" s="2" t="str">
        <f>IFERROR(__xludf.DUMMYFUNCTION("""COMPUTED_VALUE"""),"General - Pre Filter G4 2m x 20m x 2mm; Hencolin; -; 1 Pc")</f>
        <v>General - Pre Filter G4 2m x 20m x 2mm; Hencolin; -; 1 Pc</v>
      </c>
      <c r="C1009" s="2" t="str">
        <f>IFERROR(__xludf.DUMMYFUNCTION("""COMPUTED_VALUE"""),"pc")</f>
        <v>pc</v>
      </c>
      <c r="D1009" s="2">
        <f>IFERROR(__xludf.DUMMYFUNCTION("""COMPUTED_VALUE"""),2.0)</f>
        <v>2</v>
      </c>
      <c r="E1009" s="2" t="str">
        <f>IFERROR(__xludf.DUMMYFUNCTION("""COMPUTED_VALUE"""),"Ruang Filter")</f>
        <v>Ruang Filter</v>
      </c>
    </row>
    <row r="1010">
      <c r="A1010" s="2" t="str">
        <f>IFERROR(__xludf.DUMMYFUNCTION("""COMPUTED_VALUE"""),"P-53055-00")</f>
        <v>P-53055-00</v>
      </c>
      <c r="B1010" s="2" t="str">
        <f>IFERROR(__xludf.DUMMYFUNCTION("""COMPUTED_VALUE"""),"General - Fuse Keramik Double 160A 690VAC Bussman FEE160")</f>
        <v>General - Fuse Keramik Double 160A 690VAC Bussman FEE160</v>
      </c>
      <c r="C1010" s="2" t="str">
        <f>IFERROR(__xludf.DUMMYFUNCTION("""COMPUTED_VALUE"""),"pc")</f>
        <v>pc</v>
      </c>
      <c r="D1010" s="2">
        <f>IFERROR(__xludf.DUMMYFUNCTION("""COMPUTED_VALUE"""),9.0)</f>
        <v>9</v>
      </c>
      <c r="E1010" s="2" t="str">
        <f>IFERROR(__xludf.DUMMYFUNCTION("""COMPUTED_VALUE"""),"M-4")</f>
        <v>M-4</v>
      </c>
    </row>
    <row r="1011">
      <c r="A1011" s="2" t="str">
        <f>IFERROR(__xludf.DUMMYFUNCTION("""COMPUTED_VALUE"""),"O-53319-00")</f>
        <v>O-53319-00</v>
      </c>
      <c r="B1011" s="2" t="str">
        <f>IFERROR(__xludf.DUMMYFUNCTION("""COMPUTED_VALUE"""),"Filling VFM100 - Cable 3g 1.5mq JZ-500; Steriline; 1111907; 1 Pc")</f>
        <v>Filling VFM100 - Cable 3g 1.5mq JZ-500; Steriline; 1111907; 1 Pc</v>
      </c>
      <c r="C1011" s="2" t="str">
        <f>IFERROR(__xludf.DUMMYFUNCTION("""COMPUTED_VALUE"""),"pc")</f>
        <v>pc</v>
      </c>
      <c r="D1011" s="2">
        <f>IFERROR(__xludf.DUMMYFUNCTION("""COMPUTED_VALUE"""),1.0)</f>
        <v>1</v>
      </c>
      <c r="E1011" s="2">
        <f>IFERROR(__xludf.DUMMYFUNCTION("""COMPUTED_VALUE"""),1.0)</f>
        <v>1</v>
      </c>
    </row>
    <row r="1012">
      <c r="A1012" s="2" t="str">
        <f>IFERROR(__xludf.DUMMYFUNCTION("""COMPUTED_VALUE"""),"O-18891-00")</f>
        <v>O-18891-00</v>
      </c>
      <c r="B1012" s="2" t="str">
        <f>IFERROR(__xludf.DUMMYFUNCTION("""COMPUTED_VALUE"""),"General - SV102 Coil 018F6857 DC24V; Danfoss; P/N: EB15-00306; 1 Pc")</f>
        <v>General - SV102 Coil 018F6857 DC24V; Danfoss; P/N: EB15-00306; 1 Pc</v>
      </c>
      <c r="C1012" s="2" t="str">
        <f>IFERROR(__xludf.DUMMYFUNCTION("""COMPUTED_VALUE"""),"pc")</f>
        <v>pc</v>
      </c>
      <c r="D1012" s="2">
        <f>IFERROR(__xludf.DUMMYFUNCTION("""COMPUTED_VALUE"""),1.0)</f>
        <v>1</v>
      </c>
      <c r="E1012" s="2" t="str">
        <f>IFERROR(__xludf.DUMMYFUNCTION("""COMPUTED_VALUE"""),"D-2-9C")</f>
        <v>D-2-9C</v>
      </c>
    </row>
    <row r="1013">
      <c r="A1013" s="2" t="str">
        <f>IFERROR(__xludf.DUMMYFUNCTION("""COMPUTED_VALUE"""),"P-12746-00")</f>
        <v>P-12746-00</v>
      </c>
      <c r="B1013" s="2" t="str">
        <f>IFERROR(__xludf.DUMMYFUNCTION("""COMPUTED_VALUE"""),"General - Pipa PVC AW dia. 1 1/2inch, Warna Abu-Abu; Rucika; -; 1 pcs")</f>
        <v>General - Pipa PVC AW dia. 1 1/2inch, Warna Abu-Abu; Rucika; -; 1 pcs</v>
      </c>
      <c r="C1013" s="2" t="str">
        <f>IFERROR(__xludf.DUMMYFUNCTION("""COMPUTED_VALUE"""),"pc")</f>
        <v>pc</v>
      </c>
      <c r="D1013" s="2">
        <f>IFERROR(__xludf.DUMMYFUNCTION("""COMPUTED_VALUE"""),5.0)</f>
        <v>5</v>
      </c>
      <c r="E1013" s="2" t="str">
        <f>IFERROR(__xludf.DUMMYFUNCTION("""COMPUTED_VALUE"""),"-")</f>
        <v>-</v>
      </c>
    </row>
    <row r="1014">
      <c r="A1014" s="2" t="str">
        <f>IFERROR(__xludf.DUMMYFUNCTION("""COMPUTED_VALUE"""),"O-50827-00")</f>
        <v>O-50827-00</v>
      </c>
      <c r="B1014" s="2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1014" s="2" t="str">
        <f>IFERROR(__xludf.DUMMYFUNCTION("""COMPUTED_VALUE"""),"unt")</f>
        <v>unt</v>
      </c>
      <c r="D1014" s="2">
        <f>IFERROR(__xludf.DUMMYFUNCTION("""COMPUTED_VALUE"""),1.0)</f>
        <v>1</v>
      </c>
      <c r="E1014" s="2" t="str">
        <f>IFERROR(__xludf.DUMMYFUNCTION("""COMPUTED_VALUE"""),"E-4")</f>
        <v>E-4</v>
      </c>
    </row>
    <row r="1015">
      <c r="A1015" s="2" t="str">
        <f>IFERROR(__xludf.DUMMYFUNCTION("""COMPUTED_VALUE"""),"O-20993-00")</f>
        <v>O-20993-00</v>
      </c>
      <c r="B1015" s="2" t="str">
        <f>IFERROR(__xludf.DUMMYFUNCTION("""COMPUTED_VALUE"""),"Capping VCM200 - Base Starwheel Uk. 413 x 185 x T :15; Custom/Lokal; -; 1 Pc")</f>
        <v>Capping VCM200 - Base Starwheel Uk. 413 x 185 x T :15; Custom/Lokal; -; 1 Pc</v>
      </c>
      <c r="C1015" s="2" t="str">
        <f>IFERROR(__xludf.DUMMYFUNCTION("""COMPUTED_VALUE"""),"pc")</f>
        <v>pc</v>
      </c>
      <c r="D1015" s="2">
        <f>IFERROR(__xludf.DUMMYFUNCTION("""COMPUTED_VALUE"""),1.0)</f>
        <v>1</v>
      </c>
      <c r="E1015" s="2" t="str">
        <f>IFERROR(__xludf.DUMMYFUNCTION("""COMPUTED_VALUE"""),"-")</f>
        <v>-</v>
      </c>
    </row>
    <row r="1016">
      <c r="A1016" s="2" t="str">
        <f>IFERROR(__xludf.DUMMYFUNCTION("""COMPUTED_VALUE"""),"P-19899-00")</f>
        <v>P-19899-00</v>
      </c>
      <c r="B1016" s="2" t="str">
        <f>IFERROR(__xludf.DUMMYFUNCTION("""COMPUTED_VALUE"""),"General - Teflon Sheet 6 x 1000 x 1000mm; No Brand; -; 1 pc")</f>
        <v>General - Teflon Sheet 6 x 1000 x 1000mm; No Brand; -; 1 pc</v>
      </c>
      <c r="C1016" s="2" t="str">
        <f>IFERROR(__xludf.DUMMYFUNCTION("""COMPUTED_VALUE"""),"pc")</f>
        <v>pc</v>
      </c>
      <c r="D1016" s="2">
        <f>IFERROR(__xludf.DUMMYFUNCTION("""COMPUTED_VALUE"""),1.0)</f>
        <v>1</v>
      </c>
      <c r="E1016" s="2" t="str">
        <f>IFERROR(__xludf.DUMMYFUNCTION("""COMPUTED_VALUE"""),"A-2-10B")</f>
        <v>A-2-10B</v>
      </c>
    </row>
    <row r="1017">
      <c r="A1017" s="2" t="str">
        <f>IFERROR(__xludf.DUMMYFUNCTION("""COMPUTED_VALUE"""),"P-20635-00")</f>
        <v>P-20635-00</v>
      </c>
      <c r="B1017" s="2" t="str">
        <f>IFERROR(__xludf.DUMMYFUNCTION("""COMPUTED_VALUE"""),"General - Belt Dressing; Prestone; -; 250ml/can")</f>
        <v>General - Belt Dressing; Prestone; -; 250ml/can</v>
      </c>
      <c r="C1017" s="2" t="str">
        <f>IFERROR(__xludf.DUMMYFUNCTION("""COMPUTED_VALUE"""),"Can")</f>
        <v>Can</v>
      </c>
      <c r="D1017" s="2">
        <f>IFERROR(__xludf.DUMMYFUNCTION("""COMPUTED_VALUE"""),5.0)</f>
        <v>5</v>
      </c>
      <c r="E1017" s="2" t="str">
        <f>IFERROR(__xludf.DUMMYFUNCTION("""COMPUTED_VALUE"""),"Flammable")</f>
        <v>Flammable</v>
      </c>
    </row>
    <row r="1018">
      <c r="A1018" s="2" t="str">
        <f>IFERROR(__xludf.DUMMYFUNCTION("""COMPUTED_VALUE"""),"O-53337-00")</f>
        <v>O-53337-00</v>
      </c>
      <c r="B1018" s="2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018" s="2" t="str">
        <f>IFERROR(__xludf.DUMMYFUNCTION("""COMPUTED_VALUE"""),"pc")</f>
        <v>pc</v>
      </c>
      <c r="D1018" s="2">
        <f>IFERROR(__xludf.DUMMYFUNCTION("""COMPUTED_VALUE"""),2.0)</f>
        <v>2</v>
      </c>
      <c r="E1018" s="2" t="str">
        <f>IFERROR(__xludf.DUMMYFUNCTION("""COMPUTED_VALUE"""),"R-3-3")</f>
        <v>R-3-3</v>
      </c>
    </row>
    <row r="1019">
      <c r="A1019" s="2" t="str">
        <f>IFERROR(__xludf.DUMMYFUNCTION("""COMPUTED_VALUE"""),"O-20650-00")</f>
        <v>O-20650-00</v>
      </c>
      <c r="B1019" s="2" t="str">
        <f>IFERROR(__xludf.DUMMYFUNCTION("""COMPUTED_VALUE"""),"Integrated Granulation Line - Flap Disc Seal MC DN100 (2.M10.0110X)")</f>
        <v>Integrated Granulation Line - Flap Disc Seal MC DN100 (2.M10.0110X)</v>
      </c>
      <c r="C1019" s="2" t="str">
        <f>IFERROR(__xludf.DUMMYFUNCTION("""COMPUTED_VALUE"""),"pc")</f>
        <v>pc</v>
      </c>
      <c r="D1019" s="2">
        <f>IFERROR(__xludf.DUMMYFUNCTION("""COMPUTED_VALUE"""),2.0)</f>
        <v>2</v>
      </c>
      <c r="E1019" s="2" t="str">
        <f>IFERROR(__xludf.DUMMYFUNCTION("""COMPUTED_VALUE"""),"-")</f>
        <v>-</v>
      </c>
    </row>
    <row r="1020">
      <c r="A1020" s="2" t="str">
        <f>IFERROR(__xludf.DUMMYFUNCTION("""COMPUTED_VALUE"""),"O-53272-00")</f>
        <v>O-53272-00</v>
      </c>
      <c r="B1020" s="2" t="str">
        <f>IFERROR(__xludf.DUMMYFUNCTION("""COMPUTED_VALUE"""),"Integrated Granulation Line - Temperature Probe CIP 60mm MK3: 3 Wire")</f>
        <v>Integrated Granulation Line - Temperature Probe CIP 60mm MK3: 3 Wire</v>
      </c>
      <c r="C1020" s="2" t="str">
        <f>IFERROR(__xludf.DUMMYFUNCTION("""COMPUTED_VALUE"""),"pc")</f>
        <v>pc</v>
      </c>
      <c r="D1020" s="2">
        <f>IFERROR(__xludf.DUMMYFUNCTION("""COMPUTED_VALUE"""),1.0)</f>
        <v>1</v>
      </c>
      <c r="E1020" s="2" t="str">
        <f>IFERROR(__xludf.DUMMYFUNCTION("""COMPUTED_VALUE"""),"-")</f>
        <v>-</v>
      </c>
    </row>
    <row r="1021">
      <c r="A1021" s="2" t="str">
        <f>IFERROR(__xludf.DUMMYFUNCTION("""COMPUTED_VALUE"""),"P-20236-00")</f>
        <v>P-20236-00</v>
      </c>
      <c r="B1021" s="2" t="str">
        <f>IFERROR(__xludf.DUMMYFUNCTION("""COMPUTED_VALUE"""),"General - Tee Reducer PVC 2 x 3/4inch; Rucika; -; 1 pc")</f>
        <v>General - Tee Reducer PVC 2 x 3/4inch; Rucika; -; 1 pc</v>
      </c>
      <c r="C1021" s="2" t="str">
        <f>IFERROR(__xludf.DUMMYFUNCTION("""COMPUTED_VALUE"""),"pc")</f>
        <v>pc</v>
      </c>
      <c r="D1021" s="2">
        <f>IFERROR(__xludf.DUMMYFUNCTION("""COMPUTED_VALUE"""),3.0)</f>
        <v>3</v>
      </c>
      <c r="E1021" s="2" t="str">
        <f>IFERROR(__xludf.DUMMYFUNCTION("""COMPUTED_VALUE"""),"R-4-2")</f>
        <v>R-4-2</v>
      </c>
    </row>
    <row r="1022">
      <c r="A1022" s="2" t="str">
        <f>IFERROR(__xludf.DUMMYFUNCTION("""COMPUTED_VALUE"""),"O-20726-00")</f>
        <v>O-20726-00</v>
      </c>
      <c r="B1022" s="2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1022" s="2" t="str">
        <f>IFERROR(__xludf.DUMMYFUNCTION("""COMPUTED_VALUE"""),"ST")</f>
        <v>ST</v>
      </c>
      <c r="D1022" s="2">
        <f>IFERROR(__xludf.DUMMYFUNCTION("""COMPUTED_VALUE"""),3.0)</f>
        <v>3</v>
      </c>
      <c r="E1022" s="2" t="str">
        <f>IFERROR(__xludf.DUMMYFUNCTION("""COMPUTED_VALUE"""),"H-3-15")</f>
        <v>H-3-15</v>
      </c>
    </row>
    <row r="1023">
      <c r="A1023" s="2" t="str">
        <f>IFERROR(__xludf.DUMMYFUNCTION("""COMPUTED_VALUE"""),"O-53456-00")</f>
        <v>O-53456-00</v>
      </c>
      <c r="B1023" s="2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023" s="2" t="str">
        <f>IFERROR(__xludf.DUMMYFUNCTION("""COMPUTED_VALUE"""),"pc")</f>
        <v>pc</v>
      </c>
      <c r="D1023" s="2">
        <f>IFERROR(__xludf.DUMMYFUNCTION("""COMPUTED_VALUE"""),1.0)</f>
        <v>1</v>
      </c>
      <c r="E1023" s="2" t="str">
        <f>IFERROR(__xludf.DUMMYFUNCTION("""COMPUTED_VALUE"""),"-")</f>
        <v>-</v>
      </c>
    </row>
    <row r="1024">
      <c r="A1024" s="2" t="str">
        <f>IFERROR(__xludf.DUMMYFUNCTION("""COMPUTED_VALUE"""),"P-10390-00")</f>
        <v>P-10390-00</v>
      </c>
      <c r="B1024" s="2" t="str">
        <f>IFERROR(__xludf.DUMMYFUNCTION("""COMPUTED_VALUE"""),"General - Ball Valve PVC 1inch; No Brand; -; 1 pcs")</f>
        <v>General - Ball Valve PVC 1inch; No Brand; -; 1 pcs</v>
      </c>
      <c r="C1024" s="2" t="str">
        <f>IFERROR(__xludf.DUMMYFUNCTION("""COMPUTED_VALUE"""),"pc")</f>
        <v>pc</v>
      </c>
      <c r="D1024" s="2">
        <f>IFERROR(__xludf.DUMMYFUNCTION("""COMPUTED_VALUE"""),6.0)</f>
        <v>6</v>
      </c>
      <c r="E1024" s="2"/>
    </row>
    <row r="1025">
      <c r="A1025" s="2" t="str">
        <f>IFERROR(__xludf.DUMMYFUNCTION("""COMPUTED_VALUE"""),"O-19345-00")</f>
        <v>O-19345-00</v>
      </c>
      <c r="B1025" s="2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1025" s="2" t="str">
        <f>IFERROR(__xludf.DUMMYFUNCTION("""COMPUTED_VALUE"""),"pc")</f>
        <v>pc</v>
      </c>
      <c r="D1025" s="2">
        <f>IFERROR(__xludf.DUMMYFUNCTION("""COMPUTED_VALUE"""),2.0)</f>
        <v>2</v>
      </c>
      <c r="E1025" s="2" t="str">
        <f>IFERROR(__xludf.DUMMYFUNCTION("""COMPUTED_VALUE"""),"Ruang Filter")</f>
        <v>Ruang Filter</v>
      </c>
    </row>
    <row r="1026">
      <c r="A1026" s="2" t="str">
        <f>IFERROR(__xludf.DUMMYFUNCTION("""COMPUTED_VALUE"""),"O-19382-00")</f>
        <v>O-19382-00</v>
      </c>
      <c r="B1026" s="2" t="str">
        <f>IFERROR(__xludf.DUMMYFUNCTION("""COMPUTED_VALUE"""),"General - HEPA filter H14 minipleat, size: 457x610x69 Class (EN 1822)- 99,995% MPPS; Hencolin; -; 1 Pc")</f>
        <v>General - HEPA filter H14 minipleat, size: 457x610x69 Class (EN 1822)- 99,995% MPPS; Hencolin; -; 1 Pc</v>
      </c>
      <c r="C1026" s="2" t="str">
        <f>IFERROR(__xludf.DUMMYFUNCTION("""COMPUTED_VALUE"""),"pc")</f>
        <v>pc</v>
      </c>
      <c r="D1026" s="2">
        <f>IFERROR(__xludf.DUMMYFUNCTION("""COMPUTED_VALUE"""),2.0)</f>
        <v>2</v>
      </c>
      <c r="E1026" s="2" t="str">
        <f>IFERROR(__xludf.DUMMYFUNCTION("""COMPUTED_VALUE"""),"Ruang filter")</f>
        <v>Ruang filter</v>
      </c>
    </row>
    <row r="1027">
      <c r="A1027" s="2" t="str">
        <f>IFERROR(__xludf.DUMMYFUNCTION("""COMPUTED_VALUE"""),"P-53031-00")</f>
        <v>P-53031-00</v>
      </c>
      <c r="B1027" s="2" t="str">
        <f>IFERROR(__xludf.DUMMYFUNCTION("""COMPUTED_VALUE"""),"General - Cooling Fan; Fulltech; UF15AC23-BTH; 1 Pc")</f>
        <v>General - Cooling Fan; Fulltech; UF15AC23-BTH; 1 Pc</v>
      </c>
      <c r="C1027" s="2" t="str">
        <f>IFERROR(__xludf.DUMMYFUNCTION("""COMPUTED_VALUE"""),"pc")</f>
        <v>pc</v>
      </c>
      <c r="D1027" s="2">
        <f>IFERROR(__xludf.DUMMYFUNCTION("""COMPUTED_VALUE"""),3.0)</f>
        <v>3</v>
      </c>
      <c r="E1027" s="2" t="str">
        <f>IFERROR(__xludf.DUMMYFUNCTION("""COMPUTED_VALUE"""),"D2")</f>
        <v>D2</v>
      </c>
    </row>
    <row r="1028">
      <c r="A1028" s="2" t="str">
        <f>IFERROR(__xludf.DUMMYFUNCTION("""COMPUTED_VALUE"""),"P-53399-00")</f>
        <v>P-53399-00</v>
      </c>
      <c r="B1028" s="2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1028" s="2" t="str">
        <f>IFERROR(__xludf.DUMMYFUNCTION("""COMPUTED_VALUE"""),"unt")</f>
        <v>unt</v>
      </c>
      <c r="D1028" s="2">
        <f>IFERROR(__xludf.DUMMYFUNCTION("""COMPUTED_VALUE"""),1.0)</f>
        <v>1</v>
      </c>
      <c r="E1028" s="2"/>
    </row>
    <row r="1029">
      <c r="A1029" s="2" t="str">
        <f>IFERROR(__xludf.DUMMYFUNCTION("""COMPUTED_VALUE"""),"P-19879-00")</f>
        <v>P-19879-00</v>
      </c>
      <c r="B1029" s="2" t="str">
        <f>IFERROR(__xludf.DUMMYFUNCTION("""COMPUTED_VALUE"""),"General - Clamp Pipa Gantung 2,5inch; No Brand; -; 1 pc")</f>
        <v>General - Clamp Pipa Gantung 2,5inch; No Brand; -; 1 pc</v>
      </c>
      <c r="C1029" s="2" t="str">
        <f>IFERROR(__xludf.DUMMYFUNCTION("""COMPUTED_VALUE"""),"pc")</f>
        <v>pc</v>
      </c>
      <c r="D1029" s="2">
        <f>IFERROR(__xludf.DUMMYFUNCTION("""COMPUTED_VALUE"""),12.0)</f>
        <v>12</v>
      </c>
      <c r="E1029" s="2" t="str">
        <f>IFERROR(__xludf.DUMMYFUNCTION("""COMPUTED_VALUE"""),"N4")</f>
        <v>N4</v>
      </c>
    </row>
    <row r="1030">
      <c r="A1030" s="2" t="str">
        <f>IFERROR(__xludf.DUMMYFUNCTION("""COMPUTED_VALUE"""),"O-53522-00")</f>
        <v>O-53522-00</v>
      </c>
      <c r="B1030" s="2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030" s="2" t="str">
        <f>IFERROR(__xludf.DUMMYFUNCTION("""COMPUTED_VALUE"""),"pc")</f>
        <v>pc</v>
      </c>
      <c r="D1030" s="2">
        <f>IFERROR(__xludf.DUMMYFUNCTION("""COMPUTED_VALUE"""),1.0)</f>
        <v>1</v>
      </c>
      <c r="E1030" s="2" t="str">
        <f>IFERROR(__xludf.DUMMYFUNCTION("""COMPUTED_VALUE"""),"H-3-2")</f>
        <v>H-3-2</v>
      </c>
    </row>
    <row r="1031">
      <c r="A1031" s="2" t="str">
        <f>IFERROR(__xludf.DUMMYFUNCTION("""COMPUTED_VALUE"""),"P-20409-00")</f>
        <v>P-20409-00</v>
      </c>
      <c r="B1031" s="2" t="str">
        <f>IFERROR(__xludf.DUMMYFUNCTION("""COMPUTED_VALUE"""),"Pompa Grundfos - Shaft Seal CR/N 32/45/64/90 HQQE; Grundfos; -; 1 pc")</f>
        <v>Pompa Grundfos - Shaft Seal CR/N 32/45/64/90 HQQE; Grundfos; -; 1 pc</v>
      </c>
      <c r="C1031" s="2" t="str">
        <f>IFERROR(__xludf.DUMMYFUNCTION("""COMPUTED_VALUE"""),"pc")</f>
        <v>pc</v>
      </c>
      <c r="D1031" s="2">
        <f>IFERROR(__xludf.DUMMYFUNCTION("""COMPUTED_VALUE"""),1.0)</f>
        <v>1</v>
      </c>
      <c r="E1031" s="2" t="str">
        <f>IFERROR(__xludf.DUMMYFUNCTION("""COMPUTED_VALUE"""),"H-3-7")</f>
        <v>H-3-7</v>
      </c>
    </row>
    <row r="1032">
      <c r="A1032" s="2" t="str">
        <f>IFERROR(__xludf.DUMMYFUNCTION("""COMPUTED_VALUE"""),"P-10867-00")</f>
        <v>P-10867-00</v>
      </c>
      <c r="B1032" s="2" t="str">
        <f>IFERROR(__xludf.DUMMYFUNCTION("""COMPUTED_VALUE"""),"General - Elbow PVC 3 inch; Rucika; -; 1 pc")</f>
        <v>General - Elbow PVC 3 inch; Rucika; -; 1 pc</v>
      </c>
      <c r="C1032" s="2" t="str">
        <f>IFERROR(__xludf.DUMMYFUNCTION("""COMPUTED_VALUE"""),"pc")</f>
        <v>pc</v>
      </c>
      <c r="D1032" s="2">
        <f>IFERROR(__xludf.DUMMYFUNCTION("""COMPUTED_VALUE"""),4.0)</f>
        <v>4</v>
      </c>
      <c r="E1032" s="2" t="str">
        <f>IFERROR(__xludf.DUMMYFUNCTION("""COMPUTED_VALUE"""),"-")</f>
        <v>-</v>
      </c>
    </row>
    <row r="1033">
      <c r="A1033" s="2" t="str">
        <f>IFERROR(__xludf.DUMMYFUNCTION("""COMPUTED_VALUE"""),"P-52569-00")</f>
        <v>P-52569-00</v>
      </c>
      <c r="B1033" s="2" t="str">
        <f>IFERROR(__xludf.DUMMYFUNCTION("""COMPUTED_VALUE"""),"General - Limit Switch 250VAC; No Brand; LX19-001; 1 pc")</f>
        <v>General - Limit Switch 250VAC; No Brand; LX19-001; 1 pc</v>
      </c>
      <c r="C1033" s="2" t="str">
        <f>IFERROR(__xludf.DUMMYFUNCTION("""COMPUTED_VALUE"""),"pc")</f>
        <v>pc</v>
      </c>
      <c r="D1033" s="2">
        <f>IFERROR(__xludf.DUMMYFUNCTION("""COMPUTED_VALUE"""),4.0)</f>
        <v>4</v>
      </c>
      <c r="E1033" s="2" t="str">
        <f>IFERROR(__xludf.DUMMYFUNCTION("""COMPUTED_VALUE"""),"F-2-3B")</f>
        <v>F-2-3B</v>
      </c>
    </row>
    <row r="1034">
      <c r="A1034" s="2" t="str">
        <f>IFERROR(__xludf.DUMMYFUNCTION("""COMPUTED_VALUE"""),"P-20531-00")</f>
        <v>P-20531-00</v>
      </c>
      <c r="B1034" s="2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1034" s="2" t="str">
        <f>IFERROR(__xludf.DUMMYFUNCTION("""COMPUTED_VALUE"""),"pc")</f>
        <v>pc</v>
      </c>
      <c r="D1034" s="2">
        <f>IFERROR(__xludf.DUMMYFUNCTION("""COMPUTED_VALUE"""),1.0)</f>
        <v>1</v>
      </c>
      <c r="E1034" s="2" t="str">
        <f>IFERROR(__xludf.DUMMYFUNCTION("""COMPUTED_VALUE"""),"-")</f>
        <v>-</v>
      </c>
    </row>
    <row r="1035">
      <c r="A1035" s="2" t="str">
        <f>IFERROR(__xludf.DUMMYFUNCTION("""COMPUTED_VALUE"""),"P-18666-00")</f>
        <v>P-18666-00</v>
      </c>
      <c r="B1035" s="2" t="str">
        <f>IFERROR(__xludf.DUMMYFUNCTION("""COMPUTED_VALUE"""),"General - Vlok Ring, Kuningan/Brass, 1 x 1/2inch; No Brand; -; 1 pc")</f>
        <v>General - Vlok Ring, Kuningan/Brass, 1 x 1/2inch; No Brand; -; 1 pc</v>
      </c>
      <c r="C1035" s="2" t="str">
        <f>IFERROR(__xludf.DUMMYFUNCTION("""COMPUTED_VALUE"""),"pc")</f>
        <v>pc</v>
      </c>
      <c r="D1035" s="2">
        <f>IFERROR(__xludf.DUMMYFUNCTION("""COMPUTED_VALUE"""),3.0)</f>
        <v>3</v>
      </c>
      <c r="E1035" s="2" t="str">
        <f>IFERROR(__xludf.DUMMYFUNCTION("""COMPUTED_VALUE"""),"R-2-13")</f>
        <v>R-2-13</v>
      </c>
    </row>
    <row r="1036">
      <c r="A1036" s="2" t="str">
        <f>IFERROR(__xludf.DUMMYFUNCTION("""COMPUTED_VALUE"""),"O-53481-00")</f>
        <v>O-53481-00</v>
      </c>
      <c r="B1036" s="2" t="str">
        <f>IFERROR(__xludf.DUMMYFUNCTION("""COMPUTED_VALUE"""),"Filling VFM100 - TEMPERATURE PROBE ;  MODEL PT100 SINGLE ELEMENT, 3 WIRES, DIAMETER 3MM, LENGTH 250M; Jumo; 29274; 1 Pc")</f>
        <v>Filling VFM100 - TEMPERATURE PROBE ;  MODEL PT100 SINGLE ELEMENT, 3 WIRES, DIAMETER 3MM, LENGTH 250M; Jumo; 29274; 1 Pc</v>
      </c>
      <c r="C1036" s="2" t="str">
        <f>IFERROR(__xludf.DUMMYFUNCTION("""COMPUTED_VALUE"""),"pc")</f>
        <v>pc</v>
      </c>
      <c r="D1036" s="2">
        <f>IFERROR(__xludf.DUMMYFUNCTION("""COMPUTED_VALUE"""),1.0)</f>
        <v>1</v>
      </c>
      <c r="E1036" s="2" t="str">
        <f>IFERROR(__xludf.DUMMYFUNCTION("""COMPUTED_VALUE"""),"-")</f>
        <v>-</v>
      </c>
    </row>
    <row r="1037">
      <c r="A1037" s="2" t="str">
        <f>IFERROR(__xludf.DUMMYFUNCTION("""COMPUTED_VALUE"""),"P-19442-00")</f>
        <v>P-19442-00</v>
      </c>
      <c r="B1037" s="2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037" s="2" t="str">
        <f>IFERROR(__xludf.DUMMYFUNCTION("""COMPUTED_VALUE"""),"pc")</f>
        <v>pc</v>
      </c>
      <c r="D1037" s="2">
        <f>IFERROR(__xludf.DUMMYFUNCTION("""COMPUTED_VALUE"""),6.0)</f>
        <v>6</v>
      </c>
      <c r="E1037" s="2" t="str">
        <f>IFERROR(__xludf.DUMMYFUNCTION("""COMPUTED_VALUE"""),"F-1")</f>
        <v>F-1</v>
      </c>
    </row>
    <row r="1038">
      <c r="A1038" s="2" t="str">
        <f>IFERROR(__xludf.DUMMYFUNCTION("""COMPUTED_VALUE"""),"P-19410-00")</f>
        <v>P-19410-00</v>
      </c>
      <c r="B1038" s="2" t="str">
        <f>IFERROR(__xludf.DUMMYFUNCTION("""COMPUTED_VALUE"""),"General - Bearing NATA5902; IKO; -; 1 pc")</f>
        <v>General - Bearing NATA5902; IKO; -; 1 pc</v>
      </c>
      <c r="C1038" s="2" t="str">
        <f>IFERROR(__xludf.DUMMYFUNCTION("""COMPUTED_VALUE"""),"pc")</f>
        <v>pc</v>
      </c>
      <c r="D1038" s="2">
        <f>IFERROR(__xludf.DUMMYFUNCTION("""COMPUTED_VALUE"""),22.0)</f>
        <v>22</v>
      </c>
      <c r="E1038" s="2" t="str">
        <f>IFERROR(__xludf.DUMMYFUNCTION("""COMPUTED_VALUE"""),"G-2")</f>
        <v>G-2</v>
      </c>
    </row>
    <row r="1039">
      <c r="A1039" s="2" t="str">
        <f>IFERROR(__xludf.DUMMYFUNCTION("""COMPUTED_VALUE"""),"O-52316-00")</f>
        <v>O-52316-00</v>
      </c>
      <c r="B1039" s="2" t="str">
        <f>IFERROR(__xludf.DUMMYFUNCTION("""COMPUTED_VALUE"""),"General - Socket Sensor 4 Pin Drat M8; Sick; DOS-0804-G; 1 Pc")</f>
        <v>General - Socket Sensor 4 Pin Drat M8; Sick; DOS-0804-G; 1 Pc</v>
      </c>
      <c r="C1039" s="2" t="str">
        <f>IFERROR(__xludf.DUMMYFUNCTION("""COMPUTED_VALUE"""),"unt")</f>
        <v>unt</v>
      </c>
      <c r="D1039" s="2">
        <f>IFERROR(__xludf.DUMMYFUNCTION("""COMPUTED_VALUE"""),1.0)</f>
        <v>1</v>
      </c>
      <c r="E1039" s="2" t="str">
        <f>IFERROR(__xludf.DUMMYFUNCTION("""COMPUTED_VALUE"""),"G-2")</f>
        <v>G-2</v>
      </c>
    </row>
    <row r="1040">
      <c r="A1040" s="2" t="str">
        <f>IFERROR(__xludf.DUMMYFUNCTION("""COMPUTED_VALUE"""),"O-21434-00")</f>
        <v>O-21434-00</v>
      </c>
      <c r="B1040" s="2" t="str">
        <f>IFERROR(__xludf.DUMMYFUNCTION("""COMPUTED_VALUE"""),"Marchesini MA155 - Metal Finger Sponda Contrasto; Marchesini; 3M0Y000002; 1 Pc")</f>
        <v>Marchesini MA155 - Metal Finger Sponda Contrasto; Marchesini; 3M0Y000002; 1 Pc</v>
      </c>
      <c r="C1040" s="2" t="str">
        <f>IFERROR(__xludf.DUMMYFUNCTION("""COMPUTED_VALUE"""),"pc")</f>
        <v>pc</v>
      </c>
      <c r="D1040" s="2">
        <f>IFERROR(__xludf.DUMMYFUNCTION("""COMPUTED_VALUE"""),2.0)</f>
        <v>2</v>
      </c>
      <c r="E1040" s="2" t="str">
        <f>IFERROR(__xludf.DUMMYFUNCTION("""COMPUTED_VALUE"""),"G-3-3")</f>
        <v>G-3-3</v>
      </c>
    </row>
    <row r="1041">
      <c r="A1041" s="2" t="str">
        <f>IFERROR(__xludf.DUMMYFUNCTION("""COMPUTED_VALUE"""),"P-52193-00")</f>
        <v>P-52193-00</v>
      </c>
      <c r="B1041" s="2" t="str">
        <f>IFERROR(__xludf.DUMMYFUNCTION("""COMPUTED_VALUE"""),"General - Lampu TL UV T5 8 W; No Brand; -; 1 unt")</f>
        <v>General - Lampu TL UV T5 8 W; No Brand; -; 1 unt</v>
      </c>
      <c r="C1041" s="2" t="str">
        <f>IFERROR(__xludf.DUMMYFUNCTION("""COMPUTED_VALUE"""),"pc")</f>
        <v>pc</v>
      </c>
      <c r="D1041" s="2">
        <f>IFERROR(__xludf.DUMMYFUNCTION("""COMPUTED_VALUE"""),8.0)</f>
        <v>8</v>
      </c>
      <c r="E1041" s="2" t="str">
        <f>IFERROR(__xludf.DUMMYFUNCTION("""COMPUTED_VALUE"""),"O3")</f>
        <v>O3</v>
      </c>
    </row>
    <row r="1042">
      <c r="A1042" s="2" t="str">
        <f>IFERROR(__xludf.DUMMYFUNCTION("""COMPUTED_VALUE"""),"O-21155-00")</f>
        <v>O-21155-00</v>
      </c>
      <c r="B1042" s="2" t="str">
        <f>IFERROR(__xludf.DUMMYFUNCTION("""COMPUTED_VALUE"""),"Videojet - Gutter Pump; Videojet; 399-171; 1 Pc")</f>
        <v>Videojet - Gutter Pump; Videojet; 399-171; 1 Pc</v>
      </c>
      <c r="C1042" s="2" t="str">
        <f>IFERROR(__xludf.DUMMYFUNCTION("""COMPUTED_VALUE"""),"pc")</f>
        <v>pc</v>
      </c>
      <c r="D1042" s="2">
        <f>IFERROR(__xludf.DUMMYFUNCTION("""COMPUTED_VALUE"""),1.0)</f>
        <v>1</v>
      </c>
      <c r="E1042" s="2" t="str">
        <f>IFERROR(__xludf.DUMMYFUNCTION("""COMPUTED_VALUE"""),"R-3-15")</f>
        <v>R-3-15</v>
      </c>
    </row>
    <row r="1043">
      <c r="A1043" s="2" t="str">
        <f>IFERROR(__xludf.DUMMYFUNCTION("""COMPUTED_VALUE"""),"P-19028-00")</f>
        <v>P-19028-00</v>
      </c>
      <c r="B1043" s="2" t="str">
        <f>IFERROR(__xludf.DUMMYFUNCTION("""COMPUTED_VALUE"""),"General - Washable G4 Avg arrestance : 94%. Rec. Final resistance: 250 Pa. Size: 24"" x 24"" x 2""; IAF; -; 1 pcs")</f>
        <v>General - Washable G4 Avg arrestance : 94%. Rec. Final resistance: 250 Pa. Size: 24" x 24" x 2"; IAF; -; 1 pcs</v>
      </c>
      <c r="C1043" s="2" t="str">
        <f>IFERROR(__xludf.DUMMYFUNCTION("""COMPUTED_VALUE"""),"pc")</f>
        <v>pc</v>
      </c>
      <c r="D1043" s="2">
        <f>IFERROR(__xludf.DUMMYFUNCTION("""COMPUTED_VALUE"""),10.0)</f>
        <v>10</v>
      </c>
      <c r="E1043" s="2" t="str">
        <f>IFERROR(__xludf.DUMMYFUNCTION("""COMPUTED_VALUE"""),"Ruang Filter")</f>
        <v>Ruang Filter</v>
      </c>
    </row>
    <row r="1044">
      <c r="A1044" s="2" t="str">
        <f>IFERROR(__xludf.DUMMYFUNCTION("""COMPUTED_VALUE"""),"P-50951-00")</f>
        <v>P-50951-00</v>
      </c>
      <c r="B1044" s="2" t="str">
        <f>IFERROR(__xludf.DUMMYFUNCTION("""COMPUTED_VALUE"""),"Fuse kaca 10 A 6x 30")</f>
        <v>Fuse kaca 10 A 6x 30</v>
      </c>
      <c r="C1044" s="2" t="str">
        <f>IFERROR(__xludf.DUMMYFUNCTION("""COMPUTED_VALUE"""),"pc")</f>
        <v>pc</v>
      </c>
      <c r="D1044" s="2">
        <f>IFERROR(__xludf.DUMMYFUNCTION("""COMPUTED_VALUE"""),7.0)</f>
        <v>7</v>
      </c>
      <c r="E1044" s="2" t="str">
        <f>IFERROR(__xludf.DUMMYFUNCTION("""COMPUTED_VALUE"""),"Box Kennedy")</f>
        <v>Box Kennedy</v>
      </c>
    </row>
    <row r="1045">
      <c r="A1045" s="2" t="str">
        <f>IFERROR(__xludf.DUMMYFUNCTION("""COMPUTED_VALUE"""),"O-19798-00")</f>
        <v>O-19798-00</v>
      </c>
      <c r="B1045" s="2" t="str">
        <f>IFERROR(__xludf.DUMMYFUNCTION("""COMPUTED_VALUE"""),"General - Clamp Vacuum, Aluminium, KF16; No Brand; -; 1 pcs")</f>
        <v>General - Clamp Vacuum, Aluminium, KF16; No Brand; -; 1 pcs</v>
      </c>
      <c r="C1045" s="2" t="str">
        <f>IFERROR(__xludf.DUMMYFUNCTION("""COMPUTED_VALUE"""),"pc")</f>
        <v>pc</v>
      </c>
      <c r="D1045" s="2">
        <f>IFERROR(__xludf.DUMMYFUNCTION("""COMPUTED_VALUE"""),10.0)</f>
        <v>10</v>
      </c>
      <c r="E1045" s="2" t="str">
        <f>IFERROR(__xludf.DUMMYFUNCTION("""COMPUTED_VALUE"""),"D-3")</f>
        <v>D-3</v>
      </c>
    </row>
    <row r="1046">
      <c r="A1046" s="2" t="str">
        <f>IFERROR(__xludf.DUMMYFUNCTION("""COMPUTED_VALUE"""),"P-13660-00")</f>
        <v>P-13660-00</v>
      </c>
      <c r="B1046" s="2" t="str">
        <f>IFERROR(__xludf.DUMMYFUNCTION("""COMPUTED_VALUE"""),"General - Socket, Tembaga, 7/8""; No Brand; -; 1 pcs")</f>
        <v>General - Socket, Tembaga, 7/8"; No Brand; -; 1 pcs</v>
      </c>
      <c r="C1046" s="2" t="str">
        <f>IFERROR(__xludf.DUMMYFUNCTION("""COMPUTED_VALUE"""),"pc")</f>
        <v>pc</v>
      </c>
      <c r="D1046" s="2">
        <f>IFERROR(__xludf.DUMMYFUNCTION("""COMPUTED_VALUE"""),5.0)</f>
        <v>5</v>
      </c>
      <c r="E1046" s="2" t="str">
        <f>IFERROR(__xludf.DUMMYFUNCTION("""COMPUTED_VALUE"""),"D-1-3B")</f>
        <v>D-1-3B</v>
      </c>
    </row>
    <row r="1047">
      <c r="A1047" s="2" t="str">
        <f>IFERROR(__xludf.DUMMYFUNCTION("""COMPUTED_VALUE"""),"P-50325-00")</f>
        <v>P-50325-00</v>
      </c>
      <c r="B1047" s="2" t="str">
        <f>IFERROR(__xludf.DUMMYFUNCTION("""COMPUTED_VALUE"""),"General - Limit Switch 15A, 125/250VAC Highly; No Brand; Z-15GQ 22-B; 1 pc")</f>
        <v>General - Limit Switch 15A, 125/250VAC Highly; No Brand; Z-15GQ 22-B; 1 pc</v>
      </c>
      <c r="C1047" s="2" t="str">
        <f>IFERROR(__xludf.DUMMYFUNCTION("""COMPUTED_VALUE"""),"pc")</f>
        <v>pc</v>
      </c>
      <c r="D1047" s="2">
        <f>IFERROR(__xludf.DUMMYFUNCTION("""COMPUTED_VALUE"""),2.0)</f>
        <v>2</v>
      </c>
      <c r="E1047" s="2" t="str">
        <f>IFERROR(__xludf.DUMMYFUNCTION("""COMPUTED_VALUE"""),"M-4")</f>
        <v>M-4</v>
      </c>
    </row>
    <row r="1048">
      <c r="A1048" s="2" t="str">
        <f>IFERROR(__xludf.DUMMYFUNCTION("""COMPUTED_VALUE"""),"O-53591-00")</f>
        <v>O-53591-00</v>
      </c>
      <c r="B1048" s="2" t="str">
        <f>IFERROR(__xludf.DUMMYFUNCTION("""COMPUTED_VALUE"""),"Filling VFM100 - M8-4 Pin Power Cable; Meech; A900IPS-PCS10; 1 Pc")</f>
        <v>Filling VFM100 - M8-4 Pin Power Cable; Meech; A900IPS-PCS10; 1 Pc</v>
      </c>
      <c r="C1048" s="2" t="str">
        <f>IFERROR(__xludf.DUMMYFUNCTION("""COMPUTED_VALUE"""),"pc")</f>
        <v>pc</v>
      </c>
      <c r="D1048" s="2">
        <f>IFERROR(__xludf.DUMMYFUNCTION("""COMPUTED_VALUE"""),1.0)</f>
        <v>1</v>
      </c>
      <c r="E1048" s="2" t="str">
        <f>IFERROR(__xludf.DUMMYFUNCTION("""COMPUTED_VALUE"""),"F-3-12")</f>
        <v>F-3-12</v>
      </c>
    </row>
    <row r="1049">
      <c r="A1049" s="2" t="str">
        <f>IFERROR(__xludf.DUMMYFUNCTION("""COMPUTED_VALUE"""),"P-52477-00")</f>
        <v>P-52477-00</v>
      </c>
      <c r="B1049" s="2" t="str">
        <f>IFERROR(__xludf.DUMMYFUNCTION("""COMPUTED_VALUE"""),"Battery Walkie Talkie Motorola Type IXNN4002B, 4.8V 600 mAh; ; ;")</f>
        <v>Battery Walkie Talkie Motorola Type IXNN4002B, 4.8V 600 mAh; ; ;</v>
      </c>
      <c r="C1049" s="2" t="str">
        <f>IFERROR(__xludf.DUMMYFUNCTION("""COMPUTED_VALUE"""),"pc")</f>
        <v>pc</v>
      </c>
      <c r="D1049" s="2">
        <f>IFERROR(__xludf.DUMMYFUNCTION("""COMPUTED_VALUE"""),4.0)</f>
        <v>4</v>
      </c>
      <c r="E1049" s="2" t="str">
        <f>IFERROR(__xludf.DUMMYFUNCTION("""COMPUTED_VALUE"""),"A-4-13C")</f>
        <v>A-4-13C</v>
      </c>
    </row>
    <row r="1050">
      <c r="A1050" s="2" t="str">
        <f>IFERROR(__xludf.DUMMYFUNCTION("""COMPUTED_VALUE"""),"O-15587-00")</f>
        <v>O-15587-00</v>
      </c>
      <c r="B1050" s="2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50" s="2" t="str">
        <f>IFERROR(__xludf.DUMMYFUNCTION("""COMPUTED_VALUE"""),"unt")</f>
        <v>unt</v>
      </c>
      <c r="D1050" s="2">
        <f>IFERROR(__xludf.DUMMYFUNCTION("""COMPUTED_VALUE"""),3.0)</f>
        <v>3</v>
      </c>
      <c r="E1050" s="2" t="str">
        <f>IFERROR(__xludf.DUMMYFUNCTION("""COMPUTED_VALUE"""),"A-2-9A")</f>
        <v>A-2-9A</v>
      </c>
    </row>
    <row r="1051">
      <c r="A1051" s="2" t="str">
        <f>IFERROR(__xludf.DUMMYFUNCTION("""COMPUTED_VALUE"""),"O-50710-00")</f>
        <v>O-50710-00</v>
      </c>
      <c r="B1051" s="2" t="str">
        <f>IFERROR(__xludf.DUMMYFUNCTION("""COMPUTED_VALUE"""),"MARCHESINI MA 255/155 - Foto. Riflettore RL 105G Diell ( Reflectore Photocell); Marchesini; E32992000001; 1 Pc")</f>
        <v>MARCHESINI MA 255/155 - Foto. Riflettore RL 105G Diell ( Reflectore Photocell); Marchesini; E32992000001; 1 Pc</v>
      </c>
      <c r="C1051" s="2" t="str">
        <f>IFERROR(__xludf.DUMMYFUNCTION("""COMPUTED_VALUE"""),"pc")</f>
        <v>pc</v>
      </c>
      <c r="D1051" s="2">
        <f>IFERROR(__xludf.DUMMYFUNCTION("""COMPUTED_VALUE"""),1.0)</f>
        <v>1</v>
      </c>
      <c r="E1051" s="2" t="str">
        <f>IFERROR(__xludf.DUMMYFUNCTION("""COMPUTED_VALUE"""),"G-2")</f>
        <v>G-2</v>
      </c>
    </row>
    <row r="1052">
      <c r="A1052" s="2" t="str">
        <f>IFERROR(__xludf.DUMMYFUNCTION("""COMPUTED_VALUE"""),"P-14952-00")</f>
        <v>P-14952-00</v>
      </c>
      <c r="B1052" s="2" t="str">
        <f>IFERROR(__xludf.DUMMYFUNCTION("""COMPUTED_VALUE"""),"General - KQ2 Fitting, KQ2T08-00A; SMC Pneumatics; -; 10 pcs per pack")</f>
        <v>General - KQ2 Fitting, KQ2T08-00A; SMC Pneumatics; -; 10 pcs per pack</v>
      </c>
      <c r="C1052" s="2" t="str">
        <f>IFERROR(__xludf.DUMMYFUNCTION("""COMPUTED_VALUE"""),"pc")</f>
        <v>pc</v>
      </c>
      <c r="D1052" s="2">
        <f>IFERROR(__xludf.DUMMYFUNCTION("""COMPUTED_VALUE"""),6.0)</f>
        <v>6</v>
      </c>
      <c r="E1052" s="2" t="str">
        <f>IFERROR(__xludf.DUMMYFUNCTION("""COMPUTED_VALUE"""),"R-2-3")</f>
        <v>R-2-3</v>
      </c>
    </row>
    <row r="1053">
      <c r="A1053" s="2" t="str">
        <f>IFERROR(__xludf.DUMMYFUNCTION("""COMPUTED_VALUE"""),"O-52269-00")</f>
        <v>O-52269-00</v>
      </c>
      <c r="B1053" s="2" t="str">
        <f>IFERROR(__xludf.DUMMYFUNCTION("""COMPUTED_VALUE"""),"General - Selenoid Valve Kuningan 2 Way 24VDC, 1/2 inch; -; -; 1 Pc")</f>
        <v>General - Selenoid Valve Kuningan 2 Way 24VDC, 1/2 inch; -; -; 1 Pc</v>
      </c>
      <c r="C1053" s="2" t="str">
        <f>IFERROR(__xludf.DUMMYFUNCTION("""COMPUTED_VALUE"""),"pc")</f>
        <v>pc</v>
      </c>
      <c r="D1053" s="2">
        <f>IFERROR(__xludf.DUMMYFUNCTION("""COMPUTED_VALUE"""),1.0)</f>
        <v>1</v>
      </c>
      <c r="E1053" s="2" t="str">
        <f>IFERROR(__xludf.DUMMYFUNCTION("""COMPUTED_VALUE"""),"D-2-2B")</f>
        <v>D-2-2B</v>
      </c>
    </row>
    <row r="1054">
      <c r="A1054" s="2" t="str">
        <f>IFERROR(__xludf.DUMMYFUNCTION("""COMPUTED_VALUE"""),"P-15371-00")</f>
        <v>P-15371-00</v>
      </c>
      <c r="B1054" s="2" t="str">
        <f>IFERROR(__xludf.DUMMYFUNCTION("""COMPUTED_VALUE"""),"General - Seal Door Autoclave; Custom Gema Alfindo; -; 1 Pc")</f>
        <v>General - Seal Door Autoclave; Custom Gema Alfindo; -; 1 Pc</v>
      </c>
      <c r="C1054" s="2" t="str">
        <f>IFERROR(__xludf.DUMMYFUNCTION("""COMPUTED_VALUE"""),"pc")</f>
        <v>pc</v>
      </c>
      <c r="D1054" s="2">
        <f>IFERROR(__xludf.DUMMYFUNCTION("""COMPUTED_VALUE"""),4.0)</f>
        <v>4</v>
      </c>
      <c r="E1054" s="2" t="str">
        <f>IFERROR(__xludf.DUMMYFUNCTION("""COMPUTED_VALUE"""),"F-4")</f>
        <v>F-4</v>
      </c>
    </row>
    <row r="1055">
      <c r="A1055" s="2" t="str">
        <f>IFERROR(__xludf.DUMMYFUNCTION("""COMPUTED_VALUE"""),"O-19822-00")</f>
        <v>O-19822-00</v>
      </c>
      <c r="B1055" s="2" t="str">
        <f>IFERROR(__xludf.DUMMYFUNCTION("""COMPUTED_VALUE"""),"MACHINE CLU s/n EK2046 - Flexible Front End 916 - (125.0 - 125.0); IMA Life; ED140031-003; 1 Pc")</f>
        <v>MACHINE CLU s/n EK2046 - Flexible Front End 916 - (125.0 - 125.0); IMA Life; ED140031-003; 1 Pc</v>
      </c>
      <c r="C1055" s="2" t="str">
        <f>IFERROR(__xludf.DUMMYFUNCTION("""COMPUTED_VALUE"""),"pc")</f>
        <v>pc</v>
      </c>
      <c r="D1055" s="2">
        <f>IFERROR(__xludf.DUMMYFUNCTION("""COMPUTED_VALUE"""),1.0)</f>
        <v>1</v>
      </c>
      <c r="E1055" s="2" t="str">
        <f>IFERROR(__xludf.DUMMYFUNCTION("""COMPUTED_VALUE"""),"-")</f>
        <v>-</v>
      </c>
    </row>
    <row r="1056">
      <c r="A1056" s="2" t="str">
        <f>IFERROR(__xludf.DUMMYFUNCTION("""COMPUTED_VALUE"""),"O-50854-00")</f>
        <v>O-50854-00</v>
      </c>
      <c r="B1056" s="2" t="str">
        <f>IFERROR(__xludf.DUMMYFUNCTION("""COMPUTED_VALUE"""),"Overload Relay / LRD10 / 4-6A/Schneider; ; ;")</f>
        <v>Overload Relay / LRD10 / 4-6A/Schneider; ; ;</v>
      </c>
      <c r="C1056" s="2" t="str">
        <f>IFERROR(__xludf.DUMMYFUNCTION("""COMPUTED_VALUE"""),"pc")</f>
        <v>pc</v>
      </c>
      <c r="D1056" s="2">
        <f>IFERROR(__xludf.DUMMYFUNCTION("""COMPUTED_VALUE"""),18.0)</f>
        <v>18</v>
      </c>
      <c r="E1056" s="2" t="str">
        <f>IFERROR(__xludf.DUMMYFUNCTION("""COMPUTED_VALUE"""),"R-3-5")</f>
        <v>R-3-5</v>
      </c>
    </row>
    <row r="1057">
      <c r="A1057" s="2" t="str">
        <f>IFERROR(__xludf.DUMMYFUNCTION("""COMPUTED_VALUE"""),"P-17223-00")</f>
        <v>P-17223-00</v>
      </c>
      <c r="B1057" s="2" t="str">
        <f>IFERROR(__xludf.DUMMYFUNCTION("""COMPUTED_VALUE"""),"General - Socket, PVC, 1 1/2""; Rucika; -; 1 pcs")</f>
        <v>General - Socket, PVC, 1 1/2"; Rucika; -; 1 pcs</v>
      </c>
      <c r="C1057" s="2" t="str">
        <f>IFERROR(__xludf.DUMMYFUNCTION("""COMPUTED_VALUE"""),"pc")</f>
        <v>pc</v>
      </c>
      <c r="D1057" s="2">
        <f>IFERROR(__xludf.DUMMYFUNCTION("""COMPUTED_VALUE"""),4.0)</f>
        <v>4</v>
      </c>
      <c r="E1057" s="2"/>
    </row>
    <row r="1058">
      <c r="A1058" s="2" t="str">
        <f>IFERROR(__xludf.DUMMYFUNCTION("""COMPUTED_VALUE"""),"O-14620-00")</f>
        <v>O-14620-00</v>
      </c>
      <c r="B1058" s="2" t="str">
        <f>IFERROR(__xludf.DUMMYFUNCTION("""COMPUTED_VALUE"""),"General - Microswitch for pneumatic cylinder; Steriline; 7821; 1 Pc")</f>
        <v>General - Microswitch for pneumatic cylinder; Steriline; 7821; 1 Pc</v>
      </c>
      <c r="C1058" s="2" t="str">
        <f>IFERROR(__xludf.DUMMYFUNCTION("""COMPUTED_VALUE"""),"unt")</f>
        <v>unt</v>
      </c>
      <c r="D1058" s="2">
        <f>IFERROR(__xludf.DUMMYFUNCTION("""COMPUTED_VALUE"""),1.0)</f>
        <v>1</v>
      </c>
      <c r="E1058" s="2"/>
    </row>
    <row r="1059">
      <c r="A1059" s="2" t="str">
        <f>IFERROR(__xludf.DUMMYFUNCTION("""COMPUTED_VALUE"""),"Q-10580-00")</f>
        <v>Q-10580-00</v>
      </c>
      <c r="B1059" s="2" t="str">
        <f>IFERROR(__xludf.DUMMYFUNCTION("""COMPUTED_VALUE"""),"Cat Ftalit KF-444 Banana Yellow;Kansai Paint;Type 115-444 Banana Yellow;pack size per 1 kg can")</f>
        <v>Cat Ftalit KF-444 Banana Yellow;Kansai Paint;Type 115-444 Banana Yellow;pack size per 1 kg can</v>
      </c>
      <c r="C1059" s="2" t="str">
        <f>IFERROR(__xludf.DUMMYFUNCTION("""COMPUTED_VALUE"""),"Kg")</f>
        <v>Kg</v>
      </c>
      <c r="D1059" s="2">
        <f>IFERROR(__xludf.DUMMYFUNCTION("""COMPUTED_VALUE"""),4.0)</f>
        <v>4</v>
      </c>
      <c r="E1059" s="2"/>
    </row>
    <row r="1060">
      <c r="A1060" s="2" t="str">
        <f>IFERROR(__xludf.DUMMYFUNCTION("""COMPUTED_VALUE"""),"O-53274-00")</f>
        <v>O-53274-00</v>
      </c>
      <c r="B1060" s="2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060" s="2" t="str">
        <f>IFERROR(__xludf.DUMMYFUNCTION("""COMPUTED_VALUE"""),"pc")</f>
        <v>pc</v>
      </c>
      <c r="D1060" s="2">
        <f>IFERROR(__xludf.DUMMYFUNCTION("""COMPUTED_VALUE"""),1.0)</f>
        <v>1</v>
      </c>
      <c r="E1060" s="2" t="str">
        <f>IFERROR(__xludf.DUMMYFUNCTION("""COMPUTED_VALUE"""),"-")</f>
        <v>-</v>
      </c>
    </row>
    <row r="1061">
      <c r="A1061" s="2" t="str">
        <f>IFERROR(__xludf.DUMMYFUNCTION("""COMPUTED_VALUE"""),"O-18916-00")</f>
        <v>O-18916-00</v>
      </c>
      <c r="B1061" s="2" t="str">
        <f>IFERROR(__xludf.DUMMYFUNCTION("""COMPUTED_VALUE"""),"Freeze Dryer MBE1207 - Valve Body S20 DN25 ANSI150 Flg BODY CI DISC:316SS STEM 316SS; Bray; EB14-00063; 1 Pc")</f>
        <v>Freeze Dryer MBE1207 - Valve Body S20 DN25 ANSI150 Flg BODY CI DISC:316SS STEM 316SS; Bray; EB14-00063; 1 Pc</v>
      </c>
      <c r="C1061" s="2" t="str">
        <f>IFERROR(__xludf.DUMMYFUNCTION("""COMPUTED_VALUE"""),"pc")</f>
        <v>pc</v>
      </c>
      <c r="D1061" s="2">
        <f>IFERROR(__xludf.DUMMYFUNCTION("""COMPUTED_VALUE"""),1.0)</f>
        <v>1</v>
      </c>
      <c r="E1061" s="2" t="str">
        <f>IFERROR(__xludf.DUMMYFUNCTION("""COMPUTED_VALUE"""),"D-3-9")</f>
        <v>D-3-9</v>
      </c>
    </row>
    <row r="1062">
      <c r="A1062" s="2" t="str">
        <f>IFERROR(__xludf.DUMMYFUNCTION("""COMPUTED_VALUE"""),"P-52328-00")</f>
        <v>P-52328-00</v>
      </c>
      <c r="B1062" s="2" t="str">
        <f>IFERROR(__xludf.DUMMYFUNCTION("""COMPUTED_VALUE"""),"General - Fan Panel 9 x 9 x 2cm, 12VDC + Adaptor; No Brand; -; 1 pc")</f>
        <v>General - Fan Panel 9 x 9 x 2cm, 12VDC + Adaptor; No Brand; -; 1 pc</v>
      </c>
      <c r="C1062" s="2" t="str">
        <f>IFERROR(__xludf.DUMMYFUNCTION("""COMPUTED_VALUE"""),"pc")</f>
        <v>pc</v>
      </c>
      <c r="D1062" s="2">
        <f>IFERROR(__xludf.DUMMYFUNCTION("""COMPUTED_VALUE"""),1.0)</f>
        <v>1</v>
      </c>
      <c r="E1062" s="2" t="str">
        <f>IFERROR(__xludf.DUMMYFUNCTION("""COMPUTED_VALUE"""),"A-3-3C")</f>
        <v>A-3-3C</v>
      </c>
    </row>
    <row r="1063">
      <c r="A1063" s="2" t="str">
        <f>IFERROR(__xludf.DUMMYFUNCTION("""COMPUTED_VALUE"""),"P-11348-00")</f>
        <v>P-11348-00</v>
      </c>
      <c r="B1063" s="2" t="str">
        <f>IFERROR(__xludf.DUMMYFUNCTION("""COMPUTED_VALUE"""),"General - Roda Caster Dia. 3inch (75 x 38mm), Swivel Flange, With Breake; Supo; -; 1 pc")</f>
        <v>General - Roda Caster Dia. 3inch (75 x 38mm), Swivel Flange, With Breake; Supo; -; 1 pc</v>
      </c>
      <c r="C1063" s="2" t="str">
        <f>IFERROR(__xludf.DUMMYFUNCTION("""COMPUTED_VALUE"""),"pc")</f>
        <v>pc</v>
      </c>
      <c r="D1063" s="2">
        <f>IFERROR(__xludf.DUMMYFUNCTION("""COMPUTED_VALUE"""),5.0)</f>
        <v>5</v>
      </c>
      <c r="E1063" s="2"/>
    </row>
    <row r="1064">
      <c r="A1064" s="2" t="str">
        <f>IFERROR(__xludf.DUMMYFUNCTION("""COMPUTED_VALUE"""),"P-51891-00")</f>
        <v>P-51891-00</v>
      </c>
      <c r="B1064" s="2" t="str">
        <f>IFERROR(__xludf.DUMMYFUNCTION("""COMPUTED_VALUE"""),"General - Exhaust Fan Panel 240VAC; TW; -; 1 pc")</f>
        <v>General - Exhaust Fan Panel 240VAC; TW; -; 1 pc</v>
      </c>
      <c r="C1064" s="2" t="str">
        <f>IFERROR(__xludf.DUMMYFUNCTION("""COMPUTED_VALUE"""),"pc")</f>
        <v>pc</v>
      </c>
      <c r="D1064" s="2">
        <f>IFERROR(__xludf.DUMMYFUNCTION("""COMPUTED_VALUE"""),3.0)</f>
        <v>3</v>
      </c>
      <c r="E1064" s="2" t="str">
        <f>IFERROR(__xludf.DUMMYFUNCTION("""COMPUTED_VALUE"""),"L3")</f>
        <v>L3</v>
      </c>
    </row>
    <row r="1065">
      <c r="A1065" s="2" t="str">
        <f>IFERROR(__xludf.DUMMYFUNCTION("""COMPUTED_VALUE"""),"P-17273-00")</f>
        <v>P-17273-00</v>
      </c>
      <c r="B1065" s="2" t="str">
        <f>IFERROR(__xludf.DUMMYFUNCTION("""COMPUTED_VALUE"""),"General - O-ring EPDM 9 x 5 x 2 mm; No Brand; -; 1 pc")</f>
        <v>General - O-ring EPDM 9 x 5 x 2 mm; No Brand; -; 1 pc</v>
      </c>
      <c r="C1065" s="2" t="str">
        <f>IFERROR(__xludf.DUMMYFUNCTION("""COMPUTED_VALUE"""),"pc")</f>
        <v>pc</v>
      </c>
      <c r="D1065" s="2">
        <f>IFERROR(__xludf.DUMMYFUNCTION("""COMPUTED_VALUE"""),13.0)</f>
        <v>13</v>
      </c>
      <c r="E1065" s="2" t="str">
        <f>IFERROR(__xludf.DUMMYFUNCTION("""COMPUTED_VALUE"""),"E-3-5")</f>
        <v>E-3-5</v>
      </c>
    </row>
    <row r="1066">
      <c r="A1066" s="2" t="str">
        <f>IFERROR(__xludf.DUMMYFUNCTION("""COMPUTED_VALUE"""),"P-19623-00")</f>
        <v>P-19623-00</v>
      </c>
      <c r="B1066" s="2" t="str">
        <f>IFERROR(__xludf.DUMMYFUNCTION("""COMPUTED_VALUE"""),"General - Air Gun 10 Inch; Tekiro; -; 1 pc")</f>
        <v>General - Air Gun 10 Inch; Tekiro; -; 1 pc</v>
      </c>
      <c r="C1066" s="2" t="str">
        <f>IFERROR(__xludf.DUMMYFUNCTION("""COMPUTED_VALUE"""),"pc")</f>
        <v>pc</v>
      </c>
      <c r="D1066" s="2">
        <f>IFERROR(__xludf.DUMMYFUNCTION("""COMPUTED_VALUE"""),1.0)</f>
        <v>1</v>
      </c>
      <c r="E1066" s="2"/>
    </row>
    <row r="1067">
      <c r="A1067" s="2" t="str">
        <f>IFERROR(__xludf.DUMMYFUNCTION("""COMPUTED_VALUE"""),"O-53336-00")</f>
        <v>O-53336-00</v>
      </c>
      <c r="B1067" s="2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067" s="2" t="str">
        <f>IFERROR(__xludf.DUMMYFUNCTION("""COMPUTED_VALUE"""),"pc")</f>
        <v>pc</v>
      </c>
      <c r="D1067" s="2">
        <f>IFERROR(__xludf.DUMMYFUNCTION("""COMPUTED_VALUE"""),2.0)</f>
        <v>2</v>
      </c>
      <c r="E1067" s="2" t="str">
        <f>IFERROR(__xludf.DUMMYFUNCTION("""COMPUTED_VALUE"""),"R-3-11")</f>
        <v>R-3-11</v>
      </c>
    </row>
    <row r="1068">
      <c r="A1068" s="2" t="str">
        <f>IFERROR(__xludf.DUMMYFUNCTION("""COMPUTED_VALUE"""),"O-20553-00")</f>
        <v>O-20553-00</v>
      </c>
      <c r="B1068" s="2" t="str">
        <f>IFERROR(__xludf.DUMMYFUNCTION("""COMPUTED_VALUE"""),"Marchesini MA155 - Toothed Belt 390 L 050; -; C261390050; 1 Pc")</f>
        <v>Marchesini MA155 - Toothed Belt 390 L 050; -; C261390050; 1 Pc</v>
      </c>
      <c r="C1068" s="2" t="str">
        <f>IFERROR(__xludf.DUMMYFUNCTION("""COMPUTED_VALUE"""),"pc")</f>
        <v>pc</v>
      </c>
      <c r="D1068" s="2">
        <f>IFERROR(__xludf.DUMMYFUNCTION("""COMPUTED_VALUE"""),2.0)</f>
        <v>2</v>
      </c>
      <c r="E1068" s="2" t="str">
        <f>IFERROR(__xludf.DUMMYFUNCTION("""COMPUTED_VALUE"""),"G-2")</f>
        <v>G-2</v>
      </c>
    </row>
    <row r="1069">
      <c r="A1069" s="2" t="str">
        <f>IFERROR(__xludf.DUMMYFUNCTION("""COMPUTED_VALUE"""),"P-10183-00")</f>
        <v>P-10183-00</v>
      </c>
      <c r="B1069" s="2" t="str">
        <f>IFERROR(__xludf.DUMMYFUNCTION("""COMPUTED_VALUE"""),"General - Drain Sewerage Opener GL-10; No Brand; -; 1 pc")</f>
        <v>General - Drain Sewerage Opener GL-10; No Brand; -; 1 pc</v>
      </c>
      <c r="C1069" s="2" t="str">
        <f>IFERROR(__xludf.DUMMYFUNCTION("""COMPUTED_VALUE"""),"L")</f>
        <v>L</v>
      </c>
      <c r="D1069" s="2">
        <f>IFERROR(__xludf.DUMMYFUNCTION("""COMPUTED_VALUE"""),16.0)</f>
        <v>16</v>
      </c>
      <c r="E1069" s="2" t="str">
        <f>IFERROR(__xludf.DUMMYFUNCTION("""COMPUTED_VALUE"""),"-")</f>
        <v>-</v>
      </c>
    </row>
    <row r="1070">
      <c r="A1070" s="2" t="str">
        <f>IFERROR(__xludf.DUMMYFUNCTION("""COMPUTED_VALUE"""),"P-19846-00")</f>
        <v>P-19846-00</v>
      </c>
      <c r="B1070" s="2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1070" s="2" t="str">
        <f>IFERROR(__xludf.DUMMYFUNCTION("""COMPUTED_VALUE"""),"pc")</f>
        <v>pc</v>
      </c>
      <c r="D1070" s="2">
        <f>IFERROR(__xludf.DUMMYFUNCTION("""COMPUTED_VALUE"""),8.0)</f>
        <v>8</v>
      </c>
      <c r="E1070" s="2"/>
    </row>
    <row r="1071">
      <c r="A1071" s="2" t="str">
        <f>IFERROR(__xludf.DUMMYFUNCTION("""COMPUTED_VALUE"""),"P-18865-00")</f>
        <v>P-18865-00</v>
      </c>
      <c r="B1071" s="2" t="str">
        <f>IFERROR(__xludf.DUMMYFUNCTION("""COMPUTED_VALUE"""),"General - Freon 407; Chemours; -; 1 pcs")</f>
        <v>General - Freon 407; Chemours; -; 1 pcs</v>
      </c>
      <c r="C1071" s="2" t="str">
        <f>IFERROR(__xludf.DUMMYFUNCTION("""COMPUTED_VALUE"""),"Can")</f>
        <v>Can</v>
      </c>
      <c r="D1071" s="2">
        <f>IFERROR(__xludf.DUMMYFUNCTION("""COMPUTED_VALUE"""),1.0)</f>
        <v>1</v>
      </c>
      <c r="E1071" s="2" t="str">
        <f>IFERROR(__xludf.DUMMYFUNCTION("""COMPUTED_VALUE"""),"-")</f>
        <v>-</v>
      </c>
    </row>
    <row r="1072">
      <c r="A1072" s="2" t="str">
        <f>IFERROR(__xludf.DUMMYFUNCTION("""COMPUTED_VALUE"""),"P-12749-00")</f>
        <v>P-12749-00</v>
      </c>
      <c r="B1072" s="2" t="str">
        <f>IFERROR(__xludf.DUMMYFUNCTION("""COMPUTED_VALUE"""),"General - Pipa PVC AW dia. 1inch, Warna Abu-Abu; Rucika; -; 1 pcs")</f>
        <v>General - Pipa PVC AW dia. 1inch, Warna Abu-Abu; Rucika; -; 1 pcs</v>
      </c>
      <c r="C1072" s="2" t="str">
        <f>IFERROR(__xludf.DUMMYFUNCTION("""COMPUTED_VALUE"""),"pc")</f>
        <v>pc</v>
      </c>
      <c r="D1072" s="2">
        <f>IFERROR(__xludf.DUMMYFUNCTION("""COMPUTED_VALUE"""),12.0)</f>
        <v>12</v>
      </c>
      <c r="E1072" s="2"/>
    </row>
    <row r="1073">
      <c r="A1073" s="2" t="str">
        <f>IFERROR(__xludf.DUMMYFUNCTION("""COMPUTED_VALUE"""),"O-20555-00")</f>
        <v>O-20555-00</v>
      </c>
      <c r="B1073" s="2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1073" s="2" t="str">
        <f>IFERROR(__xludf.DUMMYFUNCTION("""COMPUTED_VALUE"""),"pc")</f>
        <v>pc</v>
      </c>
      <c r="D1073" s="2">
        <f>IFERROR(__xludf.DUMMYFUNCTION("""COMPUTED_VALUE"""),1.0)</f>
        <v>1</v>
      </c>
      <c r="E1073" s="2" t="str">
        <f>IFERROR(__xludf.DUMMYFUNCTION("""COMPUTED_VALUE"""),"G-2")</f>
        <v>G-2</v>
      </c>
    </row>
    <row r="1074">
      <c r="A1074" s="2" t="str">
        <f>IFERROR(__xludf.DUMMYFUNCTION("""COMPUTED_VALUE"""),"P-53398-00")</f>
        <v>P-53398-00</v>
      </c>
      <c r="B1074" s="2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1074" s="2" t="str">
        <f>IFERROR(__xludf.DUMMYFUNCTION("""COMPUTED_VALUE"""),"unt")</f>
        <v>unt</v>
      </c>
      <c r="D1074" s="2">
        <f>IFERROR(__xludf.DUMMYFUNCTION("""COMPUTED_VALUE"""),1.0)</f>
        <v>1</v>
      </c>
      <c r="E1074" s="2"/>
    </row>
    <row r="1075">
      <c r="A1075" s="2" t="str">
        <f>IFERROR(__xludf.DUMMYFUNCTION("""COMPUTED_VALUE"""),"P-19272-00")</f>
        <v>P-19272-00</v>
      </c>
      <c r="B1075" s="2" t="str">
        <f>IFERROR(__xludf.DUMMYFUNCTION("""COMPUTED_VALUE"""),"General - Free Float Steam Trap 3/4 Inch (DN 20); TLV; J3X10; 1 pc")</f>
        <v>General - Free Float Steam Trap 3/4 Inch (DN 20); TLV; J3X10; 1 pc</v>
      </c>
      <c r="C1075" s="2" t="str">
        <f>IFERROR(__xludf.DUMMYFUNCTION("""COMPUTED_VALUE"""),"pc")</f>
        <v>pc</v>
      </c>
      <c r="D1075" s="2">
        <f>IFERROR(__xludf.DUMMYFUNCTION("""COMPUTED_VALUE"""),3.0)</f>
        <v>3</v>
      </c>
      <c r="E1075" s="2" t="str">
        <f>IFERROR(__xludf.DUMMYFUNCTION("""COMPUTED_VALUE"""),"L-4")</f>
        <v>L-4</v>
      </c>
    </row>
    <row r="1076">
      <c r="A1076" s="2" t="str">
        <f>IFERROR(__xludf.DUMMYFUNCTION("""COMPUTED_VALUE"""),"P-54592-00")</f>
        <v>P-54592-00</v>
      </c>
      <c r="B1076" s="2" t="str">
        <f>IFERROR(__xludf.DUMMYFUNCTION("""COMPUTED_VALUE"""),"General - Fan Motor F61-10; Polytron; -; 1 unit")</f>
        <v>General - Fan Motor F61-10; Polytron; -; 1 unit</v>
      </c>
      <c r="C1076" s="2" t="str">
        <f>IFERROR(__xludf.DUMMYFUNCTION("""COMPUTED_VALUE"""),"unt")</f>
        <v>unt</v>
      </c>
      <c r="D1076" s="2">
        <f>IFERROR(__xludf.DUMMYFUNCTION("""COMPUTED_VALUE"""),5.0)</f>
        <v>5</v>
      </c>
      <c r="E1076" s="2" t="str">
        <f>IFERROR(__xludf.DUMMYFUNCTION("""COMPUTED_VALUE"""),"E-2-12")</f>
        <v>E-2-12</v>
      </c>
    </row>
    <row r="1077">
      <c r="A1077" s="2" t="str">
        <f>IFERROR(__xludf.DUMMYFUNCTION("""COMPUTED_VALUE"""),"O-17998-00")</f>
        <v>O-17998-00</v>
      </c>
      <c r="B1077" s="2" t="str">
        <f>IFERROR(__xludf.DUMMYFUNCTION("""COMPUTED_VALUE"""),"Freeze Dryer MBE1207 - Main Door Gasket; IMA Beijing; EB41-00568; 1 pc")</f>
        <v>Freeze Dryer MBE1207 - Main Door Gasket; IMA Beijing; EB41-00568; 1 pc</v>
      </c>
      <c r="C1077" s="2" t="str">
        <f>IFERROR(__xludf.DUMMYFUNCTION("""COMPUTED_VALUE"""),"m")</f>
        <v>m</v>
      </c>
      <c r="D1077" s="2">
        <f>IFERROR(__xludf.DUMMYFUNCTION("""COMPUTED_VALUE"""),8.0)</f>
        <v>8</v>
      </c>
      <c r="E1077" s="2" t="str">
        <f>IFERROR(__xludf.DUMMYFUNCTION("""COMPUTED_VALUE"""),"D-5")</f>
        <v>D-5</v>
      </c>
    </row>
    <row r="1078">
      <c r="A1078" s="2" t="str">
        <f>IFERROR(__xludf.DUMMYFUNCTION("""COMPUTED_VALUE"""),"P-10874-00")</f>
        <v>P-10874-00</v>
      </c>
      <c r="B1078" s="2" t="str">
        <f>IFERROR(__xludf.DUMMYFUNCTION("""COMPUTED_VALUE"""),"General - Reducer, PVC, 1"" x 1/2""; Rucika; -; 1 pcs")</f>
        <v>General - Reducer, PVC, 1" x 1/2"; Rucika; -; 1 pcs</v>
      </c>
      <c r="C1078" s="2" t="str">
        <f>IFERROR(__xludf.DUMMYFUNCTION("""COMPUTED_VALUE"""),"pc")</f>
        <v>pc</v>
      </c>
      <c r="D1078" s="2">
        <f>IFERROR(__xludf.DUMMYFUNCTION("""COMPUTED_VALUE"""),2.0)</f>
        <v>2</v>
      </c>
      <c r="E1078" s="2" t="str">
        <f>IFERROR(__xludf.DUMMYFUNCTION("""COMPUTED_VALUE"""),"F-2")</f>
        <v>F-2</v>
      </c>
    </row>
    <row r="1079">
      <c r="A1079" s="2" t="str">
        <f>IFERROR(__xludf.DUMMYFUNCTION("""COMPUTED_VALUE"""),"P-20643-00")</f>
        <v>P-20643-00</v>
      </c>
      <c r="B1079" s="2" t="str">
        <f>IFERROR(__xludf.DUMMYFUNCTION("""COMPUTED_VALUE"""),"General - Pressure Gauge Switch 4 inch, 10kg, Drat 1/2inch; No Brand; -; 1 pc")</f>
        <v>General - Pressure Gauge Switch 4 inch, 10kg, Drat 1/2inch; No Brand; -; 1 pc</v>
      </c>
      <c r="C1079" s="2" t="str">
        <f>IFERROR(__xludf.DUMMYFUNCTION("""COMPUTED_VALUE"""),"pc")</f>
        <v>pc</v>
      </c>
      <c r="D1079" s="2">
        <f>IFERROR(__xludf.DUMMYFUNCTION("""COMPUTED_VALUE"""),1.0)</f>
        <v>1</v>
      </c>
      <c r="E1079" s="2" t="str">
        <f>IFERROR(__xludf.DUMMYFUNCTION("""COMPUTED_VALUE"""),"R-3-3")</f>
        <v>R-3-3</v>
      </c>
    </row>
    <row r="1080">
      <c r="A1080" s="2" t="str">
        <f>IFERROR(__xludf.DUMMYFUNCTION("""COMPUTED_VALUE"""),"P-18067-00")</f>
        <v>P-18067-00</v>
      </c>
      <c r="B1080" s="2" t="str">
        <f>IFERROR(__xludf.DUMMYFUNCTION("""COMPUTED_VALUE"""),"General - Lampu TL LED T5 16W 6500K; Hannoch; -; 1 unt")</f>
        <v>General - Lampu TL LED T5 16W 6500K; Hannoch; -; 1 unt</v>
      </c>
      <c r="C1080" s="2" t="str">
        <f>IFERROR(__xludf.DUMMYFUNCTION("""COMPUTED_VALUE"""),"pc")</f>
        <v>pc</v>
      </c>
      <c r="D1080" s="2">
        <f>IFERROR(__xludf.DUMMYFUNCTION("""COMPUTED_VALUE"""),5.0)</f>
        <v>5</v>
      </c>
      <c r="E1080" s="2" t="str">
        <f>IFERROR(__xludf.DUMMYFUNCTION("""COMPUTED_VALUE"""),"-")</f>
        <v>-</v>
      </c>
    </row>
    <row r="1081">
      <c r="A1081" s="2" t="str">
        <f>IFERROR(__xludf.DUMMYFUNCTION("""COMPUTED_VALUE"""),"P-20131-00")</f>
        <v>P-20131-00</v>
      </c>
      <c r="B1081" s="2" t="str">
        <f>IFERROR(__xludf.DUMMYFUNCTION("""COMPUTED_VALUE"""),"General - Kaca Las Bening; No Brand; -; 1 pc")</f>
        <v>General - Kaca Las Bening; No Brand; -; 1 pc</v>
      </c>
      <c r="C1081" s="2" t="str">
        <f>IFERROR(__xludf.DUMMYFUNCTION("""COMPUTED_VALUE"""),"pc")</f>
        <v>pc</v>
      </c>
      <c r="D1081" s="2">
        <f>IFERROR(__xludf.DUMMYFUNCTION("""COMPUTED_VALUE"""),2.0)</f>
        <v>2</v>
      </c>
      <c r="E1081" s="2"/>
    </row>
    <row r="1082">
      <c r="A1082" s="2" t="str">
        <f>IFERROR(__xludf.DUMMYFUNCTION("""COMPUTED_VALUE"""),"P-11968-00")</f>
        <v>P-11968-00</v>
      </c>
      <c r="B1082" s="2" t="str">
        <f>IFERROR(__xludf.DUMMYFUNCTION("""COMPUTED_VALUE"""),"Berusynt FGH Spray H1 - Bechem")</f>
        <v>Berusynt FGH Spray H1 - Bechem</v>
      </c>
      <c r="C1082" s="2" t="str">
        <f>IFERROR(__xludf.DUMMYFUNCTION("""COMPUTED_VALUE"""),"pc")</f>
        <v>pc</v>
      </c>
      <c r="D1082" s="2">
        <f>IFERROR(__xludf.DUMMYFUNCTION("""COMPUTED_VALUE"""),5.0)</f>
        <v>5</v>
      </c>
      <c r="E1082" s="2" t="str">
        <f>IFERROR(__xludf.DUMMYFUNCTION("""COMPUTED_VALUE"""),"Flammable")</f>
        <v>Flammable</v>
      </c>
    </row>
    <row r="1083">
      <c r="A1083" s="2" t="str">
        <f>IFERROR(__xludf.DUMMYFUNCTION("""COMPUTED_VALUE"""),"P-18908-00")</f>
        <v>P-18908-00</v>
      </c>
      <c r="B1083" s="2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083" s="2" t="str">
        <f>IFERROR(__xludf.DUMMYFUNCTION("""COMPUTED_VALUE"""),"pc")</f>
        <v>pc</v>
      </c>
      <c r="D1083" s="2">
        <f>IFERROR(__xludf.DUMMYFUNCTION("""COMPUTED_VALUE"""),2.0)</f>
        <v>2</v>
      </c>
      <c r="E1083" s="2" t="str">
        <f>IFERROR(__xludf.DUMMYFUNCTION("""COMPUTED_VALUE"""),"R-4-9")</f>
        <v>R-4-9</v>
      </c>
    </row>
    <row r="1084">
      <c r="A1084" s="2" t="str">
        <f>IFERROR(__xludf.DUMMYFUNCTION("""COMPUTED_VALUE"""),"P-12492-00")</f>
        <v>P-12492-00</v>
      </c>
      <c r="B1084" s="2" t="str">
        <f>IFERROR(__xludf.DUMMYFUNCTION("""COMPUTED_VALUE"""),"General - Mata Bor Besi, dia. 6.5 mm; NACHI; -; 1 pcs")</f>
        <v>General - Mata Bor Besi, dia. 6.5 mm; NACHI; -; 1 pcs</v>
      </c>
      <c r="C1084" s="2" t="str">
        <f>IFERROR(__xludf.DUMMYFUNCTION("""COMPUTED_VALUE"""),"pc")</f>
        <v>pc</v>
      </c>
      <c r="D1084" s="2">
        <f>IFERROR(__xludf.DUMMYFUNCTION("""COMPUTED_VALUE"""),2.0)</f>
        <v>2</v>
      </c>
      <c r="E1084" s="2" t="str">
        <f>IFERROR(__xludf.DUMMYFUNCTION("""COMPUTED_VALUE"""),"R-4-9")</f>
        <v>R-4-9</v>
      </c>
    </row>
    <row r="1085">
      <c r="A1085" s="2" t="str">
        <f>IFERROR(__xludf.DUMMYFUNCTION("""COMPUTED_VALUE"""),"O-21486-00")</f>
        <v>O-21486-00</v>
      </c>
      <c r="B1085" s="2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1085" s="2" t="str">
        <f>IFERROR(__xludf.DUMMYFUNCTION("""COMPUTED_VALUE"""),"pc")</f>
        <v>pc</v>
      </c>
      <c r="D1085" s="2">
        <f>IFERROR(__xludf.DUMMYFUNCTION("""COMPUTED_VALUE"""),9.0)</f>
        <v>9</v>
      </c>
      <c r="E1085" s="2" t="str">
        <f>IFERROR(__xludf.DUMMYFUNCTION("""COMPUTED_VALUE"""),"-")</f>
        <v>-</v>
      </c>
    </row>
    <row r="1086">
      <c r="A1086" s="2" t="str">
        <f>IFERROR(__xludf.DUMMYFUNCTION("""COMPUTED_VALUE"""),"P-20392-00")</f>
        <v>P-20392-00</v>
      </c>
      <c r="B1086" s="2" t="str">
        <f>IFERROR(__xludf.DUMMYFUNCTION("""COMPUTED_VALUE"""),"General - Sock Drat Luar PVC 3/4 x 1/2 inch; Rucika; -; 1 pc")</f>
        <v>General - Sock Drat Luar PVC 3/4 x 1/2 inch; Rucika; -; 1 pc</v>
      </c>
      <c r="C1086" s="2" t="str">
        <f>IFERROR(__xludf.DUMMYFUNCTION("""COMPUTED_VALUE"""),"pc")</f>
        <v>pc</v>
      </c>
      <c r="D1086" s="2">
        <f>IFERROR(__xludf.DUMMYFUNCTION("""COMPUTED_VALUE"""),2.0)</f>
        <v>2</v>
      </c>
      <c r="E1086" s="2" t="str">
        <f>IFERROR(__xludf.DUMMYFUNCTION("""COMPUTED_VALUE"""),"-")</f>
        <v>-</v>
      </c>
    </row>
    <row r="1087">
      <c r="A1087" s="2" t="str">
        <f>IFERROR(__xludf.DUMMYFUNCTION("""COMPUTED_VALUE"""),"P-11184-00")</f>
        <v>P-11184-00</v>
      </c>
      <c r="B1087" s="2" t="str">
        <f>IFERROR(__xludf.DUMMYFUNCTION("""COMPUTED_VALUE"""),"General - Push-in Connector, QS-8; Festo; 153033; 1 pcs")</f>
        <v>General - Push-in Connector, QS-8; Festo; 153033; 1 pcs</v>
      </c>
      <c r="C1087" s="2" t="str">
        <f>IFERROR(__xludf.DUMMYFUNCTION("""COMPUTED_VALUE"""),"pc")</f>
        <v>pc</v>
      </c>
      <c r="D1087" s="2">
        <f>IFERROR(__xludf.DUMMYFUNCTION("""COMPUTED_VALUE"""),14.0)</f>
        <v>14</v>
      </c>
      <c r="E1087" s="2" t="str">
        <f>IFERROR(__xludf.DUMMYFUNCTION("""COMPUTED_VALUE"""),"M3")</f>
        <v>M3</v>
      </c>
    </row>
    <row r="1088">
      <c r="A1088" s="2" t="str">
        <f>IFERROR(__xludf.DUMMYFUNCTION("""COMPUTED_VALUE"""),"O-18688-00")</f>
        <v>O-18688-00</v>
      </c>
      <c r="B1088" s="2" t="str">
        <f>IFERROR(__xludf.DUMMYFUNCTION("""COMPUTED_VALUE"""),"Autoclave Fedegari FVA2/A1 NB2963AT - DN20/DN22 CLAMP P/N: GM100067; ; ;")</f>
        <v>Autoclave Fedegari FVA2/A1 NB2963AT - DN20/DN22 CLAMP P/N: GM100067; ; ;</v>
      </c>
      <c r="C1088" s="2" t="str">
        <f>IFERROR(__xludf.DUMMYFUNCTION("""COMPUTED_VALUE"""),"pc")</f>
        <v>pc</v>
      </c>
      <c r="D1088" s="2">
        <f>IFERROR(__xludf.DUMMYFUNCTION("""COMPUTED_VALUE"""),3.0)</f>
        <v>3</v>
      </c>
      <c r="E1088" s="2" t="str">
        <f>IFERROR(__xludf.DUMMYFUNCTION("""COMPUTED_VALUE"""),"E1")</f>
        <v>E1</v>
      </c>
    </row>
    <row r="1089">
      <c r="A1089" s="2" t="str">
        <f>IFERROR(__xludf.DUMMYFUNCTION("""COMPUTED_VALUE"""),"P-13369-00")</f>
        <v>P-13369-00</v>
      </c>
      <c r="B1089" s="2" t="str">
        <f>IFERROR(__xludf.DUMMYFUNCTION("""COMPUTED_VALUE"""),"General - Temperature Limit Switch MLTID85; Regin Control; -; 1 Pc")</f>
        <v>General - Temperature Limit Switch MLTID85; Regin Control; -; 1 Pc</v>
      </c>
      <c r="C1089" s="2" t="str">
        <f>IFERROR(__xludf.DUMMYFUNCTION("""COMPUTED_VALUE"""),"unt")</f>
        <v>unt</v>
      </c>
      <c r="D1089" s="2">
        <f>IFERROR(__xludf.DUMMYFUNCTION("""COMPUTED_VALUE"""),1.0)</f>
        <v>1</v>
      </c>
      <c r="E1089" s="2" t="str">
        <f>IFERROR(__xludf.DUMMYFUNCTION("""COMPUTED_VALUE"""),"L3")</f>
        <v>L3</v>
      </c>
    </row>
    <row r="1090">
      <c r="A1090" s="2" t="str">
        <f>IFERROR(__xludf.DUMMYFUNCTION("""COMPUTED_VALUE"""),"P-11175-00")</f>
        <v>P-11175-00</v>
      </c>
      <c r="B1090" s="2" t="str">
        <f>IFERROR(__xludf.DUMMYFUNCTION("""COMPUTED_VALUE"""),"General - Push-in Connector, QS-10-8; Festo; 153039; 1 pcs")</f>
        <v>General - Push-in Connector, QS-10-8; Festo; 153039; 1 pcs</v>
      </c>
      <c r="C1090" s="2" t="str">
        <f>IFERROR(__xludf.DUMMYFUNCTION("""COMPUTED_VALUE"""),"pc")</f>
        <v>pc</v>
      </c>
      <c r="D1090" s="2">
        <f>IFERROR(__xludf.DUMMYFUNCTION("""COMPUTED_VALUE"""),32.0)</f>
        <v>32</v>
      </c>
      <c r="E1090" s="2" t="str">
        <f>IFERROR(__xludf.DUMMYFUNCTION("""COMPUTED_VALUE"""),"R-4-8")</f>
        <v>R-4-8</v>
      </c>
    </row>
    <row r="1091">
      <c r="A1091" s="2" t="str">
        <f>IFERROR(__xludf.DUMMYFUNCTION("""COMPUTED_VALUE"""),"P-50283-00")</f>
        <v>P-50283-00</v>
      </c>
      <c r="B1091" s="2" t="str">
        <f>IFERROR(__xludf.DUMMYFUNCTION("""COMPUTED_VALUE"""),"General - Kabel NYMHY 3 x 1.5mm; SUPREME; -; 1 meter")</f>
        <v>General - Kabel NYMHY 3 x 1.5mm; SUPREME; -; 1 meter</v>
      </c>
      <c r="C1091" s="2" t="str">
        <f>IFERROR(__xludf.DUMMYFUNCTION("""COMPUTED_VALUE"""),"pc")</f>
        <v>pc</v>
      </c>
      <c r="D1091" s="2">
        <f>IFERROR(__xludf.DUMMYFUNCTION("""COMPUTED_VALUE"""),100.0)</f>
        <v>100</v>
      </c>
      <c r="E1091" s="2" t="str">
        <f>IFERROR(__xludf.DUMMYFUNCTION("""COMPUTED_VALUE"""),"-")</f>
        <v>-</v>
      </c>
    </row>
    <row r="1092">
      <c r="A1092" s="2" t="str">
        <f>IFERROR(__xludf.DUMMYFUNCTION("""COMPUTED_VALUE"""),"O-19777-00")</f>
        <v>O-19777-00</v>
      </c>
      <c r="B1092" s="2" t="str">
        <f>IFERROR(__xludf.DUMMYFUNCTION("""COMPUTED_VALUE"""),"Freeze Dryer MBE1207 - Silicone O-ring 243x5.3 for main valve bellows; IMA Beijing; EB41-00314; 1 pc")</f>
        <v>Freeze Dryer MBE1207 - Silicone O-ring 243x5.3 for main valve bellows; IMA Beijing; EB41-00314; 1 pc</v>
      </c>
      <c r="C1092" s="2" t="str">
        <f>IFERROR(__xludf.DUMMYFUNCTION("""COMPUTED_VALUE"""),"pc")</f>
        <v>pc</v>
      </c>
      <c r="D1092" s="2">
        <f>IFERROR(__xludf.DUMMYFUNCTION("""COMPUTED_VALUE"""),5.0)</f>
        <v>5</v>
      </c>
      <c r="E1092" s="2"/>
    </row>
    <row r="1093">
      <c r="A1093" s="2" t="str">
        <f>IFERROR(__xludf.DUMMYFUNCTION("""COMPUTED_VALUE"""),"P-52767-00")</f>
        <v>P-52767-00</v>
      </c>
      <c r="B1093" s="2" t="str">
        <f>IFERROR(__xludf.DUMMYFUNCTION("""COMPUTED_VALUE"""),"General - Selenoid Valve 5/8inch; Danfoss; EVR15 ODF 032F1228; 1 unit")</f>
        <v>General - Selenoid Valve 5/8inch; Danfoss; EVR15 ODF 032F1228; 1 unit</v>
      </c>
      <c r="C1093" s="2" t="str">
        <f>IFERROR(__xludf.DUMMYFUNCTION("""COMPUTED_VALUE"""),"pc")</f>
        <v>pc</v>
      </c>
      <c r="D1093" s="2">
        <f>IFERROR(__xludf.DUMMYFUNCTION("""COMPUTED_VALUE"""),1.0)</f>
        <v>1</v>
      </c>
      <c r="E1093" s="2" t="str">
        <f>IFERROR(__xludf.DUMMYFUNCTION("""COMPUTED_VALUE"""),"D-1-4")</f>
        <v>D-1-4</v>
      </c>
    </row>
    <row r="1094">
      <c r="A1094" s="2" t="str">
        <f>IFERROR(__xludf.DUMMYFUNCTION("""COMPUTED_VALUE"""),"P-52009-00")</f>
        <v>P-52009-00</v>
      </c>
      <c r="B1094" s="2" t="str">
        <f>IFERROR(__xludf.DUMMYFUNCTION("""COMPUTED_VALUE"""),"Limit Switch;; Omron; Part No. D4MC-1000; 1 pc/pack")</f>
        <v>Limit Switch;; Omron; Part No. D4MC-1000; 1 pc/pack</v>
      </c>
      <c r="C1094" s="2" t="str">
        <f>IFERROR(__xludf.DUMMYFUNCTION("""COMPUTED_VALUE"""),"pc")</f>
        <v>pc</v>
      </c>
      <c r="D1094" s="2">
        <f>IFERROR(__xludf.DUMMYFUNCTION("""COMPUTED_VALUE"""),3.0)</f>
        <v>3</v>
      </c>
      <c r="E1094" s="2" t="str">
        <f>IFERROR(__xludf.DUMMYFUNCTION("""COMPUTED_VALUE"""),"L3")</f>
        <v>L3</v>
      </c>
    </row>
    <row r="1095">
      <c r="A1095" s="2" t="str">
        <f>IFERROR(__xludf.DUMMYFUNCTION("""COMPUTED_VALUE"""),"P-53418-00")</f>
        <v>P-53418-00</v>
      </c>
      <c r="B1095" s="2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1095" s="2" t="str">
        <f>IFERROR(__xludf.DUMMYFUNCTION("""COMPUTED_VALUE"""),"ST")</f>
        <v>ST</v>
      </c>
      <c r="D1095" s="2">
        <f>IFERROR(__xludf.DUMMYFUNCTION("""COMPUTED_VALUE"""),1.0)</f>
        <v>1</v>
      </c>
      <c r="E1095" s="2"/>
    </row>
    <row r="1096">
      <c r="A1096" s="2" t="str">
        <f>IFERROR(__xludf.DUMMYFUNCTION("""COMPUTED_VALUE"""),"O-54168-00")</f>
        <v>O-54168-00</v>
      </c>
      <c r="B1096" s="2" t="str">
        <f>IFERROR(__xludf.DUMMYFUNCTION("""COMPUTED_VALUE"""),"General - Connector Cable CID408-5; Autonics; H7950000607; 1 Pc")</f>
        <v>General - Connector Cable CID408-5; Autonics; H7950000607; 1 Pc</v>
      </c>
      <c r="C1096" s="2" t="str">
        <f>IFERROR(__xludf.DUMMYFUNCTION("""COMPUTED_VALUE"""),"pc")</f>
        <v>pc</v>
      </c>
      <c r="D1096" s="2">
        <f>IFERROR(__xludf.DUMMYFUNCTION("""COMPUTED_VALUE"""),2.0)</f>
        <v>2</v>
      </c>
      <c r="E1096" s="2" t="str">
        <f>IFERROR(__xludf.DUMMYFUNCTION("""COMPUTED_VALUE"""),"B-2-2")</f>
        <v>B-2-2</v>
      </c>
    </row>
    <row r="1097">
      <c r="A1097" s="2" t="str">
        <f>IFERROR(__xludf.DUMMYFUNCTION("""COMPUTED_VALUE"""),"O-19588-00")</f>
        <v>O-19588-00</v>
      </c>
      <c r="B1097" s="2" t="str">
        <f>IFERROR(__xludf.DUMMYFUNCTION("""COMPUTED_VALUE"""),"General - Press Gauge 0-250 psi, Dia 2,5 inch, Drat 1/4 inch; -; -; 1 Pc")</f>
        <v>General - Press Gauge 0-250 psi, Dia 2,5 inch, Drat 1/4 inch; -; -; 1 Pc</v>
      </c>
      <c r="C1097" s="2" t="str">
        <f>IFERROR(__xludf.DUMMYFUNCTION("""COMPUTED_VALUE"""),"pc")</f>
        <v>pc</v>
      </c>
      <c r="D1097" s="2">
        <f>IFERROR(__xludf.DUMMYFUNCTION("""COMPUTED_VALUE"""),2.0)</f>
        <v>2</v>
      </c>
      <c r="E1097" s="2" t="str">
        <f>IFERROR(__xludf.DUMMYFUNCTION("""COMPUTED_VALUE"""),"D-4-9 ")</f>
        <v>D-4-9 </v>
      </c>
    </row>
    <row r="1098">
      <c r="A1098" s="2" t="str">
        <f>IFERROR(__xludf.DUMMYFUNCTION("""COMPUTED_VALUE"""),"P-51855-00")</f>
        <v>P-51855-00</v>
      </c>
      <c r="B1098" s="2" t="str">
        <f>IFERROR(__xludf.DUMMYFUNCTION("""COMPUTED_VALUE"""),"Switch Accessory SA-SB1 Autonics; ; ;")</f>
        <v>Switch Accessory SA-SB1 Autonics; ; ;</v>
      </c>
      <c r="C1098" s="2" t="str">
        <f>IFERROR(__xludf.DUMMYFUNCTION("""COMPUTED_VALUE"""),"pc")</f>
        <v>pc</v>
      </c>
      <c r="D1098" s="2">
        <f>IFERROR(__xludf.DUMMYFUNCTION("""COMPUTED_VALUE"""),1.0)</f>
        <v>1</v>
      </c>
      <c r="E1098" s="2" t="str">
        <f>IFERROR(__xludf.DUMMYFUNCTION("""COMPUTED_VALUE"""),"E-2-1C")</f>
        <v>E-2-1C</v>
      </c>
    </row>
    <row r="1099">
      <c r="A1099" s="2" t="str">
        <f>IFERROR(__xludf.DUMMYFUNCTION("""COMPUTED_VALUE"""),"P-20577-00")</f>
        <v>P-20577-00</v>
      </c>
      <c r="B1099" s="2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1099" s="2" t="str">
        <f>IFERROR(__xludf.DUMMYFUNCTION("""COMPUTED_VALUE"""),"pc")</f>
        <v>pc</v>
      </c>
      <c r="D1099" s="2">
        <f>IFERROR(__xludf.DUMMYFUNCTION("""COMPUTED_VALUE"""),1.0)</f>
        <v>1</v>
      </c>
      <c r="E1099" s="2" t="str">
        <f>IFERROR(__xludf.DUMMYFUNCTION("""COMPUTED_VALUE"""),"S-2-2")</f>
        <v>S-2-2</v>
      </c>
    </row>
    <row r="1100">
      <c r="A1100" s="2" t="str">
        <f>IFERROR(__xludf.DUMMYFUNCTION("""COMPUTED_VALUE"""),"O-11367-00")</f>
        <v>O-11367-00</v>
      </c>
      <c r="B1100" s="2" t="str">
        <f>IFERROR(__xludf.DUMMYFUNCTION("""COMPUTED_VALUE"""),"Lubricant ? Oli ISO VG 320 MULTIPRIMA INDOSEJAHTERA, PT P/N : -  pc")</f>
        <v>Lubricant ? Oli ISO VG 320 MULTIPRIMA INDOSEJAHTERA, PT P/N : -  pc</v>
      </c>
      <c r="C1100" s="2" t="str">
        <f>IFERROR(__xludf.DUMMYFUNCTION("""COMPUTED_VALUE"""),"L")</f>
        <v>L</v>
      </c>
      <c r="D1100" s="2">
        <f>IFERROR(__xludf.DUMMYFUNCTION("""COMPUTED_VALUE"""),20.0)</f>
        <v>20</v>
      </c>
      <c r="E1100" s="2" t="str">
        <f>IFERROR(__xludf.DUMMYFUNCTION("""COMPUTED_VALUE"""),"-")</f>
        <v>-</v>
      </c>
    </row>
    <row r="1101">
      <c r="A1101" s="2" t="str">
        <f>IFERROR(__xludf.DUMMYFUNCTION("""COMPUTED_VALUE"""),"O-19394-00")</f>
        <v>O-19394-00</v>
      </c>
      <c r="B1101" s="2" t="str">
        <f>IFERROR(__xludf.DUMMYFUNCTION("""COMPUTED_VALUE"""),"Marchesini MA155 - Testina Spingitore Head at Size; Marchesini; 3M0YI010003; 1 Pc")</f>
        <v>Marchesini MA155 - Testina Spingitore Head at Size; Marchesini; 3M0YI010003; 1 Pc</v>
      </c>
      <c r="C1101" s="2" t="str">
        <f>IFERROR(__xludf.DUMMYFUNCTION("""COMPUTED_VALUE"""),"pc")</f>
        <v>pc</v>
      </c>
      <c r="D1101" s="2">
        <f>IFERROR(__xludf.DUMMYFUNCTION("""COMPUTED_VALUE"""),1.0)</f>
        <v>1</v>
      </c>
      <c r="E1101" s="2" t="str">
        <f>IFERROR(__xludf.DUMMYFUNCTION("""COMPUTED_VALUE"""),"G-2")</f>
        <v>G-2</v>
      </c>
    </row>
    <row r="1102">
      <c r="A1102" s="2" t="str">
        <f>IFERROR(__xludf.DUMMYFUNCTION("""COMPUTED_VALUE"""),"P-54348-00")</f>
        <v>P-54348-00</v>
      </c>
      <c r="B1102" s="2" t="str">
        <f>IFERROR(__xludf.DUMMYFUNCTION("""COMPUTED_VALUE"""),"General - Exhaust Fan 4414M; EBMPast; -; 1 pc")</f>
        <v>General - Exhaust Fan 4414M; EBMPast; -; 1 pc</v>
      </c>
      <c r="C1102" s="2" t="str">
        <f>IFERROR(__xludf.DUMMYFUNCTION("""COMPUTED_VALUE"""),"pc")</f>
        <v>pc</v>
      </c>
      <c r="D1102" s="2">
        <f>IFERROR(__xludf.DUMMYFUNCTION("""COMPUTED_VALUE"""),3.0)</f>
        <v>3</v>
      </c>
      <c r="E1102" s="2" t="str">
        <f>IFERROR(__xludf.DUMMYFUNCTION("""COMPUTED_VALUE"""),"A-3")</f>
        <v>A-3</v>
      </c>
    </row>
    <row r="1103">
      <c r="A1103" s="2" t="str">
        <f>IFERROR(__xludf.DUMMYFUNCTION("""COMPUTED_VALUE"""),"O-20649-00")</f>
        <v>O-20649-00</v>
      </c>
      <c r="B1103" s="2" t="str">
        <f>IFERROR(__xludf.DUMMYFUNCTION("""COMPUTED_VALUE"""),"Integrated Granulation Line - Housing Seal MC DN 100")</f>
        <v>Integrated Granulation Line - Housing Seal MC DN 100</v>
      </c>
      <c r="C1103" s="2" t="str">
        <f>IFERROR(__xludf.DUMMYFUNCTION("""COMPUTED_VALUE"""),"pc")</f>
        <v>pc</v>
      </c>
      <c r="D1103" s="2">
        <f>IFERROR(__xludf.DUMMYFUNCTION("""COMPUTED_VALUE"""),1.0)</f>
        <v>1</v>
      </c>
      <c r="E1103" s="2" t="str">
        <f>IFERROR(__xludf.DUMMYFUNCTION("""COMPUTED_VALUE"""),"-")</f>
        <v>-</v>
      </c>
    </row>
    <row r="1104">
      <c r="A1104" s="2" t="str">
        <f>IFERROR(__xludf.DUMMYFUNCTION("""COMPUTED_VALUE"""),"P-18667-00")</f>
        <v>P-18667-00</v>
      </c>
      <c r="B1104" s="2" t="str">
        <f>IFERROR(__xludf.DUMMYFUNCTION("""COMPUTED_VALUE"""),"Freeze Dryer MBE1207 - Gasket Slot Door Silicone dia 13mm; No Brand; -; 1 pc")</f>
        <v>Freeze Dryer MBE1207 - Gasket Slot Door Silicone dia 13mm; No Brand; -; 1 pc</v>
      </c>
      <c r="C1104" s="2" t="str">
        <f>IFERROR(__xludf.DUMMYFUNCTION("""COMPUTED_VALUE"""),"m")</f>
        <v>m</v>
      </c>
      <c r="D1104" s="2">
        <f>IFERROR(__xludf.DUMMYFUNCTION("""COMPUTED_VALUE"""),12.0)</f>
        <v>12</v>
      </c>
      <c r="E1104" s="2" t="str">
        <f>IFERROR(__xludf.DUMMYFUNCTION("""COMPUTED_VALUE"""),"D5")</f>
        <v>D5</v>
      </c>
    </row>
    <row r="1105">
      <c r="A1105" s="2" t="str">
        <f>IFERROR(__xludf.DUMMYFUNCTION("""COMPUTED_VALUE"""),"P-54352-00")</f>
        <v>P-54352-00</v>
      </c>
      <c r="B1105" s="2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1105" s="2" t="str">
        <f>IFERROR(__xludf.DUMMYFUNCTION("""COMPUTED_VALUE"""),"pc")</f>
        <v>pc</v>
      </c>
      <c r="D1105" s="2">
        <f>IFERROR(__xludf.DUMMYFUNCTION("""COMPUTED_VALUE"""),2.0)</f>
        <v>2</v>
      </c>
      <c r="E1105" s="2" t="str">
        <f>IFERROR(__xludf.DUMMYFUNCTION("""COMPUTED_VALUE"""),"F-3")</f>
        <v>F-3</v>
      </c>
    </row>
    <row r="1106">
      <c r="A1106" s="2" t="str">
        <f>IFERROR(__xludf.DUMMYFUNCTION("""COMPUTED_VALUE"""),"O-21300-00")</f>
        <v>O-21300-00</v>
      </c>
      <c r="B1106" s="2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1106" s="2" t="str">
        <f>IFERROR(__xludf.DUMMYFUNCTION("""COMPUTED_VALUE"""),"pc")</f>
        <v>pc</v>
      </c>
      <c r="D1106" s="2">
        <f>IFERROR(__xludf.DUMMYFUNCTION("""COMPUTED_VALUE"""),3.0)</f>
        <v>3</v>
      </c>
      <c r="E1106" s="2" t="str">
        <f>IFERROR(__xludf.DUMMYFUNCTION("""COMPUTED_VALUE"""),"-")</f>
        <v>-</v>
      </c>
    </row>
    <row r="1107">
      <c r="A1107" s="2" t="str">
        <f>IFERROR(__xludf.DUMMYFUNCTION("""COMPUTED_VALUE"""),"O-18345-00")</f>
        <v>O-18345-00</v>
      </c>
      <c r="B1107" s="2" t="str">
        <f>IFERROR(__xludf.DUMMYFUNCTION("""COMPUTED_VALUE"""),"General - Silicon suction cup 01.11.16; Steriline; 202082; 1 Pc")</f>
        <v>General - Silicon suction cup 01.11.16; Steriline; 202082; 1 Pc</v>
      </c>
      <c r="C1107" s="2" t="str">
        <f>IFERROR(__xludf.DUMMYFUNCTION("""COMPUTED_VALUE"""),"pc")</f>
        <v>pc</v>
      </c>
      <c r="D1107" s="2">
        <f>IFERROR(__xludf.DUMMYFUNCTION("""COMPUTED_VALUE"""),108.0)</f>
        <v>108</v>
      </c>
      <c r="E1107" s="2" t="str">
        <f>IFERROR(__xludf.DUMMYFUNCTION("""COMPUTED_VALUE"""),"A-1-7")</f>
        <v>A-1-7</v>
      </c>
    </row>
    <row r="1108">
      <c r="A1108" s="2" t="str">
        <f>IFERROR(__xludf.DUMMYFUNCTION("""COMPUTED_VALUE"""),"P-50491-00")</f>
        <v>P-50491-00</v>
      </c>
      <c r="B1108" s="2" t="str">
        <f>IFERROR(__xludf.DUMMYFUNCTION("""COMPUTED_VALUE"""),"General - Relay MY2N, 24 VDC; Omron; -; 1 pc")</f>
        <v>General - Relay MY2N, 24 VDC; Omron; -; 1 pc</v>
      </c>
      <c r="C1108" s="2" t="str">
        <f>IFERROR(__xludf.DUMMYFUNCTION("""COMPUTED_VALUE"""),"pc")</f>
        <v>pc</v>
      </c>
      <c r="D1108" s="2">
        <f>IFERROR(__xludf.DUMMYFUNCTION("""COMPUTED_VALUE"""),3.0)</f>
        <v>3</v>
      </c>
      <c r="E1108" s="2" t="str">
        <f>IFERROR(__xludf.DUMMYFUNCTION("""COMPUTED_VALUE"""),"A-4-9A")</f>
        <v>A-4-9A</v>
      </c>
    </row>
    <row r="1109">
      <c r="A1109" s="2" t="str">
        <f>IFERROR(__xludf.DUMMYFUNCTION("""COMPUTED_VALUE"""),"P-14457-00")</f>
        <v>P-14457-00</v>
      </c>
      <c r="B1109" s="2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109" s="2" t="str">
        <f>IFERROR(__xludf.DUMMYFUNCTION("""COMPUTED_VALUE"""),"pc")</f>
        <v>pc</v>
      </c>
      <c r="D1109" s="2">
        <f>IFERROR(__xludf.DUMMYFUNCTION("""COMPUTED_VALUE"""),1.0)</f>
        <v>1</v>
      </c>
      <c r="E1109" s="2" t="str">
        <f>IFERROR(__xludf.DUMMYFUNCTION("""COMPUTED_VALUE"""),"Ruang Filter")</f>
        <v>Ruang Filter</v>
      </c>
    </row>
    <row r="1110">
      <c r="A1110" s="2" t="str">
        <f>IFERROR(__xludf.DUMMYFUNCTION("""COMPUTED_VALUE"""),"P-11819-00")</f>
        <v>P-11819-00</v>
      </c>
      <c r="B1110" s="2" t="str">
        <f>IFERROR(__xludf.DUMMYFUNCTION("""COMPUTED_VALUE"""),"General - Alumunium duct tape 2inch; No Brand; -; 1 rol")</f>
        <v>General - Alumunium duct tape 2inch; No Brand; -; 1 rol</v>
      </c>
      <c r="C1110" s="2" t="str">
        <f>IFERROR(__xludf.DUMMYFUNCTION("""COMPUTED_VALUE"""),"pc")</f>
        <v>pc</v>
      </c>
      <c r="D1110" s="2">
        <f>IFERROR(__xludf.DUMMYFUNCTION("""COMPUTED_VALUE"""),9.0)</f>
        <v>9</v>
      </c>
      <c r="E1110" s="2" t="str">
        <f>IFERROR(__xludf.DUMMYFUNCTION("""COMPUTED_VALUE"""),"S-2-1 dan S-2-2")</f>
        <v>S-2-1 dan S-2-2</v>
      </c>
    </row>
    <row r="1111">
      <c r="A1111" s="2" t="str">
        <f>IFERROR(__xludf.DUMMYFUNCTION("""COMPUTED_VALUE"""),"P-54514-00")</f>
        <v>P-54514-00</v>
      </c>
      <c r="B1111" s="2" t="str">
        <f>IFERROR(__xludf.DUMMYFUNCTION("""COMPUTED_VALUE"""),"General - Skun Y, 2.5mm, Hijau; Ewig; -; 100pcs/pack")</f>
        <v>General - Skun Y, 2.5mm, Hijau; Ewig; -; 100pcs/pack</v>
      </c>
      <c r="C1111" s="2" t="str">
        <f>IFERROR(__xludf.DUMMYFUNCTION("""COMPUTED_VALUE"""),"Pck")</f>
        <v>Pck</v>
      </c>
      <c r="D1111" s="2">
        <f>IFERROR(__xludf.DUMMYFUNCTION("""COMPUTED_VALUE"""),1.0)</f>
        <v>1</v>
      </c>
      <c r="E1111" s="2" t="str">
        <f>IFERROR(__xludf.DUMMYFUNCTION("""COMPUTED_VALUE"""),"S-3-2")</f>
        <v>S-3-2</v>
      </c>
    </row>
    <row r="1112">
      <c r="A1112" s="2" t="str">
        <f>IFERROR(__xludf.DUMMYFUNCTION("""COMPUTED_VALUE"""),"P-53170-00")</f>
        <v>P-53170-00</v>
      </c>
      <c r="B1112" s="2" t="str">
        <f>IFERROR(__xludf.DUMMYFUNCTION("""COMPUTED_VALUE"""),"General - Trafo BalLast EBC 1x28W; Phillips; EB-C 128; 1 pcs")</f>
        <v>General - Trafo BalLast EBC 1x28W; Phillips; EB-C 128; 1 pcs</v>
      </c>
      <c r="C1112" s="2" t="str">
        <f>IFERROR(__xludf.DUMMYFUNCTION("""COMPUTED_VALUE"""),"pc")</f>
        <v>pc</v>
      </c>
      <c r="D1112" s="2">
        <f>IFERROR(__xludf.DUMMYFUNCTION("""COMPUTED_VALUE"""),2.0)</f>
        <v>2</v>
      </c>
      <c r="E1112" s="2" t="str">
        <f>IFERROR(__xludf.DUMMYFUNCTION("""COMPUTED_VALUE"""),"A-4-3A")</f>
        <v>A-4-3A</v>
      </c>
    </row>
    <row r="1113">
      <c r="A1113" s="2" t="str">
        <f>IFERROR(__xludf.DUMMYFUNCTION("""COMPUTED_VALUE"""),"P-12476-00")</f>
        <v>P-12476-00</v>
      </c>
      <c r="B1113" s="2" t="str">
        <f>IFERROR(__xludf.DUMMYFUNCTION("""COMPUTED_VALUE"""),"General - Mata Bor Besi, dia. 10 mm; NACHI; -; 1 pcs")</f>
        <v>General - Mata Bor Besi, dia. 10 mm; NACHI; -; 1 pcs</v>
      </c>
      <c r="C1113" s="2" t="str">
        <f>IFERROR(__xludf.DUMMYFUNCTION("""COMPUTED_VALUE"""),"pc")</f>
        <v>pc</v>
      </c>
      <c r="D1113" s="2">
        <f>IFERROR(__xludf.DUMMYFUNCTION("""COMPUTED_VALUE"""),3.0)</f>
        <v>3</v>
      </c>
      <c r="E1113" s="2" t="str">
        <f>IFERROR(__xludf.DUMMYFUNCTION("""COMPUTED_VALUE"""),"R-4-9")</f>
        <v>R-4-9</v>
      </c>
    </row>
    <row r="1114">
      <c r="A1114" s="2" t="str">
        <f>IFERROR(__xludf.DUMMYFUNCTION("""COMPUTED_VALUE"""),"O-19346-00")</f>
        <v>O-19346-00</v>
      </c>
      <c r="B1114" s="2" t="str">
        <f>IFERROR(__xludf.DUMMYFUNCTION("""COMPUTED_VALUE"""),"General - HEPA filter H14 minipleat, size: 1220X610X93; Hencolin; -; 1 Pc")</f>
        <v>General - HEPA filter H14 minipleat, size: 1220X610X93; Hencolin; -; 1 Pc</v>
      </c>
      <c r="C1114" s="2" t="str">
        <f>IFERROR(__xludf.DUMMYFUNCTION("""COMPUTED_VALUE"""),"pc")</f>
        <v>pc</v>
      </c>
      <c r="D1114" s="2">
        <f>IFERROR(__xludf.DUMMYFUNCTION("""COMPUTED_VALUE"""),7.0)</f>
        <v>7</v>
      </c>
      <c r="E1114" s="2" t="str">
        <f>IFERROR(__xludf.DUMMYFUNCTION("""COMPUTED_VALUE"""),"Ruang Filter")</f>
        <v>Ruang Filter</v>
      </c>
    </row>
    <row r="1115">
      <c r="A1115" s="2" t="str">
        <f>IFERROR(__xludf.DUMMYFUNCTION("""COMPUTED_VALUE"""),"O-19388-00")</f>
        <v>O-19388-00</v>
      </c>
      <c r="B1115" s="2" t="str">
        <f>IFERROR(__xludf.DUMMYFUNCTION("""COMPUTED_VALUE"""),"General - HEPA filter H14 minipleat, size: 610X610X93; Hencolin; -; 1 Pc")</f>
        <v>General - HEPA filter H14 minipleat, size: 610X610X93; Hencolin; -; 1 Pc</v>
      </c>
      <c r="C1115" s="2" t="str">
        <f>IFERROR(__xludf.DUMMYFUNCTION("""COMPUTED_VALUE"""),"pc")</f>
        <v>pc</v>
      </c>
      <c r="D1115" s="2">
        <f>IFERROR(__xludf.DUMMYFUNCTION("""COMPUTED_VALUE"""),11.0)</f>
        <v>11</v>
      </c>
      <c r="E1115" s="2" t="str">
        <f>IFERROR(__xludf.DUMMYFUNCTION("""COMPUTED_VALUE"""),"Ruang Filter")</f>
        <v>Ruang Filter</v>
      </c>
    </row>
    <row r="1116">
      <c r="A1116" s="2" t="str">
        <f>IFERROR(__xludf.DUMMYFUNCTION("""COMPUTED_VALUE"""),"P-19542-00")</f>
        <v>P-19542-00</v>
      </c>
      <c r="B1116" s="2" t="str">
        <f>IFERROR(__xludf.DUMMYFUNCTION("""COMPUTED_VALUE"""),"General - Regulator Gas Helium, 96-15M-He; Morris; -; 1 pc")</f>
        <v>General - Regulator Gas Helium, 96-15M-He; Morris; -; 1 pc</v>
      </c>
      <c r="C1116" s="2" t="str">
        <f>IFERROR(__xludf.DUMMYFUNCTION("""COMPUTED_VALUE"""),"pc")</f>
        <v>pc</v>
      </c>
      <c r="D1116" s="2">
        <f>IFERROR(__xludf.DUMMYFUNCTION("""COMPUTED_VALUE"""),1.0)</f>
        <v>1</v>
      </c>
      <c r="E1116" s="2" t="str">
        <f>IFERROR(__xludf.DUMMYFUNCTION("""COMPUTED_VALUE"""),"F-4")</f>
        <v>F-4</v>
      </c>
    </row>
    <row r="1117">
      <c r="A1117" s="2" t="str">
        <f>IFERROR(__xludf.DUMMYFUNCTION("""COMPUTED_VALUE"""),"P-18368-00")</f>
        <v>P-18368-00</v>
      </c>
      <c r="B1117" s="2" t="str">
        <f>IFERROR(__xludf.DUMMYFUNCTION("""COMPUTED_VALUE"""),"General - Manual Actuator for Valve DN4-DN15; Gemu; 9601 8M A 0 TS; 1 pc")</f>
        <v>General - Manual Actuator for Valve DN4-DN15; Gemu; 9601 8M A 0 TS; 1 pc</v>
      </c>
      <c r="C1117" s="2" t="str">
        <f>IFERROR(__xludf.DUMMYFUNCTION("""COMPUTED_VALUE"""),"pc")</f>
        <v>pc</v>
      </c>
      <c r="D1117" s="2">
        <f>IFERROR(__xludf.DUMMYFUNCTION("""COMPUTED_VALUE"""),2.0)</f>
        <v>2</v>
      </c>
      <c r="E1117" s="2" t="str">
        <f>IFERROR(__xludf.DUMMYFUNCTION("""COMPUTED_VALUE"""),"C-2-7B")</f>
        <v>C-2-7B</v>
      </c>
    </row>
    <row r="1118">
      <c r="A1118" s="2" t="str">
        <f>IFERROR(__xludf.DUMMYFUNCTION("""COMPUTED_VALUE"""),"P-17167-00")</f>
        <v>P-17167-00</v>
      </c>
      <c r="B1118" s="2" t="str">
        <f>IFERROR(__xludf.DUMMYFUNCTION("""COMPUTED_VALUE"""),"General - Hollow SS304 Uk. 30 x 30 x 1.5 x 6000mm; No Brand; -; 1 Pcs")</f>
        <v>General - Hollow SS304 Uk. 30 x 30 x 1.5 x 6000mm; No Brand; -; 1 Pcs</v>
      </c>
      <c r="C1118" s="2" t="str">
        <f>IFERROR(__xludf.DUMMYFUNCTION("""COMPUTED_VALUE"""),"pc")</f>
        <v>pc</v>
      </c>
      <c r="D1118" s="2">
        <f>IFERROR(__xludf.DUMMYFUNCTION("""COMPUTED_VALUE"""),7.0)</f>
        <v>7</v>
      </c>
      <c r="E1118" s="2" t="str">
        <f>IFERROR(__xludf.DUMMYFUNCTION("""COMPUTED_VALUE"""),"-")</f>
        <v>-</v>
      </c>
    </row>
    <row r="1119">
      <c r="A1119" s="2" t="str">
        <f>IFERROR(__xludf.DUMMYFUNCTION("""COMPUTED_VALUE"""),"O-19429-00")</f>
        <v>O-19429-00</v>
      </c>
      <c r="B1119" s="2" t="str">
        <f>IFERROR(__xludf.DUMMYFUNCTION("""COMPUTED_VALUE"""),"General - Baut L, SS, M4 x 10 mm + Mur + Ring; No Brand; -; 1 pcs")</f>
        <v>General - Baut L, SS, M4 x 10 mm + Mur + Ring; No Brand; -; 1 pcs</v>
      </c>
      <c r="C1119" s="2" t="str">
        <f>IFERROR(__xludf.DUMMYFUNCTION("""COMPUTED_VALUE"""),"pc")</f>
        <v>pc</v>
      </c>
      <c r="D1119" s="2">
        <f>IFERROR(__xludf.DUMMYFUNCTION("""COMPUTED_VALUE"""),100.0)</f>
        <v>100</v>
      </c>
      <c r="E1119" s="2" t="str">
        <f>IFERROR(__xludf.DUMMYFUNCTION("""COMPUTED_VALUE"""),"R-2-11")</f>
        <v>R-2-11</v>
      </c>
    </row>
    <row r="1120">
      <c r="A1120" s="2" t="str">
        <f>IFERROR(__xludf.DUMMYFUNCTION("""COMPUTED_VALUE"""),"P-12267-00")</f>
        <v>P-12267-00</v>
      </c>
      <c r="B1120" s="2" t="str">
        <f>IFERROR(__xludf.DUMMYFUNCTION("""COMPUTED_VALUE"""),"General - Push-in Fitting, NPQE-D-R12-Q8-P5; Festo; 8112930; 1 pcs")</f>
        <v>General - Push-in Fitting, NPQE-D-R12-Q8-P5; Festo; 8112930; 1 pcs</v>
      </c>
      <c r="C1120" s="2" t="str">
        <f>IFERROR(__xludf.DUMMYFUNCTION("""COMPUTED_VALUE"""),"pc")</f>
        <v>pc</v>
      </c>
      <c r="D1120" s="2">
        <f>IFERROR(__xludf.DUMMYFUNCTION("""COMPUTED_VALUE"""),10.0)</f>
        <v>10</v>
      </c>
      <c r="E1120" s="2" t="str">
        <f>IFERROR(__xludf.DUMMYFUNCTION("""COMPUTED_VALUE"""),"R-4-8")</f>
        <v>R-4-8</v>
      </c>
    </row>
    <row r="1121">
      <c r="A1121" s="2" t="str">
        <f>IFERROR(__xludf.DUMMYFUNCTION("""COMPUTED_VALUE"""),"O-51675-00")</f>
        <v>O-51675-00</v>
      </c>
      <c r="B1121" s="2" t="str">
        <f>IFERROR(__xludf.DUMMYFUNCTION("""COMPUTED_VALUE"""),"General - Safety Relay PNOZ X2.1 24 VAC/DC 2 n/o; Pilz; 774306; 1 Pc")</f>
        <v>General - Safety Relay PNOZ X2.1 24 VAC/DC 2 n/o; Pilz; 774306; 1 Pc</v>
      </c>
      <c r="C1121" s="2" t="str">
        <f>IFERROR(__xludf.DUMMYFUNCTION("""COMPUTED_VALUE"""),"pc")</f>
        <v>pc</v>
      </c>
      <c r="D1121" s="2">
        <f>IFERROR(__xludf.DUMMYFUNCTION("""COMPUTED_VALUE"""),1.0)</f>
        <v>1</v>
      </c>
      <c r="E1121" s="2"/>
    </row>
    <row r="1122">
      <c r="A1122" s="2" t="str">
        <f>IFERROR(__xludf.DUMMYFUNCTION("""COMPUTED_VALUE"""),"O-21404-00")</f>
        <v>O-21404-00</v>
      </c>
      <c r="B1122" s="2" t="str">
        <f>IFERROR(__xludf.DUMMYFUNCTION("""COMPUTED_VALUE"""),"General - Capstan Roller V Series EAS001201SP 32mm; Domino; SP-0069; 1 Unit")</f>
        <v>General - Capstan Roller V Series EAS001201SP 32mm; Domino; SP-0069; 1 Unit</v>
      </c>
      <c r="C1122" s="2" t="str">
        <f>IFERROR(__xludf.DUMMYFUNCTION("""COMPUTED_VALUE"""),"unt")</f>
        <v>unt</v>
      </c>
      <c r="D1122" s="2">
        <f>IFERROR(__xludf.DUMMYFUNCTION("""COMPUTED_VALUE"""),1.0)</f>
        <v>1</v>
      </c>
      <c r="E1122" s="2" t="str">
        <f>IFERROR(__xludf.DUMMYFUNCTION("""COMPUTED_VALUE"""),"R-2-18")</f>
        <v>R-2-18</v>
      </c>
    </row>
    <row r="1123">
      <c r="A1123" s="2" t="str">
        <f>IFERROR(__xludf.DUMMYFUNCTION("""COMPUTED_VALUE"""),"O-19430-00")</f>
        <v>O-19430-00</v>
      </c>
      <c r="B1123" s="2" t="str">
        <f>IFERROR(__xludf.DUMMYFUNCTION("""COMPUTED_VALUE"""),"General - Baut L, SS, M5 x 20 mm + Mur + Ring; No Brand; -; 1 pcs")</f>
        <v>General - Baut L, SS, M5 x 20 mm + Mur + Ring; No Brand; -; 1 pcs</v>
      </c>
      <c r="C1123" s="2" t="str">
        <f>IFERROR(__xludf.DUMMYFUNCTION("""COMPUTED_VALUE"""),"pc")</f>
        <v>pc</v>
      </c>
      <c r="D1123" s="2">
        <f>IFERROR(__xludf.DUMMYFUNCTION("""COMPUTED_VALUE"""),83.0)</f>
        <v>83</v>
      </c>
      <c r="E1123" s="2" t="str">
        <f>IFERROR(__xludf.DUMMYFUNCTION("""COMPUTED_VALUE"""),"S-2-11")</f>
        <v>S-2-11</v>
      </c>
    </row>
    <row r="1124">
      <c r="A1124" s="2" t="str">
        <f>IFERROR(__xludf.DUMMYFUNCTION("""COMPUTED_VALUE"""),"P-20184-00")</f>
        <v>P-20184-00</v>
      </c>
      <c r="B1124" s="2" t="str">
        <f>IFERROR(__xludf.DUMMYFUNCTION("""COMPUTED_VALUE"""),"General - Hollow SS304 Uk. 40 x 40 x 1.5 x 3000mm; No Brand; -; 1 pc")</f>
        <v>General - Hollow SS304 Uk. 40 x 40 x 1.5 x 3000mm; No Brand; -; 1 pc</v>
      </c>
      <c r="C1124" s="2" t="str">
        <f>IFERROR(__xludf.DUMMYFUNCTION("""COMPUTED_VALUE"""),"pc")</f>
        <v>pc</v>
      </c>
      <c r="D1124" s="2">
        <f>IFERROR(__xludf.DUMMYFUNCTION("""COMPUTED_VALUE"""),3.0)</f>
        <v>3</v>
      </c>
      <c r="E1124" s="2" t="str">
        <f>IFERROR(__xludf.DUMMYFUNCTION("""COMPUTED_VALUE"""),"-")</f>
        <v>-</v>
      </c>
    </row>
    <row r="1125">
      <c r="A1125" s="2" t="str">
        <f>IFERROR(__xludf.DUMMYFUNCTION("""COMPUTED_VALUE"""),"P-19255-00")</f>
        <v>P-19255-00</v>
      </c>
      <c r="B1125" s="2" t="str">
        <f>IFERROR(__xludf.DUMMYFUNCTION("""COMPUTED_VALUE"""),"General - Plastic Tubing, PUN-H-14X2-BL; Festo; 570386; 1 m")</f>
        <v>General - Plastic Tubing, PUN-H-14X2-BL; Festo; 570386; 1 m</v>
      </c>
      <c r="C1125" s="2" t="str">
        <f>IFERROR(__xludf.DUMMYFUNCTION("""COMPUTED_VALUE"""),"m")</f>
        <v>m</v>
      </c>
      <c r="D1125" s="2">
        <f>IFERROR(__xludf.DUMMYFUNCTION("""COMPUTED_VALUE"""),50.0)</f>
        <v>50</v>
      </c>
      <c r="E1125" s="2" t="str">
        <f>IFERROR(__xludf.DUMMYFUNCTION("""COMPUTED_VALUE"""),"-")</f>
        <v>-</v>
      </c>
    </row>
    <row r="1126">
      <c r="A1126" s="2" t="str">
        <f>IFERROR(__xludf.DUMMYFUNCTION("""COMPUTED_VALUE"""),"O-53524-00")</f>
        <v>O-53524-00</v>
      </c>
      <c r="B1126" s="2" t="str">
        <f>IFERROR(__xludf.DUMMYFUNCTION("""COMPUTED_VALUE"""),"cRABS Z064CR - Digital Probe for Humidity and Temperature; -; 64939; 1 Pc")</f>
        <v>cRABS Z064CR - Digital Probe for Humidity and Temperature; -; 64939; 1 Pc</v>
      </c>
      <c r="C1126" s="2" t="str">
        <f>IFERROR(__xludf.DUMMYFUNCTION("""COMPUTED_VALUE"""),"pc")</f>
        <v>pc</v>
      </c>
      <c r="D1126" s="2">
        <f>IFERROR(__xludf.DUMMYFUNCTION("""COMPUTED_VALUE"""),1.0)</f>
        <v>1</v>
      </c>
      <c r="E1126" s="2" t="str">
        <f>IFERROR(__xludf.DUMMYFUNCTION("""COMPUTED_VALUE"""),"H-3-3")</f>
        <v>H-3-3</v>
      </c>
    </row>
    <row r="1127">
      <c r="A1127" s="2" t="str">
        <f>IFERROR(__xludf.DUMMYFUNCTION("""COMPUTED_VALUE"""),"O-20105-00")</f>
        <v>O-20105-00</v>
      </c>
      <c r="B1127" s="2" t="str">
        <f>IFERROR(__xludf.DUMMYFUNCTION("""COMPUTED_VALUE"""),"General - Bearing 51104; SKF; ; 1 Pc")</f>
        <v>General - Bearing 51104; SKF; ; 1 Pc</v>
      </c>
      <c r="C1127" s="2" t="str">
        <f>IFERROR(__xludf.DUMMYFUNCTION("""COMPUTED_VALUE"""),"pc")</f>
        <v>pc</v>
      </c>
      <c r="D1127" s="2">
        <f>IFERROR(__xludf.DUMMYFUNCTION("""COMPUTED_VALUE"""),2.0)</f>
        <v>2</v>
      </c>
      <c r="E1127" s="2" t="str">
        <f>IFERROR(__xludf.DUMMYFUNCTION("""COMPUTED_VALUE"""),"A1")</f>
        <v>A1</v>
      </c>
    </row>
    <row r="1128">
      <c r="A1128" s="2" t="str">
        <f>IFERROR(__xludf.DUMMYFUNCTION("""COMPUTED_VALUE"""),"O-19380-00")</f>
        <v>O-19380-00</v>
      </c>
      <c r="B1128" s="2" t="str">
        <f>IFERROR(__xludf.DUMMYFUNCTION("""COMPUTED_VALUE"""),"General - Minipleat filters panel F781, size: 610x610x292 Class (EN 1822) : H14 - 99,995% MPPS; Hencolin; -; 1 Pc")</f>
        <v>General - Minipleat filters panel F781, size: 610x610x292 Class (EN 1822) : H14 - 99,995% MPPS; Hencolin; -; 1 Pc</v>
      </c>
      <c r="C1128" s="2" t="str">
        <f>IFERROR(__xludf.DUMMYFUNCTION("""COMPUTED_VALUE"""),"pc")</f>
        <v>pc</v>
      </c>
      <c r="D1128" s="2">
        <f>IFERROR(__xludf.DUMMYFUNCTION("""COMPUTED_VALUE"""),1.0)</f>
        <v>1</v>
      </c>
      <c r="E1128" s="2" t="str">
        <f>IFERROR(__xludf.DUMMYFUNCTION("""COMPUTED_VALUE"""),"-")</f>
        <v>-</v>
      </c>
    </row>
    <row r="1129">
      <c r="A1129" s="2" t="str">
        <f>IFERROR(__xludf.DUMMYFUNCTION("""COMPUTED_VALUE"""),"P-17062-00")</f>
        <v>P-17062-00</v>
      </c>
      <c r="B1129" s="2" t="str">
        <f>IFERROR(__xludf.DUMMYFUNCTION("""COMPUTED_VALUE"""),"General - Element Filter for N2; NEXUS; NXE-90-Z; 1 pc")</f>
        <v>General - Element Filter for N2; NEXUS; NXE-90-Z; 1 pc</v>
      </c>
      <c r="C1129" s="2" t="str">
        <f>IFERROR(__xludf.DUMMYFUNCTION("""COMPUTED_VALUE"""),"unt")</f>
        <v>unt</v>
      </c>
      <c r="D1129" s="2">
        <f>IFERROR(__xludf.DUMMYFUNCTION("""COMPUTED_VALUE"""),1.0)</f>
        <v>1</v>
      </c>
      <c r="E1129" s="2" t="str">
        <f>IFERROR(__xludf.DUMMYFUNCTION("""COMPUTED_VALUE"""),"L-4")</f>
        <v>L-4</v>
      </c>
    </row>
    <row r="1130">
      <c r="A1130" s="2" t="str">
        <f>IFERROR(__xludf.DUMMYFUNCTION("""COMPUTED_VALUE"""),"O-19373-00")</f>
        <v>O-19373-00</v>
      </c>
      <c r="B1130" s="2" t="str">
        <f>IFERROR(__xludf.DUMMYFUNCTION("""COMPUTED_VALUE"""),"Washing RAR4 - Guide Vial Turn Table, OD.161mm x tebal 12mm, Material Nylon; ; ;; Custom/Lokal; -; 1 Pc")</f>
        <v>Washing RAR4 - Guide Vial Turn Table, OD.161mm x tebal 12mm, Material Nylon; ; ;; Custom/Lokal; -; 1 Pc</v>
      </c>
      <c r="C1130" s="2" t="str">
        <f>IFERROR(__xludf.DUMMYFUNCTION("""COMPUTED_VALUE"""),"pc")</f>
        <v>pc</v>
      </c>
      <c r="D1130" s="2">
        <f>IFERROR(__xludf.DUMMYFUNCTION("""COMPUTED_VALUE"""),1.0)</f>
        <v>1</v>
      </c>
      <c r="E1130" s="2"/>
    </row>
    <row r="1131">
      <c r="A1131" s="2" t="str">
        <f>IFERROR(__xludf.DUMMYFUNCTION("""COMPUTED_VALUE"""),"O-52398-00")</f>
        <v>O-52398-00</v>
      </c>
      <c r="B1131" s="2" t="str">
        <f>IFERROR(__xludf.DUMMYFUNCTION("""COMPUTED_VALUE"""),"General - Kabel Fiber Optic; Autonics; FD-620-10; 1 pc")</f>
        <v>General - Kabel Fiber Optic; Autonics; FD-620-10; 1 pc</v>
      </c>
      <c r="C1131" s="2" t="str">
        <f>IFERROR(__xludf.DUMMYFUNCTION("""COMPUTED_VALUE"""),"unt")</f>
        <v>unt</v>
      </c>
      <c r="D1131" s="2">
        <f>IFERROR(__xludf.DUMMYFUNCTION("""COMPUTED_VALUE"""),2.0)</f>
        <v>2</v>
      </c>
      <c r="E1131" s="2" t="str">
        <f>IFERROR(__xludf.DUMMYFUNCTION("""COMPUTED_VALUE"""),"G-3")</f>
        <v>G-3</v>
      </c>
    </row>
    <row r="1132">
      <c r="A1132" s="2" t="str">
        <f>IFERROR(__xludf.DUMMYFUNCTION("""COMPUTED_VALUE"""),"P-10894-00")</f>
        <v>P-10894-00</v>
      </c>
      <c r="B1132" s="2" t="str">
        <f>IFERROR(__xludf.DUMMYFUNCTION("""COMPUTED_VALUE"""),"General - Socket Drat Luar, PVC AW, 3""; Rucika; -; 1 pcs")</f>
        <v>General - Socket Drat Luar, PVC AW, 3"; Rucika; -; 1 pcs</v>
      </c>
      <c r="C1132" s="2" t="str">
        <f>IFERROR(__xludf.DUMMYFUNCTION("""COMPUTED_VALUE"""),"pc")</f>
        <v>pc</v>
      </c>
      <c r="D1132" s="2">
        <f>IFERROR(__xludf.DUMMYFUNCTION("""COMPUTED_VALUE"""),4.0)</f>
        <v>4</v>
      </c>
      <c r="E1132" s="2" t="str">
        <f>IFERROR(__xludf.DUMMYFUNCTION("""COMPUTED_VALUE"""),"-")</f>
        <v>-</v>
      </c>
    </row>
    <row r="1133">
      <c r="A1133" s="2" t="str">
        <f>IFERROR(__xludf.DUMMYFUNCTION("""COMPUTED_VALUE"""),"O-20500-00")</f>
        <v>O-20500-00</v>
      </c>
      <c r="B1133" s="2" t="str">
        <f>IFERROR(__xludf.DUMMYFUNCTION("""COMPUTED_VALUE"""),"General - Main Motor Caping; Bonfiglioli; BE80B4; 1 Unit")</f>
        <v>General - Main Motor Caping; Bonfiglioli; BE80B4; 1 Unit</v>
      </c>
      <c r="C1133" s="2" t="str">
        <f>IFERROR(__xludf.DUMMYFUNCTION("""COMPUTED_VALUE"""),"unt")</f>
        <v>unt</v>
      </c>
      <c r="D1133" s="2">
        <f>IFERROR(__xludf.DUMMYFUNCTION("""COMPUTED_VALUE"""),1.0)</f>
        <v>1</v>
      </c>
      <c r="E1133" s="2" t="str">
        <f>IFERROR(__xludf.DUMMYFUNCTION("""COMPUTED_VALUE"""),"-")</f>
        <v>-</v>
      </c>
    </row>
    <row r="1134">
      <c r="A1134" s="2" t="str">
        <f>IFERROR(__xludf.DUMMYFUNCTION("""COMPUTED_VALUE"""),"O-20814-00")</f>
        <v>O-20814-00</v>
      </c>
      <c r="B1134" s="2" t="str">
        <f>IFERROR(__xludf.DUMMYFUNCTION("""COMPUTED_VALUE"""),"General - Spring Tekan Dia 2.5 x 15.5 x 71.3 mm, Mat. Steel; -; -; 1 Pc")</f>
        <v>General - Spring Tekan Dia 2.5 x 15.5 x 71.3 mm, Mat. Steel; -; -; 1 Pc</v>
      </c>
      <c r="C1134" s="2" t="str">
        <f>IFERROR(__xludf.DUMMYFUNCTION("""COMPUTED_VALUE"""),"pc")</f>
        <v>pc</v>
      </c>
      <c r="D1134" s="2">
        <f>IFERROR(__xludf.DUMMYFUNCTION("""COMPUTED_VALUE"""),20.0)</f>
        <v>20</v>
      </c>
      <c r="E1134" s="2" t="str">
        <f>IFERROR(__xludf.DUMMYFUNCTION("""COMPUTED_VALUE"""),"A-2-1C")</f>
        <v>A-2-1C</v>
      </c>
    </row>
    <row r="1135">
      <c r="A1135" s="2" t="str">
        <f>IFERROR(__xludf.DUMMYFUNCTION("""COMPUTED_VALUE"""),"O-20554-00")</f>
        <v>O-20554-00</v>
      </c>
      <c r="B1135" s="2" t="str">
        <f>IFERROR(__xludf.DUMMYFUNCTION("""COMPUTED_VALUE"""),"Marchesini MA155 - Spring Plate 21.4.0.1/0.368; -; M660010070; 1 Pc")</f>
        <v>Marchesini MA155 - Spring Plate 21.4.0.1/0.368; -; M660010070; 1 Pc</v>
      </c>
      <c r="C1135" s="2" t="str">
        <f>IFERROR(__xludf.DUMMYFUNCTION("""COMPUTED_VALUE"""),"pc")</f>
        <v>pc</v>
      </c>
      <c r="D1135" s="2">
        <f>IFERROR(__xludf.DUMMYFUNCTION("""COMPUTED_VALUE"""),10.0)</f>
        <v>10</v>
      </c>
      <c r="E1135" s="2" t="str">
        <f>IFERROR(__xludf.DUMMYFUNCTION("""COMPUTED_VALUE"""),"R-3-1")</f>
        <v>R-3-1</v>
      </c>
    </row>
    <row r="1136">
      <c r="A1136" s="2" t="str">
        <f>IFERROR(__xludf.DUMMYFUNCTION("""COMPUTED_VALUE"""),"P-20530-00")</f>
        <v>P-20530-00</v>
      </c>
      <c r="B1136" s="2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1136" s="2" t="str">
        <f>IFERROR(__xludf.DUMMYFUNCTION("""COMPUTED_VALUE"""),"pc")</f>
        <v>pc</v>
      </c>
      <c r="D1136" s="2">
        <f>IFERROR(__xludf.DUMMYFUNCTION("""COMPUTED_VALUE"""),1.0)</f>
        <v>1</v>
      </c>
      <c r="E1136" s="2" t="str">
        <f>IFERROR(__xludf.DUMMYFUNCTION("""COMPUTED_VALUE"""),"-")</f>
        <v>-</v>
      </c>
    </row>
    <row r="1137">
      <c r="A1137" s="2" t="str">
        <f>IFERROR(__xludf.DUMMYFUNCTION("""COMPUTED_VALUE"""),"P-12420-00")</f>
        <v>P-12420-00</v>
      </c>
      <c r="B1137" s="2" t="str">
        <f>IFERROR(__xludf.DUMMYFUNCTION("""COMPUTED_VALUE"""),"General - Hole Saw for Stainless Steel, dia. 25 mm; UNIKA; -; 1 pcs")</f>
        <v>General - Hole Saw for Stainless Steel, dia. 25 mm; UNIKA; -; 1 pcs</v>
      </c>
      <c r="C1137" s="2" t="str">
        <f>IFERROR(__xludf.DUMMYFUNCTION("""COMPUTED_VALUE"""),"pc")</f>
        <v>pc</v>
      </c>
      <c r="D1137" s="2">
        <f>IFERROR(__xludf.DUMMYFUNCTION("""COMPUTED_VALUE"""),2.0)</f>
        <v>2</v>
      </c>
      <c r="E1137" s="2" t="str">
        <f>IFERROR(__xludf.DUMMYFUNCTION("""COMPUTED_VALUE"""),"R-4-9")</f>
        <v>R-4-9</v>
      </c>
    </row>
    <row r="1138">
      <c r="A1138" s="2"/>
      <c r="B1138" s="2"/>
      <c r="C1138" s="2"/>
      <c r="D1138" s="2"/>
      <c r="E1138" s="2"/>
    </row>
    <row r="1139">
      <c r="A1139" s="2"/>
      <c r="B1139" s="2"/>
      <c r="C1139" s="2"/>
      <c r="D1139" s="2"/>
      <c r="E1139" s="2"/>
    </row>
    <row r="1140">
      <c r="A1140" s="2"/>
      <c r="B1140" s="2"/>
      <c r="C1140" s="2"/>
      <c r="D1140" s="2"/>
      <c r="E1140" s="2"/>
    </row>
    <row r="1141">
      <c r="A1141" s="2"/>
      <c r="B1141" s="2"/>
      <c r="C1141" s="2"/>
      <c r="D1141" s="2"/>
      <c r="E1141" s="2"/>
    </row>
    <row r="1142">
      <c r="A1142" s="2"/>
      <c r="B1142" s="2"/>
      <c r="C1142" s="2"/>
      <c r="D1142" s="2"/>
      <c r="E1142" s="2"/>
    </row>
    <row r="1143">
      <c r="A1143" s="2"/>
      <c r="B1143" s="2"/>
      <c r="C1143" s="2"/>
      <c r="D1143" s="2"/>
      <c r="E1143" s="2"/>
    </row>
    <row r="1144">
      <c r="A1144" s="2"/>
      <c r="B1144" s="2"/>
      <c r="C1144" s="2"/>
      <c r="D1144" s="2"/>
      <c r="E1144" s="2"/>
    </row>
    <row r="1145">
      <c r="A1145" s="2"/>
      <c r="B1145" s="2"/>
      <c r="C1145" s="2"/>
      <c r="D1145" s="2"/>
      <c r="E1145" s="2"/>
    </row>
    <row r="1146">
      <c r="A1146" s="2"/>
      <c r="B1146" s="2"/>
      <c r="C1146" s="2"/>
      <c r="D1146" s="2"/>
      <c r="E1146" s="2"/>
    </row>
    <row r="1147">
      <c r="A1147" s="2"/>
      <c r="B1147" s="2"/>
      <c r="C1147" s="2"/>
      <c r="D1147" s="2"/>
      <c r="E1147" s="2"/>
    </row>
    <row r="1148">
      <c r="A1148" s="2"/>
      <c r="B1148" s="2"/>
      <c r="C1148" s="2"/>
      <c r="D1148" s="2"/>
      <c r="E1148" s="2"/>
    </row>
    <row r="1149">
      <c r="A1149" s="2"/>
      <c r="B1149" s="2"/>
      <c r="C1149" s="2"/>
      <c r="D1149" s="2"/>
      <c r="E1149" s="2"/>
    </row>
    <row r="1150">
      <c r="A1150" s="2"/>
      <c r="B1150" s="2"/>
      <c r="C1150" s="2"/>
      <c r="D1150" s="2"/>
      <c r="E1150" s="2"/>
    </row>
    <row r="1151">
      <c r="A1151" s="2"/>
      <c r="B1151" s="2"/>
      <c r="C1151" s="2"/>
      <c r="D1151" s="2"/>
      <c r="E1151" s="2"/>
    </row>
    <row r="1152">
      <c r="A1152" s="2"/>
      <c r="B1152" s="2"/>
      <c r="C1152" s="2"/>
      <c r="D1152" s="2"/>
      <c r="E1152" s="2"/>
    </row>
    <row r="1153">
      <c r="A1153" s="2"/>
      <c r="B1153" s="2"/>
      <c r="C1153" s="2"/>
      <c r="D1153" s="2"/>
      <c r="E1153" s="2"/>
    </row>
    <row r="1154">
      <c r="A1154" s="2"/>
      <c r="B1154" s="2"/>
      <c r="C1154" s="2"/>
      <c r="D1154" s="2"/>
      <c r="E1154" s="2"/>
    </row>
    <row r="1155">
      <c r="A1155" s="2"/>
      <c r="B1155" s="2"/>
      <c r="C1155" s="2"/>
      <c r="D1155" s="2"/>
      <c r="E1155" s="2"/>
    </row>
    <row r="1156">
      <c r="A1156" s="2"/>
      <c r="B1156" s="2"/>
      <c r="C1156" s="2"/>
      <c r="D1156" s="2"/>
      <c r="E1156" s="2"/>
    </row>
    <row r="1157">
      <c r="A1157" s="2"/>
      <c r="B1157" s="2"/>
      <c r="C1157" s="2"/>
      <c r="D1157" s="2"/>
      <c r="E1157" s="2"/>
    </row>
    <row r="1158">
      <c r="A1158" s="2"/>
      <c r="B1158" s="2"/>
      <c r="C1158" s="2"/>
      <c r="D1158" s="2"/>
      <c r="E1158" s="2"/>
    </row>
    <row r="1159">
      <c r="A1159" s="2"/>
      <c r="B1159" s="2"/>
      <c r="C1159" s="2"/>
      <c r="D1159" s="2"/>
      <c r="E1159" s="2"/>
    </row>
    <row r="1160">
      <c r="A1160" s="2"/>
      <c r="B1160" s="2"/>
      <c r="C1160" s="2"/>
      <c r="D1160" s="2"/>
      <c r="E1160" s="2"/>
    </row>
    <row r="1161">
      <c r="A1161" s="2"/>
      <c r="B1161" s="2"/>
      <c r="C1161" s="2"/>
      <c r="D1161" s="2"/>
      <c r="E1161" s="2"/>
    </row>
    <row r="1162">
      <c r="A1162" s="2"/>
      <c r="B1162" s="2"/>
      <c r="C1162" s="2"/>
      <c r="D1162" s="2"/>
      <c r="E1162" s="2"/>
    </row>
    <row r="1163">
      <c r="A1163" s="2"/>
      <c r="B1163" s="2"/>
      <c r="C1163" s="2"/>
      <c r="D1163" s="2"/>
      <c r="E1163" s="2"/>
    </row>
    <row r="1164">
      <c r="A1164" s="2"/>
      <c r="B1164" s="2"/>
      <c r="C1164" s="2"/>
      <c r="D1164" s="2"/>
      <c r="E1164" s="2"/>
    </row>
    <row r="1165">
      <c r="A1165" s="2"/>
      <c r="B1165" s="2"/>
      <c r="C1165" s="2"/>
      <c r="D1165" s="2"/>
      <c r="E1165" s="2"/>
    </row>
    <row r="1166">
      <c r="A1166" s="2"/>
      <c r="B1166" s="2"/>
      <c r="C1166" s="2"/>
      <c r="D1166" s="2"/>
      <c r="E1166" s="2"/>
    </row>
    <row r="1167">
      <c r="A1167" s="2"/>
      <c r="B1167" s="2"/>
      <c r="C1167" s="2"/>
      <c r="D1167" s="2"/>
      <c r="E1167" s="2"/>
    </row>
    <row r="1168">
      <c r="A1168" s="2"/>
      <c r="B1168" s="2"/>
      <c r="C1168" s="2"/>
      <c r="D1168" s="2"/>
      <c r="E1168" s="2"/>
    </row>
    <row r="1169">
      <c r="A1169" s="2"/>
      <c r="B1169" s="2"/>
      <c r="C1169" s="2"/>
      <c r="D1169" s="2"/>
      <c r="E1169" s="2"/>
    </row>
    <row r="1170">
      <c r="A1170" s="2"/>
      <c r="B1170" s="2"/>
      <c r="C1170" s="2"/>
      <c r="D1170" s="2"/>
      <c r="E1170" s="2"/>
    </row>
    <row r="1171">
      <c r="A1171" s="2"/>
      <c r="B1171" s="2"/>
      <c r="C1171" s="2"/>
      <c r="D1171" s="2"/>
      <c r="E1171" s="2"/>
    </row>
    <row r="1172">
      <c r="A1172" s="2"/>
      <c r="B1172" s="2"/>
      <c r="C1172" s="2"/>
      <c r="D1172" s="2"/>
      <c r="E1172" s="2"/>
    </row>
    <row r="1173">
      <c r="A1173" s="2"/>
      <c r="B1173" s="2"/>
      <c r="C1173" s="2"/>
      <c r="D1173" s="2"/>
      <c r="E1173" s="2"/>
    </row>
    <row r="1174">
      <c r="A1174" s="2"/>
      <c r="B1174" s="2"/>
      <c r="C1174" s="2"/>
      <c r="D1174" s="2"/>
      <c r="E1174" s="2"/>
    </row>
    <row r="1175">
      <c r="A1175" s="2"/>
      <c r="B1175" s="2"/>
      <c r="C1175" s="2"/>
      <c r="D1175" s="2"/>
      <c r="E1175" s="2"/>
    </row>
    <row r="1176">
      <c r="A1176" s="2"/>
      <c r="B1176" s="2"/>
      <c r="C1176" s="2"/>
      <c r="D1176" s="2"/>
      <c r="E1176" s="2"/>
    </row>
    <row r="1177">
      <c r="A1177" s="2"/>
      <c r="B1177" s="2"/>
      <c r="C1177" s="2"/>
      <c r="D1177" s="2"/>
      <c r="E1177" s="2"/>
    </row>
    <row r="1178">
      <c r="A1178" s="2"/>
      <c r="B1178" s="2"/>
      <c r="C1178" s="2"/>
      <c r="D1178" s="2"/>
      <c r="E1178" s="2"/>
    </row>
    <row r="1179">
      <c r="A1179" s="2"/>
      <c r="B1179" s="2"/>
      <c r="C1179" s="2"/>
      <c r="D1179" s="2"/>
      <c r="E1179" s="2"/>
    </row>
    <row r="1180">
      <c r="A1180" s="2"/>
      <c r="B1180" s="2"/>
      <c r="C1180" s="2"/>
      <c r="D1180" s="2"/>
      <c r="E1180" s="2"/>
    </row>
    <row r="1181">
      <c r="A1181" s="2"/>
      <c r="B1181" s="2"/>
      <c r="C1181" s="2"/>
      <c r="D1181" s="2"/>
      <c r="E1181" s="2"/>
    </row>
    <row r="1182">
      <c r="A1182" s="2"/>
      <c r="B1182" s="2"/>
      <c r="C1182" s="2"/>
      <c r="D1182" s="2"/>
      <c r="E1182" s="2"/>
    </row>
    <row r="1183">
      <c r="A1183" s="2"/>
      <c r="B1183" s="2"/>
      <c r="C1183" s="2"/>
      <c r="D1183" s="2"/>
      <c r="E1183" s="2"/>
    </row>
    <row r="1184">
      <c r="A1184" s="2"/>
      <c r="B1184" s="2"/>
      <c r="C1184" s="2"/>
      <c r="D1184" s="2"/>
      <c r="E1184" s="2"/>
    </row>
    <row r="1185">
      <c r="A1185" s="2"/>
      <c r="B1185" s="2"/>
      <c r="C1185" s="2"/>
      <c r="D1185" s="2"/>
      <c r="E1185" s="2"/>
    </row>
    <row r="1186">
      <c r="A1186" s="2"/>
      <c r="B1186" s="2"/>
      <c r="C1186" s="2"/>
      <c r="D1186" s="2"/>
      <c r="E1186" s="2"/>
    </row>
    <row r="1187">
      <c r="A1187" s="2"/>
      <c r="B1187" s="2"/>
      <c r="C1187" s="2"/>
      <c r="D1187" s="2"/>
      <c r="E1187" s="2"/>
    </row>
    <row r="1188">
      <c r="A1188" s="2"/>
      <c r="B1188" s="2"/>
      <c r="C1188" s="2"/>
      <c r="D1188" s="2"/>
      <c r="E1188" s="2"/>
    </row>
    <row r="1189">
      <c r="A1189" s="2"/>
      <c r="B1189" s="2"/>
      <c r="C1189" s="2"/>
      <c r="D1189" s="2"/>
      <c r="E1189" s="2"/>
    </row>
    <row r="1190">
      <c r="A1190" s="2"/>
      <c r="B1190" s="2"/>
      <c r="C1190" s="2"/>
      <c r="D1190" s="2"/>
      <c r="E1190" s="2"/>
    </row>
    <row r="1191">
      <c r="A1191" s="2"/>
      <c r="B1191" s="2"/>
      <c r="C1191" s="2"/>
      <c r="D1191" s="2"/>
      <c r="E1191" s="2"/>
    </row>
    <row r="1192">
      <c r="A1192" s="2"/>
      <c r="B1192" s="2"/>
      <c r="C1192" s="2"/>
      <c r="D1192" s="2"/>
      <c r="E1192" s="2"/>
    </row>
    <row r="1193">
      <c r="A1193" s="2"/>
      <c r="B1193" s="2"/>
      <c r="C1193" s="2"/>
      <c r="D1193" s="2"/>
      <c r="E1193" s="2"/>
    </row>
    <row r="1194">
      <c r="A1194" s="2"/>
      <c r="B1194" s="2"/>
      <c r="C1194" s="2"/>
      <c r="D1194" s="2"/>
      <c r="E1194" s="2"/>
    </row>
    <row r="1195">
      <c r="A1195" s="2"/>
      <c r="B1195" s="2"/>
      <c r="C1195" s="2"/>
      <c r="D1195" s="2"/>
      <c r="E1195" s="2"/>
    </row>
    <row r="1196">
      <c r="A1196" s="2"/>
      <c r="B1196" s="2"/>
      <c r="C1196" s="2"/>
      <c r="D1196" s="2"/>
      <c r="E1196" s="2"/>
    </row>
    <row r="1197">
      <c r="A1197" s="2"/>
      <c r="B1197" s="2"/>
      <c r="C1197" s="2"/>
      <c r="D1197" s="2"/>
      <c r="E1197" s="2"/>
    </row>
    <row r="1198">
      <c r="A1198" s="2"/>
      <c r="B1198" s="2"/>
      <c r="C1198" s="2"/>
      <c r="D1198" s="2"/>
      <c r="E1198" s="2"/>
    </row>
    <row r="1199">
      <c r="A1199" s="2"/>
      <c r="B1199" s="2"/>
      <c r="C1199" s="2"/>
      <c r="D1199" s="2"/>
      <c r="E1199" s="2"/>
    </row>
    <row r="1200">
      <c r="A1200" s="2"/>
      <c r="B1200" s="2"/>
      <c r="C1200" s="2"/>
      <c r="D1200" s="2"/>
      <c r="E1200" s="2"/>
    </row>
    <row r="1201">
      <c r="A1201" s="2"/>
      <c r="B1201" s="2"/>
      <c r="C1201" s="2"/>
      <c r="D1201" s="2"/>
      <c r="E1201" s="2"/>
    </row>
    <row r="1202">
      <c r="A1202" s="2"/>
      <c r="B1202" s="2"/>
      <c r="C1202" s="2"/>
      <c r="D1202" s="2"/>
      <c r="E1202" s="2"/>
    </row>
    <row r="1203">
      <c r="A1203" s="2"/>
      <c r="B1203" s="2"/>
      <c r="C1203" s="2"/>
      <c r="D1203" s="2"/>
      <c r="E1203" s="2"/>
    </row>
    <row r="1204">
      <c r="A1204" s="2"/>
      <c r="B1204" s="2"/>
      <c r="C1204" s="2"/>
      <c r="D1204" s="2"/>
      <c r="E1204" s="2"/>
    </row>
    <row r="1205">
      <c r="A1205" s="2"/>
      <c r="B1205" s="2"/>
      <c r="C1205" s="2"/>
      <c r="D1205" s="2"/>
      <c r="E1205" s="2"/>
    </row>
    <row r="1206">
      <c r="A1206" s="2"/>
      <c r="B1206" s="2"/>
      <c r="C1206" s="2"/>
      <c r="D1206" s="2"/>
      <c r="E1206" s="2"/>
    </row>
    <row r="1207">
      <c r="A1207" s="2"/>
      <c r="B1207" s="2"/>
      <c r="C1207" s="2"/>
      <c r="D1207" s="2"/>
      <c r="E1207" s="2"/>
    </row>
    <row r="1208">
      <c r="A1208" s="2"/>
      <c r="B1208" s="2"/>
      <c r="C1208" s="2"/>
      <c r="D1208" s="2"/>
      <c r="E1208" s="2"/>
    </row>
    <row r="1209">
      <c r="A1209" s="2"/>
      <c r="B1209" s="2"/>
      <c r="C1209" s="2"/>
      <c r="D1209" s="2"/>
      <c r="E1209" s="2"/>
    </row>
    <row r="1210">
      <c r="A1210" s="2"/>
      <c r="B1210" s="2"/>
      <c r="C1210" s="2"/>
      <c r="D1210" s="2"/>
      <c r="E1210" s="2"/>
    </row>
    <row r="1211">
      <c r="A1211" s="2"/>
      <c r="B1211" s="2"/>
      <c r="C1211" s="2"/>
      <c r="D1211" s="2"/>
      <c r="E1211" s="2"/>
    </row>
    <row r="1212">
      <c r="A1212" s="2"/>
      <c r="B1212" s="2"/>
      <c r="C1212" s="2"/>
      <c r="D1212" s="2"/>
      <c r="E1212" s="2"/>
    </row>
    <row r="1213">
      <c r="A1213" s="2"/>
      <c r="B1213" s="2"/>
      <c r="C1213" s="2"/>
      <c r="D1213" s="2"/>
      <c r="E1213" s="2"/>
    </row>
    <row r="1214">
      <c r="A1214" s="2"/>
      <c r="B1214" s="2"/>
      <c r="C1214" s="2"/>
      <c r="D1214" s="2"/>
      <c r="E1214" s="2"/>
    </row>
    <row r="1215">
      <c r="A1215" s="2"/>
      <c r="B1215" s="2"/>
      <c r="C1215" s="2"/>
      <c r="D1215" s="2"/>
      <c r="E1215" s="2"/>
    </row>
    <row r="1216">
      <c r="A1216" s="2"/>
      <c r="B1216" s="2"/>
      <c r="C1216" s="2"/>
      <c r="D1216" s="2"/>
      <c r="E1216" s="2"/>
    </row>
    <row r="1217">
      <c r="A1217" s="2"/>
      <c r="B1217" s="2"/>
      <c r="C1217" s="2"/>
      <c r="D1217" s="2"/>
      <c r="E1217" s="2"/>
    </row>
    <row r="1218">
      <c r="A1218" s="2"/>
      <c r="B1218" s="2"/>
      <c r="C1218" s="2"/>
      <c r="D1218" s="2"/>
      <c r="E1218" s="2"/>
    </row>
    <row r="1219">
      <c r="A1219" s="2"/>
      <c r="B1219" s="2"/>
      <c r="C1219" s="2"/>
      <c r="D1219" s="2"/>
      <c r="E1219" s="2"/>
    </row>
    <row r="1220">
      <c r="A1220" s="2"/>
      <c r="B1220" s="2"/>
      <c r="C1220" s="2"/>
      <c r="D1220" s="2"/>
      <c r="E1220" s="2"/>
    </row>
    <row r="1221">
      <c r="A1221" s="2"/>
      <c r="B1221" s="2"/>
      <c r="C1221" s="2"/>
      <c r="D1221" s="2"/>
      <c r="E1221" s="2"/>
    </row>
    <row r="1222">
      <c r="A1222" s="2"/>
      <c r="B1222" s="2"/>
      <c r="C1222" s="2"/>
      <c r="D1222" s="2"/>
      <c r="E1222" s="2"/>
    </row>
    <row r="1223">
      <c r="A1223" s="2"/>
      <c r="B1223" s="2"/>
      <c r="C1223" s="2"/>
      <c r="D1223" s="2"/>
      <c r="E1223" s="2"/>
    </row>
    <row r="1224">
      <c r="A1224" s="2"/>
      <c r="B1224" s="2"/>
      <c r="C1224" s="2"/>
      <c r="D1224" s="2"/>
      <c r="E1224" s="2"/>
    </row>
    <row r="1225">
      <c r="A1225" s="2"/>
      <c r="B1225" s="2"/>
      <c r="C1225" s="2"/>
      <c r="D1225" s="2"/>
      <c r="E1225" s="2"/>
    </row>
    <row r="1226">
      <c r="A1226" s="2"/>
      <c r="B1226" s="2"/>
      <c r="C1226" s="2"/>
      <c r="D1226" s="2"/>
      <c r="E1226" s="2"/>
    </row>
    <row r="1227">
      <c r="A1227" s="2"/>
      <c r="B1227" s="2"/>
      <c r="C1227" s="2"/>
      <c r="D1227" s="2"/>
      <c r="E1227" s="2"/>
    </row>
    <row r="1228">
      <c r="A1228" s="2"/>
      <c r="B1228" s="2"/>
      <c r="C1228" s="2"/>
      <c r="D1228" s="2"/>
      <c r="E1228" s="2"/>
    </row>
    <row r="1229">
      <c r="A1229" s="2"/>
      <c r="B1229" s="2"/>
      <c r="C1229" s="2"/>
      <c r="D1229" s="2"/>
      <c r="E1229" s="2"/>
    </row>
    <row r="1230">
      <c r="A1230" s="2"/>
      <c r="B1230" s="2"/>
      <c r="C1230" s="2"/>
      <c r="D1230" s="2"/>
      <c r="E1230" s="2"/>
    </row>
    <row r="1231">
      <c r="A1231" s="2"/>
      <c r="B1231" s="2"/>
      <c r="C1231" s="2"/>
      <c r="D1231" s="2"/>
      <c r="E1231" s="2"/>
    </row>
    <row r="1232">
      <c r="A1232" s="2"/>
      <c r="B1232" s="2"/>
      <c r="C1232" s="2"/>
      <c r="D1232" s="2"/>
      <c r="E1232" s="2"/>
    </row>
    <row r="1233">
      <c r="A1233" s="2"/>
      <c r="B1233" s="2"/>
      <c r="C1233" s="2"/>
      <c r="D1233" s="2"/>
      <c r="E1233" s="2"/>
    </row>
    <row r="1234">
      <c r="A1234" s="2"/>
      <c r="B1234" s="2"/>
      <c r="C1234" s="2"/>
      <c r="D1234" s="2"/>
      <c r="E1234" s="2"/>
    </row>
    <row r="1235">
      <c r="A1235" s="2"/>
      <c r="B1235" s="2"/>
      <c r="C1235" s="2"/>
      <c r="D1235" s="2"/>
      <c r="E1235" s="2"/>
    </row>
    <row r="1236">
      <c r="A1236" s="2"/>
      <c r="B1236" s="2"/>
      <c r="C1236" s="2"/>
      <c r="D1236" s="2"/>
      <c r="E1236" s="2"/>
    </row>
    <row r="1237">
      <c r="A1237" s="2"/>
      <c r="B1237" s="2"/>
      <c r="C1237" s="2"/>
      <c r="D1237" s="2"/>
      <c r="E1237" s="2"/>
    </row>
    <row r="1238">
      <c r="A1238" s="2"/>
      <c r="B1238" s="2"/>
      <c r="C1238" s="2"/>
      <c r="D1238" s="2"/>
      <c r="E1238" s="2"/>
    </row>
    <row r="1239">
      <c r="A1239" s="2"/>
      <c r="B1239" s="2"/>
      <c r="C1239" s="2"/>
      <c r="D1239" s="2"/>
      <c r="E1239" s="2"/>
    </row>
    <row r="1240">
      <c r="A1240" s="2"/>
      <c r="B1240" s="2"/>
      <c r="C1240" s="2"/>
      <c r="D1240" s="2"/>
      <c r="E1240" s="2"/>
    </row>
    <row r="1241">
      <c r="A1241" s="2"/>
      <c r="B1241" s="2"/>
      <c r="C1241" s="2"/>
      <c r="D1241" s="2"/>
      <c r="E1241" s="2"/>
    </row>
    <row r="1242">
      <c r="A1242" s="2"/>
      <c r="B1242" s="2"/>
      <c r="C1242" s="2"/>
      <c r="D1242" s="2"/>
      <c r="E1242" s="2"/>
    </row>
    <row r="1243">
      <c r="A1243" s="2"/>
      <c r="B1243" s="2"/>
      <c r="C1243" s="2"/>
      <c r="D1243" s="2"/>
      <c r="E1243" s="2"/>
    </row>
    <row r="1244">
      <c r="A1244" s="2"/>
      <c r="B1244" s="2"/>
      <c r="C1244" s="2"/>
      <c r="D1244" s="2"/>
      <c r="E1244" s="2"/>
    </row>
    <row r="1245">
      <c r="A1245" s="2"/>
      <c r="B1245" s="2"/>
      <c r="C1245" s="2"/>
      <c r="D1245" s="2"/>
      <c r="E1245" s="2"/>
    </row>
    <row r="1246">
      <c r="A1246" s="2"/>
      <c r="B1246" s="2"/>
      <c r="C1246" s="2"/>
      <c r="D1246" s="2"/>
      <c r="E1246" s="2"/>
    </row>
    <row r="1247">
      <c r="A1247" s="2"/>
      <c r="B1247" s="2"/>
      <c r="C1247" s="2"/>
      <c r="D1247" s="2"/>
      <c r="E1247" s="2"/>
    </row>
    <row r="1248">
      <c r="A1248" s="2"/>
      <c r="B1248" s="2"/>
      <c r="C1248" s="2"/>
      <c r="D1248" s="2"/>
      <c r="E1248" s="2"/>
    </row>
    <row r="1249">
      <c r="A1249" s="2"/>
      <c r="B1249" s="2"/>
      <c r="C1249" s="2"/>
      <c r="D1249" s="2"/>
      <c r="E1249" s="2"/>
    </row>
    <row r="1250">
      <c r="A1250" s="2"/>
      <c r="B1250" s="2"/>
      <c r="C1250" s="2"/>
      <c r="D1250" s="2"/>
      <c r="E1250" s="2"/>
    </row>
    <row r="1251">
      <c r="A1251" s="2"/>
      <c r="B1251" s="2"/>
      <c r="C1251" s="2"/>
      <c r="D1251" s="2"/>
      <c r="E1251" s="2"/>
    </row>
    <row r="1252">
      <c r="A1252" s="2"/>
      <c r="B1252" s="2"/>
      <c r="C1252" s="2"/>
      <c r="D1252" s="2"/>
      <c r="E1252" s="2"/>
    </row>
    <row r="1253">
      <c r="A1253" s="2"/>
      <c r="B1253" s="2"/>
      <c r="C1253" s="2"/>
      <c r="D1253" s="2"/>
      <c r="E1253" s="2"/>
    </row>
    <row r="1254">
      <c r="A1254" s="2"/>
      <c r="B1254" s="2"/>
      <c r="C1254" s="2"/>
      <c r="D1254" s="2"/>
      <c r="E1254" s="2"/>
    </row>
    <row r="1255">
      <c r="A1255" s="2"/>
      <c r="B1255" s="2"/>
      <c r="C1255" s="2"/>
      <c r="D1255" s="2"/>
      <c r="E1255" s="2"/>
    </row>
    <row r="1256">
      <c r="A1256" s="2"/>
      <c r="B1256" s="2"/>
      <c r="C1256" s="2"/>
      <c r="D1256" s="2"/>
      <c r="E1256" s="2"/>
    </row>
    <row r="1257">
      <c r="A1257" s="2"/>
      <c r="B1257" s="2"/>
      <c r="C1257" s="2"/>
      <c r="D1257" s="2"/>
      <c r="E1257" s="2"/>
    </row>
    <row r="1258">
      <c r="A1258" s="2"/>
      <c r="B1258" s="2"/>
      <c r="C1258" s="2"/>
      <c r="D1258" s="2"/>
      <c r="E1258" s="2"/>
    </row>
    <row r="1259">
      <c r="A1259" s="2"/>
      <c r="B1259" s="2"/>
      <c r="C1259" s="2"/>
      <c r="D1259" s="2"/>
      <c r="E1259" s="2"/>
    </row>
    <row r="1260">
      <c r="A1260" s="2"/>
      <c r="B1260" s="2"/>
      <c r="C1260" s="2"/>
      <c r="D1260" s="2"/>
      <c r="E1260" s="2"/>
    </row>
    <row r="1261">
      <c r="A1261" s="2"/>
      <c r="B1261" s="2"/>
      <c r="C1261" s="2"/>
      <c r="D1261" s="2"/>
      <c r="E1261" s="2"/>
    </row>
    <row r="1262">
      <c r="A1262" s="2"/>
      <c r="B1262" s="2"/>
      <c r="C1262" s="2"/>
      <c r="D1262" s="2"/>
      <c r="E1262" s="2"/>
    </row>
    <row r="1263">
      <c r="A1263" s="2"/>
      <c r="B1263" s="2"/>
      <c r="C1263" s="2"/>
      <c r="D1263" s="2"/>
      <c r="E1263" s="2"/>
    </row>
    <row r="1264">
      <c r="A1264" s="2"/>
      <c r="B1264" s="2"/>
      <c r="C1264" s="2"/>
      <c r="D1264" s="2"/>
      <c r="E1264" s="2"/>
    </row>
    <row r="1265">
      <c r="A1265" s="2"/>
      <c r="B1265" s="2"/>
      <c r="C1265" s="2"/>
      <c r="D1265" s="2"/>
      <c r="E1265" s="2"/>
    </row>
    <row r="1266">
      <c r="A1266" s="2"/>
      <c r="B1266" s="2"/>
      <c r="C1266" s="2"/>
      <c r="D1266" s="2"/>
      <c r="E1266" s="2"/>
    </row>
    <row r="1267">
      <c r="A1267" s="2"/>
      <c r="B1267" s="2"/>
      <c r="C1267" s="2"/>
      <c r="D1267" s="2"/>
      <c r="E1267" s="2"/>
    </row>
    <row r="1268">
      <c r="A1268" s="2"/>
      <c r="B1268" s="2"/>
      <c r="C1268" s="2"/>
      <c r="D1268" s="2"/>
      <c r="E1268" s="2"/>
    </row>
    <row r="1269">
      <c r="A1269" s="2"/>
      <c r="B1269" s="2"/>
      <c r="C1269" s="2"/>
      <c r="D1269" s="2"/>
      <c r="E1269" s="2"/>
    </row>
    <row r="1270">
      <c r="A1270" s="2"/>
      <c r="B1270" s="2"/>
      <c r="C1270" s="2"/>
      <c r="D1270" s="2"/>
      <c r="E1270" s="2"/>
    </row>
    <row r="1271">
      <c r="A1271" s="2"/>
      <c r="B1271" s="2"/>
      <c r="C1271" s="2"/>
      <c r="D1271" s="2"/>
      <c r="E1271" s="2"/>
    </row>
    <row r="1272">
      <c r="A1272" s="2"/>
      <c r="B1272" s="2"/>
      <c r="C1272" s="2"/>
      <c r="D1272" s="2"/>
      <c r="E1272" s="2"/>
    </row>
    <row r="1273">
      <c r="A1273" s="2"/>
      <c r="B1273" s="2"/>
      <c r="C1273" s="2"/>
      <c r="D1273" s="2"/>
      <c r="E1273" s="2"/>
    </row>
    <row r="1274">
      <c r="A1274" s="2"/>
      <c r="B1274" s="2"/>
      <c r="C1274" s="2"/>
      <c r="D1274" s="2"/>
      <c r="E1274" s="2"/>
    </row>
    <row r="1275">
      <c r="A1275" s="2"/>
      <c r="B1275" s="2"/>
      <c r="C1275" s="2"/>
      <c r="D1275" s="2"/>
      <c r="E1275" s="2"/>
    </row>
    <row r="1276">
      <c r="A1276" s="2"/>
      <c r="B1276" s="2"/>
      <c r="C1276" s="2"/>
      <c r="D1276" s="2"/>
      <c r="E1276" s="2"/>
    </row>
    <row r="1277">
      <c r="A1277" s="2"/>
      <c r="B1277" s="2"/>
      <c r="C1277" s="2"/>
      <c r="D1277" s="2"/>
      <c r="E1277" s="2"/>
    </row>
    <row r="1278">
      <c r="A1278" s="2"/>
      <c r="B1278" s="2"/>
      <c r="C1278" s="2"/>
      <c r="D1278" s="2"/>
      <c r="E1278" s="2"/>
    </row>
    <row r="1279">
      <c r="A1279" s="2"/>
      <c r="B1279" s="2"/>
      <c r="C1279" s="2"/>
      <c r="D1279" s="2"/>
      <c r="E1279" s="2"/>
    </row>
    <row r="1280">
      <c r="A1280" s="2"/>
      <c r="B1280" s="2"/>
      <c r="C1280" s="2"/>
      <c r="D1280" s="2"/>
      <c r="E1280" s="2"/>
    </row>
    <row r="1281">
      <c r="A1281" s="2"/>
      <c r="B1281" s="2"/>
      <c r="C1281" s="2"/>
      <c r="D1281" s="2"/>
      <c r="E1281" s="2"/>
    </row>
    <row r="1282">
      <c r="A1282" s="2"/>
      <c r="B1282" s="2"/>
      <c r="C1282" s="2"/>
      <c r="D1282" s="2"/>
      <c r="E1282" s="2"/>
    </row>
    <row r="1283">
      <c r="A1283" s="2"/>
      <c r="B1283" s="2"/>
      <c r="C1283" s="2"/>
      <c r="D1283" s="2"/>
      <c r="E1283" s="2"/>
    </row>
    <row r="1284">
      <c r="A1284" s="2"/>
      <c r="B1284" s="2"/>
      <c r="C1284" s="2"/>
      <c r="D1284" s="2"/>
      <c r="E1284" s="2"/>
    </row>
    <row r="1285">
      <c r="A1285" s="2"/>
      <c r="B1285" s="2"/>
      <c r="C1285" s="2"/>
      <c r="D1285" s="2"/>
      <c r="E1285" s="2"/>
    </row>
    <row r="1286">
      <c r="A1286" s="2"/>
      <c r="B1286" s="2"/>
      <c r="C1286" s="2"/>
      <c r="D1286" s="2"/>
      <c r="E1286" s="2"/>
    </row>
    <row r="1287">
      <c r="A1287" s="2"/>
      <c r="B1287" s="2"/>
      <c r="C1287" s="2"/>
      <c r="D1287" s="2"/>
      <c r="E1287" s="2"/>
    </row>
    <row r="1288">
      <c r="A1288" s="2"/>
      <c r="B1288" s="2"/>
      <c r="C1288" s="2"/>
      <c r="D1288" s="2"/>
      <c r="E1288" s="2"/>
    </row>
    <row r="1289">
      <c r="A1289" s="2"/>
      <c r="B1289" s="2"/>
      <c r="C1289" s="2"/>
      <c r="D1289" s="2"/>
      <c r="E1289" s="2"/>
    </row>
    <row r="1290">
      <c r="A1290" s="2"/>
      <c r="B1290" s="2"/>
      <c r="C1290" s="2"/>
      <c r="D1290" s="2"/>
      <c r="E1290" s="2"/>
    </row>
    <row r="1291">
      <c r="A1291" s="2"/>
      <c r="B1291" s="2"/>
      <c r="C1291" s="2"/>
      <c r="D1291" s="2"/>
      <c r="E1291" s="2"/>
    </row>
    <row r="1292">
      <c r="A1292" s="2"/>
      <c r="B1292" s="2"/>
      <c r="C1292" s="2"/>
      <c r="D1292" s="2"/>
      <c r="E1292" s="2"/>
    </row>
    <row r="1293">
      <c r="A1293" s="2"/>
      <c r="B1293" s="2"/>
      <c r="C1293" s="2"/>
      <c r="D1293" s="2"/>
      <c r="E1293" s="2"/>
    </row>
    <row r="1294">
      <c r="A1294" s="2"/>
      <c r="B1294" s="2"/>
      <c r="C1294" s="2"/>
      <c r="D1294" s="2"/>
      <c r="E1294" s="2"/>
    </row>
    <row r="1295">
      <c r="A1295" s="2"/>
      <c r="B1295" s="2"/>
      <c r="C1295" s="2"/>
      <c r="D1295" s="2"/>
      <c r="E1295" s="2"/>
    </row>
    <row r="1296">
      <c r="A1296" s="2"/>
      <c r="B1296" s="2"/>
      <c r="C1296" s="2"/>
      <c r="D1296" s="2"/>
      <c r="E1296" s="2"/>
    </row>
    <row r="1297">
      <c r="A1297" s="2"/>
      <c r="B1297" s="2"/>
      <c r="C1297" s="2"/>
      <c r="D1297" s="2"/>
      <c r="E1297" s="2"/>
    </row>
    <row r="1298">
      <c r="A1298" s="2"/>
      <c r="B1298" s="2"/>
      <c r="C1298" s="2"/>
      <c r="D1298" s="2"/>
      <c r="E1298" s="2"/>
    </row>
    <row r="1299">
      <c r="A1299" s="2"/>
      <c r="B1299" s="2"/>
      <c r="C1299" s="2"/>
      <c r="D1299" s="2"/>
      <c r="E1299" s="2"/>
    </row>
    <row r="1300">
      <c r="A1300" s="2"/>
      <c r="B1300" s="2"/>
      <c r="C1300" s="2"/>
      <c r="D1300" s="2"/>
      <c r="E1300" s="2"/>
    </row>
    <row r="1301">
      <c r="A1301" s="2"/>
      <c r="B1301" s="2"/>
      <c r="C1301" s="2"/>
      <c r="D1301" s="2"/>
      <c r="E1301" s="2"/>
    </row>
    <row r="1302">
      <c r="A1302" s="2"/>
      <c r="B1302" s="2"/>
      <c r="C1302" s="2"/>
      <c r="D1302" s="2"/>
      <c r="E1302" s="2"/>
    </row>
    <row r="1303">
      <c r="A1303" s="2"/>
      <c r="B1303" s="2"/>
      <c r="C1303" s="2"/>
      <c r="D1303" s="2"/>
      <c r="E1303" s="2"/>
    </row>
    <row r="1304">
      <c r="A1304" s="2"/>
      <c r="B1304" s="2"/>
      <c r="C1304" s="2"/>
      <c r="D1304" s="2"/>
      <c r="E1304" s="2"/>
    </row>
    <row r="1305">
      <c r="A1305" s="2"/>
      <c r="B1305" s="2"/>
      <c r="C1305" s="2"/>
      <c r="D1305" s="2"/>
      <c r="E1305" s="2"/>
    </row>
    <row r="1306">
      <c r="A1306" s="2"/>
      <c r="B1306" s="2"/>
      <c r="C1306" s="2"/>
      <c r="D1306" s="2"/>
      <c r="E1306" s="2"/>
    </row>
    <row r="1307">
      <c r="A1307" s="2"/>
      <c r="B1307" s="2"/>
      <c r="C1307" s="2"/>
      <c r="D1307" s="2"/>
      <c r="E1307" s="2"/>
    </row>
    <row r="1308">
      <c r="A1308" s="2"/>
      <c r="B1308" s="2"/>
      <c r="C1308" s="2"/>
      <c r="D1308" s="2"/>
      <c r="E1308" s="2"/>
    </row>
    <row r="1309">
      <c r="A1309" s="2"/>
      <c r="B1309" s="2"/>
      <c r="C1309" s="2"/>
      <c r="D1309" s="2"/>
      <c r="E1309" s="2"/>
    </row>
    <row r="1310">
      <c r="A1310" s="2"/>
      <c r="B1310" s="2"/>
      <c r="C1310" s="2"/>
      <c r="D1310" s="2"/>
      <c r="E1310" s="2"/>
    </row>
    <row r="1311">
      <c r="A1311" s="2"/>
      <c r="B1311" s="2"/>
      <c r="C1311" s="2"/>
      <c r="D1311" s="2"/>
      <c r="E1311" s="2"/>
    </row>
    <row r="1312">
      <c r="A1312" s="2"/>
      <c r="B1312" s="2"/>
      <c r="C1312" s="2"/>
      <c r="D1312" s="2"/>
      <c r="E1312" s="2"/>
    </row>
    <row r="1313">
      <c r="A1313" s="2"/>
      <c r="B1313" s="2"/>
      <c r="C1313" s="2"/>
      <c r="D1313" s="2"/>
      <c r="E1313" s="2"/>
    </row>
    <row r="1314">
      <c r="A1314" s="2"/>
      <c r="B1314" s="2"/>
      <c r="C1314" s="2"/>
      <c r="D1314" s="2"/>
      <c r="E1314" s="2"/>
    </row>
    <row r="1315">
      <c r="A1315" s="2"/>
      <c r="B1315" s="2"/>
      <c r="C1315" s="2"/>
      <c r="D1315" s="2"/>
      <c r="E1315" s="2"/>
    </row>
    <row r="1316">
      <c r="A1316" s="2"/>
      <c r="B1316" s="2"/>
      <c r="C1316" s="2"/>
      <c r="D1316" s="2"/>
      <c r="E1316" s="2"/>
    </row>
    <row r="1317">
      <c r="A1317" s="2"/>
      <c r="B1317" s="2"/>
      <c r="C1317" s="2"/>
      <c r="D1317" s="2"/>
      <c r="E1317" s="2"/>
    </row>
    <row r="1318">
      <c r="A1318" s="2"/>
      <c r="B1318" s="2"/>
      <c r="C1318" s="2"/>
      <c r="D1318" s="2"/>
      <c r="E1318" s="2"/>
    </row>
    <row r="1319">
      <c r="A1319" s="2"/>
      <c r="B1319" s="2"/>
      <c r="C1319" s="2"/>
      <c r="D1319" s="2"/>
      <c r="E1319" s="2"/>
    </row>
    <row r="1320">
      <c r="A1320" s="2"/>
      <c r="B1320" s="2"/>
      <c r="C1320" s="2"/>
      <c r="D1320" s="2"/>
      <c r="E1320" s="2"/>
    </row>
    <row r="1321">
      <c r="A1321" s="2"/>
      <c r="B1321" s="2"/>
      <c r="C1321" s="2"/>
      <c r="D1321" s="2"/>
      <c r="E1321" s="2"/>
    </row>
    <row r="1322">
      <c r="A1322" s="2"/>
      <c r="B1322" s="2"/>
      <c r="C1322" s="2"/>
      <c r="D1322" s="2"/>
      <c r="E1322" s="2"/>
    </row>
    <row r="1323">
      <c r="A1323" s="2"/>
      <c r="B1323" s="2"/>
      <c r="C1323" s="2"/>
      <c r="D1323" s="2"/>
      <c r="E1323" s="2"/>
    </row>
    <row r="1324">
      <c r="A1324" s="2"/>
      <c r="B1324" s="2"/>
      <c r="C1324" s="2"/>
      <c r="D1324" s="2"/>
      <c r="E1324" s="2"/>
    </row>
    <row r="1325">
      <c r="A1325" s="2"/>
      <c r="B1325" s="2"/>
      <c r="C1325" s="2"/>
      <c r="D1325" s="2"/>
      <c r="E1325" s="2"/>
    </row>
    <row r="1326">
      <c r="A1326" s="2"/>
      <c r="B1326" s="2"/>
      <c r="C1326" s="2"/>
      <c r="D1326" s="2"/>
      <c r="E1326" s="2"/>
    </row>
    <row r="1327">
      <c r="A1327" s="2"/>
      <c r="B1327" s="2"/>
      <c r="C1327" s="2"/>
      <c r="D1327" s="2"/>
      <c r="E1327" s="2"/>
    </row>
    <row r="1328">
      <c r="A1328" s="2"/>
      <c r="B1328" s="2"/>
      <c r="C1328" s="2"/>
      <c r="D1328" s="2"/>
      <c r="E1328" s="2"/>
    </row>
    <row r="1329">
      <c r="A1329" s="2"/>
      <c r="B1329" s="2"/>
      <c r="C1329" s="2"/>
      <c r="D1329" s="2"/>
      <c r="E1329" s="2"/>
    </row>
    <row r="1330">
      <c r="A1330" s="2"/>
      <c r="B1330" s="2"/>
      <c r="C1330" s="2"/>
      <c r="D1330" s="2"/>
      <c r="E1330" s="2"/>
    </row>
    <row r="1331">
      <c r="A1331" s="2"/>
      <c r="B1331" s="2"/>
      <c r="C1331" s="2"/>
      <c r="D1331" s="2"/>
      <c r="E1331" s="2"/>
    </row>
    <row r="1332">
      <c r="A1332" s="2"/>
      <c r="B1332" s="2"/>
      <c r="C1332" s="2"/>
      <c r="D1332" s="2"/>
      <c r="E1332" s="2"/>
    </row>
    <row r="1333">
      <c r="A1333" s="2"/>
      <c r="B1333" s="2"/>
      <c r="C1333" s="2"/>
      <c r="D1333" s="2"/>
      <c r="E1333" s="2"/>
    </row>
    <row r="1334">
      <c r="A1334" s="2"/>
      <c r="B1334" s="2"/>
      <c r="C1334" s="2"/>
      <c r="D1334" s="2"/>
      <c r="E1334" s="2"/>
    </row>
    <row r="1335">
      <c r="A1335" s="2"/>
      <c r="B1335" s="2"/>
      <c r="C1335" s="2"/>
      <c r="D1335" s="2"/>
      <c r="E1335" s="2"/>
    </row>
    <row r="1336">
      <c r="A1336" s="2"/>
      <c r="B1336" s="2"/>
      <c r="C1336" s="2"/>
      <c r="D1336" s="2"/>
      <c r="E1336" s="2"/>
    </row>
    <row r="1337">
      <c r="A1337" s="2"/>
      <c r="B1337" s="2"/>
      <c r="C1337" s="2"/>
      <c r="D1337" s="2"/>
      <c r="E1337" s="2"/>
    </row>
    <row r="1338">
      <c r="A1338" s="2"/>
      <c r="B1338" s="2"/>
      <c r="C1338" s="2"/>
      <c r="D1338" s="2"/>
      <c r="E1338" s="2"/>
    </row>
    <row r="1339">
      <c r="A1339" s="2"/>
      <c r="B1339" s="2"/>
      <c r="C1339" s="2"/>
      <c r="D1339" s="2"/>
      <c r="E1339" s="2"/>
    </row>
    <row r="1340">
      <c r="A1340" s="2"/>
      <c r="B1340" s="2"/>
      <c r="C1340" s="2"/>
      <c r="D1340" s="2"/>
      <c r="E1340" s="2"/>
    </row>
    <row r="1341">
      <c r="A1341" s="2"/>
      <c r="B1341" s="2"/>
      <c r="C1341" s="2"/>
      <c r="D1341" s="2"/>
      <c r="E1341" s="2"/>
    </row>
    <row r="1342">
      <c r="A1342" s="2"/>
      <c r="B1342" s="2"/>
      <c r="C1342" s="2"/>
      <c r="D1342" s="2"/>
      <c r="E1342" s="2"/>
    </row>
    <row r="1343">
      <c r="A1343" s="2"/>
      <c r="B1343" s="2"/>
      <c r="C1343" s="2"/>
      <c r="D1343" s="2"/>
      <c r="E1343" s="2"/>
    </row>
    <row r="1344">
      <c r="A1344" s="2"/>
      <c r="B1344" s="2"/>
      <c r="C1344" s="2"/>
      <c r="D1344" s="2"/>
      <c r="E1344" s="2"/>
    </row>
    <row r="1345">
      <c r="A1345" s="2"/>
      <c r="B1345" s="2"/>
      <c r="C1345" s="2"/>
      <c r="D1345" s="2"/>
      <c r="E1345" s="2"/>
    </row>
    <row r="1346">
      <c r="A1346" s="2"/>
      <c r="B1346" s="2"/>
      <c r="C1346" s="2"/>
      <c r="D1346" s="2"/>
      <c r="E1346" s="2"/>
    </row>
    <row r="1347">
      <c r="A1347" s="2"/>
      <c r="B1347" s="2"/>
      <c r="C1347" s="2"/>
      <c r="D1347" s="2"/>
      <c r="E1347" s="2"/>
    </row>
    <row r="1348">
      <c r="A1348" s="2"/>
      <c r="B1348" s="2"/>
      <c r="C1348" s="2"/>
      <c r="D1348" s="2"/>
      <c r="E1348" s="2"/>
    </row>
    <row r="1349">
      <c r="A1349" s="2"/>
      <c r="B1349" s="2"/>
      <c r="C1349" s="2"/>
      <c r="D1349" s="2"/>
      <c r="E1349" s="2"/>
    </row>
    <row r="1350">
      <c r="A1350" s="2"/>
      <c r="B1350" s="2"/>
      <c r="C1350" s="2"/>
      <c r="D1350" s="2"/>
      <c r="E1350" s="2"/>
    </row>
    <row r="1351">
      <c r="A1351" s="2"/>
      <c r="B1351" s="2"/>
      <c r="C1351" s="2"/>
      <c r="D1351" s="2"/>
      <c r="E1351" s="2"/>
    </row>
    <row r="1352">
      <c r="A1352" s="2"/>
      <c r="B1352" s="2"/>
      <c r="C1352" s="2"/>
      <c r="D1352" s="2"/>
      <c r="E1352" s="2"/>
    </row>
    <row r="1353">
      <c r="A1353" s="2"/>
      <c r="B1353" s="2"/>
      <c r="C1353" s="2"/>
      <c r="D1353" s="2"/>
      <c r="E1353" s="2"/>
    </row>
    <row r="1354">
      <c r="A1354" s="2"/>
      <c r="B1354" s="2"/>
      <c r="C1354" s="2"/>
      <c r="D1354" s="2"/>
      <c r="E1354" s="2"/>
    </row>
    <row r="1355">
      <c r="A1355" s="2"/>
      <c r="B1355" s="2"/>
      <c r="C1355" s="2"/>
      <c r="D1355" s="2"/>
      <c r="E1355" s="2"/>
    </row>
    <row r="1356">
      <c r="A1356" s="2"/>
      <c r="B1356" s="2"/>
      <c r="C1356" s="2"/>
      <c r="D1356" s="2"/>
      <c r="E1356" s="2"/>
    </row>
    <row r="1357">
      <c r="A1357" s="2"/>
      <c r="B1357" s="2"/>
      <c r="C1357" s="2"/>
      <c r="D1357" s="2"/>
      <c r="E1357" s="2"/>
    </row>
    <row r="1358">
      <c r="A1358" s="2"/>
      <c r="B1358" s="2"/>
      <c r="C1358" s="2"/>
      <c r="D1358" s="2"/>
      <c r="E1358" s="2"/>
    </row>
    <row r="1359">
      <c r="A1359" s="2"/>
      <c r="B1359" s="2"/>
      <c r="C1359" s="2"/>
      <c r="D1359" s="2"/>
      <c r="E1359" s="2"/>
    </row>
    <row r="1360">
      <c r="A1360" s="2"/>
      <c r="B1360" s="2"/>
      <c r="C1360" s="2"/>
      <c r="D1360" s="2"/>
      <c r="E1360" s="2"/>
    </row>
    <row r="1361">
      <c r="A1361" s="2"/>
      <c r="B1361" s="2"/>
      <c r="C1361" s="2"/>
      <c r="D1361" s="2"/>
      <c r="E1361" s="2"/>
    </row>
    <row r="1362">
      <c r="A1362" s="2"/>
      <c r="B1362" s="2"/>
      <c r="C1362" s="2"/>
      <c r="D1362" s="2"/>
      <c r="E1362" s="2"/>
    </row>
    <row r="1363">
      <c r="A1363" s="2"/>
      <c r="B1363" s="2"/>
      <c r="C1363" s="2"/>
      <c r="D1363" s="2"/>
      <c r="E1363" s="2"/>
    </row>
    <row r="1364">
      <c r="A1364" s="2"/>
      <c r="B1364" s="2"/>
      <c r="C1364" s="2"/>
      <c r="D1364" s="2"/>
      <c r="E1364" s="2"/>
    </row>
    <row r="1365">
      <c r="A1365" s="2"/>
      <c r="B1365" s="2"/>
      <c r="C1365" s="2"/>
      <c r="D1365" s="2"/>
      <c r="E1365" s="2"/>
    </row>
    <row r="1366">
      <c r="A1366" s="2"/>
      <c r="B1366" s="2"/>
      <c r="C1366" s="2"/>
      <c r="D1366" s="2"/>
      <c r="E1366" s="2"/>
    </row>
    <row r="1367">
      <c r="A1367" s="2"/>
      <c r="B1367" s="2"/>
      <c r="C1367" s="2"/>
      <c r="D1367" s="2"/>
      <c r="E1367" s="2"/>
    </row>
    <row r="1368">
      <c r="A1368" s="2"/>
      <c r="B1368" s="2"/>
      <c r="C1368" s="2"/>
      <c r="D1368" s="2"/>
      <c r="E1368" s="2"/>
    </row>
    <row r="1369">
      <c r="A1369" s="2"/>
      <c r="B1369" s="2"/>
      <c r="C1369" s="2"/>
      <c r="D1369" s="2"/>
      <c r="E1369" s="2"/>
    </row>
    <row r="1370">
      <c r="A1370" s="2"/>
      <c r="B1370" s="2"/>
      <c r="C1370" s="2"/>
      <c r="D1370" s="2"/>
      <c r="E1370" s="2"/>
    </row>
    <row r="1371">
      <c r="A1371" s="2"/>
      <c r="B1371" s="2"/>
      <c r="C1371" s="2"/>
      <c r="D1371" s="2"/>
      <c r="E1371" s="2"/>
    </row>
    <row r="1372">
      <c r="A1372" s="2"/>
      <c r="B1372" s="2"/>
      <c r="C1372" s="2"/>
      <c r="D1372" s="2"/>
      <c r="E1372" s="2"/>
    </row>
    <row r="1373">
      <c r="A1373" s="2"/>
      <c r="B1373" s="2"/>
      <c r="C1373" s="2"/>
      <c r="D1373" s="2"/>
      <c r="E1373" s="2"/>
    </row>
    <row r="1374">
      <c r="A1374" s="2"/>
      <c r="B1374" s="2"/>
      <c r="C1374" s="2"/>
      <c r="D1374" s="2"/>
      <c r="E1374" s="2"/>
    </row>
    <row r="1375">
      <c r="A1375" s="2"/>
      <c r="B1375" s="2"/>
      <c r="C1375" s="2"/>
      <c r="D1375" s="2"/>
      <c r="E1375" s="2"/>
    </row>
    <row r="1376">
      <c r="A1376" s="2"/>
      <c r="B1376" s="2"/>
      <c r="C1376" s="2"/>
      <c r="D1376" s="2"/>
      <c r="E1376" s="2"/>
    </row>
    <row r="1377">
      <c r="A1377" s="2"/>
      <c r="B1377" s="2"/>
      <c r="C1377" s="2"/>
      <c r="D1377" s="2"/>
      <c r="E1377" s="2"/>
    </row>
    <row r="1378">
      <c r="A1378" s="2"/>
      <c r="B1378" s="2"/>
      <c r="C1378" s="2"/>
      <c r="D1378" s="2"/>
      <c r="E1378" s="2"/>
    </row>
    <row r="1379">
      <c r="A1379" s="2"/>
      <c r="B1379" s="2"/>
      <c r="C1379" s="2"/>
      <c r="D1379" s="2"/>
      <c r="E1379" s="2"/>
    </row>
    <row r="1380">
      <c r="A1380" s="2"/>
      <c r="B1380" s="2"/>
      <c r="C1380" s="2"/>
      <c r="D1380" s="2"/>
      <c r="E1380" s="2"/>
    </row>
    <row r="1381">
      <c r="A1381" s="2"/>
      <c r="B1381" s="2"/>
      <c r="C1381" s="2"/>
      <c r="D1381" s="2"/>
      <c r="E1381" s="2"/>
    </row>
    <row r="1382">
      <c r="A1382" s="2"/>
      <c r="B1382" s="2"/>
      <c r="C1382" s="2"/>
      <c r="D1382" s="2"/>
      <c r="E1382" s="2"/>
    </row>
    <row r="1383">
      <c r="A1383" s="2"/>
      <c r="B1383" s="2"/>
      <c r="C1383" s="2"/>
      <c r="D1383" s="2"/>
      <c r="E1383" s="2"/>
    </row>
    <row r="1384">
      <c r="A1384" s="2"/>
      <c r="B1384" s="2"/>
      <c r="C1384" s="2"/>
      <c r="D1384" s="2"/>
      <c r="E1384" s="2"/>
    </row>
    <row r="1385">
      <c r="A1385" s="2"/>
      <c r="B1385" s="2"/>
      <c r="C1385" s="2"/>
      <c r="D1385" s="2"/>
      <c r="E1385" s="2"/>
    </row>
    <row r="1386">
      <c r="A1386" s="2"/>
      <c r="B1386" s="2"/>
      <c r="C1386" s="2"/>
      <c r="D1386" s="2"/>
      <c r="E1386" s="2"/>
    </row>
    <row r="1387">
      <c r="A1387" s="2"/>
      <c r="B1387" s="2"/>
      <c r="C1387" s="2"/>
      <c r="D1387" s="2"/>
      <c r="E1387" s="2"/>
    </row>
    <row r="1388">
      <c r="A1388" s="2"/>
      <c r="B1388" s="2"/>
      <c r="C1388" s="2"/>
      <c r="D1388" s="2"/>
      <c r="E1388" s="2"/>
    </row>
    <row r="1389">
      <c r="A1389" s="2"/>
      <c r="B1389" s="2"/>
      <c r="C1389" s="2"/>
      <c r="D1389" s="2"/>
      <c r="E1389" s="2"/>
    </row>
    <row r="1390">
      <c r="A1390" s="2"/>
      <c r="B1390" s="2"/>
      <c r="C1390" s="2"/>
      <c r="D1390" s="2"/>
      <c r="E1390" s="2"/>
    </row>
    <row r="1391">
      <c r="A1391" s="2"/>
      <c r="B1391" s="2"/>
      <c r="C1391" s="2"/>
      <c r="D1391" s="2"/>
      <c r="E1391" s="2"/>
    </row>
    <row r="1392">
      <c r="A1392" s="2"/>
      <c r="B1392" s="2"/>
      <c r="C1392" s="2"/>
      <c r="D1392" s="2"/>
      <c r="E1392" s="2"/>
    </row>
    <row r="1393">
      <c r="A1393" s="2"/>
      <c r="B1393" s="2"/>
      <c r="C1393" s="2"/>
      <c r="D1393" s="2"/>
      <c r="E1393" s="2"/>
    </row>
    <row r="1394">
      <c r="A1394" s="2"/>
      <c r="B1394" s="2"/>
      <c r="C1394" s="2"/>
      <c r="D1394" s="2"/>
      <c r="E1394" s="2"/>
    </row>
    <row r="1395">
      <c r="A1395" s="2"/>
      <c r="B1395" s="2"/>
      <c r="C1395" s="2"/>
      <c r="D1395" s="2"/>
      <c r="E1395" s="2"/>
    </row>
    <row r="1396">
      <c r="A1396" s="2"/>
      <c r="B1396" s="2"/>
      <c r="C1396" s="2"/>
      <c r="D1396" s="2"/>
      <c r="E1396" s="2"/>
    </row>
    <row r="1397">
      <c r="A1397" s="2"/>
      <c r="B1397" s="2"/>
      <c r="C1397" s="2"/>
      <c r="D1397" s="2"/>
      <c r="E1397" s="2"/>
    </row>
    <row r="1398">
      <c r="A1398" s="2"/>
      <c r="B1398" s="2"/>
      <c r="C1398" s="2"/>
      <c r="D1398" s="2"/>
      <c r="E1398" s="2"/>
    </row>
    <row r="1399">
      <c r="A1399" s="2"/>
      <c r="B1399" s="2"/>
      <c r="C1399" s="2"/>
      <c r="D1399" s="2"/>
      <c r="E1399" s="2"/>
    </row>
    <row r="1400">
      <c r="A1400" s="2"/>
      <c r="B1400" s="2"/>
      <c r="C1400" s="2"/>
      <c r="D1400" s="2"/>
      <c r="E1400" s="2"/>
    </row>
    <row r="1401">
      <c r="A1401" s="2"/>
      <c r="B1401" s="2"/>
      <c r="C1401" s="2"/>
      <c r="D1401" s="2"/>
      <c r="E1401" s="2"/>
    </row>
    <row r="1402">
      <c r="A1402" s="2"/>
      <c r="B1402" s="2"/>
      <c r="C1402" s="2"/>
      <c r="D1402" s="2"/>
      <c r="E1402" s="2"/>
    </row>
    <row r="1403">
      <c r="A1403" s="2"/>
      <c r="B1403" s="2"/>
      <c r="C1403" s="2"/>
      <c r="D1403" s="2"/>
      <c r="E1403" s="2"/>
    </row>
    <row r="1404">
      <c r="A1404" s="2"/>
      <c r="B1404" s="2"/>
      <c r="C1404" s="2"/>
      <c r="D1404" s="2"/>
      <c r="E1404" s="2"/>
    </row>
    <row r="1405">
      <c r="A1405" s="2"/>
      <c r="B1405" s="2"/>
      <c r="C1405" s="2"/>
      <c r="D1405" s="2"/>
      <c r="E1405" s="2"/>
    </row>
    <row r="1406">
      <c r="A1406" s="2"/>
      <c r="B1406" s="2"/>
      <c r="C1406" s="2"/>
      <c r="D1406" s="2"/>
      <c r="E1406" s="2"/>
    </row>
    <row r="1407">
      <c r="A1407" s="2"/>
      <c r="B1407" s="2"/>
      <c r="C1407" s="2"/>
      <c r="D1407" s="2"/>
      <c r="E1407" s="2"/>
    </row>
    <row r="1408">
      <c r="A1408" s="2"/>
      <c r="B1408" s="2"/>
      <c r="C1408" s="2"/>
      <c r="D1408" s="2"/>
      <c r="E1408" s="2"/>
    </row>
    <row r="1409">
      <c r="A1409" s="2"/>
      <c r="B1409" s="2"/>
      <c r="C1409" s="2"/>
      <c r="D1409" s="2"/>
      <c r="E1409" s="2"/>
    </row>
    <row r="1410">
      <c r="A1410" s="2"/>
      <c r="B1410" s="2"/>
      <c r="C1410" s="2"/>
      <c r="D1410" s="2"/>
      <c r="E1410" s="2"/>
    </row>
    <row r="1411">
      <c r="A1411" s="2"/>
      <c r="B1411" s="2"/>
      <c r="C1411" s="2"/>
      <c r="D1411" s="2"/>
      <c r="E1411" s="2"/>
    </row>
    <row r="1412">
      <c r="A1412" s="2"/>
      <c r="B1412" s="2"/>
      <c r="C1412" s="2"/>
      <c r="D1412" s="2"/>
      <c r="E1412" s="2"/>
    </row>
    <row r="1413">
      <c r="A1413" s="2"/>
      <c r="B1413" s="2"/>
      <c r="C1413" s="2"/>
      <c r="D1413" s="2"/>
      <c r="E1413" s="2"/>
    </row>
    <row r="1414">
      <c r="A1414" s="2"/>
      <c r="B1414" s="2"/>
      <c r="C1414" s="2"/>
      <c r="D1414" s="2"/>
      <c r="E1414" s="2"/>
    </row>
    <row r="1415">
      <c r="A1415" s="2"/>
      <c r="B1415" s="2"/>
      <c r="C1415" s="2"/>
      <c r="D1415" s="2"/>
      <c r="E1415" s="2"/>
    </row>
    <row r="1416">
      <c r="A1416" s="2"/>
      <c r="B1416" s="2"/>
      <c r="C1416" s="2"/>
      <c r="D1416" s="2"/>
      <c r="E1416" s="2"/>
    </row>
    <row r="1417">
      <c r="A1417" s="2"/>
      <c r="B1417" s="2"/>
      <c r="C1417" s="2"/>
      <c r="D1417" s="2"/>
      <c r="E1417" s="2"/>
    </row>
    <row r="1418">
      <c r="A1418" s="2"/>
      <c r="B1418" s="2"/>
      <c r="C1418" s="2"/>
      <c r="D1418" s="2"/>
      <c r="E1418" s="2"/>
    </row>
    <row r="1419">
      <c r="A1419" s="2"/>
      <c r="B1419" s="2"/>
      <c r="C1419" s="2"/>
      <c r="D1419" s="2"/>
      <c r="E1419" s="2"/>
    </row>
    <row r="1420">
      <c r="A1420" s="2"/>
      <c r="B1420" s="2"/>
      <c r="C1420" s="2"/>
      <c r="D1420" s="2"/>
      <c r="E1420" s="2"/>
    </row>
    <row r="1421">
      <c r="A1421" s="2"/>
      <c r="B1421" s="2"/>
      <c r="C1421" s="2"/>
      <c r="D1421" s="2"/>
      <c r="E1421" s="2"/>
    </row>
    <row r="1422">
      <c r="A1422" s="2"/>
      <c r="B1422" s="2"/>
      <c r="C1422" s="2"/>
      <c r="D1422" s="2"/>
      <c r="E1422" s="2"/>
    </row>
    <row r="1423">
      <c r="A1423" s="2"/>
      <c r="B1423" s="2"/>
      <c r="C1423" s="2"/>
      <c r="D1423" s="2"/>
      <c r="E1423" s="2"/>
    </row>
    <row r="1424">
      <c r="A1424" s="2"/>
      <c r="B1424" s="2"/>
      <c r="C1424" s="2"/>
      <c r="D1424" s="2"/>
      <c r="E1424" s="2"/>
    </row>
    <row r="1425">
      <c r="A1425" s="2"/>
      <c r="B1425" s="2"/>
      <c r="C1425" s="2"/>
      <c r="D1425" s="2"/>
      <c r="E1425" s="2"/>
    </row>
    <row r="1426">
      <c r="A1426" s="2"/>
      <c r="B1426" s="2"/>
      <c r="C1426" s="2"/>
      <c r="D1426" s="2"/>
      <c r="E1426" s="2"/>
    </row>
    <row r="1427">
      <c r="A1427" s="2"/>
      <c r="B1427" s="2"/>
      <c r="C1427" s="2"/>
      <c r="D1427" s="2"/>
      <c r="E1427" s="2"/>
    </row>
    <row r="1428">
      <c r="A1428" s="2"/>
      <c r="B1428" s="2"/>
      <c r="C1428" s="2"/>
      <c r="D1428" s="2"/>
      <c r="E1428" s="2"/>
    </row>
    <row r="1429">
      <c r="A1429" s="2"/>
      <c r="B1429" s="2"/>
      <c r="C1429" s="2"/>
      <c r="D1429" s="2"/>
      <c r="E1429" s="2"/>
    </row>
    <row r="1430">
      <c r="A1430" s="2"/>
      <c r="B1430" s="2"/>
      <c r="C1430" s="2"/>
      <c r="D1430" s="2"/>
      <c r="E1430" s="2"/>
    </row>
    <row r="1431">
      <c r="A1431" s="2"/>
      <c r="B1431" s="2"/>
      <c r="C1431" s="2"/>
      <c r="D1431" s="2"/>
      <c r="E1431" s="2"/>
    </row>
    <row r="1432">
      <c r="A1432" s="2"/>
      <c r="B1432" s="2"/>
      <c r="C1432" s="2"/>
      <c r="D1432" s="2"/>
      <c r="E1432" s="2"/>
    </row>
    <row r="1433">
      <c r="A1433" s="2"/>
      <c r="B1433" s="2"/>
      <c r="C1433" s="2"/>
      <c r="D1433" s="2"/>
      <c r="E1433" s="2"/>
    </row>
    <row r="1434">
      <c r="A1434" s="2"/>
      <c r="B1434" s="2"/>
      <c r="C1434" s="2"/>
      <c r="D1434" s="2"/>
      <c r="E1434" s="2"/>
    </row>
    <row r="1435">
      <c r="A1435" s="2"/>
      <c r="B1435" s="2"/>
      <c r="C1435" s="2"/>
      <c r="D1435" s="2"/>
      <c r="E1435" s="2"/>
    </row>
    <row r="1436">
      <c r="A1436" s="2"/>
      <c r="B1436" s="2"/>
      <c r="C1436" s="2"/>
      <c r="D1436" s="2"/>
      <c r="E1436" s="2"/>
    </row>
    <row r="1437">
      <c r="A1437" s="2"/>
      <c r="B1437" s="2"/>
      <c r="C1437" s="2"/>
      <c r="D1437" s="2"/>
      <c r="E1437" s="2"/>
    </row>
    <row r="1438">
      <c r="A1438" s="2"/>
      <c r="B1438" s="2"/>
      <c r="C1438" s="2"/>
      <c r="D1438" s="2"/>
      <c r="E1438" s="2"/>
    </row>
    <row r="1439">
      <c r="A1439" s="2"/>
      <c r="B1439" s="2"/>
      <c r="C1439" s="2"/>
      <c r="D1439" s="2"/>
      <c r="E1439" s="2"/>
    </row>
    <row r="1440">
      <c r="A1440" s="2"/>
      <c r="B1440" s="2"/>
      <c r="C1440" s="2"/>
      <c r="D1440" s="2"/>
      <c r="E1440" s="2"/>
    </row>
    <row r="1441">
      <c r="A1441" s="2"/>
      <c r="B1441" s="2"/>
      <c r="C1441" s="2"/>
      <c r="D1441" s="2"/>
      <c r="E1441" s="2"/>
    </row>
    <row r="1442">
      <c r="A1442" s="2"/>
      <c r="B1442" s="2"/>
      <c r="C1442" s="2"/>
      <c r="D1442" s="2"/>
      <c r="E1442" s="2"/>
    </row>
    <row r="1443">
      <c r="A1443" s="2"/>
      <c r="B1443" s="2"/>
      <c r="C1443" s="2"/>
      <c r="D1443" s="2"/>
      <c r="E1443" s="2"/>
    </row>
    <row r="1444">
      <c r="A1444" s="2"/>
      <c r="B1444" s="2"/>
      <c r="C1444" s="2"/>
      <c r="D1444" s="2"/>
      <c r="E1444" s="2"/>
    </row>
    <row r="1445">
      <c r="A1445" s="2"/>
      <c r="B1445" s="2"/>
      <c r="C1445" s="2"/>
      <c r="D1445" s="2"/>
      <c r="E1445" s="2"/>
    </row>
    <row r="1446">
      <c r="A1446" s="2"/>
      <c r="B1446" s="2"/>
      <c r="C1446" s="2"/>
      <c r="D1446" s="2"/>
      <c r="E1446" s="2"/>
    </row>
    <row r="1447">
      <c r="A1447" s="2"/>
      <c r="B1447" s="2"/>
      <c r="C1447" s="2"/>
      <c r="D1447" s="2"/>
      <c r="E1447" s="2"/>
    </row>
    <row r="1448">
      <c r="A1448" s="2"/>
      <c r="B1448" s="2"/>
      <c r="C1448" s="2"/>
      <c r="D1448" s="2"/>
      <c r="E1448" s="2"/>
    </row>
    <row r="1449">
      <c r="A1449" s="2"/>
      <c r="B1449" s="2"/>
      <c r="C1449" s="2"/>
      <c r="D1449" s="2"/>
      <c r="E1449" s="2"/>
    </row>
    <row r="1450">
      <c r="A1450" s="2"/>
      <c r="B1450" s="2"/>
      <c r="C1450" s="2"/>
      <c r="D1450" s="2"/>
      <c r="E1450" s="2"/>
    </row>
    <row r="1451">
      <c r="A1451" s="2"/>
      <c r="B1451" s="2"/>
      <c r="C1451" s="2"/>
      <c r="D1451" s="2"/>
      <c r="E1451" s="2"/>
    </row>
    <row r="1452">
      <c r="A1452" s="2"/>
      <c r="B1452" s="2"/>
      <c r="C1452" s="2"/>
      <c r="D1452" s="2"/>
      <c r="E1452" s="2"/>
    </row>
    <row r="1453">
      <c r="A1453" s="2"/>
      <c r="B1453" s="2"/>
      <c r="C1453" s="2"/>
      <c r="D1453" s="2"/>
      <c r="E1453" s="2"/>
    </row>
    <row r="1454">
      <c r="A1454" s="2"/>
      <c r="B1454" s="2"/>
      <c r="C1454" s="2"/>
      <c r="D1454" s="2"/>
      <c r="E1454" s="2"/>
    </row>
    <row r="1455">
      <c r="A1455" s="2"/>
      <c r="B1455" s="2"/>
      <c r="C1455" s="2"/>
      <c r="D1455" s="2"/>
      <c r="E1455" s="2"/>
    </row>
    <row r="1456">
      <c r="A1456" s="2"/>
      <c r="B1456" s="2"/>
      <c r="C1456" s="2"/>
      <c r="D1456" s="2"/>
      <c r="E1456" s="2"/>
    </row>
    <row r="1457">
      <c r="A1457" s="2"/>
      <c r="B1457" s="2"/>
      <c r="C1457" s="2"/>
      <c r="D1457" s="2"/>
      <c r="E1457" s="2"/>
    </row>
    <row r="1458">
      <c r="A1458" s="2"/>
      <c r="B1458" s="2"/>
      <c r="C1458" s="2"/>
      <c r="D1458" s="2"/>
      <c r="E1458" s="2"/>
    </row>
    <row r="1459">
      <c r="A1459" s="2"/>
      <c r="B1459" s="2"/>
      <c r="C1459" s="2"/>
      <c r="D1459" s="2"/>
      <c r="E1459" s="2"/>
    </row>
    <row r="1460">
      <c r="A1460" s="2"/>
      <c r="B1460" s="2"/>
      <c r="C1460" s="2"/>
      <c r="D1460" s="2"/>
      <c r="E1460" s="2"/>
    </row>
    <row r="1461">
      <c r="A1461" s="2"/>
      <c r="B1461" s="2"/>
      <c r="C1461" s="2"/>
      <c r="D1461" s="2"/>
      <c r="E1461" s="2"/>
    </row>
    <row r="1462">
      <c r="A1462" s="2"/>
      <c r="B1462" s="2"/>
      <c r="C1462" s="2"/>
      <c r="D1462" s="2"/>
      <c r="E1462" s="2"/>
    </row>
    <row r="1463">
      <c r="A1463" s="2"/>
      <c r="B1463" s="2"/>
      <c r="C1463" s="2"/>
      <c r="D1463" s="2"/>
      <c r="E1463" s="2"/>
    </row>
    <row r="1464">
      <c r="A1464" s="2"/>
      <c r="B1464" s="2"/>
      <c r="C1464" s="2"/>
      <c r="D1464" s="2"/>
      <c r="E1464" s="2"/>
    </row>
    <row r="1465">
      <c r="A1465" s="2"/>
      <c r="B1465" s="2"/>
      <c r="C1465" s="2"/>
      <c r="D1465" s="2"/>
      <c r="E1465" s="2"/>
    </row>
    <row r="1466">
      <c r="A1466" s="2"/>
      <c r="B1466" s="2"/>
      <c r="C1466" s="2"/>
      <c r="D1466" s="2"/>
      <c r="E1466" s="2"/>
    </row>
    <row r="1467">
      <c r="A1467" s="2"/>
      <c r="B1467" s="2"/>
      <c r="C1467" s="2"/>
      <c r="D1467" s="2"/>
      <c r="E1467" s="2"/>
    </row>
    <row r="1468">
      <c r="A1468" s="2"/>
      <c r="B1468" s="2"/>
      <c r="C1468" s="2"/>
      <c r="D1468" s="2"/>
      <c r="E1468" s="2"/>
    </row>
    <row r="1469">
      <c r="A1469" s="2"/>
      <c r="B1469" s="2"/>
      <c r="C1469" s="2"/>
      <c r="D1469" s="2"/>
      <c r="E1469" s="2"/>
    </row>
    <row r="1470">
      <c r="A1470" s="2"/>
      <c r="B1470" s="2"/>
      <c r="C1470" s="2"/>
      <c r="D1470" s="2"/>
      <c r="E1470" s="2"/>
    </row>
    <row r="1471">
      <c r="A1471" s="2"/>
      <c r="B1471" s="2"/>
      <c r="C1471" s="2"/>
      <c r="D1471" s="2"/>
      <c r="E1471" s="2"/>
    </row>
    <row r="1472">
      <c r="A1472" s="2"/>
      <c r="B1472" s="2"/>
      <c r="C1472" s="2"/>
      <c r="D1472" s="2"/>
      <c r="E1472" s="2"/>
    </row>
    <row r="1473">
      <c r="A1473" s="2"/>
      <c r="B1473" s="2"/>
      <c r="C1473" s="2"/>
      <c r="D1473" s="2"/>
      <c r="E1473" s="2"/>
    </row>
    <row r="1474">
      <c r="A1474" s="2"/>
      <c r="B1474" s="2"/>
      <c r="C1474" s="2"/>
      <c r="D1474" s="2"/>
      <c r="E1474" s="2"/>
    </row>
    <row r="1475">
      <c r="A1475" s="2"/>
      <c r="B1475" s="2"/>
      <c r="C1475" s="2"/>
      <c r="D1475" s="2"/>
      <c r="E1475" s="2"/>
    </row>
    <row r="1476">
      <c r="A1476" s="2"/>
      <c r="B1476" s="2"/>
      <c r="C1476" s="2"/>
      <c r="D1476" s="2"/>
      <c r="E1476" s="2"/>
    </row>
    <row r="1477">
      <c r="A1477" s="2"/>
      <c r="B1477" s="2"/>
      <c r="C1477" s="2"/>
      <c r="D1477" s="2"/>
      <c r="E1477" s="2"/>
    </row>
    <row r="1478">
      <c r="A1478" s="2"/>
      <c r="B1478" s="2"/>
      <c r="C1478" s="2"/>
      <c r="D1478" s="2"/>
      <c r="E1478" s="2"/>
    </row>
    <row r="1479">
      <c r="A1479" s="2"/>
      <c r="B1479" s="2"/>
      <c r="C1479" s="2"/>
      <c r="D1479" s="2"/>
      <c r="E1479" s="2"/>
    </row>
    <row r="1480">
      <c r="A1480" s="2"/>
      <c r="B1480" s="2"/>
      <c r="C1480" s="2"/>
      <c r="D1480" s="2"/>
      <c r="E1480" s="2"/>
    </row>
    <row r="1481">
      <c r="A1481" s="2"/>
      <c r="B1481" s="2"/>
      <c r="C1481" s="2"/>
      <c r="D1481" s="2"/>
      <c r="E1481" s="2"/>
    </row>
    <row r="1482">
      <c r="A1482" s="2"/>
      <c r="B1482" s="2"/>
      <c r="C1482" s="2"/>
      <c r="D1482" s="2"/>
      <c r="E1482" s="2"/>
    </row>
    <row r="1483">
      <c r="A1483" s="2"/>
      <c r="B1483" s="2"/>
      <c r="C1483" s="2"/>
      <c r="D1483" s="2"/>
      <c r="E1483" s="2"/>
    </row>
    <row r="1484">
      <c r="A1484" s="2"/>
      <c r="B1484" s="2"/>
      <c r="C1484" s="2"/>
      <c r="D1484" s="2"/>
      <c r="E1484" s="2"/>
    </row>
    <row r="1485">
      <c r="A1485" s="2"/>
      <c r="B1485" s="2"/>
      <c r="C1485" s="2"/>
      <c r="D1485" s="2"/>
      <c r="E1485" s="2"/>
    </row>
    <row r="1486">
      <c r="A1486" s="2"/>
      <c r="B1486" s="2"/>
      <c r="C1486" s="2"/>
      <c r="D1486" s="2"/>
      <c r="E1486" s="2"/>
    </row>
    <row r="1487">
      <c r="A1487" s="2"/>
      <c r="B1487" s="2"/>
      <c r="C1487" s="2"/>
      <c r="D1487" s="2"/>
      <c r="E1487" s="2"/>
    </row>
    <row r="1488">
      <c r="A1488" s="2"/>
      <c r="B1488" s="2"/>
      <c r="C1488" s="2"/>
      <c r="D1488" s="2"/>
      <c r="E1488" s="2"/>
    </row>
    <row r="1489">
      <c r="A1489" s="2"/>
      <c r="B1489" s="2"/>
      <c r="C1489" s="2"/>
      <c r="D1489" s="2"/>
      <c r="E1489" s="2"/>
    </row>
    <row r="1490">
      <c r="A1490" s="2"/>
      <c r="B1490" s="2"/>
      <c r="C1490" s="2"/>
      <c r="D1490" s="2"/>
      <c r="E1490" s="2"/>
    </row>
    <row r="1491">
      <c r="A1491" s="2"/>
      <c r="B1491" s="2"/>
      <c r="C1491" s="2"/>
      <c r="D1491" s="2"/>
      <c r="E1491" s="2"/>
    </row>
    <row r="1492">
      <c r="A1492" s="2"/>
      <c r="B1492" s="2"/>
      <c r="C1492" s="2"/>
      <c r="D1492" s="2"/>
      <c r="E1492" s="2"/>
    </row>
    <row r="1493">
      <c r="A1493" s="2"/>
      <c r="B1493" s="2"/>
      <c r="C1493" s="2"/>
      <c r="D1493" s="2"/>
      <c r="E1493" s="2"/>
    </row>
    <row r="1494">
      <c r="A1494" s="2"/>
      <c r="B1494" s="2"/>
      <c r="C1494" s="2"/>
      <c r="D1494" s="2"/>
      <c r="E1494" s="2"/>
    </row>
    <row r="1495">
      <c r="A1495" s="2"/>
      <c r="B1495" s="2"/>
      <c r="C1495" s="2"/>
      <c r="D1495" s="2"/>
      <c r="E1495" s="2"/>
    </row>
    <row r="1496">
      <c r="A1496" s="2"/>
      <c r="B1496" s="2"/>
      <c r="C1496" s="2"/>
      <c r="D1496" s="2"/>
      <c r="E1496" s="2"/>
    </row>
    <row r="1497">
      <c r="A1497" s="2"/>
      <c r="B1497" s="2"/>
      <c r="C1497" s="2"/>
      <c r="D1497" s="2"/>
      <c r="E1497" s="2"/>
    </row>
    <row r="1498">
      <c r="A1498" s="2"/>
      <c r="B1498" s="2"/>
      <c r="C1498" s="2"/>
      <c r="D1498" s="2"/>
      <c r="E1498" s="2"/>
    </row>
    <row r="1499">
      <c r="A1499" s="2"/>
      <c r="B1499" s="2"/>
      <c r="C1499" s="2"/>
      <c r="D1499" s="2"/>
      <c r="E1499" s="2"/>
    </row>
    <row r="1500">
      <c r="A1500" s="2"/>
      <c r="B1500" s="2"/>
      <c r="C1500" s="2"/>
      <c r="D1500" s="2"/>
      <c r="E1500" s="2"/>
    </row>
    <row r="1501">
      <c r="A1501" s="2"/>
      <c r="B1501" s="2"/>
      <c r="C1501" s="2"/>
      <c r="D1501" s="2"/>
      <c r="E1501" s="2"/>
    </row>
    <row r="1502">
      <c r="A1502" s="2"/>
      <c r="B1502" s="2"/>
      <c r="C1502" s="2"/>
      <c r="D1502" s="2"/>
      <c r="E1502" s="2"/>
    </row>
    <row r="1503">
      <c r="A1503" s="2"/>
      <c r="B1503" s="2"/>
      <c r="C1503" s="2"/>
      <c r="D1503" s="2"/>
      <c r="E1503" s="2"/>
    </row>
    <row r="1504">
      <c r="A1504" s="2"/>
      <c r="B1504" s="2"/>
      <c r="C1504" s="2"/>
      <c r="D1504" s="2"/>
      <c r="E1504" s="2"/>
    </row>
    <row r="1505">
      <c r="A1505" s="2"/>
      <c r="B1505" s="2"/>
      <c r="C1505" s="2"/>
      <c r="D1505" s="2"/>
      <c r="E1505" s="2"/>
    </row>
    <row r="1506">
      <c r="A1506" s="2"/>
      <c r="B1506" s="2"/>
      <c r="C1506" s="2"/>
      <c r="D1506" s="2"/>
      <c r="E1506" s="2"/>
    </row>
    <row r="1507">
      <c r="A1507" s="2"/>
      <c r="B1507" s="2"/>
      <c r="C1507" s="2"/>
      <c r="D1507" s="2"/>
      <c r="E1507" s="2"/>
    </row>
    <row r="1508">
      <c r="A1508" s="2"/>
      <c r="B1508" s="2"/>
      <c r="C1508" s="2"/>
      <c r="D1508" s="2"/>
      <c r="E1508" s="2"/>
    </row>
    <row r="1509">
      <c r="A1509" s="2"/>
      <c r="B1509" s="2"/>
      <c r="C1509" s="2"/>
      <c r="D1509" s="2"/>
      <c r="E1509" s="2"/>
    </row>
    <row r="1510">
      <c r="A1510" s="2"/>
      <c r="B1510" s="2"/>
      <c r="C1510" s="2"/>
      <c r="D1510" s="2"/>
      <c r="E1510" s="2"/>
    </row>
    <row r="1511">
      <c r="A1511" s="2"/>
      <c r="B1511" s="2"/>
      <c r="C1511" s="2"/>
      <c r="D1511" s="2"/>
      <c r="E1511" s="2"/>
    </row>
    <row r="1512">
      <c r="A1512" s="2"/>
      <c r="B1512" s="2"/>
      <c r="C1512" s="2"/>
      <c r="D1512" s="2"/>
      <c r="E1512" s="2"/>
    </row>
    <row r="1513">
      <c r="A1513" s="2"/>
      <c r="B1513" s="2"/>
      <c r="C1513" s="2"/>
      <c r="D1513" s="2"/>
      <c r="E1513" s="2"/>
    </row>
    <row r="1514">
      <c r="A1514" s="2"/>
      <c r="B1514" s="2"/>
      <c r="C1514" s="2"/>
      <c r="D1514" s="2"/>
      <c r="E1514" s="2"/>
    </row>
    <row r="1515">
      <c r="A1515" s="2"/>
      <c r="B1515" s="2"/>
      <c r="C1515" s="2"/>
      <c r="D1515" s="2"/>
      <c r="E1515" s="2"/>
    </row>
    <row r="1516">
      <c r="A1516" s="2"/>
      <c r="B1516" s="2"/>
      <c r="C1516" s="2"/>
      <c r="D1516" s="2"/>
      <c r="E1516" s="2"/>
    </row>
    <row r="1517">
      <c r="A1517" s="2"/>
      <c r="B1517" s="2"/>
      <c r="C1517" s="2"/>
      <c r="D1517" s="2"/>
      <c r="E1517" s="2"/>
    </row>
    <row r="1518">
      <c r="A1518" s="2"/>
      <c r="B1518" s="2"/>
      <c r="C1518" s="2"/>
      <c r="D1518" s="2"/>
      <c r="E1518" s="2"/>
    </row>
    <row r="1519">
      <c r="A1519" s="2"/>
      <c r="B1519" s="2"/>
      <c r="C1519" s="2"/>
      <c r="D1519" s="2"/>
      <c r="E1519" s="2"/>
    </row>
    <row r="1520">
      <c r="A1520" s="2"/>
      <c r="B1520" s="2"/>
      <c r="C1520" s="2"/>
      <c r="D1520" s="2"/>
      <c r="E1520" s="2"/>
    </row>
    <row r="1521">
      <c r="A1521" s="2"/>
      <c r="B1521" s="2"/>
      <c r="C1521" s="2"/>
      <c r="D1521" s="2"/>
      <c r="E1521" s="2"/>
    </row>
    <row r="1522">
      <c r="A1522" s="2"/>
      <c r="B1522" s="2"/>
      <c r="C1522" s="2"/>
      <c r="D1522" s="2"/>
      <c r="E1522" s="2"/>
    </row>
    <row r="1523">
      <c r="A1523" s="2"/>
      <c r="B1523" s="2"/>
      <c r="C1523" s="2"/>
      <c r="D1523" s="2"/>
      <c r="E1523" s="2"/>
    </row>
    <row r="1524">
      <c r="A1524" s="2"/>
      <c r="B1524" s="2"/>
      <c r="C1524" s="2"/>
      <c r="D1524" s="2"/>
      <c r="E1524" s="2"/>
    </row>
    <row r="1525">
      <c r="A1525" s="2"/>
      <c r="B1525" s="2"/>
      <c r="C1525" s="2"/>
      <c r="D1525" s="2"/>
      <c r="E1525" s="2"/>
    </row>
  </sheetData>
  <drawing r:id="rId1"/>
</worksheet>
</file>