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visible" name="All Item Code" sheetId="4" r:id="rId8"/>
  </sheets>
  <definedNames/>
  <calcPr/>
</workbook>
</file>

<file path=xl/sharedStrings.xml><?xml version="1.0" encoding="utf-8"?>
<sst xmlns="http://schemas.openxmlformats.org/spreadsheetml/2006/main" count="142" uniqueCount="87">
  <si>
    <t>Purpose</t>
  </si>
  <si>
    <t>No Ejo</t>
  </si>
  <si>
    <t>Mesin/Area</t>
  </si>
  <si>
    <t>Deskripsi Item</t>
  </si>
  <si>
    <t>Qty</t>
  </si>
  <si>
    <t>UoM</t>
  </si>
  <si>
    <t>Note</t>
  </si>
  <si>
    <t>WAPRO0001</t>
  </si>
  <si>
    <t>Consumable</t>
  </si>
  <si>
    <t>-</t>
  </si>
  <si>
    <t>Workshop</t>
  </si>
  <si>
    <t>General - Kawat Las SS E-308 2.0mm; No Brand; -; 1 kg/pack</t>
  </si>
  <si>
    <t>Pcs</t>
  </si>
  <si>
    <t>penggunaan las material ss</t>
  </si>
  <si>
    <t>P-20182-00</t>
  </si>
  <si>
    <t>Spesifikasi (Termasuk tipe)</t>
  </si>
  <si>
    <t>Merk</t>
  </si>
  <si>
    <t>Referensi/Penawaran</t>
  </si>
  <si>
    <t>WAPBR0001</t>
  </si>
  <si>
    <t>EJO</t>
  </si>
  <si>
    <t>EJO/2026/05/077</t>
  </si>
  <si>
    <t>Stability</t>
  </si>
  <si>
    <t>Cover lampu WIHC</t>
  </si>
  <si>
    <t>Akrilik (ukuran sesuai gambar)</t>
  </si>
  <si>
    <t>lokal</t>
  </si>
  <si>
    <t>https://drive.google.com/drive/folders/1qFjh3nWLC22ZkSw2vBRudTbIz7Cy1CSk?usp=sharing</t>
  </si>
  <si>
    <t>Deskripsi Pekerjaan</t>
  </si>
  <si>
    <t>WAPBR0002</t>
  </si>
  <si>
    <t>gergaji besi set</t>
  </si>
  <si>
    <t>gergaji + hacksaw blade</t>
  </si>
  <si>
    <t>Tekiro</t>
  </si>
  <si>
    <t>set</t>
  </si>
  <si>
    <t>https://www.tokopedia.com/rakini/tekiro-gagang-gergaji-besi-12-gratis-mata-gergajinya-30-cm?extParam=ivf%3Dfalse%26keyword%3Dgergaji+besi+set%26search_id%3D2026060403332734ED066DF378EF2F3442%26src%3Dsearch&amp;t_id=1780544016334&amp;t_st=2&amp;t_pp=search_result&amp;t_efo=search_pure_goods_card&amp;t_ef=goods_search&amp;t_sm=&amp;t_spt=search_result</t>
  </si>
  <si>
    <t>WAPBR0003</t>
  </si>
  <si>
    <t>mata gergaji besi</t>
  </si>
  <si>
    <t xml:space="preserve">Hacksaw blade </t>
  </si>
  <si>
    <t>tekiro</t>
  </si>
  <si>
    <t>Jual Tekiro Mata Gergaji Besi 18 TPI / Tekiro Hacksaw Blade - Green - Kota Administrasi Jakarta Utara - Fixcomart | Tokopedia</t>
  </si>
  <si>
    <t>WAPBR0004</t>
  </si>
  <si>
    <t>Utilty dan MTC</t>
  </si>
  <si>
    <t>magnet siku (weld)</t>
  </si>
  <si>
    <t>ukuran 4 inch</t>
  </si>
  <si>
    <t>KDK</t>
  </si>
  <si>
    <t>pcs</t>
  </si>
  <si>
    <t>https://shopee.co.id/product/298341482/7453844976?gads_t_sig=gqRjZGVrxHCFomtpsTE0MjUxOnRzc19zZGtfa2V5omt20QABpGFsZ2_SAAAAZKNkZWvAomN0xEAAAAAMfaLqlfFS4JwQPCoOJZHE2YMfq1tWF61pnIIHqGuyOlpkjBotHu7Xpb0YRK1tULWVZdcpI_r9hw6jgE9CqmNpcGhlcnRleHTEbwAAAAxec2J5tsaSY0spDEzg-OpHcdN3SkSQuYRBMMBkVPZVrbxorz-tNtEVeHdW5wMom76ptwZ7CqN5X3zFIl5hvXdLIcGIrL4m7v3h1HKPCOormIgCS0SIaiz9YD7FYUlPN8JdAJFnslegcMZ79Q&amp;gad_source=1&amp;gad_campaignid=23199775580&amp;gbraid=0AAAAADPpU82zfCXJsEupNYlwCfbjtXZsK&amp;gclid=Cj0KCQjwrs7RBhDuARIsAIVfBD38oMoZuJHpbuNto4zbEUIqagj030ZAae8PE32BbWG_L6KV74mtdEAaAoJvEALw_wcB</t>
  </si>
  <si>
    <t>WAPBR0005</t>
  </si>
  <si>
    <t>EJO/2026/06/141</t>
  </si>
  <si>
    <t>WASHING</t>
  </si>
  <si>
    <t>semprotan angin</t>
  </si>
  <si>
    <t>air blow</t>
  </si>
  <si>
    <t>ELLKA</t>
  </si>
  <si>
    <t>https://www.lazada.co.id/products/promo-alat-semprotan-angin-kompresor-tekiro-air-duster-coupler-semprotan-debu-i6877018660-s13029000059.html?</t>
  </si>
  <si>
    <t>WAPBR0006</t>
  </si>
  <si>
    <t>lampu indikator merah pada mesin tablet</t>
  </si>
  <si>
    <t>Tableting</t>
  </si>
  <si>
    <t xml:space="preserve">lampu </t>
  </si>
  <si>
    <t>24V C5W</t>
  </si>
  <si>
    <t>OSRAM</t>
  </si>
  <si>
    <t>https://www.osram.com/ecat/ORIGINAL%20-%20FESTOON-Signal%20lamps-Truck%20lighting-Automotive/com/en/GPS01_1057117/ZMP_61080/</t>
  </si>
  <si>
    <t xml:space="preserve">- </t>
  </si>
  <si>
    <t>WAPBR0007</t>
  </si>
  <si>
    <t>lampu chamber tablet</t>
  </si>
  <si>
    <t>lampu chamber</t>
  </si>
  <si>
    <t>LED 3Watt dan 5Watt</t>
  </si>
  <si>
    <t>custom</t>
  </si>
  <si>
    <t>https://shopee.co.id/LED-hpl-bulat-seri-3-titik-32mm-real-pick-1watt-3watt-5watt-putih-merah-hijau-biru-kuning-fullspectrum-pink-ice-blue-ion-blue-ultraviolet-royal-blue-i.168243818.23686807983</t>
  </si>
  <si>
    <t>WAPBR0008</t>
  </si>
  <si>
    <t>Tools workshop</t>
  </si>
  <si>
    <t>penggaris siku</t>
  </si>
  <si>
    <t>panjang 30 cm</t>
  </si>
  <si>
    <t>Krisbow</t>
  </si>
  <si>
    <t>https://www.tokopedia.com/borolo/krisbow-penggaris-siku-besi-30-cm?utm_source=google&amp;utm_medium=organic&amp;utm_campaign=pdp</t>
  </si>
  <si>
    <t>WAPBR0009</t>
  </si>
  <si>
    <t>C clamp</t>
  </si>
  <si>
    <t>Eastman atau laimya</t>
  </si>
  <si>
    <t>https://share.google/v83YhsjAC8QZAvRKT</t>
  </si>
  <si>
    <t>WAPBR0010</t>
  </si>
  <si>
    <t>utility</t>
  </si>
  <si>
    <t>MCB 3 pole</t>
  </si>
  <si>
    <t>16 A 3 pole</t>
  </si>
  <si>
    <t>Schneider</t>
  </si>
  <si>
    <t>https://www.tokopedia.com/sahabatjayabglcr/schneider-electric-mcb-merk-schneider-16a-3phase-perangkat-pengaman-arus-listrik-3-fase-16-ampere-1731704042080077491?utm_source=google&amp;utm_medium=organic&amp;utm_campaign=pdp</t>
  </si>
  <si>
    <t>WAPBR0011</t>
  </si>
  <si>
    <t>load switch ON/off</t>
  </si>
  <si>
    <t>25A 600Vac</t>
  </si>
  <si>
    <t>kraus &amp; naimer</t>
  </si>
  <si>
    <t>https://www.monotaro.id/s039467300.html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</si>
</sst>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17">
    <font>
      <sz val="10.0"/>
      <color rgb="FF000000"/>
      <name val="Arial"/>
      <scheme val="minor"/>
    </font>
    <font>
      <b/>
      <sz val="8.0"/>
      <color theme="1"/>
      <name val="Arial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color theme="1"/>
      <name val="Arial"/>
      <scheme val="minor"/>
    </font>
    <font>
      <u/>
      <sz val="8.0"/>
      <color rgb="FF0000FF"/>
    </font>
    <font>
      <u/>
      <sz val="8.0"/>
      <color rgb="FF000000"/>
      <name val="Arial"/>
    </font>
    <font>
      <u/>
      <sz val="8.0"/>
      <color rgb="FF0000FF"/>
      <name val="Arial"/>
    </font>
    <font>
      <u/>
      <sz val="8.0"/>
      <color rgb="FF000000"/>
      <name val="&quot;Open Sauce One&quot;"/>
    </font>
    <font>
      <sz val="8.0"/>
      <color rgb="FF000000"/>
      <name val="Arial"/>
    </font>
    <font>
      <sz val="8.0"/>
      <color rgb="FF080808"/>
      <name val="Arial"/>
    </font>
    <font>
      <u/>
      <sz val="10.0"/>
      <color rgb="FF000000"/>
      <name val="Arial"/>
    </font>
    <font>
      <sz val="8.0"/>
      <color theme="1"/>
      <name val="&quot;Open Sauce One&quot;"/>
    </font>
    <font>
      <sz val="8.0"/>
      <color rgb="FF000000"/>
      <name val="&quot;Open Sauce One&quot;"/>
    </font>
    <font>
      <sz val="10.0"/>
      <color theme="1"/>
      <name val="Arial"/>
      <scheme val="minor"/>
    </font>
    <font>
      <sz val="9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/>
    </xf>
    <xf borderId="0" fillId="0" fontId="3" numFmtId="0" xfId="0" applyFont="1"/>
    <xf borderId="1" fillId="2" fontId="3" numFmtId="0" xfId="0" applyBorder="1" applyFill="1" applyFont="1"/>
    <xf borderId="1" fillId="2" fontId="3" numFmtId="164" xfId="0" applyBorder="1" applyFill="1" applyFont="1" applyNumberFormat="1"/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vertical="bottom"/>
    </xf>
    <xf borderId="1" fillId="0" fontId="3" numFmtId="0" xfId="0" applyBorder="1" applyFont="1"/>
    <xf borderId="1" fillId="2" fontId="2" numFmtId="164" xfId="0" applyAlignment="1" applyBorder="1" applyFill="1" applyFont="1" applyNumberFormat="1">
      <alignment horizontal="center"/>
    </xf>
    <xf borderId="0" fillId="0" fontId="5" numFmtId="0" xfId="0" applyFont="1"/>
    <xf borderId="0" fillId="0" fontId="3" numFmtId="0" xfId="0" applyAlignment="1" applyFont="1">
      <alignment horizontal="center"/>
    </xf>
    <xf borderId="1" fillId="2" fontId="3" numFmtId="164" xfId="0" applyAlignment="1" applyBorder="1" applyFill="1" applyFont="1" applyNumberFormat="1">
      <alignment horizontal="center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/>
    </xf>
    <xf borderId="1" fillId="2" fontId="3" numFmtId="0" xfId="0" applyAlignment="1" applyBorder="1" applyFill="1" applyFont="1">
      <alignment horizontal="left"/>
    </xf>
    <xf borderId="1" fillId="3" fontId="7" numFmtId="0" xfId="0" applyAlignment="1" applyBorder="1" applyFill="1" applyFont="1">
      <alignment readingOrder="0" shrinkToFit="0" wrapText="1"/>
    </xf>
    <xf borderId="1" fillId="3" fontId="8" numFmtId="0" xfId="0" applyAlignment="1" applyBorder="1" applyFill="1" applyFont="1">
      <alignment readingOrder="0" shrinkToFit="0" wrapText="1"/>
    </xf>
    <xf borderId="1" fillId="3" fontId="9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3" fontId="11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3" fontId="12" numFmtId="0" xfId="0" applyAlignment="1" applyBorder="1" applyFill="1" applyFont="1">
      <alignment readingOrder="0" shrinkToFit="0" wrapText="1"/>
    </xf>
    <xf borderId="1" fillId="3" fontId="13" numFmtId="0" xfId="0" applyAlignment="1" applyBorder="1" applyFill="1" applyFont="1">
      <alignment readingOrder="0" shrinkToFit="0" wrapText="1"/>
    </xf>
    <xf borderId="1" fillId="3" fontId="14" numFmtId="0" xfId="0" applyAlignment="1" applyBorder="1" applyFill="1" applyFont="1">
      <alignment readingOrder="0" shrinkToFit="0" wrapText="1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shrinkToFit="0" wrapText="1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447675</xdr:colOff>
      <xdr:row>7</xdr:row>
      <xdr:rowOff>47625</xdr:rowOff>
    </xdr:from>
    <xdr:ext cx="7191375" cy="4048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</xdr:row>
      <xdr:rowOff>180975</xdr:rowOff>
    </xdr:from>
    <xdr:ext cx="5000625" cy="28098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qFjh3nWLC22ZkSw2vBRudTbIz7Cy1CSk?usp=sharing" TargetMode="External"/><Relationship Id="rId2" Type="http://schemas.openxmlformats.org/officeDocument/2006/relationships/hyperlink" Target="https://www.tokopedia.com/rakini/tekiro-gagang-gergaji-besi-12-gratis-mata-gergajinya-30-cm?extParam=ivf%3Dfalse%26keyword%3Dgergaji+besi+set%26search_id%3D2026060403332734ED066DF378EF2F3442%26src%3Dsearch&amp;t_id=1780544016334&amp;t_st=2&amp;t_pp=search_result&amp;t_efo=search_pure_goods_card&amp;t_ef=goods_search&amp;t_sm=&amp;t_spt=search_result" TargetMode="External"/><Relationship Id="rId3" Type="http://schemas.openxmlformats.org/officeDocument/2006/relationships/hyperlink" Target="https://www.tokopedia.com/fixcomart/tekiro-mata-gergaji-besi-18-tpi-tekiro-hacksaw-blade-1731009569664370043" TargetMode="External"/><Relationship Id="rId4" Type="http://schemas.openxmlformats.org/officeDocument/2006/relationships/hyperlink" Target="https://shopee.co.id/product/298341482/7453844976?gads_t_sig=gqRjZGVrxHCFomtpsTE0MjUxOnRzc19zZGtfa2V5omt20QABpGFsZ2_SAAAAZKNkZWvAomN0xEAAAAAMfaLqlfFS4JwQPCoOJZHE2YMfq1tWF61pnIIHqGuyOlpkjBotHu7Xpb0YRK1tULWVZdcpI_r9hw6jgE9CqmNpcGhlcnRleHTEbwAAAAxec2J5tsaSY0spDEzg-OpHcdN3SkSQuYRBMMBkVPZVrbxorz-tNtEVeHdW5wMom76ptwZ7CqN5X3zFIl5hvXdLIcGIrL4m7v3h1HKPCOormIgCS0SIaiz9YD7FYUlPN8JdAJFnslegcMZ79Q&amp;gad_source=1&amp;gad_campaignid=23199775580&amp;gbraid=0AAAAADPpU82zfCXJsEupNYlwCfbjtXZsK&amp;gclid=Cj0KCQjwrs7RBhDuARIsAIVfBD38oMoZuJHpbuNto4zbEUIqagj030ZAae8PE32BbWG_L6KV74mtdEAaAoJvEALw_wcB" TargetMode="External"/><Relationship Id="rId11" Type="http://schemas.openxmlformats.org/officeDocument/2006/relationships/hyperlink" Target="https://www.monotaro.id/s039467300.html" TargetMode="External"/><Relationship Id="rId10" Type="http://schemas.openxmlformats.org/officeDocument/2006/relationships/hyperlink" Target="https://www.tokopedia.com/sahabatjayabglcr/schneider-electric-mcb-merk-schneider-16a-3phase-perangkat-pengaman-arus-listrik-3-fase-16-ampere-1731704042080077491?utm_source=google&amp;utm_medium=organic&amp;utm_campaign=pdp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share.google/v83YhsjAC8QZAvRKT" TargetMode="External"/><Relationship Id="rId5" Type="http://schemas.openxmlformats.org/officeDocument/2006/relationships/hyperlink" Target="https://www.lazada.co.id/products/promo-alat-semprotan-angin-kompresor-tekiro-air-duster-coupler-semprotan-debu-i6877018660-s13029000059.html?" TargetMode="External"/><Relationship Id="rId6" Type="http://schemas.openxmlformats.org/officeDocument/2006/relationships/hyperlink" Target="https://www.osram.com/ecat/ORIGINAL%20-%20FESTOON-Signal%20lamps-Truck%20lighting-Automotive/com/en/GPS01_1057117/ZMP_61080/" TargetMode="External"/><Relationship Id="rId7" Type="http://schemas.openxmlformats.org/officeDocument/2006/relationships/hyperlink" Target="https://shopee.co.id/LED-hpl-bulat-seri-3-titik-32mm-real-pick-1watt-3watt-5watt-putih-merah-hijau-biru-kuning-fullspectrum-pink-ice-blue-ion-blue-ultraviolet-royal-blue-i.168243818.23686807983" TargetMode="External"/><Relationship Id="rId8" Type="http://schemas.openxmlformats.org/officeDocument/2006/relationships/hyperlink" Target="https://www.tokopedia.com/borolo/krisbow-penggaris-siku-besi-30-cm?utm_source=google&amp;utm_medium=organic&amp;utm_campaign=pd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8.88"/>
    <col customWidth="1" min="3" max="3" width="13.13"/>
    <col customWidth="1" min="4" max="4" width="13.38"/>
    <col customWidth="1" min="5" max="5" width="14.13"/>
    <col customWidth="1" min="6" max="6" width="9.88"/>
    <col customWidth="1" min="7" max="7" width="39.63"/>
    <col customWidth="1" min="8" max="8" width="6.25"/>
    <col customWidth="1" min="9" max="9" width="5.5"/>
    <col customWidth="1" min="10" max="10" width="17.13"/>
    <col customWidth="1" min="11" max="11" width="9.63"/>
    <col customWidth="1" min="12" max="12" width="14.75"/>
  </cols>
  <sheetData>
    <row r="1">
      <c r="A1" s="1" t="str">
        <f t="array" ref="A1:A1000">IF(LEN(E:E),if(ROW(E:E)=1,"No",ROW(E:E)-1),)</f>
        <v>No</v>
      </c>
      <c r="B1" s="2" t="str">
        <f t="array" ref="B1:B1000">IF(LEN(E:E),if(ROW(E:E)=1,"Timestamp",ifs(E:E="","",B:B="",now(),True,B:B)),)</f>
        <v>Timestamp</v>
      </c>
      <c r="C1" s="1" t="str">
        <f t="array" ref="C1:C1000">IF(LEN(E:E),if(ROW(E:E)=1,"Nomor Registrasi","WAP"&amp;TEXT(ROW(E:E)-1,"RO0000")),)</f>
        <v>Nomor Registrasi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1" t="str">
        <f t="array" ref="K1:K1000">IF(LEN(G:G),if(ROW(G:G)=1,"Item Code",vlookup(G:G,'All Item Code'!B:C,2,0)),)</f>
        <v>Item Code</v>
      </c>
      <c r="L1" s="1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1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1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>
        <v>46192.42172734954</v>
      </c>
      <c r="C2" s="6" t="s">
        <v>7</v>
      </c>
      <c r="D2" s="8" t="s">
        <v>8</v>
      </c>
      <c r="E2" s="9" t="s">
        <v>9</v>
      </c>
      <c r="F2" s="9" t="s">
        <v>10</v>
      </c>
      <c r="G2" s="8" t="s">
        <v>11</v>
      </c>
      <c r="H2" s="9">
        <v>2.0</v>
      </c>
      <c r="I2" s="9" t="s">
        <v>12</v>
      </c>
      <c r="J2" s="9" t="s">
        <v>13</v>
      </c>
      <c r="K2" s="6" t="s">
        <v>14</v>
      </c>
      <c r="L2" s="6" t="str">
        <f>IFERROR(__xludf.DUMMYFUNCTION("""COMPUTED_VALUE"""),"Approve")</f>
        <v>Approve</v>
      </c>
      <c r="M2" s="6" t="str">
        <f>IFERROR(__xludf.DUMMYFUNCTION("""COMPUTED_VALUE"""),"Normal")</f>
        <v>Normal</v>
      </c>
      <c r="N2" s="6" t="str">
        <f>IFERROR(__xludf.DUMMYFUNCTION("""COMPUTED_VALUE"""),"Non Urgent")</f>
        <v>Non Urgent</v>
      </c>
      <c r="O2" s="10" t="str">
        <f>IFERROR(__xludf.DUMMYFUNCTION("""COMPUTED_VALUE"""),"Proses PR")</f>
        <v>Proses PR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/>
      <c r="C3" s="6"/>
      <c r="D3" s="11"/>
      <c r="E3" s="12"/>
      <c r="F3" s="12"/>
      <c r="G3" s="11"/>
      <c r="H3" s="12"/>
      <c r="I3" s="12"/>
      <c r="J3" s="12"/>
      <c r="K3" s="6"/>
      <c r="L3" s="6"/>
      <c r="M3" s="6"/>
      <c r="N3" s="6"/>
      <c r="O3" s="10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7"/>
      <c r="C4" s="6"/>
      <c r="D4" s="11"/>
      <c r="E4" s="12"/>
      <c r="F4" s="12"/>
      <c r="G4" s="11"/>
      <c r="H4" s="12"/>
      <c r="I4" s="12"/>
      <c r="J4" s="12"/>
      <c r="K4" s="6"/>
      <c r="L4" s="6"/>
      <c r="M4" s="6"/>
      <c r="N4" s="6"/>
      <c r="O4" s="10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6"/>
      <c r="D5" s="11"/>
      <c r="E5" s="12"/>
      <c r="F5" s="12"/>
      <c r="G5" s="11"/>
      <c r="H5" s="12"/>
      <c r="I5" s="12"/>
      <c r="J5" s="12"/>
      <c r="K5" s="6"/>
      <c r="L5" s="6"/>
      <c r="M5" s="6"/>
      <c r="N5" s="6"/>
      <c r="O5" s="10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7"/>
      <c r="C6" s="6"/>
      <c r="D6" s="11"/>
      <c r="E6" s="12"/>
      <c r="F6" s="12"/>
      <c r="G6" s="11"/>
      <c r="H6" s="12"/>
      <c r="I6" s="12"/>
      <c r="J6" s="12"/>
      <c r="K6" s="6"/>
      <c r="L6" s="6"/>
      <c r="M6" s="6"/>
      <c r="N6" s="6"/>
      <c r="O6" s="10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B7" s="7"/>
      <c r="C7" s="6"/>
      <c r="D7" s="11"/>
      <c r="E7" s="12"/>
      <c r="F7" s="12"/>
      <c r="G7" s="11"/>
      <c r="H7" s="12"/>
      <c r="I7" s="12"/>
      <c r="J7" s="12"/>
      <c r="K7" s="6"/>
      <c r="L7" s="6"/>
      <c r="M7" s="6"/>
      <c r="N7" s="6"/>
      <c r="O7" s="10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7"/>
      <c r="C8" s="6"/>
      <c r="D8" s="11"/>
      <c r="E8" s="12"/>
      <c r="F8" s="12"/>
      <c r="G8" s="11"/>
      <c r="H8" s="12"/>
      <c r="I8" s="12"/>
      <c r="J8" s="12"/>
      <c r="K8" s="6"/>
      <c r="L8" s="6"/>
      <c r="M8" s="6"/>
      <c r="N8" s="6"/>
      <c r="O8" s="10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7"/>
      <c r="C9" s="6"/>
      <c r="D9" s="11"/>
      <c r="E9" s="12"/>
      <c r="F9" s="12"/>
      <c r="G9" s="11"/>
      <c r="H9" s="12"/>
      <c r="I9" s="12"/>
      <c r="J9" s="12"/>
      <c r="K9" s="6"/>
      <c r="L9" s="6"/>
      <c r="M9" s="6"/>
      <c r="N9" s="6"/>
      <c r="O9" s="10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7"/>
      <c r="C10" s="6"/>
      <c r="D10" s="11"/>
      <c r="E10" s="12"/>
      <c r="F10" s="12"/>
      <c r="G10" s="11"/>
      <c r="H10" s="12"/>
      <c r="I10" s="12"/>
      <c r="J10" s="12"/>
      <c r="K10" s="6"/>
      <c r="L10" s="6"/>
      <c r="M10" s="6"/>
      <c r="N10" s="6"/>
      <c r="O10" s="1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7"/>
      <c r="C11" s="6"/>
      <c r="D11" s="11"/>
      <c r="E11" s="12"/>
      <c r="F11" s="12"/>
      <c r="G11" s="11"/>
      <c r="H11" s="12"/>
      <c r="I11" s="12"/>
      <c r="J11" s="12"/>
      <c r="K11" s="6"/>
      <c r="L11" s="6"/>
      <c r="M11" s="6"/>
      <c r="N11" s="6"/>
      <c r="O11" s="10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7"/>
      <c r="C12" s="6"/>
      <c r="D12" s="11"/>
      <c r="E12" s="12"/>
      <c r="F12" s="12"/>
      <c r="G12" s="11"/>
      <c r="H12" s="12"/>
      <c r="I12" s="12"/>
      <c r="J12" s="12"/>
      <c r="K12" s="6"/>
      <c r="L12" s="6"/>
      <c r="M12" s="6"/>
      <c r="N12" s="6"/>
      <c r="O12" s="10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7"/>
      <c r="C13" s="6"/>
      <c r="D13" s="11"/>
      <c r="E13" s="12"/>
      <c r="F13" s="12"/>
      <c r="G13" s="11"/>
      <c r="H13" s="12"/>
      <c r="I13" s="12"/>
      <c r="J13" s="12"/>
      <c r="K13" s="6"/>
      <c r="L13" s="6"/>
      <c r="M13" s="6"/>
      <c r="N13" s="6"/>
      <c r="O13" s="10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7"/>
      <c r="C14" s="6"/>
      <c r="D14" s="11"/>
      <c r="E14" s="12"/>
      <c r="F14" s="12"/>
      <c r="G14" s="11"/>
      <c r="H14" s="12"/>
      <c r="I14" s="12"/>
      <c r="J14" s="12"/>
      <c r="K14" s="6"/>
      <c r="L14" s="6"/>
      <c r="M14" s="6"/>
      <c r="N14" s="6"/>
      <c r="O14" s="10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7"/>
      <c r="C15" s="6"/>
      <c r="D15" s="11"/>
      <c r="E15" s="12"/>
      <c r="F15" s="12"/>
      <c r="G15" s="11"/>
      <c r="H15" s="12"/>
      <c r="I15" s="12"/>
      <c r="J15" s="12"/>
      <c r="K15" s="6"/>
      <c r="L15" s="6"/>
      <c r="M15" s="6"/>
      <c r="N15" s="6"/>
      <c r="O15" s="10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7"/>
      <c r="C16" s="6"/>
      <c r="D16" s="11"/>
      <c r="E16" s="12"/>
      <c r="F16" s="12"/>
      <c r="G16" s="11"/>
      <c r="H16" s="12"/>
      <c r="I16" s="12"/>
      <c r="J16" s="12"/>
      <c r="K16" s="6"/>
      <c r="L16" s="6"/>
      <c r="M16" s="6"/>
      <c r="N16" s="6"/>
      <c r="O16" s="10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7"/>
      <c r="C17" s="6"/>
      <c r="D17" s="11"/>
      <c r="E17" s="12"/>
      <c r="F17" s="12"/>
      <c r="G17" s="11"/>
      <c r="H17" s="12"/>
      <c r="I17" s="12"/>
      <c r="J17" s="12"/>
      <c r="K17" s="6"/>
      <c r="L17" s="6"/>
      <c r="M17" s="6"/>
      <c r="N17" s="6"/>
      <c r="O17" s="10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7"/>
      <c r="C18" s="6"/>
      <c r="D18" s="11"/>
      <c r="E18" s="12"/>
      <c r="F18" s="12"/>
      <c r="G18" s="11"/>
      <c r="H18" s="12"/>
      <c r="I18" s="12"/>
      <c r="J18" s="12"/>
      <c r="K18" s="6"/>
      <c r="L18" s="6"/>
      <c r="M18" s="6"/>
      <c r="N18" s="6"/>
      <c r="O18" s="10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7"/>
      <c r="C19" s="6"/>
      <c r="D19" s="11"/>
      <c r="E19" s="12"/>
      <c r="F19" s="12"/>
      <c r="G19" s="11"/>
      <c r="H19" s="12"/>
      <c r="I19" s="12"/>
      <c r="J19" s="12"/>
      <c r="K19" s="6"/>
      <c r="L19" s="6"/>
      <c r="M19" s="6"/>
      <c r="N19" s="6"/>
      <c r="O19" s="10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7"/>
      <c r="C20" s="6"/>
      <c r="D20" s="11"/>
      <c r="E20" s="12"/>
      <c r="F20" s="12"/>
      <c r="G20" s="11"/>
      <c r="H20" s="12"/>
      <c r="I20" s="12"/>
      <c r="J20" s="12"/>
      <c r="K20" s="6"/>
      <c r="L20" s="6"/>
      <c r="M20" s="6"/>
      <c r="N20" s="6"/>
      <c r="O20" s="10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7"/>
      <c r="C21" s="6"/>
      <c r="D21" s="11"/>
      <c r="E21" s="12"/>
      <c r="F21" s="12"/>
      <c r="G21" s="11"/>
      <c r="H21" s="12"/>
      <c r="I21" s="12"/>
      <c r="J21" s="12"/>
      <c r="K21" s="6"/>
      <c r="L21" s="6"/>
      <c r="M21" s="6"/>
      <c r="N21" s="6"/>
      <c r="O21" s="10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7"/>
      <c r="C22" s="6"/>
      <c r="D22" s="11"/>
      <c r="E22" s="12"/>
      <c r="F22" s="12"/>
      <c r="G22" s="11"/>
      <c r="H22" s="12"/>
      <c r="I22" s="12"/>
      <c r="J22" s="12"/>
      <c r="K22" s="6"/>
      <c r="L22" s="6"/>
      <c r="M22" s="6"/>
      <c r="N22" s="6"/>
      <c r="O22" s="10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7"/>
      <c r="C23" s="6"/>
      <c r="D23" s="11"/>
      <c r="E23" s="12"/>
      <c r="F23" s="12"/>
      <c r="G23" s="11"/>
      <c r="H23" s="12"/>
      <c r="I23" s="12"/>
      <c r="J23" s="12"/>
      <c r="K23" s="6"/>
      <c r="L23" s="6"/>
      <c r="M23" s="6"/>
      <c r="N23" s="6"/>
      <c r="O23" s="10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7"/>
      <c r="C24" s="6"/>
      <c r="D24" s="11"/>
      <c r="E24" s="12"/>
      <c r="F24" s="12"/>
      <c r="G24" s="11"/>
      <c r="H24" s="12"/>
      <c r="I24" s="12"/>
      <c r="J24" s="12"/>
      <c r="K24" s="6"/>
      <c r="L24" s="6"/>
      <c r="M24" s="6"/>
      <c r="N24" s="6"/>
      <c r="O24" s="10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7"/>
      <c r="C25" s="6"/>
      <c r="D25" s="11"/>
      <c r="E25" s="12"/>
      <c r="F25" s="12"/>
      <c r="G25" s="11"/>
      <c r="H25" s="12"/>
      <c r="I25" s="12"/>
      <c r="J25" s="12"/>
      <c r="K25" s="6"/>
      <c r="L25" s="6"/>
      <c r="M25" s="6"/>
      <c r="N25" s="6"/>
      <c r="O25" s="10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7"/>
      <c r="C26" s="6"/>
      <c r="D26" s="11"/>
      <c r="E26" s="12"/>
      <c r="F26" s="12"/>
      <c r="G26" s="11"/>
      <c r="H26" s="12"/>
      <c r="I26" s="12"/>
      <c r="J26" s="12"/>
      <c r="K26" s="6"/>
      <c r="L26" s="6"/>
      <c r="M26" s="6"/>
      <c r="N26" s="6"/>
      <c r="O26" s="10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7"/>
      <c r="C27" s="6"/>
      <c r="D27" s="11"/>
      <c r="E27" s="12"/>
      <c r="F27" s="12"/>
      <c r="G27" s="11"/>
      <c r="H27" s="12"/>
      <c r="I27" s="12"/>
      <c r="J27" s="12"/>
      <c r="K27" s="6"/>
      <c r="L27" s="6"/>
      <c r="M27" s="6"/>
      <c r="N27" s="6"/>
      <c r="O27" s="10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7"/>
      <c r="C28" s="6"/>
      <c r="D28" s="11"/>
      <c r="E28" s="12"/>
      <c r="F28" s="12"/>
      <c r="G28" s="11"/>
      <c r="H28" s="12"/>
      <c r="I28" s="12"/>
      <c r="J28" s="12"/>
      <c r="K28" s="6"/>
      <c r="L28" s="6"/>
      <c r="M28" s="6"/>
      <c r="N28" s="6"/>
      <c r="O28" s="10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7"/>
      <c r="C29" s="6"/>
      <c r="D29" s="11"/>
      <c r="E29" s="12"/>
      <c r="F29" s="12"/>
      <c r="G29" s="11"/>
      <c r="H29" s="12"/>
      <c r="I29" s="12"/>
      <c r="J29" s="12"/>
      <c r="K29" s="6"/>
      <c r="L29" s="6"/>
      <c r="M29" s="6"/>
      <c r="N29" s="6"/>
      <c r="O29" s="10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7"/>
      <c r="C30" s="6"/>
      <c r="D30" s="11"/>
      <c r="E30" s="12"/>
      <c r="F30" s="12"/>
      <c r="G30" s="11"/>
      <c r="H30" s="12"/>
      <c r="I30" s="12"/>
      <c r="J30" s="12"/>
      <c r="K30" s="6"/>
      <c r="L30" s="6"/>
      <c r="M30" s="6"/>
      <c r="N30" s="6"/>
      <c r="O30" s="10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7"/>
      <c r="C31" s="6"/>
      <c r="D31" s="11"/>
      <c r="E31" s="12"/>
      <c r="F31" s="12"/>
      <c r="G31" s="11"/>
      <c r="H31" s="12"/>
      <c r="I31" s="12"/>
      <c r="J31" s="12"/>
      <c r="K31" s="6"/>
      <c r="L31" s="6"/>
      <c r="M31" s="6"/>
      <c r="N31" s="6"/>
      <c r="O31" s="10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7"/>
      <c r="C32" s="6"/>
      <c r="D32" s="11"/>
      <c r="E32" s="12"/>
      <c r="F32" s="12"/>
      <c r="G32" s="11"/>
      <c r="H32" s="12"/>
      <c r="I32" s="12"/>
      <c r="J32" s="12"/>
      <c r="K32" s="6"/>
      <c r="L32" s="6"/>
      <c r="M32" s="6"/>
      <c r="N32" s="6"/>
      <c r="O32" s="1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7"/>
      <c r="C33" s="6"/>
      <c r="D33" s="11"/>
      <c r="E33" s="12"/>
      <c r="F33" s="12"/>
      <c r="G33" s="11"/>
      <c r="H33" s="12"/>
      <c r="I33" s="12"/>
      <c r="J33" s="12"/>
      <c r="K33" s="6"/>
      <c r="L33" s="6"/>
      <c r="M33" s="6"/>
      <c r="N33" s="6"/>
      <c r="O33" s="10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7"/>
      <c r="C34" s="6"/>
      <c r="D34" s="11"/>
      <c r="E34" s="12"/>
      <c r="F34" s="12"/>
      <c r="G34" s="11"/>
      <c r="H34" s="12"/>
      <c r="I34" s="12"/>
      <c r="J34" s="12"/>
      <c r="K34" s="6"/>
      <c r="L34" s="6"/>
      <c r="M34" s="6"/>
      <c r="N34" s="6"/>
      <c r="O34" s="10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7"/>
      <c r="C35" s="6"/>
      <c r="D35" s="11"/>
      <c r="E35" s="12"/>
      <c r="F35" s="12"/>
      <c r="G35" s="11"/>
      <c r="H35" s="12"/>
      <c r="I35" s="12"/>
      <c r="J35" s="12"/>
      <c r="K35" s="6"/>
      <c r="L35" s="6"/>
      <c r="M35" s="6"/>
      <c r="N35" s="6"/>
      <c r="O35" s="10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7"/>
      <c r="C36" s="6"/>
      <c r="D36" s="11"/>
      <c r="E36" s="12"/>
      <c r="F36" s="12"/>
      <c r="G36" s="11"/>
      <c r="H36" s="12"/>
      <c r="I36" s="12"/>
      <c r="J36" s="12"/>
      <c r="K36" s="6"/>
      <c r="L36" s="6"/>
      <c r="M36" s="6"/>
      <c r="N36" s="6"/>
      <c r="O36" s="10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7"/>
      <c r="C37" s="6"/>
      <c r="D37" s="11"/>
      <c r="E37" s="12"/>
      <c r="F37" s="12"/>
      <c r="G37" s="11"/>
      <c r="H37" s="12"/>
      <c r="I37" s="12"/>
      <c r="J37" s="12"/>
      <c r="K37" s="6"/>
      <c r="L37" s="6"/>
      <c r="M37" s="6"/>
      <c r="N37" s="6"/>
      <c r="O37" s="10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/>
      <c r="B38" s="7"/>
      <c r="C38" s="6"/>
      <c r="D38" s="11"/>
      <c r="E38" s="12"/>
      <c r="F38" s="12"/>
      <c r="G38" s="11"/>
      <c r="H38" s="12"/>
      <c r="I38" s="12"/>
      <c r="J38" s="12"/>
      <c r="K38" s="6"/>
      <c r="L38" s="6"/>
      <c r="M38" s="6"/>
      <c r="N38" s="6"/>
      <c r="O38" s="10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7"/>
      <c r="C39" s="6"/>
      <c r="D39" s="11"/>
      <c r="E39" s="12"/>
      <c r="F39" s="12"/>
      <c r="G39" s="11"/>
      <c r="H39" s="12"/>
      <c r="I39" s="12"/>
      <c r="J39" s="12"/>
      <c r="K39" s="6"/>
      <c r="L39" s="6"/>
      <c r="M39" s="6"/>
      <c r="N39" s="6"/>
      <c r="O39" s="10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7"/>
      <c r="C40" s="6"/>
      <c r="D40" s="11"/>
      <c r="E40" s="12"/>
      <c r="F40" s="12"/>
      <c r="G40" s="11"/>
      <c r="H40" s="12"/>
      <c r="I40" s="12"/>
      <c r="J40" s="12"/>
      <c r="K40" s="6"/>
      <c r="L40" s="6"/>
      <c r="M40" s="6"/>
      <c r="N40" s="6"/>
      <c r="O40" s="10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7"/>
      <c r="C41" s="6"/>
      <c r="D41" s="11"/>
      <c r="E41" s="12"/>
      <c r="F41" s="12"/>
      <c r="G41" s="11"/>
      <c r="H41" s="12"/>
      <c r="I41" s="12"/>
      <c r="J41" s="12"/>
      <c r="K41" s="6"/>
      <c r="L41" s="6"/>
      <c r="M41" s="6"/>
      <c r="N41" s="6"/>
      <c r="O41" s="10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7"/>
      <c r="C42" s="6"/>
      <c r="D42" s="11"/>
      <c r="E42" s="12"/>
      <c r="F42" s="12"/>
      <c r="G42" s="11"/>
      <c r="H42" s="12"/>
      <c r="I42" s="12"/>
      <c r="J42" s="12"/>
      <c r="K42" s="6"/>
      <c r="L42" s="6"/>
      <c r="M42" s="6"/>
      <c r="N42" s="6"/>
      <c r="O42" s="10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7"/>
      <c r="C43" s="6"/>
      <c r="D43" s="11"/>
      <c r="E43" s="12"/>
      <c r="F43" s="12"/>
      <c r="G43" s="11"/>
      <c r="H43" s="12"/>
      <c r="I43" s="12"/>
      <c r="J43" s="12"/>
      <c r="K43" s="6"/>
      <c r="L43" s="6"/>
      <c r="M43" s="6"/>
      <c r="N43" s="6"/>
      <c r="O43" s="10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7"/>
      <c r="C44" s="6"/>
      <c r="D44" s="11"/>
      <c r="E44" s="12"/>
      <c r="F44" s="12"/>
      <c r="G44" s="11"/>
      <c r="H44" s="12"/>
      <c r="I44" s="12"/>
      <c r="J44" s="12"/>
      <c r="K44" s="6"/>
      <c r="L44" s="6"/>
      <c r="M44" s="6"/>
      <c r="N44" s="6"/>
      <c r="O44" s="10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7"/>
      <c r="C45" s="6"/>
      <c r="D45" s="11"/>
      <c r="E45" s="12"/>
      <c r="F45" s="12"/>
      <c r="G45" s="11"/>
      <c r="H45" s="12"/>
      <c r="I45" s="12"/>
      <c r="J45" s="12"/>
      <c r="K45" s="6"/>
      <c r="L45" s="6"/>
      <c r="M45" s="6"/>
      <c r="N45" s="6"/>
      <c r="O45" s="10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7"/>
      <c r="C46" s="6"/>
      <c r="D46" s="11"/>
      <c r="E46" s="12"/>
      <c r="F46" s="12"/>
      <c r="G46" s="11"/>
      <c r="H46" s="12"/>
      <c r="I46" s="12"/>
      <c r="J46" s="12"/>
      <c r="K46" s="6"/>
      <c r="L46" s="6"/>
      <c r="M46" s="6"/>
      <c r="N46" s="6"/>
      <c r="O46" s="10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7"/>
      <c r="C47" s="6"/>
      <c r="D47" s="11"/>
      <c r="E47" s="12"/>
      <c r="F47" s="12"/>
      <c r="G47" s="11"/>
      <c r="H47" s="12"/>
      <c r="I47" s="12"/>
      <c r="J47" s="12"/>
      <c r="K47" s="6"/>
      <c r="L47" s="6"/>
      <c r="M47" s="6"/>
      <c r="N47" s="6"/>
      <c r="O47" s="10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7"/>
      <c r="C48" s="6"/>
      <c r="D48" s="11"/>
      <c r="E48" s="12"/>
      <c r="F48" s="12"/>
      <c r="G48" s="11"/>
      <c r="H48" s="12"/>
      <c r="I48" s="12"/>
      <c r="J48" s="12"/>
      <c r="K48" s="6"/>
      <c r="L48" s="6"/>
      <c r="M48" s="6"/>
      <c r="N48" s="6"/>
      <c r="O48" s="10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7"/>
      <c r="C49" s="6"/>
      <c r="D49" s="11"/>
      <c r="E49" s="12"/>
      <c r="F49" s="12"/>
      <c r="G49" s="11"/>
      <c r="H49" s="12"/>
      <c r="I49" s="12"/>
      <c r="J49" s="12"/>
      <c r="K49" s="6"/>
      <c r="L49" s="6"/>
      <c r="M49" s="6"/>
      <c r="N49" s="6"/>
      <c r="O49" s="10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7"/>
      <c r="C50" s="6"/>
      <c r="D50" s="11"/>
      <c r="E50" s="12"/>
      <c r="F50" s="12"/>
      <c r="G50" s="11"/>
      <c r="H50" s="12"/>
      <c r="I50" s="12"/>
      <c r="J50" s="12"/>
      <c r="K50" s="6"/>
      <c r="L50" s="6"/>
      <c r="M50" s="6"/>
      <c r="N50" s="6"/>
      <c r="O50" s="10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7"/>
      <c r="C51" s="6"/>
      <c r="D51" s="11"/>
      <c r="E51" s="12"/>
      <c r="F51" s="12"/>
      <c r="G51" s="11"/>
      <c r="H51" s="12"/>
      <c r="I51" s="12"/>
      <c r="J51" s="12"/>
      <c r="K51" s="6"/>
      <c r="L51" s="6"/>
      <c r="M51" s="6"/>
      <c r="N51" s="6"/>
      <c r="O51" s="10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7"/>
      <c r="C52" s="6"/>
      <c r="D52" s="11"/>
      <c r="E52" s="12"/>
      <c r="F52" s="12"/>
      <c r="G52" s="11"/>
      <c r="H52" s="12"/>
      <c r="I52" s="12"/>
      <c r="J52" s="12"/>
      <c r="K52" s="6"/>
      <c r="L52" s="6"/>
      <c r="M52" s="6"/>
      <c r="N52" s="6"/>
      <c r="O52" s="10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7"/>
      <c r="C53" s="6"/>
      <c r="D53" s="11"/>
      <c r="E53" s="12"/>
      <c r="F53" s="12"/>
      <c r="G53" s="11"/>
      <c r="H53" s="12"/>
      <c r="I53" s="12"/>
      <c r="J53" s="12"/>
      <c r="K53" s="6"/>
      <c r="L53" s="6"/>
      <c r="M53" s="6"/>
      <c r="N53" s="6"/>
      <c r="O53" s="10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7"/>
      <c r="C54" s="6"/>
      <c r="D54" s="11"/>
      <c r="E54" s="12"/>
      <c r="F54" s="12"/>
      <c r="G54" s="11"/>
      <c r="H54" s="12"/>
      <c r="I54" s="12"/>
      <c r="J54" s="12"/>
      <c r="K54" s="6"/>
      <c r="L54" s="6"/>
      <c r="M54" s="6"/>
      <c r="N54" s="6"/>
      <c r="O54" s="10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7"/>
      <c r="C55" s="6"/>
      <c r="D55" s="11"/>
      <c r="E55" s="12"/>
      <c r="F55" s="12"/>
      <c r="G55" s="11"/>
      <c r="H55" s="12"/>
      <c r="I55" s="12"/>
      <c r="J55" s="12"/>
      <c r="K55" s="6"/>
      <c r="L55" s="6"/>
      <c r="M55" s="6"/>
      <c r="N55" s="6"/>
      <c r="O55" s="1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7"/>
      <c r="C56" s="6"/>
      <c r="D56" s="11"/>
      <c r="E56" s="12"/>
      <c r="F56" s="12"/>
      <c r="G56" s="11"/>
      <c r="H56" s="12"/>
      <c r="I56" s="12"/>
      <c r="J56" s="12"/>
      <c r="K56" s="6"/>
      <c r="L56" s="6"/>
      <c r="M56" s="6"/>
      <c r="N56" s="6"/>
      <c r="O56" s="10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7"/>
      <c r="C57" s="6"/>
      <c r="D57" s="11"/>
      <c r="E57" s="12"/>
      <c r="F57" s="12"/>
      <c r="G57" s="11"/>
      <c r="H57" s="12"/>
      <c r="I57" s="12"/>
      <c r="J57" s="12"/>
      <c r="K57" s="6"/>
      <c r="L57" s="6"/>
      <c r="M57" s="6"/>
      <c r="N57" s="6"/>
      <c r="O57" s="10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7"/>
      <c r="C58" s="6"/>
      <c r="D58" s="11"/>
      <c r="E58" s="12"/>
      <c r="F58" s="12"/>
      <c r="G58" s="11"/>
      <c r="H58" s="12"/>
      <c r="I58" s="12"/>
      <c r="J58" s="12"/>
      <c r="K58" s="6"/>
      <c r="L58" s="6"/>
      <c r="M58" s="6"/>
      <c r="N58" s="6"/>
      <c r="O58" s="10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7"/>
      <c r="C59" s="6"/>
      <c r="D59" s="11"/>
      <c r="E59" s="12"/>
      <c r="F59" s="12"/>
      <c r="G59" s="11"/>
      <c r="H59" s="12"/>
      <c r="I59" s="12"/>
      <c r="J59" s="12"/>
      <c r="K59" s="6"/>
      <c r="L59" s="6"/>
      <c r="M59" s="6"/>
      <c r="N59" s="6"/>
      <c r="O59" s="10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7"/>
      <c r="C60" s="6"/>
      <c r="D60" s="11"/>
      <c r="E60" s="12"/>
      <c r="F60" s="12"/>
      <c r="G60" s="11"/>
      <c r="H60" s="12"/>
      <c r="I60" s="12"/>
      <c r="J60" s="12"/>
      <c r="K60" s="6"/>
      <c r="L60" s="6"/>
      <c r="M60" s="6"/>
      <c r="N60" s="6"/>
      <c r="O60" s="10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7"/>
      <c r="C61" s="6"/>
      <c r="D61" s="11"/>
      <c r="E61" s="12"/>
      <c r="F61" s="12"/>
      <c r="G61" s="11"/>
      <c r="H61" s="12"/>
      <c r="I61" s="12"/>
      <c r="J61" s="12"/>
      <c r="K61" s="6"/>
      <c r="L61" s="6"/>
      <c r="M61" s="6"/>
      <c r="N61" s="6"/>
      <c r="O61" s="10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7"/>
      <c r="C62" s="6"/>
      <c r="D62" s="11"/>
      <c r="E62" s="12"/>
      <c r="F62" s="12"/>
      <c r="G62" s="11"/>
      <c r="H62" s="12"/>
      <c r="I62" s="12"/>
      <c r="J62" s="12"/>
      <c r="K62" s="6"/>
      <c r="L62" s="6"/>
      <c r="M62" s="6"/>
      <c r="N62" s="6"/>
      <c r="O62" s="10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7"/>
      <c r="C63" s="6"/>
      <c r="D63" s="11"/>
      <c r="E63" s="12"/>
      <c r="F63" s="12"/>
      <c r="G63" s="11"/>
      <c r="H63" s="12"/>
      <c r="I63" s="12"/>
      <c r="J63" s="12"/>
      <c r="K63" s="6"/>
      <c r="L63" s="6"/>
      <c r="M63" s="6"/>
      <c r="N63" s="6"/>
      <c r="O63" s="10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7"/>
      <c r="C64" s="6"/>
      <c r="D64" s="11"/>
      <c r="E64" s="12"/>
      <c r="F64" s="12"/>
      <c r="G64" s="11"/>
      <c r="H64" s="12"/>
      <c r="I64" s="12"/>
      <c r="J64" s="12"/>
      <c r="K64" s="6"/>
      <c r="L64" s="6"/>
      <c r="M64" s="6"/>
      <c r="N64" s="6"/>
      <c r="O64" s="10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7"/>
      <c r="C65" s="6"/>
      <c r="D65" s="11"/>
      <c r="E65" s="12"/>
      <c r="F65" s="12"/>
      <c r="G65" s="11"/>
      <c r="H65" s="12"/>
      <c r="I65" s="12"/>
      <c r="J65" s="12"/>
      <c r="K65" s="6"/>
      <c r="L65" s="6"/>
      <c r="M65" s="6"/>
      <c r="N65" s="6"/>
      <c r="O65" s="10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7"/>
      <c r="C66" s="6"/>
      <c r="D66" s="11"/>
      <c r="E66" s="12"/>
      <c r="F66" s="12"/>
      <c r="G66" s="11"/>
      <c r="H66" s="12"/>
      <c r="I66" s="12"/>
      <c r="J66" s="12"/>
      <c r="K66" s="6"/>
      <c r="L66" s="6"/>
      <c r="M66" s="6"/>
      <c r="N66" s="6"/>
      <c r="O66" s="10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7"/>
      <c r="C67" s="6"/>
      <c r="D67" s="11"/>
      <c r="E67" s="12"/>
      <c r="F67" s="12"/>
      <c r="G67" s="11"/>
      <c r="H67" s="12"/>
      <c r="I67" s="12"/>
      <c r="J67" s="12"/>
      <c r="K67" s="6"/>
      <c r="L67" s="6"/>
      <c r="M67" s="6"/>
      <c r="N67" s="6"/>
      <c r="O67" s="1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7"/>
      <c r="C68" s="6"/>
      <c r="D68" s="11"/>
      <c r="E68" s="12"/>
      <c r="F68" s="12"/>
      <c r="G68" s="11"/>
      <c r="H68" s="12"/>
      <c r="I68" s="12"/>
      <c r="J68" s="12"/>
      <c r="K68" s="6"/>
      <c r="L68" s="6"/>
      <c r="M68" s="6"/>
      <c r="N68" s="6"/>
      <c r="O68" s="10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/>
      <c r="B69" s="7"/>
      <c r="C69" s="6"/>
      <c r="D69" s="11"/>
      <c r="E69" s="12"/>
      <c r="F69" s="12"/>
      <c r="G69" s="11"/>
      <c r="H69" s="12"/>
      <c r="I69" s="12"/>
      <c r="J69" s="12"/>
      <c r="K69" s="6"/>
      <c r="L69" s="6"/>
      <c r="M69" s="6"/>
      <c r="N69" s="6"/>
      <c r="O69" s="10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/>
      <c r="B70" s="7"/>
      <c r="C70" s="6"/>
      <c r="D70" s="11"/>
      <c r="E70" s="12"/>
      <c r="F70" s="12"/>
      <c r="G70" s="11"/>
      <c r="H70" s="12"/>
      <c r="I70" s="12"/>
      <c r="J70" s="12"/>
      <c r="K70" s="6"/>
      <c r="L70" s="6"/>
      <c r="M70" s="6"/>
      <c r="N70" s="6"/>
      <c r="O70" s="10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/>
      <c r="B71" s="7"/>
      <c r="C71" s="6"/>
      <c r="D71" s="11"/>
      <c r="E71" s="12"/>
      <c r="F71" s="12"/>
      <c r="G71" s="11"/>
      <c r="H71" s="12"/>
      <c r="I71" s="12"/>
      <c r="J71" s="12"/>
      <c r="K71" s="6"/>
      <c r="L71" s="6"/>
      <c r="M71" s="6"/>
      <c r="N71" s="6"/>
      <c r="O71" s="10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/>
      <c r="B72" s="7"/>
      <c r="C72" s="6"/>
      <c r="D72" s="11"/>
      <c r="E72" s="12"/>
      <c r="F72" s="12"/>
      <c r="G72" s="11"/>
      <c r="H72" s="12"/>
      <c r="I72" s="12"/>
      <c r="J72" s="12"/>
      <c r="K72" s="6"/>
      <c r="L72" s="6"/>
      <c r="M72" s="6"/>
      <c r="N72" s="6"/>
      <c r="O72" s="10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/>
      <c r="B73" s="7"/>
      <c r="C73" s="6"/>
      <c r="D73" s="11"/>
      <c r="E73" s="12"/>
      <c r="F73" s="12"/>
      <c r="G73" s="11"/>
      <c r="H73" s="12"/>
      <c r="I73" s="12"/>
      <c r="J73" s="12"/>
      <c r="K73" s="6"/>
      <c r="L73" s="6"/>
      <c r="M73" s="6"/>
      <c r="N73" s="6"/>
      <c r="O73" s="1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/>
      <c r="B74" s="7"/>
      <c r="C74" s="6"/>
      <c r="D74" s="11"/>
      <c r="E74" s="12"/>
      <c r="F74" s="12"/>
      <c r="G74" s="11"/>
      <c r="H74" s="12"/>
      <c r="I74" s="12"/>
      <c r="J74" s="12"/>
      <c r="K74" s="6"/>
      <c r="L74" s="6"/>
      <c r="M74" s="6"/>
      <c r="N74" s="6"/>
      <c r="O74" s="10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/>
      <c r="B75" s="7"/>
      <c r="C75" s="6"/>
      <c r="D75" s="11"/>
      <c r="E75" s="12"/>
      <c r="F75" s="12"/>
      <c r="G75" s="11"/>
      <c r="H75" s="12"/>
      <c r="I75" s="12"/>
      <c r="J75" s="12"/>
      <c r="K75" s="6"/>
      <c r="L75" s="6"/>
      <c r="M75" s="6"/>
      <c r="N75" s="6"/>
      <c r="O75" s="10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7"/>
      <c r="C76" s="6"/>
      <c r="D76" s="11"/>
      <c r="E76" s="12"/>
      <c r="F76" s="12"/>
      <c r="G76" s="11"/>
      <c r="H76" s="12"/>
      <c r="I76" s="12"/>
      <c r="J76" s="12"/>
      <c r="K76" s="6"/>
      <c r="L76" s="6"/>
      <c r="M76" s="6"/>
      <c r="N76" s="6"/>
      <c r="O76" s="10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/>
      <c r="B77" s="7"/>
      <c r="C77" s="6"/>
      <c r="D77" s="11"/>
      <c r="E77" s="12"/>
      <c r="F77" s="12"/>
      <c r="G77" s="11"/>
      <c r="H77" s="12"/>
      <c r="I77" s="12"/>
      <c r="J77" s="12"/>
      <c r="K77" s="6"/>
      <c r="L77" s="6"/>
      <c r="M77" s="6"/>
      <c r="N77" s="6"/>
      <c r="O77" s="10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7"/>
      <c r="C78" s="6"/>
      <c r="D78" s="11"/>
      <c r="E78" s="12"/>
      <c r="F78" s="12"/>
      <c r="G78" s="11"/>
      <c r="H78" s="12"/>
      <c r="I78" s="12"/>
      <c r="J78" s="12"/>
      <c r="K78" s="6"/>
      <c r="L78" s="6"/>
      <c r="M78" s="6"/>
      <c r="N78" s="6"/>
      <c r="O78" s="10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/>
      <c r="B79" s="7"/>
      <c r="C79" s="6"/>
      <c r="D79" s="11"/>
      <c r="E79" s="12"/>
      <c r="F79" s="12"/>
      <c r="G79" s="11"/>
      <c r="H79" s="12"/>
      <c r="I79" s="12"/>
      <c r="J79" s="12"/>
      <c r="K79" s="6"/>
      <c r="L79" s="6"/>
      <c r="M79" s="6"/>
      <c r="N79" s="6"/>
      <c r="O79" s="10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7"/>
      <c r="C80" s="6"/>
      <c r="D80" s="11"/>
      <c r="E80" s="12"/>
      <c r="F80" s="12"/>
      <c r="G80" s="11"/>
      <c r="H80" s="12"/>
      <c r="I80" s="12"/>
      <c r="J80" s="12"/>
      <c r="K80" s="6"/>
      <c r="L80" s="6"/>
      <c r="M80" s="6"/>
      <c r="N80" s="6"/>
      <c r="O80" s="10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7"/>
      <c r="C81" s="6"/>
      <c r="D81" s="11"/>
      <c r="E81" s="12"/>
      <c r="F81" s="12"/>
      <c r="G81" s="11"/>
      <c r="H81" s="12"/>
      <c r="I81" s="12"/>
      <c r="J81" s="12"/>
      <c r="K81" s="6"/>
      <c r="L81" s="6"/>
      <c r="M81" s="6"/>
      <c r="N81" s="6"/>
      <c r="O81" s="10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7"/>
      <c r="C82" s="6"/>
      <c r="D82" s="11"/>
      <c r="E82" s="12"/>
      <c r="F82" s="12"/>
      <c r="G82" s="11"/>
      <c r="H82" s="12"/>
      <c r="I82" s="12"/>
      <c r="J82" s="12"/>
      <c r="K82" s="6"/>
      <c r="L82" s="6"/>
      <c r="M82" s="6"/>
      <c r="N82" s="6"/>
      <c r="O82" s="10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7"/>
      <c r="C83" s="6"/>
      <c r="D83" s="11"/>
      <c r="E83" s="12"/>
      <c r="F83" s="12"/>
      <c r="G83" s="11"/>
      <c r="H83" s="12"/>
      <c r="I83" s="12"/>
      <c r="J83" s="12"/>
      <c r="K83" s="6"/>
      <c r="L83" s="6"/>
      <c r="M83" s="6"/>
      <c r="N83" s="6"/>
      <c r="O83" s="10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7"/>
      <c r="C84" s="6"/>
      <c r="D84" s="11"/>
      <c r="E84" s="12"/>
      <c r="F84" s="12"/>
      <c r="G84" s="11"/>
      <c r="H84" s="12"/>
      <c r="I84" s="12"/>
      <c r="J84" s="12"/>
      <c r="K84" s="6"/>
      <c r="L84" s="6"/>
      <c r="M84" s="6"/>
      <c r="N84" s="6"/>
      <c r="O84" s="10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7"/>
      <c r="C85" s="6"/>
      <c r="D85" s="11"/>
      <c r="E85" s="12"/>
      <c r="F85" s="12"/>
      <c r="G85" s="11"/>
      <c r="H85" s="12"/>
      <c r="I85" s="12"/>
      <c r="J85" s="12"/>
      <c r="K85" s="6"/>
      <c r="L85" s="6"/>
      <c r="M85" s="6"/>
      <c r="N85" s="6"/>
      <c r="O85" s="10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7"/>
      <c r="C86" s="6"/>
      <c r="D86" s="11"/>
      <c r="E86" s="12"/>
      <c r="F86" s="12"/>
      <c r="G86" s="11"/>
      <c r="H86" s="12"/>
      <c r="I86" s="12"/>
      <c r="J86" s="12"/>
      <c r="K86" s="6"/>
      <c r="L86" s="6"/>
      <c r="M86" s="6"/>
      <c r="N86" s="6"/>
      <c r="O86" s="10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7"/>
      <c r="C87" s="6"/>
      <c r="D87" s="11"/>
      <c r="E87" s="12"/>
      <c r="F87" s="12"/>
      <c r="G87" s="11"/>
      <c r="H87" s="12"/>
      <c r="I87" s="12"/>
      <c r="J87" s="12"/>
      <c r="K87" s="6"/>
      <c r="L87" s="6"/>
      <c r="M87" s="6"/>
      <c r="N87" s="6"/>
      <c r="O87" s="10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7"/>
      <c r="C88" s="6"/>
      <c r="D88" s="11"/>
      <c r="E88" s="12"/>
      <c r="F88" s="12"/>
      <c r="G88" s="11"/>
      <c r="H88" s="12"/>
      <c r="I88" s="12"/>
      <c r="J88" s="12"/>
      <c r="K88" s="6"/>
      <c r="L88" s="6"/>
      <c r="M88" s="6"/>
      <c r="N88" s="6"/>
      <c r="O88" s="10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7"/>
      <c r="C89" s="6"/>
      <c r="D89" s="11"/>
      <c r="E89" s="12"/>
      <c r="F89" s="12"/>
      <c r="G89" s="11"/>
      <c r="H89" s="12"/>
      <c r="I89" s="12"/>
      <c r="J89" s="12"/>
      <c r="K89" s="6"/>
      <c r="L89" s="6"/>
      <c r="M89" s="6"/>
      <c r="N89" s="6"/>
      <c r="O89" s="10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7"/>
      <c r="C90" s="6"/>
      <c r="D90" s="11"/>
      <c r="E90" s="12"/>
      <c r="F90" s="12"/>
      <c r="G90" s="11"/>
      <c r="H90" s="12"/>
      <c r="I90" s="12"/>
      <c r="J90" s="12"/>
      <c r="K90" s="6"/>
      <c r="L90" s="6"/>
      <c r="M90" s="6"/>
      <c r="N90" s="6"/>
      <c r="O90" s="10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7"/>
      <c r="C91" s="6"/>
      <c r="D91" s="11"/>
      <c r="E91" s="12"/>
      <c r="F91" s="12"/>
      <c r="G91" s="11"/>
      <c r="H91" s="12"/>
      <c r="I91" s="12"/>
      <c r="J91" s="12"/>
      <c r="K91" s="6"/>
      <c r="L91" s="6"/>
      <c r="M91" s="6"/>
      <c r="N91" s="6"/>
      <c r="O91" s="10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7"/>
      <c r="C92" s="6"/>
      <c r="D92" s="11"/>
      <c r="E92" s="12"/>
      <c r="F92" s="12"/>
      <c r="G92" s="11"/>
      <c r="H92" s="12"/>
      <c r="I92" s="12"/>
      <c r="J92" s="12"/>
      <c r="K92" s="6"/>
      <c r="L92" s="6"/>
      <c r="M92" s="6"/>
      <c r="N92" s="6"/>
      <c r="O92" s="10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7"/>
      <c r="C93" s="6"/>
      <c r="D93" s="11"/>
      <c r="E93" s="12"/>
      <c r="F93" s="12"/>
      <c r="G93" s="11"/>
      <c r="H93" s="12"/>
      <c r="I93" s="12"/>
      <c r="J93" s="12"/>
      <c r="K93" s="6"/>
      <c r="L93" s="6"/>
      <c r="M93" s="6"/>
      <c r="N93" s="6"/>
      <c r="O93" s="10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7"/>
      <c r="C94" s="6"/>
      <c r="D94" s="11"/>
      <c r="E94" s="12"/>
      <c r="F94" s="12"/>
      <c r="G94" s="11"/>
      <c r="H94" s="12"/>
      <c r="I94" s="12"/>
      <c r="J94" s="12"/>
      <c r="K94" s="6"/>
      <c r="L94" s="6"/>
      <c r="M94" s="6"/>
      <c r="N94" s="6"/>
      <c r="O94" s="10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7"/>
      <c r="C95" s="6"/>
      <c r="D95" s="11"/>
      <c r="E95" s="12"/>
      <c r="F95" s="12"/>
      <c r="G95" s="11"/>
      <c r="H95" s="12"/>
      <c r="I95" s="12"/>
      <c r="J95" s="12"/>
      <c r="K95" s="6"/>
      <c r="L95" s="6"/>
      <c r="M95" s="6"/>
      <c r="N95" s="6"/>
      <c r="O95" s="10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7"/>
      <c r="C96" s="6"/>
      <c r="D96" s="11"/>
      <c r="E96" s="12"/>
      <c r="F96" s="12"/>
      <c r="G96" s="11"/>
      <c r="H96" s="12"/>
      <c r="I96" s="12"/>
      <c r="J96" s="12"/>
      <c r="K96" s="6"/>
      <c r="L96" s="6"/>
      <c r="M96" s="6"/>
      <c r="N96" s="6"/>
      <c r="O96" s="10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7"/>
      <c r="C97" s="6"/>
      <c r="D97" s="11"/>
      <c r="E97" s="12"/>
      <c r="F97" s="12"/>
      <c r="G97" s="11"/>
      <c r="H97" s="12"/>
      <c r="I97" s="12"/>
      <c r="J97" s="12"/>
      <c r="K97" s="6"/>
      <c r="L97" s="6"/>
      <c r="M97" s="6"/>
      <c r="N97" s="6"/>
      <c r="O97" s="10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7"/>
      <c r="C98" s="6"/>
      <c r="D98" s="11"/>
      <c r="E98" s="12"/>
      <c r="F98" s="12"/>
      <c r="G98" s="11"/>
      <c r="H98" s="12"/>
      <c r="I98" s="12"/>
      <c r="J98" s="12"/>
      <c r="K98" s="6"/>
      <c r="L98" s="6"/>
      <c r="M98" s="6"/>
      <c r="N98" s="6"/>
      <c r="O98" s="10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7"/>
      <c r="C99" s="6"/>
      <c r="D99" s="11"/>
      <c r="E99" s="12"/>
      <c r="F99" s="12"/>
      <c r="G99" s="11"/>
      <c r="H99" s="12"/>
      <c r="I99" s="12"/>
      <c r="J99" s="12"/>
      <c r="K99" s="6"/>
      <c r="L99" s="6"/>
      <c r="M99" s="6"/>
      <c r="N99" s="6"/>
      <c r="O99" s="10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7"/>
      <c r="C100" s="6"/>
      <c r="D100" s="11"/>
      <c r="E100" s="12"/>
      <c r="F100" s="12"/>
      <c r="G100" s="11"/>
      <c r="H100" s="12"/>
      <c r="I100" s="12"/>
      <c r="J100" s="12"/>
      <c r="K100" s="6"/>
      <c r="L100" s="6"/>
      <c r="M100" s="6"/>
      <c r="N100" s="6"/>
      <c r="O100" s="10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7"/>
      <c r="C101" s="6"/>
      <c r="D101" s="11"/>
      <c r="E101" s="12"/>
      <c r="F101" s="12"/>
      <c r="G101" s="11"/>
      <c r="H101" s="12"/>
      <c r="I101" s="12"/>
      <c r="J101" s="12"/>
      <c r="K101" s="6"/>
      <c r="L101" s="6"/>
      <c r="M101" s="6"/>
      <c r="N101" s="6"/>
      <c r="O101" s="1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7"/>
      <c r="C102" s="6"/>
      <c r="D102" s="11"/>
      <c r="E102" s="12"/>
      <c r="F102" s="12"/>
      <c r="G102" s="11"/>
      <c r="H102" s="12"/>
      <c r="I102" s="12"/>
      <c r="J102" s="12"/>
      <c r="K102" s="6"/>
      <c r="L102" s="6"/>
      <c r="M102" s="6"/>
      <c r="N102" s="6"/>
      <c r="O102" s="10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7"/>
      <c r="C103" s="6"/>
      <c r="D103" s="11"/>
      <c r="E103" s="12"/>
      <c r="F103" s="12"/>
      <c r="G103" s="11"/>
      <c r="H103" s="12"/>
      <c r="I103" s="12"/>
      <c r="J103" s="12"/>
      <c r="K103" s="6"/>
      <c r="L103" s="6"/>
      <c r="M103" s="6"/>
      <c r="N103" s="6"/>
      <c r="O103" s="10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7"/>
      <c r="C104" s="6"/>
      <c r="D104" s="11"/>
      <c r="E104" s="12"/>
      <c r="F104" s="12"/>
      <c r="G104" s="11"/>
      <c r="H104" s="12"/>
      <c r="I104" s="12"/>
      <c r="J104" s="12"/>
      <c r="K104" s="6"/>
      <c r="L104" s="6"/>
      <c r="M104" s="6"/>
      <c r="N104" s="6"/>
      <c r="O104" s="10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7"/>
      <c r="C105" s="6"/>
      <c r="D105" s="11"/>
      <c r="E105" s="12"/>
      <c r="F105" s="12"/>
      <c r="G105" s="11"/>
      <c r="H105" s="12"/>
      <c r="I105" s="12"/>
      <c r="J105" s="12"/>
      <c r="K105" s="6"/>
      <c r="L105" s="6"/>
      <c r="M105" s="6"/>
      <c r="N105" s="6"/>
      <c r="O105" s="10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7"/>
      <c r="C106" s="6"/>
      <c r="D106" s="11"/>
      <c r="E106" s="12"/>
      <c r="F106" s="12"/>
      <c r="G106" s="11"/>
      <c r="H106" s="12"/>
      <c r="I106" s="12"/>
      <c r="J106" s="12"/>
      <c r="K106" s="6"/>
      <c r="L106" s="6"/>
      <c r="M106" s="6"/>
      <c r="N106" s="6"/>
      <c r="O106" s="10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7"/>
      <c r="C107" s="6"/>
      <c r="D107" s="11"/>
      <c r="E107" s="12"/>
      <c r="F107" s="12"/>
      <c r="G107" s="11"/>
      <c r="H107" s="12"/>
      <c r="I107" s="12"/>
      <c r="J107" s="12"/>
      <c r="K107" s="6"/>
      <c r="L107" s="6"/>
      <c r="M107" s="6"/>
      <c r="N107" s="6"/>
      <c r="O107" s="10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7"/>
      <c r="C108" s="6"/>
      <c r="D108" s="11"/>
      <c r="E108" s="12"/>
      <c r="F108" s="12"/>
      <c r="G108" s="11"/>
      <c r="H108" s="12"/>
      <c r="I108" s="12"/>
      <c r="J108" s="12"/>
      <c r="K108" s="6"/>
      <c r="L108" s="6"/>
      <c r="M108" s="6"/>
      <c r="N108" s="6"/>
      <c r="O108" s="10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7"/>
      <c r="C109" s="6"/>
      <c r="D109" s="11"/>
      <c r="E109" s="12"/>
      <c r="F109" s="12"/>
      <c r="G109" s="11"/>
      <c r="H109" s="12"/>
      <c r="I109" s="12"/>
      <c r="J109" s="12"/>
      <c r="K109" s="6"/>
      <c r="L109" s="6"/>
      <c r="M109" s="6"/>
      <c r="N109" s="6"/>
      <c r="O109" s="10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7"/>
      <c r="C110" s="6"/>
      <c r="D110" s="11"/>
      <c r="E110" s="12"/>
      <c r="F110" s="12"/>
      <c r="G110" s="11"/>
      <c r="H110" s="12"/>
      <c r="I110" s="12"/>
      <c r="J110" s="12"/>
      <c r="K110" s="6"/>
      <c r="L110" s="6"/>
      <c r="M110" s="6"/>
      <c r="N110" s="6"/>
      <c r="O110" s="10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/>
      <c r="B111" s="7"/>
      <c r="C111" s="6"/>
      <c r="D111" s="11"/>
      <c r="E111" s="12"/>
      <c r="F111" s="12"/>
      <c r="G111" s="11"/>
      <c r="H111" s="12"/>
      <c r="I111" s="12"/>
      <c r="J111" s="12"/>
      <c r="K111" s="6"/>
      <c r="L111" s="6"/>
      <c r="M111" s="6"/>
      <c r="N111" s="6"/>
      <c r="O111" s="10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/>
      <c r="B112" s="7"/>
      <c r="C112" s="6"/>
      <c r="D112" s="11"/>
      <c r="E112" s="12"/>
      <c r="F112" s="12"/>
      <c r="G112" s="11"/>
      <c r="H112" s="12"/>
      <c r="I112" s="12"/>
      <c r="J112" s="12"/>
      <c r="K112" s="6"/>
      <c r="L112" s="6"/>
      <c r="M112" s="6"/>
      <c r="N112" s="6"/>
      <c r="O112" s="10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/>
      <c r="B113" s="7"/>
      <c r="C113" s="6"/>
      <c r="D113" s="11"/>
      <c r="E113" s="12"/>
      <c r="F113" s="12"/>
      <c r="G113" s="11"/>
      <c r="H113" s="12"/>
      <c r="I113" s="12"/>
      <c r="J113" s="12"/>
      <c r="K113" s="6"/>
      <c r="L113" s="6"/>
      <c r="M113" s="6"/>
      <c r="N113" s="6"/>
      <c r="O113" s="10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/>
      <c r="B114" s="7"/>
      <c r="C114" s="6"/>
      <c r="D114" s="11"/>
      <c r="E114" s="12"/>
      <c r="F114" s="12"/>
      <c r="G114" s="11"/>
      <c r="H114" s="12"/>
      <c r="I114" s="12"/>
      <c r="J114" s="12"/>
      <c r="K114" s="6"/>
      <c r="L114" s="6"/>
      <c r="M114" s="6"/>
      <c r="N114" s="6"/>
      <c r="O114" s="10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/>
      <c r="B115" s="7"/>
      <c r="C115" s="6"/>
      <c r="D115" s="11"/>
      <c r="E115" s="12"/>
      <c r="F115" s="12"/>
      <c r="G115" s="11"/>
      <c r="H115" s="12"/>
      <c r="I115" s="12"/>
      <c r="J115" s="12"/>
      <c r="K115" s="6"/>
      <c r="L115" s="6"/>
      <c r="M115" s="6"/>
      <c r="N115" s="6"/>
      <c r="O115" s="10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/>
      <c r="B116" s="7"/>
      <c r="C116" s="6"/>
      <c r="D116" s="11"/>
      <c r="E116" s="12"/>
      <c r="F116" s="12"/>
      <c r="G116" s="11"/>
      <c r="H116" s="12"/>
      <c r="I116" s="12"/>
      <c r="J116" s="12"/>
      <c r="K116" s="6"/>
      <c r="L116" s="6"/>
      <c r="M116" s="6"/>
      <c r="N116" s="6"/>
      <c r="O116" s="10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/>
      <c r="B117" s="7"/>
      <c r="C117" s="6"/>
      <c r="D117" s="11"/>
      <c r="E117" s="12"/>
      <c r="F117" s="12"/>
      <c r="G117" s="11"/>
      <c r="H117" s="12"/>
      <c r="I117" s="12"/>
      <c r="J117" s="12"/>
      <c r="K117" s="6"/>
      <c r="L117" s="6"/>
      <c r="M117" s="6"/>
      <c r="N117" s="6"/>
      <c r="O117" s="10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/>
      <c r="B118" s="7"/>
      <c r="C118" s="6"/>
      <c r="D118" s="11"/>
      <c r="E118" s="12"/>
      <c r="F118" s="12"/>
      <c r="G118" s="11"/>
      <c r="H118" s="12"/>
      <c r="I118" s="12"/>
      <c r="J118" s="12"/>
      <c r="K118" s="6"/>
      <c r="L118" s="6"/>
      <c r="M118" s="6"/>
      <c r="N118" s="6"/>
      <c r="O118" s="10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/>
      <c r="B119" s="7"/>
      <c r="C119" s="6"/>
      <c r="D119" s="11"/>
      <c r="E119" s="12"/>
      <c r="F119" s="12"/>
      <c r="G119" s="11"/>
      <c r="H119" s="12"/>
      <c r="I119" s="12"/>
      <c r="J119" s="12"/>
      <c r="K119" s="6"/>
      <c r="L119" s="6"/>
      <c r="M119" s="6"/>
      <c r="N119" s="6"/>
      <c r="O119" s="10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/>
      <c r="B120" s="7"/>
      <c r="C120" s="6"/>
      <c r="D120" s="11"/>
      <c r="E120" s="12"/>
      <c r="F120" s="12"/>
      <c r="G120" s="11"/>
      <c r="H120" s="12"/>
      <c r="I120" s="12"/>
      <c r="J120" s="12"/>
      <c r="K120" s="6"/>
      <c r="L120" s="6"/>
      <c r="M120" s="6"/>
      <c r="N120" s="6"/>
      <c r="O120" s="10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/>
      <c r="B121" s="7"/>
      <c r="C121" s="6"/>
      <c r="D121" s="11"/>
      <c r="E121" s="12"/>
      <c r="F121" s="12"/>
      <c r="G121" s="11"/>
      <c r="H121" s="12"/>
      <c r="I121" s="12"/>
      <c r="J121" s="12"/>
      <c r="K121" s="6"/>
      <c r="L121" s="6"/>
      <c r="M121" s="6"/>
      <c r="N121" s="6"/>
      <c r="O121" s="10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/>
      <c r="B122" s="7"/>
      <c r="C122" s="6"/>
      <c r="D122" s="11"/>
      <c r="E122" s="12"/>
      <c r="F122" s="12"/>
      <c r="G122" s="11"/>
      <c r="H122" s="12"/>
      <c r="I122" s="12"/>
      <c r="J122" s="12"/>
      <c r="K122" s="6"/>
      <c r="L122" s="6"/>
      <c r="M122" s="6"/>
      <c r="N122" s="6"/>
      <c r="O122" s="1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/>
      <c r="B123" s="7"/>
      <c r="C123" s="6"/>
      <c r="D123" s="11"/>
      <c r="E123" s="12"/>
      <c r="F123" s="12"/>
      <c r="G123" s="11"/>
      <c r="H123" s="12"/>
      <c r="I123" s="12"/>
      <c r="J123" s="12"/>
      <c r="K123" s="6"/>
      <c r="L123" s="6"/>
      <c r="M123" s="6"/>
      <c r="N123" s="6"/>
      <c r="O123" s="10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/>
      <c r="B124" s="7"/>
      <c r="C124" s="6"/>
      <c r="D124" s="11"/>
      <c r="E124" s="12"/>
      <c r="F124" s="12"/>
      <c r="G124" s="11"/>
      <c r="H124" s="12"/>
      <c r="I124" s="12"/>
      <c r="J124" s="12"/>
      <c r="K124" s="6"/>
      <c r="L124" s="6"/>
      <c r="M124" s="6"/>
      <c r="N124" s="6"/>
      <c r="O124" s="10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/>
      <c r="B125" s="7"/>
      <c r="C125" s="6"/>
      <c r="D125" s="11"/>
      <c r="E125" s="12"/>
      <c r="F125" s="12"/>
      <c r="G125" s="11"/>
      <c r="H125" s="12"/>
      <c r="I125" s="12"/>
      <c r="J125" s="12"/>
      <c r="K125" s="6"/>
      <c r="L125" s="6"/>
      <c r="M125" s="6"/>
      <c r="N125" s="6"/>
      <c r="O125" s="10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/>
      <c r="B126" s="7"/>
      <c r="C126" s="6"/>
      <c r="D126" s="11"/>
      <c r="E126" s="12"/>
      <c r="F126" s="12"/>
      <c r="G126" s="11"/>
      <c r="H126" s="12"/>
      <c r="I126" s="12"/>
      <c r="J126" s="12"/>
      <c r="K126" s="6"/>
      <c r="L126" s="6"/>
      <c r="M126" s="6"/>
      <c r="N126" s="6"/>
      <c r="O126" s="10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/>
      <c r="B127" s="7"/>
      <c r="C127" s="6"/>
      <c r="D127" s="11"/>
      <c r="E127" s="12"/>
      <c r="F127" s="12"/>
      <c r="G127" s="11"/>
      <c r="H127" s="12"/>
      <c r="I127" s="12"/>
      <c r="J127" s="12"/>
      <c r="K127" s="6"/>
      <c r="L127" s="6"/>
      <c r="M127" s="6"/>
      <c r="N127" s="6"/>
      <c r="O127" s="10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/>
      <c r="B128" s="7"/>
      <c r="C128" s="6"/>
      <c r="D128" s="11"/>
      <c r="E128" s="12"/>
      <c r="F128" s="12"/>
      <c r="G128" s="11"/>
      <c r="H128" s="12"/>
      <c r="I128" s="12"/>
      <c r="J128" s="12"/>
      <c r="K128" s="6"/>
      <c r="L128" s="6"/>
      <c r="M128" s="6"/>
      <c r="N128" s="6"/>
      <c r="O128" s="10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/>
      <c r="B129" s="7"/>
      <c r="C129" s="6"/>
      <c r="D129" s="11"/>
      <c r="E129" s="12"/>
      <c r="F129" s="12"/>
      <c r="G129" s="11"/>
      <c r="H129" s="12"/>
      <c r="I129" s="12"/>
      <c r="J129" s="12"/>
      <c r="K129" s="6"/>
      <c r="L129" s="6"/>
      <c r="M129" s="6"/>
      <c r="N129" s="6"/>
      <c r="O129" s="10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/>
      <c r="B130" s="7"/>
      <c r="C130" s="6"/>
      <c r="D130" s="11"/>
      <c r="E130" s="12"/>
      <c r="F130" s="12"/>
      <c r="G130" s="11"/>
      <c r="H130" s="12"/>
      <c r="I130" s="12"/>
      <c r="J130" s="12"/>
      <c r="K130" s="6"/>
      <c r="L130" s="6"/>
      <c r="M130" s="6"/>
      <c r="N130" s="6"/>
      <c r="O130" s="10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/>
      <c r="B131" s="7"/>
      <c r="C131" s="6"/>
      <c r="D131" s="11"/>
      <c r="E131" s="12"/>
      <c r="F131" s="12"/>
      <c r="G131" s="11"/>
      <c r="H131" s="12"/>
      <c r="I131" s="12"/>
      <c r="J131" s="12"/>
      <c r="K131" s="6"/>
      <c r="L131" s="6"/>
      <c r="M131" s="6"/>
      <c r="N131" s="6"/>
      <c r="O131" s="10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/>
      <c r="B132" s="7"/>
      <c r="C132" s="6"/>
      <c r="D132" s="11"/>
      <c r="E132" s="12"/>
      <c r="F132" s="12"/>
      <c r="G132" s="11"/>
      <c r="H132" s="12"/>
      <c r="I132" s="12"/>
      <c r="J132" s="12"/>
      <c r="K132" s="6"/>
      <c r="L132" s="6"/>
      <c r="M132" s="6"/>
      <c r="N132" s="6"/>
      <c r="O132" s="10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/>
      <c r="B133" s="7"/>
      <c r="C133" s="6"/>
      <c r="D133" s="11"/>
      <c r="E133" s="12"/>
      <c r="F133" s="12"/>
      <c r="G133" s="11"/>
      <c r="H133" s="12"/>
      <c r="I133" s="12"/>
      <c r="J133" s="12"/>
      <c r="K133" s="6"/>
      <c r="L133" s="6"/>
      <c r="M133" s="6"/>
      <c r="N133" s="6"/>
      <c r="O133" s="10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/>
      <c r="B134" s="7"/>
      <c r="C134" s="6"/>
      <c r="D134" s="11"/>
      <c r="E134" s="12"/>
      <c r="F134" s="12"/>
      <c r="G134" s="11"/>
      <c r="H134" s="12"/>
      <c r="I134" s="12"/>
      <c r="J134" s="12"/>
      <c r="K134" s="6"/>
      <c r="L134" s="6"/>
      <c r="M134" s="6"/>
      <c r="N134" s="6"/>
      <c r="O134" s="10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/>
      <c r="B135" s="7"/>
      <c r="C135" s="6"/>
      <c r="D135" s="11"/>
      <c r="E135" s="12"/>
      <c r="F135" s="12"/>
      <c r="G135" s="11"/>
      <c r="H135" s="12"/>
      <c r="I135" s="12"/>
      <c r="J135" s="12"/>
      <c r="K135" s="6"/>
      <c r="L135" s="6"/>
      <c r="M135" s="6"/>
      <c r="N135" s="6"/>
      <c r="O135" s="10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/>
      <c r="B136" s="7"/>
      <c r="C136" s="6"/>
      <c r="D136" s="11"/>
      <c r="E136" s="12"/>
      <c r="F136" s="12"/>
      <c r="G136" s="11"/>
      <c r="H136" s="12"/>
      <c r="I136" s="12"/>
      <c r="J136" s="12"/>
      <c r="K136" s="6"/>
      <c r="L136" s="6"/>
      <c r="M136" s="6"/>
      <c r="N136" s="6"/>
      <c r="O136" s="10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/>
      <c r="B137" s="7"/>
      <c r="C137" s="6"/>
      <c r="D137" s="11"/>
      <c r="E137" s="12"/>
      <c r="F137" s="12"/>
      <c r="G137" s="11"/>
      <c r="H137" s="12"/>
      <c r="I137" s="12"/>
      <c r="J137" s="12"/>
      <c r="K137" s="6"/>
      <c r="L137" s="6"/>
      <c r="M137" s="6"/>
      <c r="N137" s="6"/>
      <c r="O137" s="10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7"/>
      <c r="C138" s="6"/>
      <c r="D138" s="11"/>
      <c r="E138" s="12"/>
      <c r="F138" s="12"/>
      <c r="G138" s="11"/>
      <c r="H138" s="12"/>
      <c r="I138" s="12"/>
      <c r="J138" s="12"/>
      <c r="K138" s="6"/>
      <c r="L138" s="6"/>
      <c r="M138" s="6"/>
      <c r="N138" s="6"/>
      <c r="O138" s="10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7"/>
      <c r="C139" s="6"/>
      <c r="D139" s="11"/>
      <c r="E139" s="12"/>
      <c r="F139" s="12"/>
      <c r="G139" s="11"/>
      <c r="H139" s="12"/>
      <c r="I139" s="12"/>
      <c r="J139" s="12"/>
      <c r="K139" s="6"/>
      <c r="L139" s="6"/>
      <c r="M139" s="6"/>
      <c r="N139" s="6"/>
      <c r="O139" s="10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7"/>
      <c r="C140" s="6"/>
      <c r="D140" s="11"/>
      <c r="E140" s="12"/>
      <c r="F140" s="12"/>
      <c r="G140" s="11"/>
      <c r="H140" s="12"/>
      <c r="I140" s="12"/>
      <c r="J140" s="12"/>
      <c r="K140" s="6"/>
      <c r="L140" s="6"/>
      <c r="M140" s="6"/>
      <c r="N140" s="6"/>
      <c r="O140" s="10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7"/>
      <c r="C141" s="6"/>
      <c r="D141" s="11"/>
      <c r="E141" s="12"/>
      <c r="F141" s="12"/>
      <c r="G141" s="11"/>
      <c r="H141" s="12"/>
      <c r="I141" s="12"/>
      <c r="J141" s="12"/>
      <c r="K141" s="6"/>
      <c r="L141" s="6"/>
      <c r="M141" s="6"/>
      <c r="N141" s="6"/>
      <c r="O141" s="10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/>
      <c r="B142" s="7"/>
      <c r="C142" s="6"/>
      <c r="D142" s="11"/>
      <c r="E142" s="12"/>
      <c r="F142" s="12"/>
      <c r="G142" s="11"/>
      <c r="H142" s="12"/>
      <c r="I142" s="12"/>
      <c r="J142" s="12"/>
      <c r="K142" s="6"/>
      <c r="L142" s="6"/>
      <c r="M142" s="6"/>
      <c r="N142" s="6"/>
      <c r="O142" s="10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7"/>
      <c r="C143" s="6"/>
      <c r="D143" s="11"/>
      <c r="E143" s="12"/>
      <c r="F143" s="12"/>
      <c r="G143" s="11"/>
      <c r="H143" s="12"/>
      <c r="I143" s="12"/>
      <c r="J143" s="12"/>
      <c r="K143" s="6"/>
      <c r="L143" s="6"/>
      <c r="M143" s="6"/>
      <c r="N143" s="6"/>
      <c r="O143" s="10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7"/>
      <c r="C144" s="6"/>
      <c r="D144" s="11"/>
      <c r="E144" s="12"/>
      <c r="F144" s="12"/>
      <c r="G144" s="11"/>
      <c r="H144" s="12"/>
      <c r="I144" s="12"/>
      <c r="J144" s="12"/>
      <c r="K144" s="6"/>
      <c r="L144" s="6"/>
      <c r="M144" s="6"/>
      <c r="N144" s="6"/>
      <c r="O144" s="10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7"/>
      <c r="C145" s="6"/>
      <c r="D145" s="11"/>
      <c r="E145" s="12"/>
      <c r="F145" s="12"/>
      <c r="G145" s="11"/>
      <c r="H145" s="12"/>
      <c r="I145" s="12"/>
      <c r="J145" s="12"/>
      <c r="K145" s="6"/>
      <c r="L145" s="6"/>
      <c r="M145" s="6"/>
      <c r="N145" s="6"/>
      <c r="O145" s="10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/>
      <c r="B146" s="7"/>
      <c r="C146" s="6"/>
      <c r="D146" s="11"/>
      <c r="E146" s="12"/>
      <c r="F146" s="12"/>
      <c r="G146" s="11"/>
      <c r="H146" s="12"/>
      <c r="I146" s="12"/>
      <c r="J146" s="12"/>
      <c r="K146" s="6"/>
      <c r="L146" s="6"/>
      <c r="M146" s="6"/>
      <c r="N146" s="6"/>
      <c r="O146" s="10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/>
      <c r="B147" s="7"/>
      <c r="C147" s="6"/>
      <c r="D147" s="11"/>
      <c r="E147" s="12"/>
      <c r="F147" s="12"/>
      <c r="G147" s="11"/>
      <c r="H147" s="12"/>
      <c r="I147" s="12"/>
      <c r="J147" s="12"/>
      <c r="K147" s="6"/>
      <c r="L147" s="6"/>
      <c r="M147" s="6"/>
      <c r="N147" s="6"/>
      <c r="O147" s="10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/>
      <c r="B148" s="7"/>
      <c r="C148" s="6"/>
      <c r="D148" s="11"/>
      <c r="E148" s="12"/>
      <c r="F148" s="12"/>
      <c r="G148" s="11"/>
      <c r="H148" s="12"/>
      <c r="I148" s="12"/>
      <c r="J148" s="12"/>
      <c r="K148" s="6"/>
      <c r="L148" s="6"/>
      <c r="M148" s="6"/>
      <c r="N148" s="6"/>
      <c r="O148" s="10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/>
      <c r="B149" s="7"/>
      <c r="C149" s="6"/>
      <c r="D149" s="11"/>
      <c r="E149" s="12"/>
      <c r="F149" s="12"/>
      <c r="G149" s="11"/>
      <c r="H149" s="12"/>
      <c r="I149" s="12"/>
      <c r="J149" s="12"/>
      <c r="K149" s="6"/>
      <c r="L149" s="6"/>
      <c r="M149" s="6"/>
      <c r="N149" s="6"/>
      <c r="O149" s="10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/>
      <c r="B150" s="7"/>
      <c r="C150" s="6"/>
      <c r="D150" s="11"/>
      <c r="E150" s="12"/>
      <c r="F150" s="12"/>
      <c r="G150" s="11"/>
      <c r="H150" s="12"/>
      <c r="I150" s="12"/>
      <c r="J150" s="12"/>
      <c r="K150" s="6"/>
      <c r="L150" s="6"/>
      <c r="M150" s="6"/>
      <c r="N150" s="6"/>
      <c r="O150" s="10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/>
      <c r="B151" s="7"/>
      <c r="C151" s="6"/>
      <c r="D151" s="11"/>
      <c r="E151" s="12"/>
      <c r="F151" s="12"/>
      <c r="G151" s="11"/>
      <c r="H151" s="12"/>
      <c r="I151" s="12"/>
      <c r="J151" s="12"/>
      <c r="K151" s="6"/>
      <c r="L151" s="6"/>
      <c r="M151" s="6"/>
      <c r="N151" s="6"/>
      <c r="O151" s="10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/>
      <c r="B152" s="7"/>
      <c r="C152" s="6"/>
      <c r="D152" s="11"/>
      <c r="E152" s="12"/>
      <c r="F152" s="12"/>
      <c r="G152" s="11"/>
      <c r="H152" s="12"/>
      <c r="I152" s="12"/>
      <c r="J152" s="12"/>
      <c r="K152" s="6"/>
      <c r="L152" s="6"/>
      <c r="M152" s="6"/>
      <c r="N152" s="6"/>
      <c r="O152" s="10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/>
      <c r="B153" s="7"/>
      <c r="C153" s="6"/>
      <c r="D153" s="11"/>
      <c r="E153" s="12"/>
      <c r="F153" s="12"/>
      <c r="G153" s="11"/>
      <c r="H153" s="12"/>
      <c r="I153" s="12"/>
      <c r="J153" s="12"/>
      <c r="K153" s="6"/>
      <c r="L153" s="6"/>
      <c r="M153" s="6"/>
      <c r="N153" s="6"/>
      <c r="O153" s="10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/>
      <c r="B154" s="7"/>
      <c r="C154" s="6"/>
      <c r="D154" s="11"/>
      <c r="E154" s="12"/>
      <c r="F154" s="12"/>
      <c r="G154" s="11"/>
      <c r="H154" s="12"/>
      <c r="I154" s="12"/>
      <c r="J154" s="12"/>
      <c r="K154" s="6"/>
      <c r="L154" s="6"/>
      <c r="M154" s="6"/>
      <c r="N154" s="6"/>
      <c r="O154" s="10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/>
      <c r="B155" s="7"/>
      <c r="C155" s="6"/>
      <c r="D155" s="11"/>
      <c r="E155" s="12"/>
      <c r="F155" s="12"/>
      <c r="G155" s="11"/>
      <c r="H155" s="12"/>
      <c r="I155" s="12"/>
      <c r="J155" s="12"/>
      <c r="K155" s="6"/>
      <c r="L155" s="6"/>
      <c r="M155" s="6"/>
      <c r="N155" s="6"/>
      <c r="O155" s="10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/>
      <c r="B156" s="7"/>
      <c r="C156" s="6"/>
      <c r="D156" s="11"/>
      <c r="E156" s="12"/>
      <c r="F156" s="12"/>
      <c r="G156" s="11"/>
      <c r="H156" s="12"/>
      <c r="I156" s="12"/>
      <c r="J156" s="12"/>
      <c r="K156" s="6"/>
      <c r="L156" s="6"/>
      <c r="M156" s="6"/>
      <c r="N156" s="6"/>
      <c r="O156" s="10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/>
      <c r="B157" s="7"/>
      <c r="C157" s="6"/>
      <c r="D157" s="11"/>
      <c r="E157" s="12"/>
      <c r="F157" s="12"/>
      <c r="G157" s="11"/>
      <c r="H157" s="12"/>
      <c r="I157" s="12"/>
      <c r="J157" s="12"/>
      <c r="K157" s="6"/>
      <c r="L157" s="6"/>
      <c r="M157" s="6"/>
      <c r="N157" s="6"/>
      <c r="O157" s="10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/>
      <c r="B158" s="7"/>
      <c r="C158" s="6"/>
      <c r="D158" s="11"/>
      <c r="E158" s="12"/>
      <c r="F158" s="12"/>
      <c r="G158" s="11"/>
      <c r="H158" s="12"/>
      <c r="I158" s="12"/>
      <c r="J158" s="12"/>
      <c r="K158" s="6"/>
      <c r="L158" s="6"/>
      <c r="M158" s="6"/>
      <c r="N158" s="6"/>
      <c r="O158" s="10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/>
      <c r="B159" s="7"/>
      <c r="C159" s="6"/>
      <c r="D159" s="11"/>
      <c r="E159" s="12"/>
      <c r="F159" s="12"/>
      <c r="G159" s="11"/>
      <c r="H159" s="12"/>
      <c r="I159" s="12"/>
      <c r="J159" s="12"/>
      <c r="K159" s="6"/>
      <c r="L159" s="6"/>
      <c r="M159" s="6"/>
      <c r="N159" s="6"/>
      <c r="O159" s="10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/>
      <c r="B160" s="7"/>
      <c r="C160" s="6"/>
      <c r="D160" s="11"/>
      <c r="E160" s="12"/>
      <c r="F160" s="12"/>
      <c r="G160" s="11"/>
      <c r="H160" s="12"/>
      <c r="I160" s="12"/>
      <c r="J160" s="12"/>
      <c r="K160" s="6"/>
      <c r="L160" s="6"/>
      <c r="M160" s="6"/>
      <c r="N160" s="6"/>
      <c r="O160" s="10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/>
      <c r="B161" s="7"/>
      <c r="C161" s="6"/>
      <c r="D161" s="11"/>
      <c r="E161" s="12"/>
      <c r="F161" s="12"/>
      <c r="G161" s="11"/>
      <c r="H161" s="12"/>
      <c r="I161" s="12"/>
      <c r="J161" s="12"/>
      <c r="K161" s="6"/>
      <c r="L161" s="6"/>
      <c r="M161" s="6"/>
      <c r="N161" s="6"/>
      <c r="O161" s="10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/>
      <c r="B162" s="7"/>
      <c r="C162" s="6"/>
      <c r="D162" s="11"/>
      <c r="E162" s="12"/>
      <c r="F162" s="12"/>
      <c r="G162" s="11"/>
      <c r="H162" s="12"/>
      <c r="I162" s="12"/>
      <c r="J162" s="12"/>
      <c r="K162" s="6"/>
      <c r="L162" s="6"/>
      <c r="M162" s="6"/>
      <c r="N162" s="6"/>
      <c r="O162" s="10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/>
      <c r="B163" s="7"/>
      <c r="C163" s="6"/>
      <c r="D163" s="11"/>
      <c r="E163" s="12"/>
      <c r="F163" s="12"/>
      <c r="G163" s="11"/>
      <c r="H163" s="12"/>
      <c r="I163" s="12"/>
      <c r="J163" s="12"/>
      <c r="K163" s="6"/>
      <c r="L163" s="6"/>
      <c r="M163" s="6"/>
      <c r="N163" s="6"/>
      <c r="O163" s="10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/>
      <c r="B164" s="7"/>
      <c r="C164" s="6"/>
      <c r="D164" s="11"/>
      <c r="E164" s="12"/>
      <c r="F164" s="12"/>
      <c r="G164" s="11"/>
      <c r="H164" s="12"/>
      <c r="I164" s="12"/>
      <c r="J164" s="12"/>
      <c r="K164" s="6"/>
      <c r="L164" s="6"/>
      <c r="M164" s="6"/>
      <c r="N164" s="6"/>
      <c r="O164" s="10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7"/>
      <c r="C165" s="6"/>
      <c r="D165" s="11"/>
      <c r="E165" s="12"/>
      <c r="F165" s="12"/>
      <c r="G165" s="11"/>
      <c r="H165" s="12"/>
      <c r="I165" s="12"/>
      <c r="J165" s="12"/>
      <c r="K165" s="6"/>
      <c r="L165" s="6"/>
      <c r="M165" s="6"/>
      <c r="N165" s="6"/>
      <c r="O165" s="10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7"/>
      <c r="C166" s="6"/>
      <c r="D166" s="11"/>
      <c r="E166" s="12"/>
      <c r="F166" s="12"/>
      <c r="G166" s="11"/>
      <c r="H166" s="12"/>
      <c r="I166" s="12"/>
      <c r="J166" s="12"/>
      <c r="K166" s="6"/>
      <c r="L166" s="6"/>
      <c r="M166" s="6"/>
      <c r="N166" s="6"/>
      <c r="O166" s="10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/>
      <c r="B167" s="7"/>
      <c r="C167" s="6"/>
      <c r="D167" s="11"/>
      <c r="E167" s="12"/>
      <c r="F167" s="12"/>
      <c r="G167" s="11"/>
      <c r="H167" s="12"/>
      <c r="I167" s="12"/>
      <c r="J167" s="12"/>
      <c r="K167" s="6"/>
      <c r="L167" s="6"/>
      <c r="M167" s="6"/>
      <c r="N167" s="6"/>
      <c r="O167" s="10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/>
      <c r="B168" s="7"/>
      <c r="C168" s="6"/>
      <c r="D168" s="11"/>
      <c r="E168" s="12"/>
      <c r="F168" s="12"/>
      <c r="G168" s="11"/>
      <c r="H168" s="12"/>
      <c r="I168" s="12"/>
      <c r="J168" s="12"/>
      <c r="K168" s="6"/>
      <c r="L168" s="6"/>
      <c r="M168" s="6"/>
      <c r="N168" s="6"/>
      <c r="O168" s="10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/>
      <c r="B169" s="7"/>
      <c r="C169" s="6"/>
      <c r="D169" s="11"/>
      <c r="E169" s="12"/>
      <c r="F169" s="12"/>
      <c r="G169" s="11"/>
      <c r="H169" s="12"/>
      <c r="I169" s="12"/>
      <c r="J169" s="12"/>
      <c r="K169" s="6"/>
      <c r="L169" s="6"/>
      <c r="M169" s="6"/>
      <c r="N169" s="6"/>
      <c r="O169" s="10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/>
      <c r="B170" s="7"/>
      <c r="C170" s="6"/>
      <c r="D170" s="11"/>
      <c r="E170" s="12"/>
      <c r="F170" s="12"/>
      <c r="G170" s="11"/>
      <c r="H170" s="12"/>
      <c r="I170" s="12"/>
      <c r="J170" s="12"/>
      <c r="K170" s="6"/>
      <c r="L170" s="6"/>
      <c r="M170" s="6"/>
      <c r="N170" s="6"/>
      <c r="O170" s="10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/>
      <c r="B171" s="7"/>
      <c r="C171" s="6"/>
      <c r="D171" s="11"/>
      <c r="E171" s="12"/>
      <c r="F171" s="12"/>
      <c r="G171" s="11"/>
      <c r="H171" s="12"/>
      <c r="I171" s="12"/>
      <c r="J171" s="12"/>
      <c r="K171" s="6"/>
      <c r="L171" s="6"/>
      <c r="M171" s="6"/>
      <c r="N171" s="6"/>
      <c r="O171" s="10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/>
      <c r="B172" s="7"/>
      <c r="C172" s="6"/>
      <c r="D172" s="11"/>
      <c r="E172" s="12"/>
      <c r="F172" s="12"/>
      <c r="G172" s="11"/>
      <c r="H172" s="12"/>
      <c r="I172" s="12"/>
      <c r="J172" s="12"/>
      <c r="K172" s="6"/>
      <c r="L172" s="6"/>
      <c r="M172" s="6"/>
      <c r="N172" s="6"/>
      <c r="O172" s="10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/>
      <c r="B173" s="7"/>
      <c r="C173" s="6"/>
      <c r="D173" s="11"/>
      <c r="E173" s="12"/>
      <c r="F173" s="12"/>
      <c r="G173" s="11"/>
      <c r="H173" s="12"/>
      <c r="I173" s="12"/>
      <c r="J173" s="12"/>
      <c r="K173" s="6"/>
      <c r="L173" s="6"/>
      <c r="M173" s="6"/>
      <c r="N173" s="6"/>
      <c r="O173" s="10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/>
      <c r="B174" s="7"/>
      <c r="C174" s="6"/>
      <c r="D174" s="11"/>
      <c r="E174" s="12"/>
      <c r="F174" s="12"/>
      <c r="G174" s="11"/>
      <c r="H174" s="12"/>
      <c r="I174" s="12"/>
      <c r="J174" s="12"/>
      <c r="K174" s="6"/>
      <c r="L174" s="6"/>
      <c r="M174" s="6"/>
      <c r="N174" s="6"/>
      <c r="O174" s="10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/>
      <c r="B175" s="7"/>
      <c r="C175" s="6"/>
      <c r="D175" s="11"/>
      <c r="E175" s="12"/>
      <c r="F175" s="12"/>
      <c r="G175" s="11"/>
      <c r="H175" s="12"/>
      <c r="I175" s="12"/>
      <c r="J175" s="12"/>
      <c r="K175" s="6"/>
      <c r="L175" s="6"/>
      <c r="M175" s="6"/>
      <c r="N175" s="6"/>
      <c r="O175" s="10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/>
      <c r="B176" s="7"/>
      <c r="C176" s="6"/>
      <c r="D176" s="11"/>
      <c r="E176" s="12"/>
      <c r="F176" s="12"/>
      <c r="G176" s="11"/>
      <c r="H176" s="12"/>
      <c r="I176" s="12"/>
      <c r="J176" s="12"/>
      <c r="K176" s="6"/>
      <c r="L176" s="6"/>
      <c r="M176" s="6"/>
      <c r="N176" s="6"/>
      <c r="O176" s="10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/>
      <c r="B177" s="7"/>
      <c r="C177" s="6"/>
      <c r="D177" s="11"/>
      <c r="E177" s="12"/>
      <c r="F177" s="12"/>
      <c r="G177" s="11"/>
      <c r="H177" s="12"/>
      <c r="I177" s="12"/>
      <c r="J177" s="12"/>
      <c r="K177" s="6"/>
      <c r="L177" s="6"/>
      <c r="M177" s="6"/>
      <c r="N177" s="6"/>
      <c r="O177" s="10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/>
      <c r="B178" s="7"/>
      <c r="C178" s="6"/>
      <c r="D178" s="11"/>
      <c r="E178" s="12"/>
      <c r="F178" s="12"/>
      <c r="G178" s="11"/>
      <c r="H178" s="12"/>
      <c r="I178" s="12"/>
      <c r="J178" s="12"/>
      <c r="K178" s="6"/>
      <c r="L178" s="6"/>
      <c r="M178" s="6"/>
      <c r="N178" s="6"/>
      <c r="O178" s="10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/>
      <c r="B179" s="7"/>
      <c r="C179" s="6"/>
      <c r="D179" s="11"/>
      <c r="E179" s="12"/>
      <c r="F179" s="12"/>
      <c r="G179" s="11"/>
      <c r="H179" s="12"/>
      <c r="I179" s="12"/>
      <c r="J179" s="12"/>
      <c r="K179" s="6"/>
      <c r="L179" s="6"/>
      <c r="M179" s="6"/>
      <c r="N179" s="6"/>
      <c r="O179" s="10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7"/>
      <c r="C180" s="6"/>
      <c r="D180" s="11"/>
      <c r="E180" s="12"/>
      <c r="F180" s="12"/>
      <c r="G180" s="11"/>
      <c r="H180" s="12"/>
      <c r="I180" s="12"/>
      <c r="J180" s="12"/>
      <c r="K180" s="6"/>
      <c r="L180" s="6"/>
      <c r="M180" s="6"/>
      <c r="N180" s="6"/>
      <c r="O180" s="10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7"/>
      <c r="C181" s="6"/>
      <c r="D181" s="11"/>
      <c r="E181" s="12"/>
      <c r="F181" s="12"/>
      <c r="G181" s="11"/>
      <c r="H181" s="12"/>
      <c r="I181" s="12"/>
      <c r="J181" s="12"/>
      <c r="K181" s="6"/>
      <c r="L181" s="6"/>
      <c r="M181" s="6"/>
      <c r="N181" s="6"/>
      <c r="O181" s="10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/>
      <c r="B182" s="7"/>
      <c r="C182" s="6"/>
      <c r="D182" s="11"/>
      <c r="E182" s="12"/>
      <c r="F182" s="12"/>
      <c r="G182" s="11"/>
      <c r="H182" s="12"/>
      <c r="I182" s="12"/>
      <c r="J182" s="12"/>
      <c r="K182" s="6"/>
      <c r="L182" s="6"/>
      <c r="M182" s="6"/>
      <c r="N182" s="6"/>
      <c r="O182" s="10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7"/>
      <c r="C183" s="6"/>
      <c r="D183" s="11"/>
      <c r="E183" s="12"/>
      <c r="F183" s="12"/>
      <c r="G183" s="11"/>
      <c r="H183" s="12"/>
      <c r="I183" s="12"/>
      <c r="J183" s="12"/>
      <c r="K183" s="6"/>
      <c r="L183" s="6"/>
      <c r="M183" s="6"/>
      <c r="N183" s="6"/>
      <c r="O183" s="10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7"/>
      <c r="C184" s="6"/>
      <c r="D184" s="11"/>
      <c r="E184" s="12"/>
      <c r="F184" s="12"/>
      <c r="G184" s="11"/>
      <c r="H184" s="12"/>
      <c r="I184" s="12"/>
      <c r="J184" s="12"/>
      <c r="K184" s="6"/>
      <c r="L184" s="6"/>
      <c r="M184" s="6"/>
      <c r="N184" s="6"/>
      <c r="O184" s="10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7"/>
      <c r="C185" s="6"/>
      <c r="D185" s="11"/>
      <c r="E185" s="12"/>
      <c r="F185" s="12"/>
      <c r="G185" s="11"/>
      <c r="H185" s="12"/>
      <c r="I185" s="12"/>
      <c r="J185" s="12"/>
      <c r="K185" s="6"/>
      <c r="L185" s="6"/>
      <c r="M185" s="6"/>
      <c r="N185" s="6"/>
      <c r="O185" s="10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7"/>
      <c r="C186" s="6"/>
      <c r="D186" s="11"/>
      <c r="E186" s="12"/>
      <c r="F186" s="12"/>
      <c r="G186" s="11"/>
      <c r="H186" s="12"/>
      <c r="I186" s="12"/>
      <c r="J186" s="12"/>
      <c r="K186" s="6"/>
      <c r="L186" s="6"/>
      <c r="M186" s="6"/>
      <c r="N186" s="6"/>
      <c r="O186" s="10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7"/>
      <c r="C187" s="6"/>
      <c r="D187" s="11"/>
      <c r="E187" s="12"/>
      <c r="F187" s="12"/>
      <c r="G187" s="11"/>
      <c r="H187" s="12"/>
      <c r="I187" s="12"/>
      <c r="J187" s="12"/>
      <c r="K187" s="6"/>
      <c r="L187" s="6"/>
      <c r="M187" s="6"/>
      <c r="N187" s="6"/>
      <c r="O187" s="10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7"/>
      <c r="C188" s="6"/>
      <c r="D188" s="11"/>
      <c r="E188" s="12"/>
      <c r="F188" s="12"/>
      <c r="G188" s="11"/>
      <c r="H188" s="12"/>
      <c r="I188" s="12"/>
      <c r="J188" s="12"/>
      <c r="K188" s="6"/>
      <c r="L188" s="6"/>
      <c r="M188" s="6"/>
      <c r="N188" s="6"/>
      <c r="O188" s="10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7"/>
      <c r="C189" s="6"/>
      <c r="D189" s="11"/>
      <c r="E189" s="12"/>
      <c r="F189" s="12"/>
      <c r="G189" s="11"/>
      <c r="H189" s="12"/>
      <c r="I189" s="12"/>
      <c r="J189" s="12"/>
      <c r="K189" s="6"/>
      <c r="L189" s="6"/>
      <c r="M189" s="6"/>
      <c r="N189" s="6"/>
      <c r="O189" s="10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/>
      <c r="B190" s="7"/>
      <c r="C190" s="6"/>
      <c r="D190" s="11"/>
      <c r="E190" s="12"/>
      <c r="F190" s="12"/>
      <c r="G190" s="11"/>
      <c r="H190" s="12"/>
      <c r="I190" s="12"/>
      <c r="J190" s="12"/>
      <c r="K190" s="6"/>
      <c r="L190" s="6"/>
      <c r="M190" s="6"/>
      <c r="N190" s="6"/>
      <c r="O190" s="10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/>
      <c r="B191" s="7"/>
      <c r="C191" s="6"/>
      <c r="D191" s="11"/>
      <c r="E191" s="12"/>
      <c r="F191" s="12"/>
      <c r="G191" s="11"/>
      <c r="H191" s="12"/>
      <c r="I191" s="12"/>
      <c r="J191" s="12"/>
      <c r="K191" s="6"/>
      <c r="L191" s="6"/>
      <c r="M191" s="6"/>
      <c r="N191" s="6"/>
      <c r="O191" s="10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/>
      <c r="B192" s="7"/>
      <c r="C192" s="6"/>
      <c r="D192" s="11"/>
      <c r="E192" s="12"/>
      <c r="F192" s="12"/>
      <c r="G192" s="11"/>
      <c r="H192" s="12"/>
      <c r="I192" s="12"/>
      <c r="J192" s="12"/>
      <c r="K192" s="6"/>
      <c r="L192" s="6"/>
      <c r="M192" s="6"/>
      <c r="N192" s="6"/>
      <c r="O192" s="10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/>
      <c r="B193" s="7"/>
      <c r="C193" s="6"/>
      <c r="D193" s="11"/>
      <c r="E193" s="12"/>
      <c r="F193" s="12"/>
      <c r="G193" s="11"/>
      <c r="H193" s="12"/>
      <c r="I193" s="12"/>
      <c r="J193" s="12"/>
      <c r="K193" s="6"/>
      <c r="L193" s="6"/>
      <c r="M193" s="6"/>
      <c r="N193" s="6"/>
      <c r="O193" s="10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/>
      <c r="B194" s="7"/>
      <c r="C194" s="6"/>
      <c r="D194" s="11"/>
      <c r="E194" s="12"/>
      <c r="F194" s="12"/>
      <c r="G194" s="11"/>
      <c r="H194" s="12"/>
      <c r="I194" s="12"/>
      <c r="J194" s="12"/>
      <c r="K194" s="6"/>
      <c r="L194" s="6"/>
      <c r="M194" s="6"/>
      <c r="N194" s="6"/>
      <c r="O194" s="10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/>
      <c r="B195" s="7"/>
      <c r="C195" s="6"/>
      <c r="D195" s="11"/>
      <c r="E195" s="12"/>
      <c r="F195" s="12"/>
      <c r="G195" s="11"/>
      <c r="H195" s="12"/>
      <c r="I195" s="12"/>
      <c r="J195" s="12"/>
      <c r="K195" s="6"/>
      <c r="L195" s="6"/>
      <c r="M195" s="6"/>
      <c r="N195" s="6"/>
      <c r="O195" s="10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/>
      <c r="B196" s="7"/>
      <c r="C196" s="6"/>
      <c r="D196" s="11"/>
      <c r="E196" s="12"/>
      <c r="F196" s="12"/>
      <c r="G196" s="11"/>
      <c r="H196" s="12"/>
      <c r="I196" s="12"/>
      <c r="J196" s="12"/>
      <c r="K196" s="6"/>
      <c r="L196" s="6"/>
      <c r="M196" s="6"/>
      <c r="N196" s="6"/>
      <c r="O196" s="10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/>
      <c r="B197" s="7"/>
      <c r="C197" s="6"/>
      <c r="D197" s="11"/>
      <c r="E197" s="12"/>
      <c r="F197" s="12"/>
      <c r="G197" s="11"/>
      <c r="H197" s="12"/>
      <c r="I197" s="12"/>
      <c r="J197" s="12"/>
      <c r="K197" s="6"/>
      <c r="L197" s="6"/>
      <c r="M197" s="6"/>
      <c r="N197" s="6"/>
      <c r="O197" s="10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/>
      <c r="B198" s="7"/>
      <c r="C198" s="6"/>
      <c r="D198" s="11"/>
      <c r="E198" s="12"/>
      <c r="F198" s="12"/>
      <c r="G198" s="11"/>
      <c r="H198" s="12"/>
      <c r="I198" s="12"/>
      <c r="J198" s="12"/>
      <c r="K198" s="6"/>
      <c r="L198" s="6"/>
      <c r="M198" s="6"/>
      <c r="N198" s="6"/>
      <c r="O198" s="10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/>
      <c r="B199" s="7"/>
      <c r="C199" s="6"/>
      <c r="D199" s="11"/>
      <c r="E199" s="12"/>
      <c r="F199" s="12"/>
      <c r="G199" s="11"/>
      <c r="H199" s="12"/>
      <c r="I199" s="12"/>
      <c r="J199" s="12"/>
      <c r="K199" s="6"/>
      <c r="L199" s="6"/>
      <c r="M199" s="6"/>
      <c r="N199" s="6"/>
      <c r="O199" s="10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/>
      <c r="B200" s="7"/>
      <c r="C200" s="6"/>
      <c r="D200" s="11"/>
      <c r="E200" s="12"/>
      <c r="F200" s="12"/>
      <c r="G200" s="11"/>
      <c r="H200" s="12"/>
      <c r="I200" s="12"/>
      <c r="J200" s="12"/>
      <c r="K200" s="6"/>
      <c r="L200" s="6"/>
      <c r="M200" s="6"/>
      <c r="N200" s="6"/>
      <c r="O200" s="10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/>
      <c r="B201" s="7"/>
      <c r="C201" s="6"/>
      <c r="D201" s="11"/>
      <c r="E201" s="12"/>
      <c r="F201" s="12"/>
      <c r="G201" s="11"/>
      <c r="H201" s="12"/>
      <c r="I201" s="12"/>
      <c r="J201" s="12"/>
      <c r="K201" s="6"/>
      <c r="L201" s="6"/>
      <c r="M201" s="6"/>
      <c r="N201" s="6"/>
      <c r="O201" s="10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/>
      <c r="B202" s="7"/>
      <c r="C202" s="6"/>
      <c r="D202" s="11"/>
      <c r="E202" s="12"/>
      <c r="F202" s="12"/>
      <c r="G202" s="11"/>
      <c r="H202" s="12"/>
      <c r="I202" s="12"/>
      <c r="J202" s="12"/>
      <c r="K202" s="6"/>
      <c r="L202" s="6"/>
      <c r="M202" s="6"/>
      <c r="N202" s="6"/>
      <c r="O202" s="10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/>
      <c r="B203" s="7"/>
      <c r="C203" s="6"/>
      <c r="D203" s="11"/>
      <c r="E203" s="12"/>
      <c r="F203" s="12"/>
      <c r="G203" s="11"/>
      <c r="H203" s="12"/>
      <c r="I203" s="12"/>
      <c r="J203" s="12"/>
      <c r="K203" s="6"/>
      <c r="L203" s="6"/>
      <c r="M203" s="6"/>
      <c r="N203" s="6"/>
      <c r="O203" s="10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/>
      <c r="B204" s="7"/>
      <c r="C204" s="6"/>
      <c r="D204" s="11"/>
      <c r="E204" s="12"/>
      <c r="F204" s="12"/>
      <c r="G204" s="11"/>
      <c r="H204" s="12"/>
      <c r="I204" s="12"/>
      <c r="J204" s="12"/>
      <c r="K204" s="6"/>
      <c r="L204" s="6"/>
      <c r="M204" s="6"/>
      <c r="N204" s="6"/>
      <c r="O204" s="10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/>
      <c r="B205" s="7"/>
      <c r="C205" s="6"/>
      <c r="D205" s="11"/>
      <c r="E205" s="12"/>
      <c r="F205" s="12"/>
      <c r="G205" s="11"/>
      <c r="H205" s="12"/>
      <c r="I205" s="12"/>
      <c r="J205" s="12"/>
      <c r="K205" s="6"/>
      <c r="L205" s="6"/>
      <c r="M205" s="6"/>
      <c r="N205" s="6"/>
      <c r="O205" s="10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/>
      <c r="B206" s="7"/>
      <c r="C206" s="6"/>
      <c r="D206" s="11"/>
      <c r="E206" s="12"/>
      <c r="F206" s="12"/>
      <c r="G206" s="11"/>
      <c r="H206" s="12"/>
      <c r="I206" s="12"/>
      <c r="J206" s="12"/>
      <c r="K206" s="6"/>
      <c r="L206" s="6"/>
      <c r="M206" s="6"/>
      <c r="N206" s="6"/>
      <c r="O206" s="10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/>
      <c r="B207" s="7"/>
      <c r="C207" s="6"/>
      <c r="D207" s="11"/>
      <c r="E207" s="12"/>
      <c r="F207" s="12"/>
      <c r="G207" s="11"/>
      <c r="H207" s="12"/>
      <c r="I207" s="12"/>
      <c r="J207" s="12"/>
      <c r="K207" s="6"/>
      <c r="L207" s="6"/>
      <c r="M207" s="6"/>
      <c r="N207" s="6"/>
      <c r="O207" s="10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/>
      <c r="B208" s="7"/>
      <c r="C208" s="6"/>
      <c r="D208" s="11"/>
      <c r="E208" s="12"/>
      <c r="F208" s="12"/>
      <c r="G208" s="11"/>
      <c r="H208" s="12"/>
      <c r="I208" s="12"/>
      <c r="J208" s="12"/>
      <c r="K208" s="6"/>
      <c r="L208" s="6"/>
      <c r="M208" s="6"/>
      <c r="N208" s="6"/>
      <c r="O208" s="10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7"/>
      <c r="C209" s="6"/>
      <c r="D209" s="11"/>
      <c r="E209" s="12"/>
      <c r="F209" s="12"/>
      <c r="G209" s="11"/>
      <c r="H209" s="12"/>
      <c r="I209" s="12"/>
      <c r="J209" s="12"/>
      <c r="K209" s="6"/>
      <c r="L209" s="6"/>
      <c r="M209" s="6"/>
      <c r="N209" s="6"/>
      <c r="O209" s="10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/>
      <c r="B210" s="7"/>
      <c r="C210" s="6"/>
      <c r="D210" s="11"/>
      <c r="E210" s="12"/>
      <c r="F210" s="12"/>
      <c r="G210" s="11"/>
      <c r="H210" s="12"/>
      <c r="I210" s="12"/>
      <c r="J210" s="12"/>
      <c r="K210" s="6"/>
      <c r="L210" s="6"/>
      <c r="M210" s="6"/>
      <c r="N210" s="6"/>
      <c r="O210" s="10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/>
      <c r="B211" s="7"/>
      <c r="C211" s="6"/>
      <c r="D211" s="11"/>
      <c r="E211" s="12"/>
      <c r="F211" s="12"/>
      <c r="G211" s="11"/>
      <c r="H211" s="12"/>
      <c r="I211" s="12"/>
      <c r="J211" s="12"/>
      <c r="K211" s="6"/>
      <c r="L211" s="6"/>
      <c r="M211" s="6"/>
      <c r="N211" s="6"/>
      <c r="O211" s="10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/>
      <c r="B212" s="7"/>
      <c r="C212" s="6"/>
      <c r="D212" s="11"/>
      <c r="E212" s="12"/>
      <c r="F212" s="12"/>
      <c r="G212" s="11"/>
      <c r="H212" s="12"/>
      <c r="I212" s="12"/>
      <c r="J212" s="12"/>
      <c r="K212" s="6"/>
      <c r="L212" s="6"/>
      <c r="M212" s="6"/>
      <c r="N212" s="6"/>
      <c r="O212" s="10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/>
      <c r="B213" s="7"/>
      <c r="C213" s="6"/>
      <c r="D213" s="11"/>
      <c r="E213" s="12"/>
      <c r="F213" s="12"/>
      <c r="G213" s="11"/>
      <c r="H213" s="12"/>
      <c r="I213" s="12"/>
      <c r="J213" s="12"/>
      <c r="K213" s="6"/>
      <c r="L213" s="6"/>
      <c r="M213" s="6"/>
      <c r="N213" s="6"/>
      <c r="O213" s="10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/>
      <c r="B214" s="7"/>
      <c r="C214" s="6"/>
      <c r="D214" s="11"/>
      <c r="E214" s="12"/>
      <c r="F214" s="12"/>
      <c r="G214" s="11"/>
      <c r="H214" s="12"/>
      <c r="I214" s="12"/>
      <c r="J214" s="12"/>
      <c r="K214" s="6"/>
      <c r="L214" s="6"/>
      <c r="M214" s="6"/>
      <c r="N214" s="6"/>
      <c r="O214" s="10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/>
      <c r="B215" s="7"/>
      <c r="C215" s="6"/>
      <c r="D215" s="11"/>
      <c r="E215" s="12"/>
      <c r="F215" s="12"/>
      <c r="G215" s="11"/>
      <c r="H215" s="12"/>
      <c r="I215" s="12"/>
      <c r="J215" s="12"/>
      <c r="K215" s="6"/>
      <c r="L215" s="6"/>
      <c r="M215" s="6"/>
      <c r="N215" s="6"/>
      <c r="O215" s="10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/>
      <c r="B216" s="7"/>
      <c r="C216" s="6"/>
      <c r="D216" s="11"/>
      <c r="E216" s="12"/>
      <c r="F216" s="12"/>
      <c r="G216" s="11"/>
      <c r="H216" s="12"/>
      <c r="I216" s="12"/>
      <c r="J216" s="12"/>
      <c r="K216" s="6"/>
      <c r="L216" s="6"/>
      <c r="M216" s="6"/>
      <c r="N216" s="6"/>
      <c r="O216" s="10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/>
      <c r="B217" s="7"/>
      <c r="C217" s="6"/>
      <c r="D217" s="11"/>
      <c r="E217" s="12"/>
      <c r="F217" s="12"/>
      <c r="G217" s="11"/>
      <c r="H217" s="12"/>
      <c r="I217" s="12"/>
      <c r="J217" s="12"/>
      <c r="K217" s="6"/>
      <c r="L217" s="6"/>
      <c r="M217" s="6"/>
      <c r="N217" s="6"/>
      <c r="O217" s="10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/>
      <c r="B218" s="7"/>
      <c r="C218" s="6"/>
      <c r="D218" s="11"/>
      <c r="E218" s="12"/>
      <c r="F218" s="12"/>
      <c r="G218" s="11"/>
      <c r="H218" s="12"/>
      <c r="I218" s="12"/>
      <c r="J218" s="12"/>
      <c r="K218" s="6"/>
      <c r="L218" s="6"/>
      <c r="M218" s="6"/>
      <c r="N218" s="6"/>
      <c r="O218" s="10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/>
      <c r="B219" s="7"/>
      <c r="C219" s="6"/>
      <c r="D219" s="11"/>
      <c r="E219" s="12"/>
      <c r="F219" s="12"/>
      <c r="G219" s="11"/>
      <c r="H219" s="12"/>
      <c r="I219" s="12"/>
      <c r="J219" s="12"/>
      <c r="K219" s="6"/>
      <c r="L219" s="6"/>
      <c r="M219" s="6"/>
      <c r="N219" s="6"/>
      <c r="O219" s="10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/>
      <c r="B220" s="7"/>
      <c r="C220" s="6"/>
      <c r="D220" s="11"/>
      <c r="E220" s="12"/>
      <c r="F220" s="12"/>
      <c r="G220" s="11"/>
      <c r="H220" s="12"/>
      <c r="I220" s="12"/>
      <c r="J220" s="12"/>
      <c r="K220" s="6"/>
      <c r="L220" s="6"/>
      <c r="M220" s="6"/>
      <c r="N220" s="6"/>
      <c r="O220" s="10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/>
      <c r="B221" s="7"/>
      <c r="C221" s="6"/>
      <c r="D221" s="11"/>
      <c r="E221" s="12"/>
      <c r="F221" s="12"/>
      <c r="G221" s="11"/>
      <c r="H221" s="12"/>
      <c r="I221" s="12"/>
      <c r="J221" s="12"/>
      <c r="K221" s="6"/>
      <c r="L221" s="6"/>
      <c r="M221" s="6"/>
      <c r="N221" s="6"/>
      <c r="O221" s="10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/>
      <c r="B222" s="7"/>
      <c r="C222" s="6"/>
      <c r="D222" s="11"/>
      <c r="E222" s="12"/>
      <c r="F222" s="12"/>
      <c r="G222" s="11"/>
      <c r="H222" s="12"/>
      <c r="I222" s="12"/>
      <c r="J222" s="12"/>
      <c r="K222" s="6"/>
      <c r="L222" s="6"/>
      <c r="M222" s="6"/>
      <c r="N222" s="6"/>
      <c r="O222" s="10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/>
      <c r="B223" s="7"/>
      <c r="C223" s="6"/>
      <c r="D223" s="11"/>
      <c r="E223" s="12"/>
      <c r="F223" s="12"/>
      <c r="G223" s="11"/>
      <c r="H223" s="12"/>
      <c r="I223" s="12"/>
      <c r="J223" s="12"/>
      <c r="K223" s="6"/>
      <c r="L223" s="6"/>
      <c r="M223" s="6"/>
      <c r="N223" s="6"/>
      <c r="O223" s="10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/>
      <c r="B224" s="7"/>
      <c r="C224" s="6"/>
      <c r="D224" s="11"/>
      <c r="E224" s="12"/>
      <c r="F224" s="12"/>
      <c r="G224" s="11"/>
      <c r="H224" s="12"/>
      <c r="I224" s="12"/>
      <c r="J224" s="12"/>
      <c r="K224" s="6"/>
      <c r="L224" s="6"/>
      <c r="M224" s="6"/>
      <c r="N224" s="6"/>
      <c r="O224" s="10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/>
      <c r="B225" s="7"/>
      <c r="C225" s="6"/>
      <c r="D225" s="11"/>
      <c r="E225" s="12"/>
      <c r="F225" s="12"/>
      <c r="G225" s="11"/>
      <c r="H225" s="12"/>
      <c r="I225" s="12"/>
      <c r="J225" s="12"/>
      <c r="K225" s="6"/>
      <c r="L225" s="6"/>
      <c r="M225" s="6"/>
      <c r="N225" s="6"/>
      <c r="O225" s="10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/>
      <c r="B226" s="7"/>
      <c r="C226" s="6"/>
      <c r="D226" s="11"/>
      <c r="E226" s="12"/>
      <c r="F226" s="12"/>
      <c r="G226" s="11"/>
      <c r="H226" s="12"/>
      <c r="I226" s="12"/>
      <c r="J226" s="12"/>
      <c r="K226" s="6"/>
      <c r="L226" s="6"/>
      <c r="M226" s="6"/>
      <c r="N226" s="6"/>
      <c r="O226" s="10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/>
      <c r="B227" s="7"/>
      <c r="C227" s="6"/>
      <c r="D227" s="11"/>
      <c r="E227" s="12"/>
      <c r="F227" s="12"/>
      <c r="G227" s="11"/>
      <c r="H227" s="12"/>
      <c r="I227" s="12"/>
      <c r="J227" s="12"/>
      <c r="K227" s="6"/>
      <c r="L227" s="6"/>
      <c r="M227" s="6"/>
      <c r="N227" s="6"/>
      <c r="O227" s="10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/>
      <c r="B228" s="7"/>
      <c r="C228" s="6"/>
      <c r="D228" s="11"/>
      <c r="E228" s="12"/>
      <c r="F228" s="12"/>
      <c r="G228" s="11"/>
      <c r="H228" s="12"/>
      <c r="I228" s="12"/>
      <c r="J228" s="12"/>
      <c r="K228" s="6"/>
      <c r="L228" s="6"/>
      <c r="M228" s="6"/>
      <c r="N228" s="6"/>
      <c r="O228" s="10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/>
      <c r="B229" s="7"/>
      <c r="C229" s="6"/>
      <c r="D229" s="11"/>
      <c r="E229" s="12"/>
      <c r="F229" s="12"/>
      <c r="G229" s="11"/>
      <c r="H229" s="12"/>
      <c r="I229" s="12"/>
      <c r="J229" s="12"/>
      <c r="K229" s="6"/>
      <c r="L229" s="6"/>
      <c r="M229" s="6"/>
      <c r="N229" s="6"/>
      <c r="O229" s="1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/>
      <c r="B230" s="7"/>
      <c r="C230" s="6"/>
      <c r="D230" s="11"/>
      <c r="E230" s="12"/>
      <c r="F230" s="12"/>
      <c r="G230" s="11"/>
      <c r="H230" s="12"/>
      <c r="I230" s="12"/>
      <c r="J230" s="12"/>
      <c r="K230" s="6"/>
      <c r="L230" s="6"/>
      <c r="M230" s="6"/>
      <c r="N230" s="6"/>
      <c r="O230" s="10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/>
      <c r="B231" s="7"/>
      <c r="C231" s="6"/>
      <c r="D231" s="11"/>
      <c r="E231" s="12"/>
      <c r="F231" s="12"/>
      <c r="G231" s="11"/>
      <c r="H231" s="12"/>
      <c r="I231" s="12"/>
      <c r="J231" s="12"/>
      <c r="K231" s="6"/>
      <c r="L231" s="6"/>
      <c r="M231" s="6"/>
      <c r="N231" s="6"/>
      <c r="O231" s="10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/>
      <c r="B232" s="7"/>
      <c r="C232" s="6"/>
      <c r="D232" s="11"/>
      <c r="E232" s="12"/>
      <c r="F232" s="12"/>
      <c r="G232" s="11"/>
      <c r="H232" s="12"/>
      <c r="I232" s="12"/>
      <c r="J232" s="12"/>
      <c r="K232" s="6"/>
      <c r="L232" s="6"/>
      <c r="M232" s="6"/>
      <c r="N232" s="6"/>
      <c r="O232" s="10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/>
      <c r="B233" s="7"/>
      <c r="C233" s="6"/>
      <c r="D233" s="11"/>
      <c r="E233" s="12"/>
      <c r="F233" s="12"/>
      <c r="G233" s="11"/>
      <c r="H233" s="12"/>
      <c r="I233" s="12"/>
      <c r="J233" s="12"/>
      <c r="K233" s="6"/>
      <c r="L233" s="6"/>
      <c r="M233" s="6"/>
      <c r="N233" s="6"/>
      <c r="O233" s="10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/>
      <c r="B234" s="7"/>
      <c r="C234" s="6"/>
      <c r="D234" s="11"/>
      <c r="E234" s="12"/>
      <c r="F234" s="12"/>
      <c r="G234" s="11"/>
      <c r="H234" s="12"/>
      <c r="I234" s="12"/>
      <c r="J234" s="12"/>
      <c r="K234" s="6"/>
      <c r="L234" s="6"/>
      <c r="M234" s="6"/>
      <c r="N234" s="6"/>
      <c r="O234" s="10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/>
      <c r="B235" s="7"/>
      <c r="C235" s="6"/>
      <c r="D235" s="11"/>
      <c r="E235" s="12"/>
      <c r="F235" s="12"/>
      <c r="G235" s="11"/>
      <c r="H235" s="12"/>
      <c r="I235" s="12"/>
      <c r="J235" s="12"/>
      <c r="K235" s="6"/>
      <c r="L235" s="6"/>
      <c r="M235" s="6"/>
      <c r="N235" s="6"/>
      <c r="O235" s="1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/>
      <c r="B236" s="7"/>
      <c r="C236" s="6"/>
      <c r="D236" s="11"/>
      <c r="E236" s="12"/>
      <c r="F236" s="12"/>
      <c r="G236" s="11"/>
      <c r="H236" s="12"/>
      <c r="I236" s="12"/>
      <c r="J236" s="12"/>
      <c r="K236" s="6"/>
      <c r="L236" s="6"/>
      <c r="M236" s="6"/>
      <c r="N236" s="6"/>
      <c r="O236" s="10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/>
      <c r="B237" s="7"/>
      <c r="C237" s="6"/>
      <c r="D237" s="11"/>
      <c r="E237" s="12"/>
      <c r="F237" s="12"/>
      <c r="G237" s="11"/>
      <c r="H237" s="12"/>
      <c r="I237" s="12"/>
      <c r="J237" s="12"/>
      <c r="K237" s="6"/>
      <c r="L237" s="6"/>
      <c r="M237" s="6"/>
      <c r="N237" s="6"/>
      <c r="O237" s="10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/>
      <c r="B238" s="7"/>
      <c r="C238" s="6"/>
      <c r="D238" s="11"/>
      <c r="E238" s="12"/>
      <c r="F238" s="12"/>
      <c r="G238" s="11"/>
      <c r="H238" s="12"/>
      <c r="I238" s="12"/>
      <c r="J238" s="12"/>
      <c r="K238" s="6"/>
      <c r="L238" s="6"/>
      <c r="M238" s="6"/>
      <c r="N238" s="6"/>
      <c r="O238" s="10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/>
      <c r="B239" s="7"/>
      <c r="C239" s="6"/>
      <c r="D239" s="11"/>
      <c r="E239" s="12"/>
      <c r="F239" s="12"/>
      <c r="G239" s="11"/>
      <c r="H239" s="12"/>
      <c r="I239" s="12"/>
      <c r="J239" s="12"/>
      <c r="K239" s="6"/>
      <c r="L239" s="6"/>
      <c r="M239" s="6"/>
      <c r="N239" s="6"/>
      <c r="O239" s="10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/>
      <c r="B240" s="7"/>
      <c r="C240" s="6"/>
      <c r="D240" s="11"/>
      <c r="E240" s="12"/>
      <c r="F240" s="12"/>
      <c r="G240" s="11"/>
      <c r="H240" s="12"/>
      <c r="I240" s="12"/>
      <c r="J240" s="12"/>
      <c r="K240" s="6"/>
      <c r="L240" s="6"/>
      <c r="M240" s="6"/>
      <c r="N240" s="6"/>
      <c r="O240" s="10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/>
      <c r="B241" s="7"/>
      <c r="C241" s="6"/>
      <c r="D241" s="11"/>
      <c r="E241" s="12"/>
      <c r="F241" s="12"/>
      <c r="G241" s="11"/>
      <c r="H241" s="12"/>
      <c r="I241" s="12"/>
      <c r="J241" s="12"/>
      <c r="K241" s="6"/>
      <c r="L241" s="6"/>
      <c r="M241" s="6"/>
      <c r="N241" s="6"/>
      <c r="O241" s="1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/>
      <c r="B242" s="7"/>
      <c r="C242" s="6"/>
      <c r="D242" s="11"/>
      <c r="E242" s="12"/>
      <c r="F242" s="12"/>
      <c r="G242" s="11"/>
      <c r="H242" s="12"/>
      <c r="I242" s="12"/>
      <c r="J242" s="12"/>
      <c r="K242" s="6"/>
      <c r="L242" s="6"/>
      <c r="M242" s="6"/>
      <c r="N242" s="6"/>
      <c r="O242" s="10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/>
      <c r="B243" s="7"/>
      <c r="C243" s="6"/>
      <c r="D243" s="11"/>
      <c r="E243" s="12"/>
      <c r="F243" s="12"/>
      <c r="G243" s="11"/>
      <c r="H243" s="12"/>
      <c r="I243" s="12"/>
      <c r="J243" s="12"/>
      <c r="K243" s="6"/>
      <c r="L243" s="6"/>
      <c r="M243" s="6"/>
      <c r="N243" s="6"/>
      <c r="O243" s="10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/>
      <c r="B244" s="7"/>
      <c r="C244" s="6"/>
      <c r="D244" s="11"/>
      <c r="E244" s="12"/>
      <c r="F244" s="12"/>
      <c r="G244" s="11"/>
      <c r="H244" s="12"/>
      <c r="I244" s="12"/>
      <c r="J244" s="12"/>
      <c r="K244" s="6"/>
      <c r="L244" s="6"/>
      <c r="M244" s="6"/>
      <c r="N244" s="6"/>
      <c r="O244" s="10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/>
      <c r="B245" s="7"/>
      <c r="C245" s="6"/>
      <c r="D245" s="11"/>
      <c r="E245" s="12"/>
      <c r="F245" s="12"/>
      <c r="G245" s="11"/>
      <c r="H245" s="12"/>
      <c r="I245" s="12"/>
      <c r="J245" s="12"/>
      <c r="K245" s="6"/>
      <c r="L245" s="6"/>
      <c r="M245" s="6"/>
      <c r="N245" s="6"/>
      <c r="O245" s="10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/>
      <c r="B246" s="7"/>
      <c r="C246" s="6"/>
      <c r="D246" s="11"/>
      <c r="E246" s="12"/>
      <c r="F246" s="12"/>
      <c r="G246" s="11"/>
      <c r="H246" s="12"/>
      <c r="I246" s="12"/>
      <c r="J246" s="12"/>
      <c r="K246" s="6"/>
      <c r="L246" s="6"/>
      <c r="M246" s="6"/>
      <c r="N246" s="6"/>
      <c r="O246" s="10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/>
      <c r="B247" s="7"/>
      <c r="C247" s="6"/>
      <c r="D247" s="11"/>
      <c r="E247" s="12"/>
      <c r="F247" s="12"/>
      <c r="G247" s="11"/>
      <c r="H247" s="12"/>
      <c r="I247" s="12"/>
      <c r="J247" s="12"/>
      <c r="K247" s="6"/>
      <c r="L247" s="6"/>
      <c r="M247" s="6"/>
      <c r="N247" s="6"/>
      <c r="O247" s="1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/>
      <c r="B248" s="7"/>
      <c r="C248" s="6"/>
      <c r="D248" s="11"/>
      <c r="E248" s="12"/>
      <c r="F248" s="12"/>
      <c r="G248" s="11"/>
      <c r="H248" s="12"/>
      <c r="I248" s="12"/>
      <c r="J248" s="12"/>
      <c r="K248" s="6"/>
      <c r="L248" s="6"/>
      <c r="M248" s="6"/>
      <c r="N248" s="6"/>
      <c r="O248" s="10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/>
      <c r="B249" s="7"/>
      <c r="C249" s="6"/>
      <c r="D249" s="11"/>
      <c r="E249" s="12"/>
      <c r="F249" s="12"/>
      <c r="G249" s="11"/>
      <c r="H249" s="12"/>
      <c r="I249" s="12"/>
      <c r="J249" s="12"/>
      <c r="K249" s="6"/>
      <c r="L249" s="6"/>
      <c r="M249" s="6"/>
      <c r="N249" s="6"/>
      <c r="O249" s="10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/>
      <c r="B250" s="7"/>
      <c r="C250" s="6"/>
      <c r="D250" s="11"/>
      <c r="E250" s="12"/>
      <c r="F250" s="12"/>
      <c r="G250" s="11"/>
      <c r="H250" s="12"/>
      <c r="I250" s="12"/>
      <c r="J250" s="12"/>
      <c r="K250" s="6"/>
      <c r="L250" s="6"/>
      <c r="M250" s="6"/>
      <c r="N250" s="6"/>
      <c r="O250" s="10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/>
      <c r="B251" s="7"/>
      <c r="C251" s="6"/>
      <c r="D251" s="11"/>
      <c r="E251" s="12"/>
      <c r="F251" s="12"/>
      <c r="G251" s="11"/>
      <c r="H251" s="12"/>
      <c r="I251" s="12"/>
      <c r="J251" s="12"/>
      <c r="K251" s="6"/>
      <c r="L251" s="6"/>
      <c r="M251" s="6"/>
      <c r="N251" s="6"/>
      <c r="O251" s="10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/>
      <c r="B252" s="7"/>
      <c r="C252" s="6"/>
      <c r="D252" s="11"/>
      <c r="E252" s="12"/>
      <c r="F252" s="12"/>
      <c r="G252" s="11"/>
      <c r="H252" s="12"/>
      <c r="I252" s="12"/>
      <c r="J252" s="12"/>
      <c r="K252" s="6"/>
      <c r="L252" s="6"/>
      <c r="M252" s="6"/>
      <c r="N252" s="6"/>
      <c r="O252" s="10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/>
      <c r="B253" s="7"/>
      <c r="C253" s="6"/>
      <c r="D253" s="11"/>
      <c r="E253" s="12"/>
      <c r="F253" s="12"/>
      <c r="G253" s="11"/>
      <c r="H253" s="12"/>
      <c r="I253" s="12"/>
      <c r="J253" s="12"/>
      <c r="K253" s="6"/>
      <c r="L253" s="6"/>
      <c r="M253" s="6"/>
      <c r="N253" s="6"/>
      <c r="O253" s="1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/>
      <c r="B254" s="7"/>
      <c r="C254" s="6"/>
      <c r="D254" s="11"/>
      <c r="E254" s="12"/>
      <c r="F254" s="12"/>
      <c r="G254" s="11"/>
      <c r="H254" s="12"/>
      <c r="I254" s="12"/>
      <c r="J254" s="12"/>
      <c r="K254" s="6"/>
      <c r="L254" s="6"/>
      <c r="M254" s="6"/>
      <c r="N254" s="6"/>
      <c r="O254" s="10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/>
      <c r="B255" s="7"/>
      <c r="C255" s="6"/>
      <c r="D255" s="11"/>
      <c r="E255" s="12"/>
      <c r="F255" s="12"/>
      <c r="G255" s="11"/>
      <c r="H255" s="12"/>
      <c r="I255" s="12"/>
      <c r="J255" s="12"/>
      <c r="K255" s="6"/>
      <c r="L255" s="6"/>
      <c r="M255" s="6"/>
      <c r="N255" s="6"/>
      <c r="O255" s="10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/>
      <c r="B256" s="7"/>
      <c r="C256" s="6"/>
      <c r="D256" s="11"/>
      <c r="E256" s="12"/>
      <c r="F256" s="12"/>
      <c r="G256" s="11"/>
      <c r="H256" s="12"/>
      <c r="I256" s="12"/>
      <c r="J256" s="12"/>
      <c r="K256" s="6"/>
      <c r="L256" s="6"/>
      <c r="M256" s="6"/>
      <c r="N256" s="6"/>
      <c r="O256" s="10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/>
      <c r="B257" s="7"/>
      <c r="C257" s="6"/>
      <c r="D257" s="11"/>
      <c r="E257" s="12"/>
      <c r="F257" s="12"/>
      <c r="G257" s="11"/>
      <c r="H257" s="12"/>
      <c r="I257" s="12"/>
      <c r="J257" s="12"/>
      <c r="K257" s="6"/>
      <c r="L257" s="6"/>
      <c r="M257" s="6"/>
      <c r="N257" s="6"/>
      <c r="O257" s="10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/>
      <c r="B258" s="7"/>
      <c r="C258" s="6"/>
      <c r="D258" s="11"/>
      <c r="E258" s="12"/>
      <c r="F258" s="12"/>
      <c r="G258" s="11"/>
      <c r="H258" s="12"/>
      <c r="I258" s="12"/>
      <c r="J258" s="12"/>
      <c r="K258" s="6"/>
      <c r="L258" s="6"/>
      <c r="M258" s="6"/>
      <c r="N258" s="6"/>
      <c r="O258" s="10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/>
      <c r="B259" s="7"/>
      <c r="C259" s="6"/>
      <c r="D259" s="11"/>
      <c r="E259" s="12"/>
      <c r="F259" s="12"/>
      <c r="G259" s="11"/>
      <c r="H259" s="12"/>
      <c r="I259" s="12"/>
      <c r="J259" s="12"/>
      <c r="K259" s="6"/>
      <c r="L259" s="6"/>
      <c r="M259" s="6"/>
      <c r="N259" s="6"/>
      <c r="O259" s="1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/>
      <c r="B260" s="7"/>
      <c r="C260" s="6"/>
      <c r="D260" s="11"/>
      <c r="E260" s="12"/>
      <c r="F260" s="12"/>
      <c r="G260" s="11"/>
      <c r="H260" s="12"/>
      <c r="I260" s="12"/>
      <c r="J260" s="12"/>
      <c r="K260" s="6"/>
      <c r="L260" s="6"/>
      <c r="M260" s="6"/>
      <c r="N260" s="6"/>
      <c r="O260" s="10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/>
      <c r="B261" s="7"/>
      <c r="C261" s="6"/>
      <c r="D261" s="11"/>
      <c r="E261" s="12"/>
      <c r="F261" s="12"/>
      <c r="G261" s="11"/>
      <c r="H261" s="12"/>
      <c r="I261" s="12"/>
      <c r="J261" s="12"/>
      <c r="K261" s="6"/>
      <c r="L261" s="6"/>
      <c r="M261" s="6"/>
      <c r="N261" s="6"/>
      <c r="O261" s="10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/>
      <c r="B262" s="7"/>
      <c r="C262" s="6"/>
      <c r="D262" s="11"/>
      <c r="E262" s="12"/>
      <c r="F262" s="12"/>
      <c r="G262" s="11"/>
      <c r="H262" s="12"/>
      <c r="I262" s="12"/>
      <c r="J262" s="12"/>
      <c r="K262" s="6"/>
      <c r="L262" s="6"/>
      <c r="M262" s="6"/>
      <c r="N262" s="6"/>
      <c r="O262" s="10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/>
      <c r="B263" s="7"/>
      <c r="C263" s="6"/>
      <c r="D263" s="11"/>
      <c r="E263" s="12"/>
      <c r="F263" s="12"/>
      <c r="G263" s="11"/>
      <c r="H263" s="12"/>
      <c r="I263" s="12"/>
      <c r="J263" s="12"/>
      <c r="K263" s="6"/>
      <c r="L263" s="6"/>
      <c r="M263" s="6"/>
      <c r="N263" s="6"/>
      <c r="O263" s="10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/>
      <c r="B264" s="7"/>
      <c r="C264" s="6"/>
      <c r="D264" s="11"/>
      <c r="E264" s="12"/>
      <c r="F264" s="12"/>
      <c r="G264" s="11"/>
      <c r="H264" s="12"/>
      <c r="I264" s="12"/>
      <c r="J264" s="12"/>
      <c r="K264" s="6"/>
      <c r="L264" s="6"/>
      <c r="M264" s="6"/>
      <c r="N264" s="6"/>
      <c r="O264" s="10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/>
      <c r="B265" s="7"/>
      <c r="C265" s="6"/>
      <c r="D265" s="11"/>
      <c r="E265" s="12"/>
      <c r="F265" s="12"/>
      <c r="G265" s="11"/>
      <c r="H265" s="12"/>
      <c r="I265" s="12"/>
      <c r="J265" s="12"/>
      <c r="K265" s="6"/>
      <c r="L265" s="6"/>
      <c r="M265" s="6"/>
      <c r="N265" s="6"/>
      <c r="O265" s="10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/>
      <c r="B266" s="7"/>
      <c r="C266" s="6"/>
      <c r="D266" s="11"/>
      <c r="E266" s="12"/>
      <c r="F266" s="12"/>
      <c r="G266" s="11"/>
      <c r="H266" s="12"/>
      <c r="I266" s="12"/>
      <c r="J266" s="12"/>
      <c r="K266" s="6"/>
      <c r="L266" s="6"/>
      <c r="M266" s="6"/>
      <c r="N266" s="6"/>
      <c r="O266" s="10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/>
      <c r="B267" s="7"/>
      <c r="C267" s="6"/>
      <c r="D267" s="11"/>
      <c r="E267" s="12"/>
      <c r="F267" s="12"/>
      <c r="G267" s="11"/>
      <c r="H267" s="12"/>
      <c r="I267" s="12"/>
      <c r="J267" s="12"/>
      <c r="K267" s="6"/>
      <c r="L267" s="6"/>
      <c r="M267" s="6"/>
      <c r="N267" s="6"/>
      <c r="O267" s="10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/>
      <c r="B268" s="7"/>
      <c r="C268" s="6"/>
      <c r="D268" s="11"/>
      <c r="E268" s="12"/>
      <c r="F268" s="12"/>
      <c r="G268" s="11"/>
      <c r="H268" s="12"/>
      <c r="I268" s="12"/>
      <c r="J268" s="12"/>
      <c r="K268" s="6"/>
      <c r="L268" s="6"/>
      <c r="M268" s="6"/>
      <c r="N268" s="6"/>
      <c r="O268" s="10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/>
      <c r="B269" s="7"/>
      <c r="C269" s="6"/>
      <c r="D269" s="11"/>
      <c r="E269" s="12"/>
      <c r="F269" s="12"/>
      <c r="G269" s="11"/>
      <c r="H269" s="12"/>
      <c r="I269" s="12"/>
      <c r="J269" s="12"/>
      <c r="K269" s="6"/>
      <c r="L269" s="6"/>
      <c r="M269" s="6"/>
      <c r="N269" s="6"/>
      <c r="O269" s="10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/>
      <c r="B270" s="7"/>
      <c r="C270" s="6"/>
      <c r="D270" s="11"/>
      <c r="E270" s="12"/>
      <c r="F270" s="12"/>
      <c r="G270" s="11"/>
      <c r="H270" s="12"/>
      <c r="I270" s="12"/>
      <c r="J270" s="12"/>
      <c r="K270" s="6"/>
      <c r="L270" s="6"/>
      <c r="M270" s="6"/>
      <c r="N270" s="6"/>
      <c r="O270" s="10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/>
      <c r="B271" s="7"/>
      <c r="C271" s="6"/>
      <c r="D271" s="11"/>
      <c r="E271" s="12"/>
      <c r="F271" s="12"/>
      <c r="G271" s="11"/>
      <c r="H271" s="12"/>
      <c r="I271" s="12"/>
      <c r="J271" s="12"/>
      <c r="K271" s="6"/>
      <c r="L271" s="6"/>
      <c r="M271" s="6"/>
      <c r="N271" s="6"/>
      <c r="O271" s="10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/>
      <c r="B272" s="7"/>
      <c r="C272" s="6"/>
      <c r="D272" s="11"/>
      <c r="E272" s="12"/>
      <c r="F272" s="12"/>
      <c r="G272" s="11"/>
      <c r="H272" s="12"/>
      <c r="I272" s="12"/>
      <c r="J272" s="12"/>
      <c r="K272" s="6"/>
      <c r="L272" s="6"/>
      <c r="M272" s="6"/>
      <c r="N272" s="6"/>
      <c r="O272" s="10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/>
      <c r="B273" s="7"/>
      <c r="C273" s="6"/>
      <c r="D273" s="11"/>
      <c r="E273" s="12"/>
      <c r="F273" s="12"/>
      <c r="G273" s="11"/>
      <c r="H273" s="12"/>
      <c r="I273" s="12"/>
      <c r="J273" s="12"/>
      <c r="K273" s="6"/>
      <c r="L273" s="6"/>
      <c r="M273" s="6"/>
      <c r="N273" s="6"/>
      <c r="O273" s="10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/>
      <c r="B274" s="7"/>
      <c r="C274" s="6"/>
      <c r="D274" s="11"/>
      <c r="E274" s="12"/>
      <c r="F274" s="12"/>
      <c r="G274" s="11"/>
      <c r="H274" s="12"/>
      <c r="I274" s="12"/>
      <c r="J274" s="12"/>
      <c r="K274" s="6"/>
      <c r="L274" s="6"/>
      <c r="M274" s="6"/>
      <c r="N274" s="6"/>
      <c r="O274" s="10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/>
      <c r="B275" s="7"/>
      <c r="C275" s="6"/>
      <c r="D275" s="11"/>
      <c r="E275" s="12"/>
      <c r="F275" s="12"/>
      <c r="G275" s="11"/>
      <c r="H275" s="12"/>
      <c r="I275" s="12"/>
      <c r="J275" s="12"/>
      <c r="K275" s="6"/>
      <c r="L275" s="6"/>
      <c r="M275" s="6"/>
      <c r="N275" s="6"/>
      <c r="O275" s="10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/>
      <c r="B276" s="7"/>
      <c r="C276" s="6"/>
      <c r="D276" s="11"/>
      <c r="E276" s="12"/>
      <c r="F276" s="12"/>
      <c r="G276" s="11"/>
      <c r="H276" s="12"/>
      <c r="I276" s="12"/>
      <c r="J276" s="12"/>
      <c r="K276" s="6"/>
      <c r="L276" s="6"/>
      <c r="M276" s="6"/>
      <c r="N276" s="6"/>
      <c r="O276" s="10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/>
      <c r="B277" s="7"/>
      <c r="C277" s="6"/>
      <c r="D277" s="11"/>
      <c r="E277" s="12"/>
      <c r="F277" s="12"/>
      <c r="G277" s="11"/>
      <c r="H277" s="12"/>
      <c r="I277" s="12"/>
      <c r="J277" s="12"/>
      <c r="K277" s="6"/>
      <c r="L277" s="6"/>
      <c r="M277" s="6"/>
      <c r="N277" s="6"/>
      <c r="O277" s="10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/>
      <c r="B278" s="7"/>
      <c r="C278" s="6"/>
      <c r="D278" s="11"/>
      <c r="E278" s="12"/>
      <c r="F278" s="12"/>
      <c r="G278" s="11"/>
      <c r="H278" s="12"/>
      <c r="I278" s="12"/>
      <c r="J278" s="12"/>
      <c r="K278" s="6"/>
      <c r="L278" s="6"/>
      <c r="M278" s="6"/>
      <c r="N278" s="6"/>
      <c r="O278" s="10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/>
      <c r="B279" s="7"/>
      <c r="C279" s="6"/>
      <c r="D279" s="11"/>
      <c r="E279" s="12"/>
      <c r="F279" s="12"/>
      <c r="G279" s="11"/>
      <c r="H279" s="12"/>
      <c r="I279" s="12"/>
      <c r="J279" s="12"/>
      <c r="K279" s="6"/>
      <c r="L279" s="6"/>
      <c r="M279" s="6"/>
      <c r="N279" s="6"/>
      <c r="O279" s="10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/>
      <c r="B280" s="7"/>
      <c r="C280" s="6"/>
      <c r="D280" s="11"/>
      <c r="E280" s="12"/>
      <c r="F280" s="12"/>
      <c r="G280" s="11"/>
      <c r="H280" s="12"/>
      <c r="I280" s="12"/>
      <c r="J280" s="12"/>
      <c r="K280" s="6"/>
      <c r="L280" s="6"/>
      <c r="M280" s="6"/>
      <c r="N280" s="6"/>
      <c r="O280" s="10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/>
      <c r="B281" s="7"/>
      <c r="C281" s="6"/>
      <c r="D281" s="11"/>
      <c r="E281" s="12"/>
      <c r="F281" s="12"/>
      <c r="G281" s="11"/>
      <c r="H281" s="12"/>
      <c r="I281" s="12"/>
      <c r="J281" s="12"/>
      <c r="K281" s="6"/>
      <c r="L281" s="6"/>
      <c r="M281" s="6"/>
      <c r="N281" s="6"/>
      <c r="O281" s="10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/>
      <c r="B282" s="7"/>
      <c r="C282" s="6"/>
      <c r="D282" s="11"/>
      <c r="E282" s="12"/>
      <c r="F282" s="12"/>
      <c r="G282" s="11"/>
      <c r="H282" s="12"/>
      <c r="I282" s="12"/>
      <c r="J282" s="12"/>
      <c r="K282" s="6"/>
      <c r="L282" s="6"/>
      <c r="M282" s="6"/>
      <c r="N282" s="6"/>
      <c r="O282" s="10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/>
      <c r="B283" s="7"/>
      <c r="C283" s="6"/>
      <c r="D283" s="11"/>
      <c r="E283" s="12"/>
      <c r="F283" s="12"/>
      <c r="G283" s="11"/>
      <c r="H283" s="12"/>
      <c r="I283" s="12"/>
      <c r="J283" s="12"/>
      <c r="K283" s="6"/>
      <c r="L283" s="6"/>
      <c r="M283" s="6"/>
      <c r="N283" s="6"/>
      <c r="O283" s="10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/>
      <c r="B284" s="7"/>
      <c r="C284" s="6"/>
      <c r="D284" s="11"/>
      <c r="E284" s="12"/>
      <c r="F284" s="12"/>
      <c r="G284" s="11"/>
      <c r="H284" s="12"/>
      <c r="I284" s="12"/>
      <c r="J284" s="12"/>
      <c r="K284" s="6"/>
      <c r="L284" s="6"/>
      <c r="M284" s="6"/>
      <c r="N284" s="6"/>
      <c r="O284" s="10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/>
      <c r="B285" s="7"/>
      <c r="C285" s="6"/>
      <c r="D285" s="11"/>
      <c r="E285" s="12"/>
      <c r="F285" s="12"/>
      <c r="G285" s="11"/>
      <c r="H285" s="12"/>
      <c r="I285" s="12"/>
      <c r="J285" s="12"/>
      <c r="K285" s="6"/>
      <c r="L285" s="6"/>
      <c r="M285" s="6"/>
      <c r="N285" s="6"/>
      <c r="O285" s="10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/>
      <c r="B286" s="7"/>
      <c r="C286" s="6"/>
      <c r="D286" s="11"/>
      <c r="E286" s="12"/>
      <c r="F286" s="12"/>
      <c r="G286" s="11"/>
      <c r="H286" s="12"/>
      <c r="I286" s="12"/>
      <c r="J286" s="12"/>
      <c r="K286" s="6"/>
      <c r="L286" s="6"/>
      <c r="M286" s="6"/>
      <c r="N286" s="6"/>
      <c r="O286" s="10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/>
      <c r="B287" s="7"/>
      <c r="C287" s="6"/>
      <c r="D287" s="11"/>
      <c r="E287" s="12"/>
      <c r="F287" s="12"/>
      <c r="G287" s="11"/>
      <c r="H287" s="12"/>
      <c r="I287" s="12"/>
      <c r="J287" s="12"/>
      <c r="K287" s="6"/>
      <c r="L287" s="6"/>
      <c r="M287" s="6"/>
      <c r="N287" s="6"/>
      <c r="O287" s="10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/>
      <c r="B288" s="7"/>
      <c r="C288" s="6"/>
      <c r="D288" s="11"/>
      <c r="E288" s="12"/>
      <c r="F288" s="12"/>
      <c r="G288" s="11"/>
      <c r="H288" s="12"/>
      <c r="I288" s="12"/>
      <c r="J288" s="12"/>
      <c r="K288" s="6"/>
      <c r="L288" s="6"/>
      <c r="M288" s="6"/>
      <c r="N288" s="6"/>
      <c r="O288" s="10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/>
      <c r="B289" s="7"/>
      <c r="C289" s="6"/>
      <c r="D289" s="11"/>
      <c r="E289" s="12"/>
      <c r="F289" s="12"/>
      <c r="G289" s="11"/>
      <c r="H289" s="12"/>
      <c r="I289" s="12"/>
      <c r="J289" s="12"/>
      <c r="K289" s="6"/>
      <c r="L289" s="6"/>
      <c r="M289" s="6"/>
      <c r="N289" s="6"/>
      <c r="O289" s="10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/>
      <c r="B290" s="7"/>
      <c r="C290" s="6"/>
      <c r="D290" s="11"/>
      <c r="E290" s="12"/>
      <c r="F290" s="12"/>
      <c r="G290" s="11"/>
      <c r="H290" s="12"/>
      <c r="I290" s="12"/>
      <c r="J290" s="12"/>
      <c r="K290" s="6"/>
      <c r="L290" s="6"/>
      <c r="M290" s="6"/>
      <c r="N290" s="6"/>
      <c r="O290" s="10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/>
      <c r="B291" s="7"/>
      <c r="C291" s="6"/>
      <c r="D291" s="11"/>
      <c r="E291" s="12"/>
      <c r="F291" s="12"/>
      <c r="G291" s="11"/>
      <c r="H291" s="12"/>
      <c r="I291" s="12"/>
      <c r="J291" s="12"/>
      <c r="K291" s="6"/>
      <c r="L291" s="6"/>
      <c r="M291" s="6"/>
      <c r="N291" s="6"/>
      <c r="O291" s="10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/>
      <c r="B292" s="7"/>
      <c r="C292" s="6"/>
      <c r="D292" s="11"/>
      <c r="E292" s="12"/>
      <c r="F292" s="12"/>
      <c r="G292" s="11"/>
      <c r="H292" s="12"/>
      <c r="I292" s="12"/>
      <c r="J292" s="12"/>
      <c r="K292" s="6"/>
      <c r="L292" s="6"/>
      <c r="M292" s="6"/>
      <c r="N292" s="6"/>
      <c r="O292" s="1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/>
      <c r="B293" s="7"/>
      <c r="C293" s="6"/>
      <c r="D293" s="11"/>
      <c r="E293" s="12"/>
      <c r="F293" s="12"/>
      <c r="G293" s="11"/>
      <c r="H293" s="12"/>
      <c r="I293" s="12"/>
      <c r="J293" s="12"/>
      <c r="K293" s="6"/>
      <c r="L293" s="6"/>
      <c r="M293" s="6"/>
      <c r="N293" s="6"/>
      <c r="O293" s="10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/>
      <c r="B294" s="7"/>
      <c r="C294" s="6"/>
      <c r="D294" s="11"/>
      <c r="E294" s="12"/>
      <c r="F294" s="12"/>
      <c r="G294" s="11"/>
      <c r="H294" s="12"/>
      <c r="I294" s="12"/>
      <c r="J294" s="12"/>
      <c r="K294" s="6"/>
      <c r="L294" s="6"/>
      <c r="M294" s="6"/>
      <c r="N294" s="6"/>
      <c r="O294" s="10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/>
      <c r="B295" s="7"/>
      <c r="C295" s="6"/>
      <c r="D295" s="11"/>
      <c r="E295" s="12"/>
      <c r="F295" s="12"/>
      <c r="G295" s="11"/>
      <c r="H295" s="12"/>
      <c r="I295" s="12"/>
      <c r="J295" s="12"/>
      <c r="K295" s="6"/>
      <c r="L295" s="6"/>
      <c r="M295" s="6"/>
      <c r="N295" s="6"/>
      <c r="O295" s="10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/>
      <c r="B296" s="7"/>
      <c r="C296" s="6"/>
      <c r="D296" s="11"/>
      <c r="E296" s="12"/>
      <c r="F296" s="12"/>
      <c r="G296" s="11"/>
      <c r="H296" s="12"/>
      <c r="I296" s="12"/>
      <c r="J296" s="12"/>
      <c r="K296" s="6"/>
      <c r="L296" s="6"/>
      <c r="M296" s="6"/>
      <c r="N296" s="6"/>
      <c r="O296" s="10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/>
      <c r="B297" s="7"/>
      <c r="C297" s="6"/>
      <c r="D297" s="11"/>
      <c r="E297" s="12"/>
      <c r="F297" s="12"/>
      <c r="G297" s="11"/>
      <c r="H297" s="12"/>
      <c r="I297" s="12"/>
      <c r="J297" s="12"/>
      <c r="K297" s="6"/>
      <c r="L297" s="6"/>
      <c r="M297" s="6"/>
      <c r="N297" s="6"/>
      <c r="O297" s="10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/>
      <c r="B298" s="7"/>
      <c r="C298" s="6"/>
      <c r="D298" s="11"/>
      <c r="E298" s="12"/>
      <c r="F298" s="12"/>
      <c r="G298" s="11"/>
      <c r="H298" s="12"/>
      <c r="I298" s="12"/>
      <c r="J298" s="12"/>
      <c r="K298" s="6"/>
      <c r="L298" s="6"/>
      <c r="M298" s="6"/>
      <c r="N298" s="6"/>
      <c r="O298" s="1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/>
      <c r="B299" s="7"/>
      <c r="C299" s="6"/>
      <c r="D299" s="11"/>
      <c r="E299" s="12"/>
      <c r="F299" s="12"/>
      <c r="G299" s="11"/>
      <c r="H299" s="12"/>
      <c r="I299" s="12"/>
      <c r="J299" s="12"/>
      <c r="K299" s="6"/>
      <c r="L299" s="6"/>
      <c r="M299" s="6"/>
      <c r="N299" s="6"/>
      <c r="O299" s="10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/>
      <c r="B300" s="7"/>
      <c r="C300" s="6"/>
      <c r="D300" s="11"/>
      <c r="E300" s="12"/>
      <c r="F300" s="12"/>
      <c r="G300" s="11"/>
      <c r="H300" s="12"/>
      <c r="I300" s="12"/>
      <c r="J300" s="12"/>
      <c r="K300" s="6"/>
      <c r="L300" s="6"/>
      <c r="M300" s="6"/>
      <c r="N300" s="6"/>
      <c r="O300" s="10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/>
      <c r="B301" s="7"/>
      <c r="C301" s="6"/>
      <c r="D301" s="11"/>
      <c r="E301" s="12"/>
      <c r="F301" s="12"/>
      <c r="G301" s="11"/>
      <c r="H301" s="12"/>
      <c r="I301" s="12"/>
      <c r="J301" s="12"/>
      <c r="K301" s="6"/>
      <c r="L301" s="6"/>
      <c r="M301" s="6"/>
      <c r="N301" s="6"/>
      <c r="O301" s="10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/>
      <c r="B302" s="7"/>
      <c r="C302" s="6"/>
      <c r="D302" s="11"/>
      <c r="E302" s="12"/>
      <c r="F302" s="12"/>
      <c r="G302" s="11"/>
      <c r="H302" s="12"/>
      <c r="I302" s="12"/>
      <c r="J302" s="12"/>
      <c r="K302" s="6"/>
      <c r="L302" s="6"/>
      <c r="M302" s="6"/>
      <c r="N302" s="6"/>
      <c r="O302" s="10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/>
      <c r="B303" s="7"/>
      <c r="C303" s="6"/>
      <c r="D303" s="11"/>
      <c r="E303" s="12"/>
      <c r="F303" s="12"/>
      <c r="G303" s="11"/>
      <c r="H303" s="12"/>
      <c r="I303" s="12"/>
      <c r="J303" s="12"/>
      <c r="K303" s="6"/>
      <c r="L303" s="6"/>
      <c r="M303" s="6"/>
      <c r="N303" s="6"/>
      <c r="O303" s="10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/>
      <c r="B304" s="7"/>
      <c r="C304" s="6"/>
      <c r="D304" s="11"/>
      <c r="E304" s="12"/>
      <c r="F304" s="12"/>
      <c r="G304" s="11"/>
      <c r="H304" s="12"/>
      <c r="I304" s="12"/>
      <c r="J304" s="12"/>
      <c r="K304" s="6"/>
      <c r="L304" s="6"/>
      <c r="M304" s="6"/>
      <c r="N304" s="6"/>
      <c r="O304" s="10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/>
      <c r="B305" s="7"/>
      <c r="C305" s="6"/>
      <c r="D305" s="11"/>
      <c r="E305" s="12"/>
      <c r="F305" s="12"/>
      <c r="G305" s="11"/>
      <c r="H305" s="12"/>
      <c r="I305" s="12"/>
      <c r="J305" s="12"/>
      <c r="K305" s="6"/>
      <c r="L305" s="6"/>
      <c r="M305" s="6"/>
      <c r="N305" s="6"/>
      <c r="O305" s="10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/>
      <c r="B306" s="7"/>
      <c r="C306" s="6"/>
      <c r="D306" s="11"/>
      <c r="E306" s="12"/>
      <c r="F306" s="12"/>
      <c r="G306" s="11"/>
      <c r="H306" s="12"/>
      <c r="I306" s="12"/>
      <c r="J306" s="12"/>
      <c r="K306" s="6"/>
      <c r="L306" s="6"/>
      <c r="M306" s="6"/>
      <c r="N306" s="6"/>
      <c r="O306" s="10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/>
      <c r="B307" s="7"/>
      <c r="C307" s="6"/>
      <c r="D307" s="11"/>
      <c r="E307" s="12"/>
      <c r="F307" s="12"/>
      <c r="G307" s="11"/>
      <c r="H307" s="12"/>
      <c r="I307" s="12"/>
      <c r="J307" s="12"/>
      <c r="K307" s="6"/>
      <c r="L307" s="6"/>
      <c r="M307" s="6"/>
      <c r="N307" s="6"/>
      <c r="O307" s="10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/>
      <c r="B308" s="7"/>
      <c r="C308" s="6"/>
      <c r="D308" s="11"/>
      <c r="E308" s="12"/>
      <c r="F308" s="12"/>
      <c r="G308" s="11"/>
      <c r="H308" s="12"/>
      <c r="I308" s="12"/>
      <c r="J308" s="12"/>
      <c r="K308" s="6"/>
      <c r="L308" s="6"/>
      <c r="M308" s="6"/>
      <c r="N308" s="6"/>
      <c r="O308" s="1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/>
      <c r="B309" s="7"/>
      <c r="C309" s="6"/>
      <c r="D309" s="11"/>
      <c r="E309" s="12"/>
      <c r="F309" s="12"/>
      <c r="G309" s="11"/>
      <c r="H309" s="12"/>
      <c r="I309" s="12"/>
      <c r="J309" s="12"/>
      <c r="K309" s="6"/>
      <c r="L309" s="6"/>
      <c r="M309" s="6"/>
      <c r="N309" s="6"/>
      <c r="O309" s="10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/>
      <c r="B310" s="7"/>
      <c r="C310" s="6"/>
      <c r="D310" s="11"/>
      <c r="E310" s="12"/>
      <c r="F310" s="12"/>
      <c r="G310" s="11"/>
      <c r="H310" s="12"/>
      <c r="I310" s="12"/>
      <c r="J310" s="12"/>
      <c r="K310" s="6"/>
      <c r="L310" s="6"/>
      <c r="M310" s="6"/>
      <c r="N310" s="6"/>
      <c r="O310" s="10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/>
      <c r="B311" s="7"/>
      <c r="C311" s="6"/>
      <c r="D311" s="11"/>
      <c r="E311" s="12"/>
      <c r="F311" s="12"/>
      <c r="G311" s="11"/>
      <c r="H311" s="12"/>
      <c r="I311" s="12"/>
      <c r="J311" s="12"/>
      <c r="K311" s="6"/>
      <c r="L311" s="6"/>
      <c r="M311" s="6"/>
      <c r="N311" s="6"/>
      <c r="O311" s="10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/>
      <c r="B312" s="7"/>
      <c r="C312" s="6"/>
      <c r="D312" s="11"/>
      <c r="E312" s="12"/>
      <c r="F312" s="12"/>
      <c r="G312" s="11"/>
      <c r="H312" s="12"/>
      <c r="I312" s="12"/>
      <c r="J312" s="12"/>
      <c r="K312" s="6"/>
      <c r="L312" s="6"/>
      <c r="M312" s="6"/>
      <c r="N312" s="6"/>
      <c r="O312" s="10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/>
      <c r="B313" s="7"/>
      <c r="C313" s="6"/>
      <c r="D313" s="11"/>
      <c r="E313" s="12"/>
      <c r="F313" s="12"/>
      <c r="G313" s="11"/>
      <c r="H313" s="12"/>
      <c r="I313" s="12"/>
      <c r="J313" s="12"/>
      <c r="K313" s="6"/>
      <c r="L313" s="6"/>
      <c r="M313" s="6"/>
      <c r="N313" s="6"/>
      <c r="O313" s="10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/>
      <c r="B314" s="7"/>
      <c r="C314" s="6"/>
      <c r="D314" s="11"/>
      <c r="E314" s="12"/>
      <c r="F314" s="12"/>
      <c r="G314" s="11"/>
      <c r="H314" s="12"/>
      <c r="I314" s="12"/>
      <c r="J314" s="12"/>
      <c r="K314" s="6"/>
      <c r="L314" s="6"/>
      <c r="M314" s="6"/>
      <c r="N314" s="6"/>
      <c r="O314" s="1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/>
      <c r="B315" s="7"/>
      <c r="C315" s="6"/>
      <c r="D315" s="11"/>
      <c r="E315" s="12"/>
      <c r="F315" s="12"/>
      <c r="G315" s="11"/>
      <c r="H315" s="12"/>
      <c r="I315" s="12"/>
      <c r="J315" s="12"/>
      <c r="K315" s="6"/>
      <c r="L315" s="6"/>
      <c r="M315" s="6"/>
      <c r="N315" s="6"/>
      <c r="O315" s="10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/>
      <c r="B316" s="7"/>
      <c r="C316" s="6"/>
      <c r="D316" s="11"/>
      <c r="E316" s="12"/>
      <c r="F316" s="12"/>
      <c r="G316" s="11"/>
      <c r="H316" s="12"/>
      <c r="I316" s="12"/>
      <c r="J316" s="12"/>
      <c r="K316" s="6"/>
      <c r="L316" s="6"/>
      <c r="M316" s="6"/>
      <c r="N316" s="6"/>
      <c r="O316" s="10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/>
      <c r="B317" s="7"/>
      <c r="C317" s="6"/>
      <c r="D317" s="11"/>
      <c r="E317" s="12"/>
      <c r="F317" s="12"/>
      <c r="G317" s="11"/>
      <c r="H317" s="12"/>
      <c r="I317" s="12"/>
      <c r="J317" s="12"/>
      <c r="K317" s="6"/>
      <c r="L317" s="6"/>
      <c r="M317" s="6"/>
      <c r="N317" s="6"/>
      <c r="O317" s="10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/>
      <c r="B318" s="7"/>
      <c r="C318" s="6"/>
      <c r="D318" s="11"/>
      <c r="E318" s="12"/>
      <c r="F318" s="12"/>
      <c r="G318" s="11"/>
      <c r="H318" s="12"/>
      <c r="I318" s="12"/>
      <c r="J318" s="12"/>
      <c r="K318" s="6"/>
      <c r="L318" s="6"/>
      <c r="M318" s="6"/>
      <c r="N318" s="6"/>
      <c r="O318" s="10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/>
      <c r="B319" s="7"/>
      <c r="C319" s="6"/>
      <c r="D319" s="11"/>
      <c r="E319" s="12"/>
      <c r="F319" s="12"/>
      <c r="G319" s="11"/>
      <c r="H319" s="12"/>
      <c r="I319" s="12"/>
      <c r="J319" s="12"/>
      <c r="K319" s="6"/>
      <c r="L319" s="6"/>
      <c r="M319" s="6"/>
      <c r="N319" s="6"/>
      <c r="O319" s="10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/>
      <c r="B320" s="7"/>
      <c r="C320" s="6"/>
      <c r="D320" s="11"/>
      <c r="E320" s="12"/>
      <c r="F320" s="12"/>
      <c r="G320" s="11"/>
      <c r="H320" s="12"/>
      <c r="I320" s="12"/>
      <c r="J320" s="12"/>
      <c r="K320" s="6"/>
      <c r="L320" s="6"/>
      <c r="M320" s="6"/>
      <c r="N320" s="6"/>
      <c r="O320" s="10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/>
      <c r="B321" s="7"/>
      <c r="C321" s="6"/>
      <c r="D321" s="11"/>
      <c r="E321" s="12"/>
      <c r="F321" s="12"/>
      <c r="G321" s="11"/>
      <c r="H321" s="12"/>
      <c r="I321" s="12"/>
      <c r="J321" s="12"/>
      <c r="K321" s="6"/>
      <c r="L321" s="6"/>
      <c r="M321" s="6"/>
      <c r="N321" s="6"/>
      <c r="O321" s="10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/>
      <c r="B322" s="7"/>
      <c r="C322" s="6"/>
      <c r="D322" s="11"/>
      <c r="E322" s="12"/>
      <c r="F322" s="12"/>
      <c r="G322" s="11"/>
      <c r="H322" s="12"/>
      <c r="I322" s="12"/>
      <c r="J322" s="12"/>
      <c r="K322" s="6"/>
      <c r="L322" s="6"/>
      <c r="M322" s="6"/>
      <c r="N322" s="6"/>
      <c r="O322" s="10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/>
      <c r="B323" s="7"/>
      <c r="C323" s="6"/>
      <c r="D323" s="11"/>
      <c r="E323" s="12"/>
      <c r="F323" s="12"/>
      <c r="G323" s="11"/>
      <c r="H323" s="12"/>
      <c r="I323" s="12"/>
      <c r="J323" s="12"/>
      <c r="K323" s="6"/>
      <c r="L323" s="6"/>
      <c r="M323" s="6"/>
      <c r="N323" s="6"/>
      <c r="O323" s="10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/>
      <c r="B324" s="7"/>
      <c r="C324" s="6"/>
      <c r="D324" s="11"/>
      <c r="E324" s="12"/>
      <c r="F324" s="12"/>
      <c r="G324" s="11"/>
      <c r="H324" s="12"/>
      <c r="I324" s="12"/>
      <c r="J324" s="12"/>
      <c r="K324" s="6"/>
      <c r="L324" s="6"/>
      <c r="M324" s="6"/>
      <c r="N324" s="6"/>
      <c r="O324" s="10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/>
      <c r="B325" s="7"/>
      <c r="C325" s="6"/>
      <c r="D325" s="11"/>
      <c r="E325" s="12"/>
      <c r="F325" s="12"/>
      <c r="G325" s="11"/>
      <c r="H325" s="12"/>
      <c r="I325" s="12"/>
      <c r="J325" s="12"/>
      <c r="K325" s="6"/>
      <c r="L325" s="6"/>
      <c r="M325" s="6"/>
      <c r="N325" s="6"/>
      <c r="O325" s="10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/>
      <c r="B326" s="7"/>
      <c r="C326" s="6"/>
      <c r="D326" s="11"/>
      <c r="E326" s="12"/>
      <c r="F326" s="12"/>
      <c r="G326" s="11"/>
      <c r="H326" s="12"/>
      <c r="I326" s="12"/>
      <c r="J326" s="12"/>
      <c r="K326" s="6"/>
      <c r="L326" s="6"/>
      <c r="M326" s="6"/>
      <c r="N326" s="6"/>
      <c r="O326" s="10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/>
      <c r="B327" s="7"/>
      <c r="C327" s="6"/>
      <c r="D327" s="11"/>
      <c r="E327" s="12"/>
      <c r="F327" s="12"/>
      <c r="G327" s="11"/>
      <c r="H327" s="12"/>
      <c r="I327" s="12"/>
      <c r="J327" s="12"/>
      <c r="K327" s="6"/>
      <c r="L327" s="6"/>
      <c r="M327" s="6"/>
      <c r="N327" s="6"/>
      <c r="O327" s="10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/>
      <c r="B328" s="7"/>
      <c r="C328" s="6"/>
      <c r="D328" s="11"/>
      <c r="E328" s="12"/>
      <c r="F328" s="12"/>
      <c r="G328" s="11"/>
      <c r="H328" s="12"/>
      <c r="I328" s="12"/>
      <c r="J328" s="12"/>
      <c r="K328" s="6"/>
      <c r="L328" s="6"/>
      <c r="M328" s="6"/>
      <c r="N328" s="6"/>
      <c r="O328" s="10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/>
      <c r="B329" s="7"/>
      <c r="C329" s="6"/>
      <c r="D329" s="11"/>
      <c r="E329" s="12"/>
      <c r="F329" s="12"/>
      <c r="G329" s="11"/>
      <c r="H329" s="12"/>
      <c r="I329" s="12"/>
      <c r="J329" s="12"/>
      <c r="K329" s="6"/>
      <c r="L329" s="6"/>
      <c r="M329" s="6"/>
      <c r="N329" s="6"/>
      <c r="O329" s="10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/>
      <c r="B330" s="7"/>
      <c r="C330" s="6"/>
      <c r="D330" s="11"/>
      <c r="E330" s="12"/>
      <c r="F330" s="12"/>
      <c r="G330" s="11"/>
      <c r="H330" s="12"/>
      <c r="I330" s="12"/>
      <c r="J330" s="12"/>
      <c r="K330" s="6"/>
      <c r="L330" s="6"/>
      <c r="M330" s="6"/>
      <c r="N330" s="6"/>
      <c r="O330" s="10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/>
      <c r="B331" s="7"/>
      <c r="C331" s="6"/>
      <c r="D331" s="11"/>
      <c r="E331" s="12"/>
      <c r="F331" s="12"/>
      <c r="G331" s="11"/>
      <c r="H331" s="12"/>
      <c r="I331" s="12"/>
      <c r="J331" s="12"/>
      <c r="K331" s="6"/>
      <c r="L331" s="6"/>
      <c r="M331" s="6"/>
      <c r="N331" s="6"/>
      <c r="O331" s="10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/>
      <c r="B332" s="7"/>
      <c r="C332" s="6"/>
      <c r="D332" s="11"/>
      <c r="E332" s="12"/>
      <c r="F332" s="12"/>
      <c r="G332" s="11"/>
      <c r="H332" s="12"/>
      <c r="I332" s="12"/>
      <c r="J332" s="12"/>
      <c r="K332" s="6"/>
      <c r="L332" s="6"/>
      <c r="M332" s="6"/>
      <c r="N332" s="6"/>
      <c r="O332" s="1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/>
      <c r="B333" s="7"/>
      <c r="C333" s="6"/>
      <c r="D333" s="11"/>
      <c r="E333" s="12"/>
      <c r="F333" s="12"/>
      <c r="G333" s="11"/>
      <c r="H333" s="12"/>
      <c r="I333" s="12"/>
      <c r="J333" s="12"/>
      <c r="K333" s="6"/>
      <c r="L333" s="6"/>
      <c r="M333" s="6"/>
      <c r="N333" s="6"/>
      <c r="O333" s="10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/>
      <c r="B334" s="7"/>
      <c r="C334" s="6"/>
      <c r="D334" s="11"/>
      <c r="E334" s="12"/>
      <c r="F334" s="12"/>
      <c r="G334" s="11"/>
      <c r="H334" s="12"/>
      <c r="I334" s="12"/>
      <c r="J334" s="12"/>
      <c r="K334" s="6"/>
      <c r="L334" s="6"/>
      <c r="M334" s="6"/>
      <c r="N334" s="6"/>
      <c r="O334" s="10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/>
      <c r="B335" s="7"/>
      <c r="C335" s="6"/>
      <c r="D335" s="11"/>
      <c r="E335" s="12"/>
      <c r="F335" s="12"/>
      <c r="G335" s="11"/>
      <c r="H335" s="12"/>
      <c r="I335" s="12"/>
      <c r="J335" s="12"/>
      <c r="K335" s="6"/>
      <c r="L335" s="6"/>
      <c r="M335" s="6"/>
      <c r="N335" s="6"/>
      <c r="O335" s="10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/>
      <c r="B336" s="7"/>
      <c r="C336" s="6"/>
      <c r="D336" s="11"/>
      <c r="E336" s="12"/>
      <c r="F336" s="12"/>
      <c r="G336" s="11"/>
      <c r="H336" s="12"/>
      <c r="I336" s="12"/>
      <c r="J336" s="12"/>
      <c r="K336" s="6"/>
      <c r="L336" s="6"/>
      <c r="M336" s="6"/>
      <c r="N336" s="6"/>
      <c r="O336" s="10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/>
      <c r="B337" s="7"/>
      <c r="C337" s="6"/>
      <c r="D337" s="11"/>
      <c r="E337" s="12"/>
      <c r="F337" s="12"/>
      <c r="G337" s="11"/>
      <c r="H337" s="12"/>
      <c r="I337" s="12"/>
      <c r="J337" s="12"/>
      <c r="K337" s="6"/>
      <c r="L337" s="6"/>
      <c r="M337" s="6"/>
      <c r="N337" s="6"/>
      <c r="O337" s="10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/>
      <c r="B338" s="7"/>
      <c r="C338" s="6"/>
      <c r="D338" s="11"/>
      <c r="E338" s="12"/>
      <c r="F338" s="12"/>
      <c r="G338" s="11"/>
      <c r="H338" s="12"/>
      <c r="I338" s="12"/>
      <c r="J338" s="12"/>
      <c r="K338" s="6"/>
      <c r="L338" s="6"/>
      <c r="M338" s="6"/>
      <c r="N338" s="6"/>
      <c r="O338" s="1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/>
      <c r="B339" s="7"/>
      <c r="C339" s="6"/>
      <c r="D339" s="11"/>
      <c r="E339" s="12"/>
      <c r="F339" s="12"/>
      <c r="G339" s="11"/>
      <c r="H339" s="12"/>
      <c r="I339" s="12"/>
      <c r="J339" s="12"/>
      <c r="K339" s="6"/>
      <c r="L339" s="6"/>
      <c r="M339" s="6"/>
      <c r="N339" s="6"/>
      <c r="O339" s="10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/>
      <c r="B340" s="7"/>
      <c r="C340" s="6"/>
      <c r="D340" s="11"/>
      <c r="E340" s="12"/>
      <c r="F340" s="12"/>
      <c r="G340" s="11"/>
      <c r="H340" s="12"/>
      <c r="I340" s="12"/>
      <c r="J340" s="12"/>
      <c r="K340" s="6"/>
      <c r="L340" s="6"/>
      <c r="M340" s="6"/>
      <c r="N340" s="6"/>
      <c r="O340" s="10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/>
      <c r="B341" s="7"/>
      <c r="C341" s="6"/>
      <c r="D341" s="11"/>
      <c r="E341" s="12"/>
      <c r="F341" s="12"/>
      <c r="G341" s="11"/>
      <c r="H341" s="12"/>
      <c r="I341" s="12"/>
      <c r="J341" s="12"/>
      <c r="K341" s="6"/>
      <c r="L341" s="6"/>
      <c r="M341" s="6"/>
      <c r="N341" s="6"/>
      <c r="O341" s="10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/>
      <c r="B342" s="7"/>
      <c r="C342" s="6"/>
      <c r="D342" s="11"/>
      <c r="E342" s="12"/>
      <c r="F342" s="12"/>
      <c r="G342" s="11"/>
      <c r="H342" s="12"/>
      <c r="I342" s="12"/>
      <c r="J342" s="12"/>
      <c r="K342" s="6"/>
      <c r="L342" s="6"/>
      <c r="M342" s="6"/>
      <c r="N342" s="6"/>
      <c r="O342" s="10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/>
      <c r="B343" s="7"/>
      <c r="C343" s="6"/>
      <c r="D343" s="11"/>
      <c r="E343" s="12"/>
      <c r="F343" s="12"/>
      <c r="G343" s="11"/>
      <c r="H343" s="12"/>
      <c r="I343" s="12"/>
      <c r="J343" s="12"/>
      <c r="K343" s="6"/>
      <c r="L343" s="6"/>
      <c r="M343" s="6"/>
      <c r="N343" s="6"/>
      <c r="O343" s="10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/>
      <c r="B344" s="7"/>
      <c r="C344" s="6"/>
      <c r="D344" s="11"/>
      <c r="E344" s="12"/>
      <c r="F344" s="12"/>
      <c r="G344" s="11"/>
      <c r="H344" s="12"/>
      <c r="I344" s="12"/>
      <c r="J344" s="12"/>
      <c r="K344" s="6"/>
      <c r="L344" s="6"/>
      <c r="M344" s="6"/>
      <c r="N344" s="6"/>
      <c r="O344" s="1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/>
      <c r="B345" s="7"/>
      <c r="C345" s="6"/>
      <c r="D345" s="11"/>
      <c r="E345" s="12"/>
      <c r="F345" s="12"/>
      <c r="G345" s="11"/>
      <c r="H345" s="12"/>
      <c r="I345" s="12"/>
      <c r="J345" s="12"/>
      <c r="K345" s="6"/>
      <c r="L345" s="6"/>
      <c r="M345" s="6"/>
      <c r="N345" s="6"/>
      <c r="O345" s="10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/>
      <c r="B346" s="7"/>
      <c r="C346" s="6"/>
      <c r="D346" s="11"/>
      <c r="E346" s="12"/>
      <c r="F346" s="12"/>
      <c r="G346" s="11"/>
      <c r="H346" s="12"/>
      <c r="I346" s="12"/>
      <c r="J346" s="12"/>
      <c r="K346" s="6"/>
      <c r="L346" s="6"/>
      <c r="M346" s="6"/>
      <c r="N346" s="6"/>
      <c r="O346" s="10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/>
      <c r="B347" s="7"/>
      <c r="C347" s="6"/>
      <c r="D347" s="11"/>
      <c r="E347" s="12"/>
      <c r="F347" s="12"/>
      <c r="G347" s="11"/>
      <c r="H347" s="12"/>
      <c r="I347" s="12"/>
      <c r="J347" s="12"/>
      <c r="K347" s="6"/>
      <c r="L347" s="6"/>
      <c r="M347" s="6"/>
      <c r="N347" s="6"/>
      <c r="O347" s="10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/>
      <c r="B348" s="7"/>
      <c r="C348" s="6"/>
      <c r="D348" s="11"/>
      <c r="E348" s="12"/>
      <c r="F348" s="12"/>
      <c r="G348" s="11"/>
      <c r="H348" s="12"/>
      <c r="I348" s="12"/>
      <c r="J348" s="12"/>
      <c r="K348" s="6"/>
      <c r="L348" s="6"/>
      <c r="M348" s="6"/>
      <c r="N348" s="6"/>
      <c r="O348" s="10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/>
      <c r="B349" s="7"/>
      <c r="C349" s="6"/>
      <c r="D349" s="11"/>
      <c r="E349" s="12"/>
      <c r="F349" s="12"/>
      <c r="G349" s="11"/>
      <c r="H349" s="12"/>
      <c r="I349" s="12"/>
      <c r="J349" s="12"/>
      <c r="K349" s="6"/>
      <c r="L349" s="6"/>
      <c r="M349" s="6"/>
      <c r="N349" s="6"/>
      <c r="O349" s="10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/>
      <c r="B350" s="7"/>
      <c r="C350" s="6"/>
      <c r="D350" s="11"/>
      <c r="E350" s="12"/>
      <c r="F350" s="12"/>
      <c r="G350" s="11"/>
      <c r="H350" s="12"/>
      <c r="I350" s="12"/>
      <c r="J350" s="12"/>
      <c r="K350" s="6"/>
      <c r="L350" s="6"/>
      <c r="M350" s="6"/>
      <c r="N350" s="6"/>
      <c r="O350" s="1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/>
      <c r="B351" s="7"/>
      <c r="C351" s="6"/>
      <c r="D351" s="11"/>
      <c r="E351" s="12"/>
      <c r="F351" s="12"/>
      <c r="G351" s="11"/>
      <c r="H351" s="12"/>
      <c r="I351" s="12"/>
      <c r="J351" s="12"/>
      <c r="K351" s="6"/>
      <c r="L351" s="6"/>
      <c r="M351" s="6"/>
      <c r="N351" s="6"/>
      <c r="O351" s="10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/>
      <c r="B352" s="7"/>
      <c r="C352" s="6"/>
      <c r="D352" s="11"/>
      <c r="E352" s="12"/>
      <c r="F352" s="12"/>
      <c r="G352" s="11"/>
      <c r="H352" s="12"/>
      <c r="I352" s="12"/>
      <c r="J352" s="12"/>
      <c r="K352" s="6"/>
      <c r="L352" s="6"/>
      <c r="M352" s="6"/>
      <c r="N352" s="6"/>
      <c r="O352" s="10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/>
      <c r="B353" s="7"/>
      <c r="C353" s="6"/>
      <c r="D353" s="11"/>
      <c r="E353" s="12"/>
      <c r="F353" s="12"/>
      <c r="G353" s="11"/>
      <c r="H353" s="12"/>
      <c r="I353" s="12"/>
      <c r="J353" s="12"/>
      <c r="K353" s="6"/>
      <c r="L353" s="6"/>
      <c r="M353" s="6"/>
      <c r="N353" s="6"/>
      <c r="O353" s="10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/>
      <c r="B354" s="7"/>
      <c r="C354" s="6"/>
      <c r="D354" s="11"/>
      <c r="E354" s="12"/>
      <c r="F354" s="12"/>
      <c r="G354" s="11"/>
      <c r="H354" s="12"/>
      <c r="I354" s="12"/>
      <c r="J354" s="12"/>
      <c r="K354" s="6"/>
      <c r="L354" s="6"/>
      <c r="M354" s="6"/>
      <c r="N354" s="6"/>
      <c r="O354" s="10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/>
      <c r="B355" s="7"/>
      <c r="C355" s="6"/>
      <c r="D355" s="11"/>
      <c r="E355" s="12"/>
      <c r="F355" s="12"/>
      <c r="G355" s="11"/>
      <c r="H355" s="12"/>
      <c r="I355" s="12"/>
      <c r="J355" s="12"/>
      <c r="K355" s="6"/>
      <c r="L355" s="6"/>
      <c r="M355" s="6"/>
      <c r="N355" s="6"/>
      <c r="O355" s="10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/>
      <c r="B356" s="7"/>
      <c r="C356" s="6"/>
      <c r="D356" s="11"/>
      <c r="E356" s="12"/>
      <c r="F356" s="12"/>
      <c r="G356" s="11"/>
      <c r="H356" s="12"/>
      <c r="I356" s="12"/>
      <c r="J356" s="12"/>
      <c r="K356" s="6"/>
      <c r="L356" s="6"/>
      <c r="M356" s="6"/>
      <c r="N356" s="6"/>
      <c r="O356" s="1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/>
      <c r="B357" s="7"/>
      <c r="C357" s="6"/>
      <c r="D357" s="11"/>
      <c r="E357" s="12"/>
      <c r="F357" s="12"/>
      <c r="G357" s="11"/>
      <c r="H357" s="12"/>
      <c r="I357" s="12"/>
      <c r="J357" s="12"/>
      <c r="K357" s="6"/>
      <c r="L357" s="6"/>
      <c r="M357" s="6"/>
      <c r="N357" s="6"/>
      <c r="O357" s="10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/>
      <c r="B358" s="7"/>
      <c r="C358" s="6"/>
      <c r="D358" s="11"/>
      <c r="E358" s="12"/>
      <c r="F358" s="12"/>
      <c r="G358" s="11"/>
      <c r="H358" s="12"/>
      <c r="I358" s="12"/>
      <c r="J358" s="12"/>
      <c r="K358" s="6"/>
      <c r="L358" s="6"/>
      <c r="M358" s="6"/>
      <c r="N358" s="6"/>
      <c r="O358" s="10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/>
      <c r="B359" s="7"/>
      <c r="C359" s="6"/>
      <c r="D359" s="11"/>
      <c r="E359" s="12"/>
      <c r="F359" s="12"/>
      <c r="G359" s="11"/>
      <c r="H359" s="12"/>
      <c r="I359" s="12"/>
      <c r="J359" s="12"/>
      <c r="K359" s="6"/>
      <c r="L359" s="6"/>
      <c r="M359" s="6"/>
      <c r="N359" s="6"/>
      <c r="O359" s="10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/>
      <c r="B360" s="7"/>
      <c r="C360" s="6"/>
      <c r="D360" s="11"/>
      <c r="E360" s="12"/>
      <c r="F360" s="12"/>
      <c r="G360" s="11"/>
      <c r="H360" s="12"/>
      <c r="I360" s="12"/>
      <c r="J360" s="12"/>
      <c r="K360" s="6"/>
      <c r="L360" s="6"/>
      <c r="M360" s="6"/>
      <c r="N360" s="6"/>
      <c r="O360" s="10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/>
      <c r="B361" s="7"/>
      <c r="C361" s="6"/>
      <c r="D361" s="11"/>
      <c r="E361" s="12"/>
      <c r="F361" s="12"/>
      <c r="G361" s="11"/>
      <c r="H361" s="12"/>
      <c r="I361" s="12"/>
      <c r="J361" s="12"/>
      <c r="K361" s="6"/>
      <c r="L361" s="6"/>
      <c r="M361" s="6"/>
      <c r="N361" s="6"/>
      <c r="O361" s="10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/>
      <c r="B362" s="7"/>
      <c r="C362" s="6"/>
      <c r="D362" s="11"/>
      <c r="E362" s="12"/>
      <c r="F362" s="12"/>
      <c r="G362" s="11"/>
      <c r="H362" s="12"/>
      <c r="I362" s="12"/>
      <c r="J362" s="12"/>
      <c r="K362" s="6"/>
      <c r="L362" s="6"/>
      <c r="M362" s="6"/>
      <c r="N362" s="6"/>
      <c r="O362" s="1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/>
      <c r="B363" s="7"/>
      <c r="C363" s="6"/>
      <c r="D363" s="11"/>
      <c r="E363" s="12"/>
      <c r="F363" s="12"/>
      <c r="G363" s="11"/>
      <c r="H363" s="12"/>
      <c r="I363" s="12"/>
      <c r="J363" s="12"/>
      <c r="K363" s="6"/>
      <c r="L363" s="6"/>
      <c r="M363" s="6"/>
      <c r="N363" s="6"/>
      <c r="O363" s="10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/>
      <c r="B364" s="7"/>
      <c r="C364" s="6"/>
      <c r="D364" s="11"/>
      <c r="E364" s="12"/>
      <c r="F364" s="12"/>
      <c r="G364" s="11"/>
      <c r="H364" s="12"/>
      <c r="I364" s="12"/>
      <c r="J364" s="12"/>
      <c r="K364" s="6"/>
      <c r="L364" s="6"/>
      <c r="M364" s="6"/>
      <c r="N364" s="6"/>
      <c r="O364" s="10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/>
      <c r="B365" s="7"/>
      <c r="C365" s="6"/>
      <c r="D365" s="11"/>
      <c r="E365" s="12"/>
      <c r="F365" s="12"/>
      <c r="G365" s="11"/>
      <c r="H365" s="12"/>
      <c r="I365" s="12"/>
      <c r="J365" s="12"/>
      <c r="K365" s="6"/>
      <c r="L365" s="6"/>
      <c r="M365" s="6"/>
      <c r="N365" s="6"/>
      <c r="O365" s="10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/>
      <c r="B366" s="7"/>
      <c r="C366" s="6"/>
      <c r="D366" s="11"/>
      <c r="E366" s="12"/>
      <c r="F366" s="12"/>
      <c r="G366" s="11"/>
      <c r="H366" s="12"/>
      <c r="I366" s="12"/>
      <c r="J366" s="12"/>
      <c r="K366" s="6"/>
      <c r="L366" s="6"/>
      <c r="M366" s="6"/>
      <c r="N366" s="6"/>
      <c r="O366" s="10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/>
      <c r="B367" s="7"/>
      <c r="C367" s="6"/>
      <c r="D367" s="11"/>
      <c r="E367" s="12"/>
      <c r="F367" s="12"/>
      <c r="G367" s="11"/>
      <c r="H367" s="12"/>
      <c r="I367" s="12"/>
      <c r="J367" s="12"/>
      <c r="K367" s="6"/>
      <c r="L367" s="6"/>
      <c r="M367" s="6"/>
      <c r="N367" s="6"/>
      <c r="O367" s="10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/>
      <c r="B368" s="7"/>
      <c r="C368" s="6"/>
      <c r="D368" s="11"/>
      <c r="E368" s="12"/>
      <c r="F368" s="12"/>
      <c r="G368" s="11"/>
      <c r="H368" s="12"/>
      <c r="I368" s="12"/>
      <c r="J368" s="12"/>
      <c r="K368" s="6"/>
      <c r="L368" s="6"/>
      <c r="M368" s="6"/>
      <c r="N368" s="6"/>
      <c r="O368" s="1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/>
      <c r="B369" s="7"/>
      <c r="C369" s="6"/>
      <c r="D369" s="11"/>
      <c r="E369" s="12"/>
      <c r="F369" s="12"/>
      <c r="G369" s="11"/>
      <c r="H369" s="12"/>
      <c r="I369" s="12"/>
      <c r="J369" s="12"/>
      <c r="K369" s="6"/>
      <c r="L369" s="6"/>
      <c r="M369" s="6"/>
      <c r="N369" s="6"/>
      <c r="O369" s="10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/>
      <c r="B370" s="7"/>
      <c r="C370" s="6"/>
      <c r="D370" s="11"/>
      <c r="E370" s="12"/>
      <c r="F370" s="12"/>
      <c r="G370" s="11"/>
      <c r="H370" s="12"/>
      <c r="I370" s="12"/>
      <c r="J370" s="12"/>
      <c r="K370" s="6"/>
      <c r="L370" s="6"/>
      <c r="M370" s="6"/>
      <c r="N370" s="6"/>
      <c r="O370" s="10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/>
      <c r="B371" s="7"/>
      <c r="C371" s="6"/>
      <c r="D371" s="11"/>
      <c r="E371" s="12"/>
      <c r="F371" s="12"/>
      <c r="G371" s="11"/>
      <c r="H371" s="12"/>
      <c r="I371" s="12"/>
      <c r="J371" s="12"/>
      <c r="K371" s="6"/>
      <c r="L371" s="6"/>
      <c r="M371" s="6"/>
      <c r="N371" s="6"/>
      <c r="O371" s="10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/>
      <c r="B372" s="7"/>
      <c r="C372" s="6"/>
      <c r="D372" s="11"/>
      <c r="E372" s="12"/>
      <c r="F372" s="12"/>
      <c r="G372" s="11"/>
      <c r="H372" s="12"/>
      <c r="I372" s="12"/>
      <c r="J372" s="12"/>
      <c r="K372" s="6"/>
      <c r="L372" s="6"/>
      <c r="M372" s="6"/>
      <c r="N372" s="6"/>
      <c r="O372" s="10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/>
      <c r="B373" s="7"/>
      <c r="C373" s="6"/>
      <c r="D373" s="11"/>
      <c r="E373" s="12"/>
      <c r="F373" s="12"/>
      <c r="G373" s="11"/>
      <c r="H373" s="12"/>
      <c r="I373" s="12"/>
      <c r="J373" s="12"/>
      <c r="K373" s="6"/>
      <c r="L373" s="6"/>
      <c r="M373" s="6"/>
      <c r="N373" s="6"/>
      <c r="O373" s="10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/>
      <c r="B374" s="7"/>
      <c r="C374" s="6"/>
      <c r="D374" s="11"/>
      <c r="E374" s="12"/>
      <c r="F374" s="12"/>
      <c r="G374" s="11"/>
      <c r="H374" s="12"/>
      <c r="I374" s="12"/>
      <c r="J374" s="12"/>
      <c r="K374" s="6"/>
      <c r="L374" s="6"/>
      <c r="M374" s="6"/>
      <c r="N374" s="6"/>
      <c r="O374" s="1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/>
      <c r="B375" s="7"/>
      <c r="C375" s="6"/>
      <c r="D375" s="11"/>
      <c r="E375" s="12"/>
      <c r="F375" s="12"/>
      <c r="G375" s="11"/>
      <c r="H375" s="12"/>
      <c r="I375" s="12"/>
      <c r="J375" s="12"/>
      <c r="K375" s="6"/>
      <c r="L375" s="6"/>
      <c r="M375" s="6"/>
      <c r="N375" s="6"/>
      <c r="O375" s="10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/>
      <c r="B376" s="7"/>
      <c r="C376" s="6"/>
      <c r="D376" s="11"/>
      <c r="E376" s="12"/>
      <c r="F376" s="12"/>
      <c r="G376" s="11"/>
      <c r="H376" s="12"/>
      <c r="I376" s="12"/>
      <c r="J376" s="12"/>
      <c r="K376" s="6"/>
      <c r="L376" s="6"/>
      <c r="M376" s="6"/>
      <c r="N376" s="6"/>
      <c r="O376" s="10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/>
      <c r="B377" s="7"/>
      <c r="C377" s="6"/>
      <c r="D377" s="11"/>
      <c r="E377" s="12"/>
      <c r="F377" s="12"/>
      <c r="G377" s="11"/>
      <c r="H377" s="12"/>
      <c r="I377" s="12"/>
      <c r="J377" s="12"/>
      <c r="K377" s="6"/>
      <c r="L377" s="6"/>
      <c r="M377" s="6"/>
      <c r="N377" s="6"/>
      <c r="O377" s="10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/>
      <c r="B378" s="7"/>
      <c r="C378" s="6"/>
      <c r="D378" s="11"/>
      <c r="E378" s="12"/>
      <c r="F378" s="12"/>
      <c r="G378" s="11"/>
      <c r="H378" s="12"/>
      <c r="I378" s="12"/>
      <c r="J378" s="12"/>
      <c r="K378" s="6"/>
      <c r="L378" s="6"/>
      <c r="M378" s="6"/>
      <c r="N378" s="6"/>
      <c r="O378" s="10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/>
      <c r="B379" s="7"/>
      <c r="C379" s="6"/>
      <c r="D379" s="11"/>
      <c r="E379" s="12"/>
      <c r="F379" s="12"/>
      <c r="G379" s="11"/>
      <c r="H379" s="12"/>
      <c r="I379" s="12"/>
      <c r="J379" s="12"/>
      <c r="K379" s="6"/>
      <c r="L379" s="6"/>
      <c r="M379" s="6"/>
      <c r="N379" s="6"/>
      <c r="O379" s="10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/>
      <c r="B380" s="7"/>
      <c r="C380" s="6"/>
      <c r="D380" s="11"/>
      <c r="E380" s="12"/>
      <c r="F380" s="12"/>
      <c r="G380" s="11"/>
      <c r="H380" s="12"/>
      <c r="I380" s="12"/>
      <c r="J380" s="12"/>
      <c r="K380" s="6"/>
      <c r="L380" s="6"/>
      <c r="M380" s="6"/>
      <c r="N380" s="6"/>
      <c r="O380" s="10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/>
      <c r="B381" s="7"/>
      <c r="C381" s="6"/>
      <c r="D381" s="11"/>
      <c r="E381" s="12"/>
      <c r="F381" s="12"/>
      <c r="G381" s="11"/>
      <c r="H381" s="12"/>
      <c r="I381" s="12"/>
      <c r="J381" s="12"/>
      <c r="K381" s="6"/>
      <c r="L381" s="6"/>
      <c r="M381" s="6"/>
      <c r="N381" s="6"/>
      <c r="O381" s="10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/>
      <c r="B382" s="7"/>
      <c r="C382" s="6"/>
      <c r="D382" s="11"/>
      <c r="E382" s="12"/>
      <c r="F382" s="12"/>
      <c r="G382" s="11"/>
      <c r="H382" s="12"/>
      <c r="I382" s="12"/>
      <c r="J382" s="12"/>
      <c r="K382" s="6"/>
      <c r="L382" s="6"/>
      <c r="M382" s="6"/>
      <c r="N382" s="6"/>
      <c r="O382" s="10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/>
      <c r="B383" s="7"/>
      <c r="C383" s="6"/>
      <c r="D383" s="11"/>
      <c r="E383" s="12"/>
      <c r="F383" s="12"/>
      <c r="G383" s="11"/>
      <c r="H383" s="12"/>
      <c r="I383" s="12"/>
      <c r="J383" s="12"/>
      <c r="K383" s="6"/>
      <c r="L383" s="6"/>
      <c r="M383" s="6"/>
      <c r="N383" s="6"/>
      <c r="O383" s="10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/>
      <c r="B384" s="7"/>
      <c r="C384" s="6"/>
      <c r="D384" s="11"/>
      <c r="E384" s="12"/>
      <c r="F384" s="12"/>
      <c r="G384" s="11"/>
      <c r="H384" s="12"/>
      <c r="I384" s="12"/>
      <c r="J384" s="12"/>
      <c r="K384" s="6"/>
      <c r="L384" s="6"/>
      <c r="M384" s="6"/>
      <c r="N384" s="6"/>
      <c r="O384" s="10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/>
      <c r="B385" s="7"/>
      <c r="C385" s="6"/>
      <c r="D385" s="11"/>
      <c r="E385" s="12"/>
      <c r="F385" s="12"/>
      <c r="G385" s="11"/>
      <c r="H385" s="12"/>
      <c r="I385" s="12"/>
      <c r="J385" s="12"/>
      <c r="K385" s="6"/>
      <c r="L385" s="6"/>
      <c r="M385" s="6"/>
      <c r="N385" s="6"/>
      <c r="O385" s="10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/>
      <c r="B386" s="7"/>
      <c r="C386" s="6"/>
      <c r="D386" s="11"/>
      <c r="E386" s="12"/>
      <c r="F386" s="12"/>
      <c r="G386" s="11"/>
      <c r="H386" s="12"/>
      <c r="I386" s="12"/>
      <c r="J386" s="12"/>
      <c r="K386" s="6"/>
      <c r="L386" s="6"/>
      <c r="M386" s="6"/>
      <c r="N386" s="6"/>
      <c r="O386" s="10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/>
      <c r="B387" s="7"/>
      <c r="C387" s="6"/>
      <c r="D387" s="11"/>
      <c r="E387" s="12"/>
      <c r="F387" s="12"/>
      <c r="G387" s="11"/>
      <c r="H387" s="12"/>
      <c r="I387" s="12"/>
      <c r="J387" s="12"/>
      <c r="K387" s="6"/>
      <c r="L387" s="6"/>
      <c r="M387" s="6"/>
      <c r="N387" s="6"/>
      <c r="O387" s="10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/>
      <c r="B388" s="7"/>
      <c r="C388" s="6"/>
      <c r="D388" s="11"/>
      <c r="E388" s="12"/>
      <c r="F388" s="12"/>
      <c r="G388" s="11"/>
      <c r="H388" s="12"/>
      <c r="I388" s="12"/>
      <c r="J388" s="12"/>
      <c r="K388" s="6"/>
      <c r="L388" s="6"/>
      <c r="M388" s="6"/>
      <c r="N388" s="6"/>
      <c r="O388" s="10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/>
      <c r="B389" s="7"/>
      <c r="C389" s="6"/>
      <c r="D389" s="11"/>
      <c r="E389" s="12"/>
      <c r="F389" s="12"/>
      <c r="G389" s="11"/>
      <c r="H389" s="12"/>
      <c r="I389" s="12"/>
      <c r="J389" s="12"/>
      <c r="K389" s="6"/>
      <c r="L389" s="6"/>
      <c r="M389" s="6"/>
      <c r="N389" s="6"/>
      <c r="O389" s="10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/>
      <c r="B390" s="7"/>
      <c r="C390" s="6"/>
      <c r="D390" s="11"/>
      <c r="E390" s="12"/>
      <c r="F390" s="12"/>
      <c r="G390" s="11"/>
      <c r="H390" s="12"/>
      <c r="I390" s="12"/>
      <c r="J390" s="12"/>
      <c r="K390" s="6"/>
      <c r="L390" s="6"/>
      <c r="M390" s="6"/>
      <c r="N390" s="6"/>
      <c r="O390" s="10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/>
      <c r="B391" s="7"/>
      <c r="C391" s="6"/>
      <c r="D391" s="11"/>
      <c r="E391" s="12"/>
      <c r="F391" s="12"/>
      <c r="G391" s="11"/>
      <c r="H391" s="12"/>
      <c r="I391" s="12"/>
      <c r="J391" s="12"/>
      <c r="K391" s="6"/>
      <c r="L391" s="6"/>
      <c r="M391" s="6"/>
      <c r="N391" s="6"/>
      <c r="O391" s="10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/>
      <c r="B392" s="7"/>
      <c r="C392" s="6"/>
      <c r="D392" s="11"/>
      <c r="E392" s="12"/>
      <c r="F392" s="12"/>
      <c r="G392" s="11"/>
      <c r="H392" s="12"/>
      <c r="I392" s="12"/>
      <c r="J392" s="12"/>
      <c r="K392" s="6"/>
      <c r="L392" s="6"/>
      <c r="M392" s="6"/>
      <c r="N392" s="6"/>
      <c r="O392" s="10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/>
      <c r="B393" s="7"/>
      <c r="C393" s="6"/>
      <c r="D393" s="11"/>
      <c r="E393" s="12"/>
      <c r="F393" s="12"/>
      <c r="G393" s="11"/>
      <c r="H393" s="12"/>
      <c r="I393" s="12"/>
      <c r="J393" s="12"/>
      <c r="K393" s="6"/>
      <c r="L393" s="6"/>
      <c r="M393" s="6"/>
      <c r="N393" s="6"/>
      <c r="O393" s="10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/>
      <c r="B394" s="7"/>
      <c r="C394" s="6"/>
      <c r="D394" s="11"/>
      <c r="E394" s="12"/>
      <c r="F394" s="12"/>
      <c r="G394" s="11"/>
      <c r="H394" s="12"/>
      <c r="I394" s="12"/>
      <c r="J394" s="12"/>
      <c r="K394" s="6"/>
      <c r="L394" s="6"/>
      <c r="M394" s="6"/>
      <c r="N394" s="6"/>
      <c r="O394" s="10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/>
      <c r="B395" s="7"/>
      <c r="C395" s="6"/>
      <c r="D395" s="11"/>
      <c r="E395" s="12"/>
      <c r="F395" s="12"/>
      <c r="G395" s="11"/>
      <c r="H395" s="12"/>
      <c r="I395" s="12"/>
      <c r="J395" s="12"/>
      <c r="K395" s="6"/>
      <c r="L395" s="6"/>
      <c r="M395" s="6"/>
      <c r="N395" s="6"/>
      <c r="O395" s="10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/>
      <c r="B396" s="7"/>
      <c r="C396" s="6"/>
      <c r="D396" s="11"/>
      <c r="E396" s="12"/>
      <c r="F396" s="12"/>
      <c r="G396" s="11"/>
      <c r="H396" s="12"/>
      <c r="I396" s="12"/>
      <c r="J396" s="12"/>
      <c r="K396" s="6"/>
      <c r="L396" s="6"/>
      <c r="M396" s="6"/>
      <c r="N396" s="6"/>
      <c r="O396" s="10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/>
      <c r="B397" s="7"/>
      <c r="C397" s="6"/>
      <c r="D397" s="11"/>
      <c r="E397" s="12"/>
      <c r="F397" s="12"/>
      <c r="G397" s="11"/>
      <c r="H397" s="12"/>
      <c r="I397" s="12"/>
      <c r="J397" s="12"/>
      <c r="K397" s="6"/>
      <c r="L397" s="6"/>
      <c r="M397" s="6"/>
      <c r="N397" s="6"/>
      <c r="O397" s="10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/>
      <c r="B398" s="7"/>
      <c r="C398" s="6"/>
      <c r="D398" s="11"/>
      <c r="E398" s="12"/>
      <c r="F398" s="12"/>
      <c r="G398" s="11"/>
      <c r="H398" s="12"/>
      <c r="I398" s="12"/>
      <c r="J398" s="12"/>
      <c r="K398" s="6"/>
      <c r="L398" s="6"/>
      <c r="M398" s="6"/>
      <c r="N398" s="6"/>
      <c r="O398" s="10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/>
      <c r="B399" s="7"/>
      <c r="C399" s="6"/>
      <c r="D399" s="11"/>
      <c r="E399" s="12"/>
      <c r="F399" s="12"/>
      <c r="G399" s="11"/>
      <c r="H399" s="12"/>
      <c r="I399" s="12"/>
      <c r="J399" s="12"/>
      <c r="K399" s="6"/>
      <c r="L399" s="6"/>
      <c r="M399" s="6"/>
      <c r="N399" s="6"/>
      <c r="O399" s="10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/>
      <c r="B400" s="7"/>
      <c r="C400" s="6"/>
      <c r="D400" s="11"/>
      <c r="E400" s="12"/>
      <c r="F400" s="12"/>
      <c r="G400" s="11"/>
      <c r="H400" s="12"/>
      <c r="I400" s="12"/>
      <c r="J400" s="12"/>
      <c r="K400" s="6"/>
      <c r="L400" s="6"/>
      <c r="M400" s="6"/>
      <c r="N400" s="6"/>
      <c r="O400" s="10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/>
      <c r="B401" s="7"/>
      <c r="C401" s="6"/>
      <c r="D401" s="11"/>
      <c r="E401" s="12"/>
      <c r="F401" s="12"/>
      <c r="G401" s="11"/>
      <c r="H401" s="12"/>
      <c r="I401" s="12"/>
      <c r="J401" s="12"/>
      <c r="K401" s="6"/>
      <c r="L401" s="6"/>
      <c r="M401" s="6"/>
      <c r="N401" s="6"/>
      <c r="O401" s="10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/>
      <c r="B402" s="7"/>
      <c r="C402" s="6"/>
      <c r="D402" s="11"/>
      <c r="E402" s="12"/>
      <c r="F402" s="12"/>
      <c r="G402" s="11"/>
      <c r="H402" s="12"/>
      <c r="I402" s="12"/>
      <c r="J402" s="12"/>
      <c r="K402" s="6"/>
      <c r="L402" s="6"/>
      <c r="M402" s="6"/>
      <c r="N402" s="6"/>
      <c r="O402" s="10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/>
      <c r="B403" s="7"/>
      <c r="C403" s="6"/>
      <c r="D403" s="11"/>
      <c r="E403" s="12"/>
      <c r="F403" s="12"/>
      <c r="G403" s="11"/>
      <c r="H403" s="12"/>
      <c r="I403" s="12"/>
      <c r="J403" s="12"/>
      <c r="K403" s="6"/>
      <c r="L403" s="6"/>
      <c r="M403" s="6"/>
      <c r="N403" s="6"/>
      <c r="O403" s="10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/>
      <c r="B404" s="7"/>
      <c r="C404" s="6"/>
      <c r="D404" s="11"/>
      <c r="E404" s="12"/>
      <c r="F404" s="12"/>
      <c r="G404" s="11"/>
      <c r="H404" s="12"/>
      <c r="I404" s="12"/>
      <c r="J404" s="12"/>
      <c r="K404" s="6"/>
      <c r="L404" s="6"/>
      <c r="M404" s="6"/>
      <c r="N404" s="6"/>
      <c r="O404" s="10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/>
      <c r="B405" s="7"/>
      <c r="C405" s="6"/>
      <c r="D405" s="11"/>
      <c r="E405" s="12"/>
      <c r="F405" s="12"/>
      <c r="G405" s="11"/>
      <c r="H405" s="12"/>
      <c r="I405" s="12"/>
      <c r="J405" s="12"/>
      <c r="K405" s="6"/>
      <c r="L405" s="6"/>
      <c r="M405" s="6"/>
      <c r="N405" s="6"/>
      <c r="O405" s="10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/>
      <c r="B406" s="7"/>
      <c r="C406" s="6"/>
      <c r="D406" s="11"/>
      <c r="E406" s="12"/>
      <c r="F406" s="12"/>
      <c r="G406" s="11"/>
      <c r="H406" s="12"/>
      <c r="I406" s="12"/>
      <c r="J406" s="12"/>
      <c r="K406" s="6"/>
      <c r="L406" s="6"/>
      <c r="M406" s="6"/>
      <c r="N406" s="6"/>
      <c r="O406" s="10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/>
      <c r="B407" s="7"/>
      <c r="C407" s="6"/>
      <c r="D407" s="11"/>
      <c r="E407" s="12"/>
      <c r="F407" s="12"/>
      <c r="G407" s="11"/>
      <c r="H407" s="12"/>
      <c r="I407" s="12"/>
      <c r="J407" s="12"/>
      <c r="K407" s="6"/>
      <c r="L407" s="6"/>
      <c r="M407" s="6"/>
      <c r="N407" s="6"/>
      <c r="O407" s="10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/>
      <c r="B408" s="7"/>
      <c r="C408" s="6"/>
      <c r="D408" s="11"/>
      <c r="E408" s="12"/>
      <c r="F408" s="12"/>
      <c r="G408" s="11"/>
      <c r="H408" s="12"/>
      <c r="I408" s="12"/>
      <c r="J408" s="12"/>
      <c r="K408" s="6"/>
      <c r="L408" s="6"/>
      <c r="M408" s="6"/>
      <c r="N408" s="6"/>
      <c r="O408" s="10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/>
      <c r="B409" s="7"/>
      <c r="C409" s="6"/>
      <c r="D409" s="11"/>
      <c r="E409" s="12"/>
      <c r="F409" s="12"/>
      <c r="G409" s="11"/>
      <c r="H409" s="12"/>
      <c r="I409" s="12"/>
      <c r="J409" s="12"/>
      <c r="K409" s="6"/>
      <c r="L409" s="6"/>
      <c r="M409" s="6"/>
      <c r="N409" s="6"/>
      <c r="O409" s="10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/>
      <c r="B410" s="7"/>
      <c r="C410" s="6"/>
      <c r="D410" s="11"/>
      <c r="E410" s="12"/>
      <c r="F410" s="12"/>
      <c r="G410" s="11"/>
      <c r="H410" s="12"/>
      <c r="I410" s="12"/>
      <c r="J410" s="12"/>
      <c r="K410" s="6"/>
      <c r="L410" s="6"/>
      <c r="M410" s="6"/>
      <c r="N410" s="6"/>
      <c r="O410" s="10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/>
      <c r="B411" s="7"/>
      <c r="C411" s="6"/>
      <c r="D411" s="11"/>
      <c r="E411" s="12"/>
      <c r="F411" s="12"/>
      <c r="G411" s="11"/>
      <c r="H411" s="12"/>
      <c r="I411" s="12"/>
      <c r="J411" s="12"/>
      <c r="K411" s="6"/>
      <c r="L411" s="6"/>
      <c r="M411" s="6"/>
      <c r="N411" s="6"/>
      <c r="O411" s="10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/>
      <c r="B412" s="7"/>
      <c r="C412" s="6"/>
      <c r="D412" s="11"/>
      <c r="E412" s="12"/>
      <c r="F412" s="12"/>
      <c r="G412" s="11"/>
      <c r="H412" s="12"/>
      <c r="I412" s="12"/>
      <c r="J412" s="12"/>
      <c r="K412" s="6"/>
      <c r="L412" s="6"/>
      <c r="M412" s="6"/>
      <c r="N412" s="6"/>
      <c r="O412" s="10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/>
      <c r="B413" s="7"/>
      <c r="C413" s="6"/>
      <c r="D413" s="11"/>
      <c r="E413" s="12"/>
      <c r="F413" s="12"/>
      <c r="G413" s="11"/>
      <c r="H413" s="12"/>
      <c r="I413" s="12"/>
      <c r="J413" s="12"/>
      <c r="K413" s="6"/>
      <c r="L413" s="6"/>
      <c r="M413" s="6"/>
      <c r="N413" s="6"/>
      <c r="O413" s="10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/>
      <c r="B414" s="7"/>
      <c r="C414" s="6"/>
      <c r="D414" s="11"/>
      <c r="E414" s="12"/>
      <c r="F414" s="12"/>
      <c r="G414" s="11"/>
      <c r="H414" s="12"/>
      <c r="I414" s="12"/>
      <c r="J414" s="12"/>
      <c r="K414" s="6"/>
      <c r="L414" s="6"/>
      <c r="M414" s="6"/>
      <c r="N414" s="6"/>
      <c r="O414" s="10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/>
      <c r="B415" s="7"/>
      <c r="C415" s="6"/>
      <c r="D415" s="11"/>
      <c r="E415" s="12"/>
      <c r="F415" s="12"/>
      <c r="G415" s="11"/>
      <c r="H415" s="12"/>
      <c r="I415" s="12"/>
      <c r="J415" s="12"/>
      <c r="K415" s="6"/>
      <c r="L415" s="6"/>
      <c r="M415" s="6"/>
      <c r="N415" s="6"/>
      <c r="O415" s="10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/>
      <c r="B416" s="7"/>
      <c r="C416" s="6"/>
      <c r="D416" s="11"/>
      <c r="E416" s="12"/>
      <c r="F416" s="12"/>
      <c r="G416" s="11"/>
      <c r="H416" s="12"/>
      <c r="I416" s="12"/>
      <c r="J416" s="12"/>
      <c r="K416" s="6"/>
      <c r="L416" s="6"/>
      <c r="M416" s="6"/>
      <c r="N416" s="6"/>
      <c r="O416" s="10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/>
      <c r="B417" s="7"/>
      <c r="C417" s="6"/>
      <c r="D417" s="11"/>
      <c r="E417" s="12"/>
      <c r="F417" s="12"/>
      <c r="G417" s="11"/>
      <c r="H417" s="12"/>
      <c r="I417" s="12"/>
      <c r="J417" s="12"/>
      <c r="K417" s="6"/>
      <c r="L417" s="6"/>
      <c r="M417" s="6"/>
      <c r="N417" s="6"/>
      <c r="O417" s="10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/>
      <c r="B418" s="7"/>
      <c r="C418" s="6"/>
      <c r="D418" s="11"/>
      <c r="E418" s="12"/>
      <c r="F418" s="12"/>
      <c r="G418" s="11"/>
      <c r="H418" s="12"/>
      <c r="I418" s="12"/>
      <c r="J418" s="12"/>
      <c r="K418" s="6"/>
      <c r="L418" s="6"/>
      <c r="M418" s="6"/>
      <c r="N418" s="6"/>
      <c r="O418" s="10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/>
      <c r="B419" s="7"/>
      <c r="C419" s="6"/>
      <c r="D419" s="11"/>
      <c r="E419" s="12"/>
      <c r="F419" s="12"/>
      <c r="G419" s="11"/>
      <c r="H419" s="12"/>
      <c r="I419" s="12"/>
      <c r="J419" s="12"/>
      <c r="K419" s="6"/>
      <c r="L419" s="6"/>
      <c r="M419" s="6"/>
      <c r="N419" s="6"/>
      <c r="O419" s="10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/>
      <c r="B420" s="7"/>
      <c r="C420" s="6"/>
      <c r="D420" s="11"/>
      <c r="E420" s="12"/>
      <c r="F420" s="12"/>
      <c r="G420" s="11"/>
      <c r="H420" s="12"/>
      <c r="I420" s="12"/>
      <c r="J420" s="12"/>
      <c r="K420" s="6"/>
      <c r="L420" s="6"/>
      <c r="M420" s="6"/>
      <c r="N420" s="6"/>
      <c r="O420" s="10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/>
      <c r="B421" s="7"/>
      <c r="C421" s="6"/>
      <c r="D421" s="11"/>
      <c r="E421" s="12"/>
      <c r="F421" s="12"/>
      <c r="G421" s="11"/>
      <c r="H421" s="12"/>
      <c r="I421" s="12"/>
      <c r="J421" s="12"/>
      <c r="K421" s="6"/>
      <c r="L421" s="6"/>
      <c r="M421" s="6"/>
      <c r="N421" s="6"/>
      <c r="O421" s="10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/>
      <c r="B422" s="7"/>
      <c r="C422" s="6"/>
      <c r="D422" s="11"/>
      <c r="E422" s="12"/>
      <c r="F422" s="12"/>
      <c r="G422" s="11"/>
      <c r="H422" s="12"/>
      <c r="I422" s="12"/>
      <c r="J422" s="12"/>
      <c r="K422" s="6"/>
      <c r="L422" s="6"/>
      <c r="M422" s="6"/>
      <c r="N422" s="6"/>
      <c r="O422" s="10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/>
      <c r="B423" s="7"/>
      <c r="C423" s="6"/>
      <c r="D423" s="11"/>
      <c r="E423" s="12"/>
      <c r="F423" s="12"/>
      <c r="G423" s="11"/>
      <c r="H423" s="12"/>
      <c r="I423" s="12"/>
      <c r="J423" s="12"/>
      <c r="K423" s="6"/>
      <c r="L423" s="6"/>
      <c r="M423" s="6"/>
      <c r="N423" s="6"/>
      <c r="O423" s="10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/>
      <c r="B424" s="7"/>
      <c r="C424" s="6"/>
      <c r="D424" s="11"/>
      <c r="E424" s="12"/>
      <c r="F424" s="12"/>
      <c r="G424" s="11"/>
      <c r="H424" s="12"/>
      <c r="I424" s="12"/>
      <c r="J424" s="12"/>
      <c r="K424" s="6"/>
      <c r="L424" s="6"/>
      <c r="M424" s="6"/>
      <c r="N424" s="6"/>
      <c r="O424" s="10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/>
      <c r="B425" s="7"/>
      <c r="C425" s="6"/>
      <c r="D425" s="11"/>
      <c r="E425" s="12"/>
      <c r="F425" s="12"/>
      <c r="G425" s="11"/>
      <c r="H425" s="12"/>
      <c r="I425" s="12"/>
      <c r="J425" s="12"/>
      <c r="K425" s="6"/>
      <c r="L425" s="6"/>
      <c r="M425" s="6"/>
      <c r="N425" s="6"/>
      <c r="O425" s="10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/>
      <c r="B426" s="7"/>
      <c r="C426" s="6"/>
      <c r="D426" s="11"/>
      <c r="E426" s="12"/>
      <c r="F426" s="12"/>
      <c r="G426" s="11"/>
      <c r="H426" s="12"/>
      <c r="I426" s="12"/>
      <c r="J426" s="12"/>
      <c r="K426" s="6"/>
      <c r="L426" s="6"/>
      <c r="M426" s="6"/>
      <c r="N426" s="6"/>
      <c r="O426" s="10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/>
      <c r="B427" s="7"/>
      <c r="C427" s="6"/>
      <c r="D427" s="11"/>
      <c r="E427" s="12"/>
      <c r="F427" s="12"/>
      <c r="G427" s="11"/>
      <c r="H427" s="12"/>
      <c r="I427" s="12"/>
      <c r="J427" s="12"/>
      <c r="K427" s="6"/>
      <c r="L427" s="6"/>
      <c r="M427" s="6"/>
      <c r="N427" s="6"/>
      <c r="O427" s="10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/>
      <c r="B428" s="7"/>
      <c r="C428" s="6"/>
      <c r="D428" s="11"/>
      <c r="E428" s="12"/>
      <c r="F428" s="12"/>
      <c r="G428" s="11"/>
      <c r="H428" s="12"/>
      <c r="I428" s="12"/>
      <c r="J428" s="12"/>
      <c r="K428" s="6"/>
      <c r="L428" s="6"/>
      <c r="M428" s="6"/>
      <c r="N428" s="6"/>
      <c r="O428" s="10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/>
      <c r="B429" s="7"/>
      <c r="C429" s="6"/>
      <c r="D429" s="11"/>
      <c r="E429" s="12"/>
      <c r="F429" s="12"/>
      <c r="G429" s="11"/>
      <c r="H429" s="12"/>
      <c r="I429" s="12"/>
      <c r="J429" s="12"/>
      <c r="K429" s="6"/>
      <c r="L429" s="6"/>
      <c r="M429" s="6"/>
      <c r="N429" s="6"/>
      <c r="O429" s="10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/>
      <c r="B430" s="7"/>
      <c r="C430" s="6"/>
      <c r="D430" s="11"/>
      <c r="E430" s="12"/>
      <c r="F430" s="12"/>
      <c r="G430" s="11"/>
      <c r="H430" s="12"/>
      <c r="I430" s="12"/>
      <c r="J430" s="12"/>
      <c r="K430" s="6"/>
      <c r="L430" s="6"/>
      <c r="M430" s="6"/>
      <c r="N430" s="6"/>
      <c r="O430" s="10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/>
      <c r="B431" s="7"/>
      <c r="C431" s="6"/>
      <c r="D431" s="11"/>
      <c r="E431" s="12"/>
      <c r="F431" s="12"/>
      <c r="G431" s="11"/>
      <c r="H431" s="12"/>
      <c r="I431" s="12"/>
      <c r="J431" s="12"/>
      <c r="K431" s="6"/>
      <c r="L431" s="6"/>
      <c r="M431" s="6"/>
      <c r="N431" s="6"/>
      <c r="O431" s="10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/>
      <c r="B432" s="7"/>
      <c r="C432" s="6"/>
      <c r="D432" s="11"/>
      <c r="E432" s="12"/>
      <c r="F432" s="12"/>
      <c r="G432" s="11"/>
      <c r="H432" s="12"/>
      <c r="I432" s="12"/>
      <c r="J432" s="12"/>
      <c r="K432" s="6"/>
      <c r="L432" s="6"/>
      <c r="M432" s="6"/>
      <c r="N432" s="6"/>
      <c r="O432" s="10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/>
      <c r="B433" s="7"/>
      <c r="C433" s="6"/>
      <c r="D433" s="11"/>
      <c r="E433" s="12"/>
      <c r="F433" s="12"/>
      <c r="G433" s="11"/>
      <c r="H433" s="12"/>
      <c r="I433" s="12"/>
      <c r="J433" s="12"/>
      <c r="K433" s="6"/>
      <c r="L433" s="6"/>
      <c r="M433" s="6"/>
      <c r="N433" s="6"/>
      <c r="O433" s="10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/>
      <c r="B434" s="7"/>
      <c r="C434" s="6"/>
      <c r="D434" s="11"/>
      <c r="E434" s="12"/>
      <c r="F434" s="12"/>
      <c r="G434" s="11"/>
      <c r="H434" s="12"/>
      <c r="I434" s="12"/>
      <c r="J434" s="12"/>
      <c r="K434" s="6"/>
      <c r="L434" s="6"/>
      <c r="M434" s="6"/>
      <c r="N434" s="6"/>
      <c r="O434" s="10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/>
      <c r="B435" s="7"/>
      <c r="C435" s="6"/>
      <c r="D435" s="11"/>
      <c r="E435" s="12"/>
      <c r="F435" s="12"/>
      <c r="G435" s="11"/>
      <c r="H435" s="12"/>
      <c r="I435" s="12"/>
      <c r="J435" s="12"/>
      <c r="K435" s="6"/>
      <c r="L435" s="6"/>
      <c r="M435" s="6"/>
      <c r="N435" s="6"/>
      <c r="O435" s="10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/>
      <c r="B436" s="7"/>
      <c r="C436" s="6"/>
      <c r="D436" s="11"/>
      <c r="E436" s="12"/>
      <c r="F436" s="12"/>
      <c r="G436" s="11"/>
      <c r="H436" s="12"/>
      <c r="I436" s="12"/>
      <c r="J436" s="12"/>
      <c r="K436" s="6"/>
      <c r="L436" s="6"/>
      <c r="M436" s="6"/>
      <c r="N436" s="6"/>
      <c r="O436" s="10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/>
      <c r="B437" s="7"/>
      <c r="C437" s="6"/>
      <c r="D437" s="11"/>
      <c r="E437" s="12"/>
      <c r="F437" s="12"/>
      <c r="G437" s="11"/>
      <c r="H437" s="12"/>
      <c r="I437" s="12"/>
      <c r="J437" s="12"/>
      <c r="K437" s="6"/>
      <c r="L437" s="6"/>
      <c r="M437" s="6"/>
      <c r="N437" s="6"/>
      <c r="O437" s="10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/>
      <c r="B438" s="7"/>
      <c r="C438" s="6"/>
      <c r="D438" s="11"/>
      <c r="E438" s="12"/>
      <c r="F438" s="12"/>
      <c r="G438" s="11"/>
      <c r="H438" s="12"/>
      <c r="I438" s="12"/>
      <c r="J438" s="12"/>
      <c r="K438" s="6"/>
      <c r="L438" s="6"/>
      <c r="M438" s="6"/>
      <c r="N438" s="6"/>
      <c r="O438" s="10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/>
      <c r="B439" s="7"/>
      <c r="C439" s="6"/>
      <c r="D439" s="11"/>
      <c r="E439" s="12"/>
      <c r="F439" s="12"/>
      <c r="G439" s="11"/>
      <c r="H439" s="12"/>
      <c r="I439" s="12"/>
      <c r="J439" s="12"/>
      <c r="K439" s="6"/>
      <c r="L439" s="6"/>
      <c r="M439" s="6"/>
      <c r="N439" s="6"/>
      <c r="O439" s="10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/>
      <c r="B440" s="7"/>
      <c r="C440" s="6"/>
      <c r="D440" s="11"/>
      <c r="E440" s="12"/>
      <c r="F440" s="12"/>
      <c r="G440" s="11"/>
      <c r="H440" s="12"/>
      <c r="I440" s="12"/>
      <c r="J440" s="12"/>
      <c r="K440" s="6"/>
      <c r="L440" s="6"/>
      <c r="M440" s="6"/>
      <c r="N440" s="6"/>
      <c r="O440" s="10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/>
      <c r="B441" s="7"/>
      <c r="C441" s="6"/>
      <c r="D441" s="11"/>
      <c r="E441" s="12"/>
      <c r="F441" s="12"/>
      <c r="G441" s="11"/>
      <c r="H441" s="12"/>
      <c r="I441" s="12"/>
      <c r="J441" s="12"/>
      <c r="K441" s="6"/>
      <c r="L441" s="6"/>
      <c r="M441" s="6"/>
      <c r="N441" s="6"/>
      <c r="O441" s="10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/>
      <c r="B442" s="7"/>
      <c r="C442" s="6"/>
      <c r="D442" s="11"/>
      <c r="E442" s="12"/>
      <c r="F442" s="12"/>
      <c r="G442" s="11"/>
      <c r="H442" s="12"/>
      <c r="I442" s="12"/>
      <c r="J442" s="12"/>
      <c r="K442" s="6"/>
      <c r="L442" s="6"/>
      <c r="M442" s="6"/>
      <c r="N442" s="6"/>
      <c r="O442" s="10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/>
      <c r="B443" s="7"/>
      <c r="C443" s="6"/>
      <c r="D443" s="11"/>
      <c r="E443" s="12"/>
      <c r="F443" s="12"/>
      <c r="G443" s="11"/>
      <c r="H443" s="12"/>
      <c r="I443" s="12"/>
      <c r="J443" s="12"/>
      <c r="K443" s="6"/>
      <c r="L443" s="6"/>
      <c r="M443" s="6"/>
      <c r="N443" s="6"/>
      <c r="O443" s="10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/>
      <c r="B444" s="7"/>
      <c r="C444" s="6"/>
      <c r="D444" s="11"/>
      <c r="E444" s="12"/>
      <c r="F444" s="12"/>
      <c r="G444" s="11"/>
      <c r="H444" s="12"/>
      <c r="I444" s="12"/>
      <c r="J444" s="12"/>
      <c r="K444" s="6"/>
      <c r="L444" s="6"/>
      <c r="M444" s="6"/>
      <c r="N444" s="6"/>
      <c r="O444" s="10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/>
      <c r="B445" s="7"/>
      <c r="C445" s="6"/>
      <c r="D445" s="11"/>
      <c r="E445" s="12"/>
      <c r="F445" s="12"/>
      <c r="G445" s="11"/>
      <c r="H445" s="12"/>
      <c r="I445" s="12"/>
      <c r="J445" s="12"/>
      <c r="K445" s="6"/>
      <c r="L445" s="6"/>
      <c r="M445" s="6"/>
      <c r="N445" s="6"/>
      <c r="O445" s="10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/>
      <c r="B446" s="7"/>
      <c r="C446" s="6"/>
      <c r="D446" s="11"/>
      <c r="E446" s="12"/>
      <c r="F446" s="12"/>
      <c r="G446" s="11"/>
      <c r="H446" s="12"/>
      <c r="I446" s="12"/>
      <c r="J446" s="12"/>
      <c r="K446" s="6"/>
      <c r="L446" s="6"/>
      <c r="M446" s="6"/>
      <c r="N446" s="6"/>
      <c r="O446" s="10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/>
      <c r="B447" s="7"/>
      <c r="C447" s="6"/>
      <c r="D447" s="11"/>
      <c r="E447" s="12"/>
      <c r="F447" s="12"/>
      <c r="G447" s="11"/>
      <c r="H447" s="12"/>
      <c r="I447" s="12"/>
      <c r="J447" s="12"/>
      <c r="K447" s="6"/>
      <c r="L447" s="6"/>
      <c r="M447" s="6"/>
      <c r="N447" s="6"/>
      <c r="O447" s="10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/>
      <c r="B448" s="7"/>
      <c r="C448" s="6"/>
      <c r="D448" s="11"/>
      <c r="E448" s="12"/>
      <c r="F448" s="12"/>
      <c r="G448" s="11"/>
      <c r="H448" s="12"/>
      <c r="I448" s="12"/>
      <c r="J448" s="12"/>
      <c r="K448" s="6"/>
      <c r="L448" s="6"/>
      <c r="M448" s="6"/>
      <c r="N448" s="6"/>
      <c r="O448" s="10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/>
      <c r="B449" s="7"/>
      <c r="C449" s="6"/>
      <c r="D449" s="11"/>
      <c r="E449" s="12"/>
      <c r="F449" s="12"/>
      <c r="G449" s="11"/>
      <c r="H449" s="12"/>
      <c r="I449" s="12"/>
      <c r="J449" s="12"/>
      <c r="K449" s="6"/>
      <c r="L449" s="6"/>
      <c r="M449" s="6"/>
      <c r="N449" s="6"/>
      <c r="O449" s="10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/>
      <c r="B450" s="7"/>
      <c r="C450" s="6"/>
      <c r="D450" s="11"/>
      <c r="E450" s="12"/>
      <c r="F450" s="12"/>
      <c r="G450" s="11"/>
      <c r="H450" s="12"/>
      <c r="I450" s="12"/>
      <c r="J450" s="12"/>
      <c r="K450" s="6"/>
      <c r="L450" s="6"/>
      <c r="M450" s="6"/>
      <c r="N450" s="6"/>
      <c r="O450" s="10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/>
      <c r="B451" s="7"/>
      <c r="C451" s="6"/>
      <c r="D451" s="11"/>
      <c r="E451" s="12"/>
      <c r="F451" s="12"/>
      <c r="G451" s="11"/>
      <c r="H451" s="12"/>
      <c r="I451" s="12"/>
      <c r="J451" s="12"/>
      <c r="K451" s="6"/>
      <c r="L451" s="6"/>
      <c r="M451" s="6"/>
      <c r="N451" s="6"/>
      <c r="O451" s="10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/>
      <c r="B452" s="7"/>
      <c r="C452" s="6"/>
      <c r="D452" s="11"/>
      <c r="E452" s="12"/>
      <c r="F452" s="12"/>
      <c r="G452" s="11"/>
      <c r="H452" s="12"/>
      <c r="I452" s="12"/>
      <c r="J452" s="12"/>
      <c r="K452" s="6"/>
      <c r="L452" s="6"/>
      <c r="M452" s="6"/>
      <c r="N452" s="6"/>
      <c r="O452" s="10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/>
      <c r="B453" s="7"/>
      <c r="C453" s="6"/>
      <c r="D453" s="11"/>
      <c r="E453" s="12"/>
      <c r="F453" s="12"/>
      <c r="G453" s="11"/>
      <c r="H453" s="12"/>
      <c r="I453" s="12"/>
      <c r="J453" s="12"/>
      <c r="K453" s="6"/>
      <c r="L453" s="6"/>
      <c r="M453" s="6"/>
      <c r="N453" s="6"/>
      <c r="O453" s="10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/>
      <c r="B454" s="7"/>
      <c r="C454" s="6"/>
      <c r="D454" s="11"/>
      <c r="E454" s="12"/>
      <c r="F454" s="12"/>
      <c r="G454" s="11"/>
      <c r="H454" s="12"/>
      <c r="I454" s="12"/>
      <c r="J454" s="12"/>
      <c r="K454" s="6"/>
      <c r="L454" s="6"/>
      <c r="M454" s="6"/>
      <c r="N454" s="6"/>
      <c r="O454" s="10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/>
      <c r="B455" s="7"/>
      <c r="C455" s="6"/>
      <c r="D455" s="11"/>
      <c r="E455" s="12"/>
      <c r="F455" s="12"/>
      <c r="G455" s="11"/>
      <c r="H455" s="12"/>
      <c r="I455" s="12"/>
      <c r="J455" s="12"/>
      <c r="K455" s="6"/>
      <c r="L455" s="6"/>
      <c r="M455" s="6"/>
      <c r="N455" s="6"/>
      <c r="O455" s="10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/>
      <c r="B456" s="7"/>
      <c r="C456" s="6"/>
      <c r="D456" s="11"/>
      <c r="E456" s="12"/>
      <c r="F456" s="12"/>
      <c r="G456" s="11"/>
      <c r="H456" s="12"/>
      <c r="I456" s="12"/>
      <c r="J456" s="12"/>
      <c r="K456" s="6"/>
      <c r="L456" s="6"/>
      <c r="M456" s="6"/>
      <c r="N456" s="6"/>
      <c r="O456" s="10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/>
      <c r="B457" s="7"/>
      <c r="C457" s="6"/>
      <c r="D457" s="11"/>
      <c r="E457" s="12"/>
      <c r="F457" s="12"/>
      <c r="G457" s="11"/>
      <c r="H457" s="12"/>
      <c r="I457" s="12"/>
      <c r="J457" s="12"/>
      <c r="K457" s="6"/>
      <c r="L457" s="6"/>
      <c r="M457" s="6"/>
      <c r="N457" s="6"/>
      <c r="O457" s="10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/>
      <c r="B458" s="7"/>
      <c r="C458" s="6"/>
      <c r="D458" s="11"/>
      <c r="E458" s="12"/>
      <c r="F458" s="12"/>
      <c r="G458" s="11"/>
      <c r="H458" s="12"/>
      <c r="I458" s="12"/>
      <c r="J458" s="12"/>
      <c r="K458" s="6"/>
      <c r="L458" s="6"/>
      <c r="M458" s="6"/>
      <c r="N458" s="6"/>
      <c r="O458" s="10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/>
      <c r="B459" s="7"/>
      <c r="C459" s="6"/>
      <c r="D459" s="11"/>
      <c r="E459" s="12"/>
      <c r="F459" s="12"/>
      <c r="G459" s="11"/>
      <c r="H459" s="12"/>
      <c r="I459" s="12"/>
      <c r="J459" s="12"/>
      <c r="K459" s="6"/>
      <c r="L459" s="6"/>
      <c r="M459" s="6"/>
      <c r="N459" s="6"/>
      <c r="O459" s="10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/>
      <c r="B460" s="7"/>
      <c r="C460" s="6"/>
      <c r="D460" s="11"/>
      <c r="E460" s="12"/>
      <c r="F460" s="12"/>
      <c r="G460" s="11"/>
      <c r="H460" s="12"/>
      <c r="I460" s="12"/>
      <c r="J460" s="12"/>
      <c r="K460" s="6"/>
      <c r="L460" s="6"/>
      <c r="M460" s="6"/>
      <c r="N460" s="6"/>
      <c r="O460" s="10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/>
      <c r="B461" s="7"/>
      <c r="C461" s="6"/>
      <c r="D461" s="11"/>
      <c r="E461" s="12"/>
      <c r="F461" s="12"/>
      <c r="G461" s="11"/>
      <c r="H461" s="12"/>
      <c r="I461" s="12"/>
      <c r="J461" s="12"/>
      <c r="K461" s="6"/>
      <c r="L461" s="6"/>
      <c r="M461" s="6"/>
      <c r="N461" s="6"/>
      <c r="O461" s="10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/>
      <c r="B462" s="7"/>
      <c r="C462" s="6"/>
      <c r="D462" s="11"/>
      <c r="E462" s="12"/>
      <c r="F462" s="12"/>
      <c r="G462" s="11"/>
      <c r="H462" s="12"/>
      <c r="I462" s="12"/>
      <c r="J462" s="12"/>
      <c r="K462" s="6"/>
      <c r="L462" s="6"/>
      <c r="M462" s="6"/>
      <c r="N462" s="6"/>
      <c r="O462" s="10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/>
      <c r="B463" s="7"/>
      <c r="C463" s="6"/>
      <c r="D463" s="11"/>
      <c r="E463" s="12"/>
      <c r="F463" s="12"/>
      <c r="G463" s="11"/>
      <c r="H463" s="12"/>
      <c r="I463" s="12"/>
      <c r="J463" s="12"/>
      <c r="K463" s="6"/>
      <c r="L463" s="6"/>
      <c r="M463" s="6"/>
      <c r="N463" s="6"/>
      <c r="O463" s="10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/>
      <c r="B464" s="7"/>
      <c r="C464" s="6"/>
      <c r="D464" s="11"/>
      <c r="E464" s="12"/>
      <c r="F464" s="12"/>
      <c r="G464" s="11"/>
      <c r="H464" s="12"/>
      <c r="I464" s="12"/>
      <c r="J464" s="12"/>
      <c r="K464" s="6"/>
      <c r="L464" s="6"/>
      <c r="M464" s="6"/>
      <c r="N464" s="6"/>
      <c r="O464" s="10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/>
      <c r="B465" s="7"/>
      <c r="C465" s="6"/>
      <c r="D465" s="11"/>
      <c r="E465" s="12"/>
      <c r="F465" s="12"/>
      <c r="G465" s="11"/>
      <c r="H465" s="12"/>
      <c r="I465" s="12"/>
      <c r="J465" s="12"/>
      <c r="K465" s="6"/>
      <c r="L465" s="6"/>
      <c r="M465" s="6"/>
      <c r="N465" s="6"/>
      <c r="O465" s="10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/>
      <c r="B466" s="7"/>
      <c r="C466" s="6"/>
      <c r="D466" s="11"/>
      <c r="E466" s="12"/>
      <c r="F466" s="12"/>
      <c r="G466" s="11"/>
      <c r="H466" s="12"/>
      <c r="I466" s="12"/>
      <c r="J466" s="12"/>
      <c r="K466" s="6"/>
      <c r="L466" s="6"/>
      <c r="M466" s="6"/>
      <c r="N466" s="6"/>
      <c r="O466" s="10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/>
      <c r="B467" s="7"/>
      <c r="C467" s="6"/>
      <c r="D467" s="11"/>
      <c r="E467" s="12"/>
      <c r="F467" s="12"/>
      <c r="G467" s="11"/>
      <c r="H467" s="12"/>
      <c r="I467" s="12"/>
      <c r="J467" s="12"/>
      <c r="K467" s="6"/>
      <c r="L467" s="6"/>
      <c r="M467" s="6"/>
      <c r="N467" s="6"/>
      <c r="O467" s="10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/>
      <c r="B468" s="7"/>
      <c r="C468" s="6"/>
      <c r="D468" s="11"/>
      <c r="E468" s="12"/>
      <c r="F468" s="12"/>
      <c r="G468" s="11"/>
      <c r="H468" s="12"/>
      <c r="I468" s="12"/>
      <c r="J468" s="12"/>
      <c r="K468" s="6"/>
      <c r="L468" s="6"/>
      <c r="M468" s="6"/>
      <c r="N468" s="6"/>
      <c r="O468" s="10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/>
      <c r="B469" s="7"/>
      <c r="C469" s="6"/>
      <c r="D469" s="11"/>
      <c r="E469" s="12"/>
      <c r="F469" s="12"/>
      <c r="G469" s="11"/>
      <c r="H469" s="12"/>
      <c r="I469" s="12"/>
      <c r="J469" s="12"/>
      <c r="K469" s="6"/>
      <c r="L469" s="6"/>
      <c r="M469" s="6"/>
      <c r="N469" s="6"/>
      <c r="O469" s="10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/>
      <c r="B470" s="7"/>
      <c r="C470" s="6"/>
      <c r="D470" s="11"/>
      <c r="E470" s="12"/>
      <c r="F470" s="12"/>
      <c r="G470" s="11"/>
      <c r="H470" s="12"/>
      <c r="I470" s="12"/>
      <c r="J470" s="12"/>
      <c r="K470" s="6"/>
      <c r="L470" s="6"/>
      <c r="M470" s="6"/>
      <c r="N470" s="6"/>
      <c r="O470" s="10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/>
      <c r="B471" s="7"/>
      <c r="C471" s="6"/>
      <c r="D471" s="11"/>
      <c r="E471" s="12"/>
      <c r="F471" s="12"/>
      <c r="G471" s="11"/>
      <c r="H471" s="12"/>
      <c r="I471" s="12"/>
      <c r="J471" s="12"/>
      <c r="K471" s="6"/>
      <c r="L471" s="6"/>
      <c r="M471" s="6"/>
      <c r="N471" s="6"/>
      <c r="O471" s="10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/>
      <c r="B472" s="7"/>
      <c r="C472" s="6"/>
      <c r="D472" s="11"/>
      <c r="E472" s="12"/>
      <c r="F472" s="12"/>
      <c r="G472" s="11"/>
      <c r="H472" s="12"/>
      <c r="I472" s="12"/>
      <c r="J472" s="12"/>
      <c r="K472" s="6"/>
      <c r="L472" s="6"/>
      <c r="M472" s="6"/>
      <c r="N472" s="6"/>
      <c r="O472" s="10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/>
      <c r="B473" s="7"/>
      <c r="C473" s="6"/>
      <c r="D473" s="11"/>
      <c r="E473" s="12"/>
      <c r="F473" s="12"/>
      <c r="G473" s="11"/>
      <c r="H473" s="12"/>
      <c r="I473" s="12"/>
      <c r="J473" s="12"/>
      <c r="K473" s="6"/>
      <c r="L473" s="6"/>
      <c r="M473" s="6"/>
      <c r="N473" s="6"/>
      <c r="O473" s="10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/>
      <c r="B474" s="7"/>
      <c r="C474" s="6"/>
      <c r="D474" s="11"/>
      <c r="E474" s="12"/>
      <c r="F474" s="12"/>
      <c r="G474" s="11"/>
      <c r="H474" s="12"/>
      <c r="I474" s="12"/>
      <c r="J474" s="12"/>
      <c r="K474" s="6"/>
      <c r="L474" s="6"/>
      <c r="M474" s="6"/>
      <c r="N474" s="6"/>
      <c r="O474" s="10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/>
      <c r="B475" s="7"/>
      <c r="C475" s="6"/>
      <c r="D475" s="11"/>
      <c r="E475" s="12"/>
      <c r="F475" s="12"/>
      <c r="G475" s="11"/>
      <c r="H475" s="12"/>
      <c r="I475" s="12"/>
      <c r="J475" s="12"/>
      <c r="K475" s="6"/>
      <c r="L475" s="6"/>
      <c r="M475" s="6"/>
      <c r="N475" s="6"/>
      <c r="O475" s="10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/>
      <c r="B476" s="7"/>
      <c r="C476" s="6"/>
      <c r="D476" s="11"/>
      <c r="E476" s="12"/>
      <c r="F476" s="12"/>
      <c r="G476" s="11"/>
      <c r="H476" s="12"/>
      <c r="I476" s="12"/>
      <c r="J476" s="12"/>
      <c r="K476" s="6"/>
      <c r="L476" s="6"/>
      <c r="M476" s="6"/>
      <c r="N476" s="6"/>
      <c r="O476" s="10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/>
      <c r="B477" s="7"/>
      <c r="C477" s="6"/>
      <c r="D477" s="11"/>
      <c r="E477" s="12"/>
      <c r="F477" s="12"/>
      <c r="G477" s="11"/>
      <c r="H477" s="12"/>
      <c r="I477" s="12"/>
      <c r="J477" s="12"/>
      <c r="K477" s="6"/>
      <c r="L477" s="6"/>
      <c r="M477" s="6"/>
      <c r="N477" s="6"/>
      <c r="O477" s="10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/>
      <c r="B478" s="7"/>
      <c r="C478" s="6"/>
      <c r="D478" s="11"/>
      <c r="E478" s="12"/>
      <c r="F478" s="12"/>
      <c r="G478" s="11"/>
      <c r="H478" s="12"/>
      <c r="I478" s="12"/>
      <c r="J478" s="12"/>
      <c r="K478" s="6"/>
      <c r="L478" s="6"/>
      <c r="M478" s="6"/>
      <c r="N478" s="6"/>
      <c r="O478" s="10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/>
      <c r="B479" s="7"/>
      <c r="C479" s="6"/>
      <c r="D479" s="11"/>
      <c r="E479" s="12"/>
      <c r="F479" s="12"/>
      <c r="G479" s="11"/>
      <c r="H479" s="12"/>
      <c r="I479" s="12"/>
      <c r="J479" s="12"/>
      <c r="K479" s="6"/>
      <c r="L479" s="6"/>
      <c r="M479" s="6"/>
      <c r="N479" s="6"/>
      <c r="O479" s="10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/>
      <c r="B480" s="7"/>
      <c r="C480" s="6"/>
      <c r="D480" s="11"/>
      <c r="E480" s="12"/>
      <c r="F480" s="12"/>
      <c r="G480" s="11"/>
      <c r="H480" s="12"/>
      <c r="I480" s="12"/>
      <c r="J480" s="12"/>
      <c r="K480" s="6"/>
      <c r="L480" s="6"/>
      <c r="M480" s="6"/>
      <c r="N480" s="6"/>
      <c r="O480" s="10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/>
      <c r="B481" s="7"/>
      <c r="C481" s="6"/>
      <c r="D481" s="11"/>
      <c r="E481" s="12"/>
      <c r="F481" s="12"/>
      <c r="G481" s="11"/>
      <c r="H481" s="12"/>
      <c r="I481" s="12"/>
      <c r="J481" s="12"/>
      <c r="K481" s="6"/>
      <c r="L481" s="6"/>
      <c r="M481" s="6"/>
      <c r="N481" s="6"/>
      <c r="O481" s="10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/>
      <c r="B482" s="7"/>
      <c r="C482" s="6"/>
      <c r="D482" s="11"/>
      <c r="E482" s="12"/>
      <c r="F482" s="12"/>
      <c r="G482" s="11"/>
      <c r="H482" s="12"/>
      <c r="I482" s="12"/>
      <c r="J482" s="12"/>
      <c r="K482" s="6"/>
      <c r="L482" s="6"/>
      <c r="M482" s="6"/>
      <c r="N482" s="6"/>
      <c r="O482" s="10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/>
      <c r="B483" s="7"/>
      <c r="C483" s="6"/>
      <c r="D483" s="11"/>
      <c r="E483" s="12"/>
      <c r="F483" s="12"/>
      <c r="G483" s="11"/>
      <c r="H483" s="12"/>
      <c r="I483" s="12"/>
      <c r="J483" s="12"/>
      <c r="K483" s="6"/>
      <c r="L483" s="6"/>
      <c r="M483" s="6"/>
      <c r="N483" s="6"/>
      <c r="O483" s="10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/>
      <c r="B484" s="7"/>
      <c r="C484" s="6"/>
      <c r="D484" s="11"/>
      <c r="E484" s="12"/>
      <c r="F484" s="12"/>
      <c r="G484" s="11"/>
      <c r="H484" s="12"/>
      <c r="I484" s="12"/>
      <c r="J484" s="12"/>
      <c r="K484" s="6"/>
      <c r="L484" s="6"/>
      <c r="M484" s="6"/>
      <c r="N484" s="6"/>
      <c r="O484" s="10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/>
      <c r="B485" s="7"/>
      <c r="C485" s="6"/>
      <c r="D485" s="11"/>
      <c r="E485" s="12"/>
      <c r="F485" s="12"/>
      <c r="G485" s="11"/>
      <c r="H485" s="12"/>
      <c r="I485" s="12"/>
      <c r="J485" s="12"/>
      <c r="K485" s="6"/>
      <c r="L485" s="6"/>
      <c r="M485" s="6"/>
      <c r="N485" s="6"/>
      <c r="O485" s="10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/>
      <c r="B486" s="7"/>
      <c r="C486" s="6"/>
      <c r="D486" s="11"/>
      <c r="E486" s="12"/>
      <c r="F486" s="12"/>
      <c r="G486" s="11"/>
      <c r="H486" s="12"/>
      <c r="I486" s="12"/>
      <c r="J486" s="12"/>
      <c r="K486" s="6"/>
      <c r="L486" s="6"/>
      <c r="M486" s="6"/>
      <c r="N486" s="6"/>
      <c r="O486" s="10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/>
      <c r="B487" s="7"/>
      <c r="C487" s="6"/>
      <c r="D487" s="11"/>
      <c r="E487" s="12"/>
      <c r="F487" s="12"/>
      <c r="G487" s="11"/>
      <c r="H487" s="12"/>
      <c r="I487" s="12"/>
      <c r="J487" s="12"/>
      <c r="K487" s="6"/>
      <c r="L487" s="6"/>
      <c r="M487" s="6"/>
      <c r="N487" s="6"/>
      <c r="O487" s="10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/>
      <c r="B488" s="7"/>
      <c r="C488" s="6"/>
      <c r="D488" s="11"/>
      <c r="E488" s="12"/>
      <c r="F488" s="12"/>
      <c r="G488" s="11"/>
      <c r="H488" s="12"/>
      <c r="I488" s="12"/>
      <c r="J488" s="12"/>
      <c r="K488" s="6"/>
      <c r="L488" s="6"/>
      <c r="M488" s="6"/>
      <c r="N488" s="6"/>
      <c r="O488" s="10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/>
      <c r="B489" s="7"/>
      <c r="C489" s="6"/>
      <c r="D489" s="11"/>
      <c r="E489" s="12"/>
      <c r="F489" s="12"/>
      <c r="G489" s="11"/>
      <c r="H489" s="12"/>
      <c r="I489" s="12"/>
      <c r="J489" s="12"/>
      <c r="K489" s="6"/>
      <c r="L489" s="6"/>
      <c r="M489" s="6"/>
      <c r="N489" s="6"/>
      <c r="O489" s="10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/>
      <c r="B490" s="7"/>
      <c r="C490" s="6"/>
      <c r="D490" s="11"/>
      <c r="E490" s="12"/>
      <c r="F490" s="12"/>
      <c r="G490" s="11"/>
      <c r="H490" s="12"/>
      <c r="I490" s="12"/>
      <c r="J490" s="12"/>
      <c r="K490" s="6"/>
      <c r="L490" s="6"/>
      <c r="M490" s="6"/>
      <c r="N490" s="6"/>
      <c r="O490" s="10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/>
      <c r="B491" s="7"/>
      <c r="C491" s="6"/>
      <c r="D491" s="11"/>
      <c r="E491" s="12"/>
      <c r="F491" s="12"/>
      <c r="G491" s="11"/>
      <c r="H491" s="12"/>
      <c r="I491" s="12"/>
      <c r="J491" s="12"/>
      <c r="K491" s="6"/>
      <c r="L491" s="6"/>
      <c r="M491" s="6"/>
      <c r="N491" s="6"/>
      <c r="O491" s="10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/>
      <c r="B492" s="7"/>
      <c r="C492" s="6"/>
      <c r="D492" s="11"/>
      <c r="E492" s="12"/>
      <c r="F492" s="12"/>
      <c r="G492" s="11"/>
      <c r="H492" s="12"/>
      <c r="I492" s="12"/>
      <c r="J492" s="12"/>
      <c r="K492" s="6"/>
      <c r="L492" s="6"/>
      <c r="M492" s="6"/>
      <c r="N492" s="6"/>
      <c r="O492" s="10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/>
      <c r="B493" s="7"/>
      <c r="C493" s="6"/>
      <c r="D493" s="11"/>
      <c r="E493" s="12"/>
      <c r="F493" s="12"/>
      <c r="G493" s="11"/>
      <c r="H493" s="12"/>
      <c r="I493" s="12"/>
      <c r="J493" s="12"/>
      <c r="K493" s="6"/>
      <c r="L493" s="6"/>
      <c r="M493" s="6"/>
      <c r="N493" s="6"/>
      <c r="O493" s="10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/>
      <c r="B494" s="7"/>
      <c r="C494" s="6"/>
      <c r="D494" s="11"/>
      <c r="E494" s="12"/>
      <c r="F494" s="12"/>
      <c r="G494" s="11"/>
      <c r="H494" s="12"/>
      <c r="I494" s="12"/>
      <c r="J494" s="12"/>
      <c r="K494" s="6"/>
      <c r="L494" s="6"/>
      <c r="M494" s="6"/>
      <c r="N494" s="6"/>
      <c r="O494" s="10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/>
      <c r="B495" s="7"/>
      <c r="C495" s="6"/>
      <c r="D495" s="11"/>
      <c r="E495" s="12"/>
      <c r="F495" s="12"/>
      <c r="G495" s="11"/>
      <c r="H495" s="12"/>
      <c r="I495" s="12"/>
      <c r="J495" s="12"/>
      <c r="K495" s="6"/>
      <c r="L495" s="6"/>
      <c r="M495" s="6"/>
      <c r="N495" s="6"/>
      <c r="O495" s="10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/>
      <c r="B496" s="7"/>
      <c r="C496" s="6"/>
      <c r="D496" s="11"/>
      <c r="E496" s="12"/>
      <c r="F496" s="12"/>
      <c r="G496" s="11"/>
      <c r="H496" s="12"/>
      <c r="I496" s="12"/>
      <c r="J496" s="12"/>
      <c r="K496" s="6"/>
      <c r="L496" s="6"/>
      <c r="M496" s="6"/>
      <c r="N496" s="6"/>
      <c r="O496" s="10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/>
      <c r="B497" s="7"/>
      <c r="C497" s="6"/>
      <c r="D497" s="11"/>
      <c r="E497" s="12"/>
      <c r="F497" s="12"/>
      <c r="G497" s="11"/>
      <c r="H497" s="12"/>
      <c r="I497" s="12"/>
      <c r="J497" s="12"/>
      <c r="K497" s="6"/>
      <c r="L497" s="6"/>
      <c r="M497" s="6"/>
      <c r="N497" s="6"/>
      <c r="O497" s="10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/>
      <c r="B498" s="7"/>
      <c r="C498" s="6"/>
      <c r="D498" s="11"/>
      <c r="E498" s="12"/>
      <c r="F498" s="12"/>
      <c r="G498" s="11"/>
      <c r="H498" s="12"/>
      <c r="I498" s="12"/>
      <c r="J498" s="12"/>
      <c r="K498" s="6"/>
      <c r="L498" s="6"/>
      <c r="M498" s="6"/>
      <c r="N498" s="6"/>
      <c r="O498" s="10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/>
      <c r="B499" s="7"/>
      <c r="C499" s="6"/>
      <c r="D499" s="11"/>
      <c r="E499" s="12"/>
      <c r="F499" s="12"/>
      <c r="G499" s="11"/>
      <c r="H499" s="12"/>
      <c r="I499" s="12"/>
      <c r="J499" s="12"/>
      <c r="K499" s="6"/>
      <c r="L499" s="6"/>
      <c r="M499" s="6"/>
      <c r="N499" s="6"/>
      <c r="O499" s="10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/>
      <c r="B500" s="7"/>
      <c r="C500" s="6"/>
      <c r="D500" s="11"/>
      <c r="E500" s="12"/>
      <c r="F500" s="12"/>
      <c r="G500" s="11"/>
      <c r="H500" s="12"/>
      <c r="I500" s="12"/>
      <c r="J500" s="12"/>
      <c r="K500" s="6"/>
      <c r="L500" s="6"/>
      <c r="M500" s="6"/>
      <c r="N500" s="6"/>
      <c r="O500" s="10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/>
      <c r="B501" s="7"/>
      <c r="C501" s="6"/>
      <c r="D501" s="11"/>
      <c r="E501" s="12"/>
      <c r="F501" s="12"/>
      <c r="G501" s="11"/>
      <c r="H501" s="12"/>
      <c r="I501" s="12"/>
      <c r="J501" s="12"/>
      <c r="K501" s="6"/>
      <c r="L501" s="6"/>
      <c r="M501" s="6"/>
      <c r="N501" s="6"/>
      <c r="O501" s="10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/>
      <c r="B502" s="7"/>
      <c r="C502" s="6"/>
      <c r="D502" s="11"/>
      <c r="E502" s="12"/>
      <c r="F502" s="12"/>
      <c r="G502" s="11"/>
      <c r="H502" s="12"/>
      <c r="I502" s="12"/>
      <c r="J502" s="12"/>
      <c r="K502" s="6"/>
      <c r="L502" s="6"/>
      <c r="M502" s="6"/>
      <c r="N502" s="6"/>
      <c r="O502" s="10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/>
      <c r="B503" s="7"/>
      <c r="C503" s="6"/>
      <c r="D503" s="11"/>
      <c r="E503" s="12"/>
      <c r="F503" s="12"/>
      <c r="G503" s="11"/>
      <c r="H503" s="12"/>
      <c r="I503" s="12"/>
      <c r="J503" s="12"/>
      <c r="K503" s="6"/>
      <c r="L503" s="6"/>
      <c r="M503" s="6"/>
      <c r="N503" s="6"/>
      <c r="O503" s="10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/>
      <c r="B504" s="7"/>
      <c r="C504" s="6"/>
      <c r="D504" s="11"/>
      <c r="E504" s="12"/>
      <c r="F504" s="12"/>
      <c r="G504" s="11"/>
      <c r="H504" s="12"/>
      <c r="I504" s="12"/>
      <c r="J504" s="12"/>
      <c r="K504" s="6"/>
      <c r="L504" s="6"/>
      <c r="M504" s="6"/>
      <c r="N504" s="6"/>
      <c r="O504" s="10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/>
      <c r="B505" s="7"/>
      <c r="C505" s="6"/>
      <c r="D505" s="11"/>
      <c r="E505" s="12"/>
      <c r="F505" s="12"/>
      <c r="G505" s="11"/>
      <c r="H505" s="12"/>
      <c r="I505" s="12"/>
      <c r="J505" s="12"/>
      <c r="K505" s="6"/>
      <c r="L505" s="6"/>
      <c r="M505" s="6"/>
      <c r="N505" s="6"/>
      <c r="O505" s="10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/>
      <c r="B506" s="7"/>
      <c r="C506" s="6"/>
      <c r="D506" s="11"/>
      <c r="E506" s="12"/>
      <c r="F506" s="12"/>
      <c r="G506" s="11"/>
      <c r="H506" s="12"/>
      <c r="I506" s="12"/>
      <c r="J506" s="12"/>
      <c r="K506" s="6"/>
      <c r="L506" s="6"/>
      <c r="M506" s="6"/>
      <c r="N506" s="6"/>
      <c r="O506" s="10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/>
      <c r="B507" s="7"/>
      <c r="C507" s="6"/>
      <c r="D507" s="11"/>
      <c r="E507" s="12"/>
      <c r="F507" s="12"/>
      <c r="G507" s="11"/>
      <c r="H507" s="12"/>
      <c r="I507" s="12"/>
      <c r="J507" s="12"/>
      <c r="K507" s="6"/>
      <c r="L507" s="6"/>
      <c r="M507" s="6"/>
      <c r="N507" s="6"/>
      <c r="O507" s="10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/>
      <c r="B508" s="7"/>
      <c r="C508" s="6"/>
      <c r="D508" s="11"/>
      <c r="E508" s="12"/>
      <c r="F508" s="12"/>
      <c r="G508" s="11"/>
      <c r="H508" s="12"/>
      <c r="I508" s="12"/>
      <c r="J508" s="12"/>
      <c r="K508" s="6"/>
      <c r="L508" s="6"/>
      <c r="M508" s="6"/>
      <c r="N508" s="6"/>
      <c r="O508" s="10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/>
      <c r="B509" s="7"/>
      <c r="C509" s="6"/>
      <c r="D509" s="11"/>
      <c r="E509" s="12"/>
      <c r="F509" s="12"/>
      <c r="G509" s="11"/>
      <c r="H509" s="12"/>
      <c r="I509" s="12"/>
      <c r="J509" s="12"/>
      <c r="K509" s="6"/>
      <c r="L509" s="6"/>
      <c r="M509" s="6"/>
      <c r="N509" s="6"/>
      <c r="O509" s="10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/>
      <c r="B510" s="7"/>
      <c r="C510" s="6"/>
      <c r="D510" s="11"/>
      <c r="E510" s="12"/>
      <c r="F510" s="12"/>
      <c r="G510" s="11"/>
      <c r="H510" s="12"/>
      <c r="I510" s="12"/>
      <c r="J510" s="12"/>
      <c r="K510" s="6"/>
      <c r="L510" s="6"/>
      <c r="M510" s="6"/>
      <c r="N510" s="6"/>
      <c r="O510" s="10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/>
      <c r="B511" s="7"/>
      <c r="C511" s="6"/>
      <c r="D511" s="11"/>
      <c r="E511" s="12"/>
      <c r="F511" s="12"/>
      <c r="G511" s="11"/>
      <c r="H511" s="12"/>
      <c r="I511" s="12"/>
      <c r="J511" s="12"/>
      <c r="K511" s="6"/>
      <c r="L511" s="6"/>
      <c r="M511" s="6"/>
      <c r="N511" s="6"/>
      <c r="O511" s="10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/>
      <c r="B512" s="7"/>
      <c r="C512" s="6"/>
      <c r="D512" s="11"/>
      <c r="E512" s="12"/>
      <c r="F512" s="12"/>
      <c r="G512" s="11"/>
      <c r="H512" s="12"/>
      <c r="I512" s="12"/>
      <c r="J512" s="12"/>
      <c r="K512" s="6"/>
      <c r="L512" s="6"/>
      <c r="M512" s="6"/>
      <c r="N512" s="6"/>
      <c r="O512" s="10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/>
      <c r="B513" s="7"/>
      <c r="C513" s="6"/>
      <c r="D513" s="11"/>
      <c r="E513" s="12"/>
      <c r="F513" s="12"/>
      <c r="G513" s="11"/>
      <c r="H513" s="12"/>
      <c r="I513" s="12"/>
      <c r="J513" s="12"/>
      <c r="K513" s="6"/>
      <c r="L513" s="6"/>
      <c r="M513" s="6"/>
      <c r="N513" s="6"/>
      <c r="O513" s="10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/>
      <c r="B514" s="7"/>
      <c r="C514" s="6"/>
      <c r="D514" s="11"/>
      <c r="E514" s="12"/>
      <c r="F514" s="12"/>
      <c r="G514" s="11"/>
      <c r="H514" s="12"/>
      <c r="I514" s="12"/>
      <c r="J514" s="12"/>
      <c r="K514" s="6"/>
      <c r="L514" s="6"/>
      <c r="M514" s="6"/>
      <c r="N514" s="6"/>
      <c r="O514" s="10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/>
      <c r="B515" s="7"/>
      <c r="C515" s="6"/>
      <c r="D515" s="11"/>
      <c r="E515" s="12"/>
      <c r="F515" s="12"/>
      <c r="G515" s="11"/>
      <c r="H515" s="12"/>
      <c r="I515" s="12"/>
      <c r="J515" s="12"/>
      <c r="K515" s="6"/>
      <c r="L515" s="6"/>
      <c r="M515" s="6"/>
      <c r="N515" s="6"/>
      <c r="O515" s="10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/>
      <c r="B516" s="7"/>
      <c r="C516" s="6"/>
      <c r="D516" s="11"/>
      <c r="E516" s="12"/>
      <c r="F516" s="12"/>
      <c r="G516" s="11"/>
      <c r="H516" s="12"/>
      <c r="I516" s="12"/>
      <c r="J516" s="12"/>
      <c r="K516" s="6"/>
      <c r="L516" s="6"/>
      <c r="M516" s="6"/>
      <c r="N516" s="6"/>
      <c r="O516" s="10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/>
      <c r="B517" s="7"/>
      <c r="C517" s="6"/>
      <c r="D517" s="11"/>
      <c r="E517" s="12"/>
      <c r="F517" s="12"/>
      <c r="G517" s="11"/>
      <c r="H517" s="12"/>
      <c r="I517" s="12"/>
      <c r="J517" s="12"/>
      <c r="K517" s="6"/>
      <c r="L517" s="6"/>
      <c r="M517" s="6"/>
      <c r="N517" s="6"/>
      <c r="O517" s="10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/>
      <c r="B518" s="7"/>
      <c r="C518" s="6"/>
      <c r="D518" s="11"/>
      <c r="E518" s="12"/>
      <c r="F518" s="12"/>
      <c r="G518" s="11"/>
      <c r="H518" s="12"/>
      <c r="I518" s="12"/>
      <c r="J518" s="12"/>
      <c r="K518" s="6"/>
      <c r="L518" s="6"/>
      <c r="M518" s="6"/>
      <c r="N518" s="6"/>
      <c r="O518" s="10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/>
      <c r="B519" s="7"/>
      <c r="C519" s="6"/>
      <c r="D519" s="11"/>
      <c r="E519" s="12"/>
      <c r="F519" s="12"/>
      <c r="G519" s="11"/>
      <c r="H519" s="12"/>
      <c r="I519" s="12"/>
      <c r="J519" s="12"/>
      <c r="K519" s="6"/>
      <c r="L519" s="6"/>
      <c r="M519" s="6"/>
      <c r="N519" s="6"/>
      <c r="O519" s="10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/>
      <c r="B520" s="7"/>
      <c r="C520" s="6"/>
      <c r="D520" s="11"/>
      <c r="E520" s="12"/>
      <c r="F520" s="12"/>
      <c r="G520" s="11"/>
      <c r="H520" s="12"/>
      <c r="I520" s="12"/>
      <c r="J520" s="12"/>
      <c r="K520" s="6"/>
      <c r="L520" s="6"/>
      <c r="M520" s="6"/>
      <c r="N520" s="6"/>
      <c r="O520" s="10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/>
      <c r="B521" s="7"/>
      <c r="C521" s="6"/>
      <c r="D521" s="11"/>
      <c r="E521" s="12"/>
      <c r="F521" s="12"/>
      <c r="G521" s="11"/>
      <c r="H521" s="12"/>
      <c r="I521" s="12"/>
      <c r="J521" s="12"/>
      <c r="K521" s="6"/>
      <c r="L521" s="6"/>
      <c r="M521" s="6"/>
      <c r="N521" s="6"/>
      <c r="O521" s="10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/>
      <c r="B522" s="7"/>
      <c r="C522" s="6"/>
      <c r="D522" s="11"/>
      <c r="E522" s="12"/>
      <c r="F522" s="12"/>
      <c r="G522" s="11"/>
      <c r="H522" s="12"/>
      <c r="I522" s="12"/>
      <c r="J522" s="12"/>
      <c r="K522" s="6"/>
      <c r="L522" s="6"/>
      <c r="M522" s="6"/>
      <c r="N522" s="6"/>
      <c r="O522" s="10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/>
      <c r="B523" s="7"/>
      <c r="C523" s="6"/>
      <c r="D523" s="11"/>
      <c r="E523" s="12"/>
      <c r="F523" s="12"/>
      <c r="G523" s="11"/>
      <c r="H523" s="12"/>
      <c r="I523" s="12"/>
      <c r="J523" s="12"/>
      <c r="K523" s="6"/>
      <c r="L523" s="6"/>
      <c r="M523" s="6"/>
      <c r="N523" s="6"/>
      <c r="O523" s="10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/>
      <c r="B524" s="7"/>
      <c r="C524" s="6"/>
      <c r="D524" s="11"/>
      <c r="E524" s="12"/>
      <c r="F524" s="12"/>
      <c r="G524" s="11"/>
      <c r="H524" s="12"/>
      <c r="I524" s="12"/>
      <c r="J524" s="12"/>
      <c r="K524" s="6"/>
      <c r="L524" s="6"/>
      <c r="M524" s="6"/>
      <c r="N524" s="6"/>
      <c r="O524" s="10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/>
      <c r="B525" s="7"/>
      <c r="C525" s="6"/>
      <c r="D525" s="11"/>
      <c r="E525" s="12"/>
      <c r="F525" s="12"/>
      <c r="G525" s="11"/>
      <c r="H525" s="12"/>
      <c r="I525" s="12"/>
      <c r="J525" s="12"/>
      <c r="K525" s="6"/>
      <c r="L525" s="6"/>
      <c r="M525" s="6"/>
      <c r="N525" s="6"/>
      <c r="O525" s="10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/>
      <c r="B526" s="7"/>
      <c r="C526" s="6"/>
      <c r="D526" s="11"/>
      <c r="E526" s="12"/>
      <c r="F526" s="12"/>
      <c r="G526" s="11"/>
      <c r="H526" s="12"/>
      <c r="I526" s="12"/>
      <c r="J526" s="12"/>
      <c r="K526" s="6"/>
      <c r="L526" s="6"/>
      <c r="M526" s="6"/>
      <c r="N526" s="6"/>
      <c r="O526" s="10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/>
      <c r="B527" s="7"/>
      <c r="C527" s="6"/>
      <c r="D527" s="11"/>
      <c r="E527" s="12"/>
      <c r="F527" s="12"/>
      <c r="G527" s="11"/>
      <c r="H527" s="12"/>
      <c r="I527" s="12"/>
      <c r="J527" s="12"/>
      <c r="K527" s="6"/>
      <c r="L527" s="6"/>
      <c r="M527" s="6"/>
      <c r="N527" s="6"/>
      <c r="O527" s="10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/>
      <c r="B528" s="7"/>
      <c r="C528" s="6"/>
      <c r="D528" s="11"/>
      <c r="E528" s="12"/>
      <c r="F528" s="12"/>
      <c r="G528" s="11"/>
      <c r="H528" s="12"/>
      <c r="I528" s="12"/>
      <c r="J528" s="12"/>
      <c r="K528" s="6"/>
      <c r="L528" s="6"/>
      <c r="M528" s="6"/>
      <c r="N528" s="6"/>
      <c r="O528" s="10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/>
      <c r="B529" s="7"/>
      <c r="C529" s="6"/>
      <c r="D529" s="11"/>
      <c r="E529" s="12"/>
      <c r="F529" s="12"/>
      <c r="G529" s="11"/>
      <c r="H529" s="12"/>
      <c r="I529" s="12"/>
      <c r="J529" s="12"/>
      <c r="K529" s="6"/>
      <c r="L529" s="6"/>
      <c r="M529" s="6"/>
      <c r="N529" s="6"/>
      <c r="O529" s="10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/>
      <c r="B530" s="7"/>
      <c r="C530" s="6"/>
      <c r="D530" s="11"/>
      <c r="E530" s="12"/>
      <c r="F530" s="12"/>
      <c r="G530" s="11"/>
      <c r="H530" s="12"/>
      <c r="I530" s="12"/>
      <c r="J530" s="12"/>
      <c r="K530" s="6"/>
      <c r="L530" s="6"/>
      <c r="M530" s="6"/>
      <c r="N530" s="6"/>
      <c r="O530" s="10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/>
      <c r="B531" s="7"/>
      <c r="C531" s="6"/>
      <c r="D531" s="11"/>
      <c r="E531" s="12"/>
      <c r="F531" s="12"/>
      <c r="G531" s="11"/>
      <c r="H531" s="12"/>
      <c r="I531" s="12"/>
      <c r="J531" s="12"/>
      <c r="K531" s="6"/>
      <c r="L531" s="6"/>
      <c r="M531" s="6"/>
      <c r="N531" s="6"/>
      <c r="O531" s="10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/>
      <c r="B532" s="7"/>
      <c r="C532" s="6"/>
      <c r="D532" s="11"/>
      <c r="E532" s="12"/>
      <c r="F532" s="12"/>
      <c r="G532" s="11"/>
      <c r="H532" s="12"/>
      <c r="I532" s="12"/>
      <c r="J532" s="12"/>
      <c r="K532" s="6"/>
      <c r="L532" s="6"/>
      <c r="M532" s="6"/>
      <c r="N532" s="6"/>
      <c r="O532" s="10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/>
      <c r="B533" s="7"/>
      <c r="C533" s="6"/>
      <c r="D533" s="11"/>
      <c r="E533" s="12"/>
      <c r="F533" s="12"/>
      <c r="G533" s="11"/>
      <c r="H533" s="12"/>
      <c r="I533" s="12"/>
      <c r="J533" s="12"/>
      <c r="K533" s="6"/>
      <c r="L533" s="6"/>
      <c r="M533" s="6"/>
      <c r="N533" s="6"/>
      <c r="O533" s="10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/>
      <c r="B534" s="7"/>
      <c r="C534" s="6"/>
      <c r="D534" s="11"/>
      <c r="E534" s="12"/>
      <c r="F534" s="12"/>
      <c r="G534" s="11"/>
      <c r="H534" s="12"/>
      <c r="I534" s="12"/>
      <c r="J534" s="12"/>
      <c r="K534" s="6"/>
      <c r="L534" s="6"/>
      <c r="M534" s="6"/>
      <c r="N534" s="6"/>
      <c r="O534" s="10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/>
      <c r="B535" s="7"/>
      <c r="C535" s="6"/>
      <c r="D535" s="11"/>
      <c r="E535" s="12"/>
      <c r="F535" s="12"/>
      <c r="G535" s="11"/>
      <c r="H535" s="12"/>
      <c r="I535" s="12"/>
      <c r="J535" s="12"/>
      <c r="K535" s="6"/>
      <c r="L535" s="6"/>
      <c r="M535" s="6"/>
      <c r="N535" s="6"/>
      <c r="O535" s="10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/>
      <c r="B536" s="7"/>
      <c r="C536" s="6"/>
      <c r="D536" s="11"/>
      <c r="E536" s="12"/>
      <c r="F536" s="12"/>
      <c r="G536" s="11"/>
      <c r="H536" s="12"/>
      <c r="I536" s="12"/>
      <c r="J536" s="12"/>
      <c r="K536" s="6"/>
      <c r="L536" s="6"/>
      <c r="M536" s="6"/>
      <c r="N536" s="6"/>
      <c r="O536" s="10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/>
      <c r="B537" s="7"/>
      <c r="C537" s="6"/>
      <c r="D537" s="11"/>
      <c r="E537" s="12"/>
      <c r="F537" s="12"/>
      <c r="G537" s="11"/>
      <c r="H537" s="12"/>
      <c r="I537" s="12"/>
      <c r="J537" s="12"/>
      <c r="K537" s="6"/>
      <c r="L537" s="6"/>
      <c r="M537" s="6"/>
      <c r="N537" s="6"/>
      <c r="O537" s="10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/>
      <c r="B538" s="7"/>
      <c r="C538" s="6"/>
      <c r="D538" s="11"/>
      <c r="E538" s="12"/>
      <c r="F538" s="12"/>
      <c r="G538" s="11"/>
      <c r="H538" s="12"/>
      <c r="I538" s="12"/>
      <c r="J538" s="12"/>
      <c r="K538" s="6"/>
      <c r="L538" s="6"/>
      <c r="M538" s="6"/>
      <c r="N538" s="6"/>
      <c r="O538" s="10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/>
      <c r="B539" s="7"/>
      <c r="C539" s="6"/>
      <c r="D539" s="11"/>
      <c r="E539" s="12"/>
      <c r="F539" s="12"/>
      <c r="G539" s="11"/>
      <c r="H539" s="12"/>
      <c r="I539" s="12"/>
      <c r="J539" s="12"/>
      <c r="K539" s="6"/>
      <c r="L539" s="6"/>
      <c r="M539" s="6"/>
      <c r="N539" s="6"/>
      <c r="O539" s="10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/>
      <c r="B540" s="7"/>
      <c r="C540" s="6"/>
      <c r="D540" s="11"/>
      <c r="E540" s="12"/>
      <c r="F540" s="12"/>
      <c r="G540" s="11"/>
      <c r="H540" s="12"/>
      <c r="I540" s="12"/>
      <c r="J540" s="12"/>
      <c r="K540" s="6"/>
      <c r="L540" s="6"/>
      <c r="M540" s="6"/>
      <c r="N540" s="6"/>
      <c r="O540" s="10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/>
      <c r="B541" s="7"/>
      <c r="C541" s="6"/>
      <c r="D541" s="11"/>
      <c r="E541" s="12"/>
      <c r="F541" s="12"/>
      <c r="G541" s="11"/>
      <c r="H541" s="12"/>
      <c r="I541" s="12"/>
      <c r="J541" s="12"/>
      <c r="K541" s="6"/>
      <c r="L541" s="6"/>
      <c r="M541" s="6"/>
      <c r="N541" s="6"/>
      <c r="O541" s="10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/>
      <c r="B542" s="7"/>
      <c r="C542" s="6"/>
      <c r="D542" s="11"/>
      <c r="E542" s="12"/>
      <c r="F542" s="12"/>
      <c r="G542" s="11"/>
      <c r="H542" s="12"/>
      <c r="I542" s="12"/>
      <c r="J542" s="12"/>
      <c r="K542" s="6"/>
      <c r="L542" s="6"/>
      <c r="M542" s="6"/>
      <c r="N542" s="6"/>
      <c r="O542" s="10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/>
      <c r="B543" s="7"/>
      <c r="C543" s="6"/>
      <c r="D543" s="11"/>
      <c r="E543" s="12"/>
      <c r="F543" s="12"/>
      <c r="G543" s="11"/>
      <c r="H543" s="12"/>
      <c r="I543" s="12"/>
      <c r="J543" s="12"/>
      <c r="K543" s="6"/>
      <c r="L543" s="6"/>
      <c r="M543" s="6"/>
      <c r="N543" s="6"/>
      <c r="O543" s="10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/>
      <c r="B544" s="7"/>
      <c r="C544" s="6"/>
      <c r="D544" s="11"/>
      <c r="E544" s="12"/>
      <c r="F544" s="12"/>
      <c r="G544" s="11"/>
      <c r="H544" s="12"/>
      <c r="I544" s="12"/>
      <c r="J544" s="12"/>
      <c r="K544" s="6"/>
      <c r="L544" s="6"/>
      <c r="M544" s="6"/>
      <c r="N544" s="6"/>
      <c r="O544" s="10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/>
      <c r="B545" s="7"/>
      <c r="C545" s="6"/>
      <c r="D545" s="11"/>
      <c r="E545" s="12"/>
      <c r="F545" s="12"/>
      <c r="G545" s="11"/>
      <c r="H545" s="12"/>
      <c r="I545" s="12"/>
      <c r="J545" s="12"/>
      <c r="K545" s="6"/>
      <c r="L545" s="6"/>
      <c r="M545" s="6"/>
      <c r="N545" s="6"/>
      <c r="O545" s="10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/>
      <c r="B546" s="7"/>
      <c r="C546" s="6"/>
      <c r="D546" s="11"/>
      <c r="E546" s="12"/>
      <c r="F546" s="12"/>
      <c r="G546" s="11"/>
      <c r="H546" s="12"/>
      <c r="I546" s="12"/>
      <c r="J546" s="12"/>
      <c r="K546" s="6"/>
      <c r="L546" s="6"/>
      <c r="M546" s="6"/>
      <c r="N546" s="6"/>
      <c r="O546" s="10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/>
      <c r="B547" s="7"/>
      <c r="C547" s="6"/>
      <c r="D547" s="11"/>
      <c r="E547" s="12"/>
      <c r="F547" s="12"/>
      <c r="G547" s="11"/>
      <c r="H547" s="12"/>
      <c r="I547" s="12"/>
      <c r="J547" s="12"/>
      <c r="K547" s="6"/>
      <c r="L547" s="6"/>
      <c r="M547" s="6"/>
      <c r="N547" s="6"/>
      <c r="O547" s="10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/>
      <c r="B548" s="7"/>
      <c r="C548" s="6"/>
      <c r="D548" s="11"/>
      <c r="E548" s="12"/>
      <c r="F548" s="12"/>
      <c r="G548" s="11"/>
      <c r="H548" s="12"/>
      <c r="I548" s="12"/>
      <c r="J548" s="12"/>
      <c r="K548" s="6"/>
      <c r="L548" s="6"/>
      <c r="M548" s="6"/>
      <c r="N548" s="6"/>
      <c r="O548" s="10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/>
      <c r="B549" s="7"/>
      <c r="C549" s="6"/>
      <c r="D549" s="11"/>
      <c r="E549" s="12"/>
      <c r="F549" s="12"/>
      <c r="G549" s="11"/>
      <c r="H549" s="12"/>
      <c r="I549" s="12"/>
      <c r="J549" s="12"/>
      <c r="K549" s="6"/>
      <c r="L549" s="6"/>
      <c r="M549" s="6"/>
      <c r="N549" s="6"/>
      <c r="O549" s="10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/>
      <c r="B550" s="7"/>
      <c r="C550" s="6"/>
      <c r="D550" s="11"/>
      <c r="E550" s="12"/>
      <c r="F550" s="12"/>
      <c r="G550" s="11"/>
      <c r="H550" s="12"/>
      <c r="I550" s="12"/>
      <c r="J550" s="12"/>
      <c r="K550" s="6"/>
      <c r="L550" s="6"/>
      <c r="M550" s="6"/>
      <c r="N550" s="6"/>
      <c r="O550" s="10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/>
      <c r="B551" s="7"/>
      <c r="C551" s="6"/>
      <c r="D551" s="11"/>
      <c r="E551" s="12"/>
      <c r="F551" s="12"/>
      <c r="G551" s="11"/>
      <c r="H551" s="12"/>
      <c r="I551" s="12"/>
      <c r="J551" s="12"/>
      <c r="K551" s="6"/>
      <c r="L551" s="6"/>
      <c r="M551" s="6"/>
      <c r="N551" s="6"/>
      <c r="O551" s="10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/>
      <c r="B552" s="7"/>
      <c r="C552" s="6"/>
      <c r="D552" s="11"/>
      <c r="E552" s="12"/>
      <c r="F552" s="12"/>
      <c r="G552" s="11"/>
      <c r="H552" s="12"/>
      <c r="I552" s="12"/>
      <c r="J552" s="12"/>
      <c r="K552" s="6"/>
      <c r="L552" s="6"/>
      <c r="M552" s="6"/>
      <c r="N552" s="6"/>
      <c r="O552" s="10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/>
      <c r="B553" s="7"/>
      <c r="C553" s="6"/>
      <c r="D553" s="11"/>
      <c r="E553" s="12"/>
      <c r="F553" s="12"/>
      <c r="G553" s="11"/>
      <c r="H553" s="12"/>
      <c r="I553" s="12"/>
      <c r="J553" s="12"/>
      <c r="K553" s="6"/>
      <c r="L553" s="6"/>
      <c r="M553" s="6"/>
      <c r="N553" s="6"/>
      <c r="O553" s="10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/>
      <c r="B554" s="7"/>
      <c r="C554" s="6"/>
      <c r="D554" s="11"/>
      <c r="E554" s="12"/>
      <c r="F554" s="12"/>
      <c r="G554" s="11"/>
      <c r="H554" s="12"/>
      <c r="I554" s="12"/>
      <c r="J554" s="12"/>
      <c r="K554" s="6"/>
      <c r="L554" s="6"/>
      <c r="M554" s="6"/>
      <c r="N554" s="6"/>
      <c r="O554" s="10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/>
      <c r="B555" s="7"/>
      <c r="C555" s="6"/>
      <c r="D555" s="11"/>
      <c r="E555" s="12"/>
      <c r="F555" s="12"/>
      <c r="G555" s="11"/>
      <c r="H555" s="12"/>
      <c r="I555" s="12"/>
      <c r="J555" s="12"/>
      <c r="K555" s="6"/>
      <c r="L555" s="6"/>
      <c r="M555" s="6"/>
      <c r="N555" s="6"/>
      <c r="O555" s="10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/>
      <c r="B556" s="7"/>
      <c r="C556" s="6"/>
      <c r="D556" s="11"/>
      <c r="E556" s="12"/>
      <c r="F556" s="12"/>
      <c r="G556" s="11"/>
      <c r="H556" s="12"/>
      <c r="I556" s="12"/>
      <c r="J556" s="12"/>
      <c r="K556" s="6"/>
      <c r="L556" s="6"/>
      <c r="M556" s="6"/>
      <c r="N556" s="6"/>
      <c r="O556" s="10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/>
      <c r="B557" s="7"/>
      <c r="C557" s="6"/>
      <c r="D557" s="11"/>
      <c r="E557" s="12"/>
      <c r="F557" s="12"/>
      <c r="G557" s="11"/>
      <c r="H557" s="12"/>
      <c r="I557" s="12"/>
      <c r="J557" s="12"/>
      <c r="K557" s="6"/>
      <c r="L557" s="6"/>
      <c r="M557" s="6"/>
      <c r="N557" s="6"/>
      <c r="O557" s="10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/>
      <c r="B558" s="7"/>
      <c r="C558" s="6"/>
      <c r="D558" s="11"/>
      <c r="E558" s="12"/>
      <c r="F558" s="12"/>
      <c r="G558" s="11"/>
      <c r="H558" s="12"/>
      <c r="I558" s="12"/>
      <c r="J558" s="12"/>
      <c r="K558" s="6"/>
      <c r="L558" s="6"/>
      <c r="M558" s="6"/>
      <c r="N558" s="6"/>
      <c r="O558" s="10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/>
      <c r="B559" s="7"/>
      <c r="C559" s="6"/>
      <c r="D559" s="11"/>
      <c r="E559" s="12"/>
      <c r="F559" s="12"/>
      <c r="G559" s="11"/>
      <c r="H559" s="12"/>
      <c r="I559" s="12"/>
      <c r="J559" s="12"/>
      <c r="K559" s="6"/>
      <c r="L559" s="6"/>
      <c r="M559" s="6"/>
      <c r="N559" s="6"/>
      <c r="O559" s="10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/>
      <c r="B560" s="7"/>
      <c r="C560" s="6"/>
      <c r="D560" s="11"/>
      <c r="E560" s="12"/>
      <c r="F560" s="12"/>
      <c r="G560" s="11"/>
      <c r="H560" s="12"/>
      <c r="I560" s="12"/>
      <c r="J560" s="12"/>
      <c r="K560" s="6"/>
      <c r="L560" s="6"/>
      <c r="M560" s="6"/>
      <c r="N560" s="6"/>
      <c r="O560" s="10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/>
      <c r="B561" s="7"/>
      <c r="C561" s="6"/>
      <c r="D561" s="11"/>
      <c r="E561" s="12"/>
      <c r="F561" s="12"/>
      <c r="G561" s="11"/>
      <c r="H561" s="12"/>
      <c r="I561" s="12"/>
      <c r="J561" s="12"/>
      <c r="K561" s="6"/>
      <c r="L561" s="6"/>
      <c r="M561" s="6"/>
      <c r="N561" s="6"/>
      <c r="O561" s="10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/>
      <c r="B562" s="7"/>
      <c r="C562" s="6"/>
      <c r="D562" s="11"/>
      <c r="E562" s="12"/>
      <c r="F562" s="12"/>
      <c r="G562" s="11"/>
      <c r="H562" s="12"/>
      <c r="I562" s="12"/>
      <c r="J562" s="12"/>
      <c r="K562" s="6"/>
      <c r="L562" s="6"/>
      <c r="M562" s="6"/>
      <c r="N562" s="6"/>
      <c r="O562" s="10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/>
      <c r="B563" s="7"/>
      <c r="C563" s="6"/>
      <c r="D563" s="11"/>
      <c r="E563" s="12"/>
      <c r="F563" s="12"/>
      <c r="G563" s="11"/>
      <c r="H563" s="12"/>
      <c r="I563" s="12"/>
      <c r="J563" s="12"/>
      <c r="K563" s="6"/>
      <c r="L563" s="6"/>
      <c r="M563" s="6"/>
      <c r="N563" s="6"/>
      <c r="O563" s="10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/>
      <c r="B564" s="7"/>
      <c r="C564" s="6"/>
      <c r="D564" s="11"/>
      <c r="E564" s="12"/>
      <c r="F564" s="12"/>
      <c r="G564" s="11"/>
      <c r="H564" s="12"/>
      <c r="I564" s="12"/>
      <c r="J564" s="12"/>
      <c r="K564" s="6"/>
      <c r="L564" s="6"/>
      <c r="M564" s="6"/>
      <c r="N564" s="6"/>
      <c r="O564" s="10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/>
      <c r="B565" s="7"/>
      <c r="C565" s="6"/>
      <c r="D565" s="11"/>
      <c r="E565" s="12"/>
      <c r="F565" s="12"/>
      <c r="G565" s="11"/>
      <c r="H565" s="12"/>
      <c r="I565" s="12"/>
      <c r="J565" s="12"/>
      <c r="K565" s="6"/>
      <c r="L565" s="6"/>
      <c r="M565" s="6"/>
      <c r="N565" s="6"/>
      <c r="O565" s="10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/>
      <c r="B566" s="7"/>
      <c r="C566" s="6"/>
      <c r="D566" s="11"/>
      <c r="E566" s="12"/>
      <c r="F566" s="12"/>
      <c r="G566" s="11"/>
      <c r="H566" s="12"/>
      <c r="I566" s="12"/>
      <c r="J566" s="12"/>
      <c r="K566" s="6"/>
      <c r="L566" s="6"/>
      <c r="M566" s="6"/>
      <c r="N566" s="6"/>
      <c r="O566" s="10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/>
      <c r="B567" s="7"/>
      <c r="C567" s="6"/>
      <c r="D567" s="11"/>
      <c r="E567" s="12"/>
      <c r="F567" s="12"/>
      <c r="G567" s="11"/>
      <c r="H567" s="12"/>
      <c r="I567" s="12"/>
      <c r="J567" s="12"/>
      <c r="K567" s="6"/>
      <c r="L567" s="6"/>
      <c r="M567" s="6"/>
      <c r="N567" s="6"/>
      <c r="O567" s="10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/>
      <c r="B568" s="7"/>
      <c r="C568" s="6"/>
      <c r="D568" s="11"/>
      <c r="E568" s="12"/>
      <c r="F568" s="12"/>
      <c r="G568" s="11"/>
      <c r="H568" s="12"/>
      <c r="I568" s="12"/>
      <c r="J568" s="12"/>
      <c r="K568" s="6"/>
      <c r="L568" s="6"/>
      <c r="M568" s="6"/>
      <c r="N568" s="6"/>
      <c r="O568" s="10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/>
      <c r="B569" s="7"/>
      <c r="C569" s="6"/>
      <c r="D569" s="11"/>
      <c r="E569" s="12"/>
      <c r="F569" s="12"/>
      <c r="G569" s="11"/>
      <c r="H569" s="12"/>
      <c r="I569" s="12"/>
      <c r="J569" s="12"/>
      <c r="K569" s="6"/>
      <c r="L569" s="6"/>
      <c r="M569" s="6"/>
      <c r="N569" s="6"/>
      <c r="O569" s="10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/>
      <c r="B570" s="7"/>
      <c r="C570" s="6"/>
      <c r="D570" s="11"/>
      <c r="E570" s="12"/>
      <c r="F570" s="12"/>
      <c r="G570" s="11"/>
      <c r="H570" s="12"/>
      <c r="I570" s="12"/>
      <c r="J570" s="12"/>
      <c r="K570" s="6"/>
      <c r="L570" s="6"/>
      <c r="M570" s="6"/>
      <c r="N570" s="6"/>
      <c r="O570" s="10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/>
      <c r="B571" s="7"/>
      <c r="C571" s="6"/>
      <c r="D571" s="11"/>
      <c r="E571" s="12"/>
      <c r="F571" s="12"/>
      <c r="G571" s="11"/>
      <c r="H571" s="12"/>
      <c r="I571" s="12"/>
      <c r="J571" s="12"/>
      <c r="K571" s="6"/>
      <c r="L571" s="6"/>
      <c r="M571" s="6"/>
      <c r="N571" s="6"/>
      <c r="O571" s="10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/>
      <c r="B572" s="7"/>
      <c r="C572" s="6"/>
      <c r="D572" s="11"/>
      <c r="E572" s="12"/>
      <c r="F572" s="12"/>
      <c r="G572" s="11"/>
      <c r="H572" s="12"/>
      <c r="I572" s="12"/>
      <c r="J572" s="12"/>
      <c r="K572" s="6"/>
      <c r="L572" s="6"/>
      <c r="M572" s="6"/>
      <c r="N572" s="6"/>
      <c r="O572" s="10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/>
      <c r="B573" s="7"/>
      <c r="C573" s="6"/>
      <c r="D573" s="11"/>
      <c r="E573" s="12"/>
      <c r="F573" s="12"/>
      <c r="G573" s="11"/>
      <c r="H573" s="12"/>
      <c r="I573" s="12"/>
      <c r="J573" s="12"/>
      <c r="K573" s="6"/>
      <c r="L573" s="6"/>
      <c r="M573" s="6"/>
      <c r="N573" s="6"/>
      <c r="O573" s="10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/>
      <c r="B574" s="7"/>
      <c r="C574" s="6"/>
      <c r="D574" s="11"/>
      <c r="E574" s="12"/>
      <c r="F574" s="12"/>
      <c r="G574" s="11"/>
      <c r="H574" s="12"/>
      <c r="I574" s="12"/>
      <c r="J574" s="12"/>
      <c r="K574" s="6"/>
      <c r="L574" s="6"/>
      <c r="M574" s="6"/>
      <c r="N574" s="6"/>
      <c r="O574" s="10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/>
      <c r="B575" s="7"/>
      <c r="C575" s="6"/>
      <c r="D575" s="11"/>
      <c r="E575" s="12"/>
      <c r="F575" s="12"/>
      <c r="G575" s="11"/>
      <c r="H575" s="12"/>
      <c r="I575" s="12"/>
      <c r="J575" s="12"/>
      <c r="K575" s="6"/>
      <c r="L575" s="6"/>
      <c r="M575" s="6"/>
      <c r="N575" s="6"/>
      <c r="O575" s="10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/>
      <c r="B576" s="7"/>
      <c r="C576" s="6"/>
      <c r="D576" s="11"/>
      <c r="E576" s="12"/>
      <c r="F576" s="12"/>
      <c r="G576" s="11"/>
      <c r="H576" s="12"/>
      <c r="I576" s="12"/>
      <c r="J576" s="12"/>
      <c r="K576" s="6"/>
      <c r="L576" s="6"/>
      <c r="M576" s="6"/>
      <c r="N576" s="6"/>
      <c r="O576" s="10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/>
      <c r="B577" s="7"/>
      <c r="C577" s="6"/>
      <c r="D577" s="11"/>
      <c r="E577" s="12"/>
      <c r="F577" s="12"/>
      <c r="G577" s="11"/>
      <c r="H577" s="12"/>
      <c r="I577" s="12"/>
      <c r="J577" s="12"/>
      <c r="K577" s="6"/>
      <c r="L577" s="6"/>
      <c r="M577" s="6"/>
      <c r="N577" s="6"/>
      <c r="O577" s="10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/>
      <c r="B578" s="7"/>
      <c r="C578" s="6"/>
      <c r="D578" s="11"/>
      <c r="E578" s="12"/>
      <c r="F578" s="12"/>
      <c r="G578" s="11"/>
      <c r="H578" s="12"/>
      <c r="I578" s="12"/>
      <c r="J578" s="12"/>
      <c r="K578" s="6"/>
      <c r="L578" s="6"/>
      <c r="M578" s="6"/>
      <c r="N578" s="6"/>
      <c r="O578" s="10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/>
      <c r="B579" s="7"/>
      <c r="C579" s="6"/>
      <c r="D579" s="11"/>
      <c r="E579" s="12"/>
      <c r="F579" s="12"/>
      <c r="G579" s="11"/>
      <c r="H579" s="12"/>
      <c r="I579" s="12"/>
      <c r="J579" s="12"/>
      <c r="K579" s="6"/>
      <c r="L579" s="6"/>
      <c r="M579" s="6"/>
      <c r="N579" s="6"/>
      <c r="O579" s="10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/>
      <c r="B580" s="7"/>
      <c r="C580" s="6"/>
      <c r="D580" s="11"/>
      <c r="E580" s="12"/>
      <c r="F580" s="12"/>
      <c r="G580" s="11"/>
      <c r="H580" s="12"/>
      <c r="I580" s="12"/>
      <c r="J580" s="12"/>
      <c r="K580" s="6"/>
      <c r="L580" s="6"/>
      <c r="M580" s="6"/>
      <c r="N580" s="6"/>
      <c r="O580" s="10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/>
      <c r="B581" s="7"/>
      <c r="C581" s="6"/>
      <c r="D581" s="11"/>
      <c r="E581" s="12"/>
      <c r="F581" s="12"/>
      <c r="G581" s="11"/>
      <c r="H581" s="12"/>
      <c r="I581" s="12"/>
      <c r="J581" s="12"/>
      <c r="K581" s="6"/>
      <c r="L581" s="6"/>
      <c r="M581" s="6"/>
      <c r="N581" s="6"/>
      <c r="O581" s="10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/>
      <c r="B582" s="7"/>
      <c r="C582" s="6"/>
      <c r="D582" s="11"/>
      <c r="E582" s="12"/>
      <c r="F582" s="12"/>
      <c r="G582" s="11"/>
      <c r="H582" s="12"/>
      <c r="I582" s="12"/>
      <c r="J582" s="12"/>
      <c r="K582" s="6"/>
      <c r="L582" s="6"/>
      <c r="M582" s="6"/>
      <c r="N582" s="6"/>
      <c r="O582" s="10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/>
      <c r="B583" s="7"/>
      <c r="C583" s="6"/>
      <c r="D583" s="11"/>
      <c r="E583" s="12"/>
      <c r="F583" s="12"/>
      <c r="G583" s="11"/>
      <c r="H583" s="12"/>
      <c r="I583" s="12"/>
      <c r="J583" s="12"/>
      <c r="K583" s="6"/>
      <c r="L583" s="6"/>
      <c r="M583" s="6"/>
      <c r="N583" s="6"/>
      <c r="O583" s="10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/>
      <c r="B584" s="7"/>
      <c r="C584" s="6"/>
      <c r="D584" s="11"/>
      <c r="E584" s="12"/>
      <c r="F584" s="12"/>
      <c r="G584" s="11"/>
      <c r="H584" s="12"/>
      <c r="I584" s="12"/>
      <c r="J584" s="12"/>
      <c r="K584" s="6"/>
      <c r="L584" s="6"/>
      <c r="M584" s="6"/>
      <c r="N584" s="6"/>
      <c r="O584" s="10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/>
      <c r="B585" s="7"/>
      <c r="C585" s="6"/>
      <c r="D585" s="11"/>
      <c r="E585" s="12"/>
      <c r="F585" s="12"/>
      <c r="G585" s="11"/>
      <c r="H585" s="12"/>
      <c r="I585" s="12"/>
      <c r="J585" s="12"/>
      <c r="K585" s="6"/>
      <c r="L585" s="6"/>
      <c r="M585" s="6"/>
      <c r="N585" s="6"/>
      <c r="O585" s="10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/>
      <c r="B586" s="7"/>
      <c r="C586" s="6"/>
      <c r="D586" s="11"/>
      <c r="E586" s="12"/>
      <c r="F586" s="12"/>
      <c r="G586" s="11"/>
      <c r="H586" s="12"/>
      <c r="I586" s="12"/>
      <c r="J586" s="12"/>
      <c r="K586" s="6"/>
      <c r="L586" s="6"/>
      <c r="M586" s="6"/>
      <c r="N586" s="6"/>
      <c r="O586" s="10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/>
      <c r="B587" s="7"/>
      <c r="C587" s="6"/>
      <c r="D587" s="11"/>
      <c r="E587" s="12"/>
      <c r="F587" s="12"/>
      <c r="G587" s="11"/>
      <c r="H587" s="12"/>
      <c r="I587" s="12"/>
      <c r="J587" s="12"/>
      <c r="K587" s="6"/>
      <c r="L587" s="6"/>
      <c r="M587" s="6"/>
      <c r="N587" s="6"/>
      <c r="O587" s="10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/>
      <c r="B588" s="7"/>
      <c r="C588" s="6"/>
      <c r="D588" s="11"/>
      <c r="E588" s="12"/>
      <c r="F588" s="12"/>
      <c r="G588" s="11"/>
      <c r="H588" s="12"/>
      <c r="I588" s="12"/>
      <c r="J588" s="12"/>
      <c r="K588" s="6"/>
      <c r="L588" s="6"/>
      <c r="M588" s="6"/>
      <c r="N588" s="6"/>
      <c r="O588" s="10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/>
      <c r="B589" s="7"/>
      <c r="C589" s="6"/>
      <c r="D589" s="11"/>
      <c r="E589" s="12"/>
      <c r="F589" s="12"/>
      <c r="G589" s="11"/>
      <c r="H589" s="12"/>
      <c r="I589" s="12"/>
      <c r="J589" s="12"/>
      <c r="K589" s="6"/>
      <c r="L589" s="6"/>
      <c r="M589" s="6"/>
      <c r="N589" s="6"/>
      <c r="O589" s="10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/>
      <c r="B590" s="7"/>
      <c r="C590" s="6"/>
      <c r="D590" s="11"/>
      <c r="E590" s="12"/>
      <c r="F590" s="12"/>
      <c r="G590" s="11"/>
      <c r="H590" s="12"/>
      <c r="I590" s="12"/>
      <c r="J590" s="12"/>
      <c r="K590" s="6"/>
      <c r="L590" s="6"/>
      <c r="M590" s="6"/>
      <c r="N590" s="6"/>
      <c r="O590" s="10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/>
      <c r="B591" s="7"/>
      <c r="C591" s="6"/>
      <c r="D591" s="11"/>
      <c r="E591" s="12"/>
      <c r="F591" s="12"/>
      <c r="G591" s="11"/>
      <c r="H591" s="12"/>
      <c r="I591" s="12"/>
      <c r="J591" s="12"/>
      <c r="K591" s="6"/>
      <c r="L591" s="6"/>
      <c r="M591" s="6"/>
      <c r="N591" s="6"/>
      <c r="O591" s="10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/>
      <c r="B592" s="7"/>
      <c r="C592" s="6"/>
      <c r="D592" s="11"/>
      <c r="E592" s="12"/>
      <c r="F592" s="12"/>
      <c r="G592" s="11"/>
      <c r="H592" s="12"/>
      <c r="I592" s="12"/>
      <c r="J592" s="12"/>
      <c r="K592" s="6"/>
      <c r="L592" s="6"/>
      <c r="M592" s="6"/>
      <c r="N592" s="6"/>
      <c r="O592" s="10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/>
      <c r="B593" s="7"/>
      <c r="C593" s="6"/>
      <c r="D593" s="11"/>
      <c r="E593" s="12"/>
      <c r="F593" s="12"/>
      <c r="G593" s="11"/>
      <c r="H593" s="12"/>
      <c r="I593" s="12"/>
      <c r="J593" s="12"/>
      <c r="K593" s="6"/>
      <c r="L593" s="6"/>
      <c r="M593" s="6"/>
      <c r="N593" s="6"/>
      <c r="O593" s="10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/>
      <c r="B594" s="7"/>
      <c r="C594" s="6"/>
      <c r="D594" s="11"/>
      <c r="E594" s="12"/>
      <c r="F594" s="12"/>
      <c r="G594" s="11"/>
      <c r="H594" s="12"/>
      <c r="I594" s="12"/>
      <c r="J594" s="12"/>
      <c r="K594" s="6"/>
      <c r="L594" s="6"/>
      <c r="M594" s="6"/>
      <c r="N594" s="6"/>
      <c r="O594" s="10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/>
      <c r="B595" s="7"/>
      <c r="C595" s="6"/>
      <c r="D595" s="11"/>
      <c r="E595" s="12"/>
      <c r="F595" s="12"/>
      <c r="G595" s="11"/>
      <c r="H595" s="12"/>
      <c r="I595" s="12"/>
      <c r="J595" s="12"/>
      <c r="K595" s="6"/>
      <c r="L595" s="6"/>
      <c r="M595" s="6"/>
      <c r="N595" s="6"/>
      <c r="O595" s="10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/>
      <c r="B596" s="7"/>
      <c r="C596" s="6"/>
      <c r="D596" s="11"/>
      <c r="E596" s="12"/>
      <c r="F596" s="12"/>
      <c r="G596" s="11"/>
      <c r="H596" s="12"/>
      <c r="I596" s="12"/>
      <c r="J596" s="12"/>
      <c r="K596" s="6"/>
      <c r="L596" s="6"/>
      <c r="M596" s="6"/>
      <c r="N596" s="6"/>
      <c r="O596" s="10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/>
      <c r="B597" s="7"/>
      <c r="C597" s="6"/>
      <c r="D597" s="11"/>
      <c r="E597" s="12"/>
      <c r="F597" s="12"/>
      <c r="G597" s="11"/>
      <c r="H597" s="12"/>
      <c r="I597" s="12"/>
      <c r="J597" s="12"/>
      <c r="K597" s="6"/>
      <c r="L597" s="6"/>
      <c r="M597" s="6"/>
      <c r="N597" s="6"/>
      <c r="O597" s="10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/>
      <c r="B598" s="7"/>
      <c r="C598" s="6"/>
      <c r="D598" s="11"/>
      <c r="E598" s="12"/>
      <c r="F598" s="12"/>
      <c r="G598" s="11"/>
      <c r="H598" s="12"/>
      <c r="I598" s="12"/>
      <c r="J598" s="12"/>
      <c r="K598" s="6"/>
      <c r="L598" s="6"/>
      <c r="M598" s="6"/>
      <c r="N598" s="6"/>
      <c r="O598" s="10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/>
      <c r="B599" s="7"/>
      <c r="C599" s="6"/>
      <c r="D599" s="11"/>
      <c r="E599" s="12"/>
      <c r="F599" s="12"/>
      <c r="G599" s="11"/>
      <c r="H599" s="12"/>
      <c r="I599" s="12"/>
      <c r="J599" s="12"/>
      <c r="K599" s="6"/>
      <c r="L599" s="6"/>
      <c r="M599" s="6"/>
      <c r="N599" s="6"/>
      <c r="O599" s="10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/>
      <c r="B600" s="7"/>
      <c r="C600" s="6"/>
      <c r="D600" s="11"/>
      <c r="E600" s="12"/>
      <c r="F600" s="12"/>
      <c r="G600" s="11"/>
      <c r="H600" s="12"/>
      <c r="I600" s="12"/>
      <c r="J600" s="12"/>
      <c r="K600" s="6"/>
      <c r="L600" s="6"/>
      <c r="M600" s="6"/>
      <c r="N600" s="6"/>
      <c r="O600" s="10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/>
      <c r="B601" s="7"/>
      <c r="C601" s="6"/>
      <c r="D601" s="11"/>
      <c r="E601" s="12"/>
      <c r="F601" s="12"/>
      <c r="G601" s="11"/>
      <c r="H601" s="12"/>
      <c r="I601" s="12"/>
      <c r="J601" s="12"/>
      <c r="K601" s="6"/>
      <c r="L601" s="6"/>
      <c r="M601" s="6"/>
      <c r="N601" s="6"/>
      <c r="O601" s="10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/>
      <c r="B602" s="7"/>
      <c r="C602" s="6"/>
      <c r="D602" s="11"/>
      <c r="E602" s="12"/>
      <c r="F602" s="12"/>
      <c r="G602" s="11"/>
      <c r="H602" s="12"/>
      <c r="I602" s="12"/>
      <c r="J602" s="12"/>
      <c r="K602" s="6"/>
      <c r="L602" s="6"/>
      <c r="M602" s="6"/>
      <c r="N602" s="6"/>
      <c r="O602" s="10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/>
      <c r="B603" s="7"/>
      <c r="C603" s="6"/>
      <c r="D603" s="11"/>
      <c r="E603" s="12"/>
      <c r="F603" s="12"/>
      <c r="G603" s="11"/>
      <c r="H603" s="12"/>
      <c r="I603" s="12"/>
      <c r="J603" s="12"/>
      <c r="K603" s="6"/>
      <c r="L603" s="6"/>
      <c r="M603" s="6"/>
      <c r="N603" s="6"/>
      <c r="O603" s="10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/>
      <c r="B604" s="7"/>
      <c r="C604" s="6"/>
      <c r="D604" s="11"/>
      <c r="E604" s="12"/>
      <c r="F604" s="12"/>
      <c r="G604" s="11"/>
      <c r="H604" s="12"/>
      <c r="I604" s="12"/>
      <c r="J604" s="12"/>
      <c r="K604" s="6"/>
      <c r="L604" s="6"/>
      <c r="M604" s="6"/>
      <c r="N604" s="6"/>
      <c r="O604" s="10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/>
      <c r="B605" s="7"/>
      <c r="C605" s="6"/>
      <c r="D605" s="11"/>
      <c r="E605" s="12"/>
      <c r="F605" s="12"/>
      <c r="G605" s="11"/>
      <c r="H605" s="12"/>
      <c r="I605" s="12"/>
      <c r="J605" s="12"/>
      <c r="K605" s="6"/>
      <c r="L605" s="6"/>
      <c r="M605" s="6"/>
      <c r="N605" s="6"/>
      <c r="O605" s="10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/>
      <c r="B606" s="7"/>
      <c r="C606" s="6"/>
      <c r="D606" s="11"/>
      <c r="E606" s="12"/>
      <c r="F606" s="12"/>
      <c r="G606" s="11"/>
      <c r="H606" s="12"/>
      <c r="I606" s="12"/>
      <c r="J606" s="12"/>
      <c r="K606" s="6"/>
      <c r="L606" s="6"/>
      <c r="M606" s="6"/>
      <c r="N606" s="6"/>
      <c r="O606" s="10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/>
      <c r="B607" s="7"/>
      <c r="C607" s="6"/>
      <c r="D607" s="11"/>
      <c r="E607" s="12"/>
      <c r="F607" s="12"/>
      <c r="G607" s="11"/>
      <c r="H607" s="12"/>
      <c r="I607" s="12"/>
      <c r="J607" s="12"/>
      <c r="K607" s="6"/>
      <c r="L607" s="6"/>
      <c r="M607" s="6"/>
      <c r="N607" s="6"/>
      <c r="O607" s="10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/>
      <c r="B608" s="7"/>
      <c r="C608" s="6"/>
      <c r="D608" s="11"/>
      <c r="E608" s="12"/>
      <c r="F608" s="12"/>
      <c r="G608" s="11"/>
      <c r="H608" s="12"/>
      <c r="I608" s="12"/>
      <c r="J608" s="12"/>
      <c r="K608" s="6"/>
      <c r="L608" s="6"/>
      <c r="M608" s="6"/>
      <c r="N608" s="6"/>
      <c r="O608" s="10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/>
      <c r="B609" s="7"/>
      <c r="C609" s="6"/>
      <c r="D609" s="11"/>
      <c r="E609" s="12"/>
      <c r="F609" s="12"/>
      <c r="G609" s="11"/>
      <c r="H609" s="12"/>
      <c r="I609" s="12"/>
      <c r="J609" s="12"/>
      <c r="K609" s="6"/>
      <c r="L609" s="6"/>
      <c r="M609" s="6"/>
      <c r="N609" s="6"/>
      <c r="O609" s="10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/>
      <c r="B610" s="7"/>
      <c r="C610" s="6"/>
      <c r="D610" s="11"/>
      <c r="E610" s="12"/>
      <c r="F610" s="12"/>
      <c r="G610" s="11"/>
      <c r="H610" s="12"/>
      <c r="I610" s="12"/>
      <c r="J610" s="12"/>
      <c r="K610" s="6"/>
      <c r="L610" s="6"/>
      <c r="M610" s="6"/>
      <c r="N610" s="6"/>
      <c r="O610" s="10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/>
      <c r="B611" s="7"/>
      <c r="C611" s="6"/>
      <c r="D611" s="11"/>
      <c r="E611" s="12"/>
      <c r="F611" s="12"/>
      <c r="G611" s="11"/>
      <c r="H611" s="12"/>
      <c r="I611" s="12"/>
      <c r="J611" s="12"/>
      <c r="K611" s="6"/>
      <c r="L611" s="6"/>
      <c r="M611" s="6"/>
      <c r="N611" s="6"/>
      <c r="O611" s="10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/>
      <c r="B612" s="7"/>
      <c r="C612" s="6"/>
      <c r="D612" s="11"/>
      <c r="E612" s="12"/>
      <c r="F612" s="12"/>
      <c r="G612" s="11"/>
      <c r="H612" s="12"/>
      <c r="I612" s="12"/>
      <c r="J612" s="12"/>
      <c r="K612" s="6"/>
      <c r="L612" s="6"/>
      <c r="M612" s="6"/>
      <c r="N612" s="6"/>
      <c r="O612" s="10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/>
      <c r="B613" s="7"/>
      <c r="C613" s="6"/>
      <c r="D613" s="11"/>
      <c r="E613" s="12"/>
      <c r="F613" s="12"/>
      <c r="G613" s="11"/>
      <c r="H613" s="12"/>
      <c r="I613" s="12"/>
      <c r="J613" s="12"/>
      <c r="K613" s="6"/>
      <c r="L613" s="6"/>
      <c r="M613" s="6"/>
      <c r="N613" s="6"/>
      <c r="O613" s="10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/>
      <c r="B614" s="7"/>
      <c r="C614" s="6"/>
      <c r="D614" s="11"/>
      <c r="E614" s="12"/>
      <c r="F614" s="12"/>
      <c r="G614" s="11"/>
      <c r="H614" s="12"/>
      <c r="I614" s="12"/>
      <c r="J614" s="12"/>
      <c r="K614" s="6"/>
      <c r="L614" s="6"/>
      <c r="M614" s="6"/>
      <c r="N614" s="6"/>
      <c r="O614" s="10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/>
      <c r="B615" s="7"/>
      <c r="C615" s="6"/>
      <c r="D615" s="11"/>
      <c r="E615" s="12"/>
      <c r="F615" s="12"/>
      <c r="G615" s="11"/>
      <c r="H615" s="12"/>
      <c r="I615" s="12"/>
      <c r="J615" s="12"/>
      <c r="K615" s="6"/>
      <c r="L615" s="6"/>
      <c r="M615" s="6"/>
      <c r="N615" s="6"/>
      <c r="O615" s="10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/>
      <c r="B616" s="7"/>
      <c r="C616" s="6"/>
      <c r="D616" s="11"/>
      <c r="E616" s="12"/>
      <c r="F616" s="12"/>
      <c r="G616" s="11"/>
      <c r="H616" s="12"/>
      <c r="I616" s="12"/>
      <c r="J616" s="12"/>
      <c r="K616" s="6"/>
      <c r="L616" s="6"/>
      <c r="M616" s="6"/>
      <c r="N616" s="6"/>
      <c r="O616" s="10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/>
      <c r="B617" s="7"/>
      <c r="C617" s="6"/>
      <c r="D617" s="11"/>
      <c r="E617" s="12"/>
      <c r="F617" s="12"/>
      <c r="G617" s="11"/>
      <c r="H617" s="12"/>
      <c r="I617" s="12"/>
      <c r="J617" s="12"/>
      <c r="K617" s="6"/>
      <c r="L617" s="6"/>
      <c r="M617" s="6"/>
      <c r="N617" s="6"/>
      <c r="O617" s="10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/>
      <c r="B618" s="7"/>
      <c r="C618" s="6"/>
      <c r="D618" s="11"/>
      <c r="E618" s="12"/>
      <c r="F618" s="12"/>
      <c r="G618" s="11"/>
      <c r="H618" s="12"/>
      <c r="I618" s="12"/>
      <c r="J618" s="12"/>
      <c r="K618" s="6"/>
      <c r="L618" s="6"/>
      <c r="M618" s="6"/>
      <c r="N618" s="6"/>
      <c r="O618" s="10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/>
      <c r="B619" s="7"/>
      <c r="C619" s="6"/>
      <c r="D619" s="11"/>
      <c r="E619" s="12"/>
      <c r="F619" s="12"/>
      <c r="G619" s="11"/>
      <c r="H619" s="12"/>
      <c r="I619" s="12"/>
      <c r="J619" s="12"/>
      <c r="K619" s="6"/>
      <c r="L619" s="6"/>
      <c r="M619" s="6"/>
      <c r="N619" s="6"/>
      <c r="O619" s="10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/>
      <c r="B620" s="7"/>
      <c r="C620" s="6"/>
      <c r="D620" s="11"/>
      <c r="E620" s="12"/>
      <c r="F620" s="12"/>
      <c r="G620" s="11"/>
      <c r="H620" s="12"/>
      <c r="I620" s="12"/>
      <c r="J620" s="12"/>
      <c r="K620" s="6"/>
      <c r="L620" s="6"/>
      <c r="M620" s="6"/>
      <c r="N620" s="6"/>
      <c r="O620" s="10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/>
      <c r="B621" s="7"/>
      <c r="C621" s="6"/>
      <c r="D621" s="11"/>
      <c r="E621" s="12"/>
      <c r="F621" s="12"/>
      <c r="G621" s="11"/>
      <c r="H621" s="12"/>
      <c r="I621" s="12"/>
      <c r="J621" s="12"/>
      <c r="K621" s="6"/>
      <c r="L621" s="6"/>
      <c r="M621" s="6"/>
      <c r="N621" s="6"/>
      <c r="O621" s="10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/>
      <c r="B622" s="7"/>
      <c r="C622" s="6"/>
      <c r="D622" s="11"/>
      <c r="E622" s="12"/>
      <c r="F622" s="12"/>
      <c r="G622" s="11"/>
      <c r="H622" s="12"/>
      <c r="I622" s="12"/>
      <c r="J622" s="12"/>
      <c r="K622" s="6"/>
      <c r="L622" s="6"/>
      <c r="M622" s="6"/>
      <c r="N622" s="6"/>
      <c r="O622" s="10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/>
      <c r="B623" s="7"/>
      <c r="C623" s="6"/>
      <c r="D623" s="11"/>
      <c r="E623" s="12"/>
      <c r="F623" s="12"/>
      <c r="G623" s="11"/>
      <c r="H623" s="12"/>
      <c r="I623" s="12"/>
      <c r="J623" s="12"/>
      <c r="K623" s="6"/>
      <c r="L623" s="6"/>
      <c r="M623" s="6"/>
      <c r="N623" s="6"/>
      <c r="O623" s="10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/>
      <c r="B624" s="7"/>
      <c r="C624" s="6"/>
      <c r="D624" s="11"/>
      <c r="E624" s="12"/>
      <c r="F624" s="12"/>
      <c r="G624" s="11"/>
      <c r="H624" s="12"/>
      <c r="I624" s="12"/>
      <c r="J624" s="12"/>
      <c r="K624" s="6"/>
      <c r="L624" s="6"/>
      <c r="M624" s="6"/>
      <c r="N624" s="6"/>
      <c r="O624" s="10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/>
      <c r="B625" s="7"/>
      <c r="C625" s="6"/>
      <c r="D625" s="11"/>
      <c r="E625" s="12"/>
      <c r="F625" s="12"/>
      <c r="G625" s="11"/>
      <c r="H625" s="12"/>
      <c r="I625" s="12"/>
      <c r="J625" s="12"/>
      <c r="K625" s="6"/>
      <c r="L625" s="6"/>
      <c r="M625" s="6"/>
      <c r="N625" s="6"/>
      <c r="O625" s="10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/>
      <c r="B626" s="7"/>
      <c r="C626" s="6"/>
      <c r="D626" s="11"/>
      <c r="E626" s="12"/>
      <c r="F626" s="12"/>
      <c r="G626" s="11"/>
      <c r="H626" s="12"/>
      <c r="I626" s="12"/>
      <c r="J626" s="12"/>
      <c r="K626" s="6"/>
      <c r="L626" s="6"/>
      <c r="M626" s="6"/>
      <c r="N626" s="6"/>
      <c r="O626" s="10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/>
      <c r="B627" s="7"/>
      <c r="C627" s="6"/>
      <c r="D627" s="11"/>
      <c r="E627" s="12"/>
      <c r="F627" s="12"/>
      <c r="G627" s="11"/>
      <c r="H627" s="12"/>
      <c r="I627" s="12"/>
      <c r="J627" s="12"/>
      <c r="K627" s="6"/>
      <c r="L627" s="6"/>
      <c r="M627" s="6"/>
      <c r="N627" s="6"/>
      <c r="O627" s="10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/>
      <c r="B628" s="7"/>
      <c r="C628" s="6"/>
      <c r="D628" s="11"/>
      <c r="E628" s="12"/>
      <c r="F628" s="12"/>
      <c r="G628" s="11"/>
      <c r="H628" s="12"/>
      <c r="I628" s="12"/>
      <c r="J628" s="12"/>
      <c r="K628" s="6"/>
      <c r="L628" s="6"/>
      <c r="M628" s="6"/>
      <c r="N628" s="6"/>
      <c r="O628" s="10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/>
      <c r="B629" s="7"/>
      <c r="C629" s="6"/>
      <c r="D629" s="11"/>
      <c r="E629" s="12"/>
      <c r="F629" s="12"/>
      <c r="G629" s="11"/>
      <c r="H629" s="12"/>
      <c r="I629" s="12"/>
      <c r="J629" s="12"/>
      <c r="K629" s="6"/>
      <c r="L629" s="6"/>
      <c r="M629" s="6"/>
      <c r="N629" s="6"/>
      <c r="O629" s="10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/>
      <c r="B630" s="7"/>
      <c r="C630" s="6"/>
      <c r="D630" s="11"/>
      <c r="E630" s="12"/>
      <c r="F630" s="12"/>
      <c r="G630" s="11"/>
      <c r="H630" s="12"/>
      <c r="I630" s="12"/>
      <c r="J630" s="12"/>
      <c r="K630" s="6"/>
      <c r="L630" s="6"/>
      <c r="M630" s="6"/>
      <c r="N630" s="6"/>
      <c r="O630" s="10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/>
      <c r="B631" s="7"/>
      <c r="C631" s="6"/>
      <c r="D631" s="11"/>
      <c r="E631" s="12"/>
      <c r="F631" s="12"/>
      <c r="G631" s="11"/>
      <c r="H631" s="12"/>
      <c r="I631" s="12"/>
      <c r="J631" s="12"/>
      <c r="K631" s="6"/>
      <c r="L631" s="6"/>
      <c r="M631" s="6"/>
      <c r="N631" s="6"/>
      <c r="O631" s="10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/>
      <c r="B632" s="7"/>
      <c r="C632" s="6"/>
      <c r="D632" s="11"/>
      <c r="E632" s="12"/>
      <c r="F632" s="12"/>
      <c r="G632" s="11"/>
      <c r="H632" s="12"/>
      <c r="I632" s="12"/>
      <c r="J632" s="12"/>
      <c r="K632" s="6"/>
      <c r="L632" s="6"/>
      <c r="M632" s="6"/>
      <c r="N632" s="6"/>
      <c r="O632" s="10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/>
      <c r="B633" s="7"/>
      <c r="C633" s="6"/>
      <c r="D633" s="11"/>
      <c r="E633" s="12"/>
      <c r="F633" s="12"/>
      <c r="G633" s="11"/>
      <c r="H633" s="12"/>
      <c r="I633" s="12"/>
      <c r="J633" s="12"/>
      <c r="K633" s="6"/>
      <c r="L633" s="6"/>
      <c r="M633" s="6"/>
      <c r="N633" s="6"/>
      <c r="O633" s="10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/>
      <c r="B634" s="7"/>
      <c r="C634" s="6"/>
      <c r="D634" s="11"/>
      <c r="E634" s="12"/>
      <c r="F634" s="12"/>
      <c r="G634" s="11"/>
      <c r="H634" s="12"/>
      <c r="I634" s="12"/>
      <c r="J634" s="12"/>
      <c r="K634" s="6"/>
      <c r="L634" s="6"/>
      <c r="M634" s="6"/>
      <c r="N634" s="6"/>
      <c r="O634" s="10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/>
      <c r="B635" s="7"/>
      <c r="C635" s="6"/>
      <c r="D635" s="11"/>
      <c r="E635" s="12"/>
      <c r="F635" s="12"/>
      <c r="G635" s="11"/>
      <c r="H635" s="12"/>
      <c r="I635" s="12"/>
      <c r="J635" s="12"/>
      <c r="K635" s="6"/>
      <c r="L635" s="6"/>
      <c r="M635" s="6"/>
      <c r="N635" s="6"/>
      <c r="O635" s="10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/>
      <c r="B636" s="7"/>
      <c r="C636" s="6"/>
      <c r="D636" s="11"/>
      <c r="E636" s="12"/>
      <c r="F636" s="12"/>
      <c r="G636" s="11"/>
      <c r="H636" s="12"/>
      <c r="I636" s="12"/>
      <c r="J636" s="12"/>
      <c r="K636" s="6"/>
      <c r="L636" s="6"/>
      <c r="M636" s="6"/>
      <c r="N636" s="6"/>
      <c r="O636" s="10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/>
      <c r="B637" s="7"/>
      <c r="C637" s="6"/>
      <c r="D637" s="11"/>
      <c r="E637" s="12"/>
      <c r="F637" s="12"/>
      <c r="G637" s="11"/>
      <c r="H637" s="12"/>
      <c r="I637" s="12"/>
      <c r="J637" s="12"/>
      <c r="K637" s="6"/>
      <c r="L637" s="6"/>
      <c r="M637" s="6"/>
      <c r="N637" s="6"/>
      <c r="O637" s="10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/>
      <c r="B638" s="7"/>
      <c r="C638" s="6"/>
      <c r="D638" s="11"/>
      <c r="E638" s="12"/>
      <c r="F638" s="12"/>
      <c r="G638" s="11"/>
      <c r="H638" s="12"/>
      <c r="I638" s="12"/>
      <c r="J638" s="12"/>
      <c r="K638" s="6"/>
      <c r="L638" s="6"/>
      <c r="M638" s="6"/>
      <c r="N638" s="6"/>
      <c r="O638" s="10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/>
      <c r="B639" s="7"/>
      <c r="C639" s="6"/>
      <c r="D639" s="11"/>
      <c r="E639" s="12"/>
      <c r="F639" s="12"/>
      <c r="G639" s="11"/>
      <c r="H639" s="12"/>
      <c r="I639" s="12"/>
      <c r="J639" s="12"/>
      <c r="K639" s="6"/>
      <c r="L639" s="6"/>
      <c r="M639" s="6"/>
      <c r="N639" s="6"/>
      <c r="O639" s="10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/>
      <c r="B640" s="7"/>
      <c r="C640" s="6"/>
      <c r="D640" s="11"/>
      <c r="E640" s="12"/>
      <c r="F640" s="12"/>
      <c r="G640" s="11"/>
      <c r="H640" s="12"/>
      <c r="I640" s="12"/>
      <c r="J640" s="12"/>
      <c r="K640" s="6"/>
      <c r="L640" s="6"/>
      <c r="M640" s="6"/>
      <c r="N640" s="6"/>
      <c r="O640" s="10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/>
      <c r="B641" s="7"/>
      <c r="C641" s="6"/>
      <c r="D641" s="11"/>
      <c r="E641" s="12"/>
      <c r="F641" s="12"/>
      <c r="G641" s="11"/>
      <c r="H641" s="12"/>
      <c r="I641" s="12"/>
      <c r="J641" s="12"/>
      <c r="K641" s="6"/>
      <c r="L641" s="6"/>
      <c r="M641" s="6"/>
      <c r="N641" s="6"/>
      <c r="O641" s="10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/>
      <c r="B642" s="7"/>
      <c r="C642" s="6"/>
      <c r="D642" s="11"/>
      <c r="E642" s="12"/>
      <c r="F642" s="12"/>
      <c r="G642" s="11"/>
      <c r="H642" s="12"/>
      <c r="I642" s="12"/>
      <c r="J642" s="12"/>
      <c r="K642" s="6"/>
      <c r="L642" s="6"/>
      <c r="M642" s="6"/>
      <c r="N642" s="6"/>
      <c r="O642" s="10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/>
      <c r="B643" s="7"/>
      <c r="C643" s="6"/>
      <c r="D643" s="11"/>
      <c r="E643" s="12"/>
      <c r="F643" s="12"/>
      <c r="G643" s="11"/>
      <c r="H643" s="12"/>
      <c r="I643" s="12"/>
      <c r="J643" s="12"/>
      <c r="K643" s="6"/>
      <c r="L643" s="6"/>
      <c r="M643" s="6"/>
      <c r="N643" s="6"/>
      <c r="O643" s="10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/>
      <c r="B644" s="7"/>
      <c r="C644" s="6"/>
      <c r="D644" s="11"/>
      <c r="E644" s="12"/>
      <c r="F644" s="12"/>
      <c r="G644" s="11"/>
      <c r="H644" s="12"/>
      <c r="I644" s="12"/>
      <c r="J644" s="12"/>
      <c r="K644" s="6"/>
      <c r="L644" s="6"/>
      <c r="M644" s="6"/>
      <c r="N644" s="6"/>
      <c r="O644" s="10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/>
      <c r="B645" s="7"/>
      <c r="C645" s="6"/>
      <c r="D645" s="11"/>
      <c r="E645" s="12"/>
      <c r="F645" s="12"/>
      <c r="G645" s="11"/>
      <c r="H645" s="12"/>
      <c r="I645" s="12"/>
      <c r="J645" s="12"/>
      <c r="K645" s="6"/>
      <c r="L645" s="6"/>
      <c r="M645" s="6"/>
      <c r="N645" s="6"/>
      <c r="O645" s="10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/>
      <c r="B646" s="7"/>
      <c r="C646" s="6"/>
      <c r="D646" s="11"/>
      <c r="E646" s="12"/>
      <c r="F646" s="12"/>
      <c r="G646" s="11"/>
      <c r="H646" s="12"/>
      <c r="I646" s="12"/>
      <c r="J646" s="12"/>
      <c r="K646" s="6"/>
      <c r="L646" s="6"/>
      <c r="M646" s="6"/>
      <c r="N646" s="6"/>
      <c r="O646" s="10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/>
      <c r="B647" s="7"/>
      <c r="C647" s="6"/>
      <c r="D647" s="11"/>
      <c r="E647" s="12"/>
      <c r="F647" s="12"/>
      <c r="G647" s="11"/>
      <c r="H647" s="12"/>
      <c r="I647" s="12"/>
      <c r="J647" s="12"/>
      <c r="K647" s="6"/>
      <c r="L647" s="6"/>
      <c r="M647" s="6"/>
      <c r="N647" s="6"/>
      <c r="O647" s="10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/>
      <c r="B648" s="7"/>
      <c r="C648" s="6"/>
      <c r="D648" s="11"/>
      <c r="E648" s="12"/>
      <c r="F648" s="12"/>
      <c r="G648" s="11"/>
      <c r="H648" s="12"/>
      <c r="I648" s="12"/>
      <c r="J648" s="12"/>
      <c r="K648" s="6"/>
      <c r="L648" s="6"/>
      <c r="M648" s="6"/>
      <c r="N648" s="6"/>
      <c r="O648" s="10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/>
      <c r="B649" s="7"/>
      <c r="C649" s="6"/>
      <c r="D649" s="11"/>
      <c r="E649" s="12"/>
      <c r="F649" s="12"/>
      <c r="G649" s="11"/>
      <c r="H649" s="12"/>
      <c r="I649" s="12"/>
      <c r="J649" s="12"/>
      <c r="K649" s="6"/>
      <c r="L649" s="6"/>
      <c r="M649" s="6"/>
      <c r="N649" s="6"/>
      <c r="O649" s="10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/>
      <c r="B650" s="7"/>
      <c r="C650" s="6"/>
      <c r="D650" s="11"/>
      <c r="E650" s="12"/>
      <c r="F650" s="12"/>
      <c r="G650" s="11"/>
      <c r="H650" s="12"/>
      <c r="I650" s="12"/>
      <c r="J650" s="12"/>
      <c r="K650" s="6"/>
      <c r="L650" s="6"/>
      <c r="M650" s="6"/>
      <c r="N650" s="6"/>
      <c r="O650" s="10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/>
      <c r="B651" s="7"/>
      <c r="C651" s="6"/>
      <c r="D651" s="11"/>
      <c r="E651" s="12"/>
      <c r="F651" s="12"/>
      <c r="G651" s="11"/>
      <c r="H651" s="12"/>
      <c r="I651" s="12"/>
      <c r="J651" s="12"/>
      <c r="K651" s="6"/>
      <c r="L651" s="6"/>
      <c r="M651" s="6"/>
      <c r="N651" s="6"/>
      <c r="O651" s="10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/>
      <c r="B652" s="7"/>
      <c r="C652" s="6"/>
      <c r="D652" s="11"/>
      <c r="E652" s="12"/>
      <c r="F652" s="12"/>
      <c r="G652" s="11"/>
      <c r="H652" s="12"/>
      <c r="I652" s="12"/>
      <c r="J652" s="12"/>
      <c r="K652" s="6"/>
      <c r="L652" s="6"/>
      <c r="M652" s="6"/>
      <c r="N652" s="6"/>
      <c r="O652" s="10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/>
      <c r="B653" s="7"/>
      <c r="C653" s="6"/>
      <c r="D653" s="11"/>
      <c r="E653" s="12"/>
      <c r="F653" s="12"/>
      <c r="G653" s="11"/>
      <c r="H653" s="12"/>
      <c r="I653" s="12"/>
      <c r="J653" s="12"/>
      <c r="K653" s="6"/>
      <c r="L653" s="6"/>
      <c r="M653" s="6"/>
      <c r="N653" s="6"/>
      <c r="O653" s="10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/>
      <c r="B654" s="7"/>
      <c r="C654" s="6"/>
      <c r="D654" s="11"/>
      <c r="E654" s="12"/>
      <c r="F654" s="12"/>
      <c r="G654" s="11"/>
      <c r="H654" s="12"/>
      <c r="I654" s="12"/>
      <c r="J654" s="12"/>
      <c r="K654" s="6"/>
      <c r="L654" s="6"/>
      <c r="M654" s="6"/>
      <c r="N654" s="6"/>
      <c r="O654" s="10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/>
      <c r="B655" s="7"/>
      <c r="C655" s="6"/>
      <c r="D655" s="11"/>
      <c r="E655" s="12"/>
      <c r="F655" s="12"/>
      <c r="G655" s="11"/>
      <c r="H655" s="12"/>
      <c r="I655" s="12"/>
      <c r="J655" s="12"/>
      <c r="K655" s="6"/>
      <c r="L655" s="6"/>
      <c r="M655" s="6"/>
      <c r="N655" s="6"/>
      <c r="O655" s="10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/>
      <c r="B656" s="7"/>
      <c r="C656" s="6"/>
      <c r="D656" s="11"/>
      <c r="E656" s="12"/>
      <c r="F656" s="12"/>
      <c r="G656" s="11"/>
      <c r="H656" s="12"/>
      <c r="I656" s="12"/>
      <c r="J656" s="12"/>
      <c r="K656" s="6"/>
      <c r="L656" s="6"/>
      <c r="M656" s="6"/>
      <c r="N656" s="6"/>
      <c r="O656" s="10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/>
      <c r="B657" s="7"/>
      <c r="C657" s="6"/>
      <c r="D657" s="11"/>
      <c r="E657" s="12"/>
      <c r="F657" s="12"/>
      <c r="G657" s="11"/>
      <c r="H657" s="12"/>
      <c r="I657" s="12"/>
      <c r="J657" s="12"/>
      <c r="K657" s="6"/>
      <c r="L657" s="6"/>
      <c r="M657" s="6"/>
      <c r="N657" s="6"/>
      <c r="O657" s="10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/>
      <c r="B658" s="7"/>
      <c r="C658" s="6"/>
      <c r="D658" s="11"/>
      <c r="E658" s="12"/>
      <c r="F658" s="12"/>
      <c r="G658" s="11"/>
      <c r="H658" s="12"/>
      <c r="I658" s="12"/>
      <c r="J658" s="12"/>
      <c r="K658" s="6"/>
      <c r="L658" s="6"/>
      <c r="M658" s="6"/>
      <c r="N658" s="6"/>
      <c r="O658" s="10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/>
      <c r="B659" s="7"/>
      <c r="C659" s="6"/>
      <c r="D659" s="11"/>
      <c r="E659" s="12"/>
      <c r="F659" s="12"/>
      <c r="G659" s="11"/>
      <c r="H659" s="12"/>
      <c r="I659" s="12"/>
      <c r="J659" s="12"/>
      <c r="K659" s="6"/>
      <c r="L659" s="6"/>
      <c r="M659" s="6"/>
      <c r="N659" s="6"/>
      <c r="O659" s="10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/>
      <c r="B660" s="7"/>
      <c r="C660" s="6"/>
      <c r="D660" s="11"/>
      <c r="E660" s="12"/>
      <c r="F660" s="12"/>
      <c r="G660" s="11"/>
      <c r="H660" s="12"/>
      <c r="I660" s="12"/>
      <c r="J660" s="12"/>
      <c r="K660" s="6"/>
      <c r="L660" s="6"/>
      <c r="M660" s="6"/>
      <c r="N660" s="6"/>
      <c r="O660" s="10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/>
      <c r="B661" s="7"/>
      <c r="C661" s="6"/>
      <c r="D661" s="11"/>
      <c r="E661" s="12"/>
      <c r="F661" s="12"/>
      <c r="G661" s="11"/>
      <c r="H661" s="12"/>
      <c r="I661" s="12"/>
      <c r="J661" s="12"/>
      <c r="K661" s="6"/>
      <c r="L661" s="6"/>
      <c r="M661" s="6"/>
      <c r="N661" s="6"/>
      <c r="O661" s="10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/>
      <c r="B662" s="7"/>
      <c r="C662" s="6"/>
      <c r="D662" s="11"/>
      <c r="E662" s="12"/>
      <c r="F662" s="12"/>
      <c r="G662" s="11"/>
      <c r="H662" s="12"/>
      <c r="I662" s="12"/>
      <c r="J662" s="12"/>
      <c r="K662" s="6"/>
      <c r="L662" s="6"/>
      <c r="M662" s="6"/>
      <c r="N662" s="6"/>
      <c r="O662" s="10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/>
      <c r="B663" s="7"/>
      <c r="C663" s="6"/>
      <c r="D663" s="11"/>
      <c r="E663" s="12"/>
      <c r="F663" s="12"/>
      <c r="G663" s="11"/>
      <c r="H663" s="12"/>
      <c r="I663" s="12"/>
      <c r="J663" s="12"/>
      <c r="K663" s="6"/>
      <c r="L663" s="6"/>
      <c r="M663" s="6"/>
      <c r="N663" s="6"/>
      <c r="O663" s="10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/>
      <c r="B664" s="7"/>
      <c r="C664" s="6"/>
      <c r="D664" s="11"/>
      <c r="E664" s="12"/>
      <c r="F664" s="12"/>
      <c r="G664" s="11"/>
      <c r="H664" s="12"/>
      <c r="I664" s="12"/>
      <c r="J664" s="12"/>
      <c r="K664" s="6"/>
      <c r="L664" s="6"/>
      <c r="M664" s="6"/>
      <c r="N664" s="6"/>
      <c r="O664" s="10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/>
      <c r="B665" s="7"/>
      <c r="C665" s="6"/>
      <c r="D665" s="11"/>
      <c r="E665" s="12"/>
      <c r="F665" s="12"/>
      <c r="G665" s="11"/>
      <c r="H665" s="12"/>
      <c r="I665" s="12"/>
      <c r="J665" s="12"/>
      <c r="K665" s="6"/>
      <c r="L665" s="6"/>
      <c r="M665" s="6"/>
      <c r="N665" s="6"/>
      <c r="O665" s="10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/>
      <c r="B666" s="7"/>
      <c r="C666" s="6"/>
      <c r="D666" s="11"/>
      <c r="E666" s="12"/>
      <c r="F666" s="12"/>
      <c r="G666" s="11"/>
      <c r="H666" s="12"/>
      <c r="I666" s="12"/>
      <c r="J666" s="12"/>
      <c r="K666" s="6"/>
      <c r="L666" s="6"/>
      <c r="M666" s="6"/>
      <c r="N666" s="6"/>
      <c r="O666" s="10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/>
      <c r="B667" s="7"/>
      <c r="C667" s="6"/>
      <c r="D667" s="11"/>
      <c r="E667" s="12"/>
      <c r="F667" s="12"/>
      <c r="G667" s="11"/>
      <c r="H667" s="12"/>
      <c r="I667" s="12"/>
      <c r="J667" s="12"/>
      <c r="K667" s="6"/>
      <c r="L667" s="6"/>
      <c r="M667" s="6"/>
      <c r="N667" s="6"/>
      <c r="O667" s="10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/>
      <c r="B668" s="7"/>
      <c r="C668" s="6"/>
      <c r="D668" s="11"/>
      <c r="E668" s="12"/>
      <c r="F668" s="12"/>
      <c r="G668" s="11"/>
      <c r="H668" s="12"/>
      <c r="I668" s="12"/>
      <c r="J668" s="12"/>
      <c r="K668" s="6"/>
      <c r="L668" s="6"/>
      <c r="M668" s="6"/>
      <c r="N668" s="6"/>
      <c r="O668" s="10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/>
      <c r="B669" s="7"/>
      <c r="C669" s="6"/>
      <c r="D669" s="11"/>
      <c r="E669" s="12"/>
      <c r="F669" s="12"/>
      <c r="G669" s="11"/>
      <c r="H669" s="12"/>
      <c r="I669" s="12"/>
      <c r="J669" s="12"/>
      <c r="K669" s="6"/>
      <c r="L669" s="6"/>
      <c r="M669" s="6"/>
      <c r="N669" s="6"/>
      <c r="O669" s="10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/>
      <c r="B670" s="7"/>
      <c r="C670" s="6"/>
      <c r="D670" s="11"/>
      <c r="E670" s="12"/>
      <c r="F670" s="12"/>
      <c r="G670" s="11"/>
      <c r="H670" s="12"/>
      <c r="I670" s="12"/>
      <c r="J670" s="12"/>
      <c r="K670" s="6"/>
      <c r="L670" s="6"/>
      <c r="M670" s="6"/>
      <c r="N670" s="6"/>
      <c r="O670" s="10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/>
      <c r="B671" s="7"/>
      <c r="C671" s="6"/>
      <c r="D671" s="11"/>
      <c r="E671" s="12"/>
      <c r="F671" s="12"/>
      <c r="G671" s="11"/>
      <c r="H671" s="12"/>
      <c r="I671" s="12"/>
      <c r="J671" s="12"/>
      <c r="K671" s="6"/>
      <c r="L671" s="6"/>
      <c r="M671" s="6"/>
      <c r="N671" s="6"/>
      <c r="O671" s="10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/>
      <c r="B672" s="7"/>
      <c r="C672" s="6"/>
      <c r="D672" s="11"/>
      <c r="E672" s="12"/>
      <c r="F672" s="12"/>
      <c r="G672" s="11"/>
      <c r="H672" s="12"/>
      <c r="I672" s="12"/>
      <c r="J672" s="12"/>
      <c r="K672" s="6"/>
      <c r="L672" s="6"/>
      <c r="M672" s="6"/>
      <c r="N672" s="6"/>
      <c r="O672" s="10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/>
      <c r="B673" s="7"/>
      <c r="C673" s="6"/>
      <c r="D673" s="11"/>
      <c r="E673" s="12"/>
      <c r="F673" s="12"/>
      <c r="G673" s="11"/>
      <c r="H673" s="12"/>
      <c r="I673" s="12"/>
      <c r="J673" s="12"/>
      <c r="K673" s="6"/>
      <c r="L673" s="6"/>
      <c r="M673" s="6"/>
      <c r="N673" s="6"/>
      <c r="O673" s="10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/>
      <c r="B674" s="7"/>
      <c r="C674" s="6"/>
      <c r="D674" s="11"/>
      <c r="E674" s="12"/>
      <c r="F674" s="12"/>
      <c r="G674" s="11"/>
      <c r="H674" s="12"/>
      <c r="I674" s="12"/>
      <c r="J674" s="12"/>
      <c r="K674" s="6"/>
      <c r="L674" s="6"/>
      <c r="M674" s="6"/>
      <c r="N674" s="6"/>
      <c r="O674" s="10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/>
      <c r="B675" s="7"/>
      <c r="C675" s="6"/>
      <c r="D675" s="11"/>
      <c r="E675" s="12"/>
      <c r="F675" s="12"/>
      <c r="G675" s="11"/>
      <c r="H675" s="12"/>
      <c r="I675" s="12"/>
      <c r="J675" s="12"/>
      <c r="K675" s="6"/>
      <c r="L675" s="6"/>
      <c r="M675" s="6"/>
      <c r="N675" s="6"/>
      <c r="O675" s="10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/>
      <c r="B676" s="7"/>
      <c r="C676" s="6"/>
      <c r="D676" s="11"/>
      <c r="E676" s="12"/>
      <c r="F676" s="12"/>
      <c r="G676" s="11"/>
      <c r="H676" s="12"/>
      <c r="I676" s="12"/>
      <c r="J676" s="12"/>
      <c r="K676" s="6"/>
      <c r="L676" s="6"/>
      <c r="M676" s="6"/>
      <c r="N676" s="6"/>
      <c r="O676" s="10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/>
      <c r="B677" s="7"/>
      <c r="C677" s="6"/>
      <c r="D677" s="11"/>
      <c r="E677" s="12"/>
      <c r="F677" s="12"/>
      <c r="G677" s="11"/>
      <c r="H677" s="12"/>
      <c r="I677" s="12"/>
      <c r="J677" s="12"/>
      <c r="K677" s="6"/>
      <c r="L677" s="6"/>
      <c r="M677" s="6"/>
      <c r="N677" s="6"/>
      <c r="O677" s="10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/>
      <c r="B678" s="7"/>
      <c r="C678" s="6"/>
      <c r="D678" s="11"/>
      <c r="E678" s="12"/>
      <c r="F678" s="12"/>
      <c r="G678" s="11"/>
      <c r="H678" s="12"/>
      <c r="I678" s="12"/>
      <c r="J678" s="12"/>
      <c r="K678" s="6"/>
      <c r="L678" s="6"/>
      <c r="M678" s="6"/>
      <c r="N678" s="6"/>
      <c r="O678" s="10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/>
      <c r="B679" s="7"/>
      <c r="C679" s="6"/>
      <c r="D679" s="11"/>
      <c r="E679" s="12"/>
      <c r="F679" s="12"/>
      <c r="G679" s="11"/>
      <c r="H679" s="12"/>
      <c r="I679" s="12"/>
      <c r="J679" s="12"/>
      <c r="K679" s="6"/>
      <c r="L679" s="6"/>
      <c r="M679" s="6"/>
      <c r="N679" s="6"/>
      <c r="O679" s="10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/>
      <c r="B680" s="7"/>
      <c r="C680" s="6"/>
      <c r="D680" s="11"/>
      <c r="E680" s="12"/>
      <c r="F680" s="12"/>
      <c r="G680" s="11"/>
      <c r="H680" s="12"/>
      <c r="I680" s="12"/>
      <c r="J680" s="12"/>
      <c r="K680" s="6"/>
      <c r="L680" s="6"/>
      <c r="M680" s="6"/>
      <c r="N680" s="6"/>
      <c r="O680" s="10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/>
      <c r="B681" s="7"/>
      <c r="C681" s="6"/>
      <c r="D681" s="11"/>
      <c r="E681" s="12"/>
      <c r="F681" s="12"/>
      <c r="G681" s="11"/>
      <c r="H681" s="12"/>
      <c r="I681" s="12"/>
      <c r="J681" s="12"/>
      <c r="K681" s="6"/>
      <c r="L681" s="6"/>
      <c r="M681" s="6"/>
      <c r="N681" s="6"/>
      <c r="O681" s="10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/>
      <c r="B682" s="7"/>
      <c r="C682" s="6"/>
      <c r="D682" s="11"/>
      <c r="E682" s="12"/>
      <c r="F682" s="12"/>
      <c r="G682" s="11"/>
      <c r="H682" s="12"/>
      <c r="I682" s="12"/>
      <c r="J682" s="12"/>
      <c r="K682" s="6"/>
      <c r="L682" s="6"/>
      <c r="M682" s="6"/>
      <c r="N682" s="6"/>
      <c r="O682" s="10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/>
      <c r="B683" s="7"/>
      <c r="C683" s="6"/>
      <c r="D683" s="11"/>
      <c r="E683" s="12"/>
      <c r="F683" s="12"/>
      <c r="G683" s="11"/>
      <c r="H683" s="12"/>
      <c r="I683" s="12"/>
      <c r="J683" s="12"/>
      <c r="K683" s="6"/>
      <c r="L683" s="6"/>
      <c r="M683" s="6"/>
      <c r="N683" s="6"/>
      <c r="O683" s="10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/>
      <c r="B684" s="7"/>
      <c r="C684" s="6"/>
      <c r="D684" s="11"/>
      <c r="E684" s="12"/>
      <c r="F684" s="12"/>
      <c r="G684" s="11"/>
      <c r="H684" s="12"/>
      <c r="I684" s="12"/>
      <c r="J684" s="12"/>
      <c r="K684" s="6"/>
      <c r="L684" s="6"/>
      <c r="M684" s="6"/>
      <c r="N684" s="6"/>
      <c r="O684" s="10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/>
      <c r="B685" s="7"/>
      <c r="C685" s="6"/>
      <c r="D685" s="11"/>
      <c r="E685" s="12"/>
      <c r="F685" s="12"/>
      <c r="G685" s="11"/>
      <c r="H685" s="12"/>
      <c r="I685" s="12"/>
      <c r="J685" s="12"/>
      <c r="K685" s="6"/>
      <c r="L685" s="6"/>
      <c r="M685" s="6"/>
      <c r="N685" s="6"/>
      <c r="O685" s="10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/>
      <c r="B686" s="7"/>
      <c r="C686" s="6"/>
      <c r="D686" s="11"/>
      <c r="E686" s="12"/>
      <c r="F686" s="12"/>
      <c r="G686" s="11"/>
      <c r="H686" s="12"/>
      <c r="I686" s="12"/>
      <c r="J686" s="12"/>
      <c r="K686" s="6"/>
      <c r="L686" s="6"/>
      <c r="M686" s="6"/>
      <c r="N686" s="6"/>
      <c r="O686" s="10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/>
      <c r="B687" s="7"/>
      <c r="C687" s="6"/>
      <c r="D687" s="11"/>
      <c r="E687" s="12"/>
      <c r="F687" s="12"/>
      <c r="G687" s="11"/>
      <c r="H687" s="12"/>
      <c r="I687" s="12"/>
      <c r="J687" s="12"/>
      <c r="K687" s="6"/>
      <c r="L687" s="6"/>
      <c r="M687" s="6"/>
      <c r="N687" s="6"/>
      <c r="O687" s="10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/>
      <c r="B688" s="7"/>
      <c r="C688" s="6"/>
      <c r="D688" s="11"/>
      <c r="E688" s="12"/>
      <c r="F688" s="12"/>
      <c r="G688" s="11"/>
      <c r="H688" s="12"/>
      <c r="I688" s="12"/>
      <c r="J688" s="12"/>
      <c r="K688" s="6"/>
      <c r="L688" s="6"/>
      <c r="M688" s="6"/>
      <c r="N688" s="6"/>
      <c r="O688" s="10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/>
      <c r="B689" s="7"/>
      <c r="C689" s="6"/>
      <c r="D689" s="11"/>
      <c r="E689" s="12"/>
      <c r="F689" s="12"/>
      <c r="G689" s="11"/>
      <c r="H689" s="12"/>
      <c r="I689" s="12"/>
      <c r="J689" s="12"/>
      <c r="K689" s="6"/>
      <c r="L689" s="6"/>
      <c r="M689" s="6"/>
      <c r="N689" s="6"/>
      <c r="O689" s="10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/>
      <c r="B690" s="7"/>
      <c r="C690" s="6"/>
      <c r="D690" s="11"/>
      <c r="E690" s="12"/>
      <c r="F690" s="12"/>
      <c r="G690" s="11"/>
      <c r="H690" s="12"/>
      <c r="I690" s="12"/>
      <c r="J690" s="12"/>
      <c r="K690" s="6"/>
      <c r="L690" s="6"/>
      <c r="M690" s="6"/>
      <c r="N690" s="6"/>
      <c r="O690" s="10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/>
      <c r="B691" s="7"/>
      <c r="C691" s="6"/>
      <c r="D691" s="11"/>
      <c r="E691" s="12"/>
      <c r="F691" s="12"/>
      <c r="G691" s="11"/>
      <c r="H691" s="12"/>
      <c r="I691" s="12"/>
      <c r="J691" s="12"/>
      <c r="K691" s="6"/>
      <c r="L691" s="6"/>
      <c r="M691" s="6"/>
      <c r="N691" s="6"/>
      <c r="O691" s="10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/>
      <c r="B692" s="7"/>
      <c r="C692" s="6"/>
      <c r="D692" s="11"/>
      <c r="E692" s="12"/>
      <c r="F692" s="12"/>
      <c r="G692" s="11"/>
      <c r="H692" s="12"/>
      <c r="I692" s="12"/>
      <c r="J692" s="12"/>
      <c r="K692" s="6"/>
      <c r="L692" s="6"/>
      <c r="M692" s="6"/>
      <c r="N692" s="6"/>
      <c r="O692" s="10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/>
      <c r="B693" s="7"/>
      <c r="C693" s="6"/>
      <c r="D693" s="11"/>
      <c r="E693" s="12"/>
      <c r="F693" s="12"/>
      <c r="G693" s="11"/>
      <c r="H693" s="12"/>
      <c r="I693" s="12"/>
      <c r="J693" s="12"/>
      <c r="K693" s="6"/>
      <c r="L693" s="6"/>
      <c r="M693" s="6"/>
      <c r="N693" s="6"/>
      <c r="O693" s="10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/>
      <c r="B694" s="7"/>
      <c r="C694" s="6"/>
      <c r="D694" s="11"/>
      <c r="E694" s="12"/>
      <c r="F694" s="12"/>
      <c r="G694" s="11"/>
      <c r="H694" s="12"/>
      <c r="I694" s="12"/>
      <c r="J694" s="12"/>
      <c r="K694" s="6"/>
      <c r="L694" s="6"/>
      <c r="M694" s="6"/>
      <c r="N694" s="6"/>
      <c r="O694" s="10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/>
      <c r="B695" s="7"/>
      <c r="C695" s="6"/>
      <c r="D695" s="11"/>
      <c r="E695" s="12"/>
      <c r="F695" s="12"/>
      <c r="G695" s="11"/>
      <c r="H695" s="12"/>
      <c r="I695" s="12"/>
      <c r="J695" s="12"/>
      <c r="K695" s="6"/>
      <c r="L695" s="6"/>
      <c r="M695" s="6"/>
      <c r="N695" s="6"/>
      <c r="O695" s="10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/>
      <c r="B696" s="7"/>
      <c r="C696" s="6"/>
      <c r="D696" s="11"/>
      <c r="E696" s="12"/>
      <c r="F696" s="12"/>
      <c r="G696" s="11"/>
      <c r="H696" s="12"/>
      <c r="I696" s="12"/>
      <c r="J696" s="12"/>
      <c r="K696" s="6"/>
      <c r="L696" s="6"/>
      <c r="M696" s="6"/>
      <c r="N696" s="6"/>
      <c r="O696" s="10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/>
      <c r="B697" s="7"/>
      <c r="C697" s="6"/>
      <c r="D697" s="11"/>
      <c r="E697" s="12"/>
      <c r="F697" s="12"/>
      <c r="G697" s="11"/>
      <c r="H697" s="12"/>
      <c r="I697" s="12"/>
      <c r="J697" s="12"/>
      <c r="K697" s="6"/>
      <c r="L697" s="6"/>
      <c r="M697" s="6"/>
      <c r="N697" s="6"/>
      <c r="O697" s="10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/>
      <c r="B698" s="7"/>
      <c r="C698" s="6"/>
      <c r="D698" s="11"/>
      <c r="E698" s="12"/>
      <c r="F698" s="12"/>
      <c r="G698" s="11"/>
      <c r="H698" s="12"/>
      <c r="I698" s="12"/>
      <c r="J698" s="12"/>
      <c r="K698" s="6"/>
      <c r="L698" s="6"/>
      <c r="M698" s="6"/>
      <c r="N698" s="6"/>
      <c r="O698" s="10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/>
      <c r="B699" s="7"/>
      <c r="C699" s="6"/>
      <c r="D699" s="11"/>
      <c r="E699" s="12"/>
      <c r="F699" s="12"/>
      <c r="G699" s="11"/>
      <c r="H699" s="12"/>
      <c r="I699" s="12"/>
      <c r="J699" s="12"/>
      <c r="K699" s="6"/>
      <c r="L699" s="6"/>
      <c r="M699" s="6"/>
      <c r="N699" s="6"/>
      <c r="O699" s="10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/>
      <c r="B700" s="7"/>
      <c r="C700" s="6"/>
      <c r="D700" s="11"/>
      <c r="E700" s="12"/>
      <c r="F700" s="12"/>
      <c r="G700" s="11"/>
      <c r="H700" s="12"/>
      <c r="I700" s="12"/>
      <c r="J700" s="12"/>
      <c r="K700" s="6"/>
      <c r="L700" s="6"/>
      <c r="M700" s="6"/>
      <c r="N700" s="6"/>
      <c r="O700" s="10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/>
      <c r="B701" s="7"/>
      <c r="C701" s="6"/>
      <c r="D701" s="11"/>
      <c r="E701" s="12"/>
      <c r="F701" s="12"/>
      <c r="G701" s="11"/>
      <c r="H701" s="12"/>
      <c r="I701" s="12"/>
      <c r="J701" s="12"/>
      <c r="K701" s="6"/>
      <c r="L701" s="6"/>
      <c r="M701" s="6"/>
      <c r="N701" s="6"/>
      <c r="O701" s="10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/>
      <c r="B702" s="7"/>
      <c r="C702" s="6"/>
      <c r="D702" s="11"/>
      <c r="E702" s="12"/>
      <c r="F702" s="12"/>
      <c r="G702" s="11"/>
      <c r="H702" s="12"/>
      <c r="I702" s="12"/>
      <c r="J702" s="12"/>
      <c r="K702" s="6"/>
      <c r="L702" s="6"/>
      <c r="M702" s="6"/>
      <c r="N702" s="6"/>
      <c r="O702" s="10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/>
      <c r="B703" s="7"/>
      <c r="C703" s="6"/>
      <c r="D703" s="11"/>
      <c r="E703" s="12"/>
      <c r="F703" s="12"/>
      <c r="G703" s="11"/>
      <c r="H703" s="12"/>
      <c r="I703" s="12"/>
      <c r="J703" s="12"/>
      <c r="K703" s="6"/>
      <c r="L703" s="6"/>
      <c r="M703" s="6"/>
      <c r="N703" s="6"/>
      <c r="O703" s="10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/>
      <c r="B704" s="7"/>
      <c r="C704" s="6"/>
      <c r="D704" s="11"/>
      <c r="E704" s="12"/>
      <c r="F704" s="12"/>
      <c r="G704" s="11"/>
      <c r="H704" s="12"/>
      <c r="I704" s="12"/>
      <c r="J704" s="12"/>
      <c r="K704" s="6"/>
      <c r="L704" s="6"/>
      <c r="M704" s="6"/>
      <c r="N704" s="6"/>
      <c r="O704" s="10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/>
      <c r="B705" s="7"/>
      <c r="C705" s="6"/>
      <c r="D705" s="11"/>
      <c r="E705" s="12"/>
      <c r="F705" s="12"/>
      <c r="G705" s="11"/>
      <c r="H705" s="12"/>
      <c r="I705" s="12"/>
      <c r="J705" s="12"/>
      <c r="K705" s="6"/>
      <c r="L705" s="6"/>
      <c r="M705" s="6"/>
      <c r="N705" s="6"/>
      <c r="O705" s="10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/>
      <c r="B706" s="7"/>
      <c r="C706" s="6"/>
      <c r="D706" s="11"/>
      <c r="E706" s="12"/>
      <c r="F706" s="12"/>
      <c r="G706" s="11"/>
      <c r="H706" s="12"/>
      <c r="I706" s="12"/>
      <c r="J706" s="12"/>
      <c r="K706" s="6"/>
      <c r="L706" s="6"/>
      <c r="M706" s="6"/>
      <c r="N706" s="6"/>
      <c r="O706" s="10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/>
      <c r="B707" s="7"/>
      <c r="C707" s="6"/>
      <c r="D707" s="11"/>
      <c r="E707" s="12"/>
      <c r="F707" s="12"/>
      <c r="G707" s="11"/>
      <c r="H707" s="12"/>
      <c r="I707" s="12"/>
      <c r="J707" s="12"/>
      <c r="K707" s="6"/>
      <c r="L707" s="6"/>
      <c r="M707" s="6"/>
      <c r="N707" s="6"/>
      <c r="O707" s="10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/>
      <c r="B708" s="7"/>
      <c r="C708" s="6"/>
      <c r="D708" s="11"/>
      <c r="E708" s="12"/>
      <c r="F708" s="12"/>
      <c r="G708" s="11"/>
      <c r="H708" s="12"/>
      <c r="I708" s="12"/>
      <c r="J708" s="12"/>
      <c r="K708" s="6"/>
      <c r="L708" s="6"/>
      <c r="M708" s="6"/>
      <c r="N708" s="6"/>
      <c r="O708" s="10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/>
      <c r="B709" s="7"/>
      <c r="C709" s="6"/>
      <c r="D709" s="11"/>
      <c r="E709" s="12"/>
      <c r="F709" s="12"/>
      <c r="G709" s="11"/>
      <c r="H709" s="12"/>
      <c r="I709" s="12"/>
      <c r="J709" s="12"/>
      <c r="K709" s="6"/>
      <c r="L709" s="6"/>
      <c r="M709" s="6"/>
      <c r="N709" s="6"/>
      <c r="O709" s="10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/>
      <c r="B710" s="7"/>
      <c r="C710" s="6"/>
      <c r="D710" s="11"/>
      <c r="E710" s="12"/>
      <c r="F710" s="12"/>
      <c r="G710" s="11"/>
      <c r="H710" s="12"/>
      <c r="I710" s="12"/>
      <c r="J710" s="12"/>
      <c r="K710" s="6"/>
      <c r="L710" s="6"/>
      <c r="M710" s="6"/>
      <c r="N710" s="6"/>
      <c r="O710" s="10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/>
      <c r="B711" s="7"/>
      <c r="C711" s="6"/>
      <c r="D711" s="11"/>
      <c r="E711" s="12"/>
      <c r="F711" s="12"/>
      <c r="G711" s="11"/>
      <c r="H711" s="12"/>
      <c r="I711" s="12"/>
      <c r="J711" s="12"/>
      <c r="K711" s="6"/>
      <c r="L711" s="6"/>
      <c r="M711" s="6"/>
      <c r="N711" s="6"/>
      <c r="O711" s="10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/>
      <c r="B712" s="7"/>
      <c r="C712" s="6"/>
      <c r="D712" s="11"/>
      <c r="E712" s="12"/>
      <c r="F712" s="12"/>
      <c r="G712" s="11"/>
      <c r="H712" s="12"/>
      <c r="I712" s="12"/>
      <c r="J712" s="12"/>
      <c r="K712" s="6"/>
      <c r="L712" s="6"/>
      <c r="M712" s="6"/>
      <c r="N712" s="6"/>
      <c r="O712" s="10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/>
      <c r="B713" s="7"/>
      <c r="C713" s="6"/>
      <c r="D713" s="11"/>
      <c r="E713" s="12"/>
      <c r="F713" s="12"/>
      <c r="G713" s="11"/>
      <c r="H713" s="12"/>
      <c r="I713" s="12"/>
      <c r="J713" s="12"/>
      <c r="K713" s="6"/>
      <c r="L713" s="6"/>
      <c r="M713" s="6"/>
      <c r="N713" s="6"/>
      <c r="O713" s="10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/>
      <c r="B714" s="7"/>
      <c r="C714" s="6"/>
      <c r="D714" s="11"/>
      <c r="E714" s="12"/>
      <c r="F714" s="12"/>
      <c r="G714" s="11"/>
      <c r="H714" s="12"/>
      <c r="I714" s="12"/>
      <c r="J714" s="12"/>
      <c r="K714" s="6"/>
      <c r="L714" s="6"/>
      <c r="M714" s="6"/>
      <c r="N714" s="6"/>
      <c r="O714" s="10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/>
      <c r="B715" s="7"/>
      <c r="C715" s="6"/>
      <c r="D715" s="11"/>
      <c r="E715" s="12"/>
      <c r="F715" s="12"/>
      <c r="G715" s="11"/>
      <c r="H715" s="12"/>
      <c r="I715" s="12"/>
      <c r="J715" s="12"/>
      <c r="K715" s="6"/>
      <c r="L715" s="6"/>
      <c r="M715" s="6"/>
      <c r="N715" s="6"/>
      <c r="O715" s="10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/>
      <c r="B716" s="7"/>
      <c r="C716" s="6"/>
      <c r="D716" s="11"/>
      <c r="E716" s="12"/>
      <c r="F716" s="12"/>
      <c r="G716" s="11"/>
      <c r="H716" s="12"/>
      <c r="I716" s="12"/>
      <c r="J716" s="12"/>
      <c r="K716" s="6"/>
      <c r="L716" s="6"/>
      <c r="M716" s="6"/>
      <c r="N716" s="6"/>
      <c r="O716" s="10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/>
      <c r="B717" s="7"/>
      <c r="C717" s="6"/>
      <c r="D717" s="11"/>
      <c r="E717" s="12"/>
      <c r="F717" s="12"/>
      <c r="G717" s="11"/>
      <c r="H717" s="12"/>
      <c r="I717" s="12"/>
      <c r="J717" s="12"/>
      <c r="K717" s="6"/>
      <c r="L717" s="6"/>
      <c r="M717" s="6"/>
      <c r="N717" s="6"/>
      <c r="O717" s="10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/>
      <c r="B718" s="7"/>
      <c r="C718" s="6"/>
      <c r="D718" s="11"/>
      <c r="E718" s="12"/>
      <c r="F718" s="12"/>
      <c r="G718" s="11"/>
      <c r="H718" s="12"/>
      <c r="I718" s="12"/>
      <c r="J718" s="12"/>
      <c r="K718" s="6"/>
      <c r="L718" s="6"/>
      <c r="M718" s="6"/>
      <c r="N718" s="6"/>
      <c r="O718" s="10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/>
      <c r="B719" s="7"/>
      <c r="C719" s="6"/>
      <c r="D719" s="11"/>
      <c r="E719" s="12"/>
      <c r="F719" s="12"/>
      <c r="G719" s="11"/>
      <c r="H719" s="12"/>
      <c r="I719" s="12"/>
      <c r="J719" s="12"/>
      <c r="K719" s="6"/>
      <c r="L719" s="6"/>
      <c r="M719" s="6"/>
      <c r="N719" s="6"/>
      <c r="O719" s="10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/>
      <c r="B720" s="7"/>
      <c r="C720" s="6"/>
      <c r="D720" s="11"/>
      <c r="E720" s="12"/>
      <c r="F720" s="12"/>
      <c r="G720" s="11"/>
      <c r="H720" s="12"/>
      <c r="I720" s="12"/>
      <c r="J720" s="12"/>
      <c r="K720" s="6"/>
      <c r="L720" s="6"/>
      <c r="M720" s="6"/>
      <c r="N720" s="6"/>
      <c r="O720" s="10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/>
      <c r="B721" s="7"/>
      <c r="C721" s="6"/>
      <c r="D721" s="11"/>
      <c r="E721" s="12"/>
      <c r="F721" s="12"/>
      <c r="G721" s="11"/>
      <c r="H721" s="12"/>
      <c r="I721" s="12"/>
      <c r="J721" s="12"/>
      <c r="K721" s="6"/>
      <c r="L721" s="6"/>
      <c r="M721" s="6"/>
      <c r="N721" s="6"/>
      <c r="O721" s="10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/>
      <c r="B722" s="7"/>
      <c r="C722" s="6"/>
      <c r="D722" s="11"/>
      <c r="E722" s="12"/>
      <c r="F722" s="12"/>
      <c r="G722" s="11"/>
      <c r="H722" s="12"/>
      <c r="I722" s="12"/>
      <c r="J722" s="12"/>
      <c r="K722" s="6"/>
      <c r="L722" s="6"/>
      <c r="M722" s="6"/>
      <c r="N722" s="6"/>
      <c r="O722" s="10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/>
      <c r="B723" s="7"/>
      <c r="C723" s="6"/>
      <c r="D723" s="11"/>
      <c r="E723" s="12"/>
      <c r="F723" s="12"/>
      <c r="G723" s="11"/>
      <c r="H723" s="12"/>
      <c r="I723" s="12"/>
      <c r="J723" s="12"/>
      <c r="K723" s="6"/>
      <c r="L723" s="6"/>
      <c r="M723" s="6"/>
      <c r="N723" s="6"/>
      <c r="O723" s="10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/>
      <c r="B724" s="7"/>
      <c r="C724" s="6"/>
      <c r="D724" s="11"/>
      <c r="E724" s="12"/>
      <c r="F724" s="12"/>
      <c r="G724" s="11"/>
      <c r="H724" s="12"/>
      <c r="I724" s="12"/>
      <c r="J724" s="12"/>
      <c r="K724" s="6"/>
      <c r="L724" s="6"/>
      <c r="M724" s="6"/>
      <c r="N724" s="6"/>
      <c r="O724" s="10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/>
      <c r="B725" s="7"/>
      <c r="C725" s="6"/>
      <c r="D725" s="11"/>
      <c r="E725" s="12"/>
      <c r="F725" s="12"/>
      <c r="G725" s="11"/>
      <c r="H725" s="12"/>
      <c r="I725" s="12"/>
      <c r="J725" s="12"/>
      <c r="K725" s="6"/>
      <c r="L725" s="6"/>
      <c r="M725" s="6"/>
      <c r="N725" s="6"/>
      <c r="O725" s="10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/>
      <c r="B726" s="7"/>
      <c r="C726" s="6"/>
      <c r="D726" s="11"/>
      <c r="E726" s="12"/>
      <c r="F726" s="12"/>
      <c r="G726" s="11"/>
      <c r="H726" s="12"/>
      <c r="I726" s="12"/>
      <c r="J726" s="12"/>
      <c r="K726" s="6"/>
      <c r="L726" s="6"/>
      <c r="M726" s="6"/>
      <c r="N726" s="6"/>
      <c r="O726" s="10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/>
      <c r="B727" s="7"/>
      <c r="C727" s="6"/>
      <c r="D727" s="11"/>
      <c r="E727" s="12"/>
      <c r="F727" s="12"/>
      <c r="G727" s="11"/>
      <c r="H727" s="12"/>
      <c r="I727" s="12"/>
      <c r="J727" s="12"/>
      <c r="K727" s="6"/>
      <c r="L727" s="6"/>
      <c r="M727" s="6"/>
      <c r="N727" s="6"/>
      <c r="O727" s="10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/>
      <c r="B728" s="7"/>
      <c r="C728" s="6"/>
      <c r="D728" s="11"/>
      <c r="E728" s="12"/>
      <c r="F728" s="12"/>
      <c r="G728" s="11"/>
      <c r="H728" s="12"/>
      <c r="I728" s="12"/>
      <c r="J728" s="12"/>
      <c r="K728" s="6"/>
      <c r="L728" s="6"/>
      <c r="M728" s="6"/>
      <c r="N728" s="6"/>
      <c r="O728" s="10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/>
      <c r="B729" s="7"/>
      <c r="C729" s="6"/>
      <c r="D729" s="11"/>
      <c r="E729" s="12"/>
      <c r="F729" s="12"/>
      <c r="G729" s="11"/>
      <c r="H729" s="12"/>
      <c r="I729" s="12"/>
      <c r="J729" s="12"/>
      <c r="K729" s="6"/>
      <c r="L729" s="6"/>
      <c r="M729" s="6"/>
      <c r="N729" s="6"/>
      <c r="O729" s="10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/>
      <c r="B730" s="7"/>
      <c r="C730" s="6"/>
      <c r="D730" s="11"/>
      <c r="E730" s="12"/>
      <c r="F730" s="12"/>
      <c r="G730" s="11"/>
      <c r="H730" s="12"/>
      <c r="I730" s="12"/>
      <c r="J730" s="12"/>
      <c r="K730" s="6"/>
      <c r="L730" s="6"/>
      <c r="M730" s="6"/>
      <c r="N730" s="6"/>
      <c r="O730" s="10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/>
      <c r="B731" s="7"/>
      <c r="C731" s="6"/>
      <c r="D731" s="11"/>
      <c r="E731" s="12"/>
      <c r="F731" s="12"/>
      <c r="G731" s="11"/>
      <c r="H731" s="12"/>
      <c r="I731" s="12"/>
      <c r="J731" s="12"/>
      <c r="K731" s="6"/>
      <c r="L731" s="6"/>
      <c r="M731" s="6"/>
      <c r="N731" s="6"/>
      <c r="O731" s="10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/>
      <c r="B732" s="7"/>
      <c r="C732" s="6"/>
      <c r="D732" s="11"/>
      <c r="E732" s="12"/>
      <c r="F732" s="12"/>
      <c r="G732" s="11"/>
      <c r="H732" s="12"/>
      <c r="I732" s="12"/>
      <c r="J732" s="12"/>
      <c r="K732" s="6"/>
      <c r="L732" s="6"/>
      <c r="M732" s="6"/>
      <c r="N732" s="6"/>
      <c r="O732" s="10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/>
      <c r="B733" s="7"/>
      <c r="C733" s="6"/>
      <c r="D733" s="11"/>
      <c r="E733" s="12"/>
      <c r="F733" s="12"/>
      <c r="G733" s="11"/>
      <c r="H733" s="12"/>
      <c r="I733" s="12"/>
      <c r="J733" s="12"/>
      <c r="K733" s="6"/>
      <c r="L733" s="6"/>
      <c r="M733" s="6"/>
      <c r="N733" s="6"/>
      <c r="O733" s="10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/>
      <c r="B734" s="7"/>
      <c r="C734" s="6"/>
      <c r="D734" s="11"/>
      <c r="E734" s="12"/>
      <c r="F734" s="12"/>
      <c r="G734" s="11"/>
      <c r="H734" s="12"/>
      <c r="I734" s="12"/>
      <c r="J734" s="12"/>
      <c r="K734" s="6"/>
      <c r="L734" s="6"/>
      <c r="M734" s="6"/>
      <c r="N734" s="6"/>
      <c r="O734" s="10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/>
      <c r="B735" s="7"/>
      <c r="C735" s="6"/>
      <c r="D735" s="11"/>
      <c r="E735" s="12"/>
      <c r="F735" s="12"/>
      <c r="G735" s="11"/>
      <c r="H735" s="12"/>
      <c r="I735" s="12"/>
      <c r="J735" s="12"/>
      <c r="K735" s="6"/>
      <c r="L735" s="6"/>
      <c r="M735" s="6"/>
      <c r="N735" s="6"/>
      <c r="O735" s="10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/>
      <c r="B736" s="7"/>
      <c r="C736" s="6"/>
      <c r="D736" s="11"/>
      <c r="E736" s="12"/>
      <c r="F736" s="12"/>
      <c r="G736" s="11"/>
      <c r="H736" s="12"/>
      <c r="I736" s="12"/>
      <c r="J736" s="12"/>
      <c r="K736" s="6"/>
      <c r="L736" s="6"/>
      <c r="M736" s="6"/>
      <c r="N736" s="6"/>
      <c r="O736" s="10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/>
      <c r="B737" s="7"/>
      <c r="C737" s="6"/>
      <c r="D737" s="11"/>
      <c r="E737" s="12"/>
      <c r="F737" s="12"/>
      <c r="G737" s="11"/>
      <c r="H737" s="12"/>
      <c r="I737" s="12"/>
      <c r="J737" s="12"/>
      <c r="K737" s="6"/>
      <c r="L737" s="6"/>
      <c r="M737" s="6"/>
      <c r="N737" s="6"/>
      <c r="O737" s="10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/>
      <c r="B738" s="7"/>
      <c r="C738" s="6"/>
      <c r="D738" s="11"/>
      <c r="E738" s="12"/>
      <c r="F738" s="12"/>
      <c r="G738" s="11"/>
      <c r="H738" s="12"/>
      <c r="I738" s="12"/>
      <c r="J738" s="12"/>
      <c r="K738" s="6"/>
      <c r="L738" s="6"/>
      <c r="M738" s="6"/>
      <c r="N738" s="6"/>
      <c r="O738" s="10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/>
      <c r="B739" s="7"/>
      <c r="C739" s="6"/>
      <c r="D739" s="11"/>
      <c r="E739" s="12"/>
      <c r="F739" s="12"/>
      <c r="G739" s="11"/>
      <c r="H739" s="12"/>
      <c r="I739" s="12"/>
      <c r="J739" s="12"/>
      <c r="K739" s="6"/>
      <c r="L739" s="6"/>
      <c r="M739" s="6"/>
      <c r="N739" s="6"/>
      <c r="O739" s="10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/>
      <c r="B740" s="7"/>
      <c r="C740" s="6"/>
      <c r="D740" s="11"/>
      <c r="E740" s="12"/>
      <c r="F740" s="12"/>
      <c r="G740" s="11"/>
      <c r="H740" s="12"/>
      <c r="I740" s="12"/>
      <c r="J740" s="12"/>
      <c r="K740" s="6"/>
      <c r="L740" s="6"/>
      <c r="M740" s="6"/>
      <c r="N740" s="6"/>
      <c r="O740" s="10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/>
      <c r="B741" s="7"/>
      <c r="C741" s="6"/>
      <c r="D741" s="11"/>
      <c r="E741" s="12"/>
      <c r="F741" s="12"/>
      <c r="G741" s="11"/>
      <c r="H741" s="12"/>
      <c r="I741" s="12"/>
      <c r="J741" s="12"/>
      <c r="K741" s="6"/>
      <c r="L741" s="6"/>
      <c r="M741" s="6"/>
      <c r="N741" s="6"/>
      <c r="O741" s="10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/>
      <c r="B742" s="7"/>
      <c r="C742" s="6"/>
      <c r="D742" s="11"/>
      <c r="E742" s="12"/>
      <c r="F742" s="12"/>
      <c r="G742" s="11"/>
      <c r="H742" s="12"/>
      <c r="I742" s="12"/>
      <c r="J742" s="12"/>
      <c r="K742" s="6"/>
      <c r="L742" s="6"/>
      <c r="M742" s="6"/>
      <c r="N742" s="6"/>
      <c r="O742" s="10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/>
      <c r="B743" s="7"/>
      <c r="C743" s="6"/>
      <c r="D743" s="11"/>
      <c r="E743" s="12"/>
      <c r="F743" s="12"/>
      <c r="G743" s="11"/>
      <c r="H743" s="12"/>
      <c r="I743" s="12"/>
      <c r="J743" s="12"/>
      <c r="K743" s="6"/>
      <c r="L743" s="6"/>
      <c r="M743" s="6"/>
      <c r="N743" s="6"/>
      <c r="O743" s="10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/>
      <c r="B744" s="7"/>
      <c r="C744" s="6"/>
      <c r="D744" s="11"/>
      <c r="E744" s="12"/>
      <c r="F744" s="12"/>
      <c r="G744" s="11"/>
      <c r="H744" s="12"/>
      <c r="I744" s="12"/>
      <c r="J744" s="12"/>
      <c r="K744" s="6"/>
      <c r="L744" s="6"/>
      <c r="M744" s="6"/>
      <c r="N744" s="6"/>
      <c r="O744" s="10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/>
      <c r="B745" s="7"/>
      <c r="C745" s="6"/>
      <c r="D745" s="11"/>
      <c r="E745" s="12"/>
      <c r="F745" s="12"/>
      <c r="G745" s="11"/>
      <c r="H745" s="12"/>
      <c r="I745" s="12"/>
      <c r="J745" s="12"/>
      <c r="K745" s="6"/>
      <c r="L745" s="6"/>
      <c r="M745" s="6"/>
      <c r="N745" s="6"/>
      <c r="O745" s="10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/>
      <c r="B746" s="7"/>
      <c r="C746" s="6"/>
      <c r="D746" s="11"/>
      <c r="E746" s="12"/>
      <c r="F746" s="12"/>
      <c r="G746" s="11"/>
      <c r="H746" s="12"/>
      <c r="I746" s="12"/>
      <c r="J746" s="12"/>
      <c r="K746" s="6"/>
      <c r="L746" s="6"/>
      <c r="M746" s="6"/>
      <c r="N746" s="6"/>
      <c r="O746" s="10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/>
      <c r="B747" s="7"/>
      <c r="C747" s="6"/>
      <c r="D747" s="11"/>
      <c r="E747" s="12"/>
      <c r="F747" s="12"/>
      <c r="G747" s="11"/>
      <c r="H747" s="12"/>
      <c r="I747" s="12"/>
      <c r="J747" s="12"/>
      <c r="K747" s="6"/>
      <c r="L747" s="6"/>
      <c r="M747" s="6"/>
      <c r="N747" s="6"/>
      <c r="O747" s="10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/>
      <c r="B748" s="7"/>
      <c r="C748" s="6"/>
      <c r="D748" s="11"/>
      <c r="E748" s="12"/>
      <c r="F748" s="12"/>
      <c r="G748" s="11"/>
      <c r="H748" s="12"/>
      <c r="I748" s="12"/>
      <c r="J748" s="12"/>
      <c r="K748" s="6"/>
      <c r="L748" s="6"/>
      <c r="M748" s="6"/>
      <c r="N748" s="6"/>
      <c r="O748" s="10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/>
      <c r="B749" s="7"/>
      <c r="C749" s="6"/>
      <c r="D749" s="11"/>
      <c r="E749" s="12"/>
      <c r="F749" s="12"/>
      <c r="G749" s="11"/>
      <c r="H749" s="12"/>
      <c r="I749" s="12"/>
      <c r="J749" s="12"/>
      <c r="K749" s="6"/>
      <c r="L749" s="6"/>
      <c r="M749" s="6"/>
      <c r="N749" s="6"/>
      <c r="O749" s="10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/>
      <c r="B750" s="7"/>
      <c r="C750" s="6"/>
      <c r="D750" s="11"/>
      <c r="E750" s="12"/>
      <c r="F750" s="12"/>
      <c r="G750" s="11"/>
      <c r="H750" s="12"/>
      <c r="I750" s="12"/>
      <c r="J750" s="12"/>
      <c r="K750" s="6"/>
      <c r="L750" s="6"/>
      <c r="M750" s="6"/>
      <c r="N750" s="6"/>
      <c r="O750" s="10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/>
      <c r="B751" s="7"/>
      <c r="C751" s="6"/>
      <c r="D751" s="11"/>
      <c r="E751" s="12"/>
      <c r="F751" s="12"/>
      <c r="G751" s="11"/>
      <c r="H751" s="12"/>
      <c r="I751" s="12"/>
      <c r="J751" s="12"/>
      <c r="K751" s="6"/>
      <c r="L751" s="6"/>
      <c r="M751" s="6"/>
      <c r="N751" s="6"/>
      <c r="O751" s="10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/>
      <c r="B752" s="7"/>
      <c r="C752" s="6"/>
      <c r="D752" s="11"/>
      <c r="E752" s="12"/>
      <c r="F752" s="12"/>
      <c r="G752" s="11"/>
      <c r="H752" s="12"/>
      <c r="I752" s="12"/>
      <c r="J752" s="12"/>
      <c r="K752" s="6"/>
      <c r="L752" s="6"/>
      <c r="M752" s="6"/>
      <c r="N752" s="6"/>
      <c r="O752" s="10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/>
      <c r="B753" s="7"/>
      <c r="C753" s="6"/>
      <c r="D753" s="11"/>
      <c r="E753" s="12"/>
      <c r="F753" s="12"/>
      <c r="G753" s="11"/>
      <c r="H753" s="12"/>
      <c r="I753" s="12"/>
      <c r="J753" s="12"/>
      <c r="K753" s="6"/>
      <c r="L753" s="6"/>
      <c r="M753" s="6"/>
      <c r="N753" s="6"/>
      <c r="O753" s="10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/>
      <c r="B754" s="7"/>
      <c r="C754" s="6"/>
      <c r="D754" s="11"/>
      <c r="E754" s="12"/>
      <c r="F754" s="12"/>
      <c r="G754" s="11"/>
      <c r="H754" s="12"/>
      <c r="I754" s="12"/>
      <c r="J754" s="12"/>
      <c r="K754" s="6"/>
      <c r="L754" s="6"/>
      <c r="M754" s="6"/>
      <c r="N754" s="6"/>
      <c r="O754" s="10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/>
      <c r="B755" s="7"/>
      <c r="C755" s="6"/>
      <c r="D755" s="11"/>
      <c r="E755" s="12"/>
      <c r="F755" s="12"/>
      <c r="G755" s="11"/>
      <c r="H755" s="12"/>
      <c r="I755" s="12"/>
      <c r="J755" s="12"/>
      <c r="K755" s="6"/>
      <c r="L755" s="6"/>
      <c r="M755" s="6"/>
      <c r="N755" s="6"/>
      <c r="O755" s="10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/>
      <c r="B756" s="7"/>
      <c r="C756" s="6"/>
      <c r="D756" s="11"/>
      <c r="E756" s="12"/>
      <c r="F756" s="12"/>
      <c r="G756" s="11"/>
      <c r="H756" s="12"/>
      <c r="I756" s="12"/>
      <c r="J756" s="12"/>
      <c r="K756" s="6"/>
      <c r="L756" s="6"/>
      <c r="M756" s="6"/>
      <c r="N756" s="6"/>
      <c r="O756" s="10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/>
      <c r="B757" s="7"/>
      <c r="C757" s="6"/>
      <c r="D757" s="11"/>
      <c r="E757" s="12"/>
      <c r="F757" s="12"/>
      <c r="G757" s="11"/>
      <c r="H757" s="12"/>
      <c r="I757" s="12"/>
      <c r="J757" s="12"/>
      <c r="K757" s="6"/>
      <c r="L757" s="6"/>
      <c r="M757" s="6"/>
      <c r="N757" s="6"/>
      <c r="O757" s="10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/>
      <c r="B758" s="7"/>
      <c r="C758" s="6"/>
      <c r="D758" s="11"/>
      <c r="E758" s="12"/>
      <c r="F758" s="12"/>
      <c r="G758" s="11"/>
      <c r="H758" s="12"/>
      <c r="I758" s="12"/>
      <c r="J758" s="12"/>
      <c r="K758" s="6"/>
      <c r="L758" s="6"/>
      <c r="M758" s="6"/>
      <c r="N758" s="6"/>
      <c r="O758" s="10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/>
      <c r="B759" s="7"/>
      <c r="C759" s="6"/>
      <c r="D759" s="11"/>
      <c r="E759" s="12"/>
      <c r="F759" s="12"/>
      <c r="G759" s="11"/>
      <c r="H759" s="12"/>
      <c r="I759" s="12"/>
      <c r="J759" s="12"/>
      <c r="K759" s="6"/>
      <c r="L759" s="6"/>
      <c r="M759" s="6"/>
      <c r="N759" s="6"/>
      <c r="O759" s="10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/>
      <c r="B760" s="7"/>
      <c r="C760" s="6"/>
      <c r="D760" s="11"/>
      <c r="E760" s="12"/>
      <c r="F760" s="12"/>
      <c r="G760" s="11"/>
      <c r="H760" s="12"/>
      <c r="I760" s="12"/>
      <c r="J760" s="12"/>
      <c r="K760" s="6"/>
      <c r="L760" s="6"/>
      <c r="M760" s="6"/>
      <c r="N760" s="6"/>
      <c r="O760" s="10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/>
      <c r="B761" s="7"/>
      <c r="C761" s="6"/>
      <c r="D761" s="11"/>
      <c r="E761" s="12"/>
      <c r="F761" s="12"/>
      <c r="G761" s="11"/>
      <c r="H761" s="12"/>
      <c r="I761" s="12"/>
      <c r="J761" s="12"/>
      <c r="K761" s="6"/>
      <c r="L761" s="6"/>
      <c r="M761" s="6"/>
      <c r="N761" s="6"/>
      <c r="O761" s="10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/>
      <c r="B762" s="7"/>
      <c r="C762" s="6"/>
      <c r="D762" s="11"/>
      <c r="E762" s="12"/>
      <c r="F762" s="12"/>
      <c r="G762" s="11"/>
      <c r="H762" s="12"/>
      <c r="I762" s="12"/>
      <c r="J762" s="12"/>
      <c r="K762" s="6"/>
      <c r="L762" s="6"/>
      <c r="M762" s="6"/>
      <c r="N762" s="6"/>
      <c r="O762" s="10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/>
      <c r="B763" s="7"/>
      <c r="C763" s="6"/>
      <c r="D763" s="11"/>
      <c r="E763" s="12"/>
      <c r="F763" s="12"/>
      <c r="G763" s="11"/>
      <c r="H763" s="12"/>
      <c r="I763" s="12"/>
      <c r="J763" s="12"/>
      <c r="K763" s="6"/>
      <c r="L763" s="6"/>
      <c r="M763" s="6"/>
      <c r="N763" s="6"/>
      <c r="O763" s="10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/>
      <c r="B764" s="7"/>
      <c r="C764" s="6"/>
      <c r="D764" s="11"/>
      <c r="E764" s="12"/>
      <c r="F764" s="12"/>
      <c r="G764" s="11"/>
      <c r="H764" s="12"/>
      <c r="I764" s="12"/>
      <c r="J764" s="12"/>
      <c r="K764" s="6"/>
      <c r="L764" s="6"/>
      <c r="M764" s="6"/>
      <c r="N764" s="6"/>
      <c r="O764" s="10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/>
      <c r="B765" s="7"/>
      <c r="C765" s="6"/>
      <c r="D765" s="11"/>
      <c r="E765" s="12"/>
      <c r="F765" s="12"/>
      <c r="G765" s="11"/>
      <c r="H765" s="12"/>
      <c r="I765" s="12"/>
      <c r="J765" s="12"/>
      <c r="K765" s="6"/>
      <c r="L765" s="6"/>
      <c r="M765" s="6"/>
      <c r="N765" s="6"/>
      <c r="O765" s="10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/>
      <c r="B766" s="7"/>
      <c r="C766" s="6"/>
      <c r="D766" s="11"/>
      <c r="E766" s="12"/>
      <c r="F766" s="12"/>
      <c r="G766" s="11"/>
      <c r="H766" s="12"/>
      <c r="I766" s="12"/>
      <c r="J766" s="12"/>
      <c r="K766" s="6"/>
      <c r="L766" s="6"/>
      <c r="M766" s="6"/>
      <c r="N766" s="6"/>
      <c r="O766" s="10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/>
      <c r="B767" s="7"/>
      <c r="C767" s="6"/>
      <c r="D767" s="11"/>
      <c r="E767" s="12"/>
      <c r="F767" s="12"/>
      <c r="G767" s="11"/>
      <c r="H767" s="12"/>
      <c r="I767" s="12"/>
      <c r="J767" s="12"/>
      <c r="K767" s="6"/>
      <c r="L767" s="6"/>
      <c r="M767" s="6"/>
      <c r="N767" s="6"/>
      <c r="O767" s="10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/>
      <c r="B768" s="7"/>
      <c r="C768" s="6"/>
      <c r="D768" s="11"/>
      <c r="E768" s="12"/>
      <c r="F768" s="12"/>
      <c r="G768" s="11"/>
      <c r="H768" s="12"/>
      <c r="I768" s="12"/>
      <c r="J768" s="12"/>
      <c r="K768" s="6"/>
      <c r="L768" s="6"/>
      <c r="M768" s="6"/>
      <c r="N768" s="6"/>
      <c r="O768" s="10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/>
      <c r="B769" s="7"/>
      <c r="C769" s="6"/>
      <c r="D769" s="11"/>
      <c r="E769" s="12"/>
      <c r="F769" s="12"/>
      <c r="G769" s="11"/>
      <c r="H769" s="12"/>
      <c r="I769" s="12"/>
      <c r="J769" s="12"/>
      <c r="K769" s="6"/>
      <c r="L769" s="6"/>
      <c r="M769" s="6"/>
      <c r="N769" s="6"/>
      <c r="O769" s="10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/>
      <c r="B770" s="7"/>
      <c r="C770" s="6"/>
      <c r="D770" s="11"/>
      <c r="E770" s="12"/>
      <c r="F770" s="12"/>
      <c r="G770" s="11"/>
      <c r="H770" s="12"/>
      <c r="I770" s="12"/>
      <c r="J770" s="12"/>
      <c r="K770" s="6"/>
      <c r="L770" s="6"/>
      <c r="M770" s="6"/>
      <c r="N770" s="6"/>
      <c r="O770" s="10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/>
      <c r="B771" s="7"/>
      <c r="C771" s="6"/>
      <c r="D771" s="11"/>
      <c r="E771" s="12"/>
      <c r="F771" s="12"/>
      <c r="G771" s="11"/>
      <c r="H771" s="12"/>
      <c r="I771" s="12"/>
      <c r="J771" s="12"/>
      <c r="K771" s="6"/>
      <c r="L771" s="6"/>
      <c r="M771" s="6"/>
      <c r="N771" s="6"/>
      <c r="O771" s="10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/>
      <c r="B772" s="7"/>
      <c r="C772" s="6"/>
      <c r="D772" s="11"/>
      <c r="E772" s="12"/>
      <c r="F772" s="12"/>
      <c r="G772" s="11"/>
      <c r="H772" s="12"/>
      <c r="I772" s="12"/>
      <c r="J772" s="12"/>
      <c r="K772" s="6"/>
      <c r="L772" s="6"/>
      <c r="M772" s="6"/>
      <c r="N772" s="6"/>
      <c r="O772" s="10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/>
      <c r="B773" s="7"/>
      <c r="C773" s="6"/>
      <c r="D773" s="11"/>
      <c r="E773" s="12"/>
      <c r="F773" s="12"/>
      <c r="G773" s="11"/>
      <c r="H773" s="12"/>
      <c r="I773" s="12"/>
      <c r="J773" s="12"/>
      <c r="K773" s="6"/>
      <c r="L773" s="6"/>
      <c r="M773" s="6"/>
      <c r="N773" s="6"/>
      <c r="O773" s="10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/>
      <c r="B774" s="7"/>
      <c r="C774" s="6"/>
      <c r="D774" s="11"/>
      <c r="E774" s="12"/>
      <c r="F774" s="12"/>
      <c r="G774" s="11"/>
      <c r="H774" s="12"/>
      <c r="I774" s="12"/>
      <c r="J774" s="12"/>
      <c r="K774" s="6"/>
      <c r="L774" s="6"/>
      <c r="M774" s="6"/>
      <c r="N774" s="6"/>
      <c r="O774" s="10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/>
      <c r="B775" s="7"/>
      <c r="C775" s="6"/>
      <c r="D775" s="11"/>
      <c r="E775" s="12"/>
      <c r="F775" s="12"/>
      <c r="G775" s="11"/>
      <c r="H775" s="12"/>
      <c r="I775" s="12"/>
      <c r="J775" s="12"/>
      <c r="K775" s="6"/>
      <c r="L775" s="6"/>
      <c r="M775" s="6"/>
      <c r="N775" s="6"/>
      <c r="O775" s="10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/>
      <c r="B776" s="7"/>
      <c r="C776" s="6"/>
      <c r="D776" s="11"/>
      <c r="E776" s="12"/>
      <c r="F776" s="12"/>
      <c r="G776" s="11"/>
      <c r="H776" s="12"/>
      <c r="I776" s="12"/>
      <c r="J776" s="12"/>
      <c r="K776" s="6"/>
      <c r="L776" s="6"/>
      <c r="M776" s="6"/>
      <c r="N776" s="6"/>
      <c r="O776" s="10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/>
      <c r="B777" s="7"/>
      <c r="C777" s="6"/>
      <c r="D777" s="11"/>
      <c r="E777" s="12"/>
      <c r="F777" s="12"/>
      <c r="G777" s="11"/>
      <c r="H777" s="12"/>
      <c r="I777" s="12"/>
      <c r="J777" s="12"/>
      <c r="K777" s="6"/>
      <c r="L777" s="6"/>
      <c r="M777" s="6"/>
      <c r="N777" s="6"/>
      <c r="O777" s="10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/>
      <c r="B778" s="7"/>
      <c r="C778" s="6"/>
      <c r="D778" s="11"/>
      <c r="E778" s="12"/>
      <c r="F778" s="12"/>
      <c r="G778" s="11"/>
      <c r="H778" s="12"/>
      <c r="I778" s="12"/>
      <c r="J778" s="12"/>
      <c r="K778" s="6"/>
      <c r="L778" s="6"/>
      <c r="M778" s="6"/>
      <c r="N778" s="6"/>
      <c r="O778" s="10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/>
      <c r="B779" s="7"/>
      <c r="C779" s="6"/>
      <c r="D779" s="11"/>
      <c r="E779" s="12"/>
      <c r="F779" s="12"/>
      <c r="G779" s="11"/>
      <c r="H779" s="12"/>
      <c r="I779" s="12"/>
      <c r="J779" s="12"/>
      <c r="K779" s="6"/>
      <c r="L779" s="6"/>
      <c r="M779" s="6"/>
      <c r="N779" s="6"/>
      <c r="O779" s="10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/>
      <c r="B780" s="7"/>
      <c r="C780" s="6"/>
      <c r="D780" s="11"/>
      <c r="E780" s="12"/>
      <c r="F780" s="12"/>
      <c r="G780" s="11"/>
      <c r="H780" s="12"/>
      <c r="I780" s="12"/>
      <c r="J780" s="12"/>
      <c r="K780" s="6"/>
      <c r="L780" s="6"/>
      <c r="M780" s="6"/>
      <c r="N780" s="6"/>
      <c r="O780" s="10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/>
      <c r="B781" s="7"/>
      <c r="C781" s="6"/>
      <c r="D781" s="11"/>
      <c r="E781" s="12"/>
      <c r="F781" s="12"/>
      <c r="G781" s="11"/>
      <c r="H781" s="12"/>
      <c r="I781" s="12"/>
      <c r="J781" s="12"/>
      <c r="K781" s="6"/>
      <c r="L781" s="6"/>
      <c r="M781" s="6"/>
      <c r="N781" s="6"/>
      <c r="O781" s="10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/>
      <c r="B782" s="7"/>
      <c r="C782" s="6"/>
      <c r="D782" s="11"/>
      <c r="E782" s="12"/>
      <c r="F782" s="12"/>
      <c r="G782" s="11"/>
      <c r="H782" s="12"/>
      <c r="I782" s="12"/>
      <c r="J782" s="12"/>
      <c r="K782" s="6"/>
      <c r="L782" s="6"/>
      <c r="M782" s="6"/>
      <c r="N782" s="6"/>
      <c r="O782" s="10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/>
      <c r="B783" s="7"/>
      <c r="C783" s="6"/>
      <c r="D783" s="11"/>
      <c r="E783" s="12"/>
      <c r="F783" s="12"/>
      <c r="G783" s="11"/>
      <c r="H783" s="12"/>
      <c r="I783" s="12"/>
      <c r="J783" s="12"/>
      <c r="K783" s="6"/>
      <c r="L783" s="6"/>
      <c r="M783" s="6"/>
      <c r="N783" s="6"/>
      <c r="O783" s="10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/>
      <c r="B784" s="7"/>
      <c r="C784" s="6"/>
      <c r="D784" s="11"/>
      <c r="E784" s="12"/>
      <c r="F784" s="12"/>
      <c r="G784" s="11"/>
      <c r="H784" s="12"/>
      <c r="I784" s="12"/>
      <c r="J784" s="12"/>
      <c r="K784" s="6"/>
      <c r="L784" s="6"/>
      <c r="M784" s="6"/>
      <c r="N784" s="6"/>
      <c r="O784" s="10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/>
      <c r="B785" s="7"/>
      <c r="C785" s="6"/>
      <c r="D785" s="11"/>
      <c r="E785" s="12"/>
      <c r="F785" s="12"/>
      <c r="G785" s="11"/>
      <c r="H785" s="12"/>
      <c r="I785" s="12"/>
      <c r="J785" s="12"/>
      <c r="K785" s="6"/>
      <c r="L785" s="6"/>
      <c r="M785" s="6"/>
      <c r="N785" s="6"/>
      <c r="O785" s="10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/>
      <c r="B786" s="7"/>
      <c r="C786" s="6"/>
      <c r="D786" s="11"/>
      <c r="E786" s="12"/>
      <c r="F786" s="12"/>
      <c r="G786" s="11"/>
      <c r="H786" s="12"/>
      <c r="I786" s="12"/>
      <c r="J786" s="12"/>
      <c r="K786" s="6"/>
      <c r="L786" s="6"/>
      <c r="M786" s="6"/>
      <c r="N786" s="6"/>
      <c r="O786" s="10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/>
      <c r="B787" s="7"/>
      <c r="C787" s="6"/>
      <c r="D787" s="11"/>
      <c r="E787" s="12"/>
      <c r="F787" s="12"/>
      <c r="G787" s="11"/>
      <c r="H787" s="12"/>
      <c r="I787" s="12"/>
      <c r="J787" s="12"/>
      <c r="K787" s="6"/>
      <c r="L787" s="6"/>
      <c r="M787" s="6"/>
      <c r="N787" s="6"/>
      <c r="O787" s="10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/>
      <c r="B788" s="7"/>
      <c r="C788" s="6"/>
      <c r="D788" s="11"/>
      <c r="E788" s="12"/>
      <c r="F788" s="12"/>
      <c r="G788" s="11"/>
      <c r="H788" s="12"/>
      <c r="I788" s="12"/>
      <c r="J788" s="12"/>
      <c r="K788" s="6"/>
      <c r="L788" s="6"/>
      <c r="M788" s="6"/>
      <c r="N788" s="6"/>
      <c r="O788" s="10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/>
      <c r="B789" s="7"/>
      <c r="C789" s="6"/>
      <c r="D789" s="11"/>
      <c r="E789" s="12"/>
      <c r="F789" s="12"/>
      <c r="G789" s="11"/>
      <c r="H789" s="12"/>
      <c r="I789" s="12"/>
      <c r="J789" s="12"/>
      <c r="K789" s="6"/>
      <c r="L789" s="6"/>
      <c r="M789" s="6"/>
      <c r="N789" s="6"/>
      <c r="O789" s="10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/>
      <c r="B790" s="7"/>
      <c r="C790" s="6"/>
      <c r="D790" s="11"/>
      <c r="E790" s="12"/>
      <c r="F790" s="12"/>
      <c r="G790" s="11"/>
      <c r="H790" s="12"/>
      <c r="I790" s="12"/>
      <c r="J790" s="12"/>
      <c r="K790" s="6"/>
      <c r="L790" s="6"/>
      <c r="M790" s="6"/>
      <c r="N790" s="6"/>
      <c r="O790" s="10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/>
      <c r="B791" s="7"/>
      <c r="C791" s="6"/>
      <c r="D791" s="11"/>
      <c r="E791" s="12"/>
      <c r="F791" s="12"/>
      <c r="G791" s="11"/>
      <c r="H791" s="12"/>
      <c r="I791" s="12"/>
      <c r="J791" s="12"/>
      <c r="K791" s="6"/>
      <c r="L791" s="6"/>
      <c r="M791" s="6"/>
      <c r="N791" s="6"/>
      <c r="O791" s="10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/>
      <c r="B792" s="7"/>
      <c r="C792" s="6"/>
      <c r="D792" s="11"/>
      <c r="E792" s="12"/>
      <c r="F792" s="12"/>
      <c r="G792" s="11"/>
      <c r="H792" s="12"/>
      <c r="I792" s="12"/>
      <c r="J792" s="12"/>
      <c r="K792" s="6"/>
      <c r="L792" s="6"/>
      <c r="M792" s="6"/>
      <c r="N792" s="6"/>
      <c r="O792" s="10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/>
      <c r="B793" s="7"/>
      <c r="C793" s="6"/>
      <c r="D793" s="11"/>
      <c r="E793" s="12"/>
      <c r="F793" s="12"/>
      <c r="G793" s="11"/>
      <c r="H793" s="12"/>
      <c r="I793" s="12"/>
      <c r="J793" s="12"/>
      <c r="K793" s="6"/>
      <c r="L793" s="6"/>
      <c r="M793" s="6"/>
      <c r="N793" s="6"/>
      <c r="O793" s="10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/>
      <c r="B794" s="7"/>
      <c r="C794" s="6"/>
      <c r="D794" s="11"/>
      <c r="E794" s="12"/>
      <c r="F794" s="12"/>
      <c r="G794" s="11"/>
      <c r="H794" s="12"/>
      <c r="I794" s="12"/>
      <c r="J794" s="12"/>
      <c r="K794" s="6"/>
      <c r="L794" s="6"/>
      <c r="M794" s="6"/>
      <c r="N794" s="6"/>
      <c r="O794" s="10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/>
      <c r="B795" s="7"/>
      <c r="C795" s="6"/>
      <c r="D795" s="11"/>
      <c r="E795" s="12"/>
      <c r="F795" s="12"/>
      <c r="G795" s="11"/>
      <c r="H795" s="12"/>
      <c r="I795" s="12"/>
      <c r="J795" s="12"/>
      <c r="K795" s="6"/>
      <c r="L795" s="6"/>
      <c r="M795" s="6"/>
      <c r="N795" s="6"/>
      <c r="O795" s="10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/>
      <c r="B796" s="7"/>
      <c r="C796" s="6"/>
      <c r="D796" s="11"/>
      <c r="E796" s="12"/>
      <c r="F796" s="12"/>
      <c r="G796" s="11"/>
      <c r="H796" s="12"/>
      <c r="I796" s="12"/>
      <c r="J796" s="12"/>
      <c r="K796" s="6"/>
      <c r="L796" s="6"/>
      <c r="M796" s="6"/>
      <c r="N796" s="6"/>
      <c r="O796" s="10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/>
      <c r="B797" s="7"/>
      <c r="C797" s="6"/>
      <c r="D797" s="11"/>
      <c r="E797" s="12"/>
      <c r="F797" s="12"/>
      <c r="G797" s="11"/>
      <c r="H797" s="12"/>
      <c r="I797" s="12"/>
      <c r="J797" s="12"/>
      <c r="K797" s="6"/>
      <c r="L797" s="6"/>
      <c r="M797" s="6"/>
      <c r="N797" s="6"/>
      <c r="O797" s="10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/>
      <c r="B798" s="7"/>
      <c r="C798" s="6"/>
      <c r="D798" s="11"/>
      <c r="E798" s="12"/>
      <c r="F798" s="12"/>
      <c r="G798" s="11"/>
      <c r="H798" s="12"/>
      <c r="I798" s="12"/>
      <c r="J798" s="12"/>
      <c r="K798" s="6"/>
      <c r="L798" s="6"/>
      <c r="M798" s="6"/>
      <c r="N798" s="6"/>
      <c r="O798" s="10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/>
      <c r="B799" s="7"/>
      <c r="C799" s="6"/>
      <c r="D799" s="11"/>
      <c r="E799" s="12"/>
      <c r="F799" s="12"/>
      <c r="G799" s="11"/>
      <c r="H799" s="12"/>
      <c r="I799" s="12"/>
      <c r="J799" s="12"/>
      <c r="K799" s="6"/>
      <c r="L799" s="6"/>
      <c r="M799" s="6"/>
      <c r="N799" s="6"/>
      <c r="O799" s="10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/>
      <c r="B800" s="7"/>
      <c r="C800" s="6"/>
      <c r="D800" s="11"/>
      <c r="E800" s="12"/>
      <c r="F800" s="12"/>
      <c r="G800" s="11"/>
      <c r="H800" s="12"/>
      <c r="I800" s="12"/>
      <c r="J800" s="12"/>
      <c r="K800" s="6"/>
      <c r="L800" s="6"/>
      <c r="M800" s="6"/>
      <c r="N800" s="6"/>
      <c r="O800" s="10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/>
      <c r="B801" s="7"/>
      <c r="C801" s="6"/>
      <c r="D801" s="11"/>
      <c r="E801" s="12"/>
      <c r="F801" s="12"/>
      <c r="G801" s="11"/>
      <c r="H801" s="12"/>
      <c r="I801" s="12"/>
      <c r="J801" s="12"/>
      <c r="K801" s="6"/>
      <c r="L801" s="6"/>
      <c r="M801" s="6"/>
      <c r="N801" s="6"/>
      <c r="O801" s="10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/>
      <c r="B802" s="7"/>
      <c r="C802" s="6"/>
      <c r="D802" s="11"/>
      <c r="E802" s="12"/>
      <c r="F802" s="12"/>
      <c r="G802" s="11"/>
      <c r="H802" s="12"/>
      <c r="I802" s="12"/>
      <c r="J802" s="12"/>
      <c r="K802" s="6"/>
      <c r="L802" s="6"/>
      <c r="M802" s="6"/>
      <c r="N802" s="6"/>
      <c r="O802" s="10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/>
      <c r="B803" s="7"/>
      <c r="C803" s="6"/>
      <c r="D803" s="11"/>
      <c r="E803" s="12"/>
      <c r="F803" s="12"/>
      <c r="G803" s="11"/>
      <c r="H803" s="12"/>
      <c r="I803" s="12"/>
      <c r="J803" s="12"/>
      <c r="K803" s="6"/>
      <c r="L803" s="6"/>
      <c r="M803" s="6"/>
      <c r="N803" s="6"/>
      <c r="O803" s="10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/>
      <c r="B804" s="7"/>
      <c r="C804" s="6"/>
      <c r="D804" s="11"/>
      <c r="E804" s="12"/>
      <c r="F804" s="12"/>
      <c r="G804" s="11"/>
      <c r="H804" s="12"/>
      <c r="I804" s="12"/>
      <c r="J804" s="12"/>
      <c r="K804" s="6"/>
      <c r="L804" s="6"/>
      <c r="M804" s="6"/>
      <c r="N804" s="6"/>
      <c r="O804" s="10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/>
      <c r="B805" s="7"/>
      <c r="C805" s="6"/>
      <c r="D805" s="11"/>
      <c r="E805" s="12"/>
      <c r="F805" s="12"/>
      <c r="G805" s="11"/>
      <c r="H805" s="12"/>
      <c r="I805" s="12"/>
      <c r="J805" s="12"/>
      <c r="K805" s="6"/>
      <c r="L805" s="6"/>
      <c r="M805" s="6"/>
      <c r="N805" s="6"/>
      <c r="O805" s="10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/>
      <c r="B806" s="7"/>
      <c r="C806" s="6"/>
      <c r="D806" s="11"/>
      <c r="E806" s="12"/>
      <c r="F806" s="12"/>
      <c r="G806" s="11"/>
      <c r="H806" s="12"/>
      <c r="I806" s="12"/>
      <c r="J806" s="12"/>
      <c r="K806" s="6"/>
      <c r="L806" s="6"/>
      <c r="M806" s="6"/>
      <c r="N806" s="6"/>
      <c r="O806" s="10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/>
      <c r="B807" s="7"/>
      <c r="C807" s="6"/>
      <c r="D807" s="11"/>
      <c r="E807" s="12"/>
      <c r="F807" s="12"/>
      <c r="G807" s="11"/>
      <c r="H807" s="12"/>
      <c r="I807" s="12"/>
      <c r="J807" s="12"/>
      <c r="K807" s="6"/>
      <c r="L807" s="6"/>
      <c r="M807" s="6"/>
      <c r="N807" s="6"/>
      <c r="O807" s="10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/>
      <c r="B808" s="7"/>
      <c r="C808" s="6"/>
      <c r="D808" s="11"/>
      <c r="E808" s="12"/>
      <c r="F808" s="12"/>
      <c r="G808" s="11"/>
      <c r="H808" s="12"/>
      <c r="I808" s="12"/>
      <c r="J808" s="12"/>
      <c r="K808" s="6"/>
      <c r="L808" s="6"/>
      <c r="M808" s="6"/>
      <c r="N808" s="6"/>
      <c r="O808" s="10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/>
      <c r="B809" s="7"/>
      <c r="C809" s="6"/>
      <c r="D809" s="11"/>
      <c r="E809" s="12"/>
      <c r="F809" s="12"/>
      <c r="G809" s="11"/>
      <c r="H809" s="12"/>
      <c r="I809" s="12"/>
      <c r="J809" s="12"/>
      <c r="K809" s="6"/>
      <c r="L809" s="6"/>
      <c r="M809" s="6"/>
      <c r="N809" s="6"/>
      <c r="O809" s="10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/>
      <c r="B810" s="7"/>
      <c r="C810" s="6"/>
      <c r="D810" s="11"/>
      <c r="E810" s="12"/>
      <c r="F810" s="12"/>
      <c r="G810" s="11"/>
      <c r="H810" s="12"/>
      <c r="I810" s="12"/>
      <c r="J810" s="12"/>
      <c r="K810" s="6"/>
      <c r="L810" s="6"/>
      <c r="M810" s="6"/>
      <c r="N810" s="6"/>
      <c r="O810" s="10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/>
      <c r="B811" s="7"/>
      <c r="C811" s="6"/>
      <c r="D811" s="11"/>
      <c r="E811" s="12"/>
      <c r="F811" s="12"/>
      <c r="G811" s="11"/>
      <c r="H811" s="12"/>
      <c r="I811" s="12"/>
      <c r="J811" s="12"/>
      <c r="K811" s="6"/>
      <c r="L811" s="6"/>
      <c r="M811" s="6"/>
      <c r="N811" s="6"/>
      <c r="O811" s="10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/>
      <c r="B812" s="7"/>
      <c r="C812" s="6"/>
      <c r="D812" s="11"/>
      <c r="E812" s="12"/>
      <c r="F812" s="12"/>
      <c r="G812" s="11"/>
      <c r="H812" s="12"/>
      <c r="I812" s="12"/>
      <c r="J812" s="12"/>
      <c r="K812" s="6"/>
      <c r="L812" s="6"/>
      <c r="M812" s="6"/>
      <c r="N812" s="6"/>
      <c r="O812" s="10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/>
      <c r="B813" s="7"/>
      <c r="C813" s="6"/>
      <c r="D813" s="11"/>
      <c r="E813" s="12"/>
      <c r="F813" s="12"/>
      <c r="G813" s="11"/>
      <c r="H813" s="12"/>
      <c r="I813" s="12"/>
      <c r="J813" s="12"/>
      <c r="K813" s="6"/>
      <c r="L813" s="6"/>
      <c r="M813" s="6"/>
      <c r="N813" s="6"/>
      <c r="O813" s="10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/>
      <c r="B814" s="7"/>
      <c r="C814" s="6"/>
      <c r="D814" s="11"/>
      <c r="E814" s="12"/>
      <c r="F814" s="12"/>
      <c r="G814" s="11"/>
      <c r="H814" s="12"/>
      <c r="I814" s="12"/>
      <c r="J814" s="12"/>
      <c r="K814" s="6"/>
      <c r="L814" s="6"/>
      <c r="M814" s="6"/>
      <c r="N814" s="6"/>
      <c r="O814" s="10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/>
      <c r="B815" s="7"/>
      <c r="C815" s="6"/>
      <c r="D815" s="11"/>
      <c r="E815" s="12"/>
      <c r="F815" s="12"/>
      <c r="G815" s="11"/>
      <c r="H815" s="12"/>
      <c r="I815" s="12"/>
      <c r="J815" s="12"/>
      <c r="K815" s="6"/>
      <c r="L815" s="6"/>
      <c r="M815" s="6"/>
      <c r="N815" s="6"/>
      <c r="O815" s="10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/>
      <c r="B816" s="7"/>
      <c r="C816" s="6"/>
      <c r="D816" s="11"/>
      <c r="E816" s="12"/>
      <c r="F816" s="12"/>
      <c r="G816" s="11"/>
      <c r="H816" s="12"/>
      <c r="I816" s="12"/>
      <c r="J816" s="12"/>
      <c r="K816" s="6"/>
      <c r="L816" s="6"/>
      <c r="M816" s="6"/>
      <c r="N816" s="6"/>
      <c r="O816" s="10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/>
      <c r="B817" s="7"/>
      <c r="C817" s="6"/>
      <c r="D817" s="11"/>
      <c r="E817" s="12"/>
      <c r="F817" s="12"/>
      <c r="G817" s="11"/>
      <c r="H817" s="12"/>
      <c r="I817" s="12"/>
      <c r="J817" s="12"/>
      <c r="K817" s="6"/>
      <c r="L817" s="6"/>
      <c r="M817" s="6"/>
      <c r="N817" s="6"/>
      <c r="O817" s="10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/>
      <c r="B818" s="7"/>
      <c r="C818" s="6"/>
      <c r="D818" s="11"/>
      <c r="E818" s="12"/>
      <c r="F818" s="12"/>
      <c r="G818" s="11"/>
      <c r="H818" s="12"/>
      <c r="I818" s="12"/>
      <c r="J818" s="12"/>
      <c r="K818" s="6"/>
      <c r="L818" s="6"/>
      <c r="M818" s="6"/>
      <c r="N818" s="6"/>
      <c r="O818" s="10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/>
      <c r="B819" s="7"/>
      <c r="C819" s="6"/>
      <c r="D819" s="11"/>
      <c r="E819" s="12"/>
      <c r="F819" s="12"/>
      <c r="G819" s="11"/>
      <c r="H819" s="12"/>
      <c r="I819" s="12"/>
      <c r="J819" s="12"/>
      <c r="K819" s="6"/>
      <c r="L819" s="6"/>
      <c r="M819" s="6"/>
      <c r="N819" s="6"/>
      <c r="O819" s="10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/>
      <c r="B820" s="7"/>
      <c r="C820" s="6"/>
      <c r="D820" s="11"/>
      <c r="E820" s="12"/>
      <c r="F820" s="12"/>
      <c r="G820" s="11"/>
      <c r="H820" s="12"/>
      <c r="I820" s="12"/>
      <c r="J820" s="12"/>
      <c r="K820" s="6"/>
      <c r="L820" s="6"/>
      <c r="M820" s="6"/>
      <c r="N820" s="6"/>
      <c r="O820" s="10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/>
      <c r="B821" s="7"/>
      <c r="C821" s="6"/>
      <c r="D821" s="11"/>
      <c r="E821" s="12"/>
      <c r="F821" s="12"/>
      <c r="G821" s="11"/>
      <c r="H821" s="12"/>
      <c r="I821" s="12"/>
      <c r="J821" s="12"/>
      <c r="K821" s="6"/>
      <c r="L821" s="6"/>
      <c r="M821" s="6"/>
      <c r="N821" s="6"/>
      <c r="O821" s="10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/>
      <c r="B822" s="7"/>
      <c r="C822" s="6"/>
      <c r="D822" s="11"/>
      <c r="E822" s="12"/>
      <c r="F822" s="12"/>
      <c r="G822" s="11"/>
      <c r="H822" s="12"/>
      <c r="I822" s="12"/>
      <c r="J822" s="12"/>
      <c r="K822" s="6"/>
      <c r="L822" s="6"/>
      <c r="M822" s="6"/>
      <c r="N822" s="6"/>
      <c r="O822" s="10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/>
      <c r="B823" s="7"/>
      <c r="C823" s="6"/>
      <c r="D823" s="11"/>
      <c r="E823" s="12"/>
      <c r="F823" s="12"/>
      <c r="G823" s="11"/>
      <c r="H823" s="12"/>
      <c r="I823" s="12"/>
      <c r="J823" s="12"/>
      <c r="K823" s="6"/>
      <c r="L823" s="6"/>
      <c r="M823" s="6"/>
      <c r="N823" s="6"/>
      <c r="O823" s="10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/>
      <c r="B824" s="7"/>
      <c r="C824" s="6"/>
      <c r="D824" s="11"/>
      <c r="E824" s="12"/>
      <c r="F824" s="12"/>
      <c r="G824" s="11"/>
      <c r="H824" s="12"/>
      <c r="I824" s="12"/>
      <c r="J824" s="12"/>
      <c r="K824" s="6"/>
      <c r="L824" s="6"/>
      <c r="M824" s="6"/>
      <c r="N824" s="6"/>
      <c r="O824" s="10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/>
      <c r="B825" s="7"/>
      <c r="C825" s="6"/>
      <c r="D825" s="11"/>
      <c r="E825" s="12"/>
      <c r="F825" s="12"/>
      <c r="G825" s="11"/>
      <c r="H825" s="12"/>
      <c r="I825" s="12"/>
      <c r="J825" s="12"/>
      <c r="K825" s="6"/>
      <c r="L825" s="6"/>
      <c r="M825" s="6"/>
      <c r="N825" s="6"/>
      <c r="O825" s="10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/>
      <c r="B826" s="7"/>
      <c r="C826" s="6"/>
      <c r="D826" s="11"/>
      <c r="E826" s="12"/>
      <c r="F826" s="12"/>
      <c r="G826" s="11"/>
      <c r="H826" s="12"/>
      <c r="I826" s="12"/>
      <c r="J826" s="12"/>
      <c r="K826" s="6"/>
      <c r="L826" s="6"/>
      <c r="M826" s="6"/>
      <c r="N826" s="6"/>
      <c r="O826" s="10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/>
      <c r="B827" s="7"/>
      <c r="C827" s="6"/>
      <c r="D827" s="11"/>
      <c r="E827" s="12"/>
      <c r="F827" s="12"/>
      <c r="G827" s="11"/>
      <c r="H827" s="12"/>
      <c r="I827" s="12"/>
      <c r="J827" s="12"/>
      <c r="K827" s="6"/>
      <c r="L827" s="6"/>
      <c r="M827" s="6"/>
      <c r="N827" s="6"/>
      <c r="O827" s="10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/>
      <c r="B828" s="7"/>
      <c r="C828" s="6"/>
      <c r="D828" s="11"/>
      <c r="E828" s="12"/>
      <c r="F828" s="12"/>
      <c r="G828" s="11"/>
      <c r="H828" s="12"/>
      <c r="I828" s="12"/>
      <c r="J828" s="12"/>
      <c r="K828" s="6"/>
      <c r="L828" s="6"/>
      <c r="M828" s="6"/>
      <c r="N828" s="6"/>
      <c r="O828" s="10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/>
      <c r="B829" s="7"/>
      <c r="C829" s="6"/>
      <c r="D829" s="11"/>
      <c r="E829" s="12"/>
      <c r="F829" s="12"/>
      <c r="G829" s="11"/>
      <c r="H829" s="12"/>
      <c r="I829" s="12"/>
      <c r="J829" s="12"/>
      <c r="K829" s="6"/>
      <c r="L829" s="6"/>
      <c r="M829" s="6"/>
      <c r="N829" s="6"/>
      <c r="O829" s="10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/>
      <c r="B830" s="7"/>
      <c r="C830" s="6"/>
      <c r="D830" s="11"/>
      <c r="E830" s="12"/>
      <c r="F830" s="12"/>
      <c r="G830" s="11"/>
      <c r="H830" s="12"/>
      <c r="I830" s="12"/>
      <c r="J830" s="12"/>
      <c r="K830" s="6"/>
      <c r="L830" s="6"/>
      <c r="M830" s="6"/>
      <c r="N830" s="6"/>
      <c r="O830" s="10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/>
      <c r="B831" s="7"/>
      <c r="C831" s="6"/>
      <c r="D831" s="11"/>
      <c r="E831" s="12"/>
      <c r="F831" s="12"/>
      <c r="G831" s="11"/>
      <c r="H831" s="12"/>
      <c r="I831" s="12"/>
      <c r="J831" s="12"/>
      <c r="K831" s="6"/>
      <c r="L831" s="6"/>
      <c r="M831" s="6"/>
      <c r="N831" s="6"/>
      <c r="O831" s="10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/>
      <c r="B832" s="7"/>
      <c r="C832" s="6"/>
      <c r="D832" s="11"/>
      <c r="E832" s="12"/>
      <c r="F832" s="12"/>
      <c r="G832" s="11"/>
      <c r="H832" s="12"/>
      <c r="I832" s="12"/>
      <c r="J832" s="12"/>
      <c r="K832" s="6"/>
      <c r="L832" s="6"/>
      <c r="M832" s="6"/>
      <c r="N832" s="6"/>
      <c r="O832" s="10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/>
      <c r="B833" s="7"/>
      <c r="C833" s="6"/>
      <c r="D833" s="11"/>
      <c r="E833" s="12"/>
      <c r="F833" s="12"/>
      <c r="G833" s="11"/>
      <c r="H833" s="12"/>
      <c r="I833" s="12"/>
      <c r="J833" s="12"/>
      <c r="K833" s="6"/>
      <c r="L833" s="6"/>
      <c r="M833" s="6"/>
      <c r="N833" s="6"/>
      <c r="O833" s="10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/>
      <c r="B834" s="7"/>
      <c r="C834" s="6"/>
      <c r="D834" s="11"/>
      <c r="E834" s="12"/>
      <c r="F834" s="12"/>
      <c r="G834" s="11"/>
      <c r="H834" s="12"/>
      <c r="I834" s="12"/>
      <c r="J834" s="12"/>
      <c r="K834" s="6"/>
      <c r="L834" s="6"/>
      <c r="M834" s="6"/>
      <c r="N834" s="6"/>
      <c r="O834" s="10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/>
      <c r="B835" s="7"/>
      <c r="C835" s="6"/>
      <c r="D835" s="11"/>
      <c r="E835" s="12"/>
      <c r="F835" s="12"/>
      <c r="G835" s="11"/>
      <c r="H835" s="12"/>
      <c r="I835" s="12"/>
      <c r="J835" s="12"/>
      <c r="K835" s="6"/>
      <c r="L835" s="6"/>
      <c r="M835" s="6"/>
      <c r="N835" s="6"/>
      <c r="O835" s="10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/>
      <c r="B836" s="7"/>
      <c r="C836" s="6"/>
      <c r="D836" s="11"/>
      <c r="E836" s="12"/>
      <c r="F836" s="12"/>
      <c r="G836" s="11"/>
      <c r="H836" s="12"/>
      <c r="I836" s="12"/>
      <c r="J836" s="12"/>
      <c r="K836" s="6"/>
      <c r="L836" s="6"/>
      <c r="M836" s="6"/>
      <c r="N836" s="6"/>
      <c r="O836" s="10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/>
      <c r="B837" s="7"/>
      <c r="C837" s="6"/>
      <c r="D837" s="11"/>
      <c r="E837" s="12"/>
      <c r="F837" s="12"/>
      <c r="G837" s="11"/>
      <c r="H837" s="12"/>
      <c r="I837" s="12"/>
      <c r="J837" s="12"/>
      <c r="K837" s="6"/>
      <c r="L837" s="6"/>
      <c r="M837" s="6"/>
      <c r="N837" s="6"/>
      <c r="O837" s="10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/>
      <c r="B838" s="7"/>
      <c r="C838" s="6"/>
      <c r="D838" s="11"/>
      <c r="E838" s="12"/>
      <c r="F838" s="12"/>
      <c r="G838" s="11"/>
      <c r="H838" s="12"/>
      <c r="I838" s="12"/>
      <c r="J838" s="12"/>
      <c r="K838" s="6"/>
      <c r="L838" s="6"/>
      <c r="M838" s="6"/>
      <c r="N838" s="6"/>
      <c r="O838" s="10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/>
      <c r="B839" s="7"/>
      <c r="C839" s="6"/>
      <c r="D839" s="11"/>
      <c r="E839" s="12"/>
      <c r="F839" s="12"/>
      <c r="G839" s="11"/>
      <c r="H839" s="12"/>
      <c r="I839" s="12"/>
      <c r="J839" s="12"/>
      <c r="K839" s="6"/>
      <c r="L839" s="6"/>
      <c r="M839" s="6"/>
      <c r="N839" s="6"/>
      <c r="O839" s="10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/>
      <c r="B840" s="7"/>
      <c r="C840" s="6"/>
      <c r="D840" s="11"/>
      <c r="E840" s="12"/>
      <c r="F840" s="12"/>
      <c r="G840" s="11"/>
      <c r="H840" s="12"/>
      <c r="I840" s="12"/>
      <c r="J840" s="12"/>
      <c r="K840" s="6"/>
      <c r="L840" s="6"/>
      <c r="M840" s="6"/>
      <c r="N840" s="6"/>
      <c r="O840" s="10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/>
      <c r="B841" s="7"/>
      <c r="C841" s="6"/>
      <c r="D841" s="11"/>
      <c r="E841" s="12"/>
      <c r="F841" s="12"/>
      <c r="G841" s="11"/>
      <c r="H841" s="12"/>
      <c r="I841" s="12"/>
      <c r="J841" s="12"/>
      <c r="K841" s="6"/>
      <c r="L841" s="6"/>
      <c r="M841" s="6"/>
      <c r="N841" s="6"/>
      <c r="O841" s="10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/>
      <c r="B842" s="7"/>
      <c r="C842" s="6"/>
      <c r="D842" s="11"/>
      <c r="E842" s="12"/>
      <c r="F842" s="12"/>
      <c r="G842" s="11"/>
      <c r="H842" s="12"/>
      <c r="I842" s="12"/>
      <c r="J842" s="12"/>
      <c r="K842" s="6"/>
      <c r="L842" s="6"/>
      <c r="M842" s="6"/>
      <c r="N842" s="6"/>
      <c r="O842" s="10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/>
      <c r="B843" s="7"/>
      <c r="C843" s="6"/>
      <c r="D843" s="11"/>
      <c r="E843" s="12"/>
      <c r="F843" s="12"/>
      <c r="G843" s="11"/>
      <c r="H843" s="12"/>
      <c r="I843" s="12"/>
      <c r="J843" s="12"/>
      <c r="K843" s="6"/>
      <c r="L843" s="6"/>
      <c r="M843" s="6"/>
      <c r="N843" s="6"/>
      <c r="O843" s="10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/>
      <c r="B844" s="7"/>
      <c r="C844" s="6"/>
      <c r="D844" s="11"/>
      <c r="E844" s="12"/>
      <c r="F844" s="12"/>
      <c r="G844" s="11"/>
      <c r="H844" s="12"/>
      <c r="I844" s="12"/>
      <c r="J844" s="12"/>
      <c r="K844" s="6"/>
      <c r="L844" s="6"/>
      <c r="M844" s="6"/>
      <c r="N844" s="6"/>
      <c r="O844" s="10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/>
      <c r="B845" s="7"/>
      <c r="C845" s="6"/>
      <c r="D845" s="11"/>
      <c r="E845" s="12"/>
      <c r="F845" s="12"/>
      <c r="G845" s="11"/>
      <c r="H845" s="12"/>
      <c r="I845" s="12"/>
      <c r="J845" s="12"/>
      <c r="K845" s="6"/>
      <c r="L845" s="6"/>
      <c r="M845" s="6"/>
      <c r="N845" s="6"/>
      <c r="O845" s="10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/>
      <c r="B846" s="7"/>
      <c r="C846" s="6"/>
      <c r="D846" s="11"/>
      <c r="E846" s="12"/>
      <c r="F846" s="12"/>
      <c r="G846" s="11"/>
      <c r="H846" s="12"/>
      <c r="I846" s="12"/>
      <c r="J846" s="12"/>
      <c r="K846" s="6"/>
      <c r="L846" s="6"/>
      <c r="M846" s="6"/>
      <c r="N846" s="6"/>
      <c r="O846" s="10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/>
      <c r="B847" s="7"/>
      <c r="C847" s="6"/>
      <c r="D847" s="11"/>
      <c r="E847" s="12"/>
      <c r="F847" s="12"/>
      <c r="G847" s="11"/>
      <c r="H847" s="12"/>
      <c r="I847" s="12"/>
      <c r="J847" s="12"/>
      <c r="K847" s="6"/>
      <c r="L847" s="6"/>
      <c r="M847" s="6"/>
      <c r="N847" s="6"/>
      <c r="O847" s="10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/>
      <c r="B848" s="7"/>
      <c r="C848" s="6"/>
      <c r="D848" s="11"/>
      <c r="E848" s="12"/>
      <c r="F848" s="12"/>
      <c r="G848" s="11"/>
      <c r="H848" s="12"/>
      <c r="I848" s="12"/>
      <c r="J848" s="12"/>
      <c r="K848" s="6"/>
      <c r="L848" s="6"/>
      <c r="M848" s="6"/>
      <c r="N848" s="6"/>
      <c r="O848" s="10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/>
      <c r="B849" s="7"/>
      <c r="C849" s="6"/>
      <c r="D849" s="11"/>
      <c r="E849" s="12"/>
      <c r="F849" s="12"/>
      <c r="G849" s="11"/>
      <c r="H849" s="12"/>
      <c r="I849" s="12"/>
      <c r="J849" s="12"/>
      <c r="K849" s="6"/>
      <c r="L849" s="6"/>
      <c r="M849" s="6"/>
      <c r="N849" s="6"/>
      <c r="O849" s="10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/>
      <c r="B850" s="7"/>
      <c r="C850" s="6"/>
      <c r="D850" s="11"/>
      <c r="E850" s="12"/>
      <c r="F850" s="12"/>
      <c r="G850" s="11"/>
      <c r="H850" s="12"/>
      <c r="I850" s="12"/>
      <c r="J850" s="12"/>
      <c r="K850" s="6"/>
      <c r="L850" s="6"/>
      <c r="M850" s="6"/>
      <c r="N850" s="6"/>
      <c r="O850" s="10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/>
      <c r="B851" s="7"/>
      <c r="C851" s="6"/>
      <c r="D851" s="11"/>
      <c r="E851" s="12"/>
      <c r="F851" s="12"/>
      <c r="G851" s="11"/>
      <c r="H851" s="12"/>
      <c r="I851" s="12"/>
      <c r="J851" s="12"/>
      <c r="K851" s="6"/>
      <c r="L851" s="6"/>
      <c r="M851" s="6"/>
      <c r="N851" s="6"/>
      <c r="O851" s="10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/>
      <c r="B852" s="7"/>
      <c r="C852" s="6"/>
      <c r="D852" s="11"/>
      <c r="E852" s="12"/>
      <c r="F852" s="12"/>
      <c r="G852" s="11"/>
      <c r="H852" s="12"/>
      <c r="I852" s="12"/>
      <c r="J852" s="12"/>
      <c r="K852" s="6"/>
      <c r="L852" s="6"/>
      <c r="M852" s="6"/>
      <c r="N852" s="6"/>
      <c r="O852" s="10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/>
      <c r="B853" s="7"/>
      <c r="C853" s="6"/>
      <c r="D853" s="11"/>
      <c r="E853" s="12"/>
      <c r="F853" s="12"/>
      <c r="G853" s="11"/>
      <c r="H853" s="12"/>
      <c r="I853" s="12"/>
      <c r="J853" s="12"/>
      <c r="K853" s="6"/>
      <c r="L853" s="6"/>
      <c r="M853" s="6"/>
      <c r="N853" s="6"/>
      <c r="O853" s="10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/>
      <c r="B854" s="7"/>
      <c r="C854" s="6"/>
      <c r="D854" s="11"/>
      <c r="E854" s="12"/>
      <c r="F854" s="12"/>
      <c r="G854" s="11"/>
      <c r="H854" s="12"/>
      <c r="I854" s="12"/>
      <c r="J854" s="12"/>
      <c r="K854" s="6"/>
      <c r="L854" s="6"/>
      <c r="M854" s="6"/>
      <c r="N854" s="6"/>
      <c r="O854" s="10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/>
      <c r="B855" s="7"/>
      <c r="C855" s="6"/>
      <c r="D855" s="11"/>
      <c r="E855" s="12"/>
      <c r="F855" s="12"/>
      <c r="G855" s="11"/>
      <c r="H855" s="12"/>
      <c r="I855" s="12"/>
      <c r="J855" s="12"/>
      <c r="K855" s="6"/>
      <c r="L855" s="6"/>
      <c r="M855" s="6"/>
      <c r="N855" s="6"/>
      <c r="O855" s="10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/>
      <c r="B856" s="7"/>
      <c r="C856" s="6"/>
      <c r="D856" s="11"/>
      <c r="E856" s="12"/>
      <c r="F856" s="12"/>
      <c r="G856" s="11"/>
      <c r="H856" s="12"/>
      <c r="I856" s="12"/>
      <c r="J856" s="12"/>
      <c r="K856" s="6"/>
      <c r="L856" s="6"/>
      <c r="M856" s="6"/>
      <c r="N856" s="6"/>
      <c r="O856" s="10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/>
      <c r="B857" s="7"/>
      <c r="C857" s="6"/>
      <c r="D857" s="11"/>
      <c r="E857" s="12"/>
      <c r="F857" s="12"/>
      <c r="G857" s="11"/>
      <c r="H857" s="12"/>
      <c r="I857" s="12"/>
      <c r="J857" s="12"/>
      <c r="K857" s="6"/>
      <c r="L857" s="6"/>
      <c r="M857" s="6"/>
      <c r="N857" s="6"/>
      <c r="O857" s="10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/>
      <c r="B858" s="7"/>
      <c r="C858" s="6"/>
      <c r="D858" s="11"/>
      <c r="E858" s="12"/>
      <c r="F858" s="12"/>
      <c r="G858" s="11"/>
      <c r="H858" s="12"/>
      <c r="I858" s="12"/>
      <c r="J858" s="12"/>
      <c r="K858" s="6"/>
      <c r="L858" s="6"/>
      <c r="M858" s="6"/>
      <c r="N858" s="6"/>
      <c r="O858" s="10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/>
      <c r="B859" s="7"/>
      <c r="C859" s="6"/>
      <c r="D859" s="11"/>
      <c r="E859" s="12"/>
      <c r="F859" s="12"/>
      <c r="G859" s="11"/>
      <c r="H859" s="12"/>
      <c r="I859" s="12"/>
      <c r="J859" s="12"/>
      <c r="K859" s="6"/>
      <c r="L859" s="6"/>
      <c r="M859" s="6"/>
      <c r="N859" s="6"/>
      <c r="O859" s="10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/>
      <c r="B860" s="7"/>
      <c r="C860" s="6"/>
      <c r="D860" s="11"/>
      <c r="E860" s="12"/>
      <c r="F860" s="12"/>
      <c r="G860" s="11"/>
      <c r="H860" s="12"/>
      <c r="I860" s="12"/>
      <c r="J860" s="12"/>
      <c r="K860" s="6"/>
      <c r="L860" s="6"/>
      <c r="M860" s="6"/>
      <c r="N860" s="6"/>
      <c r="O860" s="10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/>
      <c r="B861" s="7"/>
      <c r="C861" s="6"/>
      <c r="D861" s="11"/>
      <c r="E861" s="12"/>
      <c r="F861" s="12"/>
      <c r="G861" s="11"/>
      <c r="H861" s="12"/>
      <c r="I861" s="12"/>
      <c r="J861" s="12"/>
      <c r="K861" s="6"/>
      <c r="L861" s="6"/>
      <c r="M861" s="6"/>
      <c r="N861" s="6"/>
      <c r="O861" s="10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/>
      <c r="B862" s="7"/>
      <c r="C862" s="6"/>
      <c r="D862" s="11"/>
      <c r="E862" s="12"/>
      <c r="F862" s="12"/>
      <c r="G862" s="11"/>
      <c r="H862" s="12"/>
      <c r="I862" s="12"/>
      <c r="J862" s="12"/>
      <c r="K862" s="6"/>
      <c r="L862" s="6"/>
      <c r="M862" s="6"/>
      <c r="N862" s="6"/>
      <c r="O862" s="10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/>
      <c r="B863" s="7"/>
      <c r="C863" s="6"/>
      <c r="D863" s="11"/>
      <c r="E863" s="12"/>
      <c r="F863" s="12"/>
      <c r="G863" s="11"/>
      <c r="H863" s="12"/>
      <c r="I863" s="12"/>
      <c r="J863" s="12"/>
      <c r="K863" s="6"/>
      <c r="L863" s="6"/>
      <c r="M863" s="6"/>
      <c r="N863" s="6"/>
      <c r="O863" s="10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/>
      <c r="B864" s="7"/>
      <c r="C864" s="6"/>
      <c r="D864" s="11"/>
      <c r="E864" s="12"/>
      <c r="F864" s="12"/>
      <c r="G864" s="11"/>
      <c r="H864" s="12"/>
      <c r="I864" s="12"/>
      <c r="J864" s="12"/>
      <c r="K864" s="6"/>
      <c r="L864" s="6"/>
      <c r="M864" s="6"/>
      <c r="N864" s="6"/>
      <c r="O864" s="10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/>
      <c r="B865" s="7"/>
      <c r="C865" s="6"/>
      <c r="D865" s="11"/>
      <c r="E865" s="12"/>
      <c r="F865" s="12"/>
      <c r="G865" s="11"/>
      <c r="H865" s="12"/>
      <c r="I865" s="12"/>
      <c r="J865" s="12"/>
      <c r="K865" s="6"/>
      <c r="L865" s="6"/>
      <c r="M865" s="6"/>
      <c r="N865" s="6"/>
      <c r="O865" s="10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/>
      <c r="B866" s="7"/>
      <c r="C866" s="6"/>
      <c r="D866" s="11"/>
      <c r="E866" s="12"/>
      <c r="F866" s="12"/>
      <c r="G866" s="11"/>
      <c r="H866" s="12"/>
      <c r="I866" s="12"/>
      <c r="J866" s="12"/>
      <c r="K866" s="6"/>
      <c r="L866" s="6"/>
      <c r="M866" s="6"/>
      <c r="N866" s="6"/>
      <c r="O866" s="10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/>
      <c r="B867" s="7"/>
      <c r="C867" s="6"/>
      <c r="D867" s="11"/>
      <c r="E867" s="12"/>
      <c r="F867" s="12"/>
      <c r="G867" s="11"/>
      <c r="H867" s="12"/>
      <c r="I867" s="12"/>
      <c r="J867" s="12"/>
      <c r="K867" s="6"/>
      <c r="L867" s="6"/>
      <c r="M867" s="6"/>
      <c r="N867" s="6"/>
      <c r="O867" s="10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/>
      <c r="B868" s="7"/>
      <c r="C868" s="6"/>
      <c r="D868" s="11"/>
      <c r="E868" s="12"/>
      <c r="F868" s="12"/>
      <c r="G868" s="11"/>
      <c r="H868" s="12"/>
      <c r="I868" s="12"/>
      <c r="J868" s="12"/>
      <c r="K868" s="6"/>
      <c r="L868" s="6"/>
      <c r="M868" s="6"/>
      <c r="N868" s="6"/>
      <c r="O868" s="10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/>
      <c r="B869" s="7"/>
      <c r="C869" s="6"/>
      <c r="D869" s="11"/>
      <c r="E869" s="12"/>
      <c r="F869" s="12"/>
      <c r="G869" s="11"/>
      <c r="H869" s="12"/>
      <c r="I869" s="12"/>
      <c r="J869" s="12"/>
      <c r="K869" s="6"/>
      <c r="L869" s="6"/>
      <c r="M869" s="6"/>
      <c r="N869" s="6"/>
      <c r="O869" s="10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/>
      <c r="B870" s="7"/>
      <c r="C870" s="6"/>
      <c r="D870" s="11"/>
      <c r="E870" s="12"/>
      <c r="F870" s="12"/>
      <c r="G870" s="11"/>
      <c r="H870" s="12"/>
      <c r="I870" s="12"/>
      <c r="J870" s="12"/>
      <c r="K870" s="6"/>
      <c r="L870" s="6"/>
      <c r="M870" s="6"/>
      <c r="N870" s="6"/>
      <c r="O870" s="10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/>
      <c r="B871" s="7"/>
      <c r="C871" s="6"/>
      <c r="D871" s="11"/>
      <c r="E871" s="12"/>
      <c r="F871" s="12"/>
      <c r="G871" s="11"/>
      <c r="H871" s="12"/>
      <c r="I871" s="12"/>
      <c r="J871" s="12"/>
      <c r="K871" s="6"/>
      <c r="L871" s="6"/>
      <c r="M871" s="6"/>
      <c r="N871" s="6"/>
      <c r="O871" s="10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/>
      <c r="B872" s="7"/>
      <c r="C872" s="6"/>
      <c r="D872" s="11"/>
      <c r="E872" s="12"/>
      <c r="F872" s="12"/>
      <c r="G872" s="11"/>
      <c r="H872" s="12"/>
      <c r="I872" s="12"/>
      <c r="J872" s="12"/>
      <c r="K872" s="6"/>
      <c r="L872" s="6"/>
      <c r="M872" s="6"/>
      <c r="N872" s="6"/>
      <c r="O872" s="10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/>
      <c r="B873" s="7"/>
      <c r="C873" s="6"/>
      <c r="D873" s="11"/>
      <c r="E873" s="12"/>
      <c r="F873" s="12"/>
      <c r="G873" s="11"/>
      <c r="H873" s="12"/>
      <c r="I873" s="12"/>
      <c r="J873" s="12"/>
      <c r="K873" s="6"/>
      <c r="L873" s="6"/>
      <c r="M873" s="6"/>
      <c r="N873" s="6"/>
      <c r="O873" s="10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/>
      <c r="B874" s="7"/>
      <c r="C874" s="6"/>
      <c r="D874" s="11"/>
      <c r="E874" s="12"/>
      <c r="F874" s="12"/>
      <c r="G874" s="11"/>
      <c r="H874" s="12"/>
      <c r="I874" s="12"/>
      <c r="J874" s="12"/>
      <c r="K874" s="6"/>
      <c r="L874" s="6"/>
      <c r="M874" s="6"/>
      <c r="N874" s="6"/>
      <c r="O874" s="10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/>
      <c r="B875" s="7"/>
      <c r="C875" s="6"/>
      <c r="D875" s="11"/>
      <c r="E875" s="12"/>
      <c r="F875" s="12"/>
      <c r="G875" s="11"/>
      <c r="H875" s="12"/>
      <c r="I875" s="12"/>
      <c r="J875" s="12"/>
      <c r="K875" s="6"/>
      <c r="L875" s="6"/>
      <c r="M875" s="6"/>
      <c r="N875" s="6"/>
      <c r="O875" s="10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/>
      <c r="B876" s="7"/>
      <c r="C876" s="6"/>
      <c r="D876" s="11"/>
      <c r="E876" s="12"/>
      <c r="F876" s="12"/>
      <c r="G876" s="11"/>
      <c r="H876" s="12"/>
      <c r="I876" s="12"/>
      <c r="J876" s="12"/>
      <c r="K876" s="6"/>
      <c r="L876" s="6"/>
      <c r="M876" s="6"/>
      <c r="N876" s="6"/>
      <c r="O876" s="10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/>
      <c r="B877" s="7"/>
      <c r="C877" s="6"/>
      <c r="D877" s="11"/>
      <c r="E877" s="12"/>
      <c r="F877" s="12"/>
      <c r="G877" s="11"/>
      <c r="H877" s="12"/>
      <c r="I877" s="12"/>
      <c r="J877" s="12"/>
      <c r="K877" s="6"/>
      <c r="L877" s="6"/>
      <c r="M877" s="6"/>
      <c r="N877" s="6"/>
      <c r="O877" s="10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/>
      <c r="B878" s="7"/>
      <c r="C878" s="6"/>
      <c r="D878" s="11"/>
      <c r="E878" s="12"/>
      <c r="F878" s="12"/>
      <c r="G878" s="11"/>
      <c r="H878" s="12"/>
      <c r="I878" s="12"/>
      <c r="J878" s="12"/>
      <c r="K878" s="6"/>
      <c r="L878" s="6"/>
      <c r="M878" s="6"/>
      <c r="N878" s="6"/>
      <c r="O878" s="10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/>
      <c r="B879" s="7"/>
      <c r="C879" s="6"/>
      <c r="D879" s="11"/>
      <c r="E879" s="12"/>
      <c r="F879" s="12"/>
      <c r="G879" s="11"/>
      <c r="H879" s="12"/>
      <c r="I879" s="12"/>
      <c r="J879" s="12"/>
      <c r="K879" s="6"/>
      <c r="L879" s="6"/>
      <c r="M879" s="6"/>
      <c r="N879" s="6"/>
      <c r="O879" s="10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/>
      <c r="B880" s="7"/>
      <c r="C880" s="6"/>
      <c r="D880" s="11"/>
      <c r="E880" s="12"/>
      <c r="F880" s="12"/>
      <c r="G880" s="11"/>
      <c r="H880" s="12"/>
      <c r="I880" s="12"/>
      <c r="J880" s="12"/>
      <c r="K880" s="6"/>
      <c r="L880" s="6"/>
      <c r="M880" s="6"/>
      <c r="N880" s="6"/>
      <c r="O880" s="10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/>
      <c r="B881" s="7"/>
      <c r="C881" s="6"/>
      <c r="D881" s="11"/>
      <c r="E881" s="12"/>
      <c r="F881" s="12"/>
      <c r="G881" s="11"/>
      <c r="H881" s="12"/>
      <c r="I881" s="12"/>
      <c r="J881" s="12"/>
      <c r="K881" s="6"/>
      <c r="L881" s="6"/>
      <c r="M881" s="6"/>
      <c r="N881" s="6"/>
      <c r="O881" s="10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/>
      <c r="B882" s="7"/>
      <c r="C882" s="6"/>
      <c r="D882" s="11"/>
      <c r="E882" s="12"/>
      <c r="F882" s="12"/>
      <c r="G882" s="11"/>
      <c r="H882" s="12"/>
      <c r="I882" s="12"/>
      <c r="J882" s="12"/>
      <c r="K882" s="6"/>
      <c r="L882" s="6"/>
      <c r="M882" s="6"/>
      <c r="N882" s="6"/>
      <c r="O882" s="10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/>
      <c r="B883" s="7"/>
      <c r="C883" s="6"/>
      <c r="D883" s="11"/>
      <c r="E883" s="12"/>
      <c r="F883" s="12"/>
      <c r="G883" s="11"/>
      <c r="H883" s="12"/>
      <c r="I883" s="12"/>
      <c r="J883" s="12"/>
      <c r="K883" s="6"/>
      <c r="L883" s="6"/>
      <c r="M883" s="6"/>
      <c r="N883" s="6"/>
      <c r="O883" s="10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/>
      <c r="B884" s="7"/>
      <c r="C884" s="6"/>
      <c r="D884" s="11"/>
      <c r="E884" s="12"/>
      <c r="F884" s="12"/>
      <c r="G884" s="11"/>
      <c r="H884" s="12"/>
      <c r="I884" s="12"/>
      <c r="J884" s="12"/>
      <c r="K884" s="6"/>
      <c r="L884" s="6"/>
      <c r="M884" s="6"/>
      <c r="N884" s="6"/>
      <c r="O884" s="10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/>
      <c r="B885" s="7"/>
      <c r="C885" s="6"/>
      <c r="D885" s="11"/>
      <c r="E885" s="12"/>
      <c r="F885" s="12"/>
      <c r="G885" s="11"/>
      <c r="H885" s="12"/>
      <c r="I885" s="12"/>
      <c r="J885" s="12"/>
      <c r="K885" s="6"/>
      <c r="L885" s="6"/>
      <c r="M885" s="6"/>
      <c r="N885" s="6"/>
      <c r="O885" s="10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/>
      <c r="B886" s="7"/>
      <c r="C886" s="6"/>
      <c r="D886" s="11"/>
      <c r="E886" s="12"/>
      <c r="F886" s="12"/>
      <c r="G886" s="11"/>
      <c r="H886" s="12"/>
      <c r="I886" s="12"/>
      <c r="J886" s="12"/>
      <c r="K886" s="6"/>
      <c r="L886" s="6"/>
      <c r="M886" s="6"/>
      <c r="N886" s="6"/>
      <c r="O886" s="10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/>
      <c r="B887" s="7"/>
      <c r="C887" s="6"/>
      <c r="D887" s="11"/>
      <c r="E887" s="12"/>
      <c r="F887" s="12"/>
      <c r="G887" s="11"/>
      <c r="H887" s="12"/>
      <c r="I887" s="12"/>
      <c r="J887" s="12"/>
      <c r="K887" s="6"/>
      <c r="L887" s="6"/>
      <c r="M887" s="6"/>
      <c r="N887" s="6"/>
      <c r="O887" s="10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/>
      <c r="B888" s="7"/>
      <c r="C888" s="6"/>
      <c r="D888" s="11"/>
      <c r="E888" s="12"/>
      <c r="F888" s="12"/>
      <c r="G888" s="11"/>
      <c r="H888" s="12"/>
      <c r="I888" s="12"/>
      <c r="J888" s="12"/>
      <c r="K888" s="6"/>
      <c r="L888" s="6"/>
      <c r="M888" s="6"/>
      <c r="N888" s="6"/>
      <c r="O888" s="10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/>
      <c r="B889" s="7"/>
      <c r="C889" s="6"/>
      <c r="D889" s="11"/>
      <c r="E889" s="12"/>
      <c r="F889" s="12"/>
      <c r="G889" s="11"/>
      <c r="H889" s="12"/>
      <c r="I889" s="12"/>
      <c r="J889" s="12"/>
      <c r="K889" s="6"/>
      <c r="L889" s="6"/>
      <c r="M889" s="6"/>
      <c r="N889" s="6"/>
      <c r="O889" s="10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/>
      <c r="B890" s="7"/>
      <c r="C890" s="6"/>
      <c r="D890" s="11"/>
      <c r="E890" s="12"/>
      <c r="F890" s="12"/>
      <c r="G890" s="11"/>
      <c r="H890" s="12"/>
      <c r="I890" s="12"/>
      <c r="J890" s="12"/>
      <c r="K890" s="6"/>
      <c r="L890" s="6"/>
      <c r="M890" s="6"/>
      <c r="N890" s="6"/>
      <c r="O890" s="10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/>
      <c r="B891" s="7"/>
      <c r="C891" s="6"/>
      <c r="D891" s="11"/>
      <c r="E891" s="12"/>
      <c r="F891" s="12"/>
      <c r="G891" s="11"/>
      <c r="H891" s="12"/>
      <c r="I891" s="12"/>
      <c r="J891" s="12"/>
      <c r="K891" s="6"/>
      <c r="L891" s="6"/>
      <c r="M891" s="6"/>
      <c r="N891" s="6"/>
      <c r="O891" s="10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/>
      <c r="B892" s="7"/>
      <c r="C892" s="6"/>
      <c r="D892" s="11"/>
      <c r="E892" s="12"/>
      <c r="F892" s="12"/>
      <c r="G892" s="11"/>
      <c r="H892" s="12"/>
      <c r="I892" s="12"/>
      <c r="J892" s="12"/>
      <c r="K892" s="6"/>
      <c r="L892" s="6"/>
      <c r="M892" s="6"/>
      <c r="N892" s="6"/>
      <c r="O892" s="10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/>
      <c r="B893" s="7"/>
      <c r="C893" s="6"/>
      <c r="D893" s="11"/>
      <c r="E893" s="12"/>
      <c r="F893" s="12"/>
      <c r="G893" s="11"/>
      <c r="H893" s="12"/>
      <c r="I893" s="12"/>
      <c r="J893" s="12"/>
      <c r="K893" s="6"/>
      <c r="L893" s="6"/>
      <c r="M893" s="6"/>
      <c r="N893" s="6"/>
      <c r="O893" s="10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/>
      <c r="B894" s="7"/>
      <c r="C894" s="6"/>
      <c r="D894" s="11"/>
      <c r="E894" s="12"/>
      <c r="F894" s="12"/>
      <c r="G894" s="11"/>
      <c r="H894" s="12"/>
      <c r="I894" s="12"/>
      <c r="J894" s="12"/>
      <c r="K894" s="6"/>
      <c r="L894" s="6"/>
      <c r="M894" s="6"/>
      <c r="N894" s="6"/>
      <c r="O894" s="10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/>
      <c r="B895" s="7"/>
      <c r="C895" s="6"/>
      <c r="D895" s="11"/>
      <c r="E895" s="12"/>
      <c r="F895" s="12"/>
      <c r="G895" s="11"/>
      <c r="H895" s="12"/>
      <c r="I895" s="12"/>
      <c r="J895" s="12"/>
      <c r="K895" s="6"/>
      <c r="L895" s="6"/>
      <c r="M895" s="6"/>
      <c r="N895" s="6"/>
      <c r="O895" s="10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/>
      <c r="B896" s="7"/>
      <c r="C896" s="6"/>
      <c r="D896" s="11"/>
      <c r="E896" s="12"/>
      <c r="F896" s="12"/>
      <c r="G896" s="11"/>
      <c r="H896" s="12"/>
      <c r="I896" s="12"/>
      <c r="J896" s="12"/>
      <c r="K896" s="6"/>
      <c r="L896" s="6"/>
      <c r="M896" s="6"/>
      <c r="N896" s="6"/>
      <c r="O896" s="10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/>
      <c r="B897" s="7"/>
      <c r="C897" s="6"/>
      <c r="D897" s="11"/>
      <c r="E897" s="12"/>
      <c r="F897" s="12"/>
      <c r="G897" s="11"/>
      <c r="H897" s="12"/>
      <c r="I897" s="12"/>
      <c r="J897" s="12"/>
      <c r="K897" s="6"/>
      <c r="L897" s="6"/>
      <c r="M897" s="6"/>
      <c r="N897" s="6"/>
      <c r="O897" s="10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/>
      <c r="B898" s="7"/>
      <c r="C898" s="6"/>
      <c r="D898" s="11"/>
      <c r="E898" s="12"/>
      <c r="F898" s="12"/>
      <c r="G898" s="11"/>
      <c r="H898" s="12"/>
      <c r="I898" s="12"/>
      <c r="J898" s="12"/>
      <c r="K898" s="6"/>
      <c r="L898" s="6"/>
      <c r="M898" s="6"/>
      <c r="N898" s="6"/>
      <c r="O898" s="10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/>
      <c r="B899" s="7"/>
      <c r="C899" s="6"/>
      <c r="D899" s="11"/>
      <c r="E899" s="12"/>
      <c r="F899" s="12"/>
      <c r="G899" s="11"/>
      <c r="H899" s="12"/>
      <c r="I899" s="12"/>
      <c r="J899" s="12"/>
      <c r="K899" s="6"/>
      <c r="L899" s="6"/>
      <c r="M899" s="6"/>
      <c r="N899" s="6"/>
      <c r="O899" s="10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/>
      <c r="B900" s="7"/>
      <c r="C900" s="6"/>
      <c r="D900" s="11"/>
      <c r="E900" s="12"/>
      <c r="F900" s="12"/>
      <c r="G900" s="11"/>
      <c r="H900" s="12"/>
      <c r="I900" s="12"/>
      <c r="J900" s="12"/>
      <c r="K900" s="6"/>
      <c r="L900" s="6"/>
      <c r="M900" s="6"/>
      <c r="N900" s="6"/>
      <c r="O900" s="10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/>
      <c r="B901" s="7"/>
      <c r="C901" s="6"/>
      <c r="D901" s="11"/>
      <c r="E901" s="12"/>
      <c r="F901" s="12"/>
      <c r="G901" s="11"/>
      <c r="H901" s="12"/>
      <c r="I901" s="12"/>
      <c r="J901" s="12"/>
      <c r="K901" s="6"/>
      <c r="L901" s="6"/>
      <c r="M901" s="6"/>
      <c r="N901" s="6"/>
      <c r="O901" s="10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/>
      <c r="B902" s="7"/>
      <c r="C902" s="6"/>
      <c r="D902" s="11"/>
      <c r="E902" s="12"/>
      <c r="F902" s="12"/>
      <c r="G902" s="11"/>
      <c r="H902" s="12"/>
      <c r="I902" s="12"/>
      <c r="J902" s="12"/>
      <c r="K902" s="6"/>
      <c r="L902" s="6"/>
      <c r="M902" s="6"/>
      <c r="N902" s="6"/>
      <c r="O902" s="10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/>
      <c r="B903" s="7"/>
      <c r="C903" s="6"/>
      <c r="D903" s="11"/>
      <c r="E903" s="12"/>
      <c r="F903" s="12"/>
      <c r="G903" s="11"/>
      <c r="H903" s="12"/>
      <c r="I903" s="12"/>
      <c r="J903" s="12"/>
      <c r="K903" s="6"/>
      <c r="L903" s="6"/>
      <c r="M903" s="6"/>
      <c r="N903" s="6"/>
      <c r="O903" s="10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/>
      <c r="B904" s="7"/>
      <c r="C904" s="6"/>
      <c r="D904" s="11"/>
      <c r="E904" s="12"/>
      <c r="F904" s="12"/>
      <c r="G904" s="11"/>
      <c r="H904" s="12"/>
      <c r="I904" s="12"/>
      <c r="J904" s="12"/>
      <c r="K904" s="6"/>
      <c r="L904" s="6"/>
      <c r="M904" s="6"/>
      <c r="N904" s="6"/>
      <c r="O904" s="10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/>
      <c r="B905" s="7"/>
      <c r="C905" s="6"/>
      <c r="D905" s="11"/>
      <c r="E905" s="12"/>
      <c r="F905" s="12"/>
      <c r="G905" s="11"/>
      <c r="H905" s="12"/>
      <c r="I905" s="12"/>
      <c r="J905" s="12"/>
      <c r="K905" s="6"/>
      <c r="L905" s="6"/>
      <c r="M905" s="6"/>
      <c r="N905" s="6"/>
      <c r="O905" s="10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/>
      <c r="B906" s="7"/>
      <c r="C906" s="6"/>
      <c r="D906" s="11"/>
      <c r="E906" s="12"/>
      <c r="F906" s="12"/>
      <c r="G906" s="11"/>
      <c r="H906" s="12"/>
      <c r="I906" s="12"/>
      <c r="J906" s="12"/>
      <c r="K906" s="6"/>
      <c r="L906" s="6"/>
      <c r="M906" s="6"/>
      <c r="N906" s="6"/>
      <c r="O906" s="10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/>
      <c r="B907" s="7"/>
      <c r="C907" s="6"/>
      <c r="D907" s="11"/>
      <c r="E907" s="12"/>
      <c r="F907" s="12"/>
      <c r="G907" s="11"/>
      <c r="H907" s="12"/>
      <c r="I907" s="12"/>
      <c r="J907" s="12"/>
      <c r="K907" s="6"/>
      <c r="L907" s="6"/>
      <c r="M907" s="6"/>
      <c r="N907" s="6"/>
      <c r="O907" s="10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/>
      <c r="B908" s="7"/>
      <c r="C908" s="6"/>
      <c r="D908" s="11"/>
      <c r="E908" s="12"/>
      <c r="F908" s="12"/>
      <c r="G908" s="11"/>
      <c r="H908" s="12"/>
      <c r="I908" s="12"/>
      <c r="J908" s="12"/>
      <c r="K908" s="6"/>
      <c r="L908" s="6"/>
      <c r="M908" s="6"/>
      <c r="N908" s="6"/>
      <c r="O908" s="10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/>
      <c r="B909" s="7"/>
      <c r="C909" s="6"/>
      <c r="D909" s="11"/>
      <c r="E909" s="12"/>
      <c r="F909" s="12"/>
      <c r="G909" s="11"/>
      <c r="H909" s="12"/>
      <c r="I909" s="12"/>
      <c r="J909" s="12"/>
      <c r="K909" s="6"/>
      <c r="L909" s="6"/>
      <c r="M909" s="6"/>
      <c r="N909" s="6"/>
      <c r="O909" s="10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/>
      <c r="B910" s="7"/>
      <c r="C910" s="6"/>
      <c r="D910" s="11"/>
      <c r="E910" s="12"/>
      <c r="F910" s="12"/>
      <c r="G910" s="11"/>
      <c r="H910" s="12"/>
      <c r="I910" s="12"/>
      <c r="J910" s="12"/>
      <c r="K910" s="6"/>
      <c r="L910" s="6"/>
      <c r="M910" s="6"/>
      <c r="N910" s="6"/>
      <c r="O910" s="10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/>
      <c r="B911" s="7"/>
      <c r="C911" s="6"/>
      <c r="D911" s="11"/>
      <c r="E911" s="12"/>
      <c r="F911" s="12"/>
      <c r="G911" s="11"/>
      <c r="H911" s="12"/>
      <c r="I911" s="12"/>
      <c r="J911" s="12"/>
      <c r="K911" s="6"/>
      <c r="L911" s="6"/>
      <c r="M911" s="6"/>
      <c r="N911" s="6"/>
      <c r="O911" s="10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/>
      <c r="B912" s="7"/>
      <c r="C912" s="6"/>
      <c r="D912" s="11"/>
      <c r="E912" s="12"/>
      <c r="F912" s="12"/>
      <c r="G912" s="11"/>
      <c r="H912" s="12"/>
      <c r="I912" s="12"/>
      <c r="J912" s="12"/>
      <c r="K912" s="6"/>
      <c r="L912" s="6"/>
      <c r="M912" s="6"/>
      <c r="N912" s="6"/>
      <c r="O912" s="10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/>
      <c r="B913" s="7"/>
      <c r="C913" s="6"/>
      <c r="D913" s="11"/>
      <c r="E913" s="12"/>
      <c r="F913" s="12"/>
      <c r="G913" s="11"/>
      <c r="H913" s="12"/>
      <c r="I913" s="12"/>
      <c r="J913" s="12"/>
      <c r="K913" s="6"/>
      <c r="L913" s="6"/>
      <c r="M913" s="6"/>
      <c r="N913" s="6"/>
      <c r="O913" s="10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/>
      <c r="B914" s="7"/>
      <c r="C914" s="6"/>
      <c r="D914" s="11"/>
      <c r="E914" s="12"/>
      <c r="F914" s="12"/>
      <c r="G914" s="11"/>
      <c r="H914" s="12"/>
      <c r="I914" s="12"/>
      <c r="J914" s="12"/>
      <c r="K914" s="6"/>
      <c r="L914" s="6"/>
      <c r="M914" s="6"/>
      <c r="N914" s="6"/>
      <c r="O914" s="10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/>
      <c r="B915" s="7"/>
      <c r="C915" s="6"/>
      <c r="D915" s="11"/>
      <c r="E915" s="12"/>
      <c r="F915" s="12"/>
      <c r="G915" s="11"/>
      <c r="H915" s="12"/>
      <c r="I915" s="12"/>
      <c r="J915" s="12"/>
      <c r="K915" s="6"/>
      <c r="L915" s="6"/>
      <c r="M915" s="6"/>
      <c r="N915" s="6"/>
      <c r="O915" s="10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/>
      <c r="B916" s="7"/>
      <c r="C916" s="6"/>
      <c r="D916" s="11"/>
      <c r="E916" s="12"/>
      <c r="F916" s="12"/>
      <c r="G916" s="11"/>
      <c r="H916" s="12"/>
      <c r="I916" s="12"/>
      <c r="J916" s="12"/>
      <c r="K916" s="6"/>
      <c r="L916" s="6"/>
      <c r="M916" s="6"/>
      <c r="N916" s="6"/>
      <c r="O916" s="10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/>
      <c r="B917" s="7"/>
      <c r="C917" s="6"/>
      <c r="D917" s="11"/>
      <c r="E917" s="12"/>
      <c r="F917" s="12"/>
      <c r="G917" s="11"/>
      <c r="H917" s="12"/>
      <c r="I917" s="12"/>
      <c r="J917" s="12"/>
      <c r="K917" s="6"/>
      <c r="L917" s="6"/>
      <c r="M917" s="6"/>
      <c r="N917" s="6"/>
      <c r="O917" s="10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/>
      <c r="B918" s="7"/>
      <c r="C918" s="6"/>
      <c r="D918" s="11"/>
      <c r="E918" s="12"/>
      <c r="F918" s="12"/>
      <c r="G918" s="11"/>
      <c r="H918" s="12"/>
      <c r="I918" s="12"/>
      <c r="J918" s="12"/>
      <c r="K918" s="6"/>
      <c r="L918" s="6"/>
      <c r="M918" s="6"/>
      <c r="N918" s="6"/>
      <c r="O918" s="10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/>
      <c r="B919" s="7"/>
      <c r="C919" s="6"/>
      <c r="D919" s="11"/>
      <c r="E919" s="12"/>
      <c r="F919" s="12"/>
      <c r="G919" s="11"/>
      <c r="H919" s="12"/>
      <c r="I919" s="12"/>
      <c r="J919" s="12"/>
      <c r="K919" s="6"/>
      <c r="L919" s="6"/>
      <c r="M919" s="6"/>
      <c r="N919" s="6"/>
      <c r="O919" s="10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/>
      <c r="B920" s="7"/>
      <c r="C920" s="6"/>
      <c r="D920" s="11"/>
      <c r="E920" s="12"/>
      <c r="F920" s="12"/>
      <c r="G920" s="11"/>
      <c r="H920" s="12"/>
      <c r="I920" s="12"/>
      <c r="J920" s="12"/>
      <c r="K920" s="6"/>
      <c r="L920" s="6"/>
      <c r="M920" s="6"/>
      <c r="N920" s="6"/>
      <c r="O920" s="10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/>
      <c r="B921" s="7"/>
      <c r="C921" s="6"/>
      <c r="D921" s="11"/>
      <c r="E921" s="12"/>
      <c r="F921" s="12"/>
      <c r="G921" s="11"/>
      <c r="H921" s="12"/>
      <c r="I921" s="12"/>
      <c r="J921" s="12"/>
      <c r="K921" s="6"/>
      <c r="L921" s="6"/>
      <c r="M921" s="6"/>
      <c r="N921" s="6"/>
      <c r="O921" s="10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/>
      <c r="B922" s="7"/>
      <c r="C922" s="6"/>
      <c r="D922" s="11"/>
      <c r="E922" s="12"/>
      <c r="F922" s="12"/>
      <c r="G922" s="11"/>
      <c r="H922" s="12"/>
      <c r="I922" s="12"/>
      <c r="J922" s="12"/>
      <c r="K922" s="6"/>
      <c r="L922" s="6"/>
      <c r="M922" s="6"/>
      <c r="N922" s="6"/>
      <c r="O922" s="10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/>
      <c r="B923" s="7"/>
      <c r="C923" s="6"/>
      <c r="D923" s="11"/>
      <c r="E923" s="12"/>
      <c r="F923" s="12"/>
      <c r="G923" s="11"/>
      <c r="H923" s="12"/>
      <c r="I923" s="12"/>
      <c r="J923" s="12"/>
      <c r="K923" s="6"/>
      <c r="L923" s="6"/>
      <c r="M923" s="6"/>
      <c r="N923" s="6"/>
      <c r="O923" s="10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/>
      <c r="B924" s="7"/>
      <c r="C924" s="6"/>
      <c r="D924" s="11"/>
      <c r="E924" s="12"/>
      <c r="F924" s="12"/>
      <c r="G924" s="11"/>
      <c r="H924" s="12"/>
      <c r="I924" s="12"/>
      <c r="J924" s="12"/>
      <c r="K924" s="6"/>
      <c r="L924" s="6"/>
      <c r="M924" s="6"/>
      <c r="N924" s="6"/>
      <c r="O924" s="10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/>
      <c r="B925" s="7"/>
      <c r="C925" s="6"/>
      <c r="D925" s="11"/>
      <c r="E925" s="12"/>
      <c r="F925" s="12"/>
      <c r="G925" s="11"/>
      <c r="H925" s="12"/>
      <c r="I925" s="12"/>
      <c r="J925" s="12"/>
      <c r="K925" s="6"/>
      <c r="L925" s="6"/>
      <c r="M925" s="6"/>
      <c r="N925" s="6"/>
      <c r="O925" s="10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/>
      <c r="B926" s="7"/>
      <c r="C926" s="6"/>
      <c r="D926" s="11"/>
      <c r="E926" s="12"/>
      <c r="F926" s="12"/>
      <c r="G926" s="11"/>
      <c r="H926" s="12"/>
      <c r="I926" s="12"/>
      <c r="J926" s="12"/>
      <c r="K926" s="6"/>
      <c r="L926" s="6"/>
      <c r="M926" s="6"/>
      <c r="N926" s="6"/>
      <c r="O926" s="10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/>
      <c r="B927" s="7"/>
      <c r="C927" s="6"/>
      <c r="D927" s="11"/>
      <c r="E927" s="12"/>
      <c r="F927" s="12"/>
      <c r="G927" s="11"/>
      <c r="H927" s="12"/>
      <c r="I927" s="12"/>
      <c r="J927" s="12"/>
      <c r="K927" s="6"/>
      <c r="L927" s="6"/>
      <c r="M927" s="6"/>
      <c r="N927" s="6"/>
      <c r="O927" s="10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/>
      <c r="B928" s="7"/>
      <c r="C928" s="6"/>
      <c r="D928" s="11"/>
      <c r="E928" s="12"/>
      <c r="F928" s="12"/>
      <c r="G928" s="11"/>
      <c r="H928" s="12"/>
      <c r="I928" s="12"/>
      <c r="J928" s="12"/>
      <c r="K928" s="6"/>
      <c r="L928" s="6"/>
      <c r="M928" s="6"/>
      <c r="N928" s="6"/>
      <c r="O928" s="10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/>
      <c r="B929" s="7"/>
      <c r="C929" s="6"/>
      <c r="D929" s="11"/>
      <c r="E929" s="12"/>
      <c r="F929" s="12"/>
      <c r="G929" s="11"/>
      <c r="H929" s="12"/>
      <c r="I929" s="12"/>
      <c r="J929" s="12"/>
      <c r="K929" s="6"/>
      <c r="L929" s="6"/>
      <c r="M929" s="6"/>
      <c r="N929" s="6"/>
      <c r="O929" s="10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/>
      <c r="B930" s="7"/>
      <c r="C930" s="6"/>
      <c r="D930" s="11"/>
      <c r="E930" s="12"/>
      <c r="F930" s="12"/>
      <c r="G930" s="11"/>
      <c r="H930" s="12"/>
      <c r="I930" s="12"/>
      <c r="J930" s="12"/>
      <c r="K930" s="6"/>
      <c r="L930" s="6"/>
      <c r="M930" s="6"/>
      <c r="N930" s="6"/>
      <c r="O930" s="10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/>
      <c r="B931" s="7"/>
      <c r="C931" s="6"/>
      <c r="D931" s="11"/>
      <c r="E931" s="12"/>
      <c r="F931" s="12"/>
      <c r="G931" s="11"/>
      <c r="H931" s="12"/>
      <c r="I931" s="12"/>
      <c r="J931" s="12"/>
      <c r="K931" s="6"/>
      <c r="L931" s="6"/>
      <c r="M931" s="6"/>
      <c r="N931" s="6"/>
      <c r="O931" s="10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/>
      <c r="B932" s="7"/>
      <c r="C932" s="6"/>
      <c r="D932" s="11"/>
      <c r="E932" s="12"/>
      <c r="F932" s="12"/>
      <c r="G932" s="11"/>
      <c r="H932" s="12"/>
      <c r="I932" s="12"/>
      <c r="J932" s="12"/>
      <c r="K932" s="6"/>
      <c r="L932" s="6"/>
      <c r="M932" s="6"/>
      <c r="N932" s="6"/>
      <c r="O932" s="10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/>
      <c r="B933" s="7"/>
      <c r="C933" s="6"/>
      <c r="D933" s="11"/>
      <c r="E933" s="12"/>
      <c r="F933" s="12"/>
      <c r="G933" s="11"/>
      <c r="H933" s="12"/>
      <c r="I933" s="12"/>
      <c r="J933" s="12"/>
      <c r="K933" s="6"/>
      <c r="L933" s="6"/>
      <c r="M933" s="6"/>
      <c r="N933" s="6"/>
      <c r="O933" s="10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/>
      <c r="B934" s="7"/>
      <c r="C934" s="6"/>
      <c r="D934" s="11"/>
      <c r="E934" s="12"/>
      <c r="F934" s="12"/>
      <c r="G934" s="11"/>
      <c r="H934" s="12"/>
      <c r="I934" s="12"/>
      <c r="J934" s="12"/>
      <c r="K934" s="6"/>
      <c r="L934" s="6"/>
      <c r="M934" s="6"/>
      <c r="N934" s="6"/>
      <c r="O934" s="10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/>
      <c r="B935" s="7"/>
      <c r="C935" s="6"/>
      <c r="D935" s="11"/>
      <c r="E935" s="12"/>
      <c r="F935" s="12"/>
      <c r="G935" s="11"/>
      <c r="H935" s="12"/>
      <c r="I935" s="12"/>
      <c r="J935" s="12"/>
      <c r="K935" s="6"/>
      <c r="L935" s="6"/>
      <c r="M935" s="6"/>
      <c r="N935" s="6"/>
      <c r="O935" s="10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/>
      <c r="B936" s="7"/>
      <c r="C936" s="6"/>
      <c r="D936" s="11"/>
      <c r="E936" s="12"/>
      <c r="F936" s="12"/>
      <c r="G936" s="11"/>
      <c r="H936" s="12"/>
      <c r="I936" s="12"/>
      <c r="J936" s="12"/>
      <c r="K936" s="6"/>
      <c r="L936" s="6"/>
      <c r="M936" s="6"/>
      <c r="N936" s="6"/>
      <c r="O936" s="10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/>
      <c r="B937" s="7"/>
      <c r="C937" s="6"/>
      <c r="D937" s="11"/>
      <c r="E937" s="12"/>
      <c r="F937" s="12"/>
      <c r="G937" s="11"/>
      <c r="H937" s="12"/>
      <c r="I937" s="12"/>
      <c r="J937" s="12"/>
      <c r="K937" s="6"/>
      <c r="L937" s="6"/>
      <c r="M937" s="6"/>
      <c r="N937" s="6"/>
      <c r="O937" s="10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/>
      <c r="B938" s="7"/>
      <c r="C938" s="6"/>
      <c r="D938" s="11"/>
      <c r="E938" s="12"/>
      <c r="F938" s="12"/>
      <c r="G938" s="11"/>
      <c r="H938" s="12"/>
      <c r="I938" s="12"/>
      <c r="J938" s="12"/>
      <c r="K938" s="6"/>
      <c r="L938" s="6"/>
      <c r="M938" s="6"/>
      <c r="N938" s="6"/>
      <c r="O938" s="10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/>
      <c r="B939" s="7"/>
      <c r="C939" s="6"/>
      <c r="D939" s="11"/>
      <c r="E939" s="12"/>
      <c r="F939" s="12"/>
      <c r="G939" s="11"/>
      <c r="H939" s="12"/>
      <c r="I939" s="12"/>
      <c r="J939" s="12"/>
      <c r="K939" s="6"/>
      <c r="L939" s="6"/>
      <c r="M939" s="6"/>
      <c r="N939" s="6"/>
      <c r="O939" s="10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/>
      <c r="B940" s="7"/>
      <c r="C940" s="6"/>
      <c r="D940" s="11"/>
      <c r="E940" s="12"/>
      <c r="F940" s="12"/>
      <c r="G940" s="11"/>
      <c r="H940" s="12"/>
      <c r="I940" s="12"/>
      <c r="J940" s="12"/>
      <c r="K940" s="6"/>
      <c r="L940" s="6"/>
      <c r="M940" s="6"/>
      <c r="N940" s="6"/>
      <c r="O940" s="10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/>
      <c r="B941" s="7"/>
      <c r="C941" s="6"/>
      <c r="D941" s="11"/>
      <c r="E941" s="12"/>
      <c r="F941" s="12"/>
      <c r="G941" s="11"/>
      <c r="H941" s="12"/>
      <c r="I941" s="12"/>
      <c r="J941" s="12"/>
      <c r="K941" s="6"/>
      <c r="L941" s="6"/>
      <c r="M941" s="6"/>
      <c r="N941" s="6"/>
      <c r="O941" s="10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/>
      <c r="B942" s="7"/>
      <c r="C942" s="6"/>
      <c r="D942" s="11"/>
      <c r="E942" s="12"/>
      <c r="F942" s="12"/>
      <c r="G942" s="11"/>
      <c r="H942" s="12"/>
      <c r="I942" s="12"/>
      <c r="J942" s="12"/>
      <c r="K942" s="6"/>
      <c r="L942" s="6"/>
      <c r="M942" s="6"/>
      <c r="N942" s="6"/>
      <c r="O942" s="10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/>
      <c r="B943" s="7"/>
      <c r="C943" s="6"/>
      <c r="D943" s="11"/>
      <c r="E943" s="12"/>
      <c r="F943" s="12"/>
      <c r="G943" s="11"/>
      <c r="H943" s="12"/>
      <c r="I943" s="12"/>
      <c r="J943" s="12"/>
      <c r="K943" s="6"/>
      <c r="L943" s="6"/>
      <c r="M943" s="6"/>
      <c r="N943" s="6"/>
      <c r="O943" s="10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/>
      <c r="B944" s="7"/>
      <c r="C944" s="6"/>
      <c r="D944" s="11"/>
      <c r="E944" s="12"/>
      <c r="F944" s="12"/>
      <c r="G944" s="11"/>
      <c r="H944" s="12"/>
      <c r="I944" s="12"/>
      <c r="J944" s="12"/>
      <c r="K944" s="6"/>
      <c r="L944" s="6"/>
      <c r="M944" s="6"/>
      <c r="N944" s="6"/>
      <c r="O944" s="10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/>
      <c r="B945" s="7"/>
      <c r="C945" s="6"/>
      <c r="D945" s="11"/>
      <c r="E945" s="12"/>
      <c r="F945" s="12"/>
      <c r="G945" s="11"/>
      <c r="H945" s="12"/>
      <c r="I945" s="12"/>
      <c r="J945" s="12"/>
      <c r="K945" s="6"/>
      <c r="L945" s="6"/>
      <c r="M945" s="6"/>
      <c r="N945" s="6"/>
      <c r="O945" s="10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/>
      <c r="B946" s="7"/>
      <c r="C946" s="6"/>
      <c r="D946" s="11"/>
      <c r="E946" s="12"/>
      <c r="F946" s="12"/>
      <c r="G946" s="11"/>
      <c r="H946" s="12"/>
      <c r="I946" s="12"/>
      <c r="J946" s="12"/>
      <c r="K946" s="6"/>
      <c r="L946" s="6"/>
      <c r="M946" s="6"/>
      <c r="N946" s="6"/>
      <c r="O946" s="10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/>
      <c r="B947" s="7"/>
      <c r="C947" s="6"/>
      <c r="D947" s="11"/>
      <c r="E947" s="12"/>
      <c r="F947" s="12"/>
      <c r="G947" s="11"/>
      <c r="H947" s="12"/>
      <c r="I947" s="12"/>
      <c r="J947" s="12"/>
      <c r="K947" s="6"/>
      <c r="L947" s="6"/>
      <c r="M947" s="6"/>
      <c r="N947" s="6"/>
      <c r="O947" s="10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/>
      <c r="B948" s="7"/>
      <c r="C948" s="6"/>
      <c r="D948" s="11"/>
      <c r="E948" s="12"/>
      <c r="F948" s="12"/>
      <c r="G948" s="11"/>
      <c r="H948" s="12"/>
      <c r="I948" s="12"/>
      <c r="J948" s="12"/>
      <c r="K948" s="6"/>
      <c r="L948" s="6"/>
      <c r="M948" s="6"/>
      <c r="N948" s="6"/>
      <c r="O948" s="10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/>
      <c r="B949" s="7"/>
      <c r="C949" s="6"/>
      <c r="D949" s="11"/>
      <c r="E949" s="12"/>
      <c r="F949" s="12"/>
      <c r="G949" s="11"/>
      <c r="H949" s="12"/>
      <c r="I949" s="12"/>
      <c r="J949" s="12"/>
      <c r="K949" s="6"/>
      <c r="L949" s="6"/>
      <c r="M949" s="6"/>
      <c r="N949" s="6"/>
      <c r="O949" s="10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/>
      <c r="B950" s="7"/>
      <c r="C950" s="6"/>
      <c r="D950" s="11"/>
      <c r="E950" s="12"/>
      <c r="F950" s="12"/>
      <c r="G950" s="11"/>
      <c r="H950" s="12"/>
      <c r="I950" s="12"/>
      <c r="J950" s="12"/>
      <c r="K950" s="6"/>
      <c r="L950" s="6"/>
      <c r="M950" s="6"/>
      <c r="N950" s="6"/>
      <c r="O950" s="10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/>
      <c r="B951" s="7"/>
      <c r="C951" s="6"/>
      <c r="D951" s="11"/>
      <c r="E951" s="12"/>
      <c r="F951" s="12"/>
      <c r="G951" s="11"/>
      <c r="H951" s="12"/>
      <c r="I951" s="12"/>
      <c r="J951" s="12"/>
      <c r="K951" s="6"/>
      <c r="L951" s="6"/>
      <c r="M951" s="6"/>
      <c r="N951" s="6"/>
      <c r="O951" s="10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/>
      <c r="B952" s="7"/>
      <c r="C952" s="6"/>
      <c r="D952" s="11"/>
      <c r="E952" s="12"/>
      <c r="F952" s="12"/>
      <c r="G952" s="11"/>
      <c r="H952" s="12"/>
      <c r="I952" s="12"/>
      <c r="J952" s="12"/>
      <c r="K952" s="6"/>
      <c r="L952" s="6"/>
      <c r="M952" s="6"/>
      <c r="N952" s="6"/>
      <c r="O952" s="10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/>
      <c r="B953" s="7"/>
      <c r="C953" s="6"/>
      <c r="D953" s="11"/>
      <c r="E953" s="12"/>
      <c r="F953" s="12"/>
      <c r="G953" s="11"/>
      <c r="H953" s="12"/>
      <c r="I953" s="12"/>
      <c r="J953" s="12"/>
      <c r="K953" s="6"/>
      <c r="L953" s="6"/>
      <c r="M953" s="6"/>
      <c r="N953" s="6"/>
      <c r="O953" s="10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/>
      <c r="B954" s="7"/>
      <c r="C954" s="6"/>
      <c r="D954" s="11"/>
      <c r="E954" s="12"/>
      <c r="F954" s="12"/>
      <c r="G954" s="11"/>
      <c r="H954" s="12"/>
      <c r="I954" s="12"/>
      <c r="J954" s="12"/>
      <c r="K954" s="6"/>
      <c r="L954" s="6"/>
      <c r="M954" s="6"/>
      <c r="N954" s="6"/>
      <c r="O954" s="10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/>
      <c r="B955" s="7"/>
      <c r="C955" s="6"/>
      <c r="D955" s="11"/>
      <c r="E955" s="12"/>
      <c r="F955" s="12"/>
      <c r="G955" s="11"/>
      <c r="H955" s="12"/>
      <c r="I955" s="12"/>
      <c r="J955" s="12"/>
      <c r="K955" s="6"/>
      <c r="L955" s="6"/>
      <c r="M955" s="6"/>
      <c r="N955" s="6"/>
      <c r="O955" s="10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/>
      <c r="B956" s="7"/>
      <c r="C956" s="6"/>
      <c r="D956" s="11"/>
      <c r="E956" s="12"/>
      <c r="F956" s="12"/>
      <c r="G956" s="11"/>
      <c r="H956" s="12"/>
      <c r="I956" s="12"/>
      <c r="J956" s="12"/>
      <c r="K956" s="6"/>
      <c r="L956" s="6"/>
      <c r="M956" s="6"/>
      <c r="N956" s="6"/>
      <c r="O956" s="10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/>
      <c r="B957" s="7"/>
      <c r="C957" s="6"/>
      <c r="D957" s="11"/>
      <c r="E957" s="12"/>
      <c r="F957" s="12"/>
      <c r="G957" s="11"/>
      <c r="H957" s="12"/>
      <c r="I957" s="12"/>
      <c r="J957" s="12"/>
      <c r="K957" s="6"/>
      <c r="L957" s="6"/>
      <c r="M957" s="6"/>
      <c r="N957" s="6"/>
      <c r="O957" s="10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/>
      <c r="B958" s="7"/>
      <c r="C958" s="6"/>
      <c r="D958" s="11"/>
      <c r="E958" s="12"/>
      <c r="F958" s="12"/>
      <c r="G958" s="11"/>
      <c r="H958" s="12"/>
      <c r="I958" s="12"/>
      <c r="J958" s="12"/>
      <c r="K958" s="6"/>
      <c r="L958" s="6"/>
      <c r="M958" s="6"/>
      <c r="N958" s="6"/>
      <c r="O958" s="10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/>
      <c r="B959" s="7"/>
      <c r="C959" s="6"/>
      <c r="D959" s="11"/>
      <c r="E959" s="12"/>
      <c r="F959" s="12"/>
      <c r="G959" s="11"/>
      <c r="H959" s="12"/>
      <c r="I959" s="12"/>
      <c r="J959" s="12"/>
      <c r="K959" s="6"/>
      <c r="L959" s="6"/>
      <c r="M959" s="6"/>
      <c r="N959" s="6"/>
      <c r="O959" s="10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/>
      <c r="B960" s="7"/>
      <c r="C960" s="6"/>
      <c r="D960" s="11"/>
      <c r="E960" s="12"/>
      <c r="F960" s="12"/>
      <c r="G960" s="11"/>
      <c r="H960" s="12"/>
      <c r="I960" s="12"/>
      <c r="J960" s="12"/>
      <c r="K960" s="6"/>
      <c r="L960" s="6"/>
      <c r="M960" s="6"/>
      <c r="N960" s="6"/>
      <c r="O960" s="10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/>
      <c r="B961" s="7"/>
      <c r="C961" s="6"/>
      <c r="D961" s="11"/>
      <c r="E961" s="12"/>
      <c r="F961" s="12"/>
      <c r="G961" s="11"/>
      <c r="H961" s="12"/>
      <c r="I961" s="12"/>
      <c r="J961" s="12"/>
      <c r="K961" s="6"/>
      <c r="L961" s="6"/>
      <c r="M961" s="6"/>
      <c r="N961" s="6"/>
      <c r="O961" s="10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/>
      <c r="B962" s="7"/>
      <c r="C962" s="6"/>
      <c r="D962" s="11"/>
      <c r="E962" s="12"/>
      <c r="F962" s="12"/>
      <c r="G962" s="11"/>
      <c r="H962" s="12"/>
      <c r="I962" s="12"/>
      <c r="J962" s="12"/>
      <c r="K962" s="6"/>
      <c r="L962" s="6"/>
      <c r="M962" s="6"/>
      <c r="N962" s="6"/>
      <c r="O962" s="10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/>
      <c r="B963" s="7"/>
      <c r="C963" s="6"/>
      <c r="D963" s="11"/>
      <c r="E963" s="12"/>
      <c r="F963" s="12"/>
      <c r="G963" s="11"/>
      <c r="H963" s="12"/>
      <c r="I963" s="12"/>
      <c r="J963" s="12"/>
      <c r="K963" s="6"/>
      <c r="L963" s="6"/>
      <c r="M963" s="6"/>
      <c r="N963" s="6"/>
      <c r="O963" s="10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/>
      <c r="B964" s="7"/>
      <c r="C964" s="6"/>
      <c r="D964" s="11"/>
      <c r="E964" s="12"/>
      <c r="F964" s="12"/>
      <c r="G964" s="11"/>
      <c r="H964" s="12"/>
      <c r="I964" s="12"/>
      <c r="J964" s="12"/>
      <c r="K964" s="6"/>
      <c r="L964" s="6"/>
      <c r="M964" s="6"/>
      <c r="N964" s="6"/>
      <c r="O964" s="10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/>
      <c r="B965" s="7"/>
      <c r="C965" s="6"/>
      <c r="D965" s="11"/>
      <c r="E965" s="12"/>
      <c r="F965" s="12"/>
      <c r="G965" s="11"/>
      <c r="H965" s="12"/>
      <c r="I965" s="12"/>
      <c r="J965" s="12"/>
      <c r="K965" s="6"/>
      <c r="L965" s="6"/>
      <c r="M965" s="6"/>
      <c r="N965" s="6"/>
      <c r="O965" s="10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/>
      <c r="B966" s="7"/>
      <c r="C966" s="6"/>
      <c r="D966" s="11"/>
      <c r="E966" s="12"/>
      <c r="F966" s="12"/>
      <c r="G966" s="11"/>
      <c r="H966" s="12"/>
      <c r="I966" s="12"/>
      <c r="J966" s="12"/>
      <c r="K966" s="6"/>
      <c r="L966" s="6"/>
      <c r="M966" s="6"/>
      <c r="N966" s="6"/>
      <c r="O966" s="10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/>
      <c r="B967" s="7"/>
      <c r="C967" s="6"/>
      <c r="D967" s="11"/>
      <c r="E967" s="12"/>
      <c r="F967" s="12"/>
      <c r="G967" s="11"/>
      <c r="H967" s="12"/>
      <c r="I967" s="12"/>
      <c r="J967" s="12"/>
      <c r="K967" s="6"/>
      <c r="L967" s="6"/>
      <c r="M967" s="6"/>
      <c r="N967" s="6"/>
      <c r="O967" s="10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/>
      <c r="B968" s="7"/>
      <c r="C968" s="6"/>
      <c r="D968" s="11"/>
      <c r="E968" s="12"/>
      <c r="F968" s="12"/>
      <c r="G968" s="11"/>
      <c r="H968" s="12"/>
      <c r="I968" s="12"/>
      <c r="J968" s="12"/>
      <c r="K968" s="6"/>
      <c r="L968" s="6"/>
      <c r="M968" s="6"/>
      <c r="N968" s="6"/>
      <c r="O968" s="10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/>
      <c r="B969" s="7"/>
      <c r="C969" s="6"/>
      <c r="D969" s="11"/>
      <c r="E969" s="12"/>
      <c r="F969" s="12"/>
      <c r="G969" s="11"/>
      <c r="H969" s="12"/>
      <c r="I969" s="12"/>
      <c r="J969" s="12"/>
      <c r="K969" s="6"/>
      <c r="L969" s="6"/>
      <c r="M969" s="6"/>
      <c r="N969" s="6"/>
      <c r="O969" s="10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/>
      <c r="B970" s="7"/>
      <c r="C970" s="6"/>
      <c r="D970" s="11"/>
      <c r="E970" s="12"/>
      <c r="F970" s="12"/>
      <c r="G970" s="11"/>
      <c r="H970" s="12"/>
      <c r="I970" s="12"/>
      <c r="J970" s="12"/>
      <c r="K970" s="6"/>
      <c r="L970" s="6"/>
      <c r="M970" s="6"/>
      <c r="N970" s="6"/>
      <c r="O970" s="10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/>
      <c r="B971" s="7"/>
      <c r="C971" s="6"/>
      <c r="D971" s="11"/>
      <c r="E971" s="12"/>
      <c r="F971" s="12"/>
      <c r="G971" s="11"/>
      <c r="H971" s="12"/>
      <c r="I971" s="12"/>
      <c r="J971" s="12"/>
      <c r="K971" s="6"/>
      <c r="L971" s="6"/>
      <c r="M971" s="6"/>
      <c r="N971" s="6"/>
      <c r="O971" s="10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/>
      <c r="B972" s="7"/>
      <c r="C972" s="6"/>
      <c r="D972" s="11"/>
      <c r="E972" s="12"/>
      <c r="F972" s="12"/>
      <c r="G972" s="11"/>
      <c r="H972" s="12"/>
      <c r="I972" s="12"/>
      <c r="J972" s="12"/>
      <c r="K972" s="6"/>
      <c r="L972" s="6"/>
      <c r="M972" s="6"/>
      <c r="N972" s="6"/>
      <c r="O972" s="10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/>
      <c r="B973" s="7"/>
      <c r="C973" s="6"/>
      <c r="D973" s="11"/>
      <c r="E973" s="12"/>
      <c r="F973" s="12"/>
      <c r="G973" s="11"/>
      <c r="H973" s="12"/>
      <c r="I973" s="12"/>
      <c r="J973" s="12"/>
      <c r="K973" s="6"/>
      <c r="L973" s="6"/>
      <c r="M973" s="6"/>
      <c r="N973" s="6"/>
      <c r="O973" s="10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/>
      <c r="B974" s="7"/>
      <c r="C974" s="6"/>
      <c r="D974" s="11"/>
      <c r="E974" s="12"/>
      <c r="F974" s="12"/>
      <c r="G974" s="11"/>
      <c r="H974" s="12"/>
      <c r="I974" s="12"/>
      <c r="J974" s="12"/>
      <c r="K974" s="6"/>
      <c r="L974" s="6"/>
      <c r="M974" s="6"/>
      <c r="N974" s="6"/>
      <c r="O974" s="10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/>
      <c r="B975" s="7"/>
      <c r="C975" s="6"/>
      <c r="D975" s="11"/>
      <c r="E975" s="12"/>
      <c r="F975" s="12"/>
      <c r="G975" s="11"/>
      <c r="H975" s="12"/>
      <c r="I975" s="12"/>
      <c r="J975" s="12"/>
      <c r="K975" s="6"/>
      <c r="L975" s="6"/>
      <c r="M975" s="6"/>
      <c r="N975" s="6"/>
      <c r="O975" s="10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/>
      <c r="B976" s="7"/>
      <c r="C976" s="6"/>
      <c r="D976" s="11"/>
      <c r="E976" s="12"/>
      <c r="F976" s="12"/>
      <c r="G976" s="11"/>
      <c r="H976" s="12"/>
      <c r="I976" s="12"/>
      <c r="J976" s="12"/>
      <c r="K976" s="6"/>
      <c r="L976" s="6"/>
      <c r="M976" s="6"/>
      <c r="N976" s="6"/>
      <c r="O976" s="10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/>
      <c r="B977" s="7"/>
      <c r="C977" s="6"/>
      <c r="D977" s="11"/>
      <c r="E977" s="12"/>
      <c r="F977" s="12"/>
      <c r="G977" s="11"/>
      <c r="H977" s="12"/>
      <c r="I977" s="12"/>
      <c r="J977" s="12"/>
      <c r="K977" s="6"/>
      <c r="L977" s="6"/>
      <c r="M977" s="6"/>
      <c r="N977" s="6"/>
      <c r="O977" s="10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/>
      <c r="B978" s="7"/>
      <c r="C978" s="6"/>
      <c r="D978" s="11"/>
      <c r="E978" s="12"/>
      <c r="F978" s="12"/>
      <c r="G978" s="11"/>
      <c r="H978" s="12"/>
      <c r="I978" s="12"/>
      <c r="J978" s="12"/>
      <c r="K978" s="6"/>
      <c r="L978" s="6"/>
      <c r="M978" s="6"/>
      <c r="N978" s="6"/>
      <c r="O978" s="10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/>
      <c r="B979" s="7"/>
      <c r="C979" s="6"/>
      <c r="D979" s="11"/>
      <c r="E979" s="12"/>
      <c r="F979" s="12"/>
      <c r="G979" s="11"/>
      <c r="H979" s="12"/>
      <c r="I979" s="12"/>
      <c r="J979" s="12"/>
      <c r="K979" s="6"/>
      <c r="L979" s="6"/>
      <c r="M979" s="6"/>
      <c r="N979" s="6"/>
      <c r="O979" s="10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/>
      <c r="B980" s="7"/>
      <c r="C980" s="6"/>
      <c r="D980" s="11"/>
      <c r="E980" s="12"/>
      <c r="F980" s="12"/>
      <c r="G980" s="11"/>
      <c r="H980" s="12"/>
      <c r="I980" s="12"/>
      <c r="J980" s="12"/>
      <c r="K980" s="6"/>
      <c r="L980" s="6"/>
      <c r="M980" s="6"/>
      <c r="N980" s="6"/>
      <c r="O980" s="10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/>
      <c r="B981" s="7"/>
      <c r="C981" s="6"/>
      <c r="D981" s="11"/>
      <c r="E981" s="12"/>
      <c r="F981" s="12"/>
      <c r="G981" s="11"/>
      <c r="H981" s="12"/>
      <c r="I981" s="12"/>
      <c r="J981" s="12"/>
      <c r="K981" s="6"/>
      <c r="L981" s="6"/>
      <c r="M981" s="6"/>
      <c r="N981" s="6"/>
      <c r="O981" s="10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/>
      <c r="B982" s="7"/>
      <c r="C982" s="6"/>
      <c r="D982" s="11"/>
      <c r="E982" s="12"/>
      <c r="F982" s="12"/>
      <c r="G982" s="11"/>
      <c r="H982" s="12"/>
      <c r="I982" s="12"/>
      <c r="J982" s="12"/>
      <c r="K982" s="6"/>
      <c r="L982" s="6"/>
      <c r="M982" s="6"/>
      <c r="N982" s="6"/>
      <c r="O982" s="10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/>
      <c r="B983" s="7"/>
      <c r="C983" s="6"/>
      <c r="D983" s="11"/>
      <c r="E983" s="12"/>
      <c r="F983" s="12"/>
      <c r="G983" s="11"/>
      <c r="H983" s="12"/>
      <c r="I983" s="12"/>
      <c r="J983" s="12"/>
      <c r="K983" s="6"/>
      <c r="L983" s="6"/>
      <c r="M983" s="6"/>
      <c r="N983" s="6"/>
      <c r="O983" s="10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/>
      <c r="B984" s="7"/>
      <c r="C984" s="6"/>
      <c r="D984" s="11"/>
      <c r="E984" s="12"/>
      <c r="F984" s="12"/>
      <c r="G984" s="11"/>
      <c r="H984" s="12"/>
      <c r="I984" s="12"/>
      <c r="J984" s="12"/>
      <c r="K984" s="6"/>
      <c r="L984" s="6"/>
      <c r="M984" s="6"/>
      <c r="N984" s="6"/>
      <c r="O984" s="10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/>
      <c r="B985" s="7"/>
      <c r="C985" s="6"/>
      <c r="D985" s="11"/>
      <c r="E985" s="12"/>
      <c r="F985" s="12"/>
      <c r="G985" s="11"/>
      <c r="H985" s="12"/>
      <c r="I985" s="12"/>
      <c r="J985" s="12"/>
      <c r="K985" s="6"/>
      <c r="L985" s="6"/>
      <c r="M985" s="6"/>
      <c r="N985" s="6"/>
      <c r="O985" s="10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/>
      <c r="B986" s="7"/>
      <c r="C986" s="6"/>
      <c r="D986" s="11"/>
      <c r="E986" s="12"/>
      <c r="F986" s="12"/>
      <c r="G986" s="11"/>
      <c r="H986" s="12"/>
      <c r="I986" s="12"/>
      <c r="J986" s="12"/>
      <c r="K986" s="6"/>
      <c r="L986" s="6"/>
      <c r="M986" s="6"/>
      <c r="N986" s="6"/>
      <c r="O986" s="10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/>
      <c r="B987" s="7"/>
      <c r="C987" s="6"/>
      <c r="D987" s="11"/>
      <c r="E987" s="12"/>
      <c r="F987" s="12"/>
      <c r="G987" s="11"/>
      <c r="H987" s="12"/>
      <c r="I987" s="12"/>
      <c r="J987" s="12"/>
      <c r="K987" s="6"/>
      <c r="L987" s="6"/>
      <c r="M987" s="6"/>
      <c r="N987" s="6"/>
      <c r="O987" s="10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/>
      <c r="B988" s="7"/>
      <c r="C988" s="6"/>
      <c r="D988" s="11"/>
      <c r="E988" s="12"/>
      <c r="F988" s="12"/>
      <c r="G988" s="11"/>
      <c r="H988" s="12"/>
      <c r="I988" s="12"/>
      <c r="J988" s="12"/>
      <c r="K988" s="6"/>
      <c r="L988" s="6"/>
      <c r="M988" s="6"/>
      <c r="N988" s="6"/>
      <c r="O988" s="10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/>
      <c r="B989" s="7"/>
      <c r="C989" s="6"/>
      <c r="D989" s="11"/>
      <c r="E989" s="12"/>
      <c r="F989" s="12"/>
      <c r="G989" s="11"/>
      <c r="H989" s="12"/>
      <c r="I989" s="12"/>
      <c r="J989" s="12"/>
      <c r="K989" s="6"/>
      <c r="L989" s="6"/>
      <c r="M989" s="6"/>
      <c r="N989" s="6"/>
      <c r="O989" s="10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/>
      <c r="B990" s="7"/>
      <c r="C990" s="6"/>
      <c r="D990" s="11"/>
      <c r="E990" s="12"/>
      <c r="F990" s="12"/>
      <c r="G990" s="11"/>
      <c r="H990" s="12"/>
      <c r="I990" s="12"/>
      <c r="J990" s="12"/>
      <c r="K990" s="6"/>
      <c r="L990" s="6"/>
      <c r="M990" s="6"/>
      <c r="N990" s="6"/>
      <c r="O990" s="10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/>
      <c r="B991" s="7"/>
      <c r="C991" s="6"/>
      <c r="D991" s="11"/>
      <c r="E991" s="12"/>
      <c r="F991" s="12"/>
      <c r="G991" s="11"/>
      <c r="H991" s="12"/>
      <c r="I991" s="12"/>
      <c r="J991" s="12"/>
      <c r="K991" s="6"/>
      <c r="L991" s="6"/>
      <c r="M991" s="6"/>
      <c r="N991" s="6"/>
      <c r="O991" s="10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/>
      <c r="B992" s="7"/>
      <c r="C992" s="6"/>
      <c r="D992" s="11"/>
      <c r="E992" s="12"/>
      <c r="F992" s="12"/>
      <c r="G992" s="11"/>
      <c r="H992" s="12"/>
      <c r="I992" s="12"/>
      <c r="J992" s="12"/>
      <c r="K992" s="6"/>
      <c r="L992" s="6"/>
      <c r="M992" s="6"/>
      <c r="N992" s="6"/>
      <c r="O992" s="10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/>
      <c r="B993" s="7"/>
      <c r="C993" s="6"/>
      <c r="D993" s="11"/>
      <c r="E993" s="12"/>
      <c r="F993" s="12"/>
      <c r="G993" s="11"/>
      <c r="H993" s="12"/>
      <c r="I993" s="12"/>
      <c r="J993" s="12"/>
      <c r="K993" s="6"/>
      <c r="L993" s="6"/>
      <c r="M993" s="6"/>
      <c r="N993" s="6"/>
      <c r="O993" s="10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/>
      <c r="B994" s="7"/>
      <c r="C994" s="6"/>
      <c r="D994" s="11"/>
      <c r="E994" s="12"/>
      <c r="F994" s="12"/>
      <c r="G994" s="11"/>
      <c r="H994" s="12"/>
      <c r="I994" s="12"/>
      <c r="J994" s="12"/>
      <c r="K994" s="6"/>
      <c r="L994" s="6"/>
      <c r="M994" s="6"/>
      <c r="N994" s="6"/>
      <c r="O994" s="10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/>
      <c r="B995" s="7"/>
      <c r="C995" s="6"/>
      <c r="D995" s="11"/>
      <c r="E995" s="12"/>
      <c r="F995" s="12"/>
      <c r="G995" s="11"/>
      <c r="H995" s="12"/>
      <c r="I995" s="12"/>
      <c r="J995" s="12"/>
      <c r="K995" s="6"/>
      <c r="L995" s="6"/>
      <c r="M995" s="6"/>
      <c r="N995" s="6"/>
      <c r="O995" s="10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/>
      <c r="B996" s="7"/>
      <c r="C996" s="6"/>
      <c r="D996" s="11"/>
      <c r="E996" s="12"/>
      <c r="F996" s="12"/>
      <c r="G996" s="11"/>
      <c r="H996" s="12"/>
      <c r="I996" s="12"/>
      <c r="J996" s="12"/>
      <c r="K996" s="6"/>
      <c r="L996" s="6"/>
      <c r="M996" s="6"/>
      <c r="N996" s="6"/>
      <c r="O996" s="10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/>
      <c r="B997" s="7"/>
      <c r="C997" s="6"/>
      <c r="D997" s="11"/>
      <c r="E997" s="12"/>
      <c r="F997" s="12"/>
      <c r="G997" s="11"/>
      <c r="H997" s="12"/>
      <c r="I997" s="12"/>
      <c r="J997" s="12"/>
      <c r="K997" s="6"/>
      <c r="L997" s="6"/>
      <c r="M997" s="6"/>
      <c r="N997" s="6"/>
      <c r="O997" s="10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/>
      <c r="B998" s="7"/>
      <c r="C998" s="6"/>
      <c r="D998" s="11"/>
      <c r="E998" s="12"/>
      <c r="F998" s="12"/>
      <c r="G998" s="11"/>
      <c r="H998" s="12"/>
      <c r="I998" s="12"/>
      <c r="J998" s="12"/>
      <c r="K998" s="6"/>
      <c r="L998" s="6"/>
      <c r="M998" s="6"/>
      <c r="N998" s="6"/>
      <c r="O998" s="10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/>
      <c r="B999" s="7"/>
      <c r="C999" s="6"/>
      <c r="D999" s="11"/>
      <c r="E999" s="12"/>
      <c r="F999" s="12"/>
      <c r="G999" s="11"/>
      <c r="H999" s="12"/>
      <c r="I999" s="12"/>
      <c r="J999" s="12"/>
      <c r="K999" s="6"/>
      <c r="L999" s="6"/>
      <c r="M999" s="6"/>
      <c r="N999" s="6"/>
      <c r="O999" s="10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/>
      <c r="B1000" s="7"/>
      <c r="C1000" s="6"/>
      <c r="D1000" s="11"/>
      <c r="E1000" s="12"/>
      <c r="F1000" s="12"/>
      <c r="G1000" s="11"/>
      <c r="H1000" s="12"/>
      <c r="I1000" s="12"/>
      <c r="J1000" s="12"/>
      <c r="K1000" s="6"/>
      <c r="L1000" s="6"/>
      <c r="M1000" s="6"/>
      <c r="N1000" s="6"/>
      <c r="O1000" s="10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13"/>
    <col customWidth="1" min="3" max="3" width="15.75"/>
    <col customWidth="1" min="4" max="4" width="12.63"/>
    <col customWidth="1" min="5" max="5" width="16.13"/>
    <col customWidth="1" min="6" max="6" width="11.13"/>
    <col customWidth="1" min="7" max="7" width="12.63"/>
    <col customWidth="1" min="8" max="8" width="23.38"/>
    <col customWidth="1" min="9" max="9" width="9.5"/>
    <col customWidth="1" min="10" max="10" width="6.63"/>
    <col customWidth="1" min="11" max="11" width="6.88"/>
    <col customWidth="1" min="12" max="12" width="19.38"/>
    <col customWidth="1" min="13" max="13" width="19.75"/>
    <col customWidth="1" min="14" max="14" width="14.25"/>
    <col customWidth="1" min="15" max="15" width="8.75"/>
  </cols>
  <sheetData>
    <row r="1">
      <c r="A1" s="4" t="str">
        <f t="array" ref="A1:A1000">IF(LEN(E:E),if(ROW(E:E)=1,"No",ROW(E:E)-1),)</f>
        <v>No</v>
      </c>
      <c r="B1" s="13" t="str">
        <f t="array" ref="B1:B1000">IF(LEN(E:E),if(ROW(E:E)=1,"Timestamp",ifs(E:E="","",B:B="",now(),True,B:B)),)</f>
        <v>Timestamp</v>
      </c>
      <c r="C1" s="4" t="str">
        <f t="array" ref="C1:C1000">IF(LEN(E:E),if(ROW(E:E)=1,"Nomor Registrasi","WAP"&amp;TEXT(ROW(E:E)-1,"BR0000")),)</f>
        <v>Nomor Registrasi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15</v>
      </c>
      <c r="I1" s="3" t="s">
        <v>16</v>
      </c>
      <c r="J1" s="3" t="s">
        <v>4</v>
      </c>
      <c r="K1" s="3" t="s">
        <v>5</v>
      </c>
      <c r="L1" s="3" t="s">
        <v>17</v>
      </c>
      <c r="M1" s="3" t="s">
        <v>6</v>
      </c>
      <c r="N1" s="4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4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4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15"/>
      <c r="S1" s="15"/>
      <c r="T1" s="15"/>
      <c r="U1" s="15"/>
      <c r="V1" s="15"/>
      <c r="W1" s="15"/>
      <c r="X1" s="15"/>
      <c r="Y1" s="15"/>
      <c r="Z1" s="15"/>
    </row>
    <row r="2">
      <c r="A2" s="10">
        <v>1.0</v>
      </c>
      <c r="B2" s="16">
        <v>46168.58870814815</v>
      </c>
      <c r="C2" s="10" t="s">
        <v>18</v>
      </c>
      <c r="D2" s="17" t="s">
        <v>19</v>
      </c>
      <c r="E2" s="18" t="s">
        <v>20</v>
      </c>
      <c r="F2" s="18" t="s">
        <v>21</v>
      </c>
      <c r="G2" s="19" t="s">
        <v>22</v>
      </c>
      <c r="H2" s="19" t="s">
        <v>23</v>
      </c>
      <c r="I2" s="18" t="s">
        <v>24</v>
      </c>
      <c r="J2" s="18">
        <v>4.0</v>
      </c>
      <c r="K2" s="18" t="s">
        <v>12</v>
      </c>
      <c r="L2" s="20" t="s">
        <v>25</v>
      </c>
      <c r="M2" s="21" t="s">
        <v>9</v>
      </c>
      <c r="N2" s="10" t="str">
        <f>IFERROR(__xludf.DUMMYFUNCTION("""COMPUTED_VALUE"""),"Reject")</f>
        <v>Reject</v>
      </c>
      <c r="O2" s="10" t="str">
        <f>IFERROR(__xludf.DUMMYFUNCTION("""COMPUTED_VALUE"""),"Normal")</f>
        <v>Normal</v>
      </c>
      <c r="P2" s="10" t="str">
        <f>IFERROR(__xludf.DUMMYFUNCTION("""COMPUTED_VALUE"""),"Non Urgent")</f>
        <v>Non Urgent</v>
      </c>
      <c r="Q2" s="22" t="str">
        <f>IFERROR(__xludf.DUMMYFUNCTION("""COMPUTED_VALUE"""),"-")</f>
        <v>-</v>
      </c>
      <c r="R2" s="15"/>
      <c r="S2" s="15"/>
      <c r="T2" s="15"/>
      <c r="U2" s="15"/>
      <c r="V2" s="15"/>
      <c r="W2" s="15"/>
      <c r="X2" s="15"/>
      <c r="Y2" s="15"/>
      <c r="Z2" s="15"/>
    </row>
    <row r="3">
      <c r="A3" s="10">
        <v>2.0</v>
      </c>
      <c r="B3" s="16">
        <v>46177.43880142361</v>
      </c>
      <c r="C3" s="10" t="s">
        <v>27</v>
      </c>
      <c r="D3" s="17" t="s">
        <v>8</v>
      </c>
      <c r="E3" s="18" t="s">
        <v>9</v>
      </c>
      <c r="F3" s="18" t="s">
        <v>10</v>
      </c>
      <c r="G3" s="18" t="s">
        <v>28</v>
      </c>
      <c r="H3" s="19" t="s">
        <v>29</v>
      </c>
      <c r="I3" s="18" t="s">
        <v>30</v>
      </c>
      <c r="J3" s="18">
        <v>1.0</v>
      </c>
      <c r="K3" s="18" t="s">
        <v>31</v>
      </c>
      <c r="L3" s="23" t="s">
        <v>32</v>
      </c>
      <c r="M3" s="19" t="s">
        <v>9</v>
      </c>
      <c r="N3" s="10" t="str">
        <f>IFERROR(__xludf.DUMMYFUNCTION("""COMPUTED_VALUE"""),"Waiting")</f>
        <v>Waiting</v>
      </c>
      <c r="O3" s="10" t="str">
        <f>IFERROR(__xludf.DUMMYFUNCTION("""COMPUTED_VALUE"""),"Waiting")</f>
        <v>Waiting</v>
      </c>
      <c r="P3" s="10" t="str">
        <f>IFERROR(__xludf.DUMMYFUNCTION("""COMPUTED_VALUE"""),"Non Urgent")</f>
        <v>Non Urgent</v>
      </c>
      <c r="Q3" s="22" t="str">
        <f>IFERROR(__xludf.DUMMYFUNCTION("""COMPUTED_VALUE"""),"-")</f>
        <v>-</v>
      </c>
      <c r="R3" s="15"/>
      <c r="S3" s="15"/>
      <c r="T3" s="15"/>
      <c r="U3" s="15"/>
      <c r="V3" s="15"/>
      <c r="W3" s="15"/>
      <c r="X3" s="15"/>
      <c r="Y3" s="15"/>
      <c r="Z3" s="15"/>
    </row>
    <row r="4">
      <c r="A4" s="10">
        <v>3.0</v>
      </c>
      <c r="B4" s="16">
        <v>46177.54958222222</v>
      </c>
      <c r="C4" s="10" t="s">
        <v>33</v>
      </c>
      <c r="D4" s="17" t="s">
        <v>8</v>
      </c>
      <c r="E4" s="18" t="s">
        <v>9</v>
      </c>
      <c r="F4" s="18" t="s">
        <v>10</v>
      </c>
      <c r="G4" s="18" t="s">
        <v>34</v>
      </c>
      <c r="H4" s="18" t="s">
        <v>35</v>
      </c>
      <c r="I4" s="18" t="s">
        <v>36</v>
      </c>
      <c r="J4" s="18">
        <v>5.0</v>
      </c>
      <c r="K4" s="18" t="s">
        <v>12</v>
      </c>
      <c r="L4" s="24" t="s">
        <v>37</v>
      </c>
      <c r="M4" s="19" t="s">
        <v>9</v>
      </c>
      <c r="N4" s="10" t="str">
        <f>IFERROR(__xludf.DUMMYFUNCTION("""COMPUTED_VALUE"""),"Approve")</f>
        <v>Approve</v>
      </c>
      <c r="O4" s="10" t="str">
        <f>IFERROR(__xludf.DUMMYFUNCTION("""COMPUTED_VALUE"""),"Normal")</f>
        <v>Normal</v>
      </c>
      <c r="P4" s="10" t="str">
        <f>IFERROR(__xludf.DUMMYFUNCTION("""COMPUTED_VALUE"""),"Non Urgent")</f>
        <v>Non Urgent</v>
      </c>
      <c r="Q4" s="22" t="str">
        <f>IFERROR(__xludf.DUMMYFUNCTION("""COMPUTED_VALUE"""),"-")</f>
        <v>-</v>
      </c>
      <c r="R4" s="15"/>
      <c r="S4" s="15"/>
      <c r="T4" s="15"/>
      <c r="U4" s="15"/>
      <c r="V4" s="15"/>
      <c r="W4" s="15"/>
      <c r="X4" s="15"/>
      <c r="Y4" s="15"/>
      <c r="Z4" s="15"/>
    </row>
    <row r="5">
      <c r="A5" s="10">
        <v>4.0</v>
      </c>
      <c r="B5" s="16">
        <v>46191.61530452546</v>
      </c>
      <c r="C5" s="10" t="s">
        <v>38</v>
      </c>
      <c r="D5" s="17" t="s">
        <v>8</v>
      </c>
      <c r="E5" s="18" t="s">
        <v>9</v>
      </c>
      <c r="F5" s="18" t="s">
        <v>39</v>
      </c>
      <c r="G5" s="18" t="s">
        <v>40</v>
      </c>
      <c r="H5" s="19" t="s">
        <v>41</v>
      </c>
      <c r="I5" s="18" t="s">
        <v>42</v>
      </c>
      <c r="J5" s="18">
        <v>3.0</v>
      </c>
      <c r="K5" s="18" t="s">
        <v>43</v>
      </c>
      <c r="L5" s="25" t="s">
        <v>44</v>
      </c>
      <c r="M5" s="19" t="s">
        <v>9</v>
      </c>
      <c r="N5" s="10" t="str">
        <f>IFERROR(__xludf.DUMMYFUNCTION("""COMPUTED_VALUE"""),"Approve")</f>
        <v>Approve</v>
      </c>
      <c r="O5" s="10" t="str">
        <f>IFERROR(__xludf.DUMMYFUNCTION("""COMPUTED_VALUE"""),"Normal")</f>
        <v>Normal</v>
      </c>
      <c r="P5" s="10" t="str">
        <f>IFERROR(__xludf.DUMMYFUNCTION("""COMPUTED_VALUE"""),"Non Urgent")</f>
        <v>Non Urgent</v>
      </c>
      <c r="Q5" s="22" t="str">
        <f>IFERROR(__xludf.DUMMYFUNCTION("""COMPUTED_VALUE"""),"-")</f>
        <v>-</v>
      </c>
      <c r="R5" s="15"/>
      <c r="S5" s="15"/>
      <c r="T5" s="15"/>
      <c r="U5" s="15"/>
      <c r="V5" s="15"/>
      <c r="W5" s="15"/>
      <c r="X5" s="15"/>
      <c r="Y5" s="15"/>
      <c r="Z5" s="15"/>
    </row>
    <row r="6">
      <c r="A6" s="10">
        <v>5.0</v>
      </c>
      <c r="B6" s="16">
        <v>46199.583685439815</v>
      </c>
      <c r="C6" s="10" t="s">
        <v>45</v>
      </c>
      <c r="D6" s="17" t="s">
        <v>19</v>
      </c>
      <c r="E6" s="18" t="s">
        <v>46</v>
      </c>
      <c r="F6" s="18" t="s">
        <v>47</v>
      </c>
      <c r="G6" s="18" t="s">
        <v>48</v>
      </c>
      <c r="H6" s="26" t="s">
        <v>49</v>
      </c>
      <c r="I6" s="18" t="s">
        <v>50</v>
      </c>
      <c r="J6" s="18">
        <v>2.0</v>
      </c>
      <c r="K6" s="18" t="s">
        <v>43</v>
      </c>
      <c r="L6" s="24" t="s">
        <v>51</v>
      </c>
      <c r="M6" s="19" t="s">
        <v>9</v>
      </c>
      <c r="N6" s="10" t="str">
        <f>IFERROR(__xludf.DUMMYFUNCTION("""COMPUTED_VALUE"""),"Approve")</f>
        <v>Approve</v>
      </c>
      <c r="O6" s="10" t="str">
        <f>IFERROR(__xludf.DUMMYFUNCTION("""COMPUTED_VALUE"""),"Normal")</f>
        <v>Normal</v>
      </c>
      <c r="P6" s="10" t="str">
        <f>IFERROR(__xludf.DUMMYFUNCTION("""COMPUTED_VALUE"""),"Non Urgent")</f>
        <v>Non Urgent</v>
      </c>
      <c r="Q6" s="22" t="str">
        <f>IFERROR(__xludf.DUMMYFUNCTION("""COMPUTED_VALUE"""),"Approval Item Code")</f>
        <v>Approval Item Code</v>
      </c>
      <c r="R6" s="15"/>
      <c r="S6" s="15"/>
      <c r="T6" s="15"/>
      <c r="U6" s="15"/>
      <c r="V6" s="15"/>
      <c r="W6" s="15"/>
      <c r="X6" s="15"/>
      <c r="Y6" s="15"/>
      <c r="Z6" s="15"/>
    </row>
    <row r="7">
      <c r="A7" s="10">
        <v>6.0</v>
      </c>
      <c r="B7" s="16">
        <v>46202.55965273148</v>
      </c>
      <c r="C7" s="10" t="s">
        <v>52</v>
      </c>
      <c r="D7" s="17" t="s">
        <v>19</v>
      </c>
      <c r="E7" s="27" t="s">
        <v>53</v>
      </c>
      <c r="F7" s="18" t="s">
        <v>54</v>
      </c>
      <c r="G7" s="18" t="s">
        <v>55</v>
      </c>
      <c r="H7" s="19" t="s">
        <v>56</v>
      </c>
      <c r="I7" s="18" t="s">
        <v>57</v>
      </c>
      <c r="J7" s="18">
        <v>4.0</v>
      </c>
      <c r="K7" s="18" t="s">
        <v>43</v>
      </c>
      <c r="L7" s="25" t="s">
        <v>58</v>
      </c>
      <c r="M7" s="19" t="s">
        <v>59</v>
      </c>
      <c r="N7" s="10" t="str">
        <f>IFERROR(__xludf.DUMMYFUNCTION("""COMPUTED_VALUE"""),"Approve")</f>
        <v>Approve</v>
      </c>
      <c r="O7" s="10" t="str">
        <f>IFERROR(__xludf.DUMMYFUNCTION("""COMPUTED_VALUE"""),"Normal")</f>
        <v>Normal</v>
      </c>
      <c r="P7" s="10" t="str">
        <f>IFERROR(__xludf.DUMMYFUNCTION("""COMPUTED_VALUE"""),"Non Urgent")</f>
        <v>Non Urgent</v>
      </c>
      <c r="Q7" s="22" t="str">
        <f>IFERROR(__xludf.DUMMYFUNCTION("""COMPUTED_VALUE"""),"-")</f>
        <v>-</v>
      </c>
      <c r="R7" s="15"/>
      <c r="S7" s="15"/>
      <c r="T7" s="15"/>
      <c r="U7" s="15"/>
      <c r="V7" s="15"/>
      <c r="W7" s="15"/>
      <c r="X7" s="15"/>
      <c r="Y7" s="15"/>
      <c r="Z7" s="15"/>
    </row>
    <row r="8">
      <c r="A8" s="10">
        <v>7.0</v>
      </c>
      <c r="B8" s="16">
        <v>46202.5593405324</v>
      </c>
      <c r="C8" s="10" t="s">
        <v>60</v>
      </c>
      <c r="D8" s="17" t="s">
        <v>19</v>
      </c>
      <c r="E8" s="18" t="s">
        <v>61</v>
      </c>
      <c r="F8" s="18" t="s">
        <v>54</v>
      </c>
      <c r="G8" s="18" t="s">
        <v>62</v>
      </c>
      <c r="H8" s="28" t="s">
        <v>63</v>
      </c>
      <c r="I8" s="19" t="s">
        <v>64</v>
      </c>
      <c r="J8" s="19">
        <v>4.0</v>
      </c>
      <c r="K8" s="19" t="s">
        <v>43</v>
      </c>
      <c r="L8" s="25" t="s">
        <v>65</v>
      </c>
      <c r="M8" s="19" t="s">
        <v>9</v>
      </c>
      <c r="N8" s="10" t="str">
        <f>IFERROR(__xludf.DUMMYFUNCTION("""COMPUTED_VALUE"""),"Waiting")</f>
        <v>Waiting</v>
      </c>
      <c r="O8" s="10" t="str">
        <f>IFERROR(__xludf.DUMMYFUNCTION("""COMPUTED_VALUE"""),"Waiting")</f>
        <v>Waiting</v>
      </c>
      <c r="P8" s="10" t="str">
        <f>IFERROR(__xludf.DUMMYFUNCTION("""COMPUTED_VALUE"""),"Non Urgent")</f>
        <v>Non Urgent</v>
      </c>
      <c r="Q8" s="22" t="str">
        <f>IFERROR(__xludf.DUMMYFUNCTION("""COMPUTED_VALUE"""),"-")</f>
        <v>-</v>
      </c>
      <c r="R8" s="15"/>
      <c r="S8" s="15"/>
      <c r="T8" s="15"/>
      <c r="U8" s="15"/>
      <c r="V8" s="15"/>
      <c r="W8" s="15"/>
      <c r="X8" s="15"/>
      <c r="Y8" s="15"/>
      <c r="Z8" s="15"/>
    </row>
    <row r="9">
      <c r="A9" s="10">
        <v>8.0</v>
      </c>
      <c r="B9" s="16">
        <v>46230.4345216088</v>
      </c>
      <c r="C9" s="10" t="s">
        <v>66</v>
      </c>
      <c r="D9" s="17" t="s">
        <v>8</v>
      </c>
      <c r="E9" s="18" t="s">
        <v>9</v>
      </c>
      <c r="F9" s="18" t="s">
        <v>67</v>
      </c>
      <c r="G9" s="18" t="s">
        <v>68</v>
      </c>
      <c r="H9" s="29" t="s">
        <v>69</v>
      </c>
      <c r="I9" s="18" t="s">
        <v>70</v>
      </c>
      <c r="J9" s="18">
        <v>1.0</v>
      </c>
      <c r="K9" s="18" t="s">
        <v>43</v>
      </c>
      <c r="L9" s="25" t="s">
        <v>71</v>
      </c>
      <c r="M9" s="19" t="s">
        <v>9</v>
      </c>
      <c r="N9" s="10" t="str">
        <f>IFERROR(__xludf.DUMMYFUNCTION("""COMPUTED_VALUE"""),"Approve")</f>
        <v>Approve</v>
      </c>
      <c r="O9" s="10" t="str">
        <f>IFERROR(__xludf.DUMMYFUNCTION("""COMPUTED_VALUE"""),"Normal")</f>
        <v>Normal</v>
      </c>
      <c r="P9" s="10" t="str">
        <f>IFERROR(__xludf.DUMMYFUNCTION("""COMPUTED_VALUE"""),"Non Urgent")</f>
        <v>Non Urgent</v>
      </c>
      <c r="Q9" s="22" t="str">
        <f>IFERROR(__xludf.DUMMYFUNCTION("""COMPUTED_VALUE"""),"-")</f>
        <v>-</v>
      </c>
      <c r="R9" s="15"/>
      <c r="S9" s="15"/>
      <c r="T9" s="15"/>
      <c r="U9" s="15"/>
      <c r="V9" s="15"/>
      <c r="W9" s="15"/>
      <c r="X9" s="15"/>
      <c r="Y9" s="15"/>
      <c r="Z9" s="15"/>
    </row>
    <row r="10">
      <c r="A10" s="10">
        <v>9.0</v>
      </c>
      <c r="B10" s="16">
        <v>46230.440919953704</v>
      </c>
      <c r="C10" s="10" t="s">
        <v>72</v>
      </c>
      <c r="D10" s="17" t="s">
        <v>8</v>
      </c>
      <c r="E10" s="18" t="s">
        <v>9</v>
      </c>
      <c r="F10" s="18" t="s">
        <v>67</v>
      </c>
      <c r="G10" s="18" t="s">
        <v>73</v>
      </c>
      <c r="H10" s="9" t="s">
        <v>41</v>
      </c>
      <c r="I10" s="19" t="s">
        <v>74</v>
      </c>
      <c r="J10" s="18">
        <v>3.0</v>
      </c>
      <c r="K10" s="18" t="s">
        <v>43</v>
      </c>
      <c r="L10" s="30" t="s">
        <v>75</v>
      </c>
      <c r="M10" s="19" t="s">
        <v>9</v>
      </c>
      <c r="N10" s="10" t="str">
        <f>IFERROR(__xludf.DUMMYFUNCTION("""COMPUTED_VALUE"""),"Approve")</f>
        <v>Approve</v>
      </c>
      <c r="O10" s="10" t="str">
        <f>IFERROR(__xludf.DUMMYFUNCTION("""COMPUTED_VALUE"""),"Normal")</f>
        <v>Normal</v>
      </c>
      <c r="P10" s="10" t="str">
        <f>IFERROR(__xludf.DUMMYFUNCTION("""COMPUTED_VALUE"""),"Non Urgent")</f>
        <v>Non Urgent</v>
      </c>
      <c r="Q10" s="22" t="str">
        <f>IFERROR(__xludf.DUMMYFUNCTION("""COMPUTED_VALUE"""),"-")</f>
        <v>-</v>
      </c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0">
        <v>10.0</v>
      </c>
      <c r="B11" s="16">
        <v>46267.3408574537</v>
      </c>
      <c r="C11" s="10" t="s">
        <v>76</v>
      </c>
      <c r="D11" s="17" t="s">
        <v>8</v>
      </c>
      <c r="E11" s="18" t="s">
        <v>9</v>
      </c>
      <c r="F11" s="18" t="s">
        <v>77</v>
      </c>
      <c r="G11" s="19" t="s">
        <v>78</v>
      </c>
      <c r="H11" s="29" t="s">
        <v>79</v>
      </c>
      <c r="I11" s="18" t="s">
        <v>80</v>
      </c>
      <c r="J11" s="18">
        <v>2.0</v>
      </c>
      <c r="K11" s="18" t="s">
        <v>43</v>
      </c>
      <c r="L11" s="23" t="s">
        <v>81</v>
      </c>
      <c r="M11" s="19" t="s">
        <v>9</v>
      </c>
      <c r="N11" s="10" t="str">
        <f>IFERROR(__xludf.DUMMYFUNCTION("""COMPUTED_VALUE"""),"Reject")</f>
        <v>Reject</v>
      </c>
      <c r="O11" s="10" t="str">
        <f>IFERROR(__xludf.DUMMYFUNCTION("""COMPUTED_VALUE"""),"Normal")</f>
        <v>Normal</v>
      </c>
      <c r="P11" s="10" t="str">
        <f>IFERROR(__xludf.DUMMYFUNCTION("""COMPUTED_VALUE"""),"Non Urgent")</f>
        <v>Non Urgent</v>
      </c>
      <c r="Q11" s="22" t="str">
        <f>IFERROR(__xludf.DUMMYFUNCTION("""COMPUTED_VALUE"""),"-")</f>
        <v>-</v>
      </c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0">
        <v>11.0</v>
      </c>
      <c r="B12" s="16">
        <v>46274.5643337037</v>
      </c>
      <c r="C12" s="10" t="s">
        <v>82</v>
      </c>
      <c r="D12" s="17" t="s">
        <v>19</v>
      </c>
      <c r="E12" s="18" t="s">
        <v>9</v>
      </c>
      <c r="F12" s="18" t="s">
        <v>77</v>
      </c>
      <c r="G12" s="18" t="s">
        <v>83</v>
      </c>
      <c r="H12" s="29" t="s">
        <v>84</v>
      </c>
      <c r="I12" s="18" t="s">
        <v>85</v>
      </c>
      <c r="J12" s="18">
        <v>2.0</v>
      </c>
      <c r="K12" s="18" t="s">
        <v>43</v>
      </c>
      <c r="L12" s="25" t="s">
        <v>86</v>
      </c>
      <c r="M12" s="19" t="s">
        <v>9</v>
      </c>
      <c r="N12" s="10" t="str">
        <f>IFERROR(__xludf.DUMMYFUNCTION("""COMPUTED_VALUE"""),"Waiting")</f>
        <v>Waiting</v>
      </c>
      <c r="O12" s="10" t="str">
        <f>IFERROR(__xludf.DUMMYFUNCTION("""COMPUTED_VALUE"""),"Waiting")</f>
        <v>Waiting</v>
      </c>
      <c r="P12" s="10" t="str">
        <f>IFERROR(__xludf.DUMMYFUNCTION("""COMPUTED_VALUE"""),"Non Urgent")</f>
        <v>Non Urgent</v>
      </c>
      <c r="Q12" s="22" t="str">
        <f>IFERROR(__xludf.DUMMYFUNCTION("""COMPUTED_VALUE"""),"-")</f>
        <v>-</v>
      </c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0"/>
      <c r="B13" s="16"/>
      <c r="C13" s="10"/>
      <c r="D13" s="17"/>
      <c r="E13" s="18"/>
      <c r="F13" s="18"/>
      <c r="G13" s="19"/>
      <c r="H13" s="31"/>
      <c r="I13" s="18"/>
      <c r="J13" s="18"/>
      <c r="K13" s="18"/>
      <c r="L13" s="32"/>
      <c r="M13" s="19"/>
      <c r="N13" s="10"/>
      <c r="O13" s="10"/>
      <c r="P13" s="10"/>
      <c r="Q13" s="22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0"/>
      <c r="B14" s="16"/>
      <c r="C14" s="10"/>
      <c r="D14" s="17"/>
      <c r="E14" s="18"/>
      <c r="F14" s="18"/>
      <c r="G14" s="19"/>
      <c r="H14" s="31"/>
      <c r="I14" s="33"/>
      <c r="J14" s="18"/>
      <c r="K14" s="18"/>
      <c r="L14" s="32"/>
      <c r="M14" s="19"/>
      <c r="N14" s="10"/>
      <c r="O14" s="10"/>
      <c r="P14" s="10"/>
      <c r="Q14" s="22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0"/>
      <c r="B15" s="16"/>
      <c r="C15" s="10"/>
      <c r="D15" s="17"/>
      <c r="E15" s="18"/>
      <c r="F15" s="18"/>
      <c r="G15" s="19"/>
      <c r="H15" s="19"/>
      <c r="I15" s="33"/>
      <c r="J15" s="18"/>
      <c r="K15" s="18"/>
      <c r="L15" s="32"/>
      <c r="M15" s="19"/>
      <c r="N15" s="10"/>
      <c r="O15" s="10"/>
      <c r="P15" s="10"/>
      <c r="Q15" s="22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0"/>
      <c r="B16" s="16"/>
      <c r="C16" s="10"/>
      <c r="D16" s="17"/>
      <c r="E16" s="18"/>
      <c r="F16" s="18"/>
      <c r="G16" s="19"/>
      <c r="H16" s="31"/>
      <c r="I16" s="33"/>
      <c r="J16" s="18"/>
      <c r="K16" s="18"/>
      <c r="L16" s="32"/>
      <c r="M16" s="19"/>
      <c r="N16" s="10"/>
      <c r="O16" s="10"/>
      <c r="P16" s="10"/>
      <c r="Q16" s="22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0"/>
      <c r="B17" s="16"/>
      <c r="C17" s="10"/>
      <c r="D17" s="17"/>
      <c r="E17" s="34"/>
      <c r="F17" s="18"/>
      <c r="G17" s="18"/>
      <c r="H17" s="31"/>
      <c r="I17" s="18"/>
      <c r="J17" s="18"/>
      <c r="K17" s="18"/>
      <c r="L17" s="32"/>
      <c r="M17" s="19"/>
      <c r="N17" s="10"/>
      <c r="O17" s="10"/>
      <c r="P17" s="10"/>
      <c r="Q17" s="22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0"/>
      <c r="B18" s="16"/>
      <c r="C18" s="10"/>
      <c r="D18" s="17"/>
      <c r="E18" s="18"/>
      <c r="F18" s="18"/>
      <c r="G18" s="18"/>
      <c r="H18" s="31"/>
      <c r="I18" s="18"/>
      <c r="J18" s="18"/>
      <c r="K18" s="18"/>
      <c r="L18" s="32"/>
      <c r="M18" s="18"/>
      <c r="N18" s="10"/>
      <c r="O18" s="10"/>
      <c r="P18" s="10"/>
      <c r="Q18" s="22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0"/>
      <c r="B19" s="16"/>
      <c r="C19" s="10"/>
      <c r="D19" s="35"/>
      <c r="E19" s="36"/>
      <c r="F19" s="36"/>
      <c r="G19" s="36"/>
      <c r="H19" s="36"/>
      <c r="I19" s="18"/>
      <c r="J19" s="18"/>
      <c r="K19" s="18"/>
      <c r="L19" s="37"/>
      <c r="M19" s="19"/>
      <c r="N19" s="10"/>
      <c r="O19" s="10"/>
      <c r="P19" s="10"/>
      <c r="Q19" s="22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0"/>
      <c r="B20" s="16"/>
      <c r="C20" s="10"/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10"/>
      <c r="O20" s="10"/>
      <c r="P20" s="10"/>
      <c r="Q20" s="22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0"/>
      <c r="B21" s="16"/>
      <c r="C21" s="10"/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10"/>
      <c r="O21" s="10"/>
      <c r="P21" s="10"/>
      <c r="Q21" s="22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0"/>
      <c r="B22" s="16"/>
      <c r="C22" s="10"/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10"/>
      <c r="O22" s="10"/>
      <c r="P22" s="10"/>
      <c r="Q22" s="22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0"/>
      <c r="B23" s="16"/>
      <c r="C23" s="10"/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10"/>
      <c r="O23" s="10"/>
      <c r="P23" s="10"/>
      <c r="Q23" s="22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0"/>
      <c r="B24" s="16"/>
      <c r="C24" s="10"/>
      <c r="D24" s="35"/>
      <c r="E24" s="36"/>
      <c r="F24" s="36"/>
      <c r="G24" s="36"/>
      <c r="H24" s="36"/>
      <c r="I24" s="36"/>
      <c r="J24" s="36"/>
      <c r="K24" s="36"/>
      <c r="L24" s="36"/>
      <c r="M24" s="36"/>
      <c r="N24" s="10"/>
      <c r="O24" s="10"/>
      <c r="P24" s="10"/>
      <c r="Q24" s="22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0"/>
      <c r="B25" s="16"/>
      <c r="C25" s="10"/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10"/>
      <c r="O25" s="10"/>
      <c r="P25" s="10"/>
      <c r="Q25" s="22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0"/>
      <c r="B26" s="16"/>
      <c r="C26" s="10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10"/>
      <c r="O26" s="10"/>
      <c r="P26" s="10"/>
      <c r="Q26" s="22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0"/>
      <c r="B27" s="16"/>
      <c r="C27" s="10"/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10"/>
      <c r="O27" s="10"/>
      <c r="P27" s="10"/>
      <c r="Q27" s="22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0"/>
      <c r="B28" s="16"/>
      <c r="C28" s="10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10"/>
      <c r="O28" s="10"/>
      <c r="P28" s="10"/>
      <c r="Q28" s="22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0"/>
      <c r="B29" s="16"/>
      <c r="C29" s="10"/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10"/>
      <c r="O29" s="10"/>
      <c r="P29" s="10"/>
      <c r="Q29" s="22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0"/>
      <c r="B30" s="16"/>
      <c r="C30" s="10"/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10"/>
      <c r="O30" s="10"/>
      <c r="P30" s="10"/>
      <c r="Q30" s="22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0"/>
      <c r="B31" s="16"/>
      <c r="C31" s="10"/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10"/>
      <c r="O31" s="10"/>
      <c r="P31" s="10"/>
      <c r="Q31" s="22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0"/>
      <c r="B32" s="16"/>
      <c r="C32" s="10"/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10"/>
      <c r="O32" s="10"/>
      <c r="P32" s="10"/>
      <c r="Q32" s="22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0"/>
      <c r="B33" s="16"/>
      <c r="C33" s="10"/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10"/>
      <c r="O33" s="10"/>
      <c r="P33" s="10"/>
      <c r="Q33" s="22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0"/>
      <c r="B34" s="16"/>
      <c r="C34" s="10"/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10"/>
      <c r="O34" s="10"/>
      <c r="P34" s="10"/>
      <c r="Q34" s="22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0"/>
      <c r="B35" s="16"/>
      <c r="C35" s="10"/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10"/>
      <c r="O35" s="10"/>
      <c r="P35" s="10"/>
      <c r="Q35" s="22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0"/>
      <c r="B36" s="16"/>
      <c r="C36" s="10"/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10"/>
      <c r="O36" s="10"/>
      <c r="P36" s="10"/>
      <c r="Q36" s="22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0"/>
      <c r="B37" s="16"/>
      <c r="C37" s="10"/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10"/>
      <c r="O37" s="10"/>
      <c r="P37" s="10"/>
      <c r="Q37" s="22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0"/>
      <c r="B38" s="16"/>
      <c r="C38" s="10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10"/>
      <c r="O38" s="10"/>
      <c r="P38" s="10"/>
      <c r="Q38" s="22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0"/>
      <c r="B39" s="16"/>
      <c r="C39" s="10"/>
      <c r="D39" s="35"/>
      <c r="E39" s="36"/>
      <c r="F39" s="36"/>
      <c r="G39" s="36"/>
      <c r="H39" s="36"/>
      <c r="I39" s="36"/>
      <c r="J39" s="36"/>
      <c r="K39" s="36"/>
      <c r="L39" s="36"/>
      <c r="M39" s="36"/>
      <c r="N39" s="10"/>
      <c r="O39" s="10"/>
      <c r="P39" s="10"/>
      <c r="Q39" s="22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0"/>
      <c r="B40" s="16"/>
      <c r="C40" s="10"/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10"/>
      <c r="O40" s="10"/>
      <c r="P40" s="10"/>
      <c r="Q40" s="22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0"/>
      <c r="B41" s="16"/>
      <c r="C41" s="10"/>
      <c r="D41" s="35"/>
      <c r="E41" s="36"/>
      <c r="F41" s="36"/>
      <c r="G41" s="36"/>
      <c r="H41" s="36"/>
      <c r="I41" s="36"/>
      <c r="J41" s="36"/>
      <c r="K41" s="36"/>
      <c r="L41" s="36"/>
      <c r="M41" s="36"/>
      <c r="N41" s="10"/>
      <c r="O41" s="10"/>
      <c r="P41" s="10"/>
      <c r="Q41" s="22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0"/>
      <c r="B42" s="16"/>
      <c r="C42" s="10"/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10"/>
      <c r="O42" s="10"/>
      <c r="P42" s="10"/>
      <c r="Q42" s="22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0"/>
      <c r="B43" s="16"/>
      <c r="C43" s="10"/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10"/>
      <c r="O43" s="10"/>
      <c r="P43" s="10"/>
      <c r="Q43" s="22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0"/>
      <c r="B44" s="16"/>
      <c r="C44" s="10"/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10"/>
      <c r="O44" s="10"/>
      <c r="P44" s="10"/>
      <c r="Q44" s="22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0"/>
      <c r="B45" s="16"/>
      <c r="C45" s="10"/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10"/>
      <c r="O45" s="10"/>
      <c r="P45" s="10"/>
      <c r="Q45" s="22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0"/>
      <c r="B46" s="16"/>
      <c r="C46" s="10"/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10"/>
      <c r="O46" s="10"/>
      <c r="P46" s="10"/>
      <c r="Q46" s="22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0"/>
      <c r="B47" s="16"/>
      <c r="C47" s="10"/>
      <c r="D47" s="35"/>
      <c r="E47" s="36"/>
      <c r="F47" s="36"/>
      <c r="G47" s="36"/>
      <c r="H47" s="36"/>
      <c r="I47" s="36"/>
      <c r="J47" s="36"/>
      <c r="K47" s="36"/>
      <c r="L47" s="36"/>
      <c r="M47" s="36"/>
      <c r="N47" s="10"/>
      <c r="O47" s="10"/>
      <c r="P47" s="10"/>
      <c r="Q47" s="22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0"/>
      <c r="B48" s="16"/>
      <c r="C48" s="10"/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10"/>
      <c r="O48" s="10"/>
      <c r="P48" s="10"/>
      <c r="Q48" s="22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0"/>
      <c r="B49" s="16"/>
      <c r="C49" s="10"/>
      <c r="D49" s="35"/>
      <c r="E49" s="36"/>
      <c r="F49" s="36"/>
      <c r="G49" s="36"/>
      <c r="H49" s="36"/>
      <c r="I49" s="36"/>
      <c r="J49" s="36"/>
      <c r="K49" s="36"/>
      <c r="L49" s="36"/>
      <c r="M49" s="36"/>
      <c r="N49" s="10"/>
      <c r="O49" s="10"/>
      <c r="P49" s="10"/>
      <c r="Q49" s="22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0"/>
      <c r="B50" s="16"/>
      <c r="C50" s="10"/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10"/>
      <c r="O50" s="10"/>
      <c r="P50" s="10"/>
      <c r="Q50" s="22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0"/>
      <c r="B51" s="16"/>
      <c r="C51" s="10"/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10"/>
      <c r="O51" s="10"/>
      <c r="P51" s="10"/>
      <c r="Q51" s="22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0"/>
      <c r="B52" s="16"/>
      <c r="C52" s="10"/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10"/>
      <c r="O52" s="10"/>
      <c r="P52" s="10"/>
      <c r="Q52" s="22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0"/>
      <c r="B53" s="16"/>
      <c r="C53" s="10"/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10"/>
      <c r="O53" s="10"/>
      <c r="P53" s="10"/>
      <c r="Q53" s="22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0"/>
      <c r="B54" s="16"/>
      <c r="C54" s="10"/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10"/>
      <c r="O54" s="10"/>
      <c r="P54" s="10"/>
      <c r="Q54" s="22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0"/>
      <c r="B55" s="16"/>
      <c r="C55" s="10"/>
      <c r="D55" s="35"/>
      <c r="E55" s="36"/>
      <c r="F55" s="36"/>
      <c r="G55" s="36"/>
      <c r="H55" s="36"/>
      <c r="I55" s="36"/>
      <c r="J55" s="36"/>
      <c r="K55" s="36"/>
      <c r="L55" s="36"/>
      <c r="M55" s="36"/>
      <c r="N55" s="10"/>
      <c r="O55" s="10"/>
      <c r="P55" s="10"/>
      <c r="Q55" s="22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0"/>
      <c r="B56" s="16"/>
      <c r="C56" s="10"/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10"/>
      <c r="O56" s="10"/>
      <c r="P56" s="10"/>
      <c r="Q56" s="22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0"/>
      <c r="B57" s="16"/>
      <c r="C57" s="10"/>
      <c r="D57" s="35"/>
      <c r="E57" s="36"/>
      <c r="F57" s="36"/>
      <c r="G57" s="36"/>
      <c r="H57" s="36"/>
      <c r="I57" s="36"/>
      <c r="J57" s="36"/>
      <c r="K57" s="36"/>
      <c r="L57" s="36"/>
      <c r="M57" s="36"/>
      <c r="N57" s="10"/>
      <c r="O57" s="10"/>
      <c r="P57" s="10"/>
      <c r="Q57" s="22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0"/>
      <c r="B58" s="16"/>
      <c r="C58" s="10"/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10"/>
      <c r="O58" s="10"/>
      <c r="P58" s="10"/>
      <c r="Q58" s="22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0"/>
      <c r="B59" s="16"/>
      <c r="C59" s="10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10"/>
      <c r="O59" s="10"/>
      <c r="P59" s="10"/>
      <c r="Q59" s="22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0"/>
      <c r="B60" s="16"/>
      <c r="C60" s="10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10"/>
      <c r="O60" s="10"/>
      <c r="P60" s="10"/>
      <c r="Q60" s="22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0"/>
      <c r="B61" s="16"/>
      <c r="C61" s="10"/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10"/>
      <c r="O61" s="10"/>
      <c r="P61" s="10"/>
      <c r="Q61" s="22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0"/>
      <c r="B62" s="16"/>
      <c r="C62" s="10"/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10"/>
      <c r="O62" s="10"/>
      <c r="P62" s="10"/>
      <c r="Q62" s="22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0"/>
      <c r="B63" s="16"/>
      <c r="C63" s="10"/>
      <c r="D63" s="35"/>
      <c r="E63" s="36"/>
      <c r="F63" s="36"/>
      <c r="G63" s="36"/>
      <c r="H63" s="36"/>
      <c r="I63" s="36"/>
      <c r="J63" s="36"/>
      <c r="K63" s="36"/>
      <c r="L63" s="36"/>
      <c r="M63" s="36"/>
      <c r="N63" s="10"/>
      <c r="O63" s="10"/>
      <c r="P63" s="10"/>
      <c r="Q63" s="22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0"/>
      <c r="B64" s="16"/>
      <c r="C64" s="10"/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10"/>
      <c r="O64" s="10"/>
      <c r="P64" s="10"/>
      <c r="Q64" s="22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0"/>
      <c r="B65" s="16"/>
      <c r="C65" s="10"/>
      <c r="D65" s="35"/>
      <c r="E65" s="36"/>
      <c r="F65" s="36"/>
      <c r="G65" s="36"/>
      <c r="H65" s="36"/>
      <c r="I65" s="36"/>
      <c r="J65" s="36"/>
      <c r="K65" s="36"/>
      <c r="L65" s="36"/>
      <c r="M65" s="36"/>
      <c r="N65" s="10"/>
      <c r="O65" s="10"/>
      <c r="P65" s="10"/>
      <c r="Q65" s="22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0"/>
      <c r="B66" s="16"/>
      <c r="C66" s="10"/>
      <c r="D66" s="35"/>
      <c r="E66" s="36"/>
      <c r="F66" s="36"/>
      <c r="G66" s="36"/>
      <c r="H66" s="36"/>
      <c r="I66" s="36"/>
      <c r="J66" s="36"/>
      <c r="K66" s="36"/>
      <c r="L66" s="36"/>
      <c r="M66" s="36"/>
      <c r="N66" s="10"/>
      <c r="O66" s="10"/>
      <c r="P66" s="10"/>
      <c r="Q66" s="22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0"/>
      <c r="B67" s="16"/>
      <c r="C67" s="10"/>
      <c r="D67" s="35"/>
      <c r="E67" s="36"/>
      <c r="F67" s="36"/>
      <c r="G67" s="36"/>
      <c r="H67" s="36"/>
      <c r="I67" s="36"/>
      <c r="J67" s="36"/>
      <c r="K67" s="36"/>
      <c r="L67" s="36"/>
      <c r="M67" s="36"/>
      <c r="N67" s="10"/>
      <c r="O67" s="10"/>
      <c r="P67" s="10"/>
      <c r="Q67" s="22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0"/>
      <c r="B68" s="16"/>
      <c r="C68" s="10"/>
      <c r="D68" s="35"/>
      <c r="E68" s="36"/>
      <c r="F68" s="36"/>
      <c r="G68" s="36"/>
      <c r="H68" s="36"/>
      <c r="I68" s="36"/>
      <c r="J68" s="36"/>
      <c r="K68" s="36"/>
      <c r="L68" s="36"/>
      <c r="M68" s="36"/>
      <c r="N68" s="10"/>
      <c r="O68" s="10"/>
      <c r="P68" s="10"/>
      <c r="Q68" s="22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0"/>
      <c r="B69" s="16"/>
      <c r="C69" s="10"/>
      <c r="D69" s="35"/>
      <c r="E69" s="36"/>
      <c r="F69" s="36"/>
      <c r="G69" s="36"/>
      <c r="H69" s="36"/>
      <c r="I69" s="36"/>
      <c r="J69" s="36"/>
      <c r="K69" s="36"/>
      <c r="L69" s="36"/>
      <c r="M69" s="36"/>
      <c r="N69" s="10"/>
      <c r="O69" s="10"/>
      <c r="P69" s="10"/>
      <c r="Q69" s="22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0"/>
      <c r="B70" s="16"/>
      <c r="C70" s="10"/>
      <c r="D70" s="35"/>
      <c r="E70" s="36"/>
      <c r="F70" s="36"/>
      <c r="G70" s="36"/>
      <c r="H70" s="36"/>
      <c r="I70" s="36"/>
      <c r="J70" s="36"/>
      <c r="K70" s="36"/>
      <c r="L70" s="36"/>
      <c r="M70" s="36"/>
      <c r="N70" s="10"/>
      <c r="O70" s="10"/>
      <c r="P70" s="10"/>
      <c r="Q70" s="22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0"/>
      <c r="B71" s="16"/>
      <c r="C71" s="10"/>
      <c r="D71" s="35"/>
      <c r="E71" s="36"/>
      <c r="F71" s="36"/>
      <c r="G71" s="36"/>
      <c r="H71" s="36"/>
      <c r="I71" s="36"/>
      <c r="J71" s="36"/>
      <c r="K71" s="36"/>
      <c r="L71" s="36"/>
      <c r="M71" s="36"/>
      <c r="N71" s="10"/>
      <c r="O71" s="10"/>
      <c r="P71" s="10"/>
      <c r="Q71" s="22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0"/>
      <c r="B72" s="16"/>
      <c r="C72" s="10"/>
      <c r="D72" s="35"/>
      <c r="E72" s="36"/>
      <c r="F72" s="36"/>
      <c r="G72" s="36"/>
      <c r="H72" s="36"/>
      <c r="I72" s="36"/>
      <c r="J72" s="36"/>
      <c r="K72" s="36"/>
      <c r="L72" s="36"/>
      <c r="M72" s="36"/>
      <c r="N72" s="10"/>
      <c r="O72" s="10"/>
      <c r="P72" s="10"/>
      <c r="Q72" s="22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0"/>
      <c r="B73" s="16"/>
      <c r="C73" s="10"/>
      <c r="D73" s="35"/>
      <c r="E73" s="36"/>
      <c r="F73" s="36"/>
      <c r="G73" s="36"/>
      <c r="H73" s="36"/>
      <c r="I73" s="36"/>
      <c r="J73" s="36"/>
      <c r="K73" s="36"/>
      <c r="L73" s="36"/>
      <c r="M73" s="36"/>
      <c r="N73" s="10"/>
      <c r="O73" s="10"/>
      <c r="P73" s="10"/>
      <c r="Q73" s="22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0"/>
      <c r="B74" s="16"/>
      <c r="C74" s="10"/>
      <c r="D74" s="35"/>
      <c r="E74" s="36"/>
      <c r="F74" s="36"/>
      <c r="G74" s="36"/>
      <c r="H74" s="36"/>
      <c r="I74" s="36"/>
      <c r="J74" s="36"/>
      <c r="K74" s="36"/>
      <c r="L74" s="36"/>
      <c r="M74" s="36"/>
      <c r="N74" s="10"/>
      <c r="O74" s="10"/>
      <c r="P74" s="10"/>
      <c r="Q74" s="22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0"/>
      <c r="B75" s="16"/>
      <c r="C75" s="10"/>
      <c r="D75" s="35"/>
      <c r="E75" s="36"/>
      <c r="F75" s="36"/>
      <c r="G75" s="36"/>
      <c r="H75" s="36"/>
      <c r="I75" s="36"/>
      <c r="J75" s="36"/>
      <c r="K75" s="36"/>
      <c r="L75" s="36"/>
      <c r="M75" s="36"/>
      <c r="N75" s="10"/>
      <c r="O75" s="10"/>
      <c r="P75" s="10"/>
      <c r="Q75" s="22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0"/>
      <c r="B76" s="16"/>
      <c r="C76" s="10"/>
      <c r="D76" s="35"/>
      <c r="E76" s="36"/>
      <c r="F76" s="36"/>
      <c r="G76" s="36"/>
      <c r="H76" s="36"/>
      <c r="I76" s="36"/>
      <c r="J76" s="36"/>
      <c r="K76" s="36"/>
      <c r="L76" s="36"/>
      <c r="M76" s="36"/>
      <c r="N76" s="10"/>
      <c r="O76" s="10"/>
      <c r="P76" s="10"/>
      <c r="Q76" s="22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0"/>
      <c r="B77" s="16"/>
      <c r="C77" s="10"/>
      <c r="D77" s="35"/>
      <c r="E77" s="36"/>
      <c r="F77" s="36"/>
      <c r="G77" s="36"/>
      <c r="H77" s="36"/>
      <c r="I77" s="36"/>
      <c r="J77" s="36"/>
      <c r="K77" s="36"/>
      <c r="L77" s="36"/>
      <c r="M77" s="36"/>
      <c r="N77" s="10"/>
      <c r="O77" s="10"/>
      <c r="P77" s="10"/>
      <c r="Q77" s="22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0"/>
      <c r="B78" s="16"/>
      <c r="C78" s="10"/>
      <c r="D78" s="35"/>
      <c r="E78" s="36"/>
      <c r="F78" s="36"/>
      <c r="G78" s="36"/>
      <c r="H78" s="36"/>
      <c r="I78" s="36"/>
      <c r="J78" s="36"/>
      <c r="K78" s="36"/>
      <c r="L78" s="36"/>
      <c r="M78" s="36"/>
      <c r="N78" s="10"/>
      <c r="O78" s="10"/>
      <c r="P78" s="10"/>
      <c r="Q78" s="22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0"/>
      <c r="B79" s="16"/>
      <c r="C79" s="10"/>
      <c r="D79" s="35"/>
      <c r="E79" s="36"/>
      <c r="F79" s="36"/>
      <c r="G79" s="36"/>
      <c r="H79" s="36"/>
      <c r="I79" s="36"/>
      <c r="J79" s="36"/>
      <c r="K79" s="36"/>
      <c r="L79" s="36"/>
      <c r="M79" s="36"/>
      <c r="N79" s="10"/>
      <c r="O79" s="10"/>
      <c r="P79" s="10"/>
      <c r="Q79" s="22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0"/>
      <c r="B80" s="16"/>
      <c r="C80" s="10"/>
      <c r="D80" s="35"/>
      <c r="E80" s="36"/>
      <c r="F80" s="36"/>
      <c r="G80" s="36"/>
      <c r="H80" s="36"/>
      <c r="I80" s="36"/>
      <c r="J80" s="36"/>
      <c r="K80" s="36"/>
      <c r="L80" s="36"/>
      <c r="M80" s="36"/>
      <c r="N80" s="10"/>
      <c r="O80" s="10"/>
      <c r="P80" s="10"/>
      <c r="Q80" s="22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0"/>
      <c r="B81" s="16"/>
      <c r="C81" s="10"/>
      <c r="D81" s="35"/>
      <c r="E81" s="36"/>
      <c r="F81" s="36"/>
      <c r="G81" s="36"/>
      <c r="H81" s="36"/>
      <c r="I81" s="36"/>
      <c r="J81" s="36"/>
      <c r="K81" s="36"/>
      <c r="L81" s="36"/>
      <c r="M81" s="36"/>
      <c r="N81" s="10"/>
      <c r="O81" s="10"/>
      <c r="P81" s="10"/>
      <c r="Q81" s="22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0"/>
      <c r="B82" s="16"/>
      <c r="C82" s="10"/>
      <c r="D82" s="35"/>
      <c r="E82" s="36"/>
      <c r="F82" s="36"/>
      <c r="G82" s="36"/>
      <c r="H82" s="36"/>
      <c r="I82" s="36"/>
      <c r="J82" s="36"/>
      <c r="K82" s="36"/>
      <c r="L82" s="36"/>
      <c r="M82" s="36"/>
      <c r="N82" s="10"/>
      <c r="O82" s="10"/>
      <c r="P82" s="10"/>
      <c r="Q82" s="22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0"/>
      <c r="B83" s="16"/>
      <c r="C83" s="10"/>
      <c r="D83" s="35"/>
      <c r="E83" s="36"/>
      <c r="F83" s="36"/>
      <c r="G83" s="36"/>
      <c r="H83" s="36"/>
      <c r="I83" s="36"/>
      <c r="J83" s="36"/>
      <c r="K83" s="36"/>
      <c r="L83" s="36"/>
      <c r="M83" s="36"/>
      <c r="N83" s="10"/>
      <c r="O83" s="10"/>
      <c r="P83" s="10"/>
      <c r="Q83" s="22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0"/>
      <c r="B84" s="16"/>
      <c r="C84" s="10"/>
      <c r="D84" s="35"/>
      <c r="E84" s="36"/>
      <c r="F84" s="36"/>
      <c r="G84" s="36"/>
      <c r="H84" s="36"/>
      <c r="I84" s="36"/>
      <c r="J84" s="36"/>
      <c r="K84" s="36"/>
      <c r="L84" s="36"/>
      <c r="M84" s="36"/>
      <c r="N84" s="10"/>
      <c r="O84" s="10"/>
      <c r="P84" s="10"/>
      <c r="Q84" s="22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0"/>
      <c r="B85" s="16"/>
      <c r="C85" s="10"/>
      <c r="D85" s="35"/>
      <c r="E85" s="36"/>
      <c r="F85" s="36"/>
      <c r="G85" s="36"/>
      <c r="H85" s="36"/>
      <c r="I85" s="36"/>
      <c r="J85" s="36"/>
      <c r="K85" s="36"/>
      <c r="L85" s="36"/>
      <c r="M85" s="36"/>
      <c r="N85" s="10"/>
      <c r="O85" s="10"/>
      <c r="P85" s="10"/>
      <c r="Q85" s="22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0"/>
      <c r="B86" s="16"/>
      <c r="C86" s="10"/>
      <c r="D86" s="35"/>
      <c r="E86" s="36"/>
      <c r="F86" s="36"/>
      <c r="G86" s="36"/>
      <c r="H86" s="36"/>
      <c r="I86" s="36"/>
      <c r="J86" s="36"/>
      <c r="K86" s="36"/>
      <c r="L86" s="36"/>
      <c r="M86" s="36"/>
      <c r="N86" s="10"/>
      <c r="O86" s="10"/>
      <c r="P86" s="10"/>
      <c r="Q86" s="22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0"/>
      <c r="B87" s="16"/>
      <c r="C87" s="10"/>
      <c r="D87" s="35"/>
      <c r="E87" s="36"/>
      <c r="F87" s="36"/>
      <c r="G87" s="36"/>
      <c r="H87" s="36"/>
      <c r="I87" s="36"/>
      <c r="J87" s="36"/>
      <c r="K87" s="36"/>
      <c r="L87" s="36"/>
      <c r="M87" s="36"/>
      <c r="N87" s="10"/>
      <c r="O87" s="10"/>
      <c r="P87" s="10"/>
      <c r="Q87" s="22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0"/>
      <c r="B88" s="16"/>
      <c r="C88" s="10"/>
      <c r="D88" s="35"/>
      <c r="E88" s="36"/>
      <c r="F88" s="36"/>
      <c r="G88" s="36"/>
      <c r="H88" s="36"/>
      <c r="I88" s="36"/>
      <c r="J88" s="36"/>
      <c r="K88" s="36"/>
      <c r="L88" s="36"/>
      <c r="M88" s="36"/>
      <c r="N88" s="10"/>
      <c r="O88" s="10"/>
      <c r="P88" s="10"/>
      <c r="Q88" s="22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0"/>
      <c r="B89" s="16"/>
      <c r="C89" s="10"/>
      <c r="D89" s="35"/>
      <c r="E89" s="36"/>
      <c r="F89" s="36"/>
      <c r="G89" s="36"/>
      <c r="H89" s="36"/>
      <c r="I89" s="36"/>
      <c r="J89" s="36"/>
      <c r="K89" s="36"/>
      <c r="L89" s="36"/>
      <c r="M89" s="36"/>
      <c r="N89" s="10"/>
      <c r="O89" s="10"/>
      <c r="P89" s="10"/>
      <c r="Q89" s="22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0"/>
      <c r="B90" s="16"/>
      <c r="C90" s="10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10"/>
      <c r="O90" s="10"/>
      <c r="P90" s="10"/>
      <c r="Q90" s="22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0"/>
      <c r="B91" s="16"/>
      <c r="C91" s="10"/>
      <c r="D91" s="35"/>
      <c r="E91" s="36"/>
      <c r="F91" s="36"/>
      <c r="G91" s="36"/>
      <c r="H91" s="36"/>
      <c r="I91" s="36"/>
      <c r="J91" s="36"/>
      <c r="K91" s="36"/>
      <c r="L91" s="36"/>
      <c r="M91" s="36"/>
      <c r="N91" s="10"/>
      <c r="O91" s="10"/>
      <c r="P91" s="10"/>
      <c r="Q91" s="22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0"/>
      <c r="B92" s="16"/>
      <c r="C92" s="10"/>
      <c r="D92" s="35"/>
      <c r="E92" s="36"/>
      <c r="F92" s="36"/>
      <c r="G92" s="36"/>
      <c r="H92" s="36"/>
      <c r="I92" s="36"/>
      <c r="J92" s="36"/>
      <c r="K92" s="36"/>
      <c r="L92" s="36"/>
      <c r="M92" s="36"/>
      <c r="N92" s="10"/>
      <c r="O92" s="10"/>
      <c r="P92" s="10"/>
      <c r="Q92" s="22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0"/>
      <c r="B93" s="16"/>
      <c r="C93" s="10"/>
      <c r="D93" s="35"/>
      <c r="E93" s="36"/>
      <c r="F93" s="36"/>
      <c r="G93" s="36"/>
      <c r="H93" s="36"/>
      <c r="I93" s="36"/>
      <c r="J93" s="36"/>
      <c r="K93" s="36"/>
      <c r="L93" s="36"/>
      <c r="M93" s="36"/>
      <c r="N93" s="10"/>
      <c r="O93" s="10"/>
      <c r="P93" s="10"/>
      <c r="Q93" s="22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0"/>
      <c r="B94" s="16"/>
      <c r="C94" s="10"/>
      <c r="D94" s="35"/>
      <c r="E94" s="36"/>
      <c r="F94" s="36"/>
      <c r="G94" s="36"/>
      <c r="H94" s="36"/>
      <c r="I94" s="36"/>
      <c r="J94" s="36"/>
      <c r="K94" s="36"/>
      <c r="L94" s="36"/>
      <c r="M94" s="36"/>
      <c r="N94" s="10"/>
      <c r="O94" s="10"/>
      <c r="P94" s="10"/>
      <c r="Q94" s="22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0"/>
      <c r="B95" s="16"/>
      <c r="C95" s="10"/>
      <c r="D95" s="35"/>
      <c r="E95" s="36"/>
      <c r="F95" s="36"/>
      <c r="G95" s="36"/>
      <c r="H95" s="36"/>
      <c r="I95" s="36"/>
      <c r="J95" s="36"/>
      <c r="K95" s="36"/>
      <c r="L95" s="36"/>
      <c r="M95" s="36"/>
      <c r="N95" s="10"/>
      <c r="O95" s="10"/>
      <c r="P95" s="10"/>
      <c r="Q95" s="22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0"/>
      <c r="B96" s="16"/>
      <c r="C96" s="10"/>
      <c r="D96" s="35"/>
      <c r="E96" s="36"/>
      <c r="F96" s="36"/>
      <c r="G96" s="36"/>
      <c r="H96" s="36"/>
      <c r="I96" s="36"/>
      <c r="J96" s="36"/>
      <c r="K96" s="36"/>
      <c r="L96" s="36"/>
      <c r="M96" s="36"/>
      <c r="N96" s="10"/>
      <c r="O96" s="10"/>
      <c r="P96" s="10"/>
      <c r="Q96" s="22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0"/>
      <c r="B97" s="16"/>
      <c r="C97" s="10"/>
      <c r="D97" s="35"/>
      <c r="E97" s="36"/>
      <c r="F97" s="36"/>
      <c r="G97" s="36"/>
      <c r="H97" s="36"/>
      <c r="I97" s="36"/>
      <c r="J97" s="36"/>
      <c r="K97" s="36"/>
      <c r="L97" s="36"/>
      <c r="M97" s="36"/>
      <c r="N97" s="10"/>
      <c r="O97" s="10"/>
      <c r="P97" s="10"/>
      <c r="Q97" s="22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0"/>
      <c r="B98" s="16"/>
      <c r="C98" s="10"/>
      <c r="D98" s="35"/>
      <c r="E98" s="36"/>
      <c r="F98" s="36"/>
      <c r="G98" s="36"/>
      <c r="H98" s="36"/>
      <c r="I98" s="36"/>
      <c r="J98" s="36"/>
      <c r="K98" s="36"/>
      <c r="L98" s="36"/>
      <c r="M98" s="36"/>
      <c r="N98" s="10"/>
      <c r="O98" s="10"/>
      <c r="P98" s="10"/>
      <c r="Q98" s="22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0"/>
      <c r="B99" s="16"/>
      <c r="C99" s="10"/>
      <c r="D99" s="35"/>
      <c r="E99" s="36"/>
      <c r="F99" s="36"/>
      <c r="G99" s="36"/>
      <c r="H99" s="36"/>
      <c r="I99" s="36"/>
      <c r="J99" s="36"/>
      <c r="K99" s="36"/>
      <c r="L99" s="36"/>
      <c r="M99" s="36"/>
      <c r="N99" s="10"/>
      <c r="O99" s="10"/>
      <c r="P99" s="10"/>
      <c r="Q99" s="22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0"/>
      <c r="B100" s="16"/>
      <c r="C100" s="10"/>
      <c r="D100" s="35"/>
      <c r="E100" s="36"/>
      <c r="F100" s="36"/>
      <c r="G100" s="36"/>
      <c r="H100" s="36"/>
      <c r="I100" s="36"/>
      <c r="J100" s="36"/>
      <c r="K100" s="36"/>
      <c r="L100" s="36"/>
      <c r="M100" s="36"/>
      <c r="N100" s="10"/>
      <c r="O100" s="10"/>
      <c r="P100" s="10"/>
      <c r="Q100" s="22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0"/>
      <c r="B101" s="16"/>
      <c r="C101" s="10"/>
      <c r="D101" s="35"/>
      <c r="E101" s="36"/>
      <c r="F101" s="36"/>
      <c r="G101" s="36"/>
      <c r="H101" s="36"/>
      <c r="I101" s="36"/>
      <c r="J101" s="36"/>
      <c r="K101" s="36"/>
      <c r="L101" s="36"/>
      <c r="M101" s="36"/>
      <c r="N101" s="10"/>
      <c r="O101" s="10"/>
      <c r="P101" s="10"/>
      <c r="Q101" s="22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0"/>
      <c r="B102" s="16"/>
      <c r="C102" s="10"/>
      <c r="D102" s="35"/>
      <c r="E102" s="36"/>
      <c r="F102" s="36"/>
      <c r="G102" s="36"/>
      <c r="H102" s="36"/>
      <c r="I102" s="36"/>
      <c r="J102" s="36"/>
      <c r="K102" s="36"/>
      <c r="L102" s="36"/>
      <c r="M102" s="36"/>
      <c r="N102" s="10"/>
      <c r="O102" s="10"/>
      <c r="P102" s="10"/>
      <c r="Q102" s="22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0"/>
      <c r="B103" s="16"/>
      <c r="C103" s="10"/>
      <c r="D103" s="35"/>
      <c r="E103" s="36"/>
      <c r="F103" s="36"/>
      <c r="G103" s="36"/>
      <c r="H103" s="36"/>
      <c r="I103" s="36"/>
      <c r="J103" s="36"/>
      <c r="K103" s="36"/>
      <c r="L103" s="36"/>
      <c r="M103" s="36"/>
      <c r="N103" s="10"/>
      <c r="O103" s="10"/>
      <c r="P103" s="10"/>
      <c r="Q103" s="22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0"/>
      <c r="B104" s="16"/>
      <c r="C104" s="10"/>
      <c r="D104" s="35"/>
      <c r="E104" s="36"/>
      <c r="F104" s="36"/>
      <c r="G104" s="36"/>
      <c r="H104" s="36"/>
      <c r="I104" s="36"/>
      <c r="J104" s="36"/>
      <c r="K104" s="36"/>
      <c r="L104" s="36"/>
      <c r="M104" s="36"/>
      <c r="N104" s="10"/>
      <c r="O104" s="10"/>
      <c r="P104" s="10"/>
      <c r="Q104" s="22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0"/>
      <c r="B105" s="16"/>
      <c r="C105" s="10"/>
      <c r="D105" s="35"/>
      <c r="E105" s="36"/>
      <c r="F105" s="36"/>
      <c r="G105" s="36"/>
      <c r="H105" s="36"/>
      <c r="I105" s="36"/>
      <c r="J105" s="36"/>
      <c r="K105" s="36"/>
      <c r="L105" s="36"/>
      <c r="M105" s="36"/>
      <c r="N105" s="10"/>
      <c r="O105" s="10"/>
      <c r="P105" s="10"/>
      <c r="Q105" s="22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0"/>
      <c r="B106" s="16"/>
      <c r="C106" s="10"/>
      <c r="D106" s="35"/>
      <c r="E106" s="36"/>
      <c r="F106" s="36"/>
      <c r="G106" s="36"/>
      <c r="H106" s="36"/>
      <c r="I106" s="36"/>
      <c r="J106" s="36"/>
      <c r="K106" s="36"/>
      <c r="L106" s="36"/>
      <c r="M106" s="36"/>
      <c r="N106" s="10"/>
      <c r="O106" s="10"/>
      <c r="P106" s="10"/>
      <c r="Q106" s="22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0"/>
      <c r="B107" s="16"/>
      <c r="C107" s="10"/>
      <c r="D107" s="35"/>
      <c r="E107" s="36"/>
      <c r="F107" s="36"/>
      <c r="G107" s="36"/>
      <c r="H107" s="36"/>
      <c r="I107" s="36"/>
      <c r="J107" s="36"/>
      <c r="K107" s="36"/>
      <c r="L107" s="36"/>
      <c r="M107" s="36"/>
      <c r="N107" s="10"/>
      <c r="O107" s="10"/>
      <c r="P107" s="10"/>
      <c r="Q107" s="22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0"/>
      <c r="B108" s="16"/>
      <c r="C108" s="10"/>
      <c r="D108" s="35"/>
      <c r="E108" s="36"/>
      <c r="F108" s="36"/>
      <c r="G108" s="36"/>
      <c r="H108" s="36"/>
      <c r="I108" s="36"/>
      <c r="J108" s="36"/>
      <c r="K108" s="36"/>
      <c r="L108" s="36"/>
      <c r="M108" s="36"/>
      <c r="N108" s="10"/>
      <c r="O108" s="10"/>
      <c r="P108" s="10"/>
      <c r="Q108" s="22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0"/>
      <c r="B109" s="16"/>
      <c r="C109" s="10"/>
      <c r="D109" s="35"/>
      <c r="E109" s="36"/>
      <c r="F109" s="36"/>
      <c r="G109" s="36"/>
      <c r="H109" s="36"/>
      <c r="I109" s="36"/>
      <c r="J109" s="36"/>
      <c r="K109" s="36"/>
      <c r="L109" s="36"/>
      <c r="M109" s="36"/>
      <c r="N109" s="10"/>
      <c r="O109" s="10"/>
      <c r="P109" s="10"/>
      <c r="Q109" s="22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0"/>
      <c r="B110" s="16"/>
      <c r="C110" s="10"/>
      <c r="D110" s="35"/>
      <c r="E110" s="36"/>
      <c r="F110" s="36"/>
      <c r="G110" s="36"/>
      <c r="H110" s="36"/>
      <c r="I110" s="36"/>
      <c r="J110" s="36"/>
      <c r="K110" s="36"/>
      <c r="L110" s="36"/>
      <c r="M110" s="36"/>
      <c r="N110" s="10"/>
      <c r="O110" s="10"/>
      <c r="P110" s="10"/>
      <c r="Q110" s="22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0"/>
      <c r="B111" s="16"/>
      <c r="C111" s="10"/>
      <c r="D111" s="35"/>
      <c r="E111" s="36"/>
      <c r="F111" s="36"/>
      <c r="G111" s="36"/>
      <c r="H111" s="36"/>
      <c r="I111" s="36"/>
      <c r="J111" s="36"/>
      <c r="K111" s="36"/>
      <c r="L111" s="36"/>
      <c r="M111" s="36"/>
      <c r="N111" s="10"/>
      <c r="O111" s="10"/>
      <c r="P111" s="10"/>
      <c r="Q111" s="22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0"/>
      <c r="B112" s="16"/>
      <c r="C112" s="10"/>
      <c r="D112" s="35"/>
      <c r="E112" s="36"/>
      <c r="F112" s="36"/>
      <c r="G112" s="36"/>
      <c r="H112" s="36"/>
      <c r="I112" s="36"/>
      <c r="J112" s="36"/>
      <c r="K112" s="36"/>
      <c r="L112" s="36"/>
      <c r="M112" s="36"/>
      <c r="N112" s="10"/>
      <c r="O112" s="10"/>
      <c r="P112" s="10"/>
      <c r="Q112" s="22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0"/>
      <c r="B113" s="16"/>
      <c r="C113" s="10"/>
      <c r="D113" s="35"/>
      <c r="E113" s="36"/>
      <c r="F113" s="36"/>
      <c r="G113" s="36"/>
      <c r="H113" s="36"/>
      <c r="I113" s="36"/>
      <c r="J113" s="36"/>
      <c r="K113" s="36"/>
      <c r="L113" s="36"/>
      <c r="M113" s="36"/>
      <c r="N113" s="10"/>
      <c r="O113" s="10"/>
      <c r="P113" s="10"/>
      <c r="Q113" s="22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0"/>
      <c r="B114" s="16"/>
      <c r="C114" s="10"/>
      <c r="D114" s="35"/>
      <c r="E114" s="36"/>
      <c r="F114" s="36"/>
      <c r="G114" s="36"/>
      <c r="H114" s="36"/>
      <c r="I114" s="36"/>
      <c r="J114" s="36"/>
      <c r="K114" s="36"/>
      <c r="L114" s="36"/>
      <c r="M114" s="36"/>
      <c r="N114" s="10"/>
      <c r="O114" s="10"/>
      <c r="P114" s="10"/>
      <c r="Q114" s="22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0"/>
      <c r="B115" s="16"/>
      <c r="C115" s="10"/>
      <c r="D115" s="35"/>
      <c r="E115" s="36"/>
      <c r="F115" s="36"/>
      <c r="G115" s="36"/>
      <c r="H115" s="36"/>
      <c r="I115" s="36"/>
      <c r="J115" s="36"/>
      <c r="K115" s="36"/>
      <c r="L115" s="36"/>
      <c r="M115" s="36"/>
      <c r="N115" s="10"/>
      <c r="O115" s="10"/>
      <c r="P115" s="10"/>
      <c r="Q115" s="22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0"/>
      <c r="B116" s="16"/>
      <c r="C116" s="10"/>
      <c r="D116" s="35"/>
      <c r="E116" s="36"/>
      <c r="F116" s="36"/>
      <c r="G116" s="36"/>
      <c r="H116" s="36"/>
      <c r="I116" s="36"/>
      <c r="J116" s="36"/>
      <c r="K116" s="36"/>
      <c r="L116" s="36"/>
      <c r="M116" s="36"/>
      <c r="N116" s="10"/>
      <c r="O116" s="10"/>
      <c r="P116" s="10"/>
      <c r="Q116" s="22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0"/>
      <c r="B117" s="16"/>
      <c r="C117" s="10"/>
      <c r="D117" s="35"/>
      <c r="E117" s="36"/>
      <c r="F117" s="36"/>
      <c r="G117" s="36"/>
      <c r="H117" s="36"/>
      <c r="I117" s="36"/>
      <c r="J117" s="36"/>
      <c r="K117" s="36"/>
      <c r="L117" s="36"/>
      <c r="M117" s="36"/>
      <c r="N117" s="10"/>
      <c r="O117" s="10"/>
      <c r="P117" s="10"/>
      <c r="Q117" s="22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0"/>
      <c r="B118" s="16"/>
      <c r="C118" s="10"/>
      <c r="D118" s="35"/>
      <c r="E118" s="36"/>
      <c r="F118" s="36"/>
      <c r="G118" s="36"/>
      <c r="H118" s="36"/>
      <c r="I118" s="36"/>
      <c r="J118" s="36"/>
      <c r="K118" s="36"/>
      <c r="L118" s="36"/>
      <c r="M118" s="36"/>
      <c r="N118" s="10"/>
      <c r="O118" s="10"/>
      <c r="P118" s="10"/>
      <c r="Q118" s="22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0"/>
      <c r="B119" s="16"/>
      <c r="C119" s="10"/>
      <c r="D119" s="35"/>
      <c r="E119" s="36"/>
      <c r="F119" s="36"/>
      <c r="G119" s="36"/>
      <c r="H119" s="36"/>
      <c r="I119" s="36"/>
      <c r="J119" s="36"/>
      <c r="K119" s="36"/>
      <c r="L119" s="36"/>
      <c r="M119" s="36"/>
      <c r="N119" s="10"/>
      <c r="O119" s="10"/>
      <c r="P119" s="10"/>
      <c r="Q119" s="22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0"/>
      <c r="B120" s="16"/>
      <c r="C120" s="10"/>
      <c r="D120" s="35"/>
      <c r="E120" s="36"/>
      <c r="F120" s="36"/>
      <c r="G120" s="36"/>
      <c r="H120" s="36"/>
      <c r="I120" s="36"/>
      <c r="J120" s="36"/>
      <c r="K120" s="36"/>
      <c r="L120" s="36"/>
      <c r="M120" s="36"/>
      <c r="N120" s="10"/>
      <c r="O120" s="10"/>
      <c r="P120" s="10"/>
      <c r="Q120" s="22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0"/>
      <c r="B121" s="16"/>
      <c r="C121" s="10"/>
      <c r="D121" s="35"/>
      <c r="E121" s="36"/>
      <c r="F121" s="36"/>
      <c r="G121" s="36"/>
      <c r="H121" s="36"/>
      <c r="I121" s="36"/>
      <c r="J121" s="36"/>
      <c r="K121" s="36"/>
      <c r="L121" s="36"/>
      <c r="M121" s="36"/>
      <c r="N121" s="10"/>
      <c r="O121" s="10"/>
      <c r="P121" s="10"/>
      <c r="Q121" s="22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0"/>
      <c r="B122" s="16"/>
      <c r="C122" s="10"/>
      <c r="D122" s="35"/>
      <c r="E122" s="36"/>
      <c r="F122" s="36"/>
      <c r="G122" s="36"/>
      <c r="H122" s="36"/>
      <c r="I122" s="36"/>
      <c r="J122" s="36"/>
      <c r="K122" s="36"/>
      <c r="L122" s="36"/>
      <c r="M122" s="36"/>
      <c r="N122" s="10"/>
      <c r="O122" s="10"/>
      <c r="P122" s="10"/>
      <c r="Q122" s="22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0"/>
      <c r="B123" s="16"/>
      <c r="C123" s="10"/>
      <c r="D123" s="35"/>
      <c r="E123" s="36"/>
      <c r="F123" s="36"/>
      <c r="G123" s="36"/>
      <c r="H123" s="36"/>
      <c r="I123" s="36"/>
      <c r="J123" s="36"/>
      <c r="K123" s="36"/>
      <c r="L123" s="36"/>
      <c r="M123" s="36"/>
      <c r="N123" s="10"/>
      <c r="O123" s="10"/>
      <c r="P123" s="10"/>
      <c r="Q123" s="22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0"/>
      <c r="B124" s="16"/>
      <c r="C124" s="10"/>
      <c r="D124" s="35"/>
      <c r="E124" s="36"/>
      <c r="F124" s="36"/>
      <c r="G124" s="36"/>
      <c r="H124" s="36"/>
      <c r="I124" s="36"/>
      <c r="J124" s="36"/>
      <c r="K124" s="36"/>
      <c r="L124" s="36"/>
      <c r="M124" s="36"/>
      <c r="N124" s="10"/>
      <c r="O124" s="10"/>
      <c r="P124" s="10"/>
      <c r="Q124" s="22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0"/>
      <c r="B125" s="16"/>
      <c r="C125" s="10"/>
      <c r="D125" s="35"/>
      <c r="E125" s="36"/>
      <c r="F125" s="36"/>
      <c r="G125" s="36"/>
      <c r="H125" s="36"/>
      <c r="I125" s="36"/>
      <c r="J125" s="36"/>
      <c r="K125" s="36"/>
      <c r="L125" s="36"/>
      <c r="M125" s="36"/>
      <c r="N125" s="10"/>
      <c r="O125" s="10"/>
      <c r="P125" s="10"/>
      <c r="Q125" s="22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0"/>
      <c r="B126" s="16"/>
      <c r="C126" s="10"/>
      <c r="D126" s="35"/>
      <c r="E126" s="36"/>
      <c r="F126" s="36"/>
      <c r="G126" s="36"/>
      <c r="H126" s="36"/>
      <c r="I126" s="36"/>
      <c r="J126" s="36"/>
      <c r="K126" s="36"/>
      <c r="L126" s="36"/>
      <c r="M126" s="36"/>
      <c r="N126" s="10"/>
      <c r="O126" s="10"/>
      <c r="P126" s="10"/>
      <c r="Q126" s="22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0"/>
      <c r="B127" s="16"/>
      <c r="C127" s="10"/>
      <c r="D127" s="35"/>
      <c r="E127" s="36"/>
      <c r="F127" s="36"/>
      <c r="G127" s="36"/>
      <c r="H127" s="36"/>
      <c r="I127" s="36"/>
      <c r="J127" s="36"/>
      <c r="K127" s="36"/>
      <c r="L127" s="36"/>
      <c r="M127" s="36"/>
      <c r="N127" s="10"/>
      <c r="O127" s="10"/>
      <c r="P127" s="10"/>
      <c r="Q127" s="22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0"/>
      <c r="B128" s="16"/>
      <c r="C128" s="10"/>
      <c r="D128" s="35"/>
      <c r="E128" s="36"/>
      <c r="F128" s="36"/>
      <c r="G128" s="36"/>
      <c r="H128" s="36"/>
      <c r="I128" s="36"/>
      <c r="J128" s="36"/>
      <c r="K128" s="36"/>
      <c r="L128" s="36"/>
      <c r="M128" s="36"/>
      <c r="N128" s="10"/>
      <c r="O128" s="10"/>
      <c r="P128" s="10"/>
      <c r="Q128" s="22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0"/>
      <c r="B129" s="16"/>
      <c r="C129" s="10"/>
      <c r="D129" s="35"/>
      <c r="E129" s="36"/>
      <c r="F129" s="36"/>
      <c r="G129" s="36"/>
      <c r="H129" s="36"/>
      <c r="I129" s="36"/>
      <c r="J129" s="36"/>
      <c r="K129" s="36"/>
      <c r="L129" s="36"/>
      <c r="M129" s="36"/>
      <c r="N129" s="10"/>
      <c r="O129" s="10"/>
      <c r="P129" s="10"/>
      <c r="Q129" s="22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0"/>
      <c r="B130" s="16"/>
      <c r="C130" s="10"/>
      <c r="D130" s="35"/>
      <c r="E130" s="36"/>
      <c r="F130" s="36"/>
      <c r="G130" s="36"/>
      <c r="H130" s="36"/>
      <c r="I130" s="36"/>
      <c r="J130" s="36"/>
      <c r="K130" s="36"/>
      <c r="L130" s="36"/>
      <c r="M130" s="36"/>
      <c r="N130" s="10"/>
      <c r="O130" s="10"/>
      <c r="P130" s="10"/>
      <c r="Q130" s="22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0"/>
      <c r="B131" s="16"/>
      <c r="C131" s="10"/>
      <c r="D131" s="35"/>
      <c r="E131" s="36"/>
      <c r="F131" s="36"/>
      <c r="G131" s="36"/>
      <c r="H131" s="36"/>
      <c r="I131" s="36"/>
      <c r="J131" s="36"/>
      <c r="K131" s="36"/>
      <c r="L131" s="36"/>
      <c r="M131" s="36"/>
      <c r="N131" s="10"/>
      <c r="O131" s="10"/>
      <c r="P131" s="10"/>
      <c r="Q131" s="22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0"/>
      <c r="B132" s="16"/>
      <c r="C132" s="10"/>
      <c r="D132" s="35"/>
      <c r="E132" s="36"/>
      <c r="F132" s="36"/>
      <c r="G132" s="36"/>
      <c r="H132" s="36"/>
      <c r="I132" s="36"/>
      <c r="J132" s="36"/>
      <c r="K132" s="36"/>
      <c r="L132" s="36"/>
      <c r="M132" s="36"/>
      <c r="N132" s="10"/>
      <c r="O132" s="10"/>
      <c r="P132" s="10"/>
      <c r="Q132" s="22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0"/>
      <c r="B133" s="16"/>
      <c r="C133" s="10"/>
      <c r="D133" s="35"/>
      <c r="E133" s="36"/>
      <c r="F133" s="36"/>
      <c r="G133" s="36"/>
      <c r="H133" s="36"/>
      <c r="I133" s="36"/>
      <c r="J133" s="36"/>
      <c r="K133" s="36"/>
      <c r="L133" s="36"/>
      <c r="M133" s="36"/>
      <c r="N133" s="10"/>
      <c r="O133" s="10"/>
      <c r="P133" s="10"/>
      <c r="Q133" s="22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0"/>
      <c r="B134" s="16"/>
      <c r="C134" s="10"/>
      <c r="D134" s="35"/>
      <c r="E134" s="36"/>
      <c r="F134" s="36"/>
      <c r="G134" s="36"/>
      <c r="H134" s="36"/>
      <c r="I134" s="36"/>
      <c r="J134" s="36"/>
      <c r="K134" s="36"/>
      <c r="L134" s="36"/>
      <c r="M134" s="36"/>
      <c r="N134" s="10"/>
      <c r="O134" s="10"/>
      <c r="P134" s="10"/>
      <c r="Q134" s="22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0"/>
      <c r="B135" s="16"/>
      <c r="C135" s="10"/>
      <c r="D135" s="35"/>
      <c r="E135" s="36"/>
      <c r="F135" s="36"/>
      <c r="G135" s="36"/>
      <c r="H135" s="36"/>
      <c r="I135" s="36"/>
      <c r="J135" s="36"/>
      <c r="K135" s="36"/>
      <c r="L135" s="36"/>
      <c r="M135" s="36"/>
      <c r="N135" s="10"/>
      <c r="O135" s="10"/>
      <c r="P135" s="10"/>
      <c r="Q135" s="22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0"/>
      <c r="B136" s="16"/>
      <c r="C136" s="10"/>
      <c r="D136" s="35"/>
      <c r="E136" s="36"/>
      <c r="F136" s="36"/>
      <c r="G136" s="36"/>
      <c r="H136" s="36"/>
      <c r="I136" s="36"/>
      <c r="J136" s="36"/>
      <c r="K136" s="36"/>
      <c r="L136" s="36"/>
      <c r="M136" s="36"/>
      <c r="N136" s="10"/>
      <c r="O136" s="10"/>
      <c r="P136" s="10"/>
      <c r="Q136" s="22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0"/>
      <c r="B137" s="16"/>
      <c r="C137" s="10"/>
      <c r="D137" s="35"/>
      <c r="E137" s="36"/>
      <c r="F137" s="36"/>
      <c r="G137" s="36"/>
      <c r="H137" s="36"/>
      <c r="I137" s="36"/>
      <c r="J137" s="36"/>
      <c r="K137" s="36"/>
      <c r="L137" s="36"/>
      <c r="M137" s="36"/>
      <c r="N137" s="10"/>
      <c r="O137" s="10"/>
      <c r="P137" s="10"/>
      <c r="Q137" s="22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0"/>
      <c r="B138" s="16"/>
      <c r="C138" s="10"/>
      <c r="D138" s="35"/>
      <c r="E138" s="36"/>
      <c r="F138" s="36"/>
      <c r="G138" s="36"/>
      <c r="H138" s="36"/>
      <c r="I138" s="36"/>
      <c r="J138" s="36"/>
      <c r="K138" s="36"/>
      <c r="L138" s="36"/>
      <c r="M138" s="36"/>
      <c r="N138" s="10"/>
      <c r="O138" s="10"/>
      <c r="P138" s="10"/>
      <c r="Q138" s="22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0"/>
      <c r="B139" s="16"/>
      <c r="C139" s="10"/>
      <c r="D139" s="35"/>
      <c r="E139" s="36"/>
      <c r="F139" s="36"/>
      <c r="G139" s="36"/>
      <c r="H139" s="36"/>
      <c r="I139" s="36"/>
      <c r="J139" s="36"/>
      <c r="K139" s="36"/>
      <c r="L139" s="36"/>
      <c r="M139" s="36"/>
      <c r="N139" s="10"/>
      <c r="O139" s="10"/>
      <c r="P139" s="10"/>
      <c r="Q139" s="22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0"/>
      <c r="B140" s="16"/>
      <c r="C140" s="10"/>
      <c r="D140" s="35"/>
      <c r="E140" s="36"/>
      <c r="F140" s="36"/>
      <c r="G140" s="36"/>
      <c r="H140" s="36"/>
      <c r="I140" s="36"/>
      <c r="J140" s="36"/>
      <c r="K140" s="36"/>
      <c r="L140" s="36"/>
      <c r="M140" s="36"/>
      <c r="N140" s="10"/>
      <c r="O140" s="10"/>
      <c r="P140" s="10"/>
      <c r="Q140" s="22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0"/>
      <c r="B141" s="16"/>
      <c r="C141" s="10"/>
      <c r="D141" s="35"/>
      <c r="E141" s="36"/>
      <c r="F141" s="36"/>
      <c r="G141" s="36"/>
      <c r="H141" s="36"/>
      <c r="I141" s="36"/>
      <c r="J141" s="36"/>
      <c r="K141" s="36"/>
      <c r="L141" s="36"/>
      <c r="M141" s="36"/>
      <c r="N141" s="10"/>
      <c r="O141" s="10"/>
      <c r="P141" s="10"/>
      <c r="Q141" s="22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0"/>
      <c r="B142" s="16"/>
      <c r="C142" s="10"/>
      <c r="D142" s="35"/>
      <c r="E142" s="36"/>
      <c r="F142" s="36"/>
      <c r="G142" s="36"/>
      <c r="H142" s="36"/>
      <c r="I142" s="36"/>
      <c r="J142" s="36"/>
      <c r="K142" s="36"/>
      <c r="L142" s="36"/>
      <c r="M142" s="36"/>
      <c r="N142" s="10"/>
      <c r="O142" s="10"/>
      <c r="P142" s="10"/>
      <c r="Q142" s="22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0"/>
      <c r="B143" s="16"/>
      <c r="C143" s="10"/>
      <c r="D143" s="35"/>
      <c r="E143" s="36"/>
      <c r="F143" s="36"/>
      <c r="G143" s="36"/>
      <c r="H143" s="36"/>
      <c r="I143" s="36"/>
      <c r="J143" s="36"/>
      <c r="K143" s="36"/>
      <c r="L143" s="36"/>
      <c r="M143" s="36"/>
      <c r="N143" s="10"/>
      <c r="O143" s="10"/>
      <c r="P143" s="10"/>
      <c r="Q143" s="22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0"/>
      <c r="B144" s="16"/>
      <c r="C144" s="10"/>
      <c r="D144" s="35"/>
      <c r="E144" s="36"/>
      <c r="F144" s="36"/>
      <c r="G144" s="36"/>
      <c r="H144" s="36"/>
      <c r="I144" s="36"/>
      <c r="J144" s="36"/>
      <c r="K144" s="36"/>
      <c r="L144" s="36"/>
      <c r="M144" s="36"/>
      <c r="N144" s="10"/>
      <c r="O144" s="10"/>
      <c r="P144" s="10"/>
      <c r="Q144" s="22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0"/>
      <c r="B145" s="16"/>
      <c r="C145" s="10"/>
      <c r="D145" s="35"/>
      <c r="E145" s="36"/>
      <c r="F145" s="36"/>
      <c r="G145" s="36"/>
      <c r="H145" s="36"/>
      <c r="I145" s="36"/>
      <c r="J145" s="36"/>
      <c r="K145" s="36"/>
      <c r="L145" s="36"/>
      <c r="M145" s="36"/>
      <c r="N145" s="10"/>
      <c r="O145" s="10"/>
      <c r="P145" s="10"/>
      <c r="Q145" s="22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0"/>
      <c r="B146" s="16"/>
      <c r="C146" s="10"/>
      <c r="D146" s="35"/>
      <c r="E146" s="36"/>
      <c r="F146" s="36"/>
      <c r="G146" s="36"/>
      <c r="H146" s="36"/>
      <c r="I146" s="36"/>
      <c r="J146" s="36"/>
      <c r="K146" s="36"/>
      <c r="L146" s="36"/>
      <c r="M146" s="36"/>
      <c r="N146" s="10"/>
      <c r="O146" s="10"/>
      <c r="P146" s="10"/>
      <c r="Q146" s="22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0"/>
      <c r="B147" s="16"/>
      <c r="C147" s="10"/>
      <c r="D147" s="35"/>
      <c r="E147" s="36"/>
      <c r="F147" s="36"/>
      <c r="G147" s="36"/>
      <c r="H147" s="36"/>
      <c r="I147" s="36"/>
      <c r="J147" s="36"/>
      <c r="K147" s="36"/>
      <c r="L147" s="36"/>
      <c r="M147" s="36"/>
      <c r="N147" s="10"/>
      <c r="O147" s="10"/>
      <c r="P147" s="10"/>
      <c r="Q147" s="22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0"/>
      <c r="B148" s="16"/>
      <c r="C148" s="10"/>
      <c r="D148" s="35"/>
      <c r="E148" s="36"/>
      <c r="F148" s="36"/>
      <c r="G148" s="36"/>
      <c r="H148" s="36"/>
      <c r="I148" s="36"/>
      <c r="J148" s="36"/>
      <c r="K148" s="36"/>
      <c r="L148" s="36"/>
      <c r="M148" s="36"/>
      <c r="N148" s="10"/>
      <c r="O148" s="10"/>
      <c r="P148" s="10"/>
      <c r="Q148" s="22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0"/>
      <c r="B149" s="16"/>
      <c r="C149" s="10"/>
      <c r="D149" s="35"/>
      <c r="E149" s="36"/>
      <c r="F149" s="36"/>
      <c r="G149" s="36"/>
      <c r="H149" s="36"/>
      <c r="I149" s="36"/>
      <c r="J149" s="36"/>
      <c r="K149" s="36"/>
      <c r="L149" s="36"/>
      <c r="M149" s="36"/>
      <c r="N149" s="10"/>
      <c r="O149" s="10"/>
      <c r="P149" s="10"/>
      <c r="Q149" s="22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0"/>
      <c r="B150" s="16"/>
      <c r="C150" s="10"/>
      <c r="D150" s="35"/>
      <c r="E150" s="36"/>
      <c r="F150" s="36"/>
      <c r="G150" s="36"/>
      <c r="H150" s="36"/>
      <c r="I150" s="36"/>
      <c r="J150" s="36"/>
      <c r="K150" s="36"/>
      <c r="L150" s="36"/>
      <c r="M150" s="36"/>
      <c r="N150" s="10"/>
      <c r="O150" s="10"/>
      <c r="P150" s="10"/>
      <c r="Q150" s="22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0"/>
      <c r="B151" s="16"/>
      <c r="C151" s="10"/>
      <c r="D151" s="35"/>
      <c r="E151" s="36"/>
      <c r="F151" s="36"/>
      <c r="G151" s="36"/>
      <c r="H151" s="36"/>
      <c r="I151" s="36"/>
      <c r="J151" s="36"/>
      <c r="K151" s="36"/>
      <c r="L151" s="36"/>
      <c r="M151" s="36"/>
      <c r="N151" s="10"/>
      <c r="O151" s="10"/>
      <c r="P151" s="10"/>
      <c r="Q151" s="22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0"/>
      <c r="B152" s="16"/>
      <c r="C152" s="10"/>
      <c r="D152" s="35"/>
      <c r="E152" s="36"/>
      <c r="F152" s="36"/>
      <c r="G152" s="36"/>
      <c r="H152" s="36"/>
      <c r="I152" s="36"/>
      <c r="J152" s="36"/>
      <c r="K152" s="36"/>
      <c r="L152" s="36"/>
      <c r="M152" s="36"/>
      <c r="N152" s="10"/>
      <c r="O152" s="10"/>
      <c r="P152" s="10"/>
      <c r="Q152" s="22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0"/>
      <c r="B153" s="16"/>
      <c r="C153" s="10"/>
      <c r="D153" s="35"/>
      <c r="E153" s="36"/>
      <c r="F153" s="36"/>
      <c r="G153" s="36"/>
      <c r="H153" s="36"/>
      <c r="I153" s="36"/>
      <c r="J153" s="36"/>
      <c r="K153" s="36"/>
      <c r="L153" s="36"/>
      <c r="M153" s="36"/>
      <c r="N153" s="10"/>
      <c r="O153" s="10"/>
      <c r="P153" s="10"/>
      <c r="Q153" s="22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0"/>
      <c r="B154" s="16"/>
      <c r="C154" s="10"/>
      <c r="D154" s="35"/>
      <c r="E154" s="36"/>
      <c r="F154" s="36"/>
      <c r="G154" s="36"/>
      <c r="H154" s="36"/>
      <c r="I154" s="36"/>
      <c r="J154" s="36"/>
      <c r="K154" s="36"/>
      <c r="L154" s="36"/>
      <c r="M154" s="36"/>
      <c r="N154" s="10"/>
      <c r="O154" s="10"/>
      <c r="P154" s="10"/>
      <c r="Q154" s="22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0"/>
      <c r="B155" s="16"/>
      <c r="C155" s="10"/>
      <c r="D155" s="35"/>
      <c r="E155" s="36"/>
      <c r="F155" s="36"/>
      <c r="G155" s="36"/>
      <c r="H155" s="36"/>
      <c r="I155" s="36"/>
      <c r="J155" s="36"/>
      <c r="K155" s="36"/>
      <c r="L155" s="36"/>
      <c r="M155" s="36"/>
      <c r="N155" s="10"/>
      <c r="O155" s="10"/>
      <c r="P155" s="10"/>
      <c r="Q155" s="22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0"/>
      <c r="B156" s="16"/>
      <c r="C156" s="10"/>
      <c r="D156" s="35"/>
      <c r="E156" s="36"/>
      <c r="F156" s="36"/>
      <c r="G156" s="36"/>
      <c r="H156" s="36"/>
      <c r="I156" s="36"/>
      <c r="J156" s="36"/>
      <c r="K156" s="36"/>
      <c r="L156" s="36"/>
      <c r="M156" s="36"/>
      <c r="N156" s="10"/>
      <c r="O156" s="10"/>
      <c r="P156" s="10"/>
      <c r="Q156" s="22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0"/>
      <c r="B157" s="16"/>
      <c r="C157" s="10"/>
      <c r="D157" s="35"/>
      <c r="E157" s="36"/>
      <c r="F157" s="36"/>
      <c r="G157" s="36"/>
      <c r="H157" s="36"/>
      <c r="I157" s="36"/>
      <c r="J157" s="36"/>
      <c r="K157" s="36"/>
      <c r="L157" s="36"/>
      <c r="M157" s="36"/>
      <c r="N157" s="10"/>
      <c r="O157" s="10"/>
      <c r="P157" s="10"/>
      <c r="Q157" s="22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0"/>
      <c r="B158" s="16"/>
      <c r="C158" s="10"/>
      <c r="D158" s="35"/>
      <c r="E158" s="36"/>
      <c r="F158" s="36"/>
      <c r="G158" s="36"/>
      <c r="H158" s="36"/>
      <c r="I158" s="36"/>
      <c r="J158" s="36"/>
      <c r="K158" s="36"/>
      <c r="L158" s="36"/>
      <c r="M158" s="36"/>
      <c r="N158" s="10"/>
      <c r="O158" s="10"/>
      <c r="P158" s="10"/>
      <c r="Q158" s="22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0"/>
      <c r="B159" s="16"/>
      <c r="C159" s="10"/>
      <c r="D159" s="35"/>
      <c r="E159" s="36"/>
      <c r="F159" s="36"/>
      <c r="G159" s="36"/>
      <c r="H159" s="36"/>
      <c r="I159" s="36"/>
      <c r="J159" s="36"/>
      <c r="K159" s="36"/>
      <c r="L159" s="36"/>
      <c r="M159" s="36"/>
      <c r="N159" s="10"/>
      <c r="O159" s="10"/>
      <c r="P159" s="10"/>
      <c r="Q159" s="22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0"/>
      <c r="B160" s="16"/>
      <c r="C160" s="10"/>
      <c r="D160" s="35"/>
      <c r="E160" s="36"/>
      <c r="F160" s="36"/>
      <c r="G160" s="36"/>
      <c r="H160" s="36"/>
      <c r="I160" s="36"/>
      <c r="J160" s="36"/>
      <c r="K160" s="36"/>
      <c r="L160" s="36"/>
      <c r="M160" s="36"/>
      <c r="N160" s="10"/>
      <c r="O160" s="10"/>
      <c r="P160" s="10"/>
      <c r="Q160" s="22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0"/>
      <c r="B161" s="16"/>
      <c r="C161" s="10"/>
      <c r="D161" s="35"/>
      <c r="E161" s="36"/>
      <c r="F161" s="36"/>
      <c r="G161" s="36"/>
      <c r="H161" s="36"/>
      <c r="I161" s="36"/>
      <c r="J161" s="36"/>
      <c r="K161" s="36"/>
      <c r="L161" s="36"/>
      <c r="M161" s="36"/>
      <c r="N161" s="10"/>
      <c r="O161" s="10"/>
      <c r="P161" s="10"/>
      <c r="Q161" s="22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0"/>
      <c r="B162" s="16"/>
      <c r="C162" s="10"/>
      <c r="D162" s="35"/>
      <c r="E162" s="36"/>
      <c r="F162" s="36"/>
      <c r="G162" s="36"/>
      <c r="H162" s="36"/>
      <c r="I162" s="36"/>
      <c r="J162" s="36"/>
      <c r="K162" s="36"/>
      <c r="L162" s="36"/>
      <c r="M162" s="36"/>
      <c r="N162" s="10"/>
      <c r="O162" s="10"/>
      <c r="P162" s="10"/>
      <c r="Q162" s="22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0"/>
      <c r="B163" s="16"/>
      <c r="C163" s="10"/>
      <c r="D163" s="35"/>
      <c r="E163" s="36"/>
      <c r="F163" s="36"/>
      <c r="G163" s="36"/>
      <c r="H163" s="36"/>
      <c r="I163" s="36"/>
      <c r="J163" s="36"/>
      <c r="K163" s="36"/>
      <c r="L163" s="36"/>
      <c r="M163" s="36"/>
      <c r="N163" s="10"/>
      <c r="O163" s="10"/>
      <c r="P163" s="10"/>
      <c r="Q163" s="22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0"/>
      <c r="B164" s="16"/>
      <c r="C164" s="10"/>
      <c r="D164" s="35"/>
      <c r="E164" s="36"/>
      <c r="F164" s="36"/>
      <c r="G164" s="36"/>
      <c r="H164" s="36"/>
      <c r="I164" s="36"/>
      <c r="J164" s="36"/>
      <c r="K164" s="36"/>
      <c r="L164" s="36"/>
      <c r="M164" s="36"/>
      <c r="N164" s="10"/>
      <c r="O164" s="10"/>
      <c r="P164" s="10"/>
      <c r="Q164" s="22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0"/>
      <c r="B165" s="16"/>
      <c r="C165" s="10"/>
      <c r="D165" s="35"/>
      <c r="E165" s="36"/>
      <c r="F165" s="36"/>
      <c r="G165" s="36"/>
      <c r="H165" s="36"/>
      <c r="I165" s="36"/>
      <c r="J165" s="36"/>
      <c r="K165" s="36"/>
      <c r="L165" s="36"/>
      <c r="M165" s="36"/>
      <c r="N165" s="10"/>
      <c r="O165" s="10"/>
      <c r="P165" s="10"/>
      <c r="Q165" s="22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0"/>
      <c r="B166" s="16"/>
      <c r="C166" s="10"/>
      <c r="D166" s="35"/>
      <c r="E166" s="36"/>
      <c r="F166" s="36"/>
      <c r="G166" s="36"/>
      <c r="H166" s="36"/>
      <c r="I166" s="36"/>
      <c r="J166" s="36"/>
      <c r="K166" s="36"/>
      <c r="L166" s="36"/>
      <c r="M166" s="36"/>
      <c r="N166" s="10"/>
      <c r="O166" s="10"/>
      <c r="P166" s="10"/>
      <c r="Q166" s="22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0"/>
      <c r="B167" s="16"/>
      <c r="C167" s="10"/>
      <c r="D167" s="35"/>
      <c r="E167" s="36"/>
      <c r="F167" s="36"/>
      <c r="G167" s="36"/>
      <c r="H167" s="36"/>
      <c r="I167" s="36"/>
      <c r="J167" s="36"/>
      <c r="K167" s="36"/>
      <c r="L167" s="36"/>
      <c r="M167" s="36"/>
      <c r="N167" s="10"/>
      <c r="O167" s="10"/>
      <c r="P167" s="10"/>
      <c r="Q167" s="22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0"/>
      <c r="B168" s="16"/>
      <c r="C168" s="10"/>
      <c r="D168" s="35"/>
      <c r="E168" s="36"/>
      <c r="F168" s="36"/>
      <c r="G168" s="36"/>
      <c r="H168" s="36"/>
      <c r="I168" s="36"/>
      <c r="J168" s="36"/>
      <c r="K168" s="36"/>
      <c r="L168" s="36"/>
      <c r="M168" s="36"/>
      <c r="N168" s="10"/>
      <c r="O168" s="10"/>
      <c r="P168" s="10"/>
      <c r="Q168" s="22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0"/>
      <c r="B169" s="16"/>
      <c r="C169" s="10"/>
      <c r="D169" s="35"/>
      <c r="E169" s="36"/>
      <c r="F169" s="36"/>
      <c r="G169" s="36"/>
      <c r="H169" s="36"/>
      <c r="I169" s="36"/>
      <c r="J169" s="36"/>
      <c r="K169" s="36"/>
      <c r="L169" s="36"/>
      <c r="M169" s="36"/>
      <c r="N169" s="10"/>
      <c r="O169" s="10"/>
      <c r="P169" s="10"/>
      <c r="Q169" s="22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0"/>
      <c r="B170" s="16"/>
      <c r="C170" s="10"/>
      <c r="D170" s="35"/>
      <c r="E170" s="36"/>
      <c r="F170" s="36"/>
      <c r="G170" s="36"/>
      <c r="H170" s="36"/>
      <c r="I170" s="36"/>
      <c r="J170" s="36"/>
      <c r="K170" s="36"/>
      <c r="L170" s="36"/>
      <c r="M170" s="36"/>
      <c r="N170" s="10"/>
      <c r="O170" s="10"/>
      <c r="P170" s="10"/>
      <c r="Q170" s="22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0"/>
      <c r="B171" s="16"/>
      <c r="C171" s="10"/>
      <c r="D171" s="35"/>
      <c r="E171" s="36"/>
      <c r="F171" s="36"/>
      <c r="G171" s="36"/>
      <c r="H171" s="36"/>
      <c r="I171" s="36"/>
      <c r="J171" s="36"/>
      <c r="K171" s="36"/>
      <c r="L171" s="36"/>
      <c r="M171" s="36"/>
      <c r="N171" s="10"/>
      <c r="O171" s="10"/>
      <c r="P171" s="10"/>
      <c r="Q171" s="22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0"/>
      <c r="B172" s="16"/>
      <c r="C172" s="10"/>
      <c r="D172" s="35"/>
      <c r="E172" s="36"/>
      <c r="F172" s="36"/>
      <c r="G172" s="36"/>
      <c r="H172" s="36"/>
      <c r="I172" s="36"/>
      <c r="J172" s="36"/>
      <c r="K172" s="36"/>
      <c r="L172" s="36"/>
      <c r="M172" s="36"/>
      <c r="N172" s="10"/>
      <c r="O172" s="10"/>
      <c r="P172" s="10"/>
      <c r="Q172" s="22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0"/>
      <c r="B173" s="16"/>
      <c r="C173" s="10"/>
      <c r="D173" s="35"/>
      <c r="E173" s="36"/>
      <c r="F173" s="36"/>
      <c r="G173" s="36"/>
      <c r="H173" s="36"/>
      <c r="I173" s="36"/>
      <c r="J173" s="36"/>
      <c r="K173" s="36"/>
      <c r="L173" s="36"/>
      <c r="M173" s="36"/>
      <c r="N173" s="10"/>
      <c r="O173" s="10"/>
      <c r="P173" s="10"/>
      <c r="Q173" s="22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0"/>
      <c r="B174" s="16"/>
      <c r="C174" s="10"/>
      <c r="D174" s="35"/>
      <c r="E174" s="36"/>
      <c r="F174" s="36"/>
      <c r="G174" s="36"/>
      <c r="H174" s="36"/>
      <c r="I174" s="36"/>
      <c r="J174" s="36"/>
      <c r="K174" s="36"/>
      <c r="L174" s="36"/>
      <c r="M174" s="36"/>
      <c r="N174" s="10"/>
      <c r="O174" s="10"/>
      <c r="P174" s="10"/>
      <c r="Q174" s="22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0"/>
      <c r="B175" s="16"/>
      <c r="C175" s="10"/>
      <c r="D175" s="35"/>
      <c r="E175" s="36"/>
      <c r="F175" s="36"/>
      <c r="G175" s="36"/>
      <c r="H175" s="36"/>
      <c r="I175" s="36"/>
      <c r="J175" s="36"/>
      <c r="K175" s="36"/>
      <c r="L175" s="36"/>
      <c r="M175" s="36"/>
      <c r="N175" s="10"/>
      <c r="O175" s="10"/>
      <c r="P175" s="10"/>
      <c r="Q175" s="22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0"/>
      <c r="B176" s="16"/>
      <c r="C176" s="10"/>
      <c r="D176" s="35"/>
      <c r="E176" s="36"/>
      <c r="F176" s="36"/>
      <c r="G176" s="36"/>
      <c r="H176" s="36"/>
      <c r="I176" s="36"/>
      <c r="J176" s="36"/>
      <c r="K176" s="36"/>
      <c r="L176" s="36"/>
      <c r="M176" s="36"/>
      <c r="N176" s="10"/>
      <c r="O176" s="10"/>
      <c r="P176" s="10"/>
      <c r="Q176" s="22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0"/>
      <c r="B177" s="16"/>
      <c r="C177" s="10"/>
      <c r="D177" s="35"/>
      <c r="E177" s="36"/>
      <c r="F177" s="36"/>
      <c r="G177" s="36"/>
      <c r="H177" s="36"/>
      <c r="I177" s="36"/>
      <c r="J177" s="36"/>
      <c r="K177" s="36"/>
      <c r="L177" s="36"/>
      <c r="M177" s="36"/>
      <c r="N177" s="10"/>
      <c r="O177" s="10"/>
      <c r="P177" s="10"/>
      <c r="Q177" s="22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0"/>
      <c r="B178" s="16"/>
      <c r="C178" s="10"/>
      <c r="D178" s="35"/>
      <c r="E178" s="36"/>
      <c r="F178" s="36"/>
      <c r="G178" s="36"/>
      <c r="H178" s="36"/>
      <c r="I178" s="36"/>
      <c r="J178" s="36"/>
      <c r="K178" s="36"/>
      <c r="L178" s="36"/>
      <c r="M178" s="36"/>
      <c r="N178" s="10"/>
      <c r="O178" s="10"/>
      <c r="P178" s="10"/>
      <c r="Q178" s="22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0"/>
      <c r="B179" s="16"/>
      <c r="C179" s="10"/>
      <c r="D179" s="35"/>
      <c r="E179" s="36"/>
      <c r="F179" s="36"/>
      <c r="G179" s="36"/>
      <c r="H179" s="36"/>
      <c r="I179" s="36"/>
      <c r="J179" s="36"/>
      <c r="K179" s="36"/>
      <c r="L179" s="36"/>
      <c r="M179" s="36"/>
      <c r="N179" s="10"/>
      <c r="O179" s="10"/>
      <c r="P179" s="10"/>
      <c r="Q179" s="22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0"/>
      <c r="B180" s="16"/>
      <c r="C180" s="10"/>
      <c r="D180" s="35"/>
      <c r="E180" s="36"/>
      <c r="F180" s="36"/>
      <c r="G180" s="36"/>
      <c r="H180" s="36"/>
      <c r="I180" s="36"/>
      <c r="J180" s="36"/>
      <c r="K180" s="36"/>
      <c r="L180" s="36"/>
      <c r="M180" s="36"/>
      <c r="N180" s="10"/>
      <c r="O180" s="10"/>
      <c r="P180" s="10"/>
      <c r="Q180" s="22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0"/>
      <c r="B181" s="16"/>
      <c r="C181" s="10"/>
      <c r="D181" s="35"/>
      <c r="E181" s="36"/>
      <c r="F181" s="36"/>
      <c r="G181" s="36"/>
      <c r="H181" s="36"/>
      <c r="I181" s="36"/>
      <c r="J181" s="36"/>
      <c r="K181" s="36"/>
      <c r="L181" s="36"/>
      <c r="M181" s="36"/>
      <c r="N181" s="10"/>
      <c r="O181" s="10"/>
      <c r="P181" s="10"/>
      <c r="Q181" s="22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0"/>
      <c r="B182" s="16"/>
      <c r="C182" s="10"/>
      <c r="D182" s="35"/>
      <c r="E182" s="36"/>
      <c r="F182" s="36"/>
      <c r="G182" s="36"/>
      <c r="H182" s="36"/>
      <c r="I182" s="36"/>
      <c r="J182" s="36"/>
      <c r="K182" s="36"/>
      <c r="L182" s="36"/>
      <c r="M182" s="36"/>
      <c r="N182" s="10"/>
      <c r="O182" s="10"/>
      <c r="P182" s="10"/>
      <c r="Q182" s="22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0"/>
      <c r="B183" s="16"/>
      <c r="C183" s="10"/>
      <c r="D183" s="35"/>
      <c r="E183" s="36"/>
      <c r="F183" s="36"/>
      <c r="G183" s="36"/>
      <c r="H183" s="36"/>
      <c r="I183" s="36"/>
      <c r="J183" s="36"/>
      <c r="K183" s="36"/>
      <c r="L183" s="36"/>
      <c r="M183" s="36"/>
      <c r="N183" s="10"/>
      <c r="O183" s="10"/>
      <c r="P183" s="10"/>
      <c r="Q183" s="22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0"/>
      <c r="B184" s="16"/>
      <c r="C184" s="10"/>
      <c r="D184" s="35"/>
      <c r="E184" s="36"/>
      <c r="F184" s="36"/>
      <c r="G184" s="36"/>
      <c r="H184" s="36"/>
      <c r="I184" s="36"/>
      <c r="J184" s="36"/>
      <c r="K184" s="36"/>
      <c r="L184" s="36"/>
      <c r="M184" s="36"/>
      <c r="N184" s="10"/>
      <c r="O184" s="10"/>
      <c r="P184" s="10"/>
      <c r="Q184" s="22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0"/>
      <c r="B185" s="16"/>
      <c r="C185" s="10"/>
      <c r="D185" s="35"/>
      <c r="E185" s="36"/>
      <c r="F185" s="36"/>
      <c r="G185" s="36"/>
      <c r="H185" s="36"/>
      <c r="I185" s="36"/>
      <c r="J185" s="36"/>
      <c r="K185" s="36"/>
      <c r="L185" s="36"/>
      <c r="M185" s="36"/>
      <c r="N185" s="10"/>
      <c r="O185" s="10"/>
      <c r="P185" s="10"/>
      <c r="Q185" s="22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0"/>
      <c r="B186" s="16"/>
      <c r="C186" s="10"/>
      <c r="D186" s="35"/>
      <c r="E186" s="36"/>
      <c r="F186" s="36"/>
      <c r="G186" s="36"/>
      <c r="H186" s="36"/>
      <c r="I186" s="36"/>
      <c r="J186" s="36"/>
      <c r="K186" s="36"/>
      <c r="L186" s="36"/>
      <c r="M186" s="36"/>
      <c r="N186" s="10"/>
      <c r="O186" s="10"/>
      <c r="P186" s="10"/>
      <c r="Q186" s="22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0"/>
      <c r="B187" s="16"/>
      <c r="C187" s="10"/>
      <c r="D187" s="35"/>
      <c r="E187" s="36"/>
      <c r="F187" s="36"/>
      <c r="G187" s="36"/>
      <c r="H187" s="36"/>
      <c r="I187" s="36"/>
      <c r="J187" s="36"/>
      <c r="K187" s="36"/>
      <c r="L187" s="36"/>
      <c r="M187" s="36"/>
      <c r="N187" s="10"/>
      <c r="O187" s="10"/>
      <c r="P187" s="10"/>
      <c r="Q187" s="22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0"/>
      <c r="B188" s="16"/>
      <c r="C188" s="10"/>
      <c r="D188" s="35"/>
      <c r="E188" s="36"/>
      <c r="F188" s="36"/>
      <c r="G188" s="36"/>
      <c r="H188" s="36"/>
      <c r="I188" s="36"/>
      <c r="J188" s="36"/>
      <c r="K188" s="36"/>
      <c r="L188" s="36"/>
      <c r="M188" s="36"/>
      <c r="N188" s="10"/>
      <c r="O188" s="10"/>
      <c r="P188" s="10"/>
      <c r="Q188" s="22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0"/>
      <c r="B189" s="16"/>
      <c r="C189" s="10"/>
      <c r="D189" s="35"/>
      <c r="E189" s="36"/>
      <c r="F189" s="36"/>
      <c r="G189" s="36"/>
      <c r="H189" s="36"/>
      <c r="I189" s="36"/>
      <c r="J189" s="36"/>
      <c r="K189" s="36"/>
      <c r="L189" s="36"/>
      <c r="M189" s="36"/>
      <c r="N189" s="10"/>
      <c r="O189" s="10"/>
      <c r="P189" s="10"/>
      <c r="Q189" s="22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0"/>
      <c r="B190" s="16"/>
      <c r="C190" s="10"/>
      <c r="D190" s="35"/>
      <c r="E190" s="36"/>
      <c r="F190" s="36"/>
      <c r="G190" s="36"/>
      <c r="H190" s="36"/>
      <c r="I190" s="36"/>
      <c r="J190" s="36"/>
      <c r="K190" s="36"/>
      <c r="L190" s="36"/>
      <c r="M190" s="36"/>
      <c r="N190" s="10"/>
      <c r="O190" s="10"/>
      <c r="P190" s="10"/>
      <c r="Q190" s="22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0"/>
      <c r="B191" s="16"/>
      <c r="C191" s="10"/>
      <c r="D191" s="35"/>
      <c r="E191" s="36"/>
      <c r="F191" s="36"/>
      <c r="G191" s="36"/>
      <c r="H191" s="36"/>
      <c r="I191" s="36"/>
      <c r="J191" s="36"/>
      <c r="K191" s="36"/>
      <c r="L191" s="36"/>
      <c r="M191" s="36"/>
      <c r="N191" s="10"/>
      <c r="O191" s="10"/>
      <c r="P191" s="10"/>
      <c r="Q191" s="22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0"/>
      <c r="B192" s="16"/>
      <c r="C192" s="10"/>
      <c r="D192" s="35"/>
      <c r="E192" s="36"/>
      <c r="F192" s="36"/>
      <c r="G192" s="36"/>
      <c r="H192" s="36"/>
      <c r="I192" s="36"/>
      <c r="J192" s="36"/>
      <c r="K192" s="36"/>
      <c r="L192" s="36"/>
      <c r="M192" s="36"/>
      <c r="N192" s="10"/>
      <c r="O192" s="10"/>
      <c r="P192" s="10"/>
      <c r="Q192" s="22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0"/>
      <c r="B193" s="16"/>
      <c r="C193" s="10"/>
      <c r="D193" s="35"/>
      <c r="E193" s="36"/>
      <c r="F193" s="36"/>
      <c r="G193" s="36"/>
      <c r="H193" s="36"/>
      <c r="I193" s="36"/>
      <c r="J193" s="36"/>
      <c r="K193" s="36"/>
      <c r="L193" s="36"/>
      <c r="M193" s="36"/>
      <c r="N193" s="10"/>
      <c r="O193" s="10"/>
      <c r="P193" s="10"/>
      <c r="Q193" s="22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0"/>
      <c r="B194" s="16"/>
      <c r="C194" s="10"/>
      <c r="D194" s="35"/>
      <c r="E194" s="36"/>
      <c r="F194" s="36"/>
      <c r="G194" s="36"/>
      <c r="H194" s="36"/>
      <c r="I194" s="36"/>
      <c r="J194" s="36"/>
      <c r="K194" s="36"/>
      <c r="L194" s="36"/>
      <c r="M194" s="36"/>
      <c r="N194" s="10"/>
      <c r="O194" s="10"/>
      <c r="P194" s="10"/>
      <c r="Q194" s="22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0"/>
      <c r="B195" s="16"/>
      <c r="C195" s="10"/>
      <c r="D195" s="35"/>
      <c r="E195" s="36"/>
      <c r="F195" s="36"/>
      <c r="G195" s="36"/>
      <c r="H195" s="36"/>
      <c r="I195" s="36"/>
      <c r="J195" s="36"/>
      <c r="K195" s="36"/>
      <c r="L195" s="36"/>
      <c r="M195" s="36"/>
      <c r="N195" s="10"/>
      <c r="O195" s="10"/>
      <c r="P195" s="10"/>
      <c r="Q195" s="22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0"/>
      <c r="B196" s="16"/>
      <c r="C196" s="10"/>
      <c r="D196" s="35"/>
      <c r="E196" s="36"/>
      <c r="F196" s="36"/>
      <c r="G196" s="36"/>
      <c r="H196" s="36"/>
      <c r="I196" s="36"/>
      <c r="J196" s="36"/>
      <c r="K196" s="36"/>
      <c r="L196" s="36"/>
      <c r="M196" s="36"/>
      <c r="N196" s="10"/>
      <c r="O196" s="10"/>
      <c r="P196" s="10"/>
      <c r="Q196" s="22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0"/>
      <c r="B197" s="16"/>
      <c r="C197" s="10"/>
      <c r="D197" s="35"/>
      <c r="E197" s="36"/>
      <c r="F197" s="36"/>
      <c r="G197" s="36"/>
      <c r="H197" s="36"/>
      <c r="I197" s="36"/>
      <c r="J197" s="36"/>
      <c r="K197" s="36"/>
      <c r="L197" s="36"/>
      <c r="M197" s="36"/>
      <c r="N197" s="10"/>
      <c r="O197" s="10"/>
      <c r="P197" s="10"/>
      <c r="Q197" s="22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0"/>
      <c r="B198" s="16"/>
      <c r="C198" s="10"/>
      <c r="D198" s="35"/>
      <c r="E198" s="36"/>
      <c r="F198" s="36"/>
      <c r="G198" s="36"/>
      <c r="H198" s="36"/>
      <c r="I198" s="36"/>
      <c r="J198" s="36"/>
      <c r="K198" s="36"/>
      <c r="L198" s="36"/>
      <c r="M198" s="36"/>
      <c r="N198" s="10"/>
      <c r="O198" s="10"/>
      <c r="P198" s="10"/>
      <c r="Q198" s="22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0"/>
      <c r="B199" s="16"/>
      <c r="C199" s="10"/>
      <c r="D199" s="35"/>
      <c r="E199" s="36"/>
      <c r="F199" s="36"/>
      <c r="G199" s="36"/>
      <c r="H199" s="36"/>
      <c r="I199" s="36"/>
      <c r="J199" s="36"/>
      <c r="K199" s="36"/>
      <c r="L199" s="36"/>
      <c r="M199" s="36"/>
      <c r="N199" s="10"/>
      <c r="O199" s="10"/>
      <c r="P199" s="10"/>
      <c r="Q199" s="22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0"/>
      <c r="B200" s="16"/>
      <c r="C200" s="10"/>
      <c r="D200" s="35"/>
      <c r="E200" s="36"/>
      <c r="F200" s="36"/>
      <c r="G200" s="36"/>
      <c r="H200" s="36"/>
      <c r="I200" s="36"/>
      <c r="J200" s="36"/>
      <c r="K200" s="36"/>
      <c r="L200" s="36"/>
      <c r="M200" s="36"/>
      <c r="N200" s="10"/>
      <c r="O200" s="10"/>
      <c r="P200" s="10"/>
      <c r="Q200" s="22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0"/>
      <c r="B201" s="16"/>
      <c r="C201" s="10"/>
      <c r="D201" s="35"/>
      <c r="E201" s="36"/>
      <c r="F201" s="36"/>
      <c r="G201" s="36"/>
      <c r="H201" s="36"/>
      <c r="I201" s="36"/>
      <c r="J201" s="36"/>
      <c r="K201" s="36"/>
      <c r="L201" s="36"/>
      <c r="M201" s="36"/>
      <c r="N201" s="10"/>
      <c r="O201" s="10"/>
      <c r="P201" s="10"/>
      <c r="Q201" s="22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0"/>
      <c r="B202" s="16"/>
      <c r="C202" s="10"/>
      <c r="D202" s="35"/>
      <c r="E202" s="36"/>
      <c r="F202" s="36"/>
      <c r="G202" s="36"/>
      <c r="H202" s="36"/>
      <c r="I202" s="36"/>
      <c r="J202" s="36"/>
      <c r="K202" s="36"/>
      <c r="L202" s="36"/>
      <c r="M202" s="36"/>
      <c r="N202" s="10"/>
      <c r="O202" s="10"/>
      <c r="P202" s="10"/>
      <c r="Q202" s="22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0"/>
      <c r="B203" s="16"/>
      <c r="C203" s="10"/>
      <c r="D203" s="35"/>
      <c r="E203" s="36"/>
      <c r="F203" s="36"/>
      <c r="G203" s="36"/>
      <c r="H203" s="36"/>
      <c r="I203" s="36"/>
      <c r="J203" s="36"/>
      <c r="K203" s="36"/>
      <c r="L203" s="36"/>
      <c r="M203" s="36"/>
      <c r="N203" s="10"/>
      <c r="O203" s="10"/>
      <c r="P203" s="10"/>
      <c r="Q203" s="22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0"/>
      <c r="B204" s="16"/>
      <c r="C204" s="10"/>
      <c r="D204" s="35"/>
      <c r="E204" s="36"/>
      <c r="F204" s="36"/>
      <c r="G204" s="36"/>
      <c r="H204" s="36"/>
      <c r="I204" s="36"/>
      <c r="J204" s="36"/>
      <c r="K204" s="36"/>
      <c r="L204" s="36"/>
      <c r="M204" s="36"/>
      <c r="N204" s="10"/>
      <c r="O204" s="10"/>
      <c r="P204" s="10"/>
      <c r="Q204" s="22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0"/>
      <c r="B205" s="16"/>
      <c r="C205" s="10"/>
      <c r="D205" s="35"/>
      <c r="E205" s="36"/>
      <c r="F205" s="36"/>
      <c r="G205" s="36"/>
      <c r="H205" s="36"/>
      <c r="I205" s="36"/>
      <c r="J205" s="36"/>
      <c r="K205" s="36"/>
      <c r="L205" s="36"/>
      <c r="M205" s="36"/>
      <c r="N205" s="10"/>
      <c r="O205" s="10"/>
      <c r="P205" s="10"/>
      <c r="Q205" s="22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0"/>
      <c r="B206" s="16"/>
      <c r="C206" s="10"/>
      <c r="D206" s="35"/>
      <c r="E206" s="36"/>
      <c r="F206" s="36"/>
      <c r="G206" s="36"/>
      <c r="H206" s="36"/>
      <c r="I206" s="36"/>
      <c r="J206" s="36"/>
      <c r="K206" s="36"/>
      <c r="L206" s="36"/>
      <c r="M206" s="36"/>
      <c r="N206" s="10"/>
      <c r="O206" s="10"/>
      <c r="P206" s="10"/>
      <c r="Q206" s="22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0"/>
      <c r="B207" s="16"/>
      <c r="C207" s="10"/>
      <c r="D207" s="35"/>
      <c r="E207" s="36"/>
      <c r="F207" s="36"/>
      <c r="G207" s="36"/>
      <c r="H207" s="36"/>
      <c r="I207" s="36"/>
      <c r="J207" s="36"/>
      <c r="K207" s="36"/>
      <c r="L207" s="36"/>
      <c r="M207" s="36"/>
      <c r="N207" s="10"/>
      <c r="O207" s="10"/>
      <c r="P207" s="10"/>
      <c r="Q207" s="22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0"/>
      <c r="B208" s="16"/>
      <c r="C208" s="10"/>
      <c r="D208" s="35"/>
      <c r="E208" s="36"/>
      <c r="F208" s="36"/>
      <c r="G208" s="36"/>
      <c r="H208" s="36"/>
      <c r="I208" s="36"/>
      <c r="J208" s="36"/>
      <c r="K208" s="36"/>
      <c r="L208" s="36"/>
      <c r="M208" s="36"/>
      <c r="N208" s="10"/>
      <c r="O208" s="10"/>
      <c r="P208" s="10"/>
      <c r="Q208" s="22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0"/>
      <c r="B209" s="16"/>
      <c r="C209" s="10"/>
      <c r="D209" s="35"/>
      <c r="E209" s="36"/>
      <c r="F209" s="36"/>
      <c r="G209" s="36"/>
      <c r="H209" s="36"/>
      <c r="I209" s="36"/>
      <c r="J209" s="36"/>
      <c r="K209" s="36"/>
      <c r="L209" s="36"/>
      <c r="M209" s="36"/>
      <c r="N209" s="10"/>
      <c r="O209" s="10"/>
      <c r="P209" s="10"/>
      <c r="Q209" s="22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0"/>
      <c r="B210" s="16"/>
      <c r="C210" s="10"/>
      <c r="D210" s="35"/>
      <c r="E210" s="36"/>
      <c r="F210" s="36"/>
      <c r="G210" s="36"/>
      <c r="H210" s="36"/>
      <c r="I210" s="36"/>
      <c r="J210" s="36"/>
      <c r="K210" s="36"/>
      <c r="L210" s="36"/>
      <c r="M210" s="36"/>
      <c r="N210" s="10"/>
      <c r="O210" s="10"/>
      <c r="P210" s="10"/>
      <c r="Q210" s="22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0"/>
      <c r="B211" s="16"/>
      <c r="C211" s="10"/>
      <c r="D211" s="35"/>
      <c r="E211" s="36"/>
      <c r="F211" s="36"/>
      <c r="G211" s="36"/>
      <c r="H211" s="36"/>
      <c r="I211" s="36"/>
      <c r="J211" s="36"/>
      <c r="K211" s="36"/>
      <c r="L211" s="36"/>
      <c r="M211" s="36"/>
      <c r="N211" s="10"/>
      <c r="O211" s="10"/>
      <c r="P211" s="10"/>
      <c r="Q211" s="22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0"/>
      <c r="B212" s="16"/>
      <c r="C212" s="10"/>
      <c r="D212" s="35"/>
      <c r="E212" s="36"/>
      <c r="F212" s="36"/>
      <c r="G212" s="36"/>
      <c r="H212" s="36"/>
      <c r="I212" s="36"/>
      <c r="J212" s="36"/>
      <c r="K212" s="36"/>
      <c r="L212" s="36"/>
      <c r="M212" s="36"/>
      <c r="N212" s="10"/>
      <c r="O212" s="10"/>
      <c r="P212" s="10"/>
      <c r="Q212" s="22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0"/>
      <c r="B213" s="16"/>
      <c r="C213" s="10"/>
      <c r="D213" s="35"/>
      <c r="E213" s="36"/>
      <c r="F213" s="36"/>
      <c r="G213" s="36"/>
      <c r="H213" s="36"/>
      <c r="I213" s="36"/>
      <c r="J213" s="36"/>
      <c r="K213" s="36"/>
      <c r="L213" s="36"/>
      <c r="M213" s="36"/>
      <c r="N213" s="10"/>
      <c r="O213" s="10"/>
      <c r="P213" s="10"/>
      <c r="Q213" s="22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0"/>
      <c r="B214" s="16"/>
      <c r="C214" s="10"/>
      <c r="D214" s="35"/>
      <c r="E214" s="36"/>
      <c r="F214" s="36"/>
      <c r="G214" s="36"/>
      <c r="H214" s="36"/>
      <c r="I214" s="36"/>
      <c r="J214" s="36"/>
      <c r="K214" s="36"/>
      <c r="L214" s="36"/>
      <c r="M214" s="36"/>
      <c r="N214" s="10"/>
      <c r="O214" s="10"/>
      <c r="P214" s="10"/>
      <c r="Q214" s="22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0"/>
      <c r="B215" s="16"/>
      <c r="C215" s="10"/>
      <c r="D215" s="35"/>
      <c r="E215" s="36"/>
      <c r="F215" s="36"/>
      <c r="G215" s="36"/>
      <c r="H215" s="36"/>
      <c r="I215" s="36"/>
      <c r="J215" s="36"/>
      <c r="K215" s="36"/>
      <c r="L215" s="36"/>
      <c r="M215" s="36"/>
      <c r="N215" s="10"/>
      <c r="O215" s="10"/>
      <c r="P215" s="10"/>
      <c r="Q215" s="22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0"/>
      <c r="B216" s="16"/>
      <c r="C216" s="10"/>
      <c r="D216" s="35"/>
      <c r="E216" s="36"/>
      <c r="F216" s="36"/>
      <c r="G216" s="36"/>
      <c r="H216" s="36"/>
      <c r="I216" s="36"/>
      <c r="J216" s="36"/>
      <c r="K216" s="36"/>
      <c r="L216" s="36"/>
      <c r="M216" s="36"/>
      <c r="N216" s="10"/>
      <c r="O216" s="10"/>
      <c r="P216" s="10"/>
      <c r="Q216" s="22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0"/>
      <c r="B217" s="16"/>
      <c r="C217" s="10"/>
      <c r="D217" s="35"/>
      <c r="E217" s="36"/>
      <c r="F217" s="36"/>
      <c r="G217" s="36"/>
      <c r="H217" s="36"/>
      <c r="I217" s="36"/>
      <c r="J217" s="36"/>
      <c r="K217" s="36"/>
      <c r="L217" s="36"/>
      <c r="M217" s="36"/>
      <c r="N217" s="10"/>
      <c r="O217" s="10"/>
      <c r="P217" s="10"/>
      <c r="Q217" s="22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0"/>
      <c r="B218" s="16"/>
      <c r="C218" s="10"/>
      <c r="D218" s="35"/>
      <c r="E218" s="36"/>
      <c r="F218" s="36"/>
      <c r="G218" s="36"/>
      <c r="H218" s="36"/>
      <c r="I218" s="36"/>
      <c r="J218" s="36"/>
      <c r="K218" s="36"/>
      <c r="L218" s="36"/>
      <c r="M218" s="36"/>
      <c r="N218" s="10"/>
      <c r="O218" s="10"/>
      <c r="P218" s="10"/>
      <c r="Q218" s="22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0"/>
      <c r="B219" s="16"/>
      <c r="C219" s="10"/>
      <c r="D219" s="35"/>
      <c r="E219" s="36"/>
      <c r="F219" s="36"/>
      <c r="G219" s="36"/>
      <c r="H219" s="36"/>
      <c r="I219" s="36"/>
      <c r="J219" s="36"/>
      <c r="K219" s="36"/>
      <c r="L219" s="36"/>
      <c r="M219" s="36"/>
      <c r="N219" s="10"/>
      <c r="O219" s="10"/>
      <c r="P219" s="10"/>
      <c r="Q219" s="22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0"/>
      <c r="B220" s="16"/>
      <c r="C220" s="10"/>
      <c r="D220" s="35"/>
      <c r="E220" s="36"/>
      <c r="F220" s="36"/>
      <c r="G220" s="36"/>
      <c r="H220" s="36"/>
      <c r="I220" s="36"/>
      <c r="J220" s="36"/>
      <c r="K220" s="36"/>
      <c r="L220" s="36"/>
      <c r="M220" s="36"/>
      <c r="N220" s="10"/>
      <c r="O220" s="10"/>
      <c r="P220" s="10"/>
      <c r="Q220" s="22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0"/>
      <c r="B221" s="16"/>
      <c r="C221" s="10"/>
      <c r="D221" s="35"/>
      <c r="E221" s="36"/>
      <c r="F221" s="36"/>
      <c r="G221" s="36"/>
      <c r="H221" s="36"/>
      <c r="I221" s="36"/>
      <c r="J221" s="36"/>
      <c r="K221" s="36"/>
      <c r="L221" s="36"/>
      <c r="M221" s="36"/>
      <c r="N221" s="10"/>
      <c r="O221" s="10"/>
      <c r="P221" s="10"/>
      <c r="Q221" s="22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0"/>
      <c r="B222" s="16"/>
      <c r="C222" s="10"/>
      <c r="D222" s="35"/>
      <c r="E222" s="36"/>
      <c r="F222" s="36"/>
      <c r="G222" s="36"/>
      <c r="H222" s="36"/>
      <c r="I222" s="36"/>
      <c r="J222" s="36"/>
      <c r="K222" s="36"/>
      <c r="L222" s="36"/>
      <c r="M222" s="36"/>
      <c r="N222" s="10"/>
      <c r="O222" s="10"/>
      <c r="P222" s="10"/>
      <c r="Q222" s="22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0"/>
      <c r="B223" s="16"/>
      <c r="C223" s="10"/>
      <c r="D223" s="35"/>
      <c r="E223" s="36"/>
      <c r="F223" s="36"/>
      <c r="G223" s="36"/>
      <c r="H223" s="36"/>
      <c r="I223" s="36"/>
      <c r="J223" s="36"/>
      <c r="K223" s="36"/>
      <c r="L223" s="36"/>
      <c r="M223" s="36"/>
      <c r="N223" s="10"/>
      <c r="O223" s="10"/>
      <c r="P223" s="10"/>
      <c r="Q223" s="22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0"/>
      <c r="B224" s="16"/>
      <c r="C224" s="10"/>
      <c r="D224" s="35"/>
      <c r="E224" s="36"/>
      <c r="F224" s="36"/>
      <c r="G224" s="36"/>
      <c r="H224" s="36"/>
      <c r="I224" s="36"/>
      <c r="J224" s="36"/>
      <c r="K224" s="36"/>
      <c r="L224" s="36"/>
      <c r="M224" s="36"/>
      <c r="N224" s="10"/>
      <c r="O224" s="10"/>
      <c r="P224" s="10"/>
      <c r="Q224" s="22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0"/>
      <c r="B225" s="16"/>
      <c r="C225" s="10"/>
      <c r="D225" s="35"/>
      <c r="E225" s="36"/>
      <c r="F225" s="36"/>
      <c r="G225" s="36"/>
      <c r="H225" s="36"/>
      <c r="I225" s="36"/>
      <c r="J225" s="36"/>
      <c r="K225" s="36"/>
      <c r="L225" s="36"/>
      <c r="M225" s="36"/>
      <c r="N225" s="10"/>
      <c r="O225" s="10"/>
      <c r="P225" s="10"/>
      <c r="Q225" s="22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0"/>
      <c r="B226" s="16"/>
      <c r="C226" s="10"/>
      <c r="D226" s="35"/>
      <c r="E226" s="36"/>
      <c r="F226" s="36"/>
      <c r="G226" s="36"/>
      <c r="H226" s="36"/>
      <c r="I226" s="36"/>
      <c r="J226" s="36"/>
      <c r="K226" s="36"/>
      <c r="L226" s="36"/>
      <c r="M226" s="36"/>
      <c r="N226" s="10"/>
      <c r="O226" s="10"/>
      <c r="P226" s="10"/>
      <c r="Q226" s="22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0"/>
      <c r="B227" s="16"/>
      <c r="C227" s="10"/>
      <c r="D227" s="35"/>
      <c r="E227" s="36"/>
      <c r="F227" s="36"/>
      <c r="G227" s="36"/>
      <c r="H227" s="36"/>
      <c r="I227" s="36"/>
      <c r="J227" s="36"/>
      <c r="K227" s="36"/>
      <c r="L227" s="36"/>
      <c r="M227" s="36"/>
      <c r="N227" s="10"/>
      <c r="O227" s="10"/>
      <c r="P227" s="10"/>
      <c r="Q227" s="22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0"/>
      <c r="B228" s="16"/>
      <c r="C228" s="10"/>
      <c r="D228" s="35"/>
      <c r="E228" s="36"/>
      <c r="F228" s="36"/>
      <c r="G228" s="36"/>
      <c r="H228" s="36"/>
      <c r="I228" s="36"/>
      <c r="J228" s="36"/>
      <c r="K228" s="36"/>
      <c r="L228" s="36"/>
      <c r="M228" s="36"/>
      <c r="N228" s="10"/>
      <c r="O228" s="10"/>
      <c r="P228" s="10"/>
      <c r="Q228" s="22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0"/>
      <c r="B229" s="16"/>
      <c r="C229" s="10"/>
      <c r="D229" s="35"/>
      <c r="E229" s="36"/>
      <c r="F229" s="36"/>
      <c r="G229" s="36"/>
      <c r="H229" s="36"/>
      <c r="I229" s="36"/>
      <c r="J229" s="36"/>
      <c r="K229" s="36"/>
      <c r="L229" s="36"/>
      <c r="M229" s="36"/>
      <c r="N229" s="10"/>
      <c r="O229" s="10"/>
      <c r="P229" s="10"/>
      <c r="Q229" s="22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0"/>
      <c r="B230" s="16"/>
      <c r="C230" s="10"/>
      <c r="D230" s="35"/>
      <c r="E230" s="36"/>
      <c r="F230" s="36"/>
      <c r="G230" s="36"/>
      <c r="H230" s="36"/>
      <c r="I230" s="36"/>
      <c r="J230" s="36"/>
      <c r="K230" s="36"/>
      <c r="L230" s="36"/>
      <c r="M230" s="36"/>
      <c r="N230" s="10"/>
      <c r="O230" s="10"/>
      <c r="P230" s="10"/>
      <c r="Q230" s="22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0"/>
      <c r="B231" s="16"/>
      <c r="C231" s="10"/>
      <c r="D231" s="35"/>
      <c r="E231" s="36"/>
      <c r="F231" s="36"/>
      <c r="G231" s="36"/>
      <c r="H231" s="36"/>
      <c r="I231" s="36"/>
      <c r="J231" s="36"/>
      <c r="K231" s="36"/>
      <c r="L231" s="36"/>
      <c r="M231" s="36"/>
      <c r="N231" s="10"/>
      <c r="O231" s="10"/>
      <c r="P231" s="10"/>
      <c r="Q231" s="22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0"/>
      <c r="B232" s="16"/>
      <c r="C232" s="10"/>
      <c r="D232" s="35"/>
      <c r="E232" s="36"/>
      <c r="F232" s="36"/>
      <c r="G232" s="36"/>
      <c r="H232" s="36"/>
      <c r="I232" s="36"/>
      <c r="J232" s="36"/>
      <c r="K232" s="36"/>
      <c r="L232" s="36"/>
      <c r="M232" s="36"/>
      <c r="N232" s="10"/>
      <c r="O232" s="10"/>
      <c r="P232" s="10"/>
      <c r="Q232" s="22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0"/>
      <c r="B233" s="16"/>
      <c r="C233" s="10"/>
      <c r="D233" s="35"/>
      <c r="E233" s="36"/>
      <c r="F233" s="36"/>
      <c r="G233" s="36"/>
      <c r="H233" s="36"/>
      <c r="I233" s="36"/>
      <c r="J233" s="36"/>
      <c r="K233" s="36"/>
      <c r="L233" s="36"/>
      <c r="M233" s="36"/>
      <c r="N233" s="10"/>
      <c r="O233" s="10"/>
      <c r="P233" s="10"/>
      <c r="Q233" s="22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0"/>
      <c r="B234" s="16"/>
      <c r="C234" s="10"/>
      <c r="D234" s="35"/>
      <c r="E234" s="36"/>
      <c r="F234" s="36"/>
      <c r="G234" s="36"/>
      <c r="H234" s="36"/>
      <c r="I234" s="36"/>
      <c r="J234" s="36"/>
      <c r="K234" s="36"/>
      <c r="L234" s="36"/>
      <c r="M234" s="36"/>
      <c r="N234" s="10"/>
      <c r="O234" s="10"/>
      <c r="P234" s="10"/>
      <c r="Q234" s="22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0"/>
      <c r="B235" s="16"/>
      <c r="C235" s="10"/>
      <c r="D235" s="35"/>
      <c r="E235" s="36"/>
      <c r="F235" s="36"/>
      <c r="G235" s="36"/>
      <c r="H235" s="36"/>
      <c r="I235" s="36"/>
      <c r="J235" s="36"/>
      <c r="K235" s="36"/>
      <c r="L235" s="36"/>
      <c r="M235" s="36"/>
      <c r="N235" s="10"/>
      <c r="O235" s="10"/>
      <c r="P235" s="10"/>
      <c r="Q235" s="22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0"/>
      <c r="B236" s="16"/>
      <c r="C236" s="10"/>
      <c r="D236" s="35"/>
      <c r="E236" s="36"/>
      <c r="F236" s="36"/>
      <c r="G236" s="36"/>
      <c r="H236" s="36"/>
      <c r="I236" s="36"/>
      <c r="J236" s="36"/>
      <c r="K236" s="36"/>
      <c r="L236" s="36"/>
      <c r="M236" s="36"/>
      <c r="N236" s="10"/>
      <c r="O236" s="10"/>
      <c r="P236" s="10"/>
      <c r="Q236" s="22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0"/>
      <c r="B237" s="16"/>
      <c r="C237" s="10"/>
      <c r="D237" s="35"/>
      <c r="E237" s="36"/>
      <c r="F237" s="36"/>
      <c r="G237" s="36"/>
      <c r="H237" s="36"/>
      <c r="I237" s="36"/>
      <c r="J237" s="36"/>
      <c r="K237" s="36"/>
      <c r="L237" s="36"/>
      <c r="M237" s="36"/>
      <c r="N237" s="10"/>
      <c r="O237" s="10"/>
      <c r="P237" s="10"/>
      <c r="Q237" s="22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0"/>
      <c r="B238" s="16"/>
      <c r="C238" s="10"/>
      <c r="D238" s="35"/>
      <c r="E238" s="36"/>
      <c r="F238" s="36"/>
      <c r="G238" s="36"/>
      <c r="H238" s="36"/>
      <c r="I238" s="36"/>
      <c r="J238" s="36"/>
      <c r="K238" s="36"/>
      <c r="L238" s="36"/>
      <c r="M238" s="36"/>
      <c r="N238" s="10"/>
      <c r="O238" s="10"/>
      <c r="P238" s="10"/>
      <c r="Q238" s="22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0"/>
      <c r="B239" s="16"/>
      <c r="C239" s="10"/>
      <c r="D239" s="35"/>
      <c r="E239" s="36"/>
      <c r="F239" s="36"/>
      <c r="G239" s="36"/>
      <c r="H239" s="36"/>
      <c r="I239" s="36"/>
      <c r="J239" s="36"/>
      <c r="K239" s="36"/>
      <c r="L239" s="36"/>
      <c r="M239" s="36"/>
      <c r="N239" s="10"/>
      <c r="O239" s="10"/>
      <c r="P239" s="10"/>
      <c r="Q239" s="22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0"/>
      <c r="B240" s="16"/>
      <c r="C240" s="10"/>
      <c r="D240" s="35"/>
      <c r="E240" s="36"/>
      <c r="F240" s="36"/>
      <c r="G240" s="36"/>
      <c r="H240" s="36"/>
      <c r="I240" s="36"/>
      <c r="J240" s="36"/>
      <c r="K240" s="36"/>
      <c r="L240" s="36"/>
      <c r="M240" s="36"/>
      <c r="N240" s="10"/>
      <c r="O240" s="10"/>
      <c r="P240" s="10"/>
      <c r="Q240" s="22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0"/>
      <c r="B241" s="16"/>
      <c r="C241" s="10"/>
      <c r="D241" s="35"/>
      <c r="E241" s="36"/>
      <c r="F241" s="36"/>
      <c r="G241" s="36"/>
      <c r="H241" s="36"/>
      <c r="I241" s="36"/>
      <c r="J241" s="36"/>
      <c r="K241" s="36"/>
      <c r="L241" s="36"/>
      <c r="M241" s="36"/>
      <c r="N241" s="10"/>
      <c r="O241" s="10"/>
      <c r="P241" s="10"/>
      <c r="Q241" s="22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0"/>
      <c r="B242" s="16"/>
      <c r="C242" s="10"/>
      <c r="D242" s="35"/>
      <c r="E242" s="36"/>
      <c r="F242" s="36"/>
      <c r="G242" s="36"/>
      <c r="H242" s="36"/>
      <c r="I242" s="36"/>
      <c r="J242" s="36"/>
      <c r="K242" s="36"/>
      <c r="L242" s="36"/>
      <c r="M242" s="36"/>
      <c r="N242" s="10"/>
      <c r="O242" s="10"/>
      <c r="P242" s="10"/>
      <c r="Q242" s="22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0"/>
      <c r="B243" s="16"/>
      <c r="C243" s="10"/>
      <c r="D243" s="35"/>
      <c r="E243" s="36"/>
      <c r="F243" s="36"/>
      <c r="G243" s="36"/>
      <c r="H243" s="36"/>
      <c r="I243" s="36"/>
      <c r="J243" s="36"/>
      <c r="K243" s="36"/>
      <c r="L243" s="36"/>
      <c r="M243" s="36"/>
      <c r="N243" s="10"/>
      <c r="O243" s="10"/>
      <c r="P243" s="10"/>
      <c r="Q243" s="22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0"/>
      <c r="B244" s="16"/>
      <c r="C244" s="10"/>
      <c r="D244" s="35"/>
      <c r="E244" s="36"/>
      <c r="F244" s="36"/>
      <c r="G244" s="36"/>
      <c r="H244" s="36"/>
      <c r="I244" s="36"/>
      <c r="J244" s="36"/>
      <c r="K244" s="36"/>
      <c r="L244" s="36"/>
      <c r="M244" s="36"/>
      <c r="N244" s="10"/>
      <c r="O244" s="10"/>
      <c r="P244" s="10"/>
      <c r="Q244" s="22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0"/>
      <c r="B245" s="16"/>
      <c r="C245" s="10"/>
      <c r="D245" s="35"/>
      <c r="E245" s="36"/>
      <c r="F245" s="36"/>
      <c r="G245" s="36"/>
      <c r="H245" s="36"/>
      <c r="I245" s="36"/>
      <c r="J245" s="36"/>
      <c r="K245" s="36"/>
      <c r="L245" s="36"/>
      <c r="M245" s="36"/>
      <c r="N245" s="10"/>
      <c r="O245" s="10"/>
      <c r="P245" s="10"/>
      <c r="Q245" s="22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0"/>
      <c r="B246" s="16"/>
      <c r="C246" s="10"/>
      <c r="D246" s="35"/>
      <c r="E246" s="36"/>
      <c r="F246" s="36"/>
      <c r="G246" s="36"/>
      <c r="H246" s="36"/>
      <c r="I246" s="36"/>
      <c r="J246" s="36"/>
      <c r="K246" s="36"/>
      <c r="L246" s="36"/>
      <c r="M246" s="36"/>
      <c r="N246" s="10"/>
      <c r="O246" s="10"/>
      <c r="P246" s="10"/>
      <c r="Q246" s="22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0"/>
      <c r="B247" s="16"/>
      <c r="C247" s="10"/>
      <c r="D247" s="35"/>
      <c r="E247" s="36"/>
      <c r="F247" s="36"/>
      <c r="G247" s="36"/>
      <c r="H247" s="36"/>
      <c r="I247" s="36"/>
      <c r="J247" s="36"/>
      <c r="K247" s="36"/>
      <c r="L247" s="36"/>
      <c r="M247" s="36"/>
      <c r="N247" s="10"/>
      <c r="O247" s="10"/>
      <c r="P247" s="10"/>
      <c r="Q247" s="22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0"/>
      <c r="B248" s="16"/>
      <c r="C248" s="10"/>
      <c r="D248" s="35"/>
      <c r="E248" s="36"/>
      <c r="F248" s="36"/>
      <c r="G248" s="36"/>
      <c r="H248" s="36"/>
      <c r="I248" s="36"/>
      <c r="J248" s="36"/>
      <c r="K248" s="36"/>
      <c r="L248" s="36"/>
      <c r="M248" s="36"/>
      <c r="N248" s="10"/>
      <c r="O248" s="10"/>
      <c r="P248" s="10"/>
      <c r="Q248" s="22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0"/>
      <c r="B249" s="16"/>
      <c r="C249" s="10"/>
      <c r="D249" s="35"/>
      <c r="E249" s="36"/>
      <c r="F249" s="36"/>
      <c r="G249" s="36"/>
      <c r="H249" s="36"/>
      <c r="I249" s="36"/>
      <c r="J249" s="36"/>
      <c r="K249" s="36"/>
      <c r="L249" s="36"/>
      <c r="M249" s="36"/>
      <c r="N249" s="10"/>
      <c r="O249" s="10"/>
      <c r="P249" s="10"/>
      <c r="Q249" s="22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0"/>
      <c r="B250" s="16"/>
      <c r="C250" s="10"/>
      <c r="D250" s="35"/>
      <c r="E250" s="36"/>
      <c r="F250" s="36"/>
      <c r="G250" s="36"/>
      <c r="H250" s="36"/>
      <c r="I250" s="36"/>
      <c r="J250" s="36"/>
      <c r="K250" s="36"/>
      <c r="L250" s="36"/>
      <c r="M250" s="36"/>
      <c r="N250" s="10"/>
      <c r="O250" s="10"/>
      <c r="P250" s="10"/>
      <c r="Q250" s="22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0"/>
      <c r="B251" s="16"/>
      <c r="C251" s="10"/>
      <c r="D251" s="35"/>
      <c r="E251" s="36"/>
      <c r="F251" s="36"/>
      <c r="G251" s="36"/>
      <c r="H251" s="36"/>
      <c r="I251" s="36"/>
      <c r="J251" s="36"/>
      <c r="K251" s="36"/>
      <c r="L251" s="36"/>
      <c r="M251" s="36"/>
      <c r="N251" s="10"/>
      <c r="O251" s="10"/>
      <c r="P251" s="10"/>
      <c r="Q251" s="22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0"/>
      <c r="B252" s="16"/>
      <c r="C252" s="10"/>
      <c r="D252" s="35"/>
      <c r="E252" s="36"/>
      <c r="F252" s="36"/>
      <c r="G252" s="36"/>
      <c r="H252" s="36"/>
      <c r="I252" s="36"/>
      <c r="J252" s="36"/>
      <c r="K252" s="36"/>
      <c r="L252" s="36"/>
      <c r="M252" s="36"/>
      <c r="N252" s="10"/>
      <c r="O252" s="10"/>
      <c r="P252" s="10"/>
      <c r="Q252" s="22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0"/>
      <c r="B253" s="16"/>
      <c r="C253" s="10"/>
      <c r="D253" s="35"/>
      <c r="E253" s="36"/>
      <c r="F253" s="36"/>
      <c r="G253" s="36"/>
      <c r="H253" s="36"/>
      <c r="I253" s="36"/>
      <c r="J253" s="36"/>
      <c r="K253" s="36"/>
      <c r="L253" s="36"/>
      <c r="M253" s="36"/>
      <c r="N253" s="10"/>
      <c r="O253" s="10"/>
      <c r="P253" s="10"/>
      <c r="Q253" s="22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0"/>
      <c r="B254" s="16"/>
      <c r="C254" s="10"/>
      <c r="D254" s="35"/>
      <c r="E254" s="36"/>
      <c r="F254" s="36"/>
      <c r="G254" s="36"/>
      <c r="H254" s="36"/>
      <c r="I254" s="36"/>
      <c r="J254" s="36"/>
      <c r="K254" s="36"/>
      <c r="L254" s="36"/>
      <c r="M254" s="36"/>
      <c r="N254" s="10"/>
      <c r="O254" s="10"/>
      <c r="P254" s="10"/>
      <c r="Q254" s="22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0"/>
      <c r="B255" s="16"/>
      <c r="C255" s="10"/>
      <c r="D255" s="35"/>
      <c r="E255" s="36"/>
      <c r="F255" s="36"/>
      <c r="G255" s="36"/>
      <c r="H255" s="36"/>
      <c r="I255" s="36"/>
      <c r="J255" s="36"/>
      <c r="K255" s="36"/>
      <c r="L255" s="36"/>
      <c r="M255" s="36"/>
      <c r="N255" s="10"/>
      <c r="O255" s="10"/>
      <c r="P255" s="10"/>
      <c r="Q255" s="22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0"/>
      <c r="B256" s="16"/>
      <c r="C256" s="10"/>
      <c r="D256" s="35"/>
      <c r="E256" s="36"/>
      <c r="F256" s="36"/>
      <c r="G256" s="36"/>
      <c r="H256" s="36"/>
      <c r="I256" s="36"/>
      <c r="J256" s="36"/>
      <c r="K256" s="36"/>
      <c r="L256" s="36"/>
      <c r="M256" s="36"/>
      <c r="N256" s="10"/>
      <c r="O256" s="10"/>
      <c r="P256" s="10"/>
      <c r="Q256" s="22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0"/>
      <c r="B257" s="16"/>
      <c r="C257" s="10"/>
      <c r="D257" s="35"/>
      <c r="E257" s="36"/>
      <c r="F257" s="36"/>
      <c r="G257" s="36"/>
      <c r="H257" s="36"/>
      <c r="I257" s="36"/>
      <c r="J257" s="36"/>
      <c r="K257" s="36"/>
      <c r="L257" s="36"/>
      <c r="M257" s="36"/>
      <c r="N257" s="10"/>
      <c r="O257" s="10"/>
      <c r="P257" s="10"/>
      <c r="Q257" s="22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0"/>
      <c r="B258" s="16"/>
      <c r="C258" s="10"/>
      <c r="D258" s="35"/>
      <c r="E258" s="36"/>
      <c r="F258" s="36"/>
      <c r="G258" s="36"/>
      <c r="H258" s="36"/>
      <c r="I258" s="36"/>
      <c r="J258" s="36"/>
      <c r="K258" s="36"/>
      <c r="L258" s="36"/>
      <c r="M258" s="36"/>
      <c r="N258" s="10"/>
      <c r="O258" s="10"/>
      <c r="P258" s="10"/>
      <c r="Q258" s="22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0"/>
      <c r="B259" s="16"/>
      <c r="C259" s="10"/>
      <c r="D259" s="35"/>
      <c r="E259" s="36"/>
      <c r="F259" s="36"/>
      <c r="G259" s="36"/>
      <c r="H259" s="36"/>
      <c r="I259" s="36"/>
      <c r="J259" s="36"/>
      <c r="K259" s="36"/>
      <c r="L259" s="36"/>
      <c r="M259" s="36"/>
      <c r="N259" s="10"/>
      <c r="O259" s="10"/>
      <c r="P259" s="10"/>
      <c r="Q259" s="22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0"/>
      <c r="B260" s="16"/>
      <c r="C260" s="10"/>
      <c r="D260" s="35"/>
      <c r="E260" s="36"/>
      <c r="F260" s="36"/>
      <c r="G260" s="36"/>
      <c r="H260" s="36"/>
      <c r="I260" s="36"/>
      <c r="J260" s="36"/>
      <c r="K260" s="36"/>
      <c r="L260" s="36"/>
      <c r="M260" s="36"/>
      <c r="N260" s="10"/>
      <c r="O260" s="10"/>
      <c r="P260" s="10"/>
      <c r="Q260" s="22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0"/>
      <c r="B261" s="16"/>
      <c r="C261" s="10"/>
      <c r="D261" s="35"/>
      <c r="E261" s="36"/>
      <c r="F261" s="36"/>
      <c r="G261" s="36"/>
      <c r="H261" s="36"/>
      <c r="I261" s="36"/>
      <c r="J261" s="36"/>
      <c r="K261" s="36"/>
      <c r="L261" s="36"/>
      <c r="M261" s="36"/>
      <c r="N261" s="10"/>
      <c r="O261" s="10"/>
      <c r="P261" s="10"/>
      <c r="Q261" s="22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0"/>
      <c r="B262" s="16"/>
      <c r="C262" s="10"/>
      <c r="D262" s="35"/>
      <c r="E262" s="36"/>
      <c r="F262" s="36"/>
      <c r="G262" s="36"/>
      <c r="H262" s="36"/>
      <c r="I262" s="36"/>
      <c r="J262" s="36"/>
      <c r="K262" s="36"/>
      <c r="L262" s="36"/>
      <c r="M262" s="36"/>
      <c r="N262" s="10"/>
      <c r="O262" s="10"/>
      <c r="P262" s="10"/>
      <c r="Q262" s="22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0"/>
      <c r="B263" s="16"/>
      <c r="C263" s="10"/>
      <c r="D263" s="35"/>
      <c r="E263" s="36"/>
      <c r="F263" s="36"/>
      <c r="G263" s="36"/>
      <c r="H263" s="36"/>
      <c r="I263" s="36"/>
      <c r="J263" s="36"/>
      <c r="K263" s="36"/>
      <c r="L263" s="36"/>
      <c r="M263" s="36"/>
      <c r="N263" s="10"/>
      <c r="O263" s="10"/>
      <c r="P263" s="10"/>
      <c r="Q263" s="22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0"/>
      <c r="B264" s="16"/>
      <c r="C264" s="10"/>
      <c r="D264" s="35"/>
      <c r="E264" s="36"/>
      <c r="F264" s="36"/>
      <c r="G264" s="36"/>
      <c r="H264" s="36"/>
      <c r="I264" s="36"/>
      <c r="J264" s="36"/>
      <c r="K264" s="36"/>
      <c r="L264" s="36"/>
      <c r="M264" s="36"/>
      <c r="N264" s="10"/>
      <c r="O264" s="10"/>
      <c r="P264" s="10"/>
      <c r="Q264" s="22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0"/>
      <c r="B265" s="16"/>
      <c r="C265" s="10"/>
      <c r="D265" s="35"/>
      <c r="E265" s="36"/>
      <c r="F265" s="36"/>
      <c r="G265" s="36"/>
      <c r="H265" s="36"/>
      <c r="I265" s="36"/>
      <c r="J265" s="36"/>
      <c r="K265" s="36"/>
      <c r="L265" s="36"/>
      <c r="M265" s="36"/>
      <c r="N265" s="10"/>
      <c r="O265" s="10"/>
      <c r="P265" s="10"/>
      <c r="Q265" s="22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0"/>
      <c r="B266" s="16"/>
      <c r="C266" s="10"/>
      <c r="D266" s="35"/>
      <c r="E266" s="36"/>
      <c r="F266" s="36"/>
      <c r="G266" s="36"/>
      <c r="H266" s="36"/>
      <c r="I266" s="36"/>
      <c r="J266" s="36"/>
      <c r="K266" s="36"/>
      <c r="L266" s="36"/>
      <c r="M266" s="36"/>
      <c r="N266" s="10"/>
      <c r="O266" s="10"/>
      <c r="P266" s="10"/>
      <c r="Q266" s="22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0"/>
      <c r="B267" s="16"/>
      <c r="C267" s="10"/>
      <c r="D267" s="35"/>
      <c r="E267" s="36"/>
      <c r="F267" s="36"/>
      <c r="G267" s="36"/>
      <c r="H267" s="36"/>
      <c r="I267" s="36"/>
      <c r="J267" s="36"/>
      <c r="K267" s="36"/>
      <c r="L267" s="36"/>
      <c r="M267" s="36"/>
      <c r="N267" s="10"/>
      <c r="O267" s="10"/>
      <c r="P267" s="10"/>
      <c r="Q267" s="22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0"/>
      <c r="B268" s="16"/>
      <c r="C268" s="10"/>
      <c r="D268" s="35"/>
      <c r="E268" s="36"/>
      <c r="F268" s="36"/>
      <c r="G268" s="36"/>
      <c r="H268" s="36"/>
      <c r="I268" s="36"/>
      <c r="J268" s="36"/>
      <c r="K268" s="36"/>
      <c r="L268" s="36"/>
      <c r="M268" s="36"/>
      <c r="N268" s="10"/>
      <c r="O268" s="10"/>
      <c r="P268" s="10"/>
      <c r="Q268" s="22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0"/>
      <c r="B269" s="16"/>
      <c r="C269" s="10"/>
      <c r="D269" s="35"/>
      <c r="E269" s="36"/>
      <c r="F269" s="36"/>
      <c r="G269" s="36"/>
      <c r="H269" s="36"/>
      <c r="I269" s="36"/>
      <c r="J269" s="36"/>
      <c r="K269" s="36"/>
      <c r="L269" s="36"/>
      <c r="M269" s="36"/>
      <c r="N269" s="10"/>
      <c r="O269" s="10"/>
      <c r="P269" s="10"/>
      <c r="Q269" s="22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0"/>
      <c r="B270" s="16"/>
      <c r="C270" s="10"/>
      <c r="D270" s="35"/>
      <c r="E270" s="36"/>
      <c r="F270" s="36"/>
      <c r="G270" s="36"/>
      <c r="H270" s="36"/>
      <c r="I270" s="36"/>
      <c r="J270" s="36"/>
      <c r="K270" s="36"/>
      <c r="L270" s="36"/>
      <c r="M270" s="36"/>
      <c r="N270" s="10"/>
      <c r="O270" s="10"/>
      <c r="P270" s="10"/>
      <c r="Q270" s="22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0"/>
      <c r="B271" s="16"/>
      <c r="C271" s="10"/>
      <c r="D271" s="35"/>
      <c r="E271" s="36"/>
      <c r="F271" s="36"/>
      <c r="G271" s="36"/>
      <c r="H271" s="36"/>
      <c r="I271" s="36"/>
      <c r="J271" s="36"/>
      <c r="K271" s="36"/>
      <c r="L271" s="36"/>
      <c r="M271" s="36"/>
      <c r="N271" s="10"/>
      <c r="O271" s="10"/>
      <c r="P271" s="10"/>
      <c r="Q271" s="22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0"/>
      <c r="B272" s="16"/>
      <c r="C272" s="10"/>
      <c r="D272" s="35"/>
      <c r="E272" s="36"/>
      <c r="F272" s="36"/>
      <c r="G272" s="36"/>
      <c r="H272" s="36"/>
      <c r="I272" s="36"/>
      <c r="J272" s="36"/>
      <c r="K272" s="36"/>
      <c r="L272" s="36"/>
      <c r="M272" s="36"/>
      <c r="N272" s="10"/>
      <c r="O272" s="10"/>
      <c r="P272" s="10"/>
      <c r="Q272" s="22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0"/>
      <c r="B273" s="16"/>
      <c r="C273" s="10"/>
      <c r="D273" s="35"/>
      <c r="E273" s="36"/>
      <c r="F273" s="36"/>
      <c r="G273" s="36"/>
      <c r="H273" s="36"/>
      <c r="I273" s="36"/>
      <c r="J273" s="36"/>
      <c r="K273" s="36"/>
      <c r="L273" s="36"/>
      <c r="M273" s="36"/>
      <c r="N273" s="10"/>
      <c r="O273" s="10"/>
      <c r="P273" s="10"/>
      <c r="Q273" s="22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0"/>
      <c r="B274" s="16"/>
      <c r="C274" s="10"/>
      <c r="D274" s="35"/>
      <c r="E274" s="36"/>
      <c r="F274" s="36"/>
      <c r="G274" s="36"/>
      <c r="H274" s="36"/>
      <c r="I274" s="36"/>
      <c r="J274" s="36"/>
      <c r="K274" s="36"/>
      <c r="L274" s="36"/>
      <c r="M274" s="36"/>
      <c r="N274" s="10"/>
      <c r="O274" s="10"/>
      <c r="P274" s="10"/>
      <c r="Q274" s="22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0"/>
      <c r="B275" s="16"/>
      <c r="C275" s="10"/>
      <c r="D275" s="35"/>
      <c r="E275" s="36"/>
      <c r="F275" s="36"/>
      <c r="G275" s="36"/>
      <c r="H275" s="36"/>
      <c r="I275" s="36"/>
      <c r="J275" s="36"/>
      <c r="K275" s="36"/>
      <c r="L275" s="36"/>
      <c r="M275" s="36"/>
      <c r="N275" s="10"/>
      <c r="O275" s="10"/>
      <c r="P275" s="10"/>
      <c r="Q275" s="22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0"/>
      <c r="B276" s="16"/>
      <c r="C276" s="10"/>
      <c r="D276" s="35"/>
      <c r="E276" s="36"/>
      <c r="F276" s="36"/>
      <c r="G276" s="36"/>
      <c r="H276" s="36"/>
      <c r="I276" s="36"/>
      <c r="J276" s="36"/>
      <c r="K276" s="36"/>
      <c r="L276" s="36"/>
      <c r="M276" s="36"/>
      <c r="N276" s="10"/>
      <c r="O276" s="10"/>
      <c r="P276" s="10"/>
      <c r="Q276" s="22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0"/>
      <c r="B277" s="16"/>
      <c r="C277" s="10"/>
      <c r="D277" s="35"/>
      <c r="E277" s="36"/>
      <c r="F277" s="36"/>
      <c r="G277" s="36"/>
      <c r="H277" s="36"/>
      <c r="I277" s="36"/>
      <c r="J277" s="36"/>
      <c r="K277" s="36"/>
      <c r="L277" s="36"/>
      <c r="M277" s="36"/>
      <c r="N277" s="10"/>
      <c r="O277" s="10"/>
      <c r="P277" s="10"/>
      <c r="Q277" s="22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0"/>
      <c r="B278" s="16"/>
      <c r="C278" s="10"/>
      <c r="D278" s="35"/>
      <c r="E278" s="36"/>
      <c r="F278" s="36"/>
      <c r="G278" s="36"/>
      <c r="H278" s="36"/>
      <c r="I278" s="36"/>
      <c r="J278" s="36"/>
      <c r="K278" s="36"/>
      <c r="L278" s="36"/>
      <c r="M278" s="36"/>
      <c r="N278" s="10"/>
      <c r="O278" s="10"/>
      <c r="P278" s="10"/>
      <c r="Q278" s="22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0"/>
      <c r="B279" s="16"/>
      <c r="C279" s="10"/>
      <c r="D279" s="35"/>
      <c r="E279" s="36"/>
      <c r="F279" s="36"/>
      <c r="G279" s="36"/>
      <c r="H279" s="36"/>
      <c r="I279" s="36"/>
      <c r="J279" s="36"/>
      <c r="K279" s="36"/>
      <c r="L279" s="36"/>
      <c r="M279" s="36"/>
      <c r="N279" s="10"/>
      <c r="O279" s="10"/>
      <c r="P279" s="10"/>
      <c r="Q279" s="22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0"/>
      <c r="B280" s="16"/>
      <c r="C280" s="10"/>
      <c r="D280" s="35"/>
      <c r="E280" s="36"/>
      <c r="F280" s="36"/>
      <c r="G280" s="36"/>
      <c r="H280" s="36"/>
      <c r="I280" s="36"/>
      <c r="J280" s="36"/>
      <c r="K280" s="36"/>
      <c r="L280" s="36"/>
      <c r="M280" s="36"/>
      <c r="N280" s="10"/>
      <c r="O280" s="10"/>
      <c r="P280" s="10"/>
      <c r="Q280" s="22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0"/>
      <c r="B281" s="16"/>
      <c r="C281" s="10"/>
      <c r="D281" s="35"/>
      <c r="E281" s="36"/>
      <c r="F281" s="36"/>
      <c r="G281" s="36"/>
      <c r="H281" s="36"/>
      <c r="I281" s="36"/>
      <c r="J281" s="36"/>
      <c r="K281" s="36"/>
      <c r="L281" s="36"/>
      <c r="M281" s="36"/>
      <c r="N281" s="10"/>
      <c r="O281" s="10"/>
      <c r="P281" s="10"/>
      <c r="Q281" s="22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0"/>
      <c r="B282" s="16"/>
      <c r="C282" s="10"/>
      <c r="D282" s="35"/>
      <c r="E282" s="36"/>
      <c r="F282" s="36"/>
      <c r="G282" s="36"/>
      <c r="H282" s="36"/>
      <c r="I282" s="36"/>
      <c r="J282" s="36"/>
      <c r="K282" s="36"/>
      <c r="L282" s="36"/>
      <c r="M282" s="36"/>
      <c r="N282" s="10"/>
      <c r="O282" s="10"/>
      <c r="P282" s="10"/>
      <c r="Q282" s="22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0"/>
      <c r="B283" s="16"/>
      <c r="C283" s="10"/>
      <c r="D283" s="35"/>
      <c r="E283" s="36"/>
      <c r="F283" s="36"/>
      <c r="G283" s="36"/>
      <c r="H283" s="36"/>
      <c r="I283" s="36"/>
      <c r="J283" s="36"/>
      <c r="K283" s="36"/>
      <c r="L283" s="36"/>
      <c r="M283" s="36"/>
      <c r="N283" s="10"/>
      <c r="O283" s="10"/>
      <c r="P283" s="10"/>
      <c r="Q283" s="22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0"/>
      <c r="B284" s="16"/>
      <c r="C284" s="10"/>
      <c r="D284" s="35"/>
      <c r="E284" s="36"/>
      <c r="F284" s="36"/>
      <c r="G284" s="36"/>
      <c r="H284" s="36"/>
      <c r="I284" s="36"/>
      <c r="J284" s="36"/>
      <c r="K284" s="36"/>
      <c r="L284" s="36"/>
      <c r="M284" s="36"/>
      <c r="N284" s="10"/>
      <c r="O284" s="10"/>
      <c r="P284" s="10"/>
      <c r="Q284" s="22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0"/>
      <c r="B285" s="16"/>
      <c r="C285" s="10"/>
      <c r="D285" s="35"/>
      <c r="E285" s="36"/>
      <c r="F285" s="36"/>
      <c r="G285" s="36"/>
      <c r="H285" s="36"/>
      <c r="I285" s="36"/>
      <c r="J285" s="36"/>
      <c r="K285" s="36"/>
      <c r="L285" s="36"/>
      <c r="M285" s="36"/>
      <c r="N285" s="10"/>
      <c r="O285" s="10"/>
      <c r="P285" s="10"/>
      <c r="Q285" s="22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0"/>
      <c r="B286" s="16"/>
      <c r="C286" s="10"/>
      <c r="D286" s="35"/>
      <c r="E286" s="36"/>
      <c r="F286" s="36"/>
      <c r="G286" s="36"/>
      <c r="H286" s="36"/>
      <c r="I286" s="36"/>
      <c r="J286" s="36"/>
      <c r="K286" s="36"/>
      <c r="L286" s="36"/>
      <c r="M286" s="36"/>
      <c r="N286" s="10"/>
      <c r="O286" s="10"/>
      <c r="P286" s="10"/>
      <c r="Q286" s="22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0"/>
      <c r="B287" s="16"/>
      <c r="C287" s="10"/>
      <c r="D287" s="35"/>
      <c r="E287" s="36"/>
      <c r="F287" s="36"/>
      <c r="G287" s="36"/>
      <c r="H287" s="36"/>
      <c r="I287" s="36"/>
      <c r="J287" s="36"/>
      <c r="K287" s="36"/>
      <c r="L287" s="36"/>
      <c r="M287" s="36"/>
      <c r="N287" s="10"/>
      <c r="O287" s="10"/>
      <c r="P287" s="10"/>
      <c r="Q287" s="22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0"/>
      <c r="B288" s="16"/>
      <c r="C288" s="10"/>
      <c r="D288" s="35"/>
      <c r="E288" s="36"/>
      <c r="F288" s="36"/>
      <c r="G288" s="36"/>
      <c r="H288" s="36"/>
      <c r="I288" s="36"/>
      <c r="J288" s="36"/>
      <c r="K288" s="36"/>
      <c r="L288" s="36"/>
      <c r="M288" s="36"/>
      <c r="N288" s="10"/>
      <c r="O288" s="10"/>
      <c r="P288" s="10"/>
      <c r="Q288" s="22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0"/>
      <c r="B289" s="16"/>
      <c r="C289" s="10"/>
      <c r="D289" s="35"/>
      <c r="E289" s="36"/>
      <c r="F289" s="36"/>
      <c r="G289" s="36"/>
      <c r="H289" s="36"/>
      <c r="I289" s="36"/>
      <c r="J289" s="36"/>
      <c r="K289" s="36"/>
      <c r="L289" s="36"/>
      <c r="M289" s="36"/>
      <c r="N289" s="10"/>
      <c r="O289" s="10"/>
      <c r="P289" s="10"/>
      <c r="Q289" s="22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0"/>
      <c r="B290" s="16"/>
      <c r="C290" s="10"/>
      <c r="D290" s="35"/>
      <c r="E290" s="36"/>
      <c r="F290" s="36"/>
      <c r="G290" s="36"/>
      <c r="H290" s="36"/>
      <c r="I290" s="36"/>
      <c r="J290" s="36"/>
      <c r="K290" s="36"/>
      <c r="L290" s="36"/>
      <c r="M290" s="36"/>
      <c r="N290" s="10"/>
      <c r="O290" s="10"/>
      <c r="P290" s="10"/>
      <c r="Q290" s="22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0"/>
      <c r="B291" s="16"/>
      <c r="C291" s="10"/>
      <c r="D291" s="35"/>
      <c r="E291" s="36"/>
      <c r="F291" s="36"/>
      <c r="G291" s="36"/>
      <c r="H291" s="36"/>
      <c r="I291" s="36"/>
      <c r="J291" s="36"/>
      <c r="K291" s="36"/>
      <c r="L291" s="36"/>
      <c r="M291" s="36"/>
      <c r="N291" s="10"/>
      <c r="O291" s="10"/>
      <c r="P291" s="10"/>
      <c r="Q291" s="22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0"/>
      <c r="B292" s="16"/>
      <c r="C292" s="10"/>
      <c r="D292" s="35"/>
      <c r="E292" s="36"/>
      <c r="F292" s="36"/>
      <c r="G292" s="36"/>
      <c r="H292" s="36"/>
      <c r="I292" s="36"/>
      <c r="J292" s="36"/>
      <c r="K292" s="36"/>
      <c r="L292" s="36"/>
      <c r="M292" s="36"/>
      <c r="N292" s="10"/>
      <c r="O292" s="10"/>
      <c r="P292" s="10"/>
      <c r="Q292" s="22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0"/>
      <c r="B293" s="16"/>
      <c r="C293" s="10"/>
      <c r="D293" s="35"/>
      <c r="E293" s="36"/>
      <c r="F293" s="36"/>
      <c r="G293" s="36"/>
      <c r="H293" s="36"/>
      <c r="I293" s="36"/>
      <c r="J293" s="36"/>
      <c r="K293" s="36"/>
      <c r="L293" s="36"/>
      <c r="M293" s="36"/>
      <c r="N293" s="10"/>
      <c r="O293" s="10"/>
      <c r="P293" s="10"/>
      <c r="Q293" s="22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0"/>
      <c r="B294" s="16"/>
      <c r="C294" s="10"/>
      <c r="D294" s="35"/>
      <c r="E294" s="36"/>
      <c r="F294" s="36"/>
      <c r="G294" s="36"/>
      <c r="H294" s="36"/>
      <c r="I294" s="36"/>
      <c r="J294" s="36"/>
      <c r="K294" s="36"/>
      <c r="L294" s="36"/>
      <c r="M294" s="36"/>
      <c r="N294" s="10"/>
      <c r="O294" s="10"/>
      <c r="P294" s="10"/>
      <c r="Q294" s="22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0"/>
      <c r="B295" s="16"/>
      <c r="C295" s="10"/>
      <c r="D295" s="35"/>
      <c r="E295" s="36"/>
      <c r="F295" s="36"/>
      <c r="G295" s="36"/>
      <c r="H295" s="36"/>
      <c r="I295" s="36"/>
      <c r="J295" s="36"/>
      <c r="K295" s="36"/>
      <c r="L295" s="36"/>
      <c r="M295" s="36"/>
      <c r="N295" s="10"/>
      <c r="O295" s="10"/>
      <c r="P295" s="10"/>
      <c r="Q295" s="22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0"/>
      <c r="B296" s="16"/>
      <c r="C296" s="10"/>
      <c r="D296" s="35"/>
      <c r="E296" s="36"/>
      <c r="F296" s="36"/>
      <c r="G296" s="36"/>
      <c r="H296" s="36"/>
      <c r="I296" s="36"/>
      <c r="J296" s="36"/>
      <c r="K296" s="36"/>
      <c r="L296" s="36"/>
      <c r="M296" s="36"/>
      <c r="N296" s="10"/>
      <c r="O296" s="10"/>
      <c r="P296" s="10"/>
      <c r="Q296" s="22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0"/>
      <c r="B297" s="16"/>
      <c r="C297" s="10"/>
      <c r="D297" s="35"/>
      <c r="E297" s="36"/>
      <c r="F297" s="36"/>
      <c r="G297" s="36"/>
      <c r="H297" s="36"/>
      <c r="I297" s="36"/>
      <c r="J297" s="36"/>
      <c r="K297" s="36"/>
      <c r="L297" s="36"/>
      <c r="M297" s="36"/>
      <c r="N297" s="10"/>
      <c r="O297" s="10"/>
      <c r="P297" s="10"/>
      <c r="Q297" s="22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0"/>
      <c r="B298" s="16"/>
      <c r="C298" s="10"/>
      <c r="D298" s="35"/>
      <c r="E298" s="36"/>
      <c r="F298" s="36"/>
      <c r="G298" s="36"/>
      <c r="H298" s="36"/>
      <c r="I298" s="36"/>
      <c r="J298" s="36"/>
      <c r="K298" s="36"/>
      <c r="L298" s="36"/>
      <c r="M298" s="36"/>
      <c r="N298" s="10"/>
      <c r="O298" s="10"/>
      <c r="P298" s="10"/>
      <c r="Q298" s="22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0"/>
      <c r="B299" s="16"/>
      <c r="C299" s="10"/>
      <c r="D299" s="35"/>
      <c r="E299" s="36"/>
      <c r="F299" s="36"/>
      <c r="G299" s="36"/>
      <c r="H299" s="36"/>
      <c r="I299" s="36"/>
      <c r="J299" s="36"/>
      <c r="K299" s="36"/>
      <c r="L299" s="36"/>
      <c r="M299" s="36"/>
      <c r="N299" s="10"/>
      <c r="O299" s="10"/>
      <c r="P299" s="10"/>
      <c r="Q299" s="22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0"/>
      <c r="B300" s="16"/>
      <c r="C300" s="10"/>
      <c r="D300" s="35"/>
      <c r="E300" s="36"/>
      <c r="F300" s="36"/>
      <c r="G300" s="36"/>
      <c r="H300" s="36"/>
      <c r="I300" s="36"/>
      <c r="J300" s="36"/>
      <c r="K300" s="36"/>
      <c r="L300" s="36"/>
      <c r="M300" s="36"/>
      <c r="N300" s="10"/>
      <c r="O300" s="10"/>
      <c r="P300" s="10"/>
      <c r="Q300" s="22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0"/>
      <c r="B301" s="16"/>
      <c r="C301" s="10"/>
      <c r="D301" s="35"/>
      <c r="E301" s="36"/>
      <c r="F301" s="36"/>
      <c r="G301" s="36"/>
      <c r="H301" s="36"/>
      <c r="I301" s="36"/>
      <c r="J301" s="36"/>
      <c r="K301" s="36"/>
      <c r="L301" s="36"/>
      <c r="M301" s="36"/>
      <c r="N301" s="10"/>
      <c r="O301" s="10"/>
      <c r="P301" s="10"/>
      <c r="Q301" s="22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0"/>
      <c r="B302" s="16"/>
      <c r="C302" s="10"/>
      <c r="D302" s="35"/>
      <c r="E302" s="36"/>
      <c r="F302" s="36"/>
      <c r="G302" s="36"/>
      <c r="H302" s="36"/>
      <c r="I302" s="36"/>
      <c r="J302" s="36"/>
      <c r="K302" s="36"/>
      <c r="L302" s="36"/>
      <c r="M302" s="36"/>
      <c r="N302" s="10"/>
      <c r="O302" s="10"/>
      <c r="P302" s="10"/>
      <c r="Q302" s="22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0"/>
      <c r="B303" s="16"/>
      <c r="C303" s="10"/>
      <c r="D303" s="35"/>
      <c r="E303" s="36"/>
      <c r="F303" s="36"/>
      <c r="G303" s="36"/>
      <c r="H303" s="36"/>
      <c r="I303" s="36"/>
      <c r="J303" s="36"/>
      <c r="K303" s="36"/>
      <c r="L303" s="36"/>
      <c r="M303" s="36"/>
      <c r="N303" s="10"/>
      <c r="O303" s="10"/>
      <c r="P303" s="10"/>
      <c r="Q303" s="22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0"/>
      <c r="B304" s="16"/>
      <c r="C304" s="10"/>
      <c r="D304" s="35"/>
      <c r="E304" s="36"/>
      <c r="F304" s="36"/>
      <c r="G304" s="36"/>
      <c r="H304" s="36"/>
      <c r="I304" s="36"/>
      <c r="J304" s="36"/>
      <c r="K304" s="36"/>
      <c r="L304" s="36"/>
      <c r="M304" s="36"/>
      <c r="N304" s="10"/>
      <c r="O304" s="10"/>
      <c r="P304" s="10"/>
      <c r="Q304" s="22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0"/>
      <c r="B305" s="16"/>
      <c r="C305" s="10"/>
      <c r="D305" s="35"/>
      <c r="E305" s="36"/>
      <c r="F305" s="36"/>
      <c r="G305" s="36"/>
      <c r="H305" s="36"/>
      <c r="I305" s="36"/>
      <c r="J305" s="36"/>
      <c r="K305" s="36"/>
      <c r="L305" s="36"/>
      <c r="M305" s="36"/>
      <c r="N305" s="10"/>
      <c r="O305" s="10"/>
      <c r="P305" s="10"/>
      <c r="Q305" s="22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0"/>
      <c r="B306" s="16"/>
      <c r="C306" s="10"/>
      <c r="D306" s="35"/>
      <c r="E306" s="36"/>
      <c r="F306" s="36"/>
      <c r="G306" s="36"/>
      <c r="H306" s="36"/>
      <c r="I306" s="36"/>
      <c r="J306" s="36"/>
      <c r="K306" s="36"/>
      <c r="L306" s="36"/>
      <c r="M306" s="36"/>
      <c r="N306" s="10"/>
      <c r="O306" s="10"/>
      <c r="P306" s="10"/>
      <c r="Q306" s="22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0"/>
      <c r="B307" s="16"/>
      <c r="C307" s="10"/>
      <c r="D307" s="35"/>
      <c r="E307" s="36"/>
      <c r="F307" s="36"/>
      <c r="G307" s="36"/>
      <c r="H307" s="36"/>
      <c r="I307" s="36"/>
      <c r="J307" s="36"/>
      <c r="K307" s="36"/>
      <c r="L307" s="36"/>
      <c r="M307" s="36"/>
      <c r="N307" s="10"/>
      <c r="O307" s="10"/>
      <c r="P307" s="10"/>
      <c r="Q307" s="22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0"/>
      <c r="B308" s="16"/>
      <c r="C308" s="10"/>
      <c r="D308" s="35"/>
      <c r="E308" s="36"/>
      <c r="F308" s="36"/>
      <c r="G308" s="36"/>
      <c r="H308" s="36"/>
      <c r="I308" s="36"/>
      <c r="J308" s="36"/>
      <c r="K308" s="36"/>
      <c r="L308" s="36"/>
      <c r="M308" s="36"/>
      <c r="N308" s="10"/>
      <c r="O308" s="10"/>
      <c r="P308" s="10"/>
      <c r="Q308" s="22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0"/>
      <c r="B309" s="16"/>
      <c r="C309" s="10"/>
      <c r="D309" s="35"/>
      <c r="E309" s="36"/>
      <c r="F309" s="36"/>
      <c r="G309" s="36"/>
      <c r="H309" s="36"/>
      <c r="I309" s="36"/>
      <c r="J309" s="36"/>
      <c r="K309" s="36"/>
      <c r="L309" s="36"/>
      <c r="M309" s="36"/>
      <c r="N309" s="10"/>
      <c r="O309" s="10"/>
      <c r="P309" s="10"/>
      <c r="Q309" s="22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0"/>
      <c r="B310" s="16"/>
      <c r="C310" s="10"/>
      <c r="D310" s="35"/>
      <c r="E310" s="36"/>
      <c r="F310" s="36"/>
      <c r="G310" s="36"/>
      <c r="H310" s="36"/>
      <c r="I310" s="36"/>
      <c r="J310" s="36"/>
      <c r="K310" s="36"/>
      <c r="L310" s="36"/>
      <c r="M310" s="36"/>
      <c r="N310" s="10"/>
      <c r="O310" s="10"/>
      <c r="P310" s="10"/>
      <c r="Q310" s="22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0"/>
      <c r="B311" s="16"/>
      <c r="C311" s="10"/>
      <c r="D311" s="35"/>
      <c r="E311" s="36"/>
      <c r="F311" s="36"/>
      <c r="G311" s="36"/>
      <c r="H311" s="36"/>
      <c r="I311" s="36"/>
      <c r="J311" s="36"/>
      <c r="K311" s="36"/>
      <c r="L311" s="36"/>
      <c r="M311" s="36"/>
      <c r="N311" s="10"/>
      <c r="O311" s="10"/>
      <c r="P311" s="10"/>
      <c r="Q311" s="22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0"/>
      <c r="B312" s="16"/>
      <c r="C312" s="10"/>
      <c r="D312" s="35"/>
      <c r="E312" s="36"/>
      <c r="F312" s="36"/>
      <c r="G312" s="36"/>
      <c r="H312" s="36"/>
      <c r="I312" s="36"/>
      <c r="J312" s="36"/>
      <c r="K312" s="36"/>
      <c r="L312" s="36"/>
      <c r="M312" s="36"/>
      <c r="N312" s="10"/>
      <c r="O312" s="10"/>
      <c r="P312" s="10"/>
      <c r="Q312" s="22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0"/>
      <c r="B313" s="16"/>
      <c r="C313" s="10"/>
      <c r="D313" s="35"/>
      <c r="E313" s="36"/>
      <c r="F313" s="36"/>
      <c r="G313" s="36"/>
      <c r="H313" s="36"/>
      <c r="I313" s="36"/>
      <c r="J313" s="36"/>
      <c r="K313" s="36"/>
      <c r="L313" s="36"/>
      <c r="M313" s="36"/>
      <c r="N313" s="10"/>
      <c r="O313" s="10"/>
      <c r="P313" s="10"/>
      <c r="Q313" s="22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0"/>
      <c r="B314" s="16"/>
      <c r="C314" s="10"/>
      <c r="D314" s="35"/>
      <c r="E314" s="36"/>
      <c r="F314" s="36"/>
      <c r="G314" s="36"/>
      <c r="H314" s="36"/>
      <c r="I314" s="36"/>
      <c r="J314" s="36"/>
      <c r="K314" s="36"/>
      <c r="L314" s="36"/>
      <c r="M314" s="36"/>
      <c r="N314" s="10"/>
      <c r="O314" s="10"/>
      <c r="P314" s="10"/>
      <c r="Q314" s="22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0"/>
      <c r="B315" s="16"/>
      <c r="C315" s="10"/>
      <c r="D315" s="35"/>
      <c r="E315" s="36"/>
      <c r="F315" s="36"/>
      <c r="G315" s="36"/>
      <c r="H315" s="36"/>
      <c r="I315" s="36"/>
      <c r="J315" s="36"/>
      <c r="K315" s="36"/>
      <c r="L315" s="36"/>
      <c r="M315" s="36"/>
      <c r="N315" s="10"/>
      <c r="O315" s="10"/>
      <c r="P315" s="10"/>
      <c r="Q315" s="22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0"/>
      <c r="B316" s="16"/>
      <c r="C316" s="10"/>
      <c r="D316" s="35"/>
      <c r="E316" s="36"/>
      <c r="F316" s="36"/>
      <c r="G316" s="36"/>
      <c r="H316" s="36"/>
      <c r="I316" s="36"/>
      <c r="J316" s="36"/>
      <c r="K316" s="36"/>
      <c r="L316" s="36"/>
      <c r="M316" s="36"/>
      <c r="N316" s="10"/>
      <c r="O316" s="10"/>
      <c r="P316" s="10"/>
      <c r="Q316" s="22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0"/>
      <c r="B317" s="16"/>
      <c r="C317" s="10"/>
      <c r="D317" s="35"/>
      <c r="E317" s="36"/>
      <c r="F317" s="36"/>
      <c r="G317" s="36"/>
      <c r="H317" s="36"/>
      <c r="I317" s="36"/>
      <c r="J317" s="36"/>
      <c r="K317" s="36"/>
      <c r="L317" s="36"/>
      <c r="M317" s="36"/>
      <c r="N317" s="10"/>
      <c r="O317" s="10"/>
      <c r="P317" s="10"/>
      <c r="Q317" s="22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0"/>
      <c r="B318" s="16"/>
      <c r="C318" s="10"/>
      <c r="D318" s="35"/>
      <c r="E318" s="36"/>
      <c r="F318" s="36"/>
      <c r="G318" s="36"/>
      <c r="H318" s="36"/>
      <c r="I318" s="36"/>
      <c r="J318" s="36"/>
      <c r="K318" s="36"/>
      <c r="L318" s="36"/>
      <c r="M318" s="36"/>
      <c r="N318" s="10"/>
      <c r="O318" s="10"/>
      <c r="P318" s="10"/>
      <c r="Q318" s="22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0"/>
      <c r="B319" s="16"/>
      <c r="C319" s="10"/>
      <c r="D319" s="35"/>
      <c r="E319" s="36"/>
      <c r="F319" s="36"/>
      <c r="G319" s="36"/>
      <c r="H319" s="36"/>
      <c r="I319" s="36"/>
      <c r="J319" s="36"/>
      <c r="K319" s="36"/>
      <c r="L319" s="36"/>
      <c r="M319" s="36"/>
      <c r="N319" s="10"/>
      <c r="O319" s="10"/>
      <c r="P319" s="10"/>
      <c r="Q319" s="22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0"/>
      <c r="B320" s="16"/>
      <c r="C320" s="10"/>
      <c r="D320" s="35"/>
      <c r="E320" s="36"/>
      <c r="F320" s="36"/>
      <c r="G320" s="36"/>
      <c r="H320" s="36"/>
      <c r="I320" s="36"/>
      <c r="J320" s="36"/>
      <c r="K320" s="36"/>
      <c r="L320" s="36"/>
      <c r="M320" s="36"/>
      <c r="N320" s="10"/>
      <c r="O320" s="10"/>
      <c r="P320" s="10"/>
      <c r="Q320" s="22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0"/>
      <c r="B321" s="16"/>
      <c r="C321" s="10"/>
      <c r="D321" s="35"/>
      <c r="E321" s="36"/>
      <c r="F321" s="36"/>
      <c r="G321" s="36"/>
      <c r="H321" s="36"/>
      <c r="I321" s="36"/>
      <c r="J321" s="36"/>
      <c r="K321" s="36"/>
      <c r="L321" s="36"/>
      <c r="M321" s="36"/>
      <c r="N321" s="10"/>
      <c r="O321" s="10"/>
      <c r="P321" s="10"/>
      <c r="Q321" s="22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0"/>
      <c r="B322" s="16"/>
      <c r="C322" s="10"/>
      <c r="D322" s="35"/>
      <c r="E322" s="36"/>
      <c r="F322" s="36"/>
      <c r="G322" s="36"/>
      <c r="H322" s="36"/>
      <c r="I322" s="36"/>
      <c r="J322" s="36"/>
      <c r="K322" s="36"/>
      <c r="L322" s="36"/>
      <c r="M322" s="36"/>
      <c r="N322" s="10"/>
      <c r="O322" s="10"/>
      <c r="P322" s="10"/>
      <c r="Q322" s="22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0"/>
      <c r="B323" s="16"/>
      <c r="C323" s="10"/>
      <c r="D323" s="35"/>
      <c r="E323" s="36"/>
      <c r="F323" s="36"/>
      <c r="G323" s="36"/>
      <c r="H323" s="36"/>
      <c r="I323" s="36"/>
      <c r="J323" s="36"/>
      <c r="K323" s="36"/>
      <c r="L323" s="36"/>
      <c r="M323" s="36"/>
      <c r="N323" s="10"/>
      <c r="O323" s="10"/>
      <c r="P323" s="10"/>
      <c r="Q323" s="22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0"/>
      <c r="B324" s="16"/>
      <c r="C324" s="10"/>
      <c r="D324" s="35"/>
      <c r="E324" s="36"/>
      <c r="F324" s="36"/>
      <c r="G324" s="36"/>
      <c r="H324" s="36"/>
      <c r="I324" s="36"/>
      <c r="J324" s="36"/>
      <c r="K324" s="36"/>
      <c r="L324" s="36"/>
      <c r="M324" s="36"/>
      <c r="N324" s="10"/>
      <c r="O324" s="10"/>
      <c r="P324" s="10"/>
      <c r="Q324" s="22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0"/>
      <c r="B325" s="16"/>
      <c r="C325" s="10"/>
      <c r="D325" s="35"/>
      <c r="E325" s="36"/>
      <c r="F325" s="36"/>
      <c r="G325" s="36"/>
      <c r="H325" s="36"/>
      <c r="I325" s="36"/>
      <c r="J325" s="36"/>
      <c r="K325" s="36"/>
      <c r="L325" s="36"/>
      <c r="M325" s="36"/>
      <c r="N325" s="10"/>
      <c r="O325" s="10"/>
      <c r="P325" s="10"/>
      <c r="Q325" s="22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0"/>
      <c r="B326" s="16"/>
      <c r="C326" s="10"/>
      <c r="D326" s="35"/>
      <c r="E326" s="36"/>
      <c r="F326" s="36"/>
      <c r="G326" s="36"/>
      <c r="H326" s="36"/>
      <c r="I326" s="36"/>
      <c r="J326" s="36"/>
      <c r="K326" s="36"/>
      <c r="L326" s="36"/>
      <c r="M326" s="36"/>
      <c r="N326" s="10"/>
      <c r="O326" s="10"/>
      <c r="P326" s="10"/>
      <c r="Q326" s="22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0"/>
      <c r="B327" s="16"/>
      <c r="C327" s="10"/>
      <c r="D327" s="35"/>
      <c r="E327" s="36"/>
      <c r="F327" s="36"/>
      <c r="G327" s="36"/>
      <c r="H327" s="36"/>
      <c r="I327" s="36"/>
      <c r="J327" s="36"/>
      <c r="K327" s="36"/>
      <c r="L327" s="36"/>
      <c r="M327" s="36"/>
      <c r="N327" s="10"/>
      <c r="O327" s="10"/>
      <c r="P327" s="10"/>
      <c r="Q327" s="22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0"/>
      <c r="B328" s="16"/>
      <c r="C328" s="10"/>
      <c r="D328" s="35"/>
      <c r="E328" s="36"/>
      <c r="F328" s="36"/>
      <c r="G328" s="36"/>
      <c r="H328" s="36"/>
      <c r="I328" s="36"/>
      <c r="J328" s="36"/>
      <c r="K328" s="36"/>
      <c r="L328" s="36"/>
      <c r="M328" s="36"/>
      <c r="N328" s="10"/>
      <c r="O328" s="10"/>
      <c r="P328" s="10"/>
      <c r="Q328" s="22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0"/>
      <c r="B329" s="16"/>
      <c r="C329" s="10"/>
      <c r="D329" s="35"/>
      <c r="E329" s="36"/>
      <c r="F329" s="36"/>
      <c r="G329" s="36"/>
      <c r="H329" s="36"/>
      <c r="I329" s="36"/>
      <c r="J329" s="36"/>
      <c r="K329" s="36"/>
      <c r="L329" s="36"/>
      <c r="M329" s="36"/>
      <c r="N329" s="10"/>
      <c r="O329" s="10"/>
      <c r="P329" s="10"/>
      <c r="Q329" s="22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0"/>
      <c r="B330" s="16"/>
      <c r="C330" s="10"/>
      <c r="D330" s="35"/>
      <c r="E330" s="36"/>
      <c r="F330" s="36"/>
      <c r="G330" s="36"/>
      <c r="H330" s="36"/>
      <c r="I330" s="36"/>
      <c r="J330" s="36"/>
      <c r="K330" s="36"/>
      <c r="L330" s="36"/>
      <c r="M330" s="36"/>
      <c r="N330" s="10"/>
      <c r="O330" s="10"/>
      <c r="P330" s="10"/>
      <c r="Q330" s="22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0"/>
      <c r="B331" s="16"/>
      <c r="C331" s="10"/>
      <c r="D331" s="35"/>
      <c r="E331" s="36"/>
      <c r="F331" s="36"/>
      <c r="G331" s="36"/>
      <c r="H331" s="36"/>
      <c r="I331" s="36"/>
      <c r="J331" s="36"/>
      <c r="K331" s="36"/>
      <c r="L331" s="36"/>
      <c r="M331" s="36"/>
      <c r="N331" s="10"/>
      <c r="O331" s="10"/>
      <c r="P331" s="10"/>
      <c r="Q331" s="22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0"/>
      <c r="B332" s="16"/>
      <c r="C332" s="10"/>
      <c r="D332" s="35"/>
      <c r="E332" s="36"/>
      <c r="F332" s="36"/>
      <c r="G332" s="36"/>
      <c r="H332" s="36"/>
      <c r="I332" s="36"/>
      <c r="J332" s="36"/>
      <c r="K332" s="36"/>
      <c r="L332" s="36"/>
      <c r="M332" s="36"/>
      <c r="N332" s="10"/>
      <c r="O332" s="10"/>
      <c r="P332" s="10"/>
      <c r="Q332" s="22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0"/>
      <c r="B333" s="16"/>
      <c r="C333" s="10"/>
      <c r="D333" s="35"/>
      <c r="E333" s="36"/>
      <c r="F333" s="36"/>
      <c r="G333" s="36"/>
      <c r="H333" s="36"/>
      <c r="I333" s="36"/>
      <c r="J333" s="36"/>
      <c r="K333" s="36"/>
      <c r="L333" s="36"/>
      <c r="M333" s="36"/>
      <c r="N333" s="10"/>
      <c r="O333" s="10"/>
      <c r="P333" s="10"/>
      <c r="Q333" s="22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0"/>
      <c r="B334" s="16"/>
      <c r="C334" s="10"/>
      <c r="D334" s="35"/>
      <c r="E334" s="36"/>
      <c r="F334" s="36"/>
      <c r="G334" s="36"/>
      <c r="H334" s="36"/>
      <c r="I334" s="36"/>
      <c r="J334" s="36"/>
      <c r="K334" s="36"/>
      <c r="L334" s="36"/>
      <c r="M334" s="36"/>
      <c r="N334" s="10"/>
      <c r="O334" s="10"/>
      <c r="P334" s="10"/>
      <c r="Q334" s="22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0"/>
      <c r="B335" s="16"/>
      <c r="C335" s="10"/>
      <c r="D335" s="35"/>
      <c r="E335" s="36"/>
      <c r="F335" s="36"/>
      <c r="G335" s="36"/>
      <c r="H335" s="36"/>
      <c r="I335" s="36"/>
      <c r="J335" s="36"/>
      <c r="K335" s="36"/>
      <c r="L335" s="36"/>
      <c r="M335" s="36"/>
      <c r="N335" s="10"/>
      <c r="O335" s="10"/>
      <c r="P335" s="10"/>
      <c r="Q335" s="22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0"/>
      <c r="B336" s="16"/>
      <c r="C336" s="10"/>
      <c r="D336" s="35"/>
      <c r="E336" s="36"/>
      <c r="F336" s="36"/>
      <c r="G336" s="36"/>
      <c r="H336" s="36"/>
      <c r="I336" s="36"/>
      <c r="J336" s="36"/>
      <c r="K336" s="36"/>
      <c r="L336" s="36"/>
      <c r="M336" s="36"/>
      <c r="N336" s="10"/>
      <c r="O336" s="10"/>
      <c r="P336" s="10"/>
      <c r="Q336" s="22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0"/>
      <c r="B337" s="16"/>
      <c r="C337" s="10"/>
      <c r="D337" s="35"/>
      <c r="E337" s="36"/>
      <c r="F337" s="36"/>
      <c r="G337" s="36"/>
      <c r="H337" s="36"/>
      <c r="I337" s="36"/>
      <c r="J337" s="36"/>
      <c r="K337" s="36"/>
      <c r="L337" s="36"/>
      <c r="M337" s="36"/>
      <c r="N337" s="10"/>
      <c r="O337" s="10"/>
      <c r="P337" s="10"/>
      <c r="Q337" s="22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0"/>
      <c r="B338" s="16"/>
      <c r="C338" s="10"/>
      <c r="D338" s="35"/>
      <c r="E338" s="36"/>
      <c r="F338" s="36"/>
      <c r="G338" s="36"/>
      <c r="H338" s="36"/>
      <c r="I338" s="36"/>
      <c r="J338" s="36"/>
      <c r="K338" s="36"/>
      <c r="L338" s="36"/>
      <c r="M338" s="36"/>
      <c r="N338" s="10"/>
      <c r="O338" s="10"/>
      <c r="P338" s="10"/>
      <c r="Q338" s="22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0"/>
      <c r="B339" s="16"/>
      <c r="C339" s="10"/>
      <c r="D339" s="35"/>
      <c r="E339" s="36"/>
      <c r="F339" s="36"/>
      <c r="G339" s="36"/>
      <c r="H339" s="36"/>
      <c r="I339" s="36"/>
      <c r="J339" s="36"/>
      <c r="K339" s="36"/>
      <c r="L339" s="36"/>
      <c r="M339" s="36"/>
      <c r="N339" s="10"/>
      <c r="O339" s="10"/>
      <c r="P339" s="10"/>
      <c r="Q339" s="22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0"/>
      <c r="B340" s="16"/>
      <c r="C340" s="10"/>
      <c r="D340" s="35"/>
      <c r="E340" s="36"/>
      <c r="F340" s="36"/>
      <c r="G340" s="36"/>
      <c r="H340" s="36"/>
      <c r="I340" s="36"/>
      <c r="J340" s="36"/>
      <c r="K340" s="36"/>
      <c r="L340" s="36"/>
      <c r="M340" s="36"/>
      <c r="N340" s="10"/>
      <c r="O340" s="10"/>
      <c r="P340" s="10"/>
      <c r="Q340" s="22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0"/>
      <c r="B341" s="16"/>
      <c r="C341" s="10"/>
      <c r="D341" s="35"/>
      <c r="E341" s="36"/>
      <c r="F341" s="36"/>
      <c r="G341" s="36"/>
      <c r="H341" s="36"/>
      <c r="I341" s="36"/>
      <c r="J341" s="36"/>
      <c r="K341" s="36"/>
      <c r="L341" s="36"/>
      <c r="M341" s="36"/>
      <c r="N341" s="10"/>
      <c r="O341" s="10"/>
      <c r="P341" s="10"/>
      <c r="Q341" s="22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0"/>
      <c r="B342" s="16"/>
      <c r="C342" s="10"/>
      <c r="D342" s="35"/>
      <c r="E342" s="36"/>
      <c r="F342" s="36"/>
      <c r="G342" s="36"/>
      <c r="H342" s="36"/>
      <c r="I342" s="36"/>
      <c r="J342" s="36"/>
      <c r="K342" s="36"/>
      <c r="L342" s="36"/>
      <c r="M342" s="36"/>
      <c r="N342" s="10"/>
      <c r="O342" s="10"/>
      <c r="P342" s="10"/>
      <c r="Q342" s="22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0"/>
      <c r="B343" s="16"/>
      <c r="C343" s="10"/>
      <c r="D343" s="35"/>
      <c r="E343" s="36"/>
      <c r="F343" s="36"/>
      <c r="G343" s="36"/>
      <c r="H343" s="36"/>
      <c r="I343" s="36"/>
      <c r="J343" s="36"/>
      <c r="K343" s="36"/>
      <c r="L343" s="36"/>
      <c r="M343" s="36"/>
      <c r="N343" s="10"/>
      <c r="O343" s="10"/>
      <c r="P343" s="10"/>
      <c r="Q343" s="22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0"/>
      <c r="B344" s="16"/>
      <c r="C344" s="10"/>
      <c r="D344" s="35"/>
      <c r="E344" s="36"/>
      <c r="F344" s="36"/>
      <c r="G344" s="36"/>
      <c r="H344" s="36"/>
      <c r="I344" s="36"/>
      <c r="J344" s="36"/>
      <c r="K344" s="36"/>
      <c r="L344" s="36"/>
      <c r="M344" s="36"/>
      <c r="N344" s="10"/>
      <c r="O344" s="10"/>
      <c r="P344" s="10"/>
      <c r="Q344" s="22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0"/>
      <c r="B345" s="16"/>
      <c r="C345" s="10"/>
      <c r="D345" s="35"/>
      <c r="E345" s="36"/>
      <c r="F345" s="36"/>
      <c r="G345" s="36"/>
      <c r="H345" s="36"/>
      <c r="I345" s="36"/>
      <c r="J345" s="36"/>
      <c r="K345" s="36"/>
      <c r="L345" s="36"/>
      <c r="M345" s="36"/>
      <c r="N345" s="10"/>
      <c r="O345" s="10"/>
      <c r="P345" s="10"/>
      <c r="Q345" s="22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0"/>
      <c r="B346" s="16"/>
      <c r="C346" s="10"/>
      <c r="D346" s="35"/>
      <c r="E346" s="36"/>
      <c r="F346" s="36"/>
      <c r="G346" s="36"/>
      <c r="H346" s="36"/>
      <c r="I346" s="36"/>
      <c r="J346" s="36"/>
      <c r="K346" s="36"/>
      <c r="L346" s="36"/>
      <c r="M346" s="36"/>
      <c r="N346" s="10"/>
      <c r="O346" s="10"/>
      <c r="P346" s="10"/>
      <c r="Q346" s="22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0"/>
      <c r="B347" s="16"/>
      <c r="C347" s="10"/>
      <c r="D347" s="35"/>
      <c r="E347" s="36"/>
      <c r="F347" s="36"/>
      <c r="G347" s="36"/>
      <c r="H347" s="36"/>
      <c r="I347" s="36"/>
      <c r="J347" s="36"/>
      <c r="K347" s="36"/>
      <c r="L347" s="36"/>
      <c r="M347" s="36"/>
      <c r="N347" s="10"/>
      <c r="O347" s="10"/>
      <c r="P347" s="10"/>
      <c r="Q347" s="22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0"/>
      <c r="B348" s="16"/>
      <c r="C348" s="10"/>
      <c r="D348" s="35"/>
      <c r="E348" s="36"/>
      <c r="F348" s="36"/>
      <c r="G348" s="36"/>
      <c r="H348" s="36"/>
      <c r="I348" s="36"/>
      <c r="J348" s="36"/>
      <c r="K348" s="36"/>
      <c r="L348" s="36"/>
      <c r="M348" s="36"/>
      <c r="N348" s="10"/>
      <c r="O348" s="10"/>
      <c r="P348" s="10"/>
      <c r="Q348" s="22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0"/>
      <c r="B349" s="16"/>
      <c r="C349" s="10"/>
      <c r="D349" s="35"/>
      <c r="E349" s="36"/>
      <c r="F349" s="36"/>
      <c r="G349" s="36"/>
      <c r="H349" s="36"/>
      <c r="I349" s="36"/>
      <c r="J349" s="36"/>
      <c r="K349" s="36"/>
      <c r="L349" s="36"/>
      <c r="M349" s="36"/>
      <c r="N349" s="10"/>
      <c r="O349" s="10"/>
      <c r="P349" s="10"/>
      <c r="Q349" s="22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0"/>
      <c r="B350" s="16"/>
      <c r="C350" s="10"/>
      <c r="D350" s="11"/>
      <c r="E350" s="36"/>
      <c r="F350" s="36"/>
      <c r="G350" s="36"/>
      <c r="H350" s="36"/>
      <c r="I350" s="36"/>
      <c r="J350" s="36"/>
      <c r="K350" s="36"/>
      <c r="L350" s="36"/>
      <c r="M350" s="36"/>
      <c r="N350" s="10"/>
      <c r="O350" s="10"/>
      <c r="P350" s="10"/>
      <c r="Q350" s="22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0"/>
      <c r="B351" s="16"/>
      <c r="C351" s="10"/>
      <c r="D351" s="11"/>
      <c r="E351" s="36"/>
      <c r="F351" s="36"/>
      <c r="G351" s="36"/>
      <c r="H351" s="36"/>
      <c r="I351" s="36"/>
      <c r="J351" s="36"/>
      <c r="K351" s="36"/>
      <c r="L351" s="36"/>
      <c r="M351" s="36"/>
      <c r="N351" s="10"/>
      <c r="O351" s="10"/>
      <c r="P351" s="10"/>
      <c r="Q351" s="22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0"/>
      <c r="B352" s="16"/>
      <c r="C352" s="10"/>
      <c r="D352" s="11"/>
      <c r="E352" s="36"/>
      <c r="F352" s="36"/>
      <c r="G352" s="36"/>
      <c r="H352" s="36"/>
      <c r="I352" s="36"/>
      <c r="J352" s="36"/>
      <c r="K352" s="36"/>
      <c r="L352" s="36"/>
      <c r="M352" s="36"/>
      <c r="N352" s="10"/>
      <c r="O352" s="10"/>
      <c r="P352" s="10"/>
      <c r="Q352" s="22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0"/>
      <c r="B353" s="16"/>
      <c r="C353" s="10"/>
      <c r="D353" s="11"/>
      <c r="E353" s="36"/>
      <c r="F353" s="36"/>
      <c r="G353" s="36"/>
      <c r="H353" s="36"/>
      <c r="I353" s="36"/>
      <c r="J353" s="36"/>
      <c r="K353" s="36"/>
      <c r="L353" s="36"/>
      <c r="M353" s="36"/>
      <c r="N353" s="10"/>
      <c r="O353" s="10"/>
      <c r="P353" s="10"/>
      <c r="Q353" s="22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0"/>
      <c r="B354" s="16"/>
      <c r="C354" s="10"/>
      <c r="D354" s="11"/>
      <c r="E354" s="36"/>
      <c r="F354" s="36"/>
      <c r="G354" s="36"/>
      <c r="H354" s="36"/>
      <c r="I354" s="36"/>
      <c r="J354" s="36"/>
      <c r="K354" s="36"/>
      <c r="L354" s="36"/>
      <c r="M354" s="36"/>
      <c r="N354" s="10"/>
      <c r="O354" s="10"/>
      <c r="P354" s="10"/>
      <c r="Q354" s="22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0"/>
      <c r="B355" s="16"/>
      <c r="C355" s="10"/>
      <c r="D355" s="11"/>
      <c r="E355" s="36"/>
      <c r="F355" s="36"/>
      <c r="G355" s="36"/>
      <c r="H355" s="36"/>
      <c r="I355" s="36"/>
      <c r="J355" s="36"/>
      <c r="K355" s="36"/>
      <c r="L355" s="36"/>
      <c r="M355" s="36"/>
      <c r="N355" s="10"/>
      <c r="O355" s="10"/>
      <c r="P355" s="10"/>
      <c r="Q355" s="22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0"/>
      <c r="B356" s="16"/>
      <c r="C356" s="10"/>
      <c r="D356" s="11"/>
      <c r="E356" s="36"/>
      <c r="F356" s="36"/>
      <c r="G356" s="36"/>
      <c r="H356" s="36"/>
      <c r="I356" s="36"/>
      <c r="J356" s="36"/>
      <c r="K356" s="36"/>
      <c r="L356" s="36"/>
      <c r="M356" s="36"/>
      <c r="N356" s="10"/>
      <c r="O356" s="10"/>
      <c r="P356" s="10"/>
      <c r="Q356" s="22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0"/>
      <c r="B357" s="16"/>
      <c r="C357" s="10"/>
      <c r="D357" s="11"/>
      <c r="E357" s="36"/>
      <c r="F357" s="36"/>
      <c r="G357" s="36"/>
      <c r="H357" s="36"/>
      <c r="I357" s="36"/>
      <c r="J357" s="36"/>
      <c r="K357" s="36"/>
      <c r="L357" s="36"/>
      <c r="M357" s="36"/>
      <c r="N357" s="10"/>
      <c r="O357" s="10"/>
      <c r="P357" s="10"/>
      <c r="Q357" s="22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0"/>
      <c r="B358" s="16"/>
      <c r="C358" s="10"/>
      <c r="D358" s="11"/>
      <c r="E358" s="36"/>
      <c r="F358" s="36"/>
      <c r="G358" s="36"/>
      <c r="H358" s="36"/>
      <c r="I358" s="36"/>
      <c r="J358" s="36"/>
      <c r="K358" s="36"/>
      <c r="L358" s="36"/>
      <c r="M358" s="36"/>
      <c r="N358" s="10"/>
      <c r="O358" s="10"/>
      <c r="P358" s="10"/>
      <c r="Q358" s="22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0"/>
      <c r="B359" s="16"/>
      <c r="C359" s="10"/>
      <c r="D359" s="11"/>
      <c r="E359" s="36"/>
      <c r="F359" s="36"/>
      <c r="G359" s="36"/>
      <c r="H359" s="36"/>
      <c r="I359" s="36"/>
      <c r="J359" s="36"/>
      <c r="K359" s="36"/>
      <c r="L359" s="36"/>
      <c r="M359" s="36"/>
      <c r="N359" s="10"/>
      <c r="O359" s="10"/>
      <c r="P359" s="10"/>
      <c r="Q359" s="22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0"/>
      <c r="B360" s="16"/>
      <c r="C360" s="10"/>
      <c r="D360" s="11"/>
      <c r="E360" s="36"/>
      <c r="F360" s="36"/>
      <c r="G360" s="36"/>
      <c r="H360" s="36"/>
      <c r="I360" s="36"/>
      <c r="J360" s="36"/>
      <c r="K360" s="36"/>
      <c r="L360" s="36"/>
      <c r="M360" s="36"/>
      <c r="N360" s="10"/>
      <c r="O360" s="10"/>
      <c r="P360" s="10"/>
      <c r="Q360" s="22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0"/>
      <c r="B361" s="16"/>
      <c r="C361" s="10"/>
      <c r="D361" s="11"/>
      <c r="E361" s="36"/>
      <c r="F361" s="36"/>
      <c r="G361" s="36"/>
      <c r="H361" s="36"/>
      <c r="I361" s="36"/>
      <c r="J361" s="36"/>
      <c r="K361" s="36"/>
      <c r="L361" s="36"/>
      <c r="M361" s="36"/>
      <c r="N361" s="10"/>
      <c r="O361" s="10"/>
      <c r="P361" s="10"/>
      <c r="Q361" s="22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0"/>
      <c r="B362" s="16"/>
      <c r="C362" s="10"/>
      <c r="D362" s="11"/>
      <c r="E362" s="36"/>
      <c r="F362" s="36"/>
      <c r="G362" s="36"/>
      <c r="H362" s="36"/>
      <c r="I362" s="36"/>
      <c r="J362" s="36"/>
      <c r="K362" s="36"/>
      <c r="L362" s="36"/>
      <c r="M362" s="36"/>
      <c r="N362" s="10"/>
      <c r="O362" s="10"/>
      <c r="P362" s="10"/>
      <c r="Q362" s="22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0"/>
      <c r="B363" s="16"/>
      <c r="C363" s="10"/>
      <c r="D363" s="11"/>
      <c r="E363" s="36"/>
      <c r="F363" s="36"/>
      <c r="G363" s="36"/>
      <c r="H363" s="36"/>
      <c r="I363" s="36"/>
      <c r="J363" s="36"/>
      <c r="K363" s="36"/>
      <c r="L363" s="36"/>
      <c r="M363" s="36"/>
      <c r="N363" s="10"/>
      <c r="O363" s="10"/>
      <c r="P363" s="10"/>
      <c r="Q363" s="22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0"/>
      <c r="B364" s="16"/>
      <c r="C364" s="10"/>
      <c r="D364" s="11"/>
      <c r="E364" s="36"/>
      <c r="F364" s="36"/>
      <c r="G364" s="36"/>
      <c r="H364" s="36"/>
      <c r="I364" s="36"/>
      <c r="J364" s="36"/>
      <c r="K364" s="36"/>
      <c r="L364" s="36"/>
      <c r="M364" s="36"/>
      <c r="N364" s="10"/>
      <c r="O364" s="10"/>
      <c r="P364" s="10"/>
      <c r="Q364" s="22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0"/>
      <c r="B365" s="16"/>
      <c r="C365" s="10"/>
      <c r="D365" s="11"/>
      <c r="E365" s="36"/>
      <c r="F365" s="36"/>
      <c r="G365" s="36"/>
      <c r="H365" s="36"/>
      <c r="I365" s="36"/>
      <c r="J365" s="36"/>
      <c r="K365" s="36"/>
      <c r="L365" s="36"/>
      <c r="M365" s="36"/>
      <c r="N365" s="10"/>
      <c r="O365" s="10"/>
      <c r="P365" s="10"/>
      <c r="Q365" s="22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0"/>
      <c r="B366" s="16"/>
      <c r="C366" s="10"/>
      <c r="D366" s="11"/>
      <c r="E366" s="36"/>
      <c r="F366" s="36"/>
      <c r="G366" s="36"/>
      <c r="H366" s="36"/>
      <c r="I366" s="36"/>
      <c r="J366" s="36"/>
      <c r="K366" s="36"/>
      <c r="L366" s="36"/>
      <c r="M366" s="36"/>
      <c r="N366" s="10"/>
      <c r="O366" s="10"/>
      <c r="P366" s="10"/>
      <c r="Q366" s="22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0"/>
      <c r="B367" s="16"/>
      <c r="C367" s="10"/>
      <c r="D367" s="11"/>
      <c r="E367" s="36"/>
      <c r="F367" s="36"/>
      <c r="G367" s="36"/>
      <c r="H367" s="36"/>
      <c r="I367" s="36"/>
      <c r="J367" s="36"/>
      <c r="K367" s="36"/>
      <c r="L367" s="36"/>
      <c r="M367" s="36"/>
      <c r="N367" s="10"/>
      <c r="O367" s="10"/>
      <c r="P367" s="10"/>
      <c r="Q367" s="22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0"/>
      <c r="B368" s="16"/>
      <c r="C368" s="10"/>
      <c r="D368" s="11"/>
      <c r="E368" s="36"/>
      <c r="F368" s="36"/>
      <c r="G368" s="36"/>
      <c r="H368" s="36"/>
      <c r="I368" s="36"/>
      <c r="J368" s="36"/>
      <c r="K368" s="36"/>
      <c r="L368" s="36"/>
      <c r="M368" s="36"/>
      <c r="N368" s="10"/>
      <c r="O368" s="10"/>
      <c r="P368" s="10"/>
      <c r="Q368" s="22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0"/>
      <c r="B369" s="16"/>
      <c r="C369" s="10"/>
      <c r="D369" s="11"/>
      <c r="E369" s="36"/>
      <c r="F369" s="36"/>
      <c r="G369" s="36"/>
      <c r="H369" s="36"/>
      <c r="I369" s="36"/>
      <c r="J369" s="36"/>
      <c r="K369" s="36"/>
      <c r="L369" s="36"/>
      <c r="M369" s="36"/>
      <c r="N369" s="10"/>
      <c r="O369" s="10"/>
      <c r="P369" s="10"/>
      <c r="Q369" s="22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0"/>
      <c r="B370" s="16"/>
      <c r="C370" s="10"/>
      <c r="D370" s="11"/>
      <c r="E370" s="36"/>
      <c r="F370" s="36"/>
      <c r="G370" s="36"/>
      <c r="H370" s="36"/>
      <c r="I370" s="36"/>
      <c r="J370" s="36"/>
      <c r="K370" s="36"/>
      <c r="L370" s="36"/>
      <c r="M370" s="36"/>
      <c r="N370" s="10"/>
      <c r="O370" s="10"/>
      <c r="P370" s="10"/>
      <c r="Q370" s="22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0"/>
      <c r="B371" s="16"/>
      <c r="C371" s="10"/>
      <c r="D371" s="11"/>
      <c r="E371" s="36"/>
      <c r="F371" s="36"/>
      <c r="G371" s="36"/>
      <c r="H371" s="36"/>
      <c r="I371" s="36"/>
      <c r="J371" s="36"/>
      <c r="K371" s="36"/>
      <c r="L371" s="36"/>
      <c r="M371" s="36"/>
      <c r="N371" s="10"/>
      <c r="O371" s="10"/>
      <c r="P371" s="10"/>
      <c r="Q371" s="22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0"/>
      <c r="B372" s="16"/>
      <c r="C372" s="10"/>
      <c r="D372" s="11"/>
      <c r="E372" s="36"/>
      <c r="F372" s="36"/>
      <c r="G372" s="36"/>
      <c r="H372" s="36"/>
      <c r="I372" s="36"/>
      <c r="J372" s="36"/>
      <c r="K372" s="36"/>
      <c r="L372" s="36"/>
      <c r="M372" s="36"/>
      <c r="N372" s="10"/>
      <c r="O372" s="10"/>
      <c r="P372" s="10"/>
      <c r="Q372" s="22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0"/>
      <c r="B373" s="16"/>
      <c r="C373" s="10"/>
      <c r="D373" s="11"/>
      <c r="E373" s="36"/>
      <c r="F373" s="36"/>
      <c r="G373" s="36"/>
      <c r="H373" s="36"/>
      <c r="I373" s="36"/>
      <c r="J373" s="36"/>
      <c r="K373" s="36"/>
      <c r="L373" s="36"/>
      <c r="M373" s="36"/>
      <c r="N373" s="10"/>
      <c r="O373" s="10"/>
      <c r="P373" s="10"/>
      <c r="Q373" s="22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0"/>
      <c r="B374" s="16"/>
      <c r="C374" s="10"/>
      <c r="D374" s="11"/>
      <c r="E374" s="36"/>
      <c r="F374" s="36"/>
      <c r="G374" s="36"/>
      <c r="H374" s="36"/>
      <c r="I374" s="36"/>
      <c r="J374" s="36"/>
      <c r="K374" s="36"/>
      <c r="L374" s="36"/>
      <c r="M374" s="36"/>
      <c r="N374" s="10"/>
      <c r="O374" s="10"/>
      <c r="P374" s="10"/>
      <c r="Q374" s="22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0"/>
      <c r="B375" s="16"/>
      <c r="C375" s="10"/>
      <c r="D375" s="11"/>
      <c r="E375" s="36"/>
      <c r="F375" s="36"/>
      <c r="G375" s="36"/>
      <c r="H375" s="36"/>
      <c r="I375" s="36"/>
      <c r="J375" s="36"/>
      <c r="K375" s="36"/>
      <c r="L375" s="36"/>
      <c r="M375" s="36"/>
      <c r="N375" s="10"/>
      <c r="O375" s="10"/>
      <c r="P375" s="10"/>
      <c r="Q375" s="22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0"/>
      <c r="B376" s="16"/>
      <c r="C376" s="10"/>
      <c r="D376" s="11"/>
      <c r="E376" s="36"/>
      <c r="F376" s="36"/>
      <c r="G376" s="36"/>
      <c r="H376" s="36"/>
      <c r="I376" s="36"/>
      <c r="J376" s="36"/>
      <c r="K376" s="36"/>
      <c r="L376" s="36"/>
      <c r="M376" s="36"/>
      <c r="N376" s="10"/>
      <c r="O376" s="10"/>
      <c r="P376" s="10"/>
      <c r="Q376" s="22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0"/>
      <c r="B377" s="16"/>
      <c r="C377" s="10"/>
      <c r="D377" s="11"/>
      <c r="E377" s="36"/>
      <c r="F377" s="36"/>
      <c r="G377" s="36"/>
      <c r="H377" s="36"/>
      <c r="I377" s="36"/>
      <c r="J377" s="36"/>
      <c r="K377" s="36"/>
      <c r="L377" s="36"/>
      <c r="M377" s="36"/>
      <c r="N377" s="10"/>
      <c r="O377" s="10"/>
      <c r="P377" s="10"/>
      <c r="Q377" s="22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0"/>
      <c r="B378" s="16"/>
      <c r="C378" s="10"/>
      <c r="D378" s="11"/>
      <c r="E378" s="36"/>
      <c r="F378" s="36"/>
      <c r="G378" s="36"/>
      <c r="H378" s="36"/>
      <c r="I378" s="36"/>
      <c r="J378" s="36"/>
      <c r="K378" s="36"/>
      <c r="L378" s="36"/>
      <c r="M378" s="36"/>
      <c r="N378" s="10"/>
      <c r="O378" s="10"/>
      <c r="P378" s="10"/>
      <c r="Q378" s="22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0"/>
      <c r="B379" s="16"/>
      <c r="C379" s="10"/>
      <c r="D379" s="11"/>
      <c r="E379" s="36"/>
      <c r="F379" s="36"/>
      <c r="G379" s="36"/>
      <c r="H379" s="36"/>
      <c r="I379" s="36"/>
      <c r="J379" s="36"/>
      <c r="K379" s="36"/>
      <c r="L379" s="36"/>
      <c r="M379" s="36"/>
      <c r="N379" s="10"/>
      <c r="O379" s="10"/>
      <c r="P379" s="10"/>
      <c r="Q379" s="22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0"/>
      <c r="B380" s="16"/>
      <c r="C380" s="10"/>
      <c r="D380" s="11"/>
      <c r="E380" s="36"/>
      <c r="F380" s="36"/>
      <c r="G380" s="36"/>
      <c r="H380" s="36"/>
      <c r="I380" s="36"/>
      <c r="J380" s="36"/>
      <c r="K380" s="36"/>
      <c r="L380" s="36"/>
      <c r="M380" s="36"/>
      <c r="N380" s="10"/>
      <c r="O380" s="10"/>
      <c r="P380" s="10"/>
      <c r="Q380" s="22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0"/>
      <c r="B381" s="16"/>
      <c r="C381" s="10"/>
      <c r="D381" s="11"/>
      <c r="E381" s="36"/>
      <c r="F381" s="36"/>
      <c r="G381" s="36"/>
      <c r="H381" s="36"/>
      <c r="I381" s="36"/>
      <c r="J381" s="36"/>
      <c r="K381" s="36"/>
      <c r="L381" s="36"/>
      <c r="M381" s="36"/>
      <c r="N381" s="10"/>
      <c r="O381" s="10"/>
      <c r="P381" s="10"/>
      <c r="Q381" s="22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0"/>
      <c r="B382" s="16"/>
      <c r="C382" s="10"/>
      <c r="D382" s="11"/>
      <c r="E382" s="36"/>
      <c r="F382" s="36"/>
      <c r="G382" s="36"/>
      <c r="H382" s="36"/>
      <c r="I382" s="36"/>
      <c r="J382" s="36"/>
      <c r="K382" s="36"/>
      <c r="L382" s="36"/>
      <c r="M382" s="36"/>
      <c r="N382" s="10"/>
      <c r="O382" s="10"/>
      <c r="P382" s="10"/>
      <c r="Q382" s="22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0"/>
      <c r="B383" s="16"/>
      <c r="C383" s="10"/>
      <c r="D383" s="11"/>
      <c r="E383" s="36"/>
      <c r="F383" s="36"/>
      <c r="G383" s="36"/>
      <c r="H383" s="36"/>
      <c r="I383" s="36"/>
      <c r="J383" s="36"/>
      <c r="K383" s="36"/>
      <c r="L383" s="36"/>
      <c r="M383" s="36"/>
      <c r="N383" s="10"/>
      <c r="O383" s="10"/>
      <c r="P383" s="10"/>
      <c r="Q383" s="22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0"/>
      <c r="B384" s="16"/>
      <c r="C384" s="10"/>
      <c r="D384" s="11"/>
      <c r="E384" s="36"/>
      <c r="F384" s="36"/>
      <c r="G384" s="36"/>
      <c r="H384" s="36"/>
      <c r="I384" s="36"/>
      <c r="J384" s="36"/>
      <c r="K384" s="36"/>
      <c r="L384" s="36"/>
      <c r="M384" s="36"/>
      <c r="N384" s="10"/>
      <c r="O384" s="10"/>
      <c r="P384" s="10"/>
      <c r="Q384" s="22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0"/>
      <c r="B385" s="16"/>
      <c r="C385" s="10"/>
      <c r="D385" s="11"/>
      <c r="E385" s="36"/>
      <c r="F385" s="36"/>
      <c r="G385" s="36"/>
      <c r="H385" s="36"/>
      <c r="I385" s="36"/>
      <c r="J385" s="36"/>
      <c r="K385" s="36"/>
      <c r="L385" s="36"/>
      <c r="M385" s="36"/>
      <c r="N385" s="10"/>
      <c r="O385" s="10"/>
      <c r="P385" s="10"/>
      <c r="Q385" s="22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0"/>
      <c r="B386" s="16"/>
      <c r="C386" s="10"/>
      <c r="D386" s="11"/>
      <c r="E386" s="36"/>
      <c r="F386" s="36"/>
      <c r="G386" s="36"/>
      <c r="H386" s="36"/>
      <c r="I386" s="36"/>
      <c r="J386" s="36"/>
      <c r="K386" s="36"/>
      <c r="L386" s="36"/>
      <c r="M386" s="36"/>
      <c r="N386" s="10"/>
      <c r="O386" s="10"/>
      <c r="P386" s="10"/>
      <c r="Q386" s="22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0"/>
      <c r="B387" s="16"/>
      <c r="C387" s="10"/>
      <c r="D387" s="11"/>
      <c r="E387" s="36"/>
      <c r="F387" s="36"/>
      <c r="G387" s="36"/>
      <c r="H387" s="36"/>
      <c r="I387" s="36"/>
      <c r="J387" s="36"/>
      <c r="K387" s="36"/>
      <c r="L387" s="36"/>
      <c r="M387" s="36"/>
      <c r="N387" s="10"/>
      <c r="O387" s="10"/>
      <c r="P387" s="10"/>
      <c r="Q387" s="22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0"/>
      <c r="B388" s="16"/>
      <c r="C388" s="10"/>
      <c r="D388" s="11"/>
      <c r="E388" s="36"/>
      <c r="F388" s="36"/>
      <c r="G388" s="36"/>
      <c r="H388" s="36"/>
      <c r="I388" s="36"/>
      <c r="J388" s="36"/>
      <c r="K388" s="36"/>
      <c r="L388" s="36"/>
      <c r="M388" s="36"/>
      <c r="N388" s="10"/>
      <c r="O388" s="10"/>
      <c r="P388" s="10"/>
      <c r="Q388" s="22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0"/>
      <c r="B389" s="16"/>
      <c r="C389" s="10"/>
      <c r="D389" s="11"/>
      <c r="E389" s="36"/>
      <c r="F389" s="36"/>
      <c r="G389" s="36"/>
      <c r="H389" s="36"/>
      <c r="I389" s="36"/>
      <c r="J389" s="36"/>
      <c r="K389" s="36"/>
      <c r="L389" s="36"/>
      <c r="M389" s="36"/>
      <c r="N389" s="10"/>
      <c r="O389" s="10"/>
      <c r="P389" s="10"/>
      <c r="Q389" s="22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0"/>
      <c r="B390" s="16"/>
      <c r="C390" s="10"/>
      <c r="D390" s="11"/>
      <c r="E390" s="36"/>
      <c r="F390" s="36"/>
      <c r="G390" s="36"/>
      <c r="H390" s="36"/>
      <c r="I390" s="36"/>
      <c r="J390" s="36"/>
      <c r="K390" s="36"/>
      <c r="L390" s="36"/>
      <c r="M390" s="36"/>
      <c r="N390" s="10"/>
      <c r="O390" s="10"/>
      <c r="P390" s="10"/>
      <c r="Q390" s="22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0"/>
      <c r="B391" s="16"/>
      <c r="C391" s="10"/>
      <c r="D391" s="11"/>
      <c r="E391" s="36"/>
      <c r="F391" s="36"/>
      <c r="G391" s="36"/>
      <c r="H391" s="36"/>
      <c r="I391" s="36"/>
      <c r="J391" s="36"/>
      <c r="K391" s="36"/>
      <c r="L391" s="36"/>
      <c r="M391" s="36"/>
      <c r="N391" s="10"/>
      <c r="O391" s="10"/>
      <c r="P391" s="10"/>
      <c r="Q391" s="22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0"/>
      <c r="B392" s="16"/>
      <c r="C392" s="10"/>
      <c r="D392" s="11"/>
      <c r="E392" s="36"/>
      <c r="F392" s="36"/>
      <c r="G392" s="36"/>
      <c r="H392" s="36"/>
      <c r="I392" s="36"/>
      <c r="J392" s="36"/>
      <c r="K392" s="36"/>
      <c r="L392" s="36"/>
      <c r="M392" s="36"/>
      <c r="N392" s="10"/>
      <c r="O392" s="10"/>
      <c r="P392" s="10"/>
      <c r="Q392" s="22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0"/>
      <c r="B393" s="16"/>
      <c r="C393" s="10"/>
      <c r="D393" s="11"/>
      <c r="E393" s="36"/>
      <c r="F393" s="36"/>
      <c r="G393" s="36"/>
      <c r="H393" s="36"/>
      <c r="I393" s="36"/>
      <c r="J393" s="36"/>
      <c r="K393" s="36"/>
      <c r="L393" s="36"/>
      <c r="M393" s="36"/>
      <c r="N393" s="10"/>
      <c r="O393" s="10"/>
      <c r="P393" s="10"/>
      <c r="Q393" s="22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0"/>
      <c r="B394" s="16"/>
      <c r="C394" s="10"/>
      <c r="D394" s="11"/>
      <c r="E394" s="36"/>
      <c r="F394" s="36"/>
      <c r="G394" s="36"/>
      <c r="H394" s="36"/>
      <c r="I394" s="36"/>
      <c r="J394" s="36"/>
      <c r="K394" s="36"/>
      <c r="L394" s="36"/>
      <c r="M394" s="36"/>
      <c r="N394" s="10"/>
      <c r="O394" s="10"/>
      <c r="P394" s="10"/>
      <c r="Q394" s="22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0"/>
      <c r="B395" s="16"/>
      <c r="C395" s="10"/>
      <c r="D395" s="11"/>
      <c r="E395" s="36"/>
      <c r="F395" s="36"/>
      <c r="G395" s="36"/>
      <c r="H395" s="36"/>
      <c r="I395" s="36"/>
      <c r="J395" s="36"/>
      <c r="K395" s="36"/>
      <c r="L395" s="36"/>
      <c r="M395" s="36"/>
      <c r="N395" s="10"/>
      <c r="O395" s="10"/>
      <c r="P395" s="10"/>
      <c r="Q395" s="22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0"/>
      <c r="B396" s="16"/>
      <c r="C396" s="10"/>
      <c r="D396" s="11"/>
      <c r="E396" s="36"/>
      <c r="F396" s="36"/>
      <c r="G396" s="36"/>
      <c r="H396" s="36"/>
      <c r="I396" s="36"/>
      <c r="J396" s="36"/>
      <c r="K396" s="36"/>
      <c r="L396" s="36"/>
      <c r="M396" s="36"/>
      <c r="N396" s="10"/>
      <c r="O396" s="10"/>
      <c r="P396" s="10"/>
      <c r="Q396" s="22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0"/>
      <c r="B397" s="16"/>
      <c r="C397" s="10"/>
      <c r="D397" s="11"/>
      <c r="E397" s="36"/>
      <c r="F397" s="36"/>
      <c r="G397" s="36"/>
      <c r="H397" s="36"/>
      <c r="I397" s="36"/>
      <c r="J397" s="36"/>
      <c r="K397" s="36"/>
      <c r="L397" s="36"/>
      <c r="M397" s="36"/>
      <c r="N397" s="10"/>
      <c r="O397" s="10"/>
      <c r="P397" s="10"/>
      <c r="Q397" s="22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0"/>
      <c r="B398" s="16"/>
      <c r="C398" s="10"/>
      <c r="D398" s="11"/>
      <c r="E398" s="36"/>
      <c r="F398" s="36"/>
      <c r="G398" s="36"/>
      <c r="H398" s="36"/>
      <c r="I398" s="36"/>
      <c r="J398" s="36"/>
      <c r="K398" s="36"/>
      <c r="L398" s="36"/>
      <c r="M398" s="36"/>
      <c r="N398" s="10"/>
      <c r="O398" s="10"/>
      <c r="P398" s="10"/>
      <c r="Q398" s="22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0"/>
      <c r="B399" s="16"/>
      <c r="C399" s="10"/>
      <c r="D399" s="11"/>
      <c r="E399" s="36"/>
      <c r="F399" s="36"/>
      <c r="G399" s="36"/>
      <c r="H399" s="36"/>
      <c r="I399" s="36"/>
      <c r="J399" s="36"/>
      <c r="K399" s="36"/>
      <c r="L399" s="36"/>
      <c r="M399" s="36"/>
      <c r="N399" s="10"/>
      <c r="O399" s="10"/>
      <c r="P399" s="10"/>
      <c r="Q399" s="22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0"/>
      <c r="B400" s="16"/>
      <c r="C400" s="10"/>
      <c r="D400" s="11"/>
      <c r="E400" s="36"/>
      <c r="F400" s="36"/>
      <c r="G400" s="36"/>
      <c r="H400" s="36"/>
      <c r="I400" s="36"/>
      <c r="J400" s="36"/>
      <c r="K400" s="36"/>
      <c r="L400" s="36"/>
      <c r="M400" s="36"/>
      <c r="N400" s="10"/>
      <c r="O400" s="10"/>
      <c r="P400" s="10"/>
      <c r="Q400" s="22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0"/>
      <c r="B401" s="16"/>
      <c r="C401" s="10"/>
      <c r="D401" s="11"/>
      <c r="E401" s="36"/>
      <c r="F401" s="36"/>
      <c r="G401" s="36"/>
      <c r="H401" s="36"/>
      <c r="I401" s="36"/>
      <c r="J401" s="36"/>
      <c r="K401" s="36"/>
      <c r="L401" s="36"/>
      <c r="M401" s="36"/>
      <c r="N401" s="10"/>
      <c r="O401" s="10"/>
      <c r="P401" s="10"/>
      <c r="Q401" s="22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0"/>
      <c r="B402" s="16"/>
      <c r="C402" s="10"/>
      <c r="D402" s="11"/>
      <c r="E402" s="36"/>
      <c r="F402" s="36"/>
      <c r="G402" s="36"/>
      <c r="H402" s="36"/>
      <c r="I402" s="36"/>
      <c r="J402" s="36"/>
      <c r="K402" s="36"/>
      <c r="L402" s="36"/>
      <c r="M402" s="36"/>
      <c r="N402" s="10"/>
      <c r="O402" s="10"/>
      <c r="P402" s="10"/>
      <c r="Q402" s="22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0"/>
      <c r="B403" s="16"/>
      <c r="C403" s="10"/>
      <c r="D403" s="11"/>
      <c r="E403" s="36"/>
      <c r="F403" s="36"/>
      <c r="G403" s="36"/>
      <c r="H403" s="36"/>
      <c r="I403" s="36"/>
      <c r="J403" s="36"/>
      <c r="K403" s="36"/>
      <c r="L403" s="36"/>
      <c r="M403" s="36"/>
      <c r="N403" s="10"/>
      <c r="O403" s="10"/>
      <c r="P403" s="10"/>
      <c r="Q403" s="22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0"/>
      <c r="B404" s="16"/>
      <c r="C404" s="10"/>
      <c r="D404" s="11"/>
      <c r="E404" s="36"/>
      <c r="F404" s="36"/>
      <c r="G404" s="36"/>
      <c r="H404" s="36"/>
      <c r="I404" s="36"/>
      <c r="J404" s="36"/>
      <c r="K404" s="36"/>
      <c r="L404" s="36"/>
      <c r="M404" s="36"/>
      <c r="N404" s="10"/>
      <c r="O404" s="10"/>
      <c r="P404" s="10"/>
      <c r="Q404" s="22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0"/>
      <c r="B405" s="16"/>
      <c r="C405" s="10"/>
      <c r="D405" s="11"/>
      <c r="E405" s="36"/>
      <c r="F405" s="36"/>
      <c r="G405" s="36"/>
      <c r="H405" s="36"/>
      <c r="I405" s="36"/>
      <c r="J405" s="36"/>
      <c r="K405" s="36"/>
      <c r="L405" s="36"/>
      <c r="M405" s="36"/>
      <c r="N405" s="10"/>
      <c r="O405" s="10"/>
      <c r="P405" s="10"/>
      <c r="Q405" s="22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0"/>
      <c r="B406" s="16"/>
      <c r="C406" s="10"/>
      <c r="D406" s="11"/>
      <c r="E406" s="36"/>
      <c r="F406" s="36"/>
      <c r="G406" s="36"/>
      <c r="H406" s="36"/>
      <c r="I406" s="36"/>
      <c r="J406" s="36"/>
      <c r="K406" s="36"/>
      <c r="L406" s="36"/>
      <c r="M406" s="36"/>
      <c r="N406" s="10"/>
      <c r="O406" s="10"/>
      <c r="P406" s="10"/>
      <c r="Q406" s="22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0"/>
      <c r="B407" s="16"/>
      <c r="C407" s="10"/>
      <c r="D407" s="11"/>
      <c r="E407" s="36"/>
      <c r="F407" s="36"/>
      <c r="G407" s="36"/>
      <c r="H407" s="36"/>
      <c r="I407" s="36"/>
      <c r="J407" s="36"/>
      <c r="K407" s="36"/>
      <c r="L407" s="36"/>
      <c r="M407" s="36"/>
      <c r="N407" s="10"/>
      <c r="O407" s="10"/>
      <c r="P407" s="10"/>
      <c r="Q407" s="22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0"/>
      <c r="B408" s="16"/>
      <c r="C408" s="10"/>
      <c r="D408" s="11"/>
      <c r="E408" s="36"/>
      <c r="F408" s="36"/>
      <c r="G408" s="36"/>
      <c r="H408" s="36"/>
      <c r="I408" s="36"/>
      <c r="J408" s="36"/>
      <c r="K408" s="36"/>
      <c r="L408" s="36"/>
      <c r="M408" s="36"/>
      <c r="N408" s="10"/>
      <c r="O408" s="10"/>
      <c r="P408" s="10"/>
      <c r="Q408" s="22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0"/>
      <c r="B409" s="16"/>
      <c r="C409" s="10"/>
      <c r="D409" s="11"/>
      <c r="E409" s="36"/>
      <c r="F409" s="36"/>
      <c r="G409" s="36"/>
      <c r="H409" s="36"/>
      <c r="I409" s="36"/>
      <c r="J409" s="36"/>
      <c r="K409" s="36"/>
      <c r="L409" s="36"/>
      <c r="M409" s="36"/>
      <c r="N409" s="10"/>
      <c r="O409" s="10"/>
      <c r="P409" s="10"/>
      <c r="Q409" s="22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0"/>
      <c r="B410" s="16"/>
      <c r="C410" s="10"/>
      <c r="D410" s="11"/>
      <c r="E410" s="36"/>
      <c r="F410" s="36"/>
      <c r="G410" s="36"/>
      <c r="H410" s="36"/>
      <c r="I410" s="36"/>
      <c r="J410" s="36"/>
      <c r="K410" s="36"/>
      <c r="L410" s="36"/>
      <c r="M410" s="36"/>
      <c r="N410" s="10"/>
      <c r="O410" s="10"/>
      <c r="P410" s="10"/>
      <c r="Q410" s="22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0"/>
      <c r="B411" s="16"/>
      <c r="C411" s="10"/>
      <c r="D411" s="11"/>
      <c r="E411" s="36"/>
      <c r="F411" s="36"/>
      <c r="G411" s="36"/>
      <c r="H411" s="36"/>
      <c r="I411" s="36"/>
      <c r="J411" s="36"/>
      <c r="K411" s="36"/>
      <c r="L411" s="36"/>
      <c r="M411" s="36"/>
      <c r="N411" s="10"/>
      <c r="O411" s="10"/>
      <c r="P411" s="10"/>
      <c r="Q411" s="22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0"/>
      <c r="B412" s="16"/>
      <c r="C412" s="10"/>
      <c r="D412" s="11"/>
      <c r="E412" s="36"/>
      <c r="F412" s="36"/>
      <c r="G412" s="36"/>
      <c r="H412" s="36"/>
      <c r="I412" s="36"/>
      <c r="J412" s="36"/>
      <c r="K412" s="36"/>
      <c r="L412" s="36"/>
      <c r="M412" s="36"/>
      <c r="N412" s="10"/>
      <c r="O412" s="10"/>
      <c r="P412" s="10"/>
      <c r="Q412" s="22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0"/>
      <c r="B413" s="16"/>
      <c r="C413" s="10"/>
      <c r="D413" s="11"/>
      <c r="E413" s="36"/>
      <c r="F413" s="36"/>
      <c r="G413" s="36"/>
      <c r="H413" s="36"/>
      <c r="I413" s="36"/>
      <c r="J413" s="36"/>
      <c r="K413" s="36"/>
      <c r="L413" s="36"/>
      <c r="M413" s="36"/>
      <c r="N413" s="10"/>
      <c r="O413" s="10"/>
      <c r="P413" s="10"/>
      <c r="Q413" s="22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0"/>
      <c r="B414" s="16"/>
      <c r="C414" s="10"/>
      <c r="D414" s="11"/>
      <c r="E414" s="36"/>
      <c r="F414" s="36"/>
      <c r="G414" s="36"/>
      <c r="H414" s="36"/>
      <c r="I414" s="36"/>
      <c r="J414" s="36"/>
      <c r="K414" s="36"/>
      <c r="L414" s="36"/>
      <c r="M414" s="36"/>
      <c r="N414" s="10"/>
      <c r="O414" s="10"/>
      <c r="P414" s="10"/>
      <c r="Q414" s="22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0"/>
      <c r="B415" s="16"/>
      <c r="C415" s="10"/>
      <c r="D415" s="11"/>
      <c r="E415" s="36"/>
      <c r="F415" s="36"/>
      <c r="G415" s="36"/>
      <c r="H415" s="36"/>
      <c r="I415" s="36"/>
      <c r="J415" s="36"/>
      <c r="K415" s="36"/>
      <c r="L415" s="36"/>
      <c r="M415" s="36"/>
      <c r="N415" s="10"/>
      <c r="O415" s="10"/>
      <c r="P415" s="10"/>
      <c r="Q415" s="22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0"/>
      <c r="B416" s="16"/>
      <c r="C416" s="10"/>
      <c r="D416" s="11"/>
      <c r="E416" s="36"/>
      <c r="F416" s="36"/>
      <c r="G416" s="36"/>
      <c r="H416" s="36"/>
      <c r="I416" s="36"/>
      <c r="J416" s="36"/>
      <c r="K416" s="36"/>
      <c r="L416" s="36"/>
      <c r="M416" s="36"/>
      <c r="N416" s="10"/>
      <c r="O416" s="10"/>
      <c r="P416" s="10"/>
      <c r="Q416" s="22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0"/>
      <c r="B417" s="16"/>
      <c r="C417" s="10"/>
      <c r="D417" s="11"/>
      <c r="E417" s="36"/>
      <c r="F417" s="36"/>
      <c r="G417" s="36"/>
      <c r="H417" s="36"/>
      <c r="I417" s="36"/>
      <c r="J417" s="36"/>
      <c r="K417" s="36"/>
      <c r="L417" s="36"/>
      <c r="M417" s="36"/>
      <c r="N417" s="10"/>
      <c r="O417" s="10"/>
      <c r="P417" s="10"/>
      <c r="Q417" s="22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0"/>
      <c r="B418" s="16"/>
      <c r="C418" s="10"/>
      <c r="D418" s="11"/>
      <c r="E418" s="36"/>
      <c r="F418" s="36"/>
      <c r="G418" s="36"/>
      <c r="H418" s="36"/>
      <c r="I418" s="36"/>
      <c r="J418" s="36"/>
      <c r="K418" s="36"/>
      <c r="L418" s="36"/>
      <c r="M418" s="36"/>
      <c r="N418" s="10"/>
      <c r="O418" s="10"/>
      <c r="P418" s="10"/>
      <c r="Q418" s="22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0"/>
      <c r="B419" s="16"/>
      <c r="C419" s="10"/>
      <c r="D419" s="11"/>
      <c r="E419" s="36"/>
      <c r="F419" s="36"/>
      <c r="G419" s="36"/>
      <c r="H419" s="36"/>
      <c r="I419" s="36"/>
      <c r="J419" s="36"/>
      <c r="K419" s="36"/>
      <c r="L419" s="36"/>
      <c r="M419" s="36"/>
      <c r="N419" s="10"/>
      <c r="O419" s="10"/>
      <c r="P419" s="10"/>
      <c r="Q419" s="22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0"/>
      <c r="B420" s="16"/>
      <c r="C420" s="10"/>
      <c r="D420" s="11"/>
      <c r="E420" s="36"/>
      <c r="F420" s="36"/>
      <c r="G420" s="36"/>
      <c r="H420" s="36"/>
      <c r="I420" s="36"/>
      <c r="J420" s="36"/>
      <c r="K420" s="36"/>
      <c r="L420" s="36"/>
      <c r="M420" s="36"/>
      <c r="N420" s="10"/>
      <c r="O420" s="10"/>
      <c r="P420" s="10"/>
      <c r="Q420" s="22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0"/>
      <c r="B421" s="16"/>
      <c r="C421" s="10"/>
      <c r="D421" s="11"/>
      <c r="E421" s="36"/>
      <c r="F421" s="36"/>
      <c r="G421" s="36"/>
      <c r="H421" s="36"/>
      <c r="I421" s="36"/>
      <c r="J421" s="36"/>
      <c r="K421" s="36"/>
      <c r="L421" s="36"/>
      <c r="M421" s="36"/>
      <c r="N421" s="10"/>
      <c r="O421" s="10"/>
      <c r="P421" s="10"/>
      <c r="Q421" s="22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0"/>
      <c r="B422" s="16"/>
      <c r="C422" s="10"/>
      <c r="D422" s="11"/>
      <c r="E422" s="36"/>
      <c r="F422" s="36"/>
      <c r="G422" s="36"/>
      <c r="H422" s="36"/>
      <c r="I422" s="36"/>
      <c r="J422" s="36"/>
      <c r="K422" s="36"/>
      <c r="L422" s="36"/>
      <c r="M422" s="36"/>
      <c r="N422" s="10"/>
      <c r="O422" s="10"/>
      <c r="P422" s="10"/>
      <c r="Q422" s="22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0"/>
      <c r="B423" s="16"/>
      <c r="C423" s="10"/>
      <c r="D423" s="11"/>
      <c r="E423" s="36"/>
      <c r="F423" s="36"/>
      <c r="G423" s="36"/>
      <c r="H423" s="36"/>
      <c r="I423" s="36"/>
      <c r="J423" s="36"/>
      <c r="K423" s="36"/>
      <c r="L423" s="36"/>
      <c r="M423" s="36"/>
      <c r="N423" s="10"/>
      <c r="O423" s="10"/>
      <c r="P423" s="10"/>
      <c r="Q423" s="22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0"/>
      <c r="B424" s="16"/>
      <c r="C424" s="10"/>
      <c r="D424" s="11"/>
      <c r="E424" s="36"/>
      <c r="F424" s="36"/>
      <c r="G424" s="36"/>
      <c r="H424" s="36"/>
      <c r="I424" s="36"/>
      <c r="J424" s="36"/>
      <c r="K424" s="36"/>
      <c r="L424" s="36"/>
      <c r="M424" s="36"/>
      <c r="N424" s="10"/>
      <c r="O424" s="10"/>
      <c r="P424" s="10"/>
      <c r="Q424" s="22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0"/>
      <c r="B425" s="16"/>
      <c r="C425" s="10"/>
      <c r="D425" s="11"/>
      <c r="E425" s="36"/>
      <c r="F425" s="36"/>
      <c r="G425" s="36"/>
      <c r="H425" s="36"/>
      <c r="I425" s="36"/>
      <c r="J425" s="36"/>
      <c r="K425" s="36"/>
      <c r="L425" s="36"/>
      <c r="M425" s="36"/>
      <c r="N425" s="10"/>
      <c r="O425" s="10"/>
      <c r="P425" s="10"/>
      <c r="Q425" s="22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0"/>
      <c r="B426" s="16"/>
      <c r="C426" s="10"/>
      <c r="D426" s="11"/>
      <c r="E426" s="36"/>
      <c r="F426" s="36"/>
      <c r="G426" s="36"/>
      <c r="H426" s="36"/>
      <c r="I426" s="36"/>
      <c r="J426" s="36"/>
      <c r="K426" s="36"/>
      <c r="L426" s="36"/>
      <c r="M426" s="36"/>
      <c r="N426" s="10"/>
      <c r="O426" s="10"/>
      <c r="P426" s="10"/>
      <c r="Q426" s="22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0"/>
      <c r="B427" s="16"/>
      <c r="C427" s="10"/>
      <c r="D427" s="11"/>
      <c r="E427" s="36"/>
      <c r="F427" s="36"/>
      <c r="G427" s="36"/>
      <c r="H427" s="36"/>
      <c r="I427" s="36"/>
      <c r="J427" s="36"/>
      <c r="K427" s="36"/>
      <c r="L427" s="36"/>
      <c r="M427" s="36"/>
      <c r="N427" s="10"/>
      <c r="O427" s="10"/>
      <c r="P427" s="10"/>
      <c r="Q427" s="22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0"/>
      <c r="B428" s="16"/>
      <c r="C428" s="10"/>
      <c r="D428" s="11"/>
      <c r="E428" s="36"/>
      <c r="F428" s="36"/>
      <c r="G428" s="36"/>
      <c r="H428" s="36"/>
      <c r="I428" s="36"/>
      <c r="J428" s="36"/>
      <c r="K428" s="36"/>
      <c r="L428" s="36"/>
      <c r="M428" s="36"/>
      <c r="N428" s="10"/>
      <c r="O428" s="10"/>
      <c r="P428" s="10"/>
      <c r="Q428" s="22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0"/>
      <c r="B429" s="16"/>
      <c r="C429" s="10"/>
      <c r="D429" s="11"/>
      <c r="E429" s="36"/>
      <c r="F429" s="36"/>
      <c r="G429" s="36"/>
      <c r="H429" s="36"/>
      <c r="I429" s="36"/>
      <c r="J429" s="36"/>
      <c r="K429" s="36"/>
      <c r="L429" s="36"/>
      <c r="M429" s="36"/>
      <c r="N429" s="10"/>
      <c r="O429" s="10"/>
      <c r="P429" s="10"/>
      <c r="Q429" s="22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0"/>
      <c r="B430" s="16"/>
      <c r="C430" s="10"/>
      <c r="D430" s="11"/>
      <c r="E430" s="36"/>
      <c r="F430" s="36"/>
      <c r="G430" s="36"/>
      <c r="H430" s="36"/>
      <c r="I430" s="36"/>
      <c r="J430" s="36"/>
      <c r="K430" s="36"/>
      <c r="L430" s="36"/>
      <c r="M430" s="36"/>
      <c r="N430" s="10"/>
      <c r="O430" s="10"/>
      <c r="P430" s="10"/>
      <c r="Q430" s="22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0"/>
      <c r="B431" s="16"/>
      <c r="C431" s="10"/>
      <c r="D431" s="11"/>
      <c r="E431" s="36"/>
      <c r="F431" s="36"/>
      <c r="G431" s="36"/>
      <c r="H431" s="36"/>
      <c r="I431" s="36"/>
      <c r="J431" s="36"/>
      <c r="K431" s="36"/>
      <c r="L431" s="36"/>
      <c r="M431" s="36"/>
      <c r="N431" s="10"/>
      <c r="O431" s="10"/>
      <c r="P431" s="10"/>
      <c r="Q431" s="22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0"/>
      <c r="B432" s="16"/>
      <c r="C432" s="10"/>
      <c r="D432" s="11"/>
      <c r="E432" s="36"/>
      <c r="F432" s="36"/>
      <c r="G432" s="36"/>
      <c r="H432" s="36"/>
      <c r="I432" s="36"/>
      <c r="J432" s="36"/>
      <c r="K432" s="36"/>
      <c r="L432" s="36"/>
      <c r="M432" s="36"/>
      <c r="N432" s="10"/>
      <c r="O432" s="10"/>
      <c r="P432" s="10"/>
      <c r="Q432" s="22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0"/>
      <c r="B433" s="16"/>
      <c r="C433" s="10"/>
      <c r="D433" s="11"/>
      <c r="E433" s="36"/>
      <c r="F433" s="36"/>
      <c r="G433" s="36"/>
      <c r="H433" s="36"/>
      <c r="I433" s="36"/>
      <c r="J433" s="36"/>
      <c r="K433" s="36"/>
      <c r="L433" s="36"/>
      <c r="M433" s="36"/>
      <c r="N433" s="10"/>
      <c r="O433" s="10"/>
      <c r="P433" s="10"/>
      <c r="Q433" s="22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0"/>
      <c r="B434" s="16"/>
      <c r="C434" s="10"/>
      <c r="D434" s="11"/>
      <c r="E434" s="36"/>
      <c r="F434" s="36"/>
      <c r="G434" s="36"/>
      <c r="H434" s="36"/>
      <c r="I434" s="36"/>
      <c r="J434" s="36"/>
      <c r="K434" s="36"/>
      <c r="L434" s="36"/>
      <c r="M434" s="36"/>
      <c r="N434" s="10"/>
      <c r="O434" s="10"/>
      <c r="P434" s="10"/>
      <c r="Q434" s="22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0"/>
      <c r="B435" s="16"/>
      <c r="C435" s="10"/>
      <c r="D435" s="11"/>
      <c r="E435" s="36"/>
      <c r="F435" s="36"/>
      <c r="G435" s="36"/>
      <c r="H435" s="36"/>
      <c r="I435" s="36"/>
      <c r="J435" s="36"/>
      <c r="K435" s="36"/>
      <c r="L435" s="36"/>
      <c r="M435" s="36"/>
      <c r="N435" s="10"/>
      <c r="O435" s="10"/>
      <c r="P435" s="10"/>
      <c r="Q435" s="22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0"/>
      <c r="B436" s="16"/>
      <c r="C436" s="10"/>
      <c r="D436" s="11"/>
      <c r="E436" s="36"/>
      <c r="F436" s="36"/>
      <c r="G436" s="36"/>
      <c r="H436" s="36"/>
      <c r="I436" s="36"/>
      <c r="J436" s="36"/>
      <c r="K436" s="36"/>
      <c r="L436" s="36"/>
      <c r="M436" s="36"/>
      <c r="N436" s="10"/>
      <c r="O436" s="10"/>
      <c r="P436" s="10"/>
      <c r="Q436" s="22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0"/>
      <c r="B437" s="16"/>
      <c r="C437" s="10"/>
      <c r="D437" s="11"/>
      <c r="E437" s="36"/>
      <c r="F437" s="36"/>
      <c r="G437" s="36"/>
      <c r="H437" s="36"/>
      <c r="I437" s="36"/>
      <c r="J437" s="36"/>
      <c r="K437" s="36"/>
      <c r="L437" s="36"/>
      <c r="M437" s="36"/>
      <c r="N437" s="10"/>
      <c r="O437" s="10"/>
      <c r="P437" s="10"/>
      <c r="Q437" s="22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0"/>
      <c r="B438" s="16"/>
      <c r="C438" s="10"/>
      <c r="D438" s="11"/>
      <c r="E438" s="36"/>
      <c r="F438" s="36"/>
      <c r="G438" s="36"/>
      <c r="H438" s="36"/>
      <c r="I438" s="36"/>
      <c r="J438" s="36"/>
      <c r="K438" s="36"/>
      <c r="L438" s="36"/>
      <c r="M438" s="36"/>
      <c r="N438" s="10"/>
      <c r="O438" s="10"/>
      <c r="P438" s="10"/>
      <c r="Q438" s="22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0"/>
      <c r="B439" s="16"/>
      <c r="C439" s="10"/>
      <c r="D439" s="11"/>
      <c r="E439" s="36"/>
      <c r="F439" s="36"/>
      <c r="G439" s="36"/>
      <c r="H439" s="36"/>
      <c r="I439" s="36"/>
      <c r="J439" s="36"/>
      <c r="K439" s="36"/>
      <c r="L439" s="36"/>
      <c r="M439" s="36"/>
      <c r="N439" s="10"/>
      <c r="O439" s="10"/>
      <c r="P439" s="10"/>
      <c r="Q439" s="22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0"/>
      <c r="B440" s="16"/>
      <c r="C440" s="10"/>
      <c r="D440" s="11"/>
      <c r="E440" s="36"/>
      <c r="F440" s="36"/>
      <c r="G440" s="36"/>
      <c r="H440" s="36"/>
      <c r="I440" s="36"/>
      <c r="J440" s="36"/>
      <c r="K440" s="36"/>
      <c r="L440" s="36"/>
      <c r="M440" s="36"/>
      <c r="N440" s="10"/>
      <c r="O440" s="10"/>
      <c r="P440" s="10"/>
      <c r="Q440" s="22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0"/>
      <c r="B441" s="16"/>
      <c r="C441" s="10"/>
      <c r="D441" s="11"/>
      <c r="E441" s="36"/>
      <c r="F441" s="36"/>
      <c r="G441" s="36"/>
      <c r="H441" s="36"/>
      <c r="I441" s="36"/>
      <c r="J441" s="36"/>
      <c r="K441" s="36"/>
      <c r="L441" s="36"/>
      <c r="M441" s="36"/>
      <c r="N441" s="10"/>
      <c r="O441" s="10"/>
      <c r="P441" s="10"/>
      <c r="Q441" s="22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0"/>
      <c r="B442" s="16"/>
      <c r="C442" s="10"/>
      <c r="D442" s="11"/>
      <c r="E442" s="36"/>
      <c r="F442" s="36"/>
      <c r="G442" s="36"/>
      <c r="H442" s="36"/>
      <c r="I442" s="36"/>
      <c r="J442" s="36"/>
      <c r="K442" s="36"/>
      <c r="L442" s="36"/>
      <c r="M442" s="36"/>
      <c r="N442" s="10"/>
      <c r="O442" s="10"/>
      <c r="P442" s="10"/>
      <c r="Q442" s="22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0"/>
      <c r="B443" s="16"/>
      <c r="C443" s="10"/>
      <c r="D443" s="11"/>
      <c r="E443" s="36"/>
      <c r="F443" s="36"/>
      <c r="G443" s="36"/>
      <c r="H443" s="36"/>
      <c r="I443" s="36"/>
      <c r="J443" s="36"/>
      <c r="K443" s="36"/>
      <c r="L443" s="36"/>
      <c r="M443" s="36"/>
      <c r="N443" s="10"/>
      <c r="O443" s="10"/>
      <c r="P443" s="10"/>
      <c r="Q443" s="22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0"/>
      <c r="B444" s="16"/>
      <c r="C444" s="10"/>
      <c r="D444" s="11"/>
      <c r="E444" s="36"/>
      <c r="F444" s="36"/>
      <c r="G444" s="36"/>
      <c r="H444" s="36"/>
      <c r="I444" s="36"/>
      <c r="J444" s="36"/>
      <c r="K444" s="36"/>
      <c r="L444" s="36"/>
      <c r="M444" s="36"/>
      <c r="N444" s="10"/>
      <c r="O444" s="10"/>
      <c r="P444" s="10"/>
      <c r="Q444" s="22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0"/>
      <c r="B445" s="16"/>
      <c r="C445" s="10"/>
      <c r="D445" s="11"/>
      <c r="E445" s="36"/>
      <c r="F445" s="36"/>
      <c r="G445" s="36"/>
      <c r="H445" s="36"/>
      <c r="I445" s="36"/>
      <c r="J445" s="36"/>
      <c r="K445" s="36"/>
      <c r="L445" s="36"/>
      <c r="M445" s="36"/>
      <c r="N445" s="10"/>
      <c r="O445" s="10"/>
      <c r="P445" s="10"/>
      <c r="Q445" s="22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0"/>
      <c r="B446" s="16"/>
      <c r="C446" s="10"/>
      <c r="D446" s="11"/>
      <c r="E446" s="36"/>
      <c r="F446" s="36"/>
      <c r="G446" s="36"/>
      <c r="H446" s="36"/>
      <c r="I446" s="36"/>
      <c r="J446" s="36"/>
      <c r="K446" s="36"/>
      <c r="L446" s="36"/>
      <c r="M446" s="36"/>
      <c r="N446" s="10"/>
      <c r="O446" s="10"/>
      <c r="P446" s="10"/>
      <c r="Q446" s="22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0"/>
      <c r="B447" s="16"/>
      <c r="C447" s="10"/>
      <c r="D447" s="11"/>
      <c r="E447" s="36"/>
      <c r="F447" s="36"/>
      <c r="G447" s="36"/>
      <c r="H447" s="36"/>
      <c r="I447" s="36"/>
      <c r="J447" s="36"/>
      <c r="K447" s="36"/>
      <c r="L447" s="36"/>
      <c r="M447" s="36"/>
      <c r="N447" s="10"/>
      <c r="O447" s="10"/>
      <c r="P447" s="10"/>
      <c r="Q447" s="22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0"/>
      <c r="B448" s="16"/>
      <c r="C448" s="10"/>
      <c r="D448" s="11"/>
      <c r="E448" s="36"/>
      <c r="F448" s="36"/>
      <c r="G448" s="36"/>
      <c r="H448" s="36"/>
      <c r="I448" s="36"/>
      <c r="J448" s="36"/>
      <c r="K448" s="36"/>
      <c r="L448" s="36"/>
      <c r="M448" s="36"/>
      <c r="N448" s="10"/>
      <c r="O448" s="10"/>
      <c r="P448" s="10"/>
      <c r="Q448" s="22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0"/>
      <c r="B449" s="16"/>
      <c r="C449" s="10"/>
      <c r="D449" s="11"/>
      <c r="E449" s="36"/>
      <c r="F449" s="36"/>
      <c r="G449" s="36"/>
      <c r="H449" s="36"/>
      <c r="I449" s="36"/>
      <c r="J449" s="36"/>
      <c r="K449" s="36"/>
      <c r="L449" s="36"/>
      <c r="M449" s="36"/>
      <c r="N449" s="10"/>
      <c r="O449" s="10"/>
      <c r="P449" s="10"/>
      <c r="Q449" s="22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0"/>
      <c r="B450" s="16"/>
      <c r="C450" s="10"/>
      <c r="D450" s="11"/>
      <c r="E450" s="36"/>
      <c r="F450" s="36"/>
      <c r="G450" s="36"/>
      <c r="H450" s="36"/>
      <c r="I450" s="36"/>
      <c r="J450" s="36"/>
      <c r="K450" s="36"/>
      <c r="L450" s="36"/>
      <c r="M450" s="36"/>
      <c r="N450" s="10"/>
      <c r="O450" s="10"/>
      <c r="P450" s="10"/>
      <c r="Q450" s="22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0"/>
      <c r="B451" s="16"/>
      <c r="C451" s="10"/>
      <c r="D451" s="11"/>
      <c r="E451" s="36"/>
      <c r="F451" s="36"/>
      <c r="G451" s="36"/>
      <c r="H451" s="36"/>
      <c r="I451" s="36"/>
      <c r="J451" s="36"/>
      <c r="K451" s="36"/>
      <c r="L451" s="36"/>
      <c r="M451" s="36"/>
      <c r="N451" s="10"/>
      <c r="O451" s="10"/>
      <c r="P451" s="10"/>
      <c r="Q451" s="22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0"/>
      <c r="B452" s="16"/>
      <c r="C452" s="10"/>
      <c r="D452" s="11"/>
      <c r="E452" s="36"/>
      <c r="F452" s="36"/>
      <c r="G452" s="36"/>
      <c r="H452" s="36"/>
      <c r="I452" s="36"/>
      <c r="J452" s="36"/>
      <c r="K452" s="36"/>
      <c r="L452" s="36"/>
      <c r="M452" s="36"/>
      <c r="N452" s="10"/>
      <c r="O452" s="10"/>
      <c r="P452" s="10"/>
      <c r="Q452" s="22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0"/>
      <c r="B453" s="16"/>
      <c r="C453" s="10"/>
      <c r="D453" s="11"/>
      <c r="E453" s="36"/>
      <c r="F453" s="36"/>
      <c r="G453" s="36"/>
      <c r="H453" s="36"/>
      <c r="I453" s="36"/>
      <c r="J453" s="36"/>
      <c r="K453" s="36"/>
      <c r="L453" s="36"/>
      <c r="M453" s="36"/>
      <c r="N453" s="10"/>
      <c r="O453" s="10"/>
      <c r="P453" s="10"/>
      <c r="Q453" s="22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0"/>
      <c r="B454" s="16"/>
      <c r="C454" s="10"/>
      <c r="D454" s="11"/>
      <c r="E454" s="36"/>
      <c r="F454" s="36"/>
      <c r="G454" s="36"/>
      <c r="H454" s="36"/>
      <c r="I454" s="36"/>
      <c r="J454" s="36"/>
      <c r="K454" s="36"/>
      <c r="L454" s="36"/>
      <c r="M454" s="36"/>
      <c r="N454" s="10"/>
      <c r="O454" s="10"/>
      <c r="P454" s="10"/>
      <c r="Q454" s="22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0"/>
      <c r="B455" s="16"/>
      <c r="C455" s="10"/>
      <c r="D455" s="11"/>
      <c r="E455" s="36"/>
      <c r="F455" s="36"/>
      <c r="G455" s="36"/>
      <c r="H455" s="36"/>
      <c r="I455" s="36"/>
      <c r="J455" s="36"/>
      <c r="K455" s="36"/>
      <c r="L455" s="36"/>
      <c r="M455" s="36"/>
      <c r="N455" s="10"/>
      <c r="O455" s="10"/>
      <c r="P455" s="10"/>
      <c r="Q455" s="22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0"/>
      <c r="B456" s="16"/>
      <c r="C456" s="10"/>
      <c r="D456" s="11"/>
      <c r="E456" s="36"/>
      <c r="F456" s="36"/>
      <c r="G456" s="36"/>
      <c r="H456" s="36"/>
      <c r="I456" s="36"/>
      <c r="J456" s="36"/>
      <c r="K456" s="36"/>
      <c r="L456" s="36"/>
      <c r="M456" s="36"/>
      <c r="N456" s="10"/>
      <c r="O456" s="10"/>
      <c r="P456" s="10"/>
      <c r="Q456" s="22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0"/>
      <c r="B457" s="16"/>
      <c r="C457" s="10"/>
      <c r="D457" s="11"/>
      <c r="E457" s="36"/>
      <c r="F457" s="36"/>
      <c r="G457" s="36"/>
      <c r="H457" s="36"/>
      <c r="I457" s="36"/>
      <c r="J457" s="36"/>
      <c r="K457" s="36"/>
      <c r="L457" s="36"/>
      <c r="M457" s="36"/>
      <c r="N457" s="10"/>
      <c r="O457" s="10"/>
      <c r="P457" s="10"/>
      <c r="Q457" s="22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0"/>
      <c r="B458" s="16"/>
      <c r="C458" s="10"/>
      <c r="D458" s="11"/>
      <c r="E458" s="36"/>
      <c r="F458" s="36"/>
      <c r="G458" s="36"/>
      <c r="H458" s="36"/>
      <c r="I458" s="36"/>
      <c r="J458" s="36"/>
      <c r="K458" s="36"/>
      <c r="L458" s="36"/>
      <c r="M458" s="36"/>
      <c r="N458" s="10"/>
      <c r="O458" s="10"/>
      <c r="P458" s="10"/>
      <c r="Q458" s="22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0"/>
      <c r="B459" s="16"/>
      <c r="C459" s="10"/>
      <c r="D459" s="11"/>
      <c r="E459" s="36"/>
      <c r="F459" s="36"/>
      <c r="G459" s="36"/>
      <c r="H459" s="36"/>
      <c r="I459" s="36"/>
      <c r="J459" s="36"/>
      <c r="K459" s="36"/>
      <c r="L459" s="36"/>
      <c r="M459" s="36"/>
      <c r="N459" s="10"/>
      <c r="O459" s="10"/>
      <c r="P459" s="10"/>
      <c r="Q459" s="22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0"/>
      <c r="B460" s="16"/>
      <c r="C460" s="10"/>
      <c r="D460" s="11"/>
      <c r="E460" s="36"/>
      <c r="F460" s="36"/>
      <c r="G460" s="36"/>
      <c r="H460" s="36"/>
      <c r="I460" s="36"/>
      <c r="J460" s="36"/>
      <c r="K460" s="36"/>
      <c r="L460" s="36"/>
      <c r="M460" s="36"/>
      <c r="N460" s="10"/>
      <c r="O460" s="10"/>
      <c r="P460" s="10"/>
      <c r="Q460" s="22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0"/>
      <c r="B461" s="16"/>
      <c r="C461" s="10"/>
      <c r="D461" s="11"/>
      <c r="E461" s="36"/>
      <c r="F461" s="36"/>
      <c r="G461" s="36"/>
      <c r="H461" s="36"/>
      <c r="I461" s="36"/>
      <c r="J461" s="36"/>
      <c r="K461" s="36"/>
      <c r="L461" s="36"/>
      <c r="M461" s="36"/>
      <c r="N461" s="10"/>
      <c r="O461" s="10"/>
      <c r="P461" s="10"/>
      <c r="Q461" s="22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0"/>
      <c r="B462" s="16"/>
      <c r="C462" s="10"/>
      <c r="D462" s="11"/>
      <c r="E462" s="36"/>
      <c r="F462" s="36"/>
      <c r="G462" s="36"/>
      <c r="H462" s="36"/>
      <c r="I462" s="36"/>
      <c r="J462" s="36"/>
      <c r="K462" s="36"/>
      <c r="L462" s="36"/>
      <c r="M462" s="36"/>
      <c r="N462" s="10"/>
      <c r="O462" s="10"/>
      <c r="P462" s="10"/>
      <c r="Q462" s="22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0"/>
      <c r="B463" s="16"/>
      <c r="C463" s="10"/>
      <c r="D463" s="11"/>
      <c r="E463" s="36"/>
      <c r="F463" s="36"/>
      <c r="G463" s="36"/>
      <c r="H463" s="36"/>
      <c r="I463" s="36"/>
      <c r="J463" s="36"/>
      <c r="K463" s="36"/>
      <c r="L463" s="36"/>
      <c r="M463" s="36"/>
      <c r="N463" s="10"/>
      <c r="O463" s="10"/>
      <c r="P463" s="10"/>
      <c r="Q463" s="22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0"/>
      <c r="B464" s="16"/>
      <c r="C464" s="10"/>
      <c r="D464" s="11"/>
      <c r="E464" s="36"/>
      <c r="F464" s="36"/>
      <c r="G464" s="36"/>
      <c r="H464" s="36"/>
      <c r="I464" s="36"/>
      <c r="J464" s="36"/>
      <c r="K464" s="36"/>
      <c r="L464" s="36"/>
      <c r="M464" s="36"/>
      <c r="N464" s="10"/>
      <c r="O464" s="10"/>
      <c r="P464" s="10"/>
      <c r="Q464" s="22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0"/>
      <c r="B465" s="16"/>
      <c r="C465" s="10"/>
      <c r="D465" s="11"/>
      <c r="E465" s="36"/>
      <c r="F465" s="36"/>
      <c r="G465" s="36"/>
      <c r="H465" s="36"/>
      <c r="I465" s="36"/>
      <c r="J465" s="36"/>
      <c r="K465" s="36"/>
      <c r="L465" s="36"/>
      <c r="M465" s="36"/>
      <c r="N465" s="10"/>
      <c r="O465" s="10"/>
      <c r="P465" s="10"/>
      <c r="Q465" s="22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0"/>
      <c r="B466" s="16"/>
      <c r="C466" s="10"/>
      <c r="D466" s="11"/>
      <c r="E466" s="36"/>
      <c r="F466" s="36"/>
      <c r="G466" s="36"/>
      <c r="H466" s="36"/>
      <c r="I466" s="36"/>
      <c r="J466" s="36"/>
      <c r="K466" s="36"/>
      <c r="L466" s="36"/>
      <c r="M466" s="36"/>
      <c r="N466" s="10"/>
      <c r="O466" s="10"/>
      <c r="P466" s="10"/>
      <c r="Q466" s="22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0"/>
      <c r="B467" s="16"/>
      <c r="C467" s="10"/>
      <c r="D467" s="11"/>
      <c r="E467" s="36"/>
      <c r="F467" s="36"/>
      <c r="G467" s="36"/>
      <c r="H467" s="36"/>
      <c r="I467" s="36"/>
      <c r="J467" s="36"/>
      <c r="K467" s="36"/>
      <c r="L467" s="36"/>
      <c r="M467" s="36"/>
      <c r="N467" s="10"/>
      <c r="O467" s="10"/>
      <c r="P467" s="10"/>
      <c r="Q467" s="22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0"/>
      <c r="B468" s="16"/>
      <c r="C468" s="10"/>
      <c r="D468" s="11"/>
      <c r="E468" s="36"/>
      <c r="F468" s="36"/>
      <c r="G468" s="36"/>
      <c r="H468" s="36"/>
      <c r="I468" s="36"/>
      <c r="J468" s="36"/>
      <c r="K468" s="36"/>
      <c r="L468" s="36"/>
      <c r="M468" s="36"/>
      <c r="N468" s="10"/>
      <c r="O468" s="10"/>
      <c r="P468" s="10"/>
      <c r="Q468" s="22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0"/>
      <c r="B469" s="16"/>
      <c r="C469" s="10"/>
      <c r="D469" s="11"/>
      <c r="E469" s="36"/>
      <c r="F469" s="36"/>
      <c r="G469" s="36"/>
      <c r="H469" s="36"/>
      <c r="I469" s="36"/>
      <c r="J469" s="36"/>
      <c r="K469" s="36"/>
      <c r="L469" s="36"/>
      <c r="M469" s="36"/>
      <c r="N469" s="10"/>
      <c r="O469" s="10"/>
      <c r="P469" s="10"/>
      <c r="Q469" s="22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0"/>
      <c r="B470" s="16"/>
      <c r="C470" s="10"/>
      <c r="D470" s="11"/>
      <c r="E470" s="36"/>
      <c r="F470" s="36"/>
      <c r="G470" s="36"/>
      <c r="H470" s="36"/>
      <c r="I470" s="36"/>
      <c r="J470" s="36"/>
      <c r="K470" s="36"/>
      <c r="L470" s="36"/>
      <c r="M470" s="36"/>
      <c r="N470" s="10"/>
      <c r="O470" s="10"/>
      <c r="P470" s="10"/>
      <c r="Q470" s="22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0"/>
      <c r="B471" s="16"/>
      <c r="C471" s="10"/>
      <c r="D471" s="11"/>
      <c r="E471" s="36"/>
      <c r="F471" s="36"/>
      <c r="G471" s="36"/>
      <c r="H471" s="36"/>
      <c r="I471" s="36"/>
      <c r="J471" s="36"/>
      <c r="K471" s="36"/>
      <c r="L471" s="36"/>
      <c r="M471" s="36"/>
      <c r="N471" s="10"/>
      <c r="O471" s="10"/>
      <c r="P471" s="10"/>
      <c r="Q471" s="22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0"/>
      <c r="B472" s="16"/>
      <c r="C472" s="10"/>
      <c r="D472" s="11"/>
      <c r="E472" s="36"/>
      <c r="F472" s="36"/>
      <c r="G472" s="36"/>
      <c r="H472" s="36"/>
      <c r="I472" s="36"/>
      <c r="J472" s="36"/>
      <c r="K472" s="36"/>
      <c r="L472" s="36"/>
      <c r="M472" s="36"/>
      <c r="N472" s="10"/>
      <c r="O472" s="10"/>
      <c r="P472" s="10"/>
      <c r="Q472" s="22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0"/>
      <c r="B473" s="16"/>
      <c r="C473" s="10"/>
      <c r="D473" s="11"/>
      <c r="E473" s="36"/>
      <c r="F473" s="36"/>
      <c r="G473" s="36"/>
      <c r="H473" s="36"/>
      <c r="I473" s="36"/>
      <c r="J473" s="36"/>
      <c r="K473" s="36"/>
      <c r="L473" s="36"/>
      <c r="M473" s="36"/>
      <c r="N473" s="10"/>
      <c r="O473" s="10"/>
      <c r="P473" s="10"/>
      <c r="Q473" s="22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0"/>
      <c r="B474" s="16"/>
      <c r="C474" s="10"/>
      <c r="D474" s="11"/>
      <c r="E474" s="36"/>
      <c r="F474" s="36"/>
      <c r="G474" s="36"/>
      <c r="H474" s="36"/>
      <c r="I474" s="36"/>
      <c r="J474" s="36"/>
      <c r="K474" s="36"/>
      <c r="L474" s="36"/>
      <c r="M474" s="36"/>
      <c r="N474" s="10"/>
      <c r="O474" s="10"/>
      <c r="P474" s="10"/>
      <c r="Q474" s="22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0"/>
      <c r="B475" s="16"/>
      <c r="C475" s="10"/>
      <c r="D475" s="11"/>
      <c r="E475" s="36"/>
      <c r="F475" s="36"/>
      <c r="G475" s="36"/>
      <c r="H475" s="36"/>
      <c r="I475" s="36"/>
      <c r="J475" s="36"/>
      <c r="K475" s="36"/>
      <c r="L475" s="36"/>
      <c r="M475" s="36"/>
      <c r="N475" s="10"/>
      <c r="O475" s="10"/>
      <c r="P475" s="10"/>
      <c r="Q475" s="22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0"/>
      <c r="B476" s="16"/>
      <c r="C476" s="10"/>
      <c r="D476" s="11"/>
      <c r="E476" s="36"/>
      <c r="F476" s="36"/>
      <c r="G476" s="36"/>
      <c r="H476" s="36"/>
      <c r="I476" s="36"/>
      <c r="J476" s="36"/>
      <c r="K476" s="36"/>
      <c r="L476" s="36"/>
      <c r="M476" s="36"/>
      <c r="N476" s="10"/>
      <c r="O476" s="10"/>
      <c r="P476" s="10"/>
      <c r="Q476" s="22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0"/>
      <c r="B477" s="16"/>
      <c r="C477" s="10"/>
      <c r="D477" s="11"/>
      <c r="E477" s="36"/>
      <c r="F477" s="36"/>
      <c r="G477" s="36"/>
      <c r="H477" s="36"/>
      <c r="I477" s="36"/>
      <c r="J477" s="36"/>
      <c r="K477" s="36"/>
      <c r="L477" s="36"/>
      <c r="M477" s="36"/>
      <c r="N477" s="10"/>
      <c r="O477" s="10"/>
      <c r="P477" s="10"/>
      <c r="Q477" s="22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0"/>
      <c r="B478" s="16"/>
      <c r="C478" s="10"/>
      <c r="D478" s="11"/>
      <c r="E478" s="36"/>
      <c r="F478" s="36"/>
      <c r="G478" s="36"/>
      <c r="H478" s="36"/>
      <c r="I478" s="36"/>
      <c r="J478" s="36"/>
      <c r="K478" s="36"/>
      <c r="L478" s="36"/>
      <c r="M478" s="36"/>
      <c r="N478" s="10"/>
      <c r="O478" s="10"/>
      <c r="P478" s="10"/>
      <c r="Q478" s="22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0"/>
      <c r="B479" s="16"/>
      <c r="C479" s="10"/>
      <c r="D479" s="11"/>
      <c r="E479" s="36"/>
      <c r="F479" s="36"/>
      <c r="G479" s="36"/>
      <c r="H479" s="36"/>
      <c r="I479" s="36"/>
      <c r="J479" s="36"/>
      <c r="K479" s="36"/>
      <c r="L479" s="36"/>
      <c r="M479" s="36"/>
      <c r="N479" s="10"/>
      <c r="O479" s="10"/>
      <c r="P479" s="10"/>
      <c r="Q479" s="22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0"/>
      <c r="B480" s="16"/>
      <c r="C480" s="10"/>
      <c r="D480" s="11"/>
      <c r="E480" s="36"/>
      <c r="F480" s="36"/>
      <c r="G480" s="36"/>
      <c r="H480" s="36"/>
      <c r="I480" s="36"/>
      <c r="J480" s="36"/>
      <c r="K480" s="36"/>
      <c r="L480" s="36"/>
      <c r="M480" s="36"/>
      <c r="N480" s="10"/>
      <c r="O480" s="10"/>
      <c r="P480" s="10"/>
      <c r="Q480" s="22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0"/>
      <c r="B481" s="16"/>
      <c r="C481" s="10"/>
      <c r="D481" s="11"/>
      <c r="E481" s="36"/>
      <c r="F481" s="36"/>
      <c r="G481" s="36"/>
      <c r="H481" s="36"/>
      <c r="I481" s="36"/>
      <c r="J481" s="36"/>
      <c r="K481" s="36"/>
      <c r="L481" s="36"/>
      <c r="M481" s="36"/>
      <c r="N481" s="10"/>
      <c r="O481" s="10"/>
      <c r="P481" s="10"/>
      <c r="Q481" s="22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0"/>
      <c r="B482" s="16"/>
      <c r="C482" s="10"/>
      <c r="D482" s="11"/>
      <c r="E482" s="36"/>
      <c r="F482" s="36"/>
      <c r="G482" s="36"/>
      <c r="H482" s="36"/>
      <c r="I482" s="36"/>
      <c r="J482" s="36"/>
      <c r="K482" s="36"/>
      <c r="L482" s="36"/>
      <c r="M482" s="36"/>
      <c r="N482" s="10"/>
      <c r="O482" s="10"/>
      <c r="P482" s="10"/>
      <c r="Q482" s="22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0"/>
      <c r="B483" s="16"/>
      <c r="C483" s="10"/>
      <c r="D483" s="11"/>
      <c r="E483" s="36"/>
      <c r="F483" s="36"/>
      <c r="G483" s="36"/>
      <c r="H483" s="36"/>
      <c r="I483" s="36"/>
      <c r="J483" s="36"/>
      <c r="K483" s="36"/>
      <c r="L483" s="36"/>
      <c r="M483" s="36"/>
      <c r="N483" s="10"/>
      <c r="O483" s="10"/>
      <c r="P483" s="10"/>
      <c r="Q483" s="22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0"/>
      <c r="B484" s="16"/>
      <c r="C484" s="10"/>
      <c r="D484" s="11"/>
      <c r="E484" s="36"/>
      <c r="F484" s="36"/>
      <c r="G484" s="36"/>
      <c r="H484" s="36"/>
      <c r="I484" s="36"/>
      <c r="J484" s="36"/>
      <c r="K484" s="36"/>
      <c r="L484" s="36"/>
      <c r="M484" s="36"/>
      <c r="N484" s="10"/>
      <c r="O484" s="10"/>
      <c r="P484" s="10"/>
      <c r="Q484" s="22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0"/>
      <c r="B485" s="16"/>
      <c r="C485" s="10"/>
      <c r="D485" s="11"/>
      <c r="E485" s="36"/>
      <c r="F485" s="36"/>
      <c r="G485" s="36"/>
      <c r="H485" s="36"/>
      <c r="I485" s="36"/>
      <c r="J485" s="36"/>
      <c r="K485" s="36"/>
      <c r="L485" s="36"/>
      <c r="M485" s="36"/>
      <c r="N485" s="10"/>
      <c r="O485" s="10"/>
      <c r="P485" s="10"/>
      <c r="Q485" s="22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0"/>
      <c r="B486" s="16"/>
      <c r="C486" s="10"/>
      <c r="D486" s="11"/>
      <c r="E486" s="36"/>
      <c r="F486" s="36"/>
      <c r="G486" s="36"/>
      <c r="H486" s="36"/>
      <c r="I486" s="36"/>
      <c r="J486" s="36"/>
      <c r="K486" s="36"/>
      <c r="L486" s="36"/>
      <c r="M486" s="36"/>
      <c r="N486" s="10"/>
      <c r="O486" s="10"/>
      <c r="P486" s="10"/>
      <c r="Q486" s="22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0"/>
      <c r="B487" s="16"/>
      <c r="C487" s="10"/>
      <c r="D487" s="11"/>
      <c r="E487" s="36"/>
      <c r="F487" s="36"/>
      <c r="G487" s="36"/>
      <c r="H487" s="36"/>
      <c r="I487" s="36"/>
      <c r="J487" s="36"/>
      <c r="K487" s="36"/>
      <c r="L487" s="36"/>
      <c r="M487" s="36"/>
      <c r="N487" s="10"/>
      <c r="O487" s="10"/>
      <c r="P487" s="10"/>
      <c r="Q487" s="22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0"/>
      <c r="B488" s="16"/>
      <c r="C488" s="10"/>
      <c r="D488" s="11"/>
      <c r="E488" s="36"/>
      <c r="F488" s="36"/>
      <c r="G488" s="36"/>
      <c r="H488" s="36"/>
      <c r="I488" s="36"/>
      <c r="J488" s="36"/>
      <c r="K488" s="36"/>
      <c r="L488" s="36"/>
      <c r="M488" s="36"/>
      <c r="N488" s="10"/>
      <c r="O488" s="10"/>
      <c r="P488" s="10"/>
      <c r="Q488" s="22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0"/>
      <c r="B489" s="16"/>
      <c r="C489" s="10"/>
      <c r="D489" s="11"/>
      <c r="E489" s="36"/>
      <c r="F489" s="36"/>
      <c r="G489" s="36"/>
      <c r="H489" s="36"/>
      <c r="I489" s="36"/>
      <c r="J489" s="36"/>
      <c r="K489" s="36"/>
      <c r="L489" s="36"/>
      <c r="M489" s="36"/>
      <c r="N489" s="10"/>
      <c r="O489" s="10"/>
      <c r="P489" s="10"/>
      <c r="Q489" s="22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0"/>
      <c r="B490" s="16"/>
      <c r="C490" s="10"/>
      <c r="D490" s="11"/>
      <c r="E490" s="36"/>
      <c r="F490" s="36"/>
      <c r="G490" s="36"/>
      <c r="H490" s="36"/>
      <c r="I490" s="36"/>
      <c r="J490" s="36"/>
      <c r="K490" s="36"/>
      <c r="L490" s="36"/>
      <c r="M490" s="36"/>
      <c r="N490" s="10"/>
      <c r="O490" s="10"/>
      <c r="P490" s="10"/>
      <c r="Q490" s="22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0"/>
      <c r="B491" s="16"/>
      <c r="C491" s="10"/>
      <c r="D491" s="11"/>
      <c r="E491" s="36"/>
      <c r="F491" s="36"/>
      <c r="G491" s="36"/>
      <c r="H491" s="36"/>
      <c r="I491" s="36"/>
      <c r="J491" s="36"/>
      <c r="K491" s="36"/>
      <c r="L491" s="36"/>
      <c r="M491" s="36"/>
      <c r="N491" s="10"/>
      <c r="O491" s="10"/>
      <c r="P491" s="10"/>
      <c r="Q491" s="22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0"/>
      <c r="B492" s="16"/>
      <c r="C492" s="10"/>
      <c r="D492" s="11"/>
      <c r="E492" s="36"/>
      <c r="F492" s="36"/>
      <c r="G492" s="36"/>
      <c r="H492" s="36"/>
      <c r="I492" s="36"/>
      <c r="J492" s="36"/>
      <c r="K492" s="36"/>
      <c r="L492" s="36"/>
      <c r="M492" s="36"/>
      <c r="N492" s="10"/>
      <c r="O492" s="10"/>
      <c r="P492" s="10"/>
      <c r="Q492" s="22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0"/>
      <c r="B493" s="16"/>
      <c r="C493" s="10"/>
      <c r="D493" s="11"/>
      <c r="E493" s="36"/>
      <c r="F493" s="36"/>
      <c r="G493" s="36"/>
      <c r="H493" s="36"/>
      <c r="I493" s="36"/>
      <c r="J493" s="36"/>
      <c r="K493" s="36"/>
      <c r="L493" s="36"/>
      <c r="M493" s="36"/>
      <c r="N493" s="10"/>
      <c r="O493" s="10"/>
      <c r="P493" s="10"/>
      <c r="Q493" s="22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0"/>
      <c r="B494" s="16"/>
      <c r="C494" s="10"/>
      <c r="D494" s="11"/>
      <c r="E494" s="36"/>
      <c r="F494" s="36"/>
      <c r="G494" s="36"/>
      <c r="H494" s="36"/>
      <c r="I494" s="36"/>
      <c r="J494" s="36"/>
      <c r="K494" s="36"/>
      <c r="L494" s="36"/>
      <c r="M494" s="36"/>
      <c r="N494" s="10"/>
      <c r="O494" s="10"/>
      <c r="P494" s="10"/>
      <c r="Q494" s="22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0"/>
      <c r="B495" s="16"/>
      <c r="C495" s="10"/>
      <c r="D495" s="11"/>
      <c r="E495" s="36"/>
      <c r="F495" s="36"/>
      <c r="G495" s="36"/>
      <c r="H495" s="36"/>
      <c r="I495" s="36"/>
      <c r="J495" s="36"/>
      <c r="K495" s="36"/>
      <c r="L495" s="36"/>
      <c r="M495" s="36"/>
      <c r="N495" s="10"/>
      <c r="O495" s="10"/>
      <c r="P495" s="10"/>
      <c r="Q495" s="22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0"/>
      <c r="B496" s="16"/>
      <c r="C496" s="10"/>
      <c r="D496" s="11"/>
      <c r="E496" s="36"/>
      <c r="F496" s="36"/>
      <c r="G496" s="36"/>
      <c r="H496" s="36"/>
      <c r="I496" s="36"/>
      <c r="J496" s="36"/>
      <c r="K496" s="36"/>
      <c r="L496" s="36"/>
      <c r="M496" s="36"/>
      <c r="N496" s="10"/>
      <c r="O496" s="10"/>
      <c r="P496" s="10"/>
      <c r="Q496" s="22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0"/>
      <c r="B497" s="16"/>
      <c r="C497" s="10"/>
      <c r="D497" s="11"/>
      <c r="E497" s="36"/>
      <c r="F497" s="36"/>
      <c r="G497" s="36"/>
      <c r="H497" s="36"/>
      <c r="I497" s="36"/>
      <c r="J497" s="36"/>
      <c r="K497" s="36"/>
      <c r="L497" s="36"/>
      <c r="M497" s="36"/>
      <c r="N497" s="10"/>
      <c r="O497" s="10"/>
      <c r="P497" s="10"/>
      <c r="Q497" s="22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0"/>
      <c r="B498" s="16"/>
      <c r="C498" s="10"/>
      <c r="D498" s="11"/>
      <c r="E498" s="36"/>
      <c r="F498" s="36"/>
      <c r="G498" s="36"/>
      <c r="H498" s="36"/>
      <c r="I498" s="36"/>
      <c r="J498" s="36"/>
      <c r="K498" s="36"/>
      <c r="L498" s="36"/>
      <c r="M498" s="36"/>
      <c r="N498" s="10"/>
      <c r="O498" s="10"/>
      <c r="P498" s="10"/>
      <c r="Q498" s="22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0"/>
      <c r="B499" s="16"/>
      <c r="C499" s="10"/>
      <c r="D499" s="11"/>
      <c r="E499" s="36"/>
      <c r="F499" s="36"/>
      <c r="G499" s="36"/>
      <c r="H499" s="36"/>
      <c r="I499" s="36"/>
      <c r="J499" s="36"/>
      <c r="K499" s="36"/>
      <c r="L499" s="36"/>
      <c r="M499" s="36"/>
      <c r="N499" s="10"/>
      <c r="O499" s="10"/>
      <c r="P499" s="10"/>
      <c r="Q499" s="22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0"/>
      <c r="B500" s="16"/>
      <c r="C500" s="10"/>
      <c r="D500" s="11"/>
      <c r="E500" s="36"/>
      <c r="F500" s="36"/>
      <c r="G500" s="36"/>
      <c r="H500" s="36"/>
      <c r="I500" s="36"/>
      <c r="J500" s="36"/>
      <c r="K500" s="36"/>
      <c r="L500" s="36"/>
      <c r="M500" s="36"/>
      <c r="N500" s="10"/>
      <c r="O500" s="10"/>
      <c r="P500" s="10"/>
      <c r="Q500" s="22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0"/>
      <c r="B501" s="16"/>
      <c r="C501" s="10"/>
      <c r="D501" s="11"/>
      <c r="E501" s="36"/>
      <c r="F501" s="36"/>
      <c r="G501" s="36"/>
      <c r="H501" s="36"/>
      <c r="I501" s="36"/>
      <c r="J501" s="36"/>
      <c r="K501" s="36"/>
      <c r="L501" s="36"/>
      <c r="M501" s="36"/>
      <c r="N501" s="10"/>
      <c r="O501" s="10"/>
      <c r="P501" s="10"/>
      <c r="Q501" s="22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0"/>
      <c r="B502" s="16"/>
      <c r="C502" s="10"/>
      <c r="D502" s="11"/>
      <c r="E502" s="36"/>
      <c r="F502" s="36"/>
      <c r="G502" s="36"/>
      <c r="H502" s="36"/>
      <c r="I502" s="36"/>
      <c r="J502" s="36"/>
      <c r="K502" s="36"/>
      <c r="L502" s="36"/>
      <c r="M502" s="36"/>
      <c r="N502" s="10"/>
      <c r="O502" s="10"/>
      <c r="P502" s="10"/>
      <c r="Q502" s="22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0"/>
      <c r="B503" s="16"/>
      <c r="C503" s="10"/>
      <c r="D503" s="11"/>
      <c r="E503" s="36"/>
      <c r="F503" s="36"/>
      <c r="G503" s="36"/>
      <c r="H503" s="36"/>
      <c r="I503" s="36"/>
      <c r="J503" s="36"/>
      <c r="K503" s="36"/>
      <c r="L503" s="36"/>
      <c r="M503" s="36"/>
      <c r="N503" s="10"/>
      <c r="O503" s="10"/>
      <c r="P503" s="10"/>
      <c r="Q503" s="22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0"/>
      <c r="B504" s="16"/>
      <c r="C504" s="10"/>
      <c r="D504" s="11"/>
      <c r="E504" s="36"/>
      <c r="F504" s="36"/>
      <c r="G504" s="36"/>
      <c r="H504" s="36"/>
      <c r="I504" s="36"/>
      <c r="J504" s="36"/>
      <c r="K504" s="36"/>
      <c r="L504" s="36"/>
      <c r="M504" s="36"/>
      <c r="N504" s="10"/>
      <c r="O504" s="10"/>
      <c r="P504" s="10"/>
      <c r="Q504" s="22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0"/>
      <c r="B505" s="16"/>
      <c r="C505" s="10"/>
      <c r="D505" s="11"/>
      <c r="E505" s="36"/>
      <c r="F505" s="36"/>
      <c r="G505" s="36"/>
      <c r="H505" s="36"/>
      <c r="I505" s="36"/>
      <c r="J505" s="36"/>
      <c r="K505" s="36"/>
      <c r="L505" s="36"/>
      <c r="M505" s="36"/>
      <c r="N505" s="10"/>
      <c r="O505" s="10"/>
      <c r="P505" s="10"/>
      <c r="Q505" s="22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0"/>
      <c r="B506" s="16"/>
      <c r="C506" s="10"/>
      <c r="D506" s="11"/>
      <c r="E506" s="36"/>
      <c r="F506" s="36"/>
      <c r="G506" s="36"/>
      <c r="H506" s="36"/>
      <c r="I506" s="36"/>
      <c r="J506" s="36"/>
      <c r="K506" s="36"/>
      <c r="L506" s="36"/>
      <c r="M506" s="36"/>
      <c r="N506" s="10"/>
      <c r="O506" s="10"/>
      <c r="P506" s="10"/>
      <c r="Q506" s="22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0"/>
      <c r="B507" s="16"/>
      <c r="C507" s="10"/>
      <c r="D507" s="11"/>
      <c r="E507" s="36"/>
      <c r="F507" s="36"/>
      <c r="G507" s="36"/>
      <c r="H507" s="36"/>
      <c r="I507" s="36"/>
      <c r="J507" s="36"/>
      <c r="K507" s="36"/>
      <c r="L507" s="36"/>
      <c r="M507" s="36"/>
      <c r="N507" s="10"/>
      <c r="O507" s="10"/>
      <c r="P507" s="10"/>
      <c r="Q507" s="22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0"/>
      <c r="B508" s="16"/>
      <c r="C508" s="10"/>
      <c r="D508" s="11"/>
      <c r="E508" s="36"/>
      <c r="F508" s="36"/>
      <c r="G508" s="36"/>
      <c r="H508" s="36"/>
      <c r="I508" s="36"/>
      <c r="J508" s="36"/>
      <c r="K508" s="36"/>
      <c r="L508" s="36"/>
      <c r="M508" s="36"/>
      <c r="N508" s="10"/>
      <c r="O508" s="10"/>
      <c r="P508" s="10"/>
      <c r="Q508" s="22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0"/>
      <c r="B509" s="16"/>
      <c r="C509" s="10"/>
      <c r="D509" s="11"/>
      <c r="E509" s="36"/>
      <c r="F509" s="36"/>
      <c r="G509" s="36"/>
      <c r="H509" s="36"/>
      <c r="I509" s="36"/>
      <c r="J509" s="36"/>
      <c r="K509" s="36"/>
      <c r="L509" s="36"/>
      <c r="M509" s="36"/>
      <c r="N509" s="10"/>
      <c r="O509" s="10"/>
      <c r="P509" s="10"/>
      <c r="Q509" s="22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0"/>
      <c r="B510" s="16"/>
      <c r="C510" s="10"/>
      <c r="D510" s="11"/>
      <c r="E510" s="36"/>
      <c r="F510" s="36"/>
      <c r="G510" s="36"/>
      <c r="H510" s="36"/>
      <c r="I510" s="36"/>
      <c r="J510" s="36"/>
      <c r="K510" s="36"/>
      <c r="L510" s="36"/>
      <c r="M510" s="36"/>
      <c r="N510" s="10"/>
      <c r="O510" s="10"/>
      <c r="P510" s="10"/>
      <c r="Q510" s="22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0"/>
      <c r="B511" s="16"/>
      <c r="C511" s="10"/>
      <c r="D511" s="11"/>
      <c r="E511" s="36"/>
      <c r="F511" s="36"/>
      <c r="G511" s="36"/>
      <c r="H511" s="36"/>
      <c r="I511" s="36"/>
      <c r="J511" s="36"/>
      <c r="K511" s="36"/>
      <c r="L511" s="36"/>
      <c r="M511" s="36"/>
      <c r="N511" s="10"/>
      <c r="O511" s="10"/>
      <c r="P511" s="10"/>
      <c r="Q511" s="22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0"/>
      <c r="B512" s="16"/>
      <c r="C512" s="10"/>
      <c r="D512" s="11"/>
      <c r="E512" s="36"/>
      <c r="F512" s="36"/>
      <c r="G512" s="36"/>
      <c r="H512" s="36"/>
      <c r="I512" s="36"/>
      <c r="J512" s="36"/>
      <c r="K512" s="36"/>
      <c r="L512" s="36"/>
      <c r="M512" s="36"/>
      <c r="N512" s="10"/>
      <c r="O512" s="10"/>
      <c r="P512" s="10"/>
      <c r="Q512" s="22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0"/>
      <c r="B513" s="16"/>
      <c r="C513" s="10"/>
      <c r="D513" s="11"/>
      <c r="E513" s="36"/>
      <c r="F513" s="36"/>
      <c r="G513" s="36"/>
      <c r="H513" s="36"/>
      <c r="I513" s="36"/>
      <c r="J513" s="36"/>
      <c r="K513" s="36"/>
      <c r="L513" s="36"/>
      <c r="M513" s="36"/>
      <c r="N513" s="10"/>
      <c r="O513" s="10"/>
      <c r="P513" s="10"/>
      <c r="Q513" s="22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0"/>
      <c r="B514" s="16"/>
      <c r="C514" s="10"/>
      <c r="D514" s="11"/>
      <c r="E514" s="36"/>
      <c r="F514" s="36"/>
      <c r="G514" s="36"/>
      <c r="H514" s="36"/>
      <c r="I514" s="36"/>
      <c r="J514" s="36"/>
      <c r="K514" s="36"/>
      <c r="L514" s="36"/>
      <c r="M514" s="36"/>
      <c r="N514" s="10"/>
      <c r="O514" s="10"/>
      <c r="P514" s="10"/>
      <c r="Q514" s="22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0"/>
      <c r="B515" s="16"/>
      <c r="C515" s="10"/>
      <c r="D515" s="11"/>
      <c r="E515" s="36"/>
      <c r="F515" s="36"/>
      <c r="G515" s="36"/>
      <c r="H515" s="36"/>
      <c r="I515" s="36"/>
      <c r="J515" s="36"/>
      <c r="K515" s="36"/>
      <c r="L515" s="36"/>
      <c r="M515" s="36"/>
      <c r="N515" s="10"/>
      <c r="O515" s="10"/>
      <c r="P515" s="10"/>
      <c r="Q515" s="22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0"/>
      <c r="B516" s="16"/>
      <c r="C516" s="10"/>
      <c r="D516" s="11"/>
      <c r="E516" s="36"/>
      <c r="F516" s="36"/>
      <c r="G516" s="36"/>
      <c r="H516" s="36"/>
      <c r="I516" s="36"/>
      <c r="J516" s="36"/>
      <c r="K516" s="36"/>
      <c r="L516" s="36"/>
      <c r="M516" s="36"/>
      <c r="N516" s="10"/>
      <c r="O516" s="10"/>
      <c r="P516" s="10"/>
      <c r="Q516" s="22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0"/>
      <c r="B517" s="16"/>
      <c r="C517" s="10"/>
      <c r="D517" s="11"/>
      <c r="E517" s="36"/>
      <c r="F517" s="36"/>
      <c r="G517" s="36"/>
      <c r="H517" s="36"/>
      <c r="I517" s="36"/>
      <c r="J517" s="36"/>
      <c r="K517" s="36"/>
      <c r="L517" s="36"/>
      <c r="M517" s="36"/>
      <c r="N517" s="10"/>
      <c r="O517" s="10"/>
      <c r="P517" s="10"/>
      <c r="Q517" s="22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0"/>
      <c r="B518" s="16"/>
      <c r="C518" s="10"/>
      <c r="D518" s="11"/>
      <c r="E518" s="36"/>
      <c r="F518" s="36"/>
      <c r="G518" s="36"/>
      <c r="H518" s="36"/>
      <c r="I518" s="36"/>
      <c r="J518" s="36"/>
      <c r="K518" s="36"/>
      <c r="L518" s="36"/>
      <c r="M518" s="36"/>
      <c r="N518" s="10"/>
      <c r="O518" s="10"/>
      <c r="P518" s="10"/>
      <c r="Q518" s="22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0"/>
      <c r="B519" s="16"/>
      <c r="C519" s="10"/>
      <c r="D519" s="11"/>
      <c r="E519" s="36"/>
      <c r="F519" s="36"/>
      <c r="G519" s="36"/>
      <c r="H519" s="36"/>
      <c r="I519" s="36"/>
      <c r="J519" s="36"/>
      <c r="K519" s="36"/>
      <c r="L519" s="36"/>
      <c r="M519" s="36"/>
      <c r="N519" s="10"/>
      <c r="O519" s="10"/>
      <c r="P519" s="10"/>
      <c r="Q519" s="22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0"/>
      <c r="B520" s="16"/>
      <c r="C520" s="10"/>
      <c r="D520" s="11"/>
      <c r="E520" s="36"/>
      <c r="F520" s="36"/>
      <c r="G520" s="36"/>
      <c r="H520" s="36"/>
      <c r="I520" s="36"/>
      <c r="J520" s="36"/>
      <c r="K520" s="36"/>
      <c r="L520" s="36"/>
      <c r="M520" s="36"/>
      <c r="N520" s="10"/>
      <c r="O520" s="10"/>
      <c r="P520" s="10"/>
      <c r="Q520" s="22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0"/>
      <c r="B521" s="16"/>
      <c r="C521" s="10"/>
      <c r="D521" s="11"/>
      <c r="E521" s="36"/>
      <c r="F521" s="36"/>
      <c r="G521" s="36"/>
      <c r="H521" s="36"/>
      <c r="I521" s="36"/>
      <c r="J521" s="36"/>
      <c r="K521" s="36"/>
      <c r="L521" s="36"/>
      <c r="M521" s="36"/>
      <c r="N521" s="10"/>
      <c r="O521" s="10"/>
      <c r="P521" s="10"/>
      <c r="Q521" s="22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0"/>
      <c r="B522" s="16"/>
      <c r="C522" s="10"/>
      <c r="D522" s="11"/>
      <c r="E522" s="36"/>
      <c r="F522" s="36"/>
      <c r="G522" s="36"/>
      <c r="H522" s="36"/>
      <c r="I522" s="36"/>
      <c r="J522" s="36"/>
      <c r="K522" s="36"/>
      <c r="L522" s="36"/>
      <c r="M522" s="36"/>
      <c r="N522" s="10"/>
      <c r="O522" s="10"/>
      <c r="P522" s="10"/>
      <c r="Q522" s="22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0"/>
      <c r="B523" s="16"/>
      <c r="C523" s="10"/>
      <c r="D523" s="11"/>
      <c r="E523" s="36"/>
      <c r="F523" s="36"/>
      <c r="G523" s="36"/>
      <c r="H523" s="36"/>
      <c r="I523" s="36"/>
      <c r="J523" s="36"/>
      <c r="K523" s="36"/>
      <c r="L523" s="36"/>
      <c r="M523" s="36"/>
      <c r="N523" s="10"/>
      <c r="O523" s="10"/>
      <c r="P523" s="10"/>
      <c r="Q523" s="22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0"/>
      <c r="B524" s="16"/>
      <c r="C524" s="10"/>
      <c r="D524" s="11"/>
      <c r="E524" s="36"/>
      <c r="F524" s="36"/>
      <c r="G524" s="36"/>
      <c r="H524" s="36"/>
      <c r="I524" s="36"/>
      <c r="J524" s="36"/>
      <c r="K524" s="36"/>
      <c r="L524" s="36"/>
      <c r="M524" s="36"/>
      <c r="N524" s="10"/>
      <c r="O524" s="10"/>
      <c r="P524" s="10"/>
      <c r="Q524" s="22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0"/>
      <c r="B525" s="16"/>
      <c r="C525" s="10"/>
      <c r="D525" s="11"/>
      <c r="E525" s="36"/>
      <c r="F525" s="36"/>
      <c r="G525" s="36"/>
      <c r="H525" s="36"/>
      <c r="I525" s="36"/>
      <c r="J525" s="36"/>
      <c r="K525" s="36"/>
      <c r="L525" s="36"/>
      <c r="M525" s="36"/>
      <c r="N525" s="10"/>
      <c r="O525" s="10"/>
      <c r="P525" s="10"/>
      <c r="Q525" s="22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0"/>
      <c r="B526" s="16"/>
      <c r="C526" s="10"/>
      <c r="D526" s="11"/>
      <c r="E526" s="36"/>
      <c r="F526" s="36"/>
      <c r="G526" s="36"/>
      <c r="H526" s="36"/>
      <c r="I526" s="36"/>
      <c r="J526" s="36"/>
      <c r="K526" s="36"/>
      <c r="L526" s="36"/>
      <c r="M526" s="36"/>
      <c r="N526" s="10"/>
      <c r="O526" s="10"/>
      <c r="P526" s="10"/>
      <c r="Q526" s="22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0"/>
      <c r="B527" s="16"/>
      <c r="C527" s="10"/>
      <c r="D527" s="11"/>
      <c r="E527" s="36"/>
      <c r="F527" s="36"/>
      <c r="G527" s="36"/>
      <c r="H527" s="36"/>
      <c r="I527" s="36"/>
      <c r="J527" s="36"/>
      <c r="K527" s="36"/>
      <c r="L527" s="36"/>
      <c r="M527" s="36"/>
      <c r="N527" s="10"/>
      <c r="O527" s="10"/>
      <c r="P527" s="10"/>
      <c r="Q527" s="22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0"/>
      <c r="B528" s="16"/>
      <c r="C528" s="10"/>
      <c r="D528" s="11"/>
      <c r="E528" s="36"/>
      <c r="F528" s="36"/>
      <c r="G528" s="36"/>
      <c r="H528" s="36"/>
      <c r="I528" s="36"/>
      <c r="J528" s="36"/>
      <c r="K528" s="36"/>
      <c r="L528" s="36"/>
      <c r="M528" s="36"/>
      <c r="N528" s="10"/>
      <c r="O528" s="10"/>
      <c r="P528" s="10"/>
      <c r="Q528" s="22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0"/>
      <c r="B529" s="16"/>
      <c r="C529" s="10"/>
      <c r="D529" s="11"/>
      <c r="E529" s="36"/>
      <c r="F529" s="36"/>
      <c r="G529" s="36"/>
      <c r="H529" s="36"/>
      <c r="I529" s="36"/>
      <c r="J529" s="36"/>
      <c r="K529" s="36"/>
      <c r="L529" s="36"/>
      <c r="M529" s="36"/>
      <c r="N529" s="10"/>
      <c r="O529" s="10"/>
      <c r="P529" s="10"/>
      <c r="Q529" s="22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0"/>
      <c r="B530" s="16"/>
      <c r="C530" s="10"/>
      <c r="D530" s="11"/>
      <c r="E530" s="36"/>
      <c r="F530" s="36"/>
      <c r="G530" s="36"/>
      <c r="H530" s="36"/>
      <c r="I530" s="36"/>
      <c r="J530" s="36"/>
      <c r="K530" s="36"/>
      <c r="L530" s="36"/>
      <c r="M530" s="36"/>
      <c r="N530" s="10"/>
      <c r="O530" s="10"/>
      <c r="P530" s="10"/>
      <c r="Q530" s="22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0"/>
      <c r="B531" s="16"/>
      <c r="C531" s="10"/>
      <c r="D531" s="11"/>
      <c r="E531" s="36"/>
      <c r="F531" s="36"/>
      <c r="G531" s="36"/>
      <c r="H531" s="36"/>
      <c r="I531" s="36"/>
      <c r="J531" s="36"/>
      <c r="K531" s="36"/>
      <c r="L531" s="36"/>
      <c r="M531" s="36"/>
      <c r="N531" s="10"/>
      <c r="O531" s="10"/>
      <c r="P531" s="10"/>
      <c r="Q531" s="22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0"/>
      <c r="B532" s="16"/>
      <c r="C532" s="10"/>
      <c r="D532" s="11"/>
      <c r="E532" s="36"/>
      <c r="F532" s="36"/>
      <c r="G532" s="36"/>
      <c r="H532" s="36"/>
      <c r="I532" s="36"/>
      <c r="J532" s="36"/>
      <c r="K532" s="36"/>
      <c r="L532" s="36"/>
      <c r="M532" s="36"/>
      <c r="N532" s="10"/>
      <c r="O532" s="10"/>
      <c r="P532" s="10"/>
      <c r="Q532" s="22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0"/>
      <c r="B533" s="16"/>
      <c r="C533" s="10"/>
      <c r="D533" s="11"/>
      <c r="E533" s="36"/>
      <c r="F533" s="36"/>
      <c r="G533" s="36"/>
      <c r="H533" s="36"/>
      <c r="I533" s="36"/>
      <c r="J533" s="36"/>
      <c r="K533" s="36"/>
      <c r="L533" s="36"/>
      <c r="M533" s="36"/>
      <c r="N533" s="10"/>
      <c r="O533" s="10"/>
      <c r="P533" s="10"/>
      <c r="Q533" s="22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0"/>
      <c r="B534" s="16"/>
      <c r="C534" s="10"/>
      <c r="D534" s="11"/>
      <c r="E534" s="36"/>
      <c r="F534" s="36"/>
      <c r="G534" s="36"/>
      <c r="H534" s="36"/>
      <c r="I534" s="36"/>
      <c r="J534" s="36"/>
      <c r="K534" s="36"/>
      <c r="L534" s="36"/>
      <c r="M534" s="36"/>
      <c r="N534" s="10"/>
      <c r="O534" s="10"/>
      <c r="P534" s="10"/>
      <c r="Q534" s="22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0"/>
      <c r="B535" s="16"/>
      <c r="C535" s="10"/>
      <c r="D535" s="11"/>
      <c r="E535" s="36"/>
      <c r="F535" s="36"/>
      <c r="G535" s="36"/>
      <c r="H535" s="36"/>
      <c r="I535" s="36"/>
      <c r="J535" s="36"/>
      <c r="K535" s="36"/>
      <c r="L535" s="36"/>
      <c r="M535" s="36"/>
      <c r="N535" s="10"/>
      <c r="O535" s="10"/>
      <c r="P535" s="10"/>
      <c r="Q535" s="22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0"/>
      <c r="B536" s="16"/>
      <c r="C536" s="10"/>
      <c r="D536" s="11"/>
      <c r="E536" s="36"/>
      <c r="F536" s="36"/>
      <c r="G536" s="36"/>
      <c r="H536" s="36"/>
      <c r="I536" s="36"/>
      <c r="J536" s="36"/>
      <c r="K536" s="36"/>
      <c r="L536" s="36"/>
      <c r="M536" s="36"/>
      <c r="N536" s="10"/>
      <c r="O536" s="10"/>
      <c r="P536" s="10"/>
      <c r="Q536" s="22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0"/>
      <c r="B537" s="16"/>
      <c r="C537" s="10"/>
      <c r="D537" s="11"/>
      <c r="E537" s="36"/>
      <c r="F537" s="36"/>
      <c r="G537" s="36"/>
      <c r="H537" s="36"/>
      <c r="I537" s="36"/>
      <c r="J537" s="36"/>
      <c r="K537" s="36"/>
      <c r="L537" s="36"/>
      <c r="M537" s="36"/>
      <c r="N537" s="10"/>
      <c r="O537" s="10"/>
      <c r="P537" s="10"/>
      <c r="Q537" s="22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0"/>
      <c r="B538" s="16"/>
      <c r="C538" s="10"/>
      <c r="D538" s="11"/>
      <c r="E538" s="36"/>
      <c r="F538" s="36"/>
      <c r="G538" s="36"/>
      <c r="H538" s="36"/>
      <c r="I538" s="36"/>
      <c r="J538" s="36"/>
      <c r="K538" s="36"/>
      <c r="L538" s="36"/>
      <c r="M538" s="36"/>
      <c r="N538" s="10"/>
      <c r="O538" s="10"/>
      <c r="P538" s="10"/>
      <c r="Q538" s="22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0"/>
      <c r="B539" s="16"/>
      <c r="C539" s="10"/>
      <c r="D539" s="11"/>
      <c r="E539" s="36"/>
      <c r="F539" s="36"/>
      <c r="G539" s="36"/>
      <c r="H539" s="36"/>
      <c r="I539" s="36"/>
      <c r="J539" s="36"/>
      <c r="K539" s="36"/>
      <c r="L539" s="36"/>
      <c r="M539" s="36"/>
      <c r="N539" s="10"/>
      <c r="O539" s="10"/>
      <c r="P539" s="10"/>
      <c r="Q539" s="22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0"/>
      <c r="B540" s="16"/>
      <c r="C540" s="10"/>
      <c r="D540" s="11"/>
      <c r="E540" s="36"/>
      <c r="F540" s="36"/>
      <c r="G540" s="36"/>
      <c r="H540" s="36"/>
      <c r="I540" s="36"/>
      <c r="J540" s="36"/>
      <c r="K540" s="36"/>
      <c r="L540" s="36"/>
      <c r="M540" s="36"/>
      <c r="N540" s="10"/>
      <c r="O540" s="10"/>
      <c r="P540" s="10"/>
      <c r="Q540" s="22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0"/>
      <c r="B541" s="16"/>
      <c r="C541" s="10"/>
      <c r="D541" s="11"/>
      <c r="E541" s="36"/>
      <c r="F541" s="36"/>
      <c r="G541" s="36"/>
      <c r="H541" s="36"/>
      <c r="I541" s="36"/>
      <c r="J541" s="36"/>
      <c r="K541" s="36"/>
      <c r="L541" s="36"/>
      <c r="M541" s="36"/>
      <c r="N541" s="10"/>
      <c r="O541" s="10"/>
      <c r="P541" s="10"/>
      <c r="Q541" s="22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0"/>
      <c r="B542" s="16"/>
      <c r="C542" s="10"/>
      <c r="D542" s="11"/>
      <c r="E542" s="36"/>
      <c r="F542" s="36"/>
      <c r="G542" s="36"/>
      <c r="H542" s="36"/>
      <c r="I542" s="36"/>
      <c r="J542" s="36"/>
      <c r="K542" s="36"/>
      <c r="L542" s="36"/>
      <c r="M542" s="36"/>
      <c r="N542" s="10"/>
      <c r="O542" s="10"/>
      <c r="P542" s="10"/>
      <c r="Q542" s="22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0"/>
      <c r="B543" s="16"/>
      <c r="C543" s="10"/>
      <c r="D543" s="11"/>
      <c r="E543" s="36"/>
      <c r="F543" s="36"/>
      <c r="G543" s="36"/>
      <c r="H543" s="36"/>
      <c r="I543" s="36"/>
      <c r="J543" s="36"/>
      <c r="K543" s="36"/>
      <c r="L543" s="36"/>
      <c r="M543" s="36"/>
      <c r="N543" s="10"/>
      <c r="O543" s="10"/>
      <c r="P543" s="10"/>
      <c r="Q543" s="22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0"/>
      <c r="B544" s="16"/>
      <c r="C544" s="10"/>
      <c r="D544" s="11"/>
      <c r="E544" s="36"/>
      <c r="F544" s="36"/>
      <c r="G544" s="36"/>
      <c r="H544" s="36"/>
      <c r="I544" s="36"/>
      <c r="J544" s="36"/>
      <c r="K544" s="36"/>
      <c r="L544" s="36"/>
      <c r="M544" s="36"/>
      <c r="N544" s="10"/>
      <c r="O544" s="10"/>
      <c r="P544" s="10"/>
      <c r="Q544" s="22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0"/>
      <c r="B545" s="16"/>
      <c r="C545" s="10"/>
      <c r="D545" s="11"/>
      <c r="E545" s="36"/>
      <c r="F545" s="36"/>
      <c r="G545" s="36"/>
      <c r="H545" s="36"/>
      <c r="I545" s="36"/>
      <c r="J545" s="36"/>
      <c r="K545" s="36"/>
      <c r="L545" s="36"/>
      <c r="M545" s="36"/>
      <c r="N545" s="10"/>
      <c r="O545" s="10"/>
      <c r="P545" s="10"/>
      <c r="Q545" s="22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0"/>
      <c r="B546" s="16"/>
      <c r="C546" s="10"/>
      <c r="D546" s="11"/>
      <c r="E546" s="36"/>
      <c r="F546" s="36"/>
      <c r="G546" s="36"/>
      <c r="H546" s="36"/>
      <c r="I546" s="36"/>
      <c r="J546" s="36"/>
      <c r="K546" s="36"/>
      <c r="L546" s="36"/>
      <c r="M546" s="36"/>
      <c r="N546" s="10"/>
      <c r="O546" s="10"/>
      <c r="P546" s="10"/>
      <c r="Q546" s="22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0"/>
      <c r="B547" s="16"/>
      <c r="C547" s="10"/>
      <c r="D547" s="11"/>
      <c r="E547" s="36"/>
      <c r="F547" s="36"/>
      <c r="G547" s="36"/>
      <c r="H547" s="36"/>
      <c r="I547" s="36"/>
      <c r="J547" s="36"/>
      <c r="K547" s="36"/>
      <c r="L547" s="36"/>
      <c r="M547" s="36"/>
      <c r="N547" s="10"/>
      <c r="O547" s="10"/>
      <c r="P547" s="10"/>
      <c r="Q547" s="22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0"/>
      <c r="B548" s="16"/>
      <c r="C548" s="10"/>
      <c r="D548" s="11"/>
      <c r="E548" s="36"/>
      <c r="F548" s="36"/>
      <c r="G548" s="36"/>
      <c r="H548" s="36"/>
      <c r="I548" s="36"/>
      <c r="J548" s="36"/>
      <c r="K548" s="36"/>
      <c r="L548" s="36"/>
      <c r="M548" s="36"/>
      <c r="N548" s="10"/>
      <c r="O548" s="10"/>
      <c r="P548" s="10"/>
      <c r="Q548" s="22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0"/>
      <c r="B549" s="16"/>
      <c r="C549" s="10"/>
      <c r="D549" s="11"/>
      <c r="E549" s="36"/>
      <c r="F549" s="36"/>
      <c r="G549" s="36"/>
      <c r="H549" s="36"/>
      <c r="I549" s="36"/>
      <c r="J549" s="36"/>
      <c r="K549" s="36"/>
      <c r="L549" s="36"/>
      <c r="M549" s="36"/>
      <c r="N549" s="10"/>
      <c r="O549" s="10"/>
      <c r="P549" s="10"/>
      <c r="Q549" s="22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0"/>
      <c r="B550" s="16"/>
      <c r="C550" s="10"/>
      <c r="D550" s="11"/>
      <c r="E550" s="36"/>
      <c r="F550" s="36"/>
      <c r="G550" s="36"/>
      <c r="H550" s="36"/>
      <c r="I550" s="36"/>
      <c r="J550" s="36"/>
      <c r="K550" s="36"/>
      <c r="L550" s="36"/>
      <c r="M550" s="36"/>
      <c r="N550" s="10"/>
      <c r="O550" s="10"/>
      <c r="P550" s="10"/>
      <c r="Q550" s="22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0"/>
      <c r="B551" s="16"/>
      <c r="C551" s="10"/>
      <c r="D551" s="11"/>
      <c r="E551" s="36"/>
      <c r="F551" s="36"/>
      <c r="G551" s="36"/>
      <c r="H551" s="36"/>
      <c r="I551" s="36"/>
      <c r="J551" s="36"/>
      <c r="K551" s="36"/>
      <c r="L551" s="36"/>
      <c r="M551" s="36"/>
      <c r="N551" s="10"/>
      <c r="O551" s="10"/>
      <c r="P551" s="10"/>
      <c r="Q551" s="22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0"/>
      <c r="B552" s="16"/>
      <c r="C552" s="10"/>
      <c r="D552" s="11"/>
      <c r="E552" s="36"/>
      <c r="F552" s="36"/>
      <c r="G552" s="36"/>
      <c r="H552" s="36"/>
      <c r="I552" s="36"/>
      <c r="J552" s="36"/>
      <c r="K552" s="36"/>
      <c r="L552" s="36"/>
      <c r="M552" s="36"/>
      <c r="N552" s="10"/>
      <c r="O552" s="10"/>
      <c r="P552" s="10"/>
      <c r="Q552" s="22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0"/>
      <c r="B553" s="16"/>
      <c r="C553" s="10"/>
      <c r="D553" s="11"/>
      <c r="E553" s="36"/>
      <c r="F553" s="36"/>
      <c r="G553" s="36"/>
      <c r="H553" s="36"/>
      <c r="I553" s="36"/>
      <c r="J553" s="36"/>
      <c r="K553" s="36"/>
      <c r="L553" s="36"/>
      <c r="M553" s="36"/>
      <c r="N553" s="10"/>
      <c r="O553" s="10"/>
      <c r="P553" s="10"/>
      <c r="Q553" s="22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0"/>
      <c r="B554" s="16"/>
      <c r="C554" s="10"/>
      <c r="D554" s="11"/>
      <c r="E554" s="36"/>
      <c r="F554" s="36"/>
      <c r="G554" s="36"/>
      <c r="H554" s="36"/>
      <c r="I554" s="36"/>
      <c r="J554" s="36"/>
      <c r="K554" s="36"/>
      <c r="L554" s="36"/>
      <c r="M554" s="36"/>
      <c r="N554" s="10"/>
      <c r="O554" s="10"/>
      <c r="P554" s="10"/>
      <c r="Q554" s="22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0"/>
      <c r="B555" s="16"/>
      <c r="C555" s="10"/>
      <c r="D555" s="11"/>
      <c r="E555" s="36"/>
      <c r="F555" s="36"/>
      <c r="G555" s="36"/>
      <c r="H555" s="36"/>
      <c r="I555" s="36"/>
      <c r="J555" s="36"/>
      <c r="K555" s="36"/>
      <c r="L555" s="36"/>
      <c r="M555" s="36"/>
      <c r="N555" s="10"/>
      <c r="O555" s="10"/>
      <c r="P555" s="10"/>
      <c r="Q555" s="22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0"/>
      <c r="B556" s="16"/>
      <c r="C556" s="10"/>
      <c r="D556" s="11"/>
      <c r="E556" s="36"/>
      <c r="F556" s="36"/>
      <c r="G556" s="36"/>
      <c r="H556" s="36"/>
      <c r="I556" s="36"/>
      <c r="J556" s="36"/>
      <c r="K556" s="36"/>
      <c r="L556" s="36"/>
      <c r="M556" s="36"/>
      <c r="N556" s="10"/>
      <c r="O556" s="10"/>
      <c r="P556" s="10"/>
      <c r="Q556" s="22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0"/>
      <c r="B557" s="16"/>
      <c r="C557" s="10"/>
      <c r="D557" s="11"/>
      <c r="E557" s="36"/>
      <c r="F557" s="36"/>
      <c r="G557" s="36"/>
      <c r="H557" s="36"/>
      <c r="I557" s="36"/>
      <c r="J557" s="36"/>
      <c r="K557" s="36"/>
      <c r="L557" s="36"/>
      <c r="M557" s="36"/>
      <c r="N557" s="10"/>
      <c r="O557" s="10"/>
      <c r="P557" s="10"/>
      <c r="Q557" s="22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0"/>
      <c r="B558" s="16"/>
      <c r="C558" s="10"/>
      <c r="D558" s="11"/>
      <c r="E558" s="36"/>
      <c r="F558" s="36"/>
      <c r="G558" s="36"/>
      <c r="H558" s="36"/>
      <c r="I558" s="36"/>
      <c r="J558" s="36"/>
      <c r="K558" s="36"/>
      <c r="L558" s="36"/>
      <c r="M558" s="36"/>
      <c r="N558" s="10"/>
      <c r="O558" s="10"/>
      <c r="P558" s="10"/>
      <c r="Q558" s="22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0"/>
      <c r="B559" s="16"/>
      <c r="C559" s="10"/>
      <c r="D559" s="11"/>
      <c r="E559" s="36"/>
      <c r="F559" s="36"/>
      <c r="G559" s="36"/>
      <c r="H559" s="36"/>
      <c r="I559" s="36"/>
      <c r="J559" s="36"/>
      <c r="K559" s="36"/>
      <c r="L559" s="36"/>
      <c r="M559" s="36"/>
      <c r="N559" s="10"/>
      <c r="O559" s="10"/>
      <c r="P559" s="10"/>
      <c r="Q559" s="22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0"/>
      <c r="B560" s="16"/>
      <c r="C560" s="10"/>
      <c r="D560" s="11"/>
      <c r="E560" s="36"/>
      <c r="F560" s="36"/>
      <c r="G560" s="36"/>
      <c r="H560" s="36"/>
      <c r="I560" s="36"/>
      <c r="J560" s="36"/>
      <c r="K560" s="36"/>
      <c r="L560" s="36"/>
      <c r="M560" s="36"/>
      <c r="N560" s="10"/>
      <c r="O560" s="10"/>
      <c r="P560" s="10"/>
      <c r="Q560" s="22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0"/>
      <c r="B561" s="16"/>
      <c r="C561" s="10"/>
      <c r="D561" s="11"/>
      <c r="E561" s="36"/>
      <c r="F561" s="36"/>
      <c r="G561" s="36"/>
      <c r="H561" s="36"/>
      <c r="I561" s="36"/>
      <c r="J561" s="36"/>
      <c r="K561" s="36"/>
      <c r="L561" s="36"/>
      <c r="M561" s="36"/>
      <c r="N561" s="10"/>
      <c r="O561" s="10"/>
      <c r="P561" s="10"/>
      <c r="Q561" s="22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0"/>
      <c r="B562" s="16"/>
      <c r="C562" s="10"/>
      <c r="D562" s="11"/>
      <c r="E562" s="36"/>
      <c r="F562" s="36"/>
      <c r="G562" s="36"/>
      <c r="H562" s="36"/>
      <c r="I562" s="36"/>
      <c r="J562" s="36"/>
      <c r="K562" s="36"/>
      <c r="L562" s="36"/>
      <c r="M562" s="36"/>
      <c r="N562" s="10"/>
      <c r="O562" s="10"/>
      <c r="P562" s="10"/>
      <c r="Q562" s="22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0"/>
      <c r="B563" s="16"/>
      <c r="C563" s="10"/>
      <c r="D563" s="11"/>
      <c r="E563" s="36"/>
      <c r="F563" s="36"/>
      <c r="G563" s="36"/>
      <c r="H563" s="36"/>
      <c r="I563" s="36"/>
      <c r="J563" s="36"/>
      <c r="K563" s="36"/>
      <c r="L563" s="36"/>
      <c r="M563" s="36"/>
      <c r="N563" s="10"/>
      <c r="O563" s="10"/>
      <c r="P563" s="10"/>
      <c r="Q563" s="22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0"/>
      <c r="B564" s="16"/>
      <c r="C564" s="10"/>
      <c r="D564" s="11"/>
      <c r="E564" s="36"/>
      <c r="F564" s="36"/>
      <c r="G564" s="36"/>
      <c r="H564" s="36"/>
      <c r="I564" s="36"/>
      <c r="J564" s="36"/>
      <c r="K564" s="36"/>
      <c r="L564" s="36"/>
      <c r="M564" s="36"/>
      <c r="N564" s="10"/>
      <c r="O564" s="10"/>
      <c r="P564" s="10"/>
      <c r="Q564" s="22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0"/>
      <c r="B565" s="16"/>
      <c r="C565" s="10"/>
      <c r="D565" s="11"/>
      <c r="E565" s="36"/>
      <c r="F565" s="36"/>
      <c r="G565" s="36"/>
      <c r="H565" s="36"/>
      <c r="I565" s="36"/>
      <c r="J565" s="36"/>
      <c r="K565" s="36"/>
      <c r="L565" s="36"/>
      <c r="M565" s="36"/>
      <c r="N565" s="10"/>
      <c r="O565" s="10"/>
      <c r="P565" s="10"/>
      <c r="Q565" s="22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0"/>
      <c r="B566" s="16"/>
      <c r="C566" s="10"/>
      <c r="D566" s="11"/>
      <c r="E566" s="36"/>
      <c r="F566" s="36"/>
      <c r="G566" s="36"/>
      <c r="H566" s="36"/>
      <c r="I566" s="36"/>
      <c r="J566" s="36"/>
      <c r="K566" s="36"/>
      <c r="L566" s="36"/>
      <c r="M566" s="36"/>
      <c r="N566" s="10"/>
      <c r="O566" s="10"/>
      <c r="P566" s="10"/>
      <c r="Q566" s="22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0"/>
      <c r="B567" s="16"/>
      <c r="C567" s="10"/>
      <c r="D567" s="11"/>
      <c r="E567" s="36"/>
      <c r="F567" s="36"/>
      <c r="G567" s="36"/>
      <c r="H567" s="36"/>
      <c r="I567" s="36"/>
      <c r="J567" s="36"/>
      <c r="K567" s="36"/>
      <c r="L567" s="36"/>
      <c r="M567" s="36"/>
      <c r="N567" s="10"/>
      <c r="O567" s="10"/>
      <c r="P567" s="10"/>
      <c r="Q567" s="22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0"/>
      <c r="B568" s="16"/>
      <c r="C568" s="10"/>
      <c r="D568" s="11"/>
      <c r="E568" s="36"/>
      <c r="F568" s="36"/>
      <c r="G568" s="36"/>
      <c r="H568" s="36"/>
      <c r="I568" s="36"/>
      <c r="J568" s="36"/>
      <c r="K568" s="36"/>
      <c r="L568" s="36"/>
      <c r="M568" s="36"/>
      <c r="N568" s="10"/>
      <c r="O568" s="10"/>
      <c r="P568" s="10"/>
      <c r="Q568" s="22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0"/>
      <c r="B569" s="16"/>
      <c r="C569" s="10"/>
      <c r="D569" s="11"/>
      <c r="E569" s="36"/>
      <c r="F569" s="36"/>
      <c r="G569" s="36"/>
      <c r="H569" s="36"/>
      <c r="I569" s="36"/>
      <c r="J569" s="36"/>
      <c r="K569" s="36"/>
      <c r="L569" s="36"/>
      <c r="M569" s="36"/>
      <c r="N569" s="10"/>
      <c r="O569" s="10"/>
      <c r="P569" s="10"/>
      <c r="Q569" s="22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0"/>
      <c r="B570" s="16"/>
      <c r="C570" s="10"/>
      <c r="D570" s="11"/>
      <c r="E570" s="36"/>
      <c r="F570" s="36"/>
      <c r="G570" s="36"/>
      <c r="H570" s="36"/>
      <c r="I570" s="36"/>
      <c r="J570" s="36"/>
      <c r="K570" s="36"/>
      <c r="L570" s="36"/>
      <c r="M570" s="36"/>
      <c r="N570" s="10"/>
      <c r="O570" s="10"/>
      <c r="P570" s="10"/>
      <c r="Q570" s="22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0"/>
      <c r="B571" s="16"/>
      <c r="C571" s="10"/>
      <c r="D571" s="11"/>
      <c r="E571" s="36"/>
      <c r="F571" s="36"/>
      <c r="G571" s="36"/>
      <c r="H571" s="36"/>
      <c r="I571" s="36"/>
      <c r="J571" s="36"/>
      <c r="K571" s="36"/>
      <c r="L571" s="36"/>
      <c r="M571" s="36"/>
      <c r="N571" s="10"/>
      <c r="O571" s="10"/>
      <c r="P571" s="10"/>
      <c r="Q571" s="22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0"/>
      <c r="B572" s="16"/>
      <c r="C572" s="10"/>
      <c r="D572" s="11"/>
      <c r="E572" s="36"/>
      <c r="F572" s="36"/>
      <c r="G572" s="36"/>
      <c r="H572" s="36"/>
      <c r="I572" s="36"/>
      <c r="J572" s="36"/>
      <c r="K572" s="36"/>
      <c r="L572" s="36"/>
      <c r="M572" s="36"/>
      <c r="N572" s="10"/>
      <c r="O572" s="10"/>
      <c r="P572" s="10"/>
      <c r="Q572" s="22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0"/>
      <c r="B573" s="16"/>
      <c r="C573" s="10"/>
      <c r="D573" s="11"/>
      <c r="E573" s="36"/>
      <c r="F573" s="36"/>
      <c r="G573" s="36"/>
      <c r="H573" s="36"/>
      <c r="I573" s="36"/>
      <c r="J573" s="36"/>
      <c r="K573" s="36"/>
      <c r="L573" s="36"/>
      <c r="M573" s="36"/>
      <c r="N573" s="10"/>
      <c r="O573" s="10"/>
      <c r="P573" s="10"/>
      <c r="Q573" s="22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0"/>
      <c r="B574" s="16"/>
      <c r="C574" s="10"/>
      <c r="D574" s="11"/>
      <c r="E574" s="36"/>
      <c r="F574" s="36"/>
      <c r="G574" s="36"/>
      <c r="H574" s="36"/>
      <c r="I574" s="36"/>
      <c r="J574" s="36"/>
      <c r="K574" s="36"/>
      <c r="L574" s="36"/>
      <c r="M574" s="36"/>
      <c r="N574" s="10"/>
      <c r="O574" s="10"/>
      <c r="P574" s="10"/>
      <c r="Q574" s="22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0"/>
      <c r="B575" s="16"/>
      <c r="C575" s="10"/>
      <c r="D575" s="11"/>
      <c r="E575" s="36"/>
      <c r="F575" s="36"/>
      <c r="G575" s="36"/>
      <c r="H575" s="36"/>
      <c r="I575" s="36"/>
      <c r="J575" s="36"/>
      <c r="K575" s="36"/>
      <c r="L575" s="36"/>
      <c r="M575" s="36"/>
      <c r="N575" s="10"/>
      <c r="O575" s="10"/>
      <c r="P575" s="10"/>
      <c r="Q575" s="22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0"/>
      <c r="B576" s="16"/>
      <c r="C576" s="10"/>
      <c r="D576" s="11"/>
      <c r="E576" s="36"/>
      <c r="F576" s="36"/>
      <c r="G576" s="36"/>
      <c r="H576" s="36"/>
      <c r="I576" s="36"/>
      <c r="J576" s="36"/>
      <c r="K576" s="36"/>
      <c r="L576" s="36"/>
      <c r="M576" s="36"/>
      <c r="N576" s="10"/>
      <c r="O576" s="10"/>
      <c r="P576" s="10"/>
      <c r="Q576" s="22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0"/>
      <c r="B577" s="16"/>
      <c r="C577" s="10"/>
      <c r="D577" s="11"/>
      <c r="E577" s="36"/>
      <c r="F577" s="36"/>
      <c r="G577" s="36"/>
      <c r="H577" s="36"/>
      <c r="I577" s="36"/>
      <c r="J577" s="36"/>
      <c r="K577" s="36"/>
      <c r="L577" s="36"/>
      <c r="M577" s="36"/>
      <c r="N577" s="10"/>
      <c r="O577" s="10"/>
      <c r="P577" s="10"/>
      <c r="Q577" s="22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0"/>
      <c r="B578" s="16"/>
      <c r="C578" s="10"/>
      <c r="D578" s="11"/>
      <c r="E578" s="36"/>
      <c r="F578" s="36"/>
      <c r="G578" s="36"/>
      <c r="H578" s="36"/>
      <c r="I578" s="36"/>
      <c r="J578" s="36"/>
      <c r="K578" s="36"/>
      <c r="L578" s="36"/>
      <c r="M578" s="36"/>
      <c r="N578" s="10"/>
      <c r="O578" s="10"/>
      <c r="P578" s="10"/>
      <c r="Q578" s="22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0"/>
      <c r="B579" s="16"/>
      <c r="C579" s="10"/>
      <c r="D579" s="11"/>
      <c r="E579" s="36"/>
      <c r="F579" s="36"/>
      <c r="G579" s="36"/>
      <c r="H579" s="36"/>
      <c r="I579" s="36"/>
      <c r="J579" s="36"/>
      <c r="K579" s="36"/>
      <c r="L579" s="36"/>
      <c r="M579" s="36"/>
      <c r="N579" s="10"/>
      <c r="O579" s="10"/>
      <c r="P579" s="10"/>
      <c r="Q579" s="22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0"/>
      <c r="B580" s="16"/>
      <c r="C580" s="10"/>
      <c r="D580" s="11"/>
      <c r="E580" s="36"/>
      <c r="F580" s="36"/>
      <c r="G580" s="36"/>
      <c r="H580" s="36"/>
      <c r="I580" s="36"/>
      <c r="J580" s="36"/>
      <c r="K580" s="36"/>
      <c r="L580" s="36"/>
      <c r="M580" s="36"/>
      <c r="N580" s="10"/>
      <c r="O580" s="10"/>
      <c r="P580" s="10"/>
      <c r="Q580" s="22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0"/>
      <c r="B581" s="16"/>
      <c r="C581" s="10"/>
      <c r="D581" s="11"/>
      <c r="E581" s="36"/>
      <c r="F581" s="36"/>
      <c r="G581" s="36"/>
      <c r="H581" s="36"/>
      <c r="I581" s="36"/>
      <c r="J581" s="36"/>
      <c r="K581" s="36"/>
      <c r="L581" s="36"/>
      <c r="M581" s="36"/>
      <c r="N581" s="10"/>
      <c r="O581" s="10"/>
      <c r="P581" s="10"/>
      <c r="Q581" s="22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0"/>
      <c r="B582" s="16"/>
      <c r="C582" s="10"/>
      <c r="D582" s="11"/>
      <c r="E582" s="36"/>
      <c r="F582" s="36"/>
      <c r="G582" s="36"/>
      <c r="H582" s="36"/>
      <c r="I582" s="36"/>
      <c r="J582" s="36"/>
      <c r="K582" s="36"/>
      <c r="L582" s="36"/>
      <c r="M582" s="36"/>
      <c r="N582" s="10"/>
      <c r="O582" s="10"/>
      <c r="P582" s="10"/>
      <c r="Q582" s="22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0"/>
      <c r="B583" s="16"/>
      <c r="C583" s="10"/>
      <c r="D583" s="11"/>
      <c r="E583" s="36"/>
      <c r="F583" s="36"/>
      <c r="G583" s="36"/>
      <c r="H583" s="36"/>
      <c r="I583" s="36"/>
      <c r="J583" s="36"/>
      <c r="K583" s="36"/>
      <c r="L583" s="36"/>
      <c r="M583" s="36"/>
      <c r="N583" s="10"/>
      <c r="O583" s="10"/>
      <c r="P583" s="10"/>
      <c r="Q583" s="22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0"/>
      <c r="B584" s="16"/>
      <c r="C584" s="10"/>
      <c r="D584" s="11"/>
      <c r="E584" s="36"/>
      <c r="F584" s="36"/>
      <c r="G584" s="36"/>
      <c r="H584" s="36"/>
      <c r="I584" s="36"/>
      <c r="J584" s="36"/>
      <c r="K584" s="36"/>
      <c r="L584" s="36"/>
      <c r="M584" s="36"/>
      <c r="N584" s="10"/>
      <c r="O584" s="10"/>
      <c r="P584" s="10"/>
      <c r="Q584" s="22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0"/>
      <c r="B585" s="16"/>
      <c r="C585" s="10"/>
      <c r="D585" s="11"/>
      <c r="E585" s="36"/>
      <c r="F585" s="36"/>
      <c r="G585" s="36"/>
      <c r="H585" s="36"/>
      <c r="I585" s="36"/>
      <c r="J585" s="36"/>
      <c r="K585" s="36"/>
      <c r="L585" s="36"/>
      <c r="M585" s="36"/>
      <c r="N585" s="10"/>
      <c r="O585" s="10"/>
      <c r="P585" s="10"/>
      <c r="Q585" s="22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0"/>
      <c r="B586" s="16"/>
      <c r="C586" s="10"/>
      <c r="D586" s="11"/>
      <c r="E586" s="36"/>
      <c r="F586" s="36"/>
      <c r="G586" s="36"/>
      <c r="H586" s="36"/>
      <c r="I586" s="36"/>
      <c r="J586" s="36"/>
      <c r="K586" s="36"/>
      <c r="L586" s="36"/>
      <c r="M586" s="36"/>
      <c r="N586" s="10"/>
      <c r="O586" s="10"/>
      <c r="P586" s="10"/>
      <c r="Q586" s="22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0"/>
      <c r="B587" s="16"/>
      <c r="C587" s="10"/>
      <c r="D587" s="11"/>
      <c r="E587" s="36"/>
      <c r="F587" s="36"/>
      <c r="G587" s="36"/>
      <c r="H587" s="36"/>
      <c r="I587" s="36"/>
      <c r="J587" s="36"/>
      <c r="K587" s="36"/>
      <c r="L587" s="36"/>
      <c r="M587" s="36"/>
      <c r="N587" s="10"/>
      <c r="O587" s="10"/>
      <c r="P587" s="10"/>
      <c r="Q587" s="22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0"/>
      <c r="B588" s="16"/>
      <c r="C588" s="10"/>
      <c r="D588" s="11"/>
      <c r="E588" s="36"/>
      <c r="F588" s="36"/>
      <c r="G588" s="36"/>
      <c r="H588" s="36"/>
      <c r="I588" s="36"/>
      <c r="J588" s="36"/>
      <c r="K588" s="36"/>
      <c r="L588" s="36"/>
      <c r="M588" s="36"/>
      <c r="N588" s="10"/>
      <c r="O588" s="10"/>
      <c r="P588" s="10"/>
      <c r="Q588" s="22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0"/>
      <c r="B589" s="16"/>
      <c r="C589" s="10"/>
      <c r="D589" s="11"/>
      <c r="E589" s="36"/>
      <c r="F589" s="36"/>
      <c r="G589" s="36"/>
      <c r="H589" s="36"/>
      <c r="I589" s="36"/>
      <c r="J589" s="36"/>
      <c r="K589" s="36"/>
      <c r="L589" s="36"/>
      <c r="M589" s="36"/>
      <c r="N589" s="10"/>
      <c r="O589" s="10"/>
      <c r="P589" s="10"/>
      <c r="Q589" s="22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0"/>
      <c r="B590" s="16"/>
      <c r="C590" s="10"/>
      <c r="D590" s="11"/>
      <c r="E590" s="36"/>
      <c r="F590" s="36"/>
      <c r="G590" s="36"/>
      <c r="H590" s="36"/>
      <c r="I590" s="36"/>
      <c r="J590" s="36"/>
      <c r="K590" s="36"/>
      <c r="L590" s="36"/>
      <c r="M590" s="36"/>
      <c r="N590" s="10"/>
      <c r="O590" s="10"/>
      <c r="P590" s="10"/>
      <c r="Q590" s="22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0"/>
      <c r="B591" s="16"/>
      <c r="C591" s="10"/>
      <c r="D591" s="11"/>
      <c r="E591" s="36"/>
      <c r="F591" s="36"/>
      <c r="G591" s="36"/>
      <c r="H591" s="36"/>
      <c r="I591" s="36"/>
      <c r="J591" s="36"/>
      <c r="K591" s="36"/>
      <c r="L591" s="36"/>
      <c r="M591" s="36"/>
      <c r="N591" s="10"/>
      <c r="O591" s="10"/>
      <c r="P591" s="10"/>
      <c r="Q591" s="22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0"/>
      <c r="B592" s="16"/>
      <c r="C592" s="10"/>
      <c r="D592" s="11"/>
      <c r="E592" s="36"/>
      <c r="F592" s="36"/>
      <c r="G592" s="36"/>
      <c r="H592" s="36"/>
      <c r="I592" s="36"/>
      <c r="J592" s="36"/>
      <c r="K592" s="36"/>
      <c r="L592" s="36"/>
      <c r="M592" s="36"/>
      <c r="N592" s="10"/>
      <c r="O592" s="10"/>
      <c r="P592" s="10"/>
      <c r="Q592" s="22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0"/>
      <c r="B593" s="16"/>
      <c r="C593" s="10"/>
      <c r="D593" s="11"/>
      <c r="E593" s="36"/>
      <c r="F593" s="36"/>
      <c r="G593" s="36"/>
      <c r="H593" s="36"/>
      <c r="I593" s="36"/>
      <c r="J593" s="36"/>
      <c r="K593" s="36"/>
      <c r="L593" s="36"/>
      <c r="M593" s="36"/>
      <c r="N593" s="10"/>
      <c r="O593" s="10"/>
      <c r="P593" s="10"/>
      <c r="Q593" s="22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0"/>
      <c r="B594" s="16"/>
      <c r="C594" s="10"/>
      <c r="D594" s="11"/>
      <c r="E594" s="36"/>
      <c r="F594" s="36"/>
      <c r="G594" s="36"/>
      <c r="H594" s="36"/>
      <c r="I594" s="36"/>
      <c r="J594" s="36"/>
      <c r="K594" s="36"/>
      <c r="L594" s="36"/>
      <c r="M594" s="36"/>
      <c r="N594" s="10"/>
      <c r="O594" s="10"/>
      <c r="P594" s="10"/>
      <c r="Q594" s="22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0"/>
      <c r="B595" s="16"/>
      <c r="C595" s="10"/>
      <c r="D595" s="11"/>
      <c r="E595" s="36"/>
      <c r="F595" s="36"/>
      <c r="G595" s="36"/>
      <c r="H595" s="36"/>
      <c r="I595" s="36"/>
      <c r="J595" s="36"/>
      <c r="K595" s="36"/>
      <c r="L595" s="36"/>
      <c r="M595" s="36"/>
      <c r="N595" s="10"/>
      <c r="O595" s="10"/>
      <c r="P595" s="10"/>
      <c r="Q595" s="22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0"/>
      <c r="B596" s="16"/>
      <c r="C596" s="10"/>
      <c r="D596" s="11"/>
      <c r="E596" s="36"/>
      <c r="F596" s="36"/>
      <c r="G596" s="36"/>
      <c r="H596" s="36"/>
      <c r="I596" s="36"/>
      <c r="J596" s="36"/>
      <c r="K596" s="36"/>
      <c r="L596" s="36"/>
      <c r="M596" s="36"/>
      <c r="N596" s="10"/>
      <c r="O596" s="10"/>
      <c r="P596" s="10"/>
      <c r="Q596" s="22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0"/>
      <c r="B597" s="16"/>
      <c r="C597" s="10"/>
      <c r="D597" s="11"/>
      <c r="E597" s="36"/>
      <c r="F597" s="36"/>
      <c r="G597" s="36"/>
      <c r="H597" s="36"/>
      <c r="I597" s="36"/>
      <c r="J597" s="36"/>
      <c r="K597" s="36"/>
      <c r="L597" s="36"/>
      <c r="M597" s="36"/>
      <c r="N597" s="10"/>
      <c r="O597" s="10"/>
      <c r="P597" s="10"/>
      <c r="Q597" s="22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0"/>
      <c r="B598" s="16"/>
      <c r="C598" s="10"/>
      <c r="D598" s="11"/>
      <c r="E598" s="36"/>
      <c r="F598" s="36"/>
      <c r="G598" s="36"/>
      <c r="H598" s="36"/>
      <c r="I598" s="36"/>
      <c r="J598" s="36"/>
      <c r="K598" s="36"/>
      <c r="L598" s="36"/>
      <c r="M598" s="36"/>
      <c r="N598" s="10"/>
      <c r="O598" s="10"/>
      <c r="P598" s="10"/>
      <c r="Q598" s="22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0"/>
      <c r="B599" s="16"/>
      <c r="C599" s="10"/>
      <c r="D599" s="11"/>
      <c r="E599" s="36"/>
      <c r="F599" s="36"/>
      <c r="G599" s="36"/>
      <c r="H599" s="36"/>
      <c r="I599" s="36"/>
      <c r="J599" s="36"/>
      <c r="K599" s="36"/>
      <c r="L599" s="36"/>
      <c r="M599" s="36"/>
      <c r="N599" s="10"/>
      <c r="O599" s="10"/>
      <c r="P599" s="10"/>
      <c r="Q599" s="22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0"/>
      <c r="B600" s="16"/>
      <c r="C600" s="10"/>
      <c r="D600" s="11"/>
      <c r="E600" s="36"/>
      <c r="F600" s="36"/>
      <c r="G600" s="36"/>
      <c r="H600" s="36"/>
      <c r="I600" s="36"/>
      <c r="J600" s="36"/>
      <c r="K600" s="36"/>
      <c r="L600" s="36"/>
      <c r="M600" s="36"/>
      <c r="N600" s="10"/>
      <c r="O600" s="10"/>
      <c r="P600" s="10"/>
      <c r="Q600" s="22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0"/>
      <c r="B601" s="16"/>
      <c r="C601" s="10"/>
      <c r="D601" s="11"/>
      <c r="E601" s="36"/>
      <c r="F601" s="36"/>
      <c r="G601" s="36"/>
      <c r="H601" s="36"/>
      <c r="I601" s="36"/>
      <c r="J601" s="36"/>
      <c r="K601" s="36"/>
      <c r="L601" s="36"/>
      <c r="M601" s="36"/>
      <c r="N601" s="10"/>
      <c r="O601" s="10"/>
      <c r="P601" s="10"/>
      <c r="Q601" s="22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0"/>
      <c r="B602" s="16"/>
      <c r="C602" s="10"/>
      <c r="D602" s="11"/>
      <c r="E602" s="36"/>
      <c r="F602" s="36"/>
      <c r="G602" s="36"/>
      <c r="H602" s="36"/>
      <c r="I602" s="36"/>
      <c r="J602" s="36"/>
      <c r="K602" s="36"/>
      <c r="L602" s="36"/>
      <c r="M602" s="36"/>
      <c r="N602" s="10"/>
      <c r="O602" s="10"/>
      <c r="P602" s="10"/>
      <c r="Q602" s="22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0"/>
      <c r="B603" s="16"/>
      <c r="C603" s="10"/>
      <c r="D603" s="11"/>
      <c r="E603" s="36"/>
      <c r="F603" s="36"/>
      <c r="G603" s="36"/>
      <c r="H603" s="36"/>
      <c r="I603" s="36"/>
      <c r="J603" s="36"/>
      <c r="K603" s="36"/>
      <c r="L603" s="36"/>
      <c r="M603" s="36"/>
      <c r="N603" s="10"/>
      <c r="O603" s="10"/>
      <c r="P603" s="10"/>
      <c r="Q603" s="22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0"/>
      <c r="B604" s="16"/>
      <c r="C604" s="10"/>
      <c r="D604" s="11"/>
      <c r="E604" s="36"/>
      <c r="F604" s="36"/>
      <c r="G604" s="36"/>
      <c r="H604" s="36"/>
      <c r="I604" s="36"/>
      <c r="J604" s="36"/>
      <c r="K604" s="36"/>
      <c r="L604" s="36"/>
      <c r="M604" s="36"/>
      <c r="N604" s="10"/>
      <c r="O604" s="10"/>
      <c r="P604" s="10"/>
      <c r="Q604" s="22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0"/>
      <c r="B605" s="16"/>
      <c r="C605" s="10"/>
      <c r="D605" s="11"/>
      <c r="E605" s="36"/>
      <c r="F605" s="36"/>
      <c r="G605" s="36"/>
      <c r="H605" s="36"/>
      <c r="I605" s="36"/>
      <c r="J605" s="36"/>
      <c r="K605" s="36"/>
      <c r="L605" s="36"/>
      <c r="M605" s="36"/>
      <c r="N605" s="10"/>
      <c r="O605" s="10"/>
      <c r="P605" s="10"/>
      <c r="Q605" s="22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0"/>
      <c r="B606" s="16"/>
      <c r="C606" s="10"/>
      <c r="D606" s="11"/>
      <c r="E606" s="36"/>
      <c r="F606" s="36"/>
      <c r="G606" s="36"/>
      <c r="H606" s="36"/>
      <c r="I606" s="36"/>
      <c r="J606" s="36"/>
      <c r="K606" s="36"/>
      <c r="L606" s="36"/>
      <c r="M606" s="36"/>
      <c r="N606" s="10"/>
      <c r="O606" s="10"/>
      <c r="P606" s="10"/>
      <c r="Q606" s="22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0"/>
      <c r="B607" s="16"/>
      <c r="C607" s="10"/>
      <c r="D607" s="11"/>
      <c r="E607" s="36"/>
      <c r="F607" s="36"/>
      <c r="G607" s="36"/>
      <c r="H607" s="36"/>
      <c r="I607" s="36"/>
      <c r="J607" s="36"/>
      <c r="K607" s="36"/>
      <c r="L607" s="36"/>
      <c r="M607" s="36"/>
      <c r="N607" s="10"/>
      <c r="O607" s="10"/>
      <c r="P607" s="10"/>
      <c r="Q607" s="22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0"/>
      <c r="B608" s="16"/>
      <c r="C608" s="10"/>
      <c r="D608" s="11"/>
      <c r="E608" s="36"/>
      <c r="F608" s="36"/>
      <c r="G608" s="36"/>
      <c r="H608" s="36"/>
      <c r="I608" s="36"/>
      <c r="J608" s="36"/>
      <c r="K608" s="36"/>
      <c r="L608" s="36"/>
      <c r="M608" s="36"/>
      <c r="N608" s="10"/>
      <c r="O608" s="10"/>
      <c r="P608" s="10"/>
      <c r="Q608" s="22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0"/>
      <c r="B609" s="16"/>
      <c r="C609" s="10"/>
      <c r="D609" s="11"/>
      <c r="E609" s="36"/>
      <c r="F609" s="36"/>
      <c r="G609" s="36"/>
      <c r="H609" s="36"/>
      <c r="I609" s="36"/>
      <c r="J609" s="36"/>
      <c r="K609" s="36"/>
      <c r="L609" s="36"/>
      <c r="M609" s="36"/>
      <c r="N609" s="10"/>
      <c r="O609" s="10"/>
      <c r="P609" s="10"/>
      <c r="Q609" s="22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0"/>
      <c r="B610" s="16"/>
      <c r="C610" s="10"/>
      <c r="D610" s="11"/>
      <c r="E610" s="36"/>
      <c r="F610" s="36"/>
      <c r="G610" s="36"/>
      <c r="H610" s="36"/>
      <c r="I610" s="36"/>
      <c r="J610" s="36"/>
      <c r="K610" s="36"/>
      <c r="L610" s="36"/>
      <c r="M610" s="36"/>
      <c r="N610" s="10"/>
      <c r="O610" s="10"/>
      <c r="P610" s="10"/>
      <c r="Q610" s="22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0"/>
      <c r="B611" s="16"/>
      <c r="C611" s="10"/>
      <c r="D611" s="11"/>
      <c r="E611" s="36"/>
      <c r="F611" s="36"/>
      <c r="G611" s="36"/>
      <c r="H611" s="36"/>
      <c r="I611" s="36"/>
      <c r="J611" s="36"/>
      <c r="K611" s="36"/>
      <c r="L611" s="36"/>
      <c r="M611" s="36"/>
      <c r="N611" s="10"/>
      <c r="O611" s="10"/>
      <c r="P611" s="10"/>
      <c r="Q611" s="22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0"/>
      <c r="B612" s="16"/>
      <c r="C612" s="10"/>
      <c r="D612" s="11"/>
      <c r="E612" s="36"/>
      <c r="F612" s="36"/>
      <c r="G612" s="36"/>
      <c r="H612" s="36"/>
      <c r="I612" s="36"/>
      <c r="J612" s="36"/>
      <c r="K612" s="36"/>
      <c r="L612" s="36"/>
      <c r="M612" s="36"/>
      <c r="N612" s="10"/>
      <c r="O612" s="10"/>
      <c r="P612" s="10"/>
      <c r="Q612" s="22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0"/>
      <c r="B613" s="16"/>
      <c r="C613" s="10"/>
      <c r="D613" s="11"/>
      <c r="E613" s="36"/>
      <c r="F613" s="36"/>
      <c r="G613" s="36"/>
      <c r="H613" s="36"/>
      <c r="I613" s="36"/>
      <c r="J613" s="36"/>
      <c r="K613" s="36"/>
      <c r="L613" s="36"/>
      <c r="M613" s="36"/>
      <c r="N613" s="10"/>
      <c r="O613" s="10"/>
      <c r="P613" s="10"/>
      <c r="Q613" s="22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0"/>
      <c r="B614" s="16"/>
      <c r="C614" s="10"/>
      <c r="D614" s="11"/>
      <c r="E614" s="36"/>
      <c r="F614" s="36"/>
      <c r="G614" s="36"/>
      <c r="H614" s="36"/>
      <c r="I614" s="36"/>
      <c r="J614" s="36"/>
      <c r="K614" s="36"/>
      <c r="L614" s="36"/>
      <c r="M614" s="36"/>
      <c r="N614" s="10"/>
      <c r="O614" s="10"/>
      <c r="P614" s="10"/>
      <c r="Q614" s="22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0"/>
      <c r="B615" s="16"/>
      <c r="C615" s="10"/>
      <c r="D615" s="11"/>
      <c r="E615" s="36"/>
      <c r="F615" s="36"/>
      <c r="G615" s="36"/>
      <c r="H615" s="36"/>
      <c r="I615" s="36"/>
      <c r="J615" s="36"/>
      <c r="K615" s="36"/>
      <c r="L615" s="36"/>
      <c r="M615" s="36"/>
      <c r="N615" s="10"/>
      <c r="O615" s="10"/>
      <c r="P615" s="10"/>
      <c r="Q615" s="22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0"/>
      <c r="B616" s="16"/>
      <c r="C616" s="10"/>
      <c r="D616" s="11"/>
      <c r="E616" s="36"/>
      <c r="F616" s="36"/>
      <c r="G616" s="36"/>
      <c r="H616" s="36"/>
      <c r="I616" s="36"/>
      <c r="J616" s="36"/>
      <c r="K616" s="36"/>
      <c r="L616" s="36"/>
      <c r="M616" s="36"/>
      <c r="N616" s="10"/>
      <c r="O616" s="10"/>
      <c r="P616" s="10"/>
      <c r="Q616" s="22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0"/>
      <c r="B617" s="16"/>
      <c r="C617" s="10"/>
      <c r="D617" s="11"/>
      <c r="E617" s="36"/>
      <c r="F617" s="36"/>
      <c r="G617" s="36"/>
      <c r="H617" s="36"/>
      <c r="I617" s="36"/>
      <c r="J617" s="36"/>
      <c r="K617" s="36"/>
      <c r="L617" s="36"/>
      <c r="M617" s="36"/>
      <c r="N617" s="10"/>
      <c r="O617" s="10"/>
      <c r="P617" s="10"/>
      <c r="Q617" s="22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0"/>
      <c r="B618" s="16"/>
      <c r="C618" s="10"/>
      <c r="D618" s="11"/>
      <c r="E618" s="36"/>
      <c r="F618" s="36"/>
      <c r="G618" s="36"/>
      <c r="H618" s="36"/>
      <c r="I618" s="36"/>
      <c r="J618" s="36"/>
      <c r="K618" s="36"/>
      <c r="L618" s="36"/>
      <c r="M618" s="36"/>
      <c r="N618" s="10"/>
      <c r="O618" s="10"/>
      <c r="P618" s="10"/>
      <c r="Q618" s="22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0"/>
      <c r="B619" s="16"/>
      <c r="C619" s="10"/>
      <c r="D619" s="11"/>
      <c r="E619" s="36"/>
      <c r="F619" s="36"/>
      <c r="G619" s="36"/>
      <c r="H619" s="36"/>
      <c r="I619" s="36"/>
      <c r="J619" s="36"/>
      <c r="K619" s="36"/>
      <c r="L619" s="36"/>
      <c r="M619" s="36"/>
      <c r="N619" s="10"/>
      <c r="O619" s="10"/>
      <c r="P619" s="10"/>
      <c r="Q619" s="22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0"/>
      <c r="B620" s="16"/>
      <c r="C620" s="10"/>
      <c r="D620" s="11"/>
      <c r="E620" s="36"/>
      <c r="F620" s="36"/>
      <c r="G620" s="36"/>
      <c r="H620" s="36"/>
      <c r="I620" s="36"/>
      <c r="J620" s="36"/>
      <c r="K620" s="36"/>
      <c r="L620" s="36"/>
      <c r="M620" s="36"/>
      <c r="N620" s="10"/>
      <c r="O620" s="10"/>
      <c r="P620" s="10"/>
      <c r="Q620" s="22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0"/>
      <c r="B621" s="16"/>
      <c r="C621" s="10"/>
      <c r="D621" s="11"/>
      <c r="E621" s="36"/>
      <c r="F621" s="36"/>
      <c r="G621" s="36"/>
      <c r="H621" s="36"/>
      <c r="I621" s="36"/>
      <c r="J621" s="36"/>
      <c r="K621" s="36"/>
      <c r="L621" s="36"/>
      <c r="M621" s="36"/>
      <c r="N621" s="10"/>
      <c r="O621" s="10"/>
      <c r="P621" s="10"/>
      <c r="Q621" s="22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0"/>
      <c r="B622" s="16"/>
      <c r="C622" s="10"/>
      <c r="D622" s="11"/>
      <c r="E622" s="36"/>
      <c r="F622" s="36"/>
      <c r="G622" s="36"/>
      <c r="H622" s="36"/>
      <c r="I622" s="36"/>
      <c r="J622" s="36"/>
      <c r="K622" s="36"/>
      <c r="L622" s="36"/>
      <c r="M622" s="36"/>
      <c r="N622" s="10"/>
      <c r="O622" s="10"/>
      <c r="P622" s="10"/>
      <c r="Q622" s="22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0"/>
      <c r="B623" s="16"/>
      <c r="C623" s="10"/>
      <c r="D623" s="11"/>
      <c r="E623" s="36"/>
      <c r="F623" s="36"/>
      <c r="G623" s="36"/>
      <c r="H623" s="36"/>
      <c r="I623" s="36"/>
      <c r="J623" s="36"/>
      <c r="K623" s="36"/>
      <c r="L623" s="36"/>
      <c r="M623" s="36"/>
      <c r="N623" s="10"/>
      <c r="O623" s="10"/>
      <c r="P623" s="10"/>
      <c r="Q623" s="22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0"/>
      <c r="B624" s="16"/>
      <c r="C624" s="10"/>
      <c r="D624" s="11"/>
      <c r="E624" s="36"/>
      <c r="F624" s="36"/>
      <c r="G624" s="36"/>
      <c r="H624" s="36"/>
      <c r="I624" s="36"/>
      <c r="J624" s="36"/>
      <c r="K624" s="36"/>
      <c r="L624" s="36"/>
      <c r="M624" s="36"/>
      <c r="N624" s="10"/>
      <c r="O624" s="10"/>
      <c r="P624" s="10"/>
      <c r="Q624" s="22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0"/>
      <c r="B625" s="16"/>
      <c r="C625" s="10"/>
      <c r="D625" s="11"/>
      <c r="E625" s="36"/>
      <c r="F625" s="36"/>
      <c r="G625" s="36"/>
      <c r="H625" s="36"/>
      <c r="I625" s="36"/>
      <c r="J625" s="36"/>
      <c r="K625" s="36"/>
      <c r="L625" s="36"/>
      <c r="M625" s="36"/>
      <c r="N625" s="10"/>
      <c r="O625" s="10"/>
      <c r="P625" s="10"/>
      <c r="Q625" s="22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0"/>
      <c r="B626" s="16"/>
      <c r="C626" s="10"/>
      <c r="D626" s="11"/>
      <c r="E626" s="36"/>
      <c r="F626" s="36"/>
      <c r="G626" s="36"/>
      <c r="H626" s="36"/>
      <c r="I626" s="36"/>
      <c r="J626" s="36"/>
      <c r="K626" s="36"/>
      <c r="L626" s="36"/>
      <c r="M626" s="36"/>
      <c r="N626" s="10"/>
      <c r="O626" s="10"/>
      <c r="P626" s="10"/>
      <c r="Q626" s="22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0"/>
      <c r="B627" s="16"/>
      <c r="C627" s="10"/>
      <c r="D627" s="11"/>
      <c r="E627" s="36"/>
      <c r="F627" s="36"/>
      <c r="G627" s="36"/>
      <c r="H627" s="36"/>
      <c r="I627" s="36"/>
      <c r="J627" s="36"/>
      <c r="K627" s="36"/>
      <c r="L627" s="36"/>
      <c r="M627" s="36"/>
      <c r="N627" s="10"/>
      <c r="O627" s="10"/>
      <c r="P627" s="10"/>
      <c r="Q627" s="22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0"/>
      <c r="B628" s="16"/>
      <c r="C628" s="10"/>
      <c r="D628" s="11"/>
      <c r="E628" s="36"/>
      <c r="F628" s="36"/>
      <c r="G628" s="36"/>
      <c r="H628" s="36"/>
      <c r="I628" s="36"/>
      <c r="J628" s="36"/>
      <c r="K628" s="36"/>
      <c r="L628" s="36"/>
      <c r="M628" s="36"/>
      <c r="N628" s="10"/>
      <c r="O628" s="10"/>
      <c r="P628" s="10"/>
      <c r="Q628" s="22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0"/>
      <c r="B629" s="16"/>
      <c r="C629" s="10"/>
      <c r="D629" s="11"/>
      <c r="E629" s="36"/>
      <c r="F629" s="36"/>
      <c r="G629" s="36"/>
      <c r="H629" s="36"/>
      <c r="I629" s="36"/>
      <c r="J629" s="36"/>
      <c r="K629" s="36"/>
      <c r="L629" s="36"/>
      <c r="M629" s="36"/>
      <c r="N629" s="10"/>
      <c r="O629" s="10"/>
      <c r="P629" s="10"/>
      <c r="Q629" s="22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0"/>
      <c r="B630" s="16"/>
      <c r="C630" s="10"/>
      <c r="D630" s="11"/>
      <c r="E630" s="36"/>
      <c r="F630" s="36"/>
      <c r="G630" s="36"/>
      <c r="H630" s="36"/>
      <c r="I630" s="36"/>
      <c r="J630" s="36"/>
      <c r="K630" s="36"/>
      <c r="L630" s="36"/>
      <c r="M630" s="36"/>
      <c r="N630" s="10"/>
      <c r="O630" s="10"/>
      <c r="P630" s="10"/>
      <c r="Q630" s="22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0"/>
      <c r="B631" s="16"/>
      <c r="C631" s="10"/>
      <c r="D631" s="11"/>
      <c r="E631" s="36"/>
      <c r="F631" s="36"/>
      <c r="G631" s="36"/>
      <c r="H631" s="36"/>
      <c r="I631" s="36"/>
      <c r="J631" s="36"/>
      <c r="K631" s="36"/>
      <c r="L631" s="36"/>
      <c r="M631" s="36"/>
      <c r="N631" s="10"/>
      <c r="O631" s="10"/>
      <c r="P631" s="10"/>
      <c r="Q631" s="22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0"/>
      <c r="B632" s="16"/>
      <c r="C632" s="10"/>
      <c r="D632" s="11"/>
      <c r="E632" s="36"/>
      <c r="F632" s="36"/>
      <c r="G632" s="36"/>
      <c r="H632" s="36"/>
      <c r="I632" s="36"/>
      <c r="J632" s="36"/>
      <c r="K632" s="36"/>
      <c r="L632" s="36"/>
      <c r="M632" s="36"/>
      <c r="N632" s="10"/>
      <c r="O632" s="10"/>
      <c r="P632" s="10"/>
      <c r="Q632" s="22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0"/>
      <c r="B633" s="16"/>
      <c r="C633" s="10"/>
      <c r="D633" s="11"/>
      <c r="E633" s="36"/>
      <c r="F633" s="36"/>
      <c r="G633" s="36"/>
      <c r="H633" s="36"/>
      <c r="I633" s="36"/>
      <c r="J633" s="36"/>
      <c r="K633" s="36"/>
      <c r="L633" s="36"/>
      <c r="M633" s="36"/>
      <c r="N633" s="10"/>
      <c r="O633" s="10"/>
      <c r="P633" s="10"/>
      <c r="Q633" s="22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0"/>
      <c r="B634" s="16"/>
      <c r="C634" s="10"/>
      <c r="D634" s="11"/>
      <c r="E634" s="36"/>
      <c r="F634" s="36"/>
      <c r="G634" s="36"/>
      <c r="H634" s="36"/>
      <c r="I634" s="36"/>
      <c r="J634" s="36"/>
      <c r="K634" s="36"/>
      <c r="L634" s="36"/>
      <c r="M634" s="36"/>
      <c r="N634" s="10"/>
      <c r="O634" s="10"/>
      <c r="P634" s="10"/>
      <c r="Q634" s="22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0"/>
      <c r="B635" s="16"/>
      <c r="C635" s="10"/>
      <c r="D635" s="11"/>
      <c r="E635" s="36"/>
      <c r="F635" s="36"/>
      <c r="G635" s="36"/>
      <c r="H635" s="36"/>
      <c r="I635" s="36"/>
      <c r="J635" s="36"/>
      <c r="K635" s="36"/>
      <c r="L635" s="36"/>
      <c r="M635" s="36"/>
      <c r="N635" s="10"/>
      <c r="O635" s="10"/>
      <c r="P635" s="10"/>
      <c r="Q635" s="22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0"/>
      <c r="B636" s="16"/>
      <c r="C636" s="10"/>
      <c r="D636" s="11"/>
      <c r="E636" s="36"/>
      <c r="F636" s="36"/>
      <c r="G636" s="36"/>
      <c r="H636" s="36"/>
      <c r="I636" s="36"/>
      <c r="J636" s="36"/>
      <c r="K636" s="36"/>
      <c r="L636" s="36"/>
      <c r="M636" s="36"/>
      <c r="N636" s="10"/>
      <c r="O636" s="10"/>
      <c r="P636" s="10"/>
      <c r="Q636" s="22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0"/>
      <c r="B637" s="16"/>
      <c r="C637" s="10"/>
      <c r="D637" s="11"/>
      <c r="E637" s="36"/>
      <c r="F637" s="36"/>
      <c r="G637" s="36"/>
      <c r="H637" s="36"/>
      <c r="I637" s="36"/>
      <c r="J637" s="36"/>
      <c r="K637" s="36"/>
      <c r="L637" s="36"/>
      <c r="M637" s="36"/>
      <c r="N637" s="10"/>
      <c r="O637" s="10"/>
      <c r="P637" s="10"/>
      <c r="Q637" s="22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0"/>
      <c r="B638" s="16"/>
      <c r="C638" s="10"/>
      <c r="D638" s="11"/>
      <c r="E638" s="36"/>
      <c r="F638" s="36"/>
      <c r="G638" s="36"/>
      <c r="H638" s="36"/>
      <c r="I638" s="36"/>
      <c r="J638" s="36"/>
      <c r="K638" s="36"/>
      <c r="L638" s="36"/>
      <c r="M638" s="36"/>
      <c r="N638" s="10"/>
      <c r="O638" s="10"/>
      <c r="P638" s="10"/>
      <c r="Q638" s="22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0"/>
      <c r="B639" s="16"/>
      <c r="C639" s="10"/>
      <c r="D639" s="11"/>
      <c r="E639" s="36"/>
      <c r="F639" s="36"/>
      <c r="G639" s="36"/>
      <c r="H639" s="36"/>
      <c r="I639" s="36"/>
      <c r="J639" s="36"/>
      <c r="K639" s="36"/>
      <c r="L639" s="36"/>
      <c r="M639" s="36"/>
      <c r="N639" s="10"/>
      <c r="O639" s="10"/>
      <c r="P639" s="10"/>
      <c r="Q639" s="22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0"/>
      <c r="B640" s="16"/>
      <c r="C640" s="10"/>
      <c r="D640" s="11"/>
      <c r="E640" s="36"/>
      <c r="F640" s="36"/>
      <c r="G640" s="36"/>
      <c r="H640" s="36"/>
      <c r="I640" s="36"/>
      <c r="J640" s="36"/>
      <c r="K640" s="36"/>
      <c r="L640" s="36"/>
      <c r="M640" s="36"/>
      <c r="N640" s="10"/>
      <c r="O640" s="10"/>
      <c r="P640" s="10"/>
      <c r="Q640" s="22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0"/>
      <c r="B641" s="16"/>
      <c r="C641" s="10"/>
      <c r="D641" s="11"/>
      <c r="E641" s="36"/>
      <c r="F641" s="36"/>
      <c r="G641" s="36"/>
      <c r="H641" s="36"/>
      <c r="I641" s="36"/>
      <c r="J641" s="36"/>
      <c r="K641" s="36"/>
      <c r="L641" s="36"/>
      <c r="M641" s="36"/>
      <c r="N641" s="10"/>
      <c r="O641" s="10"/>
      <c r="P641" s="10"/>
      <c r="Q641" s="22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0"/>
      <c r="B642" s="16"/>
      <c r="C642" s="10"/>
      <c r="D642" s="11"/>
      <c r="E642" s="36"/>
      <c r="F642" s="36"/>
      <c r="G642" s="36"/>
      <c r="H642" s="36"/>
      <c r="I642" s="36"/>
      <c r="J642" s="36"/>
      <c r="K642" s="36"/>
      <c r="L642" s="36"/>
      <c r="M642" s="36"/>
      <c r="N642" s="10"/>
      <c r="O642" s="10"/>
      <c r="P642" s="10"/>
      <c r="Q642" s="22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0"/>
      <c r="B643" s="16"/>
      <c r="C643" s="10"/>
      <c r="D643" s="11"/>
      <c r="E643" s="36"/>
      <c r="F643" s="36"/>
      <c r="G643" s="36"/>
      <c r="H643" s="36"/>
      <c r="I643" s="36"/>
      <c r="J643" s="36"/>
      <c r="K643" s="36"/>
      <c r="L643" s="36"/>
      <c r="M643" s="36"/>
      <c r="N643" s="10"/>
      <c r="O643" s="10"/>
      <c r="P643" s="10"/>
      <c r="Q643" s="22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0"/>
      <c r="B644" s="16"/>
      <c r="C644" s="10"/>
      <c r="D644" s="11"/>
      <c r="E644" s="36"/>
      <c r="F644" s="36"/>
      <c r="G644" s="36"/>
      <c r="H644" s="36"/>
      <c r="I644" s="36"/>
      <c r="J644" s="36"/>
      <c r="K644" s="36"/>
      <c r="L644" s="36"/>
      <c r="M644" s="36"/>
      <c r="N644" s="10"/>
      <c r="O644" s="10"/>
      <c r="P644" s="10"/>
      <c r="Q644" s="22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0"/>
      <c r="B645" s="16"/>
      <c r="C645" s="10"/>
      <c r="D645" s="11"/>
      <c r="E645" s="36"/>
      <c r="F645" s="36"/>
      <c r="G645" s="36"/>
      <c r="H645" s="36"/>
      <c r="I645" s="36"/>
      <c r="J645" s="36"/>
      <c r="K645" s="36"/>
      <c r="L645" s="36"/>
      <c r="M645" s="36"/>
      <c r="N645" s="10"/>
      <c r="O645" s="10"/>
      <c r="P645" s="10"/>
      <c r="Q645" s="22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0"/>
      <c r="B646" s="16"/>
      <c r="C646" s="10"/>
      <c r="D646" s="11"/>
      <c r="E646" s="36"/>
      <c r="F646" s="36"/>
      <c r="G646" s="36"/>
      <c r="H646" s="36"/>
      <c r="I646" s="36"/>
      <c r="J646" s="36"/>
      <c r="K646" s="36"/>
      <c r="L646" s="36"/>
      <c r="M646" s="36"/>
      <c r="N646" s="10"/>
      <c r="O646" s="10"/>
      <c r="P646" s="10"/>
      <c r="Q646" s="22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0"/>
      <c r="B647" s="16"/>
      <c r="C647" s="10"/>
      <c r="D647" s="11"/>
      <c r="E647" s="36"/>
      <c r="F647" s="36"/>
      <c r="G647" s="36"/>
      <c r="H647" s="36"/>
      <c r="I647" s="36"/>
      <c r="J647" s="36"/>
      <c r="K647" s="36"/>
      <c r="L647" s="36"/>
      <c r="M647" s="36"/>
      <c r="N647" s="10"/>
      <c r="O647" s="10"/>
      <c r="P647" s="10"/>
      <c r="Q647" s="22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0"/>
      <c r="B648" s="16"/>
      <c r="C648" s="10"/>
      <c r="D648" s="11"/>
      <c r="E648" s="36"/>
      <c r="F648" s="36"/>
      <c r="G648" s="36"/>
      <c r="H648" s="36"/>
      <c r="I648" s="36"/>
      <c r="J648" s="36"/>
      <c r="K648" s="36"/>
      <c r="L648" s="36"/>
      <c r="M648" s="36"/>
      <c r="N648" s="10"/>
      <c r="O648" s="10"/>
      <c r="P648" s="10"/>
      <c r="Q648" s="22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0"/>
      <c r="B649" s="16"/>
      <c r="C649" s="10"/>
      <c r="D649" s="11"/>
      <c r="E649" s="36"/>
      <c r="F649" s="36"/>
      <c r="G649" s="36"/>
      <c r="H649" s="36"/>
      <c r="I649" s="36"/>
      <c r="J649" s="36"/>
      <c r="K649" s="36"/>
      <c r="L649" s="36"/>
      <c r="M649" s="36"/>
      <c r="N649" s="10"/>
      <c r="O649" s="10"/>
      <c r="P649" s="10"/>
      <c r="Q649" s="22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0"/>
      <c r="B650" s="16"/>
      <c r="C650" s="10"/>
      <c r="D650" s="11"/>
      <c r="E650" s="36"/>
      <c r="F650" s="36"/>
      <c r="G650" s="36"/>
      <c r="H650" s="36"/>
      <c r="I650" s="36"/>
      <c r="J650" s="36"/>
      <c r="K650" s="36"/>
      <c r="L650" s="36"/>
      <c r="M650" s="36"/>
      <c r="N650" s="10"/>
      <c r="O650" s="10"/>
      <c r="P650" s="10"/>
      <c r="Q650" s="22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0"/>
      <c r="B651" s="16"/>
      <c r="C651" s="10"/>
      <c r="D651" s="11"/>
      <c r="E651" s="36"/>
      <c r="F651" s="36"/>
      <c r="G651" s="36"/>
      <c r="H651" s="36"/>
      <c r="I651" s="36"/>
      <c r="J651" s="36"/>
      <c r="K651" s="36"/>
      <c r="L651" s="36"/>
      <c r="M651" s="36"/>
      <c r="N651" s="10"/>
      <c r="O651" s="10"/>
      <c r="P651" s="10"/>
      <c r="Q651" s="22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0"/>
      <c r="B652" s="16"/>
      <c r="C652" s="10"/>
      <c r="D652" s="11"/>
      <c r="E652" s="36"/>
      <c r="F652" s="36"/>
      <c r="G652" s="36"/>
      <c r="H652" s="36"/>
      <c r="I652" s="36"/>
      <c r="J652" s="36"/>
      <c r="K652" s="36"/>
      <c r="L652" s="36"/>
      <c r="M652" s="36"/>
      <c r="N652" s="10"/>
      <c r="O652" s="10"/>
      <c r="P652" s="10"/>
      <c r="Q652" s="22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0"/>
      <c r="B653" s="16"/>
      <c r="C653" s="10"/>
      <c r="D653" s="11"/>
      <c r="E653" s="36"/>
      <c r="F653" s="36"/>
      <c r="G653" s="36"/>
      <c r="H653" s="36"/>
      <c r="I653" s="36"/>
      <c r="J653" s="36"/>
      <c r="K653" s="36"/>
      <c r="L653" s="36"/>
      <c r="M653" s="36"/>
      <c r="N653" s="10"/>
      <c r="O653" s="10"/>
      <c r="P653" s="10"/>
      <c r="Q653" s="22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0"/>
      <c r="B654" s="16"/>
      <c r="C654" s="10"/>
      <c r="D654" s="11"/>
      <c r="E654" s="36"/>
      <c r="F654" s="36"/>
      <c r="G654" s="36"/>
      <c r="H654" s="36"/>
      <c r="I654" s="36"/>
      <c r="J654" s="36"/>
      <c r="K654" s="36"/>
      <c r="L654" s="36"/>
      <c r="M654" s="36"/>
      <c r="N654" s="10"/>
      <c r="O654" s="10"/>
      <c r="P654" s="10"/>
      <c r="Q654" s="22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0"/>
      <c r="B655" s="16"/>
      <c r="C655" s="10"/>
      <c r="D655" s="11"/>
      <c r="E655" s="36"/>
      <c r="F655" s="36"/>
      <c r="G655" s="36"/>
      <c r="H655" s="36"/>
      <c r="I655" s="36"/>
      <c r="J655" s="36"/>
      <c r="K655" s="36"/>
      <c r="L655" s="36"/>
      <c r="M655" s="36"/>
      <c r="N655" s="10"/>
      <c r="O655" s="10"/>
      <c r="P655" s="10"/>
      <c r="Q655" s="22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0"/>
      <c r="B656" s="16"/>
      <c r="C656" s="10"/>
      <c r="D656" s="11"/>
      <c r="E656" s="36"/>
      <c r="F656" s="36"/>
      <c r="G656" s="36"/>
      <c r="H656" s="36"/>
      <c r="I656" s="36"/>
      <c r="J656" s="36"/>
      <c r="K656" s="36"/>
      <c r="L656" s="36"/>
      <c r="M656" s="36"/>
      <c r="N656" s="10"/>
      <c r="O656" s="10"/>
      <c r="P656" s="10"/>
      <c r="Q656" s="22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0"/>
      <c r="B657" s="16"/>
      <c r="C657" s="10"/>
      <c r="D657" s="11"/>
      <c r="E657" s="36"/>
      <c r="F657" s="36"/>
      <c r="G657" s="36"/>
      <c r="H657" s="36"/>
      <c r="I657" s="36"/>
      <c r="J657" s="36"/>
      <c r="K657" s="36"/>
      <c r="L657" s="36"/>
      <c r="M657" s="36"/>
      <c r="N657" s="10"/>
      <c r="O657" s="10"/>
      <c r="P657" s="10"/>
      <c r="Q657" s="22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0"/>
      <c r="B658" s="16"/>
      <c r="C658" s="10"/>
      <c r="D658" s="11"/>
      <c r="E658" s="36"/>
      <c r="F658" s="36"/>
      <c r="G658" s="36"/>
      <c r="H658" s="36"/>
      <c r="I658" s="36"/>
      <c r="J658" s="36"/>
      <c r="K658" s="36"/>
      <c r="L658" s="36"/>
      <c r="M658" s="36"/>
      <c r="N658" s="10"/>
      <c r="O658" s="10"/>
      <c r="P658" s="10"/>
      <c r="Q658" s="22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0"/>
      <c r="B659" s="16"/>
      <c r="C659" s="10"/>
      <c r="D659" s="11"/>
      <c r="E659" s="36"/>
      <c r="F659" s="36"/>
      <c r="G659" s="36"/>
      <c r="H659" s="36"/>
      <c r="I659" s="36"/>
      <c r="J659" s="36"/>
      <c r="K659" s="36"/>
      <c r="L659" s="36"/>
      <c r="M659" s="36"/>
      <c r="N659" s="10"/>
      <c r="O659" s="10"/>
      <c r="P659" s="10"/>
      <c r="Q659" s="22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0"/>
      <c r="B660" s="16"/>
      <c r="C660" s="10"/>
      <c r="D660" s="11"/>
      <c r="E660" s="36"/>
      <c r="F660" s="36"/>
      <c r="G660" s="36"/>
      <c r="H660" s="36"/>
      <c r="I660" s="36"/>
      <c r="J660" s="36"/>
      <c r="K660" s="36"/>
      <c r="L660" s="36"/>
      <c r="M660" s="36"/>
      <c r="N660" s="10"/>
      <c r="O660" s="10"/>
      <c r="P660" s="10"/>
      <c r="Q660" s="22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0"/>
      <c r="B661" s="16"/>
      <c r="C661" s="10"/>
      <c r="D661" s="11"/>
      <c r="E661" s="36"/>
      <c r="F661" s="36"/>
      <c r="G661" s="36"/>
      <c r="H661" s="36"/>
      <c r="I661" s="36"/>
      <c r="J661" s="36"/>
      <c r="K661" s="36"/>
      <c r="L661" s="36"/>
      <c r="M661" s="36"/>
      <c r="N661" s="10"/>
      <c r="O661" s="10"/>
      <c r="P661" s="10"/>
      <c r="Q661" s="22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0"/>
      <c r="B662" s="16"/>
      <c r="C662" s="10"/>
      <c r="D662" s="11"/>
      <c r="E662" s="36"/>
      <c r="F662" s="36"/>
      <c r="G662" s="36"/>
      <c r="H662" s="36"/>
      <c r="I662" s="36"/>
      <c r="J662" s="36"/>
      <c r="K662" s="36"/>
      <c r="L662" s="36"/>
      <c r="M662" s="36"/>
      <c r="N662" s="10"/>
      <c r="O662" s="10"/>
      <c r="P662" s="10"/>
      <c r="Q662" s="22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0"/>
      <c r="B663" s="16"/>
      <c r="C663" s="10"/>
      <c r="D663" s="11"/>
      <c r="E663" s="36"/>
      <c r="F663" s="36"/>
      <c r="G663" s="36"/>
      <c r="H663" s="36"/>
      <c r="I663" s="36"/>
      <c r="J663" s="36"/>
      <c r="K663" s="36"/>
      <c r="L663" s="36"/>
      <c r="M663" s="36"/>
      <c r="N663" s="10"/>
      <c r="O663" s="10"/>
      <c r="P663" s="10"/>
      <c r="Q663" s="22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0"/>
      <c r="B664" s="16"/>
      <c r="C664" s="10"/>
      <c r="D664" s="11"/>
      <c r="E664" s="36"/>
      <c r="F664" s="36"/>
      <c r="G664" s="36"/>
      <c r="H664" s="36"/>
      <c r="I664" s="36"/>
      <c r="J664" s="36"/>
      <c r="K664" s="36"/>
      <c r="L664" s="36"/>
      <c r="M664" s="36"/>
      <c r="N664" s="10"/>
      <c r="O664" s="10"/>
      <c r="P664" s="10"/>
      <c r="Q664" s="22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0"/>
      <c r="B665" s="16"/>
      <c r="C665" s="10"/>
      <c r="D665" s="11"/>
      <c r="E665" s="36"/>
      <c r="F665" s="36"/>
      <c r="G665" s="36"/>
      <c r="H665" s="36"/>
      <c r="I665" s="36"/>
      <c r="J665" s="36"/>
      <c r="K665" s="36"/>
      <c r="L665" s="36"/>
      <c r="M665" s="36"/>
      <c r="N665" s="10"/>
      <c r="O665" s="10"/>
      <c r="P665" s="10"/>
      <c r="Q665" s="22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0"/>
      <c r="B666" s="16"/>
      <c r="C666" s="10"/>
      <c r="D666" s="11"/>
      <c r="E666" s="36"/>
      <c r="F666" s="36"/>
      <c r="G666" s="36"/>
      <c r="H666" s="36"/>
      <c r="I666" s="36"/>
      <c r="J666" s="36"/>
      <c r="K666" s="36"/>
      <c r="L666" s="36"/>
      <c r="M666" s="36"/>
      <c r="N666" s="10"/>
      <c r="O666" s="10"/>
      <c r="P666" s="10"/>
      <c r="Q666" s="22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0"/>
      <c r="B667" s="16"/>
      <c r="C667" s="10"/>
      <c r="D667" s="11"/>
      <c r="E667" s="36"/>
      <c r="F667" s="36"/>
      <c r="G667" s="36"/>
      <c r="H667" s="36"/>
      <c r="I667" s="36"/>
      <c r="J667" s="36"/>
      <c r="K667" s="36"/>
      <c r="L667" s="36"/>
      <c r="M667" s="36"/>
      <c r="N667" s="10"/>
      <c r="O667" s="10"/>
      <c r="P667" s="10"/>
      <c r="Q667" s="22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0"/>
      <c r="B668" s="16"/>
      <c r="C668" s="10"/>
      <c r="D668" s="11"/>
      <c r="E668" s="36"/>
      <c r="F668" s="36"/>
      <c r="G668" s="36"/>
      <c r="H668" s="36"/>
      <c r="I668" s="36"/>
      <c r="J668" s="36"/>
      <c r="K668" s="36"/>
      <c r="L668" s="36"/>
      <c r="M668" s="36"/>
      <c r="N668" s="10"/>
      <c r="O668" s="10"/>
      <c r="P668" s="10"/>
      <c r="Q668" s="22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0"/>
      <c r="B669" s="16"/>
      <c r="C669" s="10"/>
      <c r="D669" s="11"/>
      <c r="E669" s="36"/>
      <c r="F669" s="36"/>
      <c r="G669" s="36"/>
      <c r="H669" s="36"/>
      <c r="I669" s="36"/>
      <c r="J669" s="36"/>
      <c r="K669" s="36"/>
      <c r="L669" s="36"/>
      <c r="M669" s="36"/>
      <c r="N669" s="10"/>
      <c r="O669" s="10"/>
      <c r="P669" s="10"/>
      <c r="Q669" s="22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0"/>
      <c r="B670" s="16"/>
      <c r="C670" s="10"/>
      <c r="D670" s="11"/>
      <c r="E670" s="36"/>
      <c r="F670" s="36"/>
      <c r="G670" s="36"/>
      <c r="H670" s="36"/>
      <c r="I670" s="36"/>
      <c r="J670" s="36"/>
      <c r="K670" s="36"/>
      <c r="L670" s="36"/>
      <c r="M670" s="36"/>
      <c r="N670" s="10"/>
      <c r="O670" s="10"/>
      <c r="P670" s="10"/>
      <c r="Q670" s="22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0"/>
      <c r="B671" s="16"/>
      <c r="C671" s="10"/>
      <c r="D671" s="11"/>
      <c r="E671" s="36"/>
      <c r="F671" s="36"/>
      <c r="G671" s="36"/>
      <c r="H671" s="36"/>
      <c r="I671" s="36"/>
      <c r="J671" s="36"/>
      <c r="K671" s="36"/>
      <c r="L671" s="36"/>
      <c r="M671" s="36"/>
      <c r="N671" s="10"/>
      <c r="O671" s="10"/>
      <c r="P671" s="10"/>
      <c r="Q671" s="22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0"/>
      <c r="B672" s="16"/>
      <c r="C672" s="10"/>
      <c r="D672" s="11"/>
      <c r="E672" s="36"/>
      <c r="F672" s="36"/>
      <c r="G672" s="36"/>
      <c r="H672" s="36"/>
      <c r="I672" s="36"/>
      <c r="J672" s="36"/>
      <c r="K672" s="36"/>
      <c r="L672" s="36"/>
      <c r="M672" s="36"/>
      <c r="N672" s="10"/>
      <c r="O672" s="10"/>
      <c r="P672" s="10"/>
      <c r="Q672" s="22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0"/>
      <c r="B673" s="16"/>
      <c r="C673" s="10"/>
      <c r="D673" s="11"/>
      <c r="E673" s="36"/>
      <c r="F673" s="36"/>
      <c r="G673" s="36"/>
      <c r="H673" s="36"/>
      <c r="I673" s="36"/>
      <c r="J673" s="36"/>
      <c r="K673" s="36"/>
      <c r="L673" s="36"/>
      <c r="M673" s="36"/>
      <c r="N673" s="10"/>
      <c r="O673" s="10"/>
      <c r="P673" s="10"/>
      <c r="Q673" s="22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0"/>
      <c r="B674" s="16"/>
      <c r="C674" s="10"/>
      <c r="D674" s="11"/>
      <c r="E674" s="36"/>
      <c r="F674" s="36"/>
      <c r="G674" s="36"/>
      <c r="H674" s="36"/>
      <c r="I674" s="36"/>
      <c r="J674" s="36"/>
      <c r="K674" s="36"/>
      <c r="L674" s="36"/>
      <c r="M674" s="36"/>
      <c r="N674" s="10"/>
      <c r="O674" s="10"/>
      <c r="P674" s="10"/>
      <c r="Q674" s="22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0"/>
      <c r="B675" s="16"/>
      <c r="C675" s="10"/>
      <c r="D675" s="11"/>
      <c r="E675" s="36"/>
      <c r="F675" s="36"/>
      <c r="G675" s="36"/>
      <c r="H675" s="36"/>
      <c r="I675" s="36"/>
      <c r="J675" s="36"/>
      <c r="K675" s="36"/>
      <c r="L675" s="36"/>
      <c r="M675" s="36"/>
      <c r="N675" s="10"/>
      <c r="O675" s="10"/>
      <c r="P675" s="10"/>
      <c r="Q675" s="22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0"/>
      <c r="B676" s="16"/>
      <c r="C676" s="10"/>
      <c r="D676" s="11"/>
      <c r="E676" s="36"/>
      <c r="F676" s="36"/>
      <c r="G676" s="36"/>
      <c r="H676" s="36"/>
      <c r="I676" s="36"/>
      <c r="J676" s="36"/>
      <c r="K676" s="36"/>
      <c r="L676" s="36"/>
      <c r="M676" s="36"/>
      <c r="N676" s="10"/>
      <c r="O676" s="10"/>
      <c r="P676" s="10"/>
      <c r="Q676" s="22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0"/>
      <c r="B677" s="16"/>
      <c r="C677" s="10"/>
      <c r="D677" s="11"/>
      <c r="E677" s="36"/>
      <c r="F677" s="36"/>
      <c r="G677" s="36"/>
      <c r="H677" s="36"/>
      <c r="I677" s="36"/>
      <c r="J677" s="36"/>
      <c r="K677" s="36"/>
      <c r="L677" s="36"/>
      <c r="M677" s="36"/>
      <c r="N677" s="10"/>
      <c r="O677" s="10"/>
      <c r="P677" s="10"/>
      <c r="Q677" s="22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0"/>
      <c r="B678" s="16"/>
      <c r="C678" s="10"/>
      <c r="D678" s="11"/>
      <c r="E678" s="36"/>
      <c r="F678" s="36"/>
      <c r="G678" s="36"/>
      <c r="H678" s="36"/>
      <c r="I678" s="36"/>
      <c r="J678" s="36"/>
      <c r="K678" s="36"/>
      <c r="L678" s="36"/>
      <c r="M678" s="36"/>
      <c r="N678" s="10"/>
      <c r="O678" s="10"/>
      <c r="P678" s="10"/>
      <c r="Q678" s="22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0"/>
      <c r="B679" s="16"/>
      <c r="C679" s="10"/>
      <c r="D679" s="11"/>
      <c r="E679" s="36"/>
      <c r="F679" s="36"/>
      <c r="G679" s="36"/>
      <c r="H679" s="36"/>
      <c r="I679" s="36"/>
      <c r="J679" s="36"/>
      <c r="K679" s="36"/>
      <c r="L679" s="36"/>
      <c r="M679" s="36"/>
      <c r="N679" s="10"/>
      <c r="O679" s="10"/>
      <c r="P679" s="10"/>
      <c r="Q679" s="22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0"/>
      <c r="B680" s="16"/>
      <c r="C680" s="10"/>
      <c r="D680" s="11"/>
      <c r="E680" s="36"/>
      <c r="F680" s="36"/>
      <c r="G680" s="36"/>
      <c r="H680" s="36"/>
      <c r="I680" s="36"/>
      <c r="J680" s="36"/>
      <c r="K680" s="36"/>
      <c r="L680" s="36"/>
      <c r="M680" s="36"/>
      <c r="N680" s="10"/>
      <c r="O680" s="10"/>
      <c r="P680" s="10"/>
      <c r="Q680" s="22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0"/>
      <c r="B681" s="16"/>
      <c r="C681" s="10"/>
      <c r="D681" s="11"/>
      <c r="E681" s="36"/>
      <c r="F681" s="36"/>
      <c r="G681" s="36"/>
      <c r="H681" s="36"/>
      <c r="I681" s="36"/>
      <c r="J681" s="36"/>
      <c r="K681" s="36"/>
      <c r="L681" s="36"/>
      <c r="M681" s="36"/>
      <c r="N681" s="10"/>
      <c r="O681" s="10"/>
      <c r="P681" s="10"/>
      <c r="Q681" s="22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0"/>
      <c r="B682" s="16"/>
      <c r="C682" s="10"/>
      <c r="D682" s="11"/>
      <c r="E682" s="36"/>
      <c r="F682" s="36"/>
      <c r="G682" s="36"/>
      <c r="H682" s="36"/>
      <c r="I682" s="36"/>
      <c r="J682" s="36"/>
      <c r="K682" s="36"/>
      <c r="L682" s="36"/>
      <c r="M682" s="36"/>
      <c r="N682" s="10"/>
      <c r="O682" s="10"/>
      <c r="P682" s="10"/>
      <c r="Q682" s="22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0"/>
      <c r="B683" s="16"/>
      <c r="C683" s="10"/>
      <c r="D683" s="11"/>
      <c r="E683" s="36"/>
      <c r="F683" s="36"/>
      <c r="G683" s="36"/>
      <c r="H683" s="36"/>
      <c r="I683" s="36"/>
      <c r="J683" s="36"/>
      <c r="K683" s="36"/>
      <c r="L683" s="36"/>
      <c r="M683" s="36"/>
      <c r="N683" s="10"/>
      <c r="O683" s="10"/>
      <c r="P683" s="10"/>
      <c r="Q683" s="22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0"/>
      <c r="B684" s="16"/>
      <c r="C684" s="10"/>
      <c r="D684" s="11"/>
      <c r="E684" s="36"/>
      <c r="F684" s="36"/>
      <c r="G684" s="36"/>
      <c r="H684" s="36"/>
      <c r="I684" s="36"/>
      <c r="J684" s="36"/>
      <c r="K684" s="36"/>
      <c r="L684" s="36"/>
      <c r="M684" s="36"/>
      <c r="N684" s="10"/>
      <c r="O684" s="10"/>
      <c r="P684" s="10"/>
      <c r="Q684" s="22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0"/>
      <c r="B685" s="16"/>
      <c r="C685" s="10"/>
      <c r="D685" s="11"/>
      <c r="E685" s="36"/>
      <c r="F685" s="36"/>
      <c r="G685" s="36"/>
      <c r="H685" s="36"/>
      <c r="I685" s="36"/>
      <c r="J685" s="36"/>
      <c r="K685" s="36"/>
      <c r="L685" s="36"/>
      <c r="M685" s="36"/>
      <c r="N685" s="10"/>
      <c r="O685" s="10"/>
      <c r="P685" s="10"/>
      <c r="Q685" s="22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0"/>
      <c r="B686" s="16"/>
      <c r="C686" s="10"/>
      <c r="D686" s="11"/>
      <c r="E686" s="36"/>
      <c r="F686" s="36"/>
      <c r="G686" s="36"/>
      <c r="H686" s="36"/>
      <c r="I686" s="36"/>
      <c r="J686" s="36"/>
      <c r="K686" s="36"/>
      <c r="L686" s="36"/>
      <c r="M686" s="36"/>
      <c r="N686" s="10"/>
      <c r="O686" s="10"/>
      <c r="P686" s="10"/>
      <c r="Q686" s="22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0"/>
      <c r="B687" s="16"/>
      <c r="C687" s="10"/>
      <c r="D687" s="11"/>
      <c r="E687" s="36"/>
      <c r="F687" s="36"/>
      <c r="G687" s="36"/>
      <c r="H687" s="36"/>
      <c r="I687" s="36"/>
      <c r="J687" s="36"/>
      <c r="K687" s="36"/>
      <c r="L687" s="36"/>
      <c r="M687" s="36"/>
      <c r="N687" s="10"/>
      <c r="O687" s="10"/>
      <c r="P687" s="10"/>
      <c r="Q687" s="22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0"/>
      <c r="B688" s="16"/>
      <c r="C688" s="10"/>
      <c r="D688" s="11"/>
      <c r="E688" s="36"/>
      <c r="F688" s="36"/>
      <c r="G688" s="36"/>
      <c r="H688" s="36"/>
      <c r="I688" s="36"/>
      <c r="J688" s="36"/>
      <c r="K688" s="36"/>
      <c r="L688" s="36"/>
      <c r="M688" s="36"/>
      <c r="N688" s="10"/>
      <c r="O688" s="10"/>
      <c r="P688" s="10"/>
      <c r="Q688" s="22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0"/>
      <c r="B689" s="16"/>
      <c r="C689" s="10"/>
      <c r="D689" s="11"/>
      <c r="E689" s="36"/>
      <c r="F689" s="36"/>
      <c r="G689" s="36"/>
      <c r="H689" s="36"/>
      <c r="I689" s="36"/>
      <c r="J689" s="36"/>
      <c r="K689" s="36"/>
      <c r="L689" s="36"/>
      <c r="M689" s="36"/>
      <c r="N689" s="10"/>
      <c r="O689" s="10"/>
      <c r="P689" s="10"/>
      <c r="Q689" s="22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0"/>
      <c r="B690" s="16"/>
      <c r="C690" s="10"/>
      <c r="D690" s="11"/>
      <c r="E690" s="36"/>
      <c r="F690" s="36"/>
      <c r="G690" s="36"/>
      <c r="H690" s="36"/>
      <c r="I690" s="36"/>
      <c r="J690" s="36"/>
      <c r="K690" s="36"/>
      <c r="L690" s="36"/>
      <c r="M690" s="36"/>
      <c r="N690" s="10"/>
      <c r="O690" s="10"/>
      <c r="P690" s="10"/>
      <c r="Q690" s="22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0"/>
      <c r="B691" s="16"/>
      <c r="C691" s="10"/>
      <c r="D691" s="11"/>
      <c r="E691" s="36"/>
      <c r="F691" s="36"/>
      <c r="G691" s="36"/>
      <c r="H691" s="36"/>
      <c r="I691" s="36"/>
      <c r="J691" s="36"/>
      <c r="K691" s="36"/>
      <c r="L691" s="36"/>
      <c r="M691" s="36"/>
      <c r="N691" s="10"/>
      <c r="O691" s="10"/>
      <c r="P691" s="10"/>
      <c r="Q691" s="22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0"/>
      <c r="B692" s="16"/>
      <c r="C692" s="10"/>
      <c r="D692" s="11"/>
      <c r="E692" s="36"/>
      <c r="F692" s="36"/>
      <c r="G692" s="36"/>
      <c r="H692" s="36"/>
      <c r="I692" s="36"/>
      <c r="J692" s="36"/>
      <c r="K692" s="36"/>
      <c r="L692" s="36"/>
      <c r="M692" s="36"/>
      <c r="N692" s="10"/>
      <c r="O692" s="10"/>
      <c r="P692" s="10"/>
      <c r="Q692" s="22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0"/>
      <c r="B693" s="16"/>
      <c r="C693" s="10"/>
      <c r="D693" s="11"/>
      <c r="E693" s="36"/>
      <c r="F693" s="36"/>
      <c r="G693" s="36"/>
      <c r="H693" s="36"/>
      <c r="I693" s="36"/>
      <c r="J693" s="36"/>
      <c r="K693" s="36"/>
      <c r="L693" s="36"/>
      <c r="M693" s="36"/>
      <c r="N693" s="10"/>
      <c r="O693" s="10"/>
      <c r="P693" s="10"/>
      <c r="Q693" s="22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0"/>
      <c r="B694" s="16"/>
      <c r="C694" s="10"/>
      <c r="D694" s="11"/>
      <c r="E694" s="36"/>
      <c r="F694" s="36"/>
      <c r="G694" s="36"/>
      <c r="H694" s="36"/>
      <c r="I694" s="36"/>
      <c r="J694" s="36"/>
      <c r="K694" s="36"/>
      <c r="L694" s="36"/>
      <c r="M694" s="36"/>
      <c r="N694" s="10"/>
      <c r="O694" s="10"/>
      <c r="P694" s="10"/>
      <c r="Q694" s="22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0"/>
      <c r="B695" s="16"/>
      <c r="C695" s="10"/>
      <c r="D695" s="11"/>
      <c r="E695" s="36"/>
      <c r="F695" s="36"/>
      <c r="G695" s="36"/>
      <c r="H695" s="36"/>
      <c r="I695" s="36"/>
      <c r="J695" s="36"/>
      <c r="K695" s="36"/>
      <c r="L695" s="36"/>
      <c r="M695" s="36"/>
      <c r="N695" s="10"/>
      <c r="O695" s="10"/>
      <c r="P695" s="10"/>
      <c r="Q695" s="22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0"/>
      <c r="B696" s="16"/>
      <c r="C696" s="10"/>
      <c r="D696" s="11"/>
      <c r="E696" s="36"/>
      <c r="F696" s="36"/>
      <c r="G696" s="36"/>
      <c r="H696" s="36"/>
      <c r="I696" s="36"/>
      <c r="J696" s="36"/>
      <c r="K696" s="36"/>
      <c r="L696" s="36"/>
      <c r="M696" s="36"/>
      <c r="N696" s="10"/>
      <c r="O696" s="10"/>
      <c r="P696" s="10"/>
      <c r="Q696" s="22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0"/>
      <c r="B697" s="16"/>
      <c r="C697" s="10"/>
      <c r="D697" s="11"/>
      <c r="E697" s="36"/>
      <c r="F697" s="36"/>
      <c r="G697" s="36"/>
      <c r="H697" s="36"/>
      <c r="I697" s="36"/>
      <c r="J697" s="36"/>
      <c r="K697" s="36"/>
      <c r="L697" s="36"/>
      <c r="M697" s="36"/>
      <c r="N697" s="10"/>
      <c r="O697" s="10"/>
      <c r="P697" s="10"/>
      <c r="Q697" s="22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0"/>
      <c r="B698" s="16"/>
      <c r="C698" s="10"/>
      <c r="D698" s="11"/>
      <c r="E698" s="36"/>
      <c r="F698" s="36"/>
      <c r="G698" s="36"/>
      <c r="H698" s="36"/>
      <c r="I698" s="36"/>
      <c r="J698" s="36"/>
      <c r="K698" s="36"/>
      <c r="L698" s="36"/>
      <c r="M698" s="36"/>
      <c r="N698" s="10"/>
      <c r="O698" s="10"/>
      <c r="P698" s="10"/>
      <c r="Q698" s="22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0"/>
      <c r="B699" s="16"/>
      <c r="C699" s="10"/>
      <c r="D699" s="11"/>
      <c r="E699" s="36"/>
      <c r="F699" s="36"/>
      <c r="G699" s="36"/>
      <c r="H699" s="36"/>
      <c r="I699" s="36"/>
      <c r="J699" s="36"/>
      <c r="K699" s="36"/>
      <c r="L699" s="36"/>
      <c r="M699" s="36"/>
      <c r="N699" s="10"/>
      <c r="O699" s="10"/>
      <c r="P699" s="10"/>
      <c r="Q699" s="22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0"/>
      <c r="B700" s="16"/>
      <c r="C700" s="10"/>
      <c r="D700" s="11"/>
      <c r="E700" s="36"/>
      <c r="F700" s="36"/>
      <c r="G700" s="36"/>
      <c r="H700" s="36"/>
      <c r="I700" s="36"/>
      <c r="J700" s="36"/>
      <c r="K700" s="36"/>
      <c r="L700" s="36"/>
      <c r="M700" s="36"/>
      <c r="N700" s="10"/>
      <c r="O700" s="10"/>
      <c r="P700" s="10"/>
      <c r="Q700" s="22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0"/>
      <c r="B701" s="16"/>
      <c r="C701" s="10"/>
      <c r="D701" s="11"/>
      <c r="E701" s="36"/>
      <c r="F701" s="36"/>
      <c r="G701" s="36"/>
      <c r="H701" s="36"/>
      <c r="I701" s="36"/>
      <c r="J701" s="36"/>
      <c r="K701" s="36"/>
      <c r="L701" s="36"/>
      <c r="M701" s="36"/>
      <c r="N701" s="10"/>
      <c r="O701" s="10"/>
      <c r="P701" s="10"/>
      <c r="Q701" s="22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0"/>
      <c r="B702" s="16"/>
      <c r="C702" s="10"/>
      <c r="D702" s="11"/>
      <c r="E702" s="36"/>
      <c r="F702" s="36"/>
      <c r="G702" s="36"/>
      <c r="H702" s="36"/>
      <c r="I702" s="36"/>
      <c r="J702" s="36"/>
      <c r="K702" s="36"/>
      <c r="L702" s="36"/>
      <c r="M702" s="36"/>
      <c r="N702" s="10"/>
      <c r="O702" s="10"/>
      <c r="P702" s="10"/>
      <c r="Q702" s="22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0"/>
      <c r="B703" s="16"/>
      <c r="C703" s="10"/>
      <c r="D703" s="11"/>
      <c r="E703" s="36"/>
      <c r="F703" s="36"/>
      <c r="G703" s="36"/>
      <c r="H703" s="36"/>
      <c r="I703" s="36"/>
      <c r="J703" s="36"/>
      <c r="K703" s="36"/>
      <c r="L703" s="36"/>
      <c r="M703" s="36"/>
      <c r="N703" s="10"/>
      <c r="O703" s="10"/>
      <c r="P703" s="10"/>
      <c r="Q703" s="22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0"/>
      <c r="B704" s="16"/>
      <c r="C704" s="10"/>
      <c r="D704" s="11"/>
      <c r="E704" s="36"/>
      <c r="F704" s="36"/>
      <c r="G704" s="36"/>
      <c r="H704" s="36"/>
      <c r="I704" s="36"/>
      <c r="J704" s="36"/>
      <c r="K704" s="36"/>
      <c r="L704" s="36"/>
      <c r="M704" s="36"/>
      <c r="N704" s="10"/>
      <c r="O704" s="10"/>
      <c r="P704" s="10"/>
      <c r="Q704" s="22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0"/>
      <c r="B705" s="16"/>
      <c r="C705" s="10"/>
      <c r="D705" s="11"/>
      <c r="E705" s="36"/>
      <c r="F705" s="36"/>
      <c r="G705" s="36"/>
      <c r="H705" s="36"/>
      <c r="I705" s="36"/>
      <c r="J705" s="36"/>
      <c r="K705" s="36"/>
      <c r="L705" s="36"/>
      <c r="M705" s="36"/>
      <c r="N705" s="10"/>
      <c r="O705" s="10"/>
      <c r="P705" s="10"/>
      <c r="Q705" s="22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0"/>
      <c r="B706" s="16"/>
      <c r="C706" s="10"/>
      <c r="D706" s="11"/>
      <c r="E706" s="36"/>
      <c r="F706" s="36"/>
      <c r="G706" s="36"/>
      <c r="H706" s="36"/>
      <c r="I706" s="36"/>
      <c r="J706" s="36"/>
      <c r="K706" s="36"/>
      <c r="L706" s="36"/>
      <c r="M706" s="36"/>
      <c r="N706" s="10"/>
      <c r="O706" s="10"/>
      <c r="P706" s="10"/>
      <c r="Q706" s="22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0"/>
      <c r="B707" s="16"/>
      <c r="C707" s="10"/>
      <c r="D707" s="11"/>
      <c r="E707" s="36"/>
      <c r="F707" s="36"/>
      <c r="G707" s="36"/>
      <c r="H707" s="36"/>
      <c r="I707" s="36"/>
      <c r="J707" s="36"/>
      <c r="K707" s="36"/>
      <c r="L707" s="36"/>
      <c r="M707" s="36"/>
      <c r="N707" s="10"/>
      <c r="O707" s="10"/>
      <c r="P707" s="10"/>
      <c r="Q707" s="22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0"/>
      <c r="B708" s="16"/>
      <c r="C708" s="10"/>
      <c r="D708" s="11"/>
      <c r="E708" s="36"/>
      <c r="F708" s="36"/>
      <c r="G708" s="36"/>
      <c r="H708" s="36"/>
      <c r="I708" s="36"/>
      <c r="J708" s="36"/>
      <c r="K708" s="36"/>
      <c r="L708" s="36"/>
      <c r="M708" s="36"/>
      <c r="N708" s="10"/>
      <c r="O708" s="10"/>
      <c r="P708" s="10"/>
      <c r="Q708" s="22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0"/>
      <c r="B709" s="16"/>
      <c r="C709" s="10"/>
      <c r="D709" s="11"/>
      <c r="E709" s="36"/>
      <c r="F709" s="36"/>
      <c r="G709" s="36"/>
      <c r="H709" s="36"/>
      <c r="I709" s="36"/>
      <c r="J709" s="36"/>
      <c r="K709" s="36"/>
      <c r="L709" s="36"/>
      <c r="M709" s="36"/>
      <c r="N709" s="10"/>
      <c r="O709" s="10"/>
      <c r="P709" s="10"/>
      <c r="Q709" s="22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0"/>
      <c r="B710" s="16"/>
      <c r="C710" s="10"/>
      <c r="D710" s="11"/>
      <c r="E710" s="36"/>
      <c r="F710" s="36"/>
      <c r="G710" s="36"/>
      <c r="H710" s="36"/>
      <c r="I710" s="36"/>
      <c r="J710" s="36"/>
      <c r="K710" s="36"/>
      <c r="L710" s="36"/>
      <c r="M710" s="36"/>
      <c r="N710" s="10"/>
      <c r="O710" s="10"/>
      <c r="P710" s="10"/>
      <c r="Q710" s="22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0"/>
      <c r="B711" s="16"/>
      <c r="C711" s="10"/>
      <c r="D711" s="11"/>
      <c r="E711" s="36"/>
      <c r="F711" s="36"/>
      <c r="G711" s="36"/>
      <c r="H711" s="36"/>
      <c r="I711" s="36"/>
      <c r="J711" s="36"/>
      <c r="K711" s="36"/>
      <c r="L711" s="36"/>
      <c r="M711" s="36"/>
      <c r="N711" s="10"/>
      <c r="O711" s="10"/>
      <c r="P711" s="10"/>
      <c r="Q711" s="22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0"/>
      <c r="B712" s="16"/>
      <c r="C712" s="10"/>
      <c r="D712" s="11"/>
      <c r="E712" s="36"/>
      <c r="F712" s="36"/>
      <c r="G712" s="36"/>
      <c r="H712" s="36"/>
      <c r="I712" s="36"/>
      <c r="J712" s="36"/>
      <c r="K712" s="36"/>
      <c r="L712" s="36"/>
      <c r="M712" s="36"/>
      <c r="N712" s="10"/>
      <c r="O712" s="10"/>
      <c r="P712" s="10"/>
      <c r="Q712" s="22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0"/>
      <c r="B713" s="16"/>
      <c r="C713" s="10"/>
      <c r="D713" s="11"/>
      <c r="E713" s="36"/>
      <c r="F713" s="36"/>
      <c r="G713" s="36"/>
      <c r="H713" s="36"/>
      <c r="I713" s="36"/>
      <c r="J713" s="36"/>
      <c r="K713" s="36"/>
      <c r="L713" s="36"/>
      <c r="M713" s="36"/>
      <c r="N713" s="10"/>
      <c r="O713" s="10"/>
      <c r="P713" s="10"/>
      <c r="Q713" s="22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0"/>
      <c r="B714" s="16"/>
      <c r="C714" s="10"/>
      <c r="D714" s="11"/>
      <c r="E714" s="36"/>
      <c r="F714" s="36"/>
      <c r="G714" s="36"/>
      <c r="H714" s="36"/>
      <c r="I714" s="36"/>
      <c r="J714" s="36"/>
      <c r="K714" s="36"/>
      <c r="L714" s="36"/>
      <c r="M714" s="36"/>
      <c r="N714" s="10"/>
      <c r="O714" s="10"/>
      <c r="P714" s="10"/>
      <c r="Q714" s="22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0"/>
      <c r="B715" s="16"/>
      <c r="C715" s="10"/>
      <c r="D715" s="11"/>
      <c r="E715" s="36"/>
      <c r="F715" s="36"/>
      <c r="G715" s="36"/>
      <c r="H715" s="36"/>
      <c r="I715" s="36"/>
      <c r="J715" s="36"/>
      <c r="K715" s="36"/>
      <c r="L715" s="36"/>
      <c r="M715" s="36"/>
      <c r="N715" s="10"/>
      <c r="O715" s="10"/>
      <c r="P715" s="10"/>
      <c r="Q715" s="22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0"/>
      <c r="B716" s="16"/>
      <c r="C716" s="10"/>
      <c r="D716" s="11"/>
      <c r="E716" s="36"/>
      <c r="F716" s="36"/>
      <c r="G716" s="36"/>
      <c r="H716" s="36"/>
      <c r="I716" s="36"/>
      <c r="J716" s="36"/>
      <c r="K716" s="36"/>
      <c r="L716" s="36"/>
      <c r="M716" s="36"/>
      <c r="N716" s="10"/>
      <c r="O716" s="10"/>
      <c r="P716" s="10"/>
      <c r="Q716" s="22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0"/>
      <c r="B717" s="16"/>
      <c r="C717" s="10"/>
      <c r="D717" s="11"/>
      <c r="E717" s="36"/>
      <c r="F717" s="36"/>
      <c r="G717" s="36"/>
      <c r="H717" s="36"/>
      <c r="I717" s="36"/>
      <c r="J717" s="36"/>
      <c r="K717" s="36"/>
      <c r="L717" s="36"/>
      <c r="M717" s="36"/>
      <c r="N717" s="10"/>
      <c r="O717" s="10"/>
      <c r="P717" s="10"/>
      <c r="Q717" s="22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0"/>
      <c r="B718" s="16"/>
      <c r="C718" s="10"/>
      <c r="D718" s="11"/>
      <c r="E718" s="36"/>
      <c r="F718" s="36"/>
      <c r="G718" s="36"/>
      <c r="H718" s="36"/>
      <c r="I718" s="36"/>
      <c r="J718" s="36"/>
      <c r="K718" s="36"/>
      <c r="L718" s="36"/>
      <c r="M718" s="36"/>
      <c r="N718" s="10"/>
      <c r="O718" s="10"/>
      <c r="P718" s="10"/>
      <c r="Q718" s="22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0"/>
      <c r="B719" s="16"/>
      <c r="C719" s="10"/>
      <c r="D719" s="11"/>
      <c r="E719" s="36"/>
      <c r="F719" s="36"/>
      <c r="G719" s="36"/>
      <c r="H719" s="36"/>
      <c r="I719" s="36"/>
      <c r="J719" s="36"/>
      <c r="K719" s="36"/>
      <c r="L719" s="36"/>
      <c r="M719" s="36"/>
      <c r="N719" s="10"/>
      <c r="O719" s="10"/>
      <c r="P719" s="10"/>
      <c r="Q719" s="22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0"/>
      <c r="B720" s="16"/>
      <c r="C720" s="10"/>
      <c r="D720" s="11"/>
      <c r="E720" s="36"/>
      <c r="F720" s="36"/>
      <c r="G720" s="36"/>
      <c r="H720" s="36"/>
      <c r="I720" s="36"/>
      <c r="J720" s="36"/>
      <c r="K720" s="36"/>
      <c r="L720" s="36"/>
      <c r="M720" s="36"/>
      <c r="N720" s="10"/>
      <c r="O720" s="10"/>
      <c r="P720" s="10"/>
      <c r="Q720" s="22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0"/>
      <c r="B721" s="16"/>
      <c r="C721" s="10"/>
      <c r="D721" s="11"/>
      <c r="E721" s="36"/>
      <c r="F721" s="36"/>
      <c r="G721" s="36"/>
      <c r="H721" s="36"/>
      <c r="I721" s="36"/>
      <c r="J721" s="36"/>
      <c r="K721" s="36"/>
      <c r="L721" s="36"/>
      <c r="M721" s="36"/>
      <c r="N721" s="10"/>
      <c r="O721" s="10"/>
      <c r="P721" s="10"/>
      <c r="Q721" s="22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0"/>
      <c r="B722" s="16"/>
      <c r="C722" s="10"/>
      <c r="D722" s="11"/>
      <c r="E722" s="36"/>
      <c r="F722" s="36"/>
      <c r="G722" s="36"/>
      <c r="H722" s="36"/>
      <c r="I722" s="36"/>
      <c r="J722" s="36"/>
      <c r="K722" s="36"/>
      <c r="L722" s="36"/>
      <c r="M722" s="36"/>
      <c r="N722" s="10"/>
      <c r="O722" s="10"/>
      <c r="P722" s="10"/>
      <c r="Q722" s="22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0"/>
      <c r="B723" s="16"/>
      <c r="C723" s="10"/>
      <c r="D723" s="11"/>
      <c r="E723" s="36"/>
      <c r="F723" s="36"/>
      <c r="G723" s="36"/>
      <c r="H723" s="36"/>
      <c r="I723" s="36"/>
      <c r="J723" s="36"/>
      <c r="K723" s="36"/>
      <c r="L723" s="36"/>
      <c r="M723" s="36"/>
      <c r="N723" s="10"/>
      <c r="O723" s="10"/>
      <c r="P723" s="10"/>
      <c r="Q723" s="22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0"/>
      <c r="B724" s="16"/>
      <c r="C724" s="10"/>
      <c r="D724" s="11"/>
      <c r="E724" s="36"/>
      <c r="F724" s="36"/>
      <c r="G724" s="36"/>
      <c r="H724" s="36"/>
      <c r="I724" s="36"/>
      <c r="J724" s="36"/>
      <c r="K724" s="36"/>
      <c r="L724" s="36"/>
      <c r="M724" s="36"/>
      <c r="N724" s="10"/>
      <c r="O724" s="10"/>
      <c r="P724" s="10"/>
      <c r="Q724" s="22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0"/>
      <c r="B725" s="16"/>
      <c r="C725" s="10"/>
      <c r="D725" s="11"/>
      <c r="E725" s="36"/>
      <c r="F725" s="36"/>
      <c r="G725" s="36"/>
      <c r="H725" s="36"/>
      <c r="I725" s="36"/>
      <c r="J725" s="36"/>
      <c r="K725" s="36"/>
      <c r="L725" s="36"/>
      <c r="M725" s="36"/>
      <c r="N725" s="10"/>
      <c r="O725" s="10"/>
      <c r="P725" s="10"/>
      <c r="Q725" s="22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0"/>
      <c r="B726" s="16"/>
      <c r="C726" s="10"/>
      <c r="D726" s="11"/>
      <c r="E726" s="36"/>
      <c r="F726" s="36"/>
      <c r="G726" s="36"/>
      <c r="H726" s="36"/>
      <c r="I726" s="36"/>
      <c r="J726" s="36"/>
      <c r="K726" s="36"/>
      <c r="L726" s="36"/>
      <c r="M726" s="36"/>
      <c r="N726" s="10"/>
      <c r="O726" s="10"/>
      <c r="P726" s="10"/>
      <c r="Q726" s="22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0"/>
      <c r="B727" s="16"/>
      <c r="C727" s="10"/>
      <c r="D727" s="11"/>
      <c r="E727" s="36"/>
      <c r="F727" s="36"/>
      <c r="G727" s="36"/>
      <c r="H727" s="36"/>
      <c r="I727" s="36"/>
      <c r="J727" s="36"/>
      <c r="K727" s="36"/>
      <c r="L727" s="36"/>
      <c r="M727" s="36"/>
      <c r="N727" s="10"/>
      <c r="O727" s="10"/>
      <c r="P727" s="10"/>
      <c r="Q727" s="22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0"/>
      <c r="B728" s="16"/>
      <c r="C728" s="10"/>
      <c r="D728" s="11"/>
      <c r="E728" s="36"/>
      <c r="F728" s="36"/>
      <c r="G728" s="36"/>
      <c r="H728" s="36"/>
      <c r="I728" s="36"/>
      <c r="J728" s="36"/>
      <c r="K728" s="36"/>
      <c r="L728" s="36"/>
      <c r="M728" s="36"/>
      <c r="N728" s="10"/>
      <c r="O728" s="10"/>
      <c r="P728" s="10"/>
      <c r="Q728" s="22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0"/>
      <c r="B729" s="16"/>
      <c r="C729" s="10"/>
      <c r="D729" s="11"/>
      <c r="E729" s="36"/>
      <c r="F729" s="36"/>
      <c r="G729" s="36"/>
      <c r="H729" s="36"/>
      <c r="I729" s="36"/>
      <c r="J729" s="36"/>
      <c r="K729" s="36"/>
      <c r="L729" s="36"/>
      <c r="M729" s="36"/>
      <c r="N729" s="10"/>
      <c r="O729" s="10"/>
      <c r="P729" s="10"/>
      <c r="Q729" s="22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0"/>
      <c r="B730" s="16"/>
      <c r="C730" s="10"/>
      <c r="D730" s="11"/>
      <c r="E730" s="36"/>
      <c r="F730" s="36"/>
      <c r="G730" s="36"/>
      <c r="H730" s="36"/>
      <c r="I730" s="36"/>
      <c r="J730" s="36"/>
      <c r="K730" s="36"/>
      <c r="L730" s="36"/>
      <c r="M730" s="36"/>
      <c r="N730" s="10"/>
      <c r="O730" s="10"/>
      <c r="P730" s="10"/>
      <c r="Q730" s="22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0"/>
      <c r="B731" s="16"/>
      <c r="C731" s="10"/>
      <c r="D731" s="11"/>
      <c r="E731" s="36"/>
      <c r="F731" s="36"/>
      <c r="G731" s="36"/>
      <c r="H731" s="36"/>
      <c r="I731" s="36"/>
      <c r="J731" s="36"/>
      <c r="K731" s="36"/>
      <c r="L731" s="36"/>
      <c r="M731" s="36"/>
      <c r="N731" s="10"/>
      <c r="O731" s="10"/>
      <c r="P731" s="10"/>
      <c r="Q731" s="22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0"/>
      <c r="B732" s="16"/>
      <c r="C732" s="10"/>
      <c r="D732" s="11"/>
      <c r="E732" s="36"/>
      <c r="F732" s="36"/>
      <c r="G732" s="36"/>
      <c r="H732" s="36"/>
      <c r="I732" s="36"/>
      <c r="J732" s="36"/>
      <c r="K732" s="36"/>
      <c r="L732" s="36"/>
      <c r="M732" s="36"/>
      <c r="N732" s="10"/>
      <c r="O732" s="10"/>
      <c r="P732" s="10"/>
      <c r="Q732" s="22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0"/>
      <c r="B733" s="16"/>
      <c r="C733" s="10"/>
      <c r="D733" s="11"/>
      <c r="E733" s="36"/>
      <c r="F733" s="36"/>
      <c r="G733" s="36"/>
      <c r="H733" s="36"/>
      <c r="I733" s="36"/>
      <c r="J733" s="36"/>
      <c r="K733" s="36"/>
      <c r="L733" s="36"/>
      <c r="M733" s="36"/>
      <c r="N733" s="10"/>
      <c r="O733" s="10"/>
      <c r="P733" s="10"/>
      <c r="Q733" s="22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0"/>
      <c r="B734" s="16"/>
      <c r="C734" s="10"/>
      <c r="D734" s="11"/>
      <c r="E734" s="36"/>
      <c r="F734" s="36"/>
      <c r="G734" s="36"/>
      <c r="H734" s="36"/>
      <c r="I734" s="36"/>
      <c r="J734" s="36"/>
      <c r="K734" s="36"/>
      <c r="L734" s="36"/>
      <c r="M734" s="36"/>
      <c r="N734" s="10"/>
      <c r="O734" s="10"/>
      <c r="P734" s="10"/>
      <c r="Q734" s="22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0"/>
      <c r="B735" s="16"/>
      <c r="C735" s="10"/>
      <c r="D735" s="11"/>
      <c r="E735" s="36"/>
      <c r="F735" s="36"/>
      <c r="G735" s="36"/>
      <c r="H735" s="36"/>
      <c r="I735" s="36"/>
      <c r="J735" s="36"/>
      <c r="K735" s="36"/>
      <c r="L735" s="36"/>
      <c r="M735" s="36"/>
      <c r="N735" s="10"/>
      <c r="O735" s="10"/>
      <c r="P735" s="10"/>
      <c r="Q735" s="22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0"/>
      <c r="B736" s="16"/>
      <c r="C736" s="10"/>
      <c r="D736" s="11"/>
      <c r="E736" s="36"/>
      <c r="F736" s="36"/>
      <c r="G736" s="36"/>
      <c r="H736" s="36"/>
      <c r="I736" s="36"/>
      <c r="J736" s="36"/>
      <c r="K736" s="36"/>
      <c r="L736" s="36"/>
      <c r="M736" s="36"/>
      <c r="N736" s="10"/>
      <c r="O736" s="10"/>
      <c r="P736" s="10"/>
      <c r="Q736" s="22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0"/>
      <c r="B737" s="16"/>
      <c r="C737" s="10"/>
      <c r="D737" s="11"/>
      <c r="E737" s="36"/>
      <c r="F737" s="36"/>
      <c r="G737" s="36"/>
      <c r="H737" s="36"/>
      <c r="I737" s="36"/>
      <c r="J737" s="36"/>
      <c r="K737" s="36"/>
      <c r="L737" s="36"/>
      <c r="M737" s="36"/>
      <c r="N737" s="10"/>
      <c r="O737" s="10"/>
      <c r="P737" s="10"/>
      <c r="Q737" s="22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0"/>
      <c r="B738" s="16"/>
      <c r="C738" s="10"/>
      <c r="D738" s="11"/>
      <c r="E738" s="36"/>
      <c r="F738" s="36"/>
      <c r="G738" s="36"/>
      <c r="H738" s="36"/>
      <c r="I738" s="36"/>
      <c r="J738" s="36"/>
      <c r="K738" s="36"/>
      <c r="L738" s="36"/>
      <c r="M738" s="36"/>
      <c r="N738" s="10"/>
      <c r="O738" s="10"/>
      <c r="P738" s="10"/>
      <c r="Q738" s="22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0"/>
      <c r="B739" s="16"/>
      <c r="C739" s="10"/>
      <c r="D739" s="11"/>
      <c r="E739" s="36"/>
      <c r="F739" s="36"/>
      <c r="G739" s="36"/>
      <c r="H739" s="36"/>
      <c r="I739" s="36"/>
      <c r="J739" s="36"/>
      <c r="K739" s="36"/>
      <c r="L739" s="36"/>
      <c r="M739" s="36"/>
      <c r="N739" s="10"/>
      <c r="O739" s="10"/>
      <c r="P739" s="10"/>
      <c r="Q739" s="22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0"/>
      <c r="B740" s="16"/>
      <c r="C740" s="10"/>
      <c r="D740" s="11"/>
      <c r="E740" s="36"/>
      <c r="F740" s="36"/>
      <c r="G740" s="36"/>
      <c r="H740" s="36"/>
      <c r="I740" s="36"/>
      <c r="J740" s="36"/>
      <c r="K740" s="36"/>
      <c r="L740" s="36"/>
      <c r="M740" s="36"/>
      <c r="N740" s="10"/>
      <c r="O740" s="10"/>
      <c r="P740" s="10"/>
      <c r="Q740" s="22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0"/>
      <c r="B741" s="16"/>
      <c r="C741" s="10"/>
      <c r="D741" s="11"/>
      <c r="E741" s="36"/>
      <c r="F741" s="36"/>
      <c r="G741" s="36"/>
      <c r="H741" s="36"/>
      <c r="I741" s="36"/>
      <c r="J741" s="36"/>
      <c r="K741" s="36"/>
      <c r="L741" s="36"/>
      <c r="M741" s="36"/>
      <c r="N741" s="10"/>
      <c r="O741" s="10"/>
      <c r="P741" s="10"/>
      <c r="Q741" s="22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0"/>
      <c r="B742" s="16"/>
      <c r="C742" s="10"/>
      <c r="D742" s="11"/>
      <c r="E742" s="36"/>
      <c r="F742" s="36"/>
      <c r="G742" s="36"/>
      <c r="H742" s="36"/>
      <c r="I742" s="36"/>
      <c r="J742" s="36"/>
      <c r="K742" s="36"/>
      <c r="L742" s="36"/>
      <c r="M742" s="36"/>
      <c r="N742" s="10"/>
      <c r="O742" s="10"/>
      <c r="P742" s="10"/>
      <c r="Q742" s="22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0"/>
      <c r="B743" s="16"/>
      <c r="C743" s="10"/>
      <c r="D743" s="11"/>
      <c r="E743" s="36"/>
      <c r="F743" s="36"/>
      <c r="G743" s="36"/>
      <c r="H743" s="36"/>
      <c r="I743" s="36"/>
      <c r="J743" s="36"/>
      <c r="K743" s="36"/>
      <c r="L743" s="36"/>
      <c r="M743" s="36"/>
      <c r="N743" s="10"/>
      <c r="O743" s="10"/>
      <c r="P743" s="10"/>
      <c r="Q743" s="22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0"/>
      <c r="B744" s="16"/>
      <c r="C744" s="10"/>
      <c r="D744" s="11"/>
      <c r="E744" s="36"/>
      <c r="F744" s="36"/>
      <c r="G744" s="36"/>
      <c r="H744" s="36"/>
      <c r="I744" s="36"/>
      <c r="J744" s="36"/>
      <c r="K744" s="36"/>
      <c r="L744" s="36"/>
      <c r="M744" s="36"/>
      <c r="N744" s="10"/>
      <c r="O744" s="10"/>
      <c r="P744" s="10"/>
      <c r="Q744" s="22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0"/>
      <c r="B745" s="16"/>
      <c r="C745" s="10"/>
      <c r="D745" s="11"/>
      <c r="E745" s="36"/>
      <c r="F745" s="36"/>
      <c r="G745" s="36"/>
      <c r="H745" s="36"/>
      <c r="I745" s="36"/>
      <c r="J745" s="36"/>
      <c r="K745" s="36"/>
      <c r="L745" s="36"/>
      <c r="M745" s="36"/>
      <c r="N745" s="10"/>
      <c r="O745" s="10"/>
      <c r="P745" s="10"/>
      <c r="Q745" s="22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0"/>
      <c r="B746" s="16"/>
      <c r="C746" s="10"/>
      <c r="D746" s="11"/>
      <c r="E746" s="36"/>
      <c r="F746" s="36"/>
      <c r="G746" s="36"/>
      <c r="H746" s="36"/>
      <c r="I746" s="36"/>
      <c r="J746" s="36"/>
      <c r="K746" s="36"/>
      <c r="L746" s="36"/>
      <c r="M746" s="36"/>
      <c r="N746" s="10"/>
      <c r="O746" s="10"/>
      <c r="P746" s="10"/>
      <c r="Q746" s="22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0"/>
      <c r="B747" s="16"/>
      <c r="C747" s="10"/>
      <c r="D747" s="11"/>
      <c r="E747" s="36"/>
      <c r="F747" s="36"/>
      <c r="G747" s="36"/>
      <c r="H747" s="36"/>
      <c r="I747" s="36"/>
      <c r="J747" s="36"/>
      <c r="K747" s="36"/>
      <c r="L747" s="36"/>
      <c r="M747" s="36"/>
      <c r="N747" s="10"/>
      <c r="O747" s="10"/>
      <c r="P747" s="10"/>
      <c r="Q747" s="22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0"/>
      <c r="B748" s="16"/>
      <c r="C748" s="10"/>
      <c r="D748" s="11"/>
      <c r="E748" s="36"/>
      <c r="F748" s="36"/>
      <c r="G748" s="36"/>
      <c r="H748" s="36"/>
      <c r="I748" s="36"/>
      <c r="J748" s="36"/>
      <c r="K748" s="36"/>
      <c r="L748" s="36"/>
      <c r="M748" s="36"/>
      <c r="N748" s="10"/>
      <c r="O748" s="10"/>
      <c r="P748" s="10"/>
      <c r="Q748" s="22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0"/>
      <c r="B749" s="16"/>
      <c r="C749" s="10"/>
      <c r="D749" s="11"/>
      <c r="E749" s="36"/>
      <c r="F749" s="36"/>
      <c r="G749" s="36"/>
      <c r="H749" s="36"/>
      <c r="I749" s="36"/>
      <c r="J749" s="36"/>
      <c r="K749" s="36"/>
      <c r="L749" s="36"/>
      <c r="M749" s="36"/>
      <c r="N749" s="10"/>
      <c r="O749" s="10"/>
      <c r="P749" s="10"/>
      <c r="Q749" s="22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0"/>
      <c r="B750" s="16"/>
      <c r="C750" s="10"/>
      <c r="D750" s="11"/>
      <c r="E750" s="36"/>
      <c r="F750" s="36"/>
      <c r="G750" s="36"/>
      <c r="H750" s="36"/>
      <c r="I750" s="36"/>
      <c r="J750" s="36"/>
      <c r="K750" s="36"/>
      <c r="L750" s="36"/>
      <c r="M750" s="36"/>
      <c r="N750" s="10"/>
      <c r="O750" s="10"/>
      <c r="P750" s="10"/>
      <c r="Q750" s="22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0"/>
      <c r="B751" s="16"/>
      <c r="C751" s="10"/>
      <c r="D751" s="11"/>
      <c r="E751" s="36"/>
      <c r="F751" s="36"/>
      <c r="G751" s="36"/>
      <c r="H751" s="36"/>
      <c r="I751" s="36"/>
      <c r="J751" s="36"/>
      <c r="K751" s="36"/>
      <c r="L751" s="36"/>
      <c r="M751" s="36"/>
      <c r="N751" s="10"/>
      <c r="O751" s="10"/>
      <c r="P751" s="10"/>
      <c r="Q751" s="22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0"/>
      <c r="B752" s="16"/>
      <c r="C752" s="10"/>
      <c r="D752" s="11"/>
      <c r="E752" s="36"/>
      <c r="F752" s="36"/>
      <c r="G752" s="36"/>
      <c r="H752" s="36"/>
      <c r="I752" s="36"/>
      <c r="J752" s="36"/>
      <c r="K752" s="36"/>
      <c r="L752" s="36"/>
      <c r="M752" s="36"/>
      <c r="N752" s="10"/>
      <c r="O752" s="10"/>
      <c r="P752" s="10"/>
      <c r="Q752" s="22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0"/>
      <c r="B753" s="16"/>
      <c r="C753" s="10"/>
      <c r="D753" s="11"/>
      <c r="E753" s="36"/>
      <c r="F753" s="36"/>
      <c r="G753" s="36"/>
      <c r="H753" s="36"/>
      <c r="I753" s="36"/>
      <c r="J753" s="36"/>
      <c r="K753" s="36"/>
      <c r="L753" s="36"/>
      <c r="M753" s="36"/>
      <c r="N753" s="10"/>
      <c r="O753" s="10"/>
      <c r="P753" s="10"/>
      <c r="Q753" s="22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0"/>
      <c r="B754" s="16"/>
      <c r="C754" s="10"/>
      <c r="D754" s="11"/>
      <c r="E754" s="36"/>
      <c r="F754" s="36"/>
      <c r="G754" s="36"/>
      <c r="H754" s="36"/>
      <c r="I754" s="36"/>
      <c r="J754" s="36"/>
      <c r="K754" s="36"/>
      <c r="L754" s="36"/>
      <c r="M754" s="36"/>
      <c r="N754" s="10"/>
      <c r="O754" s="10"/>
      <c r="P754" s="10"/>
      <c r="Q754" s="22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0"/>
      <c r="B755" s="16"/>
      <c r="C755" s="10"/>
      <c r="D755" s="11"/>
      <c r="E755" s="36"/>
      <c r="F755" s="36"/>
      <c r="G755" s="36"/>
      <c r="H755" s="36"/>
      <c r="I755" s="36"/>
      <c r="J755" s="36"/>
      <c r="K755" s="36"/>
      <c r="L755" s="36"/>
      <c r="M755" s="36"/>
      <c r="N755" s="10"/>
      <c r="O755" s="10"/>
      <c r="P755" s="10"/>
      <c r="Q755" s="22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0"/>
      <c r="B756" s="16"/>
      <c r="C756" s="10"/>
      <c r="D756" s="11"/>
      <c r="E756" s="36"/>
      <c r="F756" s="36"/>
      <c r="G756" s="36"/>
      <c r="H756" s="36"/>
      <c r="I756" s="36"/>
      <c r="J756" s="36"/>
      <c r="K756" s="36"/>
      <c r="L756" s="36"/>
      <c r="M756" s="36"/>
      <c r="N756" s="10"/>
      <c r="O756" s="10"/>
      <c r="P756" s="10"/>
      <c r="Q756" s="22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0"/>
      <c r="B757" s="16"/>
      <c r="C757" s="10"/>
      <c r="D757" s="11"/>
      <c r="E757" s="36"/>
      <c r="F757" s="36"/>
      <c r="G757" s="36"/>
      <c r="H757" s="36"/>
      <c r="I757" s="36"/>
      <c r="J757" s="36"/>
      <c r="K757" s="36"/>
      <c r="L757" s="36"/>
      <c r="M757" s="36"/>
      <c r="N757" s="10"/>
      <c r="O757" s="10"/>
      <c r="P757" s="10"/>
      <c r="Q757" s="22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0"/>
      <c r="B758" s="16"/>
      <c r="C758" s="10"/>
      <c r="D758" s="11"/>
      <c r="E758" s="36"/>
      <c r="F758" s="36"/>
      <c r="G758" s="36"/>
      <c r="H758" s="36"/>
      <c r="I758" s="36"/>
      <c r="J758" s="36"/>
      <c r="K758" s="36"/>
      <c r="L758" s="36"/>
      <c r="M758" s="36"/>
      <c r="N758" s="10"/>
      <c r="O758" s="10"/>
      <c r="P758" s="10"/>
      <c r="Q758" s="22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0"/>
      <c r="B759" s="16"/>
      <c r="C759" s="10"/>
      <c r="D759" s="11"/>
      <c r="E759" s="36"/>
      <c r="F759" s="36"/>
      <c r="G759" s="36"/>
      <c r="H759" s="36"/>
      <c r="I759" s="36"/>
      <c r="J759" s="36"/>
      <c r="K759" s="36"/>
      <c r="L759" s="36"/>
      <c r="M759" s="36"/>
      <c r="N759" s="10"/>
      <c r="O759" s="10"/>
      <c r="P759" s="10"/>
      <c r="Q759" s="22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0"/>
      <c r="B760" s="16"/>
      <c r="C760" s="10"/>
      <c r="D760" s="11"/>
      <c r="E760" s="36"/>
      <c r="F760" s="36"/>
      <c r="G760" s="36"/>
      <c r="H760" s="36"/>
      <c r="I760" s="36"/>
      <c r="J760" s="36"/>
      <c r="K760" s="36"/>
      <c r="L760" s="36"/>
      <c r="M760" s="36"/>
      <c r="N760" s="10"/>
      <c r="O760" s="10"/>
      <c r="P760" s="10"/>
      <c r="Q760" s="22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0"/>
      <c r="B761" s="16"/>
      <c r="C761" s="10"/>
      <c r="D761" s="11"/>
      <c r="E761" s="36"/>
      <c r="F761" s="36"/>
      <c r="G761" s="36"/>
      <c r="H761" s="36"/>
      <c r="I761" s="36"/>
      <c r="J761" s="36"/>
      <c r="K761" s="36"/>
      <c r="L761" s="36"/>
      <c r="M761" s="36"/>
      <c r="N761" s="10"/>
      <c r="O761" s="10"/>
      <c r="P761" s="10"/>
      <c r="Q761" s="22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0"/>
      <c r="B762" s="16"/>
      <c r="C762" s="10"/>
      <c r="D762" s="11"/>
      <c r="E762" s="36"/>
      <c r="F762" s="36"/>
      <c r="G762" s="36"/>
      <c r="H762" s="36"/>
      <c r="I762" s="36"/>
      <c r="J762" s="36"/>
      <c r="K762" s="36"/>
      <c r="L762" s="36"/>
      <c r="M762" s="36"/>
      <c r="N762" s="10"/>
      <c r="O762" s="10"/>
      <c r="P762" s="10"/>
      <c r="Q762" s="22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0"/>
      <c r="B763" s="16"/>
      <c r="C763" s="10"/>
      <c r="D763" s="11"/>
      <c r="E763" s="36"/>
      <c r="F763" s="36"/>
      <c r="G763" s="36"/>
      <c r="H763" s="36"/>
      <c r="I763" s="36"/>
      <c r="J763" s="36"/>
      <c r="K763" s="36"/>
      <c r="L763" s="36"/>
      <c r="M763" s="36"/>
      <c r="N763" s="10"/>
      <c r="O763" s="10"/>
      <c r="P763" s="10"/>
      <c r="Q763" s="22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0"/>
      <c r="B764" s="16"/>
      <c r="C764" s="10"/>
      <c r="D764" s="11"/>
      <c r="E764" s="36"/>
      <c r="F764" s="36"/>
      <c r="G764" s="36"/>
      <c r="H764" s="36"/>
      <c r="I764" s="36"/>
      <c r="J764" s="36"/>
      <c r="K764" s="36"/>
      <c r="L764" s="36"/>
      <c r="M764" s="36"/>
      <c r="N764" s="10"/>
      <c r="O764" s="10"/>
      <c r="P764" s="10"/>
      <c r="Q764" s="22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0"/>
      <c r="B765" s="16"/>
      <c r="C765" s="10"/>
      <c r="D765" s="11"/>
      <c r="E765" s="36"/>
      <c r="F765" s="36"/>
      <c r="G765" s="36"/>
      <c r="H765" s="36"/>
      <c r="I765" s="36"/>
      <c r="J765" s="36"/>
      <c r="K765" s="36"/>
      <c r="L765" s="36"/>
      <c r="M765" s="36"/>
      <c r="N765" s="10"/>
      <c r="O765" s="10"/>
      <c r="P765" s="10"/>
      <c r="Q765" s="22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0"/>
      <c r="B766" s="16"/>
      <c r="C766" s="10"/>
      <c r="D766" s="11"/>
      <c r="E766" s="36"/>
      <c r="F766" s="36"/>
      <c r="G766" s="36"/>
      <c r="H766" s="36"/>
      <c r="I766" s="36"/>
      <c r="J766" s="36"/>
      <c r="K766" s="36"/>
      <c r="L766" s="36"/>
      <c r="M766" s="36"/>
      <c r="N766" s="10"/>
      <c r="O766" s="10"/>
      <c r="P766" s="10"/>
      <c r="Q766" s="22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0"/>
      <c r="B767" s="16"/>
      <c r="C767" s="10"/>
      <c r="D767" s="11"/>
      <c r="E767" s="36"/>
      <c r="F767" s="36"/>
      <c r="G767" s="36"/>
      <c r="H767" s="36"/>
      <c r="I767" s="36"/>
      <c r="J767" s="36"/>
      <c r="K767" s="36"/>
      <c r="L767" s="36"/>
      <c r="M767" s="36"/>
      <c r="N767" s="10"/>
      <c r="O767" s="10"/>
      <c r="P767" s="10"/>
      <c r="Q767" s="22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0"/>
      <c r="B768" s="16"/>
      <c r="C768" s="10"/>
      <c r="D768" s="11"/>
      <c r="E768" s="36"/>
      <c r="F768" s="36"/>
      <c r="G768" s="36"/>
      <c r="H768" s="36"/>
      <c r="I768" s="36"/>
      <c r="J768" s="36"/>
      <c r="K768" s="36"/>
      <c r="L768" s="36"/>
      <c r="M768" s="36"/>
      <c r="N768" s="10"/>
      <c r="O768" s="10"/>
      <c r="P768" s="10"/>
      <c r="Q768" s="22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0"/>
      <c r="B769" s="16"/>
      <c r="C769" s="10"/>
      <c r="D769" s="11"/>
      <c r="E769" s="36"/>
      <c r="F769" s="36"/>
      <c r="G769" s="36"/>
      <c r="H769" s="36"/>
      <c r="I769" s="36"/>
      <c r="J769" s="36"/>
      <c r="K769" s="36"/>
      <c r="L769" s="36"/>
      <c r="M769" s="36"/>
      <c r="N769" s="10"/>
      <c r="O769" s="10"/>
      <c r="P769" s="10"/>
      <c r="Q769" s="22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0"/>
      <c r="B770" s="16"/>
      <c r="C770" s="10"/>
      <c r="D770" s="11"/>
      <c r="E770" s="36"/>
      <c r="F770" s="36"/>
      <c r="G770" s="36"/>
      <c r="H770" s="36"/>
      <c r="I770" s="36"/>
      <c r="J770" s="36"/>
      <c r="K770" s="36"/>
      <c r="L770" s="36"/>
      <c r="M770" s="36"/>
      <c r="N770" s="10"/>
      <c r="O770" s="10"/>
      <c r="P770" s="10"/>
      <c r="Q770" s="22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0"/>
      <c r="B771" s="16"/>
      <c r="C771" s="10"/>
      <c r="D771" s="11"/>
      <c r="E771" s="36"/>
      <c r="F771" s="36"/>
      <c r="G771" s="36"/>
      <c r="H771" s="36"/>
      <c r="I771" s="36"/>
      <c r="J771" s="36"/>
      <c r="K771" s="36"/>
      <c r="L771" s="36"/>
      <c r="M771" s="36"/>
      <c r="N771" s="10"/>
      <c r="O771" s="10"/>
      <c r="P771" s="10"/>
      <c r="Q771" s="22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0"/>
      <c r="B772" s="16"/>
      <c r="C772" s="10"/>
      <c r="D772" s="11"/>
      <c r="E772" s="36"/>
      <c r="F772" s="36"/>
      <c r="G772" s="36"/>
      <c r="H772" s="36"/>
      <c r="I772" s="36"/>
      <c r="J772" s="36"/>
      <c r="K772" s="36"/>
      <c r="L772" s="36"/>
      <c r="M772" s="36"/>
      <c r="N772" s="10"/>
      <c r="O772" s="10"/>
      <c r="P772" s="10"/>
      <c r="Q772" s="22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0"/>
      <c r="B773" s="16"/>
      <c r="C773" s="10"/>
      <c r="D773" s="11"/>
      <c r="E773" s="36"/>
      <c r="F773" s="36"/>
      <c r="G773" s="36"/>
      <c r="H773" s="36"/>
      <c r="I773" s="36"/>
      <c r="J773" s="36"/>
      <c r="K773" s="36"/>
      <c r="L773" s="36"/>
      <c r="M773" s="36"/>
      <c r="N773" s="10"/>
      <c r="O773" s="10"/>
      <c r="P773" s="10"/>
      <c r="Q773" s="22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0"/>
      <c r="B774" s="16"/>
      <c r="C774" s="10"/>
      <c r="D774" s="11"/>
      <c r="E774" s="36"/>
      <c r="F774" s="36"/>
      <c r="G774" s="36"/>
      <c r="H774" s="36"/>
      <c r="I774" s="36"/>
      <c r="J774" s="36"/>
      <c r="K774" s="36"/>
      <c r="L774" s="36"/>
      <c r="M774" s="36"/>
      <c r="N774" s="10"/>
      <c r="O774" s="10"/>
      <c r="P774" s="10"/>
      <c r="Q774" s="22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0"/>
      <c r="B775" s="16"/>
      <c r="C775" s="10"/>
      <c r="D775" s="11"/>
      <c r="E775" s="36"/>
      <c r="F775" s="36"/>
      <c r="G775" s="36"/>
      <c r="H775" s="36"/>
      <c r="I775" s="36"/>
      <c r="J775" s="36"/>
      <c r="K775" s="36"/>
      <c r="L775" s="36"/>
      <c r="M775" s="36"/>
      <c r="N775" s="10"/>
      <c r="O775" s="10"/>
      <c r="P775" s="10"/>
      <c r="Q775" s="22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0"/>
      <c r="B776" s="16"/>
      <c r="C776" s="10"/>
      <c r="D776" s="11"/>
      <c r="E776" s="36"/>
      <c r="F776" s="36"/>
      <c r="G776" s="36"/>
      <c r="H776" s="36"/>
      <c r="I776" s="36"/>
      <c r="J776" s="36"/>
      <c r="K776" s="36"/>
      <c r="L776" s="36"/>
      <c r="M776" s="36"/>
      <c r="N776" s="10"/>
      <c r="O776" s="10"/>
      <c r="P776" s="10"/>
      <c r="Q776" s="22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0"/>
      <c r="B777" s="16"/>
      <c r="C777" s="10"/>
      <c r="D777" s="11"/>
      <c r="E777" s="36"/>
      <c r="F777" s="36"/>
      <c r="G777" s="36"/>
      <c r="H777" s="36"/>
      <c r="I777" s="36"/>
      <c r="J777" s="36"/>
      <c r="K777" s="36"/>
      <c r="L777" s="36"/>
      <c r="M777" s="36"/>
      <c r="N777" s="10"/>
      <c r="O777" s="10"/>
      <c r="P777" s="10"/>
      <c r="Q777" s="22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0"/>
      <c r="B778" s="16"/>
      <c r="C778" s="10"/>
      <c r="D778" s="11"/>
      <c r="E778" s="36"/>
      <c r="F778" s="36"/>
      <c r="G778" s="36"/>
      <c r="H778" s="36"/>
      <c r="I778" s="36"/>
      <c r="J778" s="36"/>
      <c r="K778" s="36"/>
      <c r="L778" s="36"/>
      <c r="M778" s="36"/>
      <c r="N778" s="10"/>
      <c r="O778" s="10"/>
      <c r="P778" s="10"/>
      <c r="Q778" s="22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0"/>
      <c r="B779" s="16"/>
      <c r="C779" s="10"/>
      <c r="D779" s="11"/>
      <c r="E779" s="36"/>
      <c r="F779" s="36"/>
      <c r="G779" s="36"/>
      <c r="H779" s="36"/>
      <c r="I779" s="36"/>
      <c r="J779" s="36"/>
      <c r="K779" s="36"/>
      <c r="L779" s="36"/>
      <c r="M779" s="36"/>
      <c r="N779" s="10"/>
      <c r="O779" s="10"/>
      <c r="P779" s="10"/>
      <c r="Q779" s="22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0"/>
      <c r="B780" s="16"/>
      <c r="C780" s="10"/>
      <c r="D780" s="11"/>
      <c r="E780" s="36"/>
      <c r="F780" s="36"/>
      <c r="G780" s="36"/>
      <c r="H780" s="36"/>
      <c r="I780" s="36"/>
      <c r="J780" s="36"/>
      <c r="K780" s="36"/>
      <c r="L780" s="36"/>
      <c r="M780" s="36"/>
      <c r="N780" s="10"/>
      <c r="O780" s="10"/>
      <c r="P780" s="10"/>
      <c r="Q780" s="22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0"/>
      <c r="B781" s="16"/>
      <c r="C781" s="10"/>
      <c r="D781" s="11"/>
      <c r="E781" s="36"/>
      <c r="F781" s="36"/>
      <c r="G781" s="36"/>
      <c r="H781" s="36"/>
      <c r="I781" s="36"/>
      <c r="J781" s="36"/>
      <c r="K781" s="36"/>
      <c r="L781" s="36"/>
      <c r="M781" s="36"/>
      <c r="N781" s="10"/>
      <c r="O781" s="10"/>
      <c r="P781" s="10"/>
      <c r="Q781" s="22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0"/>
      <c r="B782" s="16"/>
      <c r="C782" s="10"/>
      <c r="D782" s="11"/>
      <c r="E782" s="36"/>
      <c r="F782" s="36"/>
      <c r="G782" s="36"/>
      <c r="H782" s="36"/>
      <c r="I782" s="36"/>
      <c r="J782" s="36"/>
      <c r="K782" s="36"/>
      <c r="L782" s="36"/>
      <c r="M782" s="36"/>
      <c r="N782" s="10"/>
      <c r="O782" s="10"/>
      <c r="P782" s="10"/>
      <c r="Q782" s="22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0"/>
      <c r="B783" s="16"/>
      <c r="C783" s="10"/>
      <c r="D783" s="11"/>
      <c r="E783" s="36"/>
      <c r="F783" s="36"/>
      <c r="G783" s="36"/>
      <c r="H783" s="36"/>
      <c r="I783" s="36"/>
      <c r="J783" s="36"/>
      <c r="K783" s="36"/>
      <c r="L783" s="36"/>
      <c r="M783" s="36"/>
      <c r="N783" s="10"/>
      <c r="O783" s="10"/>
      <c r="P783" s="10"/>
      <c r="Q783" s="22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0"/>
      <c r="B784" s="16"/>
      <c r="C784" s="10"/>
      <c r="D784" s="11"/>
      <c r="E784" s="36"/>
      <c r="F784" s="36"/>
      <c r="G784" s="36"/>
      <c r="H784" s="36"/>
      <c r="I784" s="36"/>
      <c r="J784" s="36"/>
      <c r="K784" s="36"/>
      <c r="L784" s="36"/>
      <c r="M784" s="36"/>
      <c r="N784" s="10"/>
      <c r="O784" s="10"/>
      <c r="P784" s="10"/>
      <c r="Q784" s="22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0"/>
      <c r="B785" s="16"/>
      <c r="C785" s="10"/>
      <c r="D785" s="11"/>
      <c r="E785" s="36"/>
      <c r="F785" s="36"/>
      <c r="G785" s="36"/>
      <c r="H785" s="36"/>
      <c r="I785" s="36"/>
      <c r="J785" s="36"/>
      <c r="K785" s="36"/>
      <c r="L785" s="36"/>
      <c r="M785" s="36"/>
      <c r="N785" s="10"/>
      <c r="O785" s="10"/>
      <c r="P785" s="10"/>
      <c r="Q785" s="22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0"/>
      <c r="B786" s="16"/>
      <c r="C786" s="10"/>
      <c r="D786" s="11"/>
      <c r="E786" s="36"/>
      <c r="F786" s="36"/>
      <c r="G786" s="36"/>
      <c r="H786" s="36"/>
      <c r="I786" s="36"/>
      <c r="J786" s="36"/>
      <c r="K786" s="36"/>
      <c r="L786" s="36"/>
      <c r="M786" s="36"/>
      <c r="N786" s="10"/>
      <c r="O786" s="10"/>
      <c r="P786" s="10"/>
      <c r="Q786" s="22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0"/>
      <c r="B787" s="16"/>
      <c r="C787" s="10"/>
      <c r="D787" s="11"/>
      <c r="E787" s="36"/>
      <c r="F787" s="36"/>
      <c r="G787" s="36"/>
      <c r="H787" s="36"/>
      <c r="I787" s="36"/>
      <c r="J787" s="36"/>
      <c r="K787" s="36"/>
      <c r="L787" s="36"/>
      <c r="M787" s="36"/>
      <c r="N787" s="10"/>
      <c r="O787" s="10"/>
      <c r="P787" s="10"/>
      <c r="Q787" s="22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0"/>
      <c r="B788" s="16"/>
      <c r="C788" s="10"/>
      <c r="D788" s="11"/>
      <c r="E788" s="36"/>
      <c r="F788" s="36"/>
      <c r="G788" s="36"/>
      <c r="H788" s="36"/>
      <c r="I788" s="36"/>
      <c r="J788" s="36"/>
      <c r="K788" s="36"/>
      <c r="L788" s="36"/>
      <c r="M788" s="36"/>
      <c r="N788" s="10"/>
      <c r="O788" s="10"/>
      <c r="P788" s="10"/>
      <c r="Q788" s="22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0"/>
      <c r="B789" s="16"/>
      <c r="C789" s="10"/>
      <c r="D789" s="11"/>
      <c r="E789" s="36"/>
      <c r="F789" s="36"/>
      <c r="G789" s="36"/>
      <c r="H789" s="36"/>
      <c r="I789" s="36"/>
      <c r="J789" s="36"/>
      <c r="K789" s="36"/>
      <c r="L789" s="36"/>
      <c r="M789" s="36"/>
      <c r="N789" s="10"/>
      <c r="O789" s="10"/>
      <c r="P789" s="10"/>
      <c r="Q789" s="22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0"/>
      <c r="B790" s="16"/>
      <c r="C790" s="10"/>
      <c r="D790" s="11"/>
      <c r="E790" s="36"/>
      <c r="F790" s="36"/>
      <c r="G790" s="36"/>
      <c r="H790" s="36"/>
      <c r="I790" s="36"/>
      <c r="J790" s="36"/>
      <c r="K790" s="36"/>
      <c r="L790" s="36"/>
      <c r="M790" s="36"/>
      <c r="N790" s="10"/>
      <c r="O790" s="10"/>
      <c r="P790" s="10"/>
      <c r="Q790" s="22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0"/>
      <c r="B791" s="16"/>
      <c r="C791" s="10"/>
      <c r="D791" s="11"/>
      <c r="E791" s="36"/>
      <c r="F791" s="36"/>
      <c r="G791" s="36"/>
      <c r="H791" s="36"/>
      <c r="I791" s="36"/>
      <c r="J791" s="36"/>
      <c r="K791" s="36"/>
      <c r="L791" s="36"/>
      <c r="M791" s="36"/>
      <c r="N791" s="10"/>
      <c r="O791" s="10"/>
      <c r="P791" s="10"/>
      <c r="Q791" s="22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0"/>
      <c r="B792" s="16"/>
      <c r="C792" s="10"/>
      <c r="D792" s="11"/>
      <c r="E792" s="36"/>
      <c r="F792" s="36"/>
      <c r="G792" s="36"/>
      <c r="H792" s="36"/>
      <c r="I792" s="36"/>
      <c r="J792" s="36"/>
      <c r="K792" s="36"/>
      <c r="L792" s="36"/>
      <c r="M792" s="36"/>
      <c r="N792" s="10"/>
      <c r="O792" s="10"/>
      <c r="P792" s="10"/>
      <c r="Q792" s="22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0"/>
      <c r="B793" s="16"/>
      <c r="C793" s="10"/>
      <c r="D793" s="11"/>
      <c r="E793" s="36"/>
      <c r="F793" s="36"/>
      <c r="G793" s="36"/>
      <c r="H793" s="36"/>
      <c r="I793" s="36"/>
      <c r="J793" s="36"/>
      <c r="K793" s="36"/>
      <c r="L793" s="36"/>
      <c r="M793" s="36"/>
      <c r="N793" s="10"/>
      <c r="O793" s="10"/>
      <c r="P793" s="10"/>
      <c r="Q793" s="22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0"/>
      <c r="B794" s="16"/>
      <c r="C794" s="10"/>
      <c r="D794" s="11"/>
      <c r="E794" s="36"/>
      <c r="F794" s="36"/>
      <c r="G794" s="36"/>
      <c r="H794" s="36"/>
      <c r="I794" s="36"/>
      <c r="J794" s="36"/>
      <c r="K794" s="36"/>
      <c r="L794" s="36"/>
      <c r="M794" s="36"/>
      <c r="N794" s="10"/>
      <c r="O794" s="10"/>
      <c r="P794" s="10"/>
      <c r="Q794" s="22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0"/>
      <c r="B795" s="16"/>
      <c r="C795" s="10"/>
      <c r="D795" s="11"/>
      <c r="E795" s="36"/>
      <c r="F795" s="36"/>
      <c r="G795" s="36"/>
      <c r="H795" s="36"/>
      <c r="I795" s="36"/>
      <c r="J795" s="36"/>
      <c r="K795" s="36"/>
      <c r="L795" s="36"/>
      <c r="M795" s="36"/>
      <c r="N795" s="10"/>
      <c r="O795" s="10"/>
      <c r="P795" s="10"/>
      <c r="Q795" s="22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0"/>
      <c r="B796" s="16"/>
      <c r="C796" s="10"/>
      <c r="D796" s="11"/>
      <c r="E796" s="36"/>
      <c r="F796" s="36"/>
      <c r="G796" s="36"/>
      <c r="H796" s="36"/>
      <c r="I796" s="36"/>
      <c r="J796" s="36"/>
      <c r="K796" s="36"/>
      <c r="L796" s="36"/>
      <c r="M796" s="36"/>
      <c r="N796" s="10"/>
      <c r="O796" s="10"/>
      <c r="P796" s="10"/>
      <c r="Q796" s="22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0"/>
      <c r="B797" s="16"/>
      <c r="C797" s="10"/>
      <c r="D797" s="11"/>
      <c r="E797" s="36"/>
      <c r="F797" s="36"/>
      <c r="G797" s="36"/>
      <c r="H797" s="36"/>
      <c r="I797" s="36"/>
      <c r="J797" s="36"/>
      <c r="K797" s="36"/>
      <c r="L797" s="36"/>
      <c r="M797" s="36"/>
      <c r="N797" s="10"/>
      <c r="O797" s="10"/>
      <c r="P797" s="10"/>
      <c r="Q797" s="22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0"/>
      <c r="B798" s="16"/>
      <c r="C798" s="10"/>
      <c r="D798" s="11"/>
      <c r="E798" s="36"/>
      <c r="F798" s="36"/>
      <c r="G798" s="36"/>
      <c r="H798" s="36"/>
      <c r="I798" s="36"/>
      <c r="J798" s="36"/>
      <c r="K798" s="36"/>
      <c r="L798" s="36"/>
      <c r="M798" s="36"/>
      <c r="N798" s="10"/>
      <c r="O798" s="10"/>
      <c r="P798" s="10"/>
      <c r="Q798" s="22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0"/>
      <c r="B799" s="16"/>
      <c r="C799" s="10"/>
      <c r="D799" s="11"/>
      <c r="E799" s="36"/>
      <c r="F799" s="36"/>
      <c r="G799" s="36"/>
      <c r="H799" s="36"/>
      <c r="I799" s="36"/>
      <c r="J799" s="36"/>
      <c r="K799" s="36"/>
      <c r="L799" s="36"/>
      <c r="M799" s="36"/>
      <c r="N799" s="10"/>
      <c r="O799" s="10"/>
      <c r="P799" s="10"/>
      <c r="Q799" s="22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0"/>
      <c r="B800" s="16"/>
      <c r="C800" s="10"/>
      <c r="D800" s="11"/>
      <c r="E800" s="36"/>
      <c r="F800" s="36"/>
      <c r="G800" s="36"/>
      <c r="H800" s="36"/>
      <c r="I800" s="36"/>
      <c r="J800" s="36"/>
      <c r="K800" s="36"/>
      <c r="L800" s="36"/>
      <c r="M800" s="36"/>
      <c r="N800" s="10"/>
      <c r="O800" s="10"/>
      <c r="P800" s="10"/>
      <c r="Q800" s="22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0"/>
      <c r="B801" s="16"/>
      <c r="C801" s="10"/>
      <c r="D801" s="11"/>
      <c r="E801" s="36"/>
      <c r="F801" s="36"/>
      <c r="G801" s="36"/>
      <c r="H801" s="36"/>
      <c r="I801" s="36"/>
      <c r="J801" s="36"/>
      <c r="K801" s="36"/>
      <c r="L801" s="36"/>
      <c r="M801" s="36"/>
      <c r="N801" s="10"/>
      <c r="O801" s="10"/>
      <c r="P801" s="10"/>
      <c r="Q801" s="22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0"/>
      <c r="B802" s="16"/>
      <c r="C802" s="10"/>
      <c r="D802" s="11"/>
      <c r="E802" s="36"/>
      <c r="F802" s="36"/>
      <c r="G802" s="36"/>
      <c r="H802" s="36"/>
      <c r="I802" s="36"/>
      <c r="J802" s="36"/>
      <c r="K802" s="36"/>
      <c r="L802" s="36"/>
      <c r="M802" s="36"/>
      <c r="N802" s="10"/>
      <c r="O802" s="10"/>
      <c r="P802" s="10"/>
      <c r="Q802" s="22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0"/>
      <c r="B803" s="16"/>
      <c r="C803" s="10"/>
      <c r="D803" s="11"/>
      <c r="E803" s="36"/>
      <c r="F803" s="36"/>
      <c r="G803" s="36"/>
      <c r="H803" s="36"/>
      <c r="I803" s="36"/>
      <c r="J803" s="36"/>
      <c r="K803" s="36"/>
      <c r="L803" s="36"/>
      <c r="M803" s="36"/>
      <c r="N803" s="10"/>
      <c r="O803" s="10"/>
      <c r="P803" s="10"/>
      <c r="Q803" s="22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0"/>
      <c r="B804" s="16"/>
      <c r="C804" s="10"/>
      <c r="D804" s="11"/>
      <c r="E804" s="36"/>
      <c r="F804" s="36"/>
      <c r="G804" s="36"/>
      <c r="H804" s="36"/>
      <c r="I804" s="36"/>
      <c r="J804" s="36"/>
      <c r="K804" s="36"/>
      <c r="L804" s="36"/>
      <c r="M804" s="36"/>
      <c r="N804" s="10"/>
      <c r="O804" s="10"/>
      <c r="P804" s="10"/>
      <c r="Q804" s="22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0"/>
      <c r="B805" s="16"/>
      <c r="C805" s="10"/>
      <c r="D805" s="11"/>
      <c r="E805" s="36"/>
      <c r="F805" s="36"/>
      <c r="G805" s="36"/>
      <c r="H805" s="36"/>
      <c r="I805" s="36"/>
      <c r="J805" s="36"/>
      <c r="K805" s="36"/>
      <c r="L805" s="36"/>
      <c r="M805" s="36"/>
      <c r="N805" s="10"/>
      <c r="O805" s="10"/>
      <c r="P805" s="10"/>
      <c r="Q805" s="22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0"/>
      <c r="B806" s="16"/>
      <c r="C806" s="10"/>
      <c r="D806" s="11"/>
      <c r="E806" s="36"/>
      <c r="F806" s="36"/>
      <c r="G806" s="36"/>
      <c r="H806" s="36"/>
      <c r="I806" s="36"/>
      <c r="J806" s="36"/>
      <c r="K806" s="36"/>
      <c r="L806" s="36"/>
      <c r="M806" s="36"/>
      <c r="N806" s="10"/>
      <c r="O806" s="10"/>
      <c r="P806" s="10"/>
      <c r="Q806" s="22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0"/>
      <c r="B807" s="16"/>
      <c r="C807" s="10"/>
      <c r="D807" s="11"/>
      <c r="E807" s="36"/>
      <c r="F807" s="36"/>
      <c r="G807" s="36"/>
      <c r="H807" s="36"/>
      <c r="I807" s="36"/>
      <c r="J807" s="36"/>
      <c r="K807" s="36"/>
      <c r="L807" s="36"/>
      <c r="M807" s="36"/>
      <c r="N807" s="10"/>
      <c r="O807" s="10"/>
      <c r="P807" s="10"/>
      <c r="Q807" s="22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0"/>
      <c r="B808" s="16"/>
      <c r="C808" s="10"/>
      <c r="D808" s="11"/>
      <c r="E808" s="36"/>
      <c r="F808" s="36"/>
      <c r="G808" s="36"/>
      <c r="H808" s="36"/>
      <c r="I808" s="36"/>
      <c r="J808" s="36"/>
      <c r="K808" s="36"/>
      <c r="L808" s="36"/>
      <c r="M808" s="36"/>
      <c r="N808" s="10"/>
      <c r="O808" s="10"/>
      <c r="P808" s="10"/>
      <c r="Q808" s="22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0"/>
      <c r="B809" s="16"/>
      <c r="C809" s="10"/>
      <c r="D809" s="11"/>
      <c r="E809" s="36"/>
      <c r="F809" s="36"/>
      <c r="G809" s="36"/>
      <c r="H809" s="36"/>
      <c r="I809" s="36"/>
      <c r="J809" s="36"/>
      <c r="K809" s="36"/>
      <c r="L809" s="36"/>
      <c r="M809" s="36"/>
      <c r="N809" s="10"/>
      <c r="O809" s="10"/>
      <c r="P809" s="10"/>
      <c r="Q809" s="22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0"/>
      <c r="B810" s="16"/>
      <c r="C810" s="10"/>
      <c r="D810" s="11"/>
      <c r="E810" s="36"/>
      <c r="F810" s="36"/>
      <c r="G810" s="36"/>
      <c r="H810" s="36"/>
      <c r="I810" s="36"/>
      <c r="J810" s="36"/>
      <c r="K810" s="36"/>
      <c r="L810" s="36"/>
      <c r="M810" s="36"/>
      <c r="N810" s="10"/>
      <c r="O810" s="10"/>
      <c r="P810" s="10"/>
      <c r="Q810" s="22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0"/>
      <c r="B811" s="16"/>
      <c r="C811" s="10"/>
      <c r="D811" s="11"/>
      <c r="E811" s="36"/>
      <c r="F811" s="36"/>
      <c r="G811" s="36"/>
      <c r="H811" s="36"/>
      <c r="I811" s="36"/>
      <c r="J811" s="36"/>
      <c r="K811" s="36"/>
      <c r="L811" s="36"/>
      <c r="M811" s="36"/>
      <c r="N811" s="10"/>
      <c r="O811" s="10"/>
      <c r="P811" s="10"/>
      <c r="Q811" s="22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0"/>
      <c r="B812" s="16"/>
      <c r="C812" s="10"/>
      <c r="D812" s="11"/>
      <c r="E812" s="36"/>
      <c r="F812" s="36"/>
      <c r="G812" s="36"/>
      <c r="H812" s="36"/>
      <c r="I812" s="36"/>
      <c r="J812" s="36"/>
      <c r="K812" s="36"/>
      <c r="L812" s="36"/>
      <c r="M812" s="36"/>
      <c r="N812" s="10"/>
      <c r="O812" s="10"/>
      <c r="P812" s="10"/>
      <c r="Q812" s="22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0"/>
      <c r="B813" s="16"/>
      <c r="C813" s="10"/>
      <c r="D813" s="11"/>
      <c r="E813" s="36"/>
      <c r="F813" s="36"/>
      <c r="G813" s="36"/>
      <c r="H813" s="36"/>
      <c r="I813" s="36"/>
      <c r="J813" s="36"/>
      <c r="K813" s="36"/>
      <c r="L813" s="36"/>
      <c r="M813" s="36"/>
      <c r="N813" s="10"/>
      <c r="O813" s="10"/>
      <c r="P813" s="10"/>
      <c r="Q813" s="22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0"/>
      <c r="B814" s="16"/>
      <c r="C814" s="10"/>
      <c r="D814" s="11"/>
      <c r="E814" s="36"/>
      <c r="F814" s="36"/>
      <c r="G814" s="36"/>
      <c r="H814" s="36"/>
      <c r="I814" s="36"/>
      <c r="J814" s="36"/>
      <c r="K814" s="36"/>
      <c r="L814" s="36"/>
      <c r="M814" s="36"/>
      <c r="N814" s="10"/>
      <c r="O814" s="10"/>
      <c r="P814" s="10"/>
      <c r="Q814" s="22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0"/>
      <c r="B815" s="16"/>
      <c r="C815" s="10"/>
      <c r="D815" s="11"/>
      <c r="E815" s="36"/>
      <c r="F815" s="36"/>
      <c r="G815" s="36"/>
      <c r="H815" s="36"/>
      <c r="I815" s="36"/>
      <c r="J815" s="36"/>
      <c r="K815" s="36"/>
      <c r="L815" s="36"/>
      <c r="M815" s="36"/>
      <c r="N815" s="10"/>
      <c r="O815" s="10"/>
      <c r="P815" s="10"/>
      <c r="Q815" s="22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0"/>
      <c r="B816" s="16"/>
      <c r="C816" s="10"/>
      <c r="D816" s="11"/>
      <c r="E816" s="36"/>
      <c r="F816" s="36"/>
      <c r="G816" s="36"/>
      <c r="H816" s="36"/>
      <c r="I816" s="36"/>
      <c r="J816" s="36"/>
      <c r="K816" s="36"/>
      <c r="L816" s="36"/>
      <c r="M816" s="36"/>
      <c r="N816" s="10"/>
      <c r="O816" s="10"/>
      <c r="P816" s="10"/>
      <c r="Q816" s="22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0"/>
      <c r="B817" s="16"/>
      <c r="C817" s="10"/>
      <c r="D817" s="11"/>
      <c r="E817" s="36"/>
      <c r="F817" s="36"/>
      <c r="G817" s="36"/>
      <c r="H817" s="36"/>
      <c r="I817" s="36"/>
      <c r="J817" s="36"/>
      <c r="K817" s="36"/>
      <c r="L817" s="36"/>
      <c r="M817" s="36"/>
      <c r="N817" s="10"/>
      <c r="O817" s="10"/>
      <c r="P817" s="10"/>
      <c r="Q817" s="22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0"/>
      <c r="B818" s="16"/>
      <c r="C818" s="10"/>
      <c r="D818" s="11"/>
      <c r="E818" s="36"/>
      <c r="F818" s="36"/>
      <c r="G818" s="36"/>
      <c r="H818" s="36"/>
      <c r="I818" s="36"/>
      <c r="J818" s="36"/>
      <c r="K818" s="36"/>
      <c r="L818" s="36"/>
      <c r="M818" s="36"/>
      <c r="N818" s="10"/>
      <c r="O818" s="10"/>
      <c r="P818" s="10"/>
      <c r="Q818" s="22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0"/>
      <c r="B819" s="16"/>
      <c r="C819" s="10"/>
      <c r="D819" s="11"/>
      <c r="E819" s="36"/>
      <c r="F819" s="36"/>
      <c r="G819" s="36"/>
      <c r="H819" s="36"/>
      <c r="I819" s="36"/>
      <c r="J819" s="36"/>
      <c r="K819" s="36"/>
      <c r="L819" s="36"/>
      <c r="M819" s="36"/>
      <c r="N819" s="10"/>
      <c r="O819" s="10"/>
      <c r="P819" s="10"/>
      <c r="Q819" s="22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0"/>
      <c r="B820" s="16"/>
      <c r="C820" s="10"/>
      <c r="D820" s="11"/>
      <c r="E820" s="36"/>
      <c r="F820" s="36"/>
      <c r="G820" s="36"/>
      <c r="H820" s="36"/>
      <c r="I820" s="36"/>
      <c r="J820" s="36"/>
      <c r="K820" s="36"/>
      <c r="L820" s="36"/>
      <c r="M820" s="36"/>
      <c r="N820" s="10"/>
      <c r="O820" s="10"/>
      <c r="P820" s="10"/>
      <c r="Q820" s="22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0"/>
      <c r="B821" s="16"/>
      <c r="C821" s="10"/>
      <c r="D821" s="11"/>
      <c r="E821" s="36"/>
      <c r="F821" s="36"/>
      <c r="G821" s="36"/>
      <c r="H821" s="36"/>
      <c r="I821" s="36"/>
      <c r="J821" s="36"/>
      <c r="K821" s="36"/>
      <c r="L821" s="36"/>
      <c r="M821" s="36"/>
      <c r="N821" s="10"/>
      <c r="O821" s="10"/>
      <c r="P821" s="10"/>
      <c r="Q821" s="22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0"/>
      <c r="B822" s="16"/>
      <c r="C822" s="10"/>
      <c r="D822" s="11"/>
      <c r="E822" s="36"/>
      <c r="F822" s="36"/>
      <c r="G822" s="36"/>
      <c r="H822" s="36"/>
      <c r="I822" s="36"/>
      <c r="J822" s="36"/>
      <c r="K822" s="36"/>
      <c r="L822" s="36"/>
      <c r="M822" s="36"/>
      <c r="N822" s="10"/>
      <c r="O822" s="10"/>
      <c r="P822" s="10"/>
      <c r="Q822" s="22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0"/>
      <c r="B823" s="16"/>
      <c r="C823" s="10"/>
      <c r="D823" s="11"/>
      <c r="E823" s="36"/>
      <c r="F823" s="36"/>
      <c r="G823" s="36"/>
      <c r="H823" s="36"/>
      <c r="I823" s="36"/>
      <c r="J823" s="36"/>
      <c r="K823" s="36"/>
      <c r="L823" s="36"/>
      <c r="M823" s="36"/>
      <c r="N823" s="10"/>
      <c r="O823" s="10"/>
      <c r="P823" s="10"/>
      <c r="Q823" s="22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0"/>
      <c r="B824" s="16"/>
      <c r="C824" s="10"/>
      <c r="D824" s="11"/>
      <c r="E824" s="36"/>
      <c r="F824" s="36"/>
      <c r="G824" s="36"/>
      <c r="H824" s="36"/>
      <c r="I824" s="36"/>
      <c r="J824" s="36"/>
      <c r="K824" s="36"/>
      <c r="L824" s="36"/>
      <c r="M824" s="36"/>
      <c r="N824" s="10"/>
      <c r="O824" s="10"/>
      <c r="P824" s="10"/>
      <c r="Q824" s="22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0"/>
      <c r="B825" s="16"/>
      <c r="C825" s="10"/>
      <c r="D825" s="11"/>
      <c r="E825" s="36"/>
      <c r="F825" s="36"/>
      <c r="G825" s="36"/>
      <c r="H825" s="36"/>
      <c r="I825" s="36"/>
      <c r="J825" s="36"/>
      <c r="K825" s="36"/>
      <c r="L825" s="36"/>
      <c r="M825" s="36"/>
      <c r="N825" s="10"/>
      <c r="O825" s="10"/>
      <c r="P825" s="10"/>
      <c r="Q825" s="22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0"/>
      <c r="B826" s="16"/>
      <c r="C826" s="10"/>
      <c r="D826" s="11"/>
      <c r="E826" s="36"/>
      <c r="F826" s="36"/>
      <c r="G826" s="36"/>
      <c r="H826" s="36"/>
      <c r="I826" s="36"/>
      <c r="J826" s="36"/>
      <c r="K826" s="36"/>
      <c r="L826" s="36"/>
      <c r="M826" s="36"/>
      <c r="N826" s="10"/>
      <c r="O826" s="10"/>
      <c r="P826" s="10"/>
      <c r="Q826" s="22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0"/>
      <c r="B827" s="16"/>
      <c r="C827" s="10"/>
      <c r="D827" s="11"/>
      <c r="E827" s="36"/>
      <c r="F827" s="36"/>
      <c r="G827" s="36"/>
      <c r="H827" s="36"/>
      <c r="I827" s="36"/>
      <c r="J827" s="36"/>
      <c r="K827" s="36"/>
      <c r="L827" s="36"/>
      <c r="M827" s="36"/>
      <c r="N827" s="10"/>
      <c r="O827" s="10"/>
      <c r="P827" s="10"/>
      <c r="Q827" s="22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0"/>
      <c r="B828" s="16"/>
      <c r="C828" s="10"/>
      <c r="D828" s="11"/>
      <c r="E828" s="36"/>
      <c r="F828" s="36"/>
      <c r="G828" s="36"/>
      <c r="H828" s="36"/>
      <c r="I828" s="36"/>
      <c r="J828" s="36"/>
      <c r="K828" s="36"/>
      <c r="L828" s="36"/>
      <c r="M828" s="36"/>
      <c r="N828" s="10"/>
      <c r="O828" s="10"/>
      <c r="P828" s="10"/>
      <c r="Q828" s="22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0"/>
      <c r="B829" s="16"/>
      <c r="C829" s="10"/>
      <c r="D829" s="11"/>
      <c r="E829" s="36"/>
      <c r="F829" s="36"/>
      <c r="G829" s="36"/>
      <c r="H829" s="36"/>
      <c r="I829" s="36"/>
      <c r="J829" s="36"/>
      <c r="K829" s="36"/>
      <c r="L829" s="36"/>
      <c r="M829" s="36"/>
      <c r="N829" s="10"/>
      <c r="O829" s="10"/>
      <c r="P829" s="10"/>
      <c r="Q829" s="22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0"/>
      <c r="B830" s="16"/>
      <c r="C830" s="10"/>
      <c r="D830" s="11"/>
      <c r="E830" s="36"/>
      <c r="F830" s="36"/>
      <c r="G830" s="36"/>
      <c r="H830" s="36"/>
      <c r="I830" s="36"/>
      <c r="J830" s="36"/>
      <c r="K830" s="36"/>
      <c r="L830" s="36"/>
      <c r="M830" s="36"/>
      <c r="N830" s="10"/>
      <c r="O830" s="10"/>
      <c r="P830" s="10"/>
      <c r="Q830" s="22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0"/>
      <c r="B831" s="16"/>
      <c r="C831" s="10"/>
      <c r="D831" s="11"/>
      <c r="E831" s="36"/>
      <c r="F831" s="36"/>
      <c r="G831" s="36"/>
      <c r="H831" s="36"/>
      <c r="I831" s="36"/>
      <c r="J831" s="36"/>
      <c r="K831" s="36"/>
      <c r="L831" s="36"/>
      <c r="M831" s="36"/>
      <c r="N831" s="10"/>
      <c r="O831" s="10"/>
      <c r="P831" s="10"/>
      <c r="Q831" s="22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0"/>
      <c r="B832" s="16"/>
      <c r="C832" s="10"/>
      <c r="D832" s="11"/>
      <c r="E832" s="36"/>
      <c r="F832" s="36"/>
      <c r="G832" s="36"/>
      <c r="H832" s="36"/>
      <c r="I832" s="36"/>
      <c r="J832" s="36"/>
      <c r="K832" s="36"/>
      <c r="L832" s="36"/>
      <c r="M832" s="36"/>
      <c r="N832" s="10"/>
      <c r="O832" s="10"/>
      <c r="P832" s="10"/>
      <c r="Q832" s="22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0"/>
      <c r="B833" s="16"/>
      <c r="C833" s="10"/>
      <c r="D833" s="11"/>
      <c r="E833" s="36"/>
      <c r="F833" s="36"/>
      <c r="G833" s="36"/>
      <c r="H833" s="36"/>
      <c r="I833" s="36"/>
      <c r="J833" s="36"/>
      <c r="K833" s="36"/>
      <c r="L833" s="36"/>
      <c r="M833" s="36"/>
      <c r="N833" s="10"/>
      <c r="O833" s="10"/>
      <c r="P833" s="10"/>
      <c r="Q833" s="22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0"/>
      <c r="B834" s="16"/>
      <c r="C834" s="10"/>
      <c r="D834" s="11"/>
      <c r="E834" s="36"/>
      <c r="F834" s="36"/>
      <c r="G834" s="36"/>
      <c r="H834" s="36"/>
      <c r="I834" s="36"/>
      <c r="J834" s="36"/>
      <c r="K834" s="36"/>
      <c r="L834" s="36"/>
      <c r="M834" s="36"/>
      <c r="N834" s="10"/>
      <c r="O834" s="10"/>
      <c r="P834" s="10"/>
      <c r="Q834" s="22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0"/>
      <c r="B835" s="16"/>
      <c r="C835" s="10"/>
      <c r="D835" s="11"/>
      <c r="E835" s="36"/>
      <c r="F835" s="36"/>
      <c r="G835" s="36"/>
      <c r="H835" s="36"/>
      <c r="I835" s="36"/>
      <c r="J835" s="36"/>
      <c r="K835" s="36"/>
      <c r="L835" s="36"/>
      <c r="M835" s="36"/>
      <c r="N835" s="10"/>
      <c r="O835" s="10"/>
      <c r="P835" s="10"/>
      <c r="Q835" s="22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0"/>
      <c r="B836" s="16"/>
      <c r="C836" s="10"/>
      <c r="D836" s="11"/>
      <c r="E836" s="36"/>
      <c r="F836" s="36"/>
      <c r="G836" s="36"/>
      <c r="H836" s="36"/>
      <c r="I836" s="36"/>
      <c r="J836" s="36"/>
      <c r="K836" s="36"/>
      <c r="L836" s="36"/>
      <c r="M836" s="36"/>
      <c r="N836" s="10"/>
      <c r="O836" s="10"/>
      <c r="P836" s="10"/>
      <c r="Q836" s="22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0"/>
      <c r="B837" s="16"/>
      <c r="C837" s="10"/>
      <c r="D837" s="11"/>
      <c r="E837" s="36"/>
      <c r="F837" s="36"/>
      <c r="G837" s="36"/>
      <c r="H837" s="36"/>
      <c r="I837" s="36"/>
      <c r="J837" s="36"/>
      <c r="K837" s="36"/>
      <c r="L837" s="36"/>
      <c r="M837" s="36"/>
      <c r="N837" s="10"/>
      <c r="O837" s="10"/>
      <c r="P837" s="10"/>
      <c r="Q837" s="22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0"/>
      <c r="B838" s="16"/>
      <c r="C838" s="10"/>
      <c r="D838" s="11"/>
      <c r="E838" s="36"/>
      <c r="F838" s="36"/>
      <c r="G838" s="36"/>
      <c r="H838" s="36"/>
      <c r="I838" s="36"/>
      <c r="J838" s="36"/>
      <c r="K838" s="36"/>
      <c r="L838" s="36"/>
      <c r="M838" s="36"/>
      <c r="N838" s="10"/>
      <c r="O838" s="10"/>
      <c r="P838" s="10"/>
      <c r="Q838" s="22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0"/>
      <c r="B839" s="16"/>
      <c r="C839" s="10"/>
      <c r="D839" s="11"/>
      <c r="E839" s="36"/>
      <c r="F839" s="36"/>
      <c r="G839" s="36"/>
      <c r="H839" s="36"/>
      <c r="I839" s="36"/>
      <c r="J839" s="36"/>
      <c r="K839" s="36"/>
      <c r="L839" s="36"/>
      <c r="M839" s="36"/>
      <c r="N839" s="10"/>
      <c r="O839" s="10"/>
      <c r="P839" s="10"/>
      <c r="Q839" s="22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0"/>
      <c r="B840" s="16"/>
      <c r="C840" s="10"/>
      <c r="D840" s="11"/>
      <c r="E840" s="36"/>
      <c r="F840" s="36"/>
      <c r="G840" s="36"/>
      <c r="H840" s="36"/>
      <c r="I840" s="36"/>
      <c r="J840" s="36"/>
      <c r="K840" s="36"/>
      <c r="L840" s="36"/>
      <c r="M840" s="36"/>
      <c r="N840" s="10"/>
      <c r="O840" s="10"/>
      <c r="P840" s="10"/>
      <c r="Q840" s="22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0"/>
      <c r="B841" s="16"/>
      <c r="C841" s="10"/>
      <c r="D841" s="11"/>
      <c r="E841" s="36"/>
      <c r="F841" s="36"/>
      <c r="G841" s="36"/>
      <c r="H841" s="36"/>
      <c r="I841" s="36"/>
      <c r="J841" s="36"/>
      <c r="K841" s="36"/>
      <c r="L841" s="36"/>
      <c r="M841" s="36"/>
      <c r="N841" s="10"/>
      <c r="O841" s="10"/>
      <c r="P841" s="10"/>
      <c r="Q841" s="22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0"/>
      <c r="B842" s="16"/>
      <c r="C842" s="10"/>
      <c r="D842" s="11"/>
      <c r="E842" s="36"/>
      <c r="F842" s="36"/>
      <c r="G842" s="36"/>
      <c r="H842" s="36"/>
      <c r="I842" s="36"/>
      <c r="J842" s="36"/>
      <c r="K842" s="36"/>
      <c r="L842" s="36"/>
      <c r="M842" s="36"/>
      <c r="N842" s="10"/>
      <c r="O842" s="10"/>
      <c r="P842" s="10"/>
      <c r="Q842" s="22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0"/>
      <c r="B843" s="16"/>
      <c r="C843" s="10"/>
      <c r="D843" s="11"/>
      <c r="E843" s="36"/>
      <c r="F843" s="36"/>
      <c r="G843" s="36"/>
      <c r="H843" s="36"/>
      <c r="I843" s="36"/>
      <c r="J843" s="36"/>
      <c r="K843" s="36"/>
      <c r="L843" s="36"/>
      <c r="M843" s="36"/>
      <c r="N843" s="10"/>
      <c r="O843" s="10"/>
      <c r="P843" s="10"/>
      <c r="Q843" s="22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0"/>
      <c r="B844" s="16"/>
      <c r="C844" s="10"/>
      <c r="D844" s="11"/>
      <c r="E844" s="36"/>
      <c r="F844" s="36"/>
      <c r="G844" s="36"/>
      <c r="H844" s="36"/>
      <c r="I844" s="36"/>
      <c r="J844" s="36"/>
      <c r="K844" s="36"/>
      <c r="L844" s="36"/>
      <c r="M844" s="36"/>
      <c r="N844" s="10"/>
      <c r="O844" s="10"/>
      <c r="P844" s="10"/>
      <c r="Q844" s="22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0"/>
      <c r="B845" s="16"/>
      <c r="C845" s="10"/>
      <c r="D845" s="11"/>
      <c r="E845" s="36"/>
      <c r="F845" s="36"/>
      <c r="G845" s="36"/>
      <c r="H845" s="36"/>
      <c r="I845" s="36"/>
      <c r="J845" s="36"/>
      <c r="K845" s="36"/>
      <c r="L845" s="36"/>
      <c r="M845" s="36"/>
      <c r="N845" s="10"/>
      <c r="O845" s="10"/>
      <c r="P845" s="10"/>
      <c r="Q845" s="22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0"/>
      <c r="B846" s="16"/>
      <c r="C846" s="10"/>
      <c r="D846" s="11"/>
      <c r="E846" s="36"/>
      <c r="F846" s="36"/>
      <c r="G846" s="36"/>
      <c r="H846" s="36"/>
      <c r="I846" s="36"/>
      <c r="J846" s="36"/>
      <c r="K846" s="36"/>
      <c r="L846" s="36"/>
      <c r="M846" s="36"/>
      <c r="N846" s="10"/>
      <c r="O846" s="10"/>
      <c r="P846" s="10"/>
      <c r="Q846" s="22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0"/>
      <c r="B847" s="16"/>
      <c r="C847" s="10"/>
      <c r="D847" s="11"/>
      <c r="E847" s="36"/>
      <c r="F847" s="36"/>
      <c r="G847" s="36"/>
      <c r="H847" s="36"/>
      <c r="I847" s="36"/>
      <c r="J847" s="36"/>
      <c r="K847" s="36"/>
      <c r="L847" s="36"/>
      <c r="M847" s="36"/>
      <c r="N847" s="10"/>
      <c r="O847" s="10"/>
      <c r="P847" s="10"/>
      <c r="Q847" s="22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0"/>
      <c r="B848" s="16"/>
      <c r="C848" s="10"/>
      <c r="D848" s="11"/>
      <c r="E848" s="36"/>
      <c r="F848" s="36"/>
      <c r="G848" s="36"/>
      <c r="H848" s="36"/>
      <c r="I848" s="36"/>
      <c r="J848" s="36"/>
      <c r="K848" s="36"/>
      <c r="L848" s="36"/>
      <c r="M848" s="36"/>
      <c r="N848" s="10"/>
      <c r="O848" s="10"/>
      <c r="P848" s="10"/>
      <c r="Q848" s="22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0"/>
      <c r="B849" s="16"/>
      <c r="C849" s="10"/>
      <c r="D849" s="11"/>
      <c r="E849" s="36"/>
      <c r="F849" s="36"/>
      <c r="G849" s="36"/>
      <c r="H849" s="36"/>
      <c r="I849" s="36"/>
      <c r="J849" s="36"/>
      <c r="K849" s="36"/>
      <c r="L849" s="36"/>
      <c r="M849" s="36"/>
      <c r="N849" s="10"/>
      <c r="O849" s="10"/>
      <c r="P849" s="10"/>
      <c r="Q849" s="22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0"/>
      <c r="B850" s="16"/>
      <c r="C850" s="10"/>
      <c r="D850" s="11"/>
      <c r="E850" s="36"/>
      <c r="F850" s="36"/>
      <c r="G850" s="36"/>
      <c r="H850" s="36"/>
      <c r="I850" s="36"/>
      <c r="J850" s="36"/>
      <c r="K850" s="36"/>
      <c r="L850" s="36"/>
      <c r="M850" s="36"/>
      <c r="N850" s="10"/>
      <c r="O850" s="10"/>
      <c r="P850" s="10"/>
      <c r="Q850" s="22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0"/>
      <c r="B851" s="16"/>
      <c r="C851" s="10"/>
      <c r="D851" s="11"/>
      <c r="E851" s="36"/>
      <c r="F851" s="36"/>
      <c r="G851" s="36"/>
      <c r="H851" s="36"/>
      <c r="I851" s="36"/>
      <c r="J851" s="36"/>
      <c r="K851" s="36"/>
      <c r="L851" s="36"/>
      <c r="M851" s="36"/>
      <c r="N851" s="10"/>
      <c r="O851" s="10"/>
      <c r="P851" s="10"/>
      <c r="Q851" s="22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0"/>
      <c r="B852" s="16"/>
      <c r="C852" s="10"/>
      <c r="D852" s="11"/>
      <c r="E852" s="36"/>
      <c r="F852" s="36"/>
      <c r="G852" s="36"/>
      <c r="H852" s="36"/>
      <c r="I852" s="36"/>
      <c r="J852" s="36"/>
      <c r="K852" s="36"/>
      <c r="L852" s="36"/>
      <c r="M852" s="36"/>
      <c r="N852" s="10"/>
      <c r="O852" s="10"/>
      <c r="P852" s="10"/>
      <c r="Q852" s="22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0"/>
      <c r="B853" s="16"/>
      <c r="C853" s="10"/>
      <c r="D853" s="11"/>
      <c r="E853" s="36"/>
      <c r="F853" s="36"/>
      <c r="G853" s="36"/>
      <c r="H853" s="36"/>
      <c r="I853" s="36"/>
      <c r="J853" s="36"/>
      <c r="K853" s="36"/>
      <c r="L853" s="36"/>
      <c r="M853" s="36"/>
      <c r="N853" s="10"/>
      <c r="O853" s="10"/>
      <c r="P853" s="10"/>
      <c r="Q853" s="22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0"/>
      <c r="B854" s="16"/>
      <c r="C854" s="10"/>
      <c r="D854" s="11"/>
      <c r="E854" s="36"/>
      <c r="F854" s="36"/>
      <c r="G854" s="36"/>
      <c r="H854" s="36"/>
      <c r="I854" s="36"/>
      <c r="J854" s="36"/>
      <c r="K854" s="36"/>
      <c r="L854" s="36"/>
      <c r="M854" s="36"/>
      <c r="N854" s="10"/>
      <c r="O854" s="10"/>
      <c r="P854" s="10"/>
      <c r="Q854" s="22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0"/>
      <c r="B855" s="16"/>
      <c r="C855" s="10"/>
      <c r="D855" s="11"/>
      <c r="E855" s="36"/>
      <c r="F855" s="36"/>
      <c r="G855" s="36"/>
      <c r="H855" s="36"/>
      <c r="I855" s="36"/>
      <c r="J855" s="36"/>
      <c r="K855" s="36"/>
      <c r="L855" s="36"/>
      <c r="M855" s="36"/>
      <c r="N855" s="10"/>
      <c r="O855" s="10"/>
      <c r="P855" s="10"/>
      <c r="Q855" s="22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0"/>
      <c r="B856" s="16"/>
      <c r="C856" s="10"/>
      <c r="D856" s="11"/>
      <c r="E856" s="36"/>
      <c r="F856" s="36"/>
      <c r="G856" s="36"/>
      <c r="H856" s="36"/>
      <c r="I856" s="36"/>
      <c r="J856" s="36"/>
      <c r="K856" s="36"/>
      <c r="L856" s="36"/>
      <c r="M856" s="36"/>
      <c r="N856" s="10"/>
      <c r="O856" s="10"/>
      <c r="P856" s="10"/>
      <c r="Q856" s="22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0"/>
      <c r="B857" s="16"/>
      <c r="C857" s="10"/>
      <c r="D857" s="11"/>
      <c r="E857" s="36"/>
      <c r="F857" s="36"/>
      <c r="G857" s="36"/>
      <c r="H857" s="36"/>
      <c r="I857" s="36"/>
      <c r="J857" s="36"/>
      <c r="K857" s="36"/>
      <c r="L857" s="36"/>
      <c r="M857" s="36"/>
      <c r="N857" s="10"/>
      <c r="O857" s="10"/>
      <c r="P857" s="10"/>
      <c r="Q857" s="22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0"/>
      <c r="B858" s="16"/>
      <c r="C858" s="10"/>
      <c r="D858" s="11"/>
      <c r="E858" s="36"/>
      <c r="F858" s="36"/>
      <c r="G858" s="36"/>
      <c r="H858" s="36"/>
      <c r="I858" s="36"/>
      <c r="J858" s="36"/>
      <c r="K858" s="36"/>
      <c r="L858" s="36"/>
      <c r="M858" s="36"/>
      <c r="N858" s="10"/>
      <c r="O858" s="10"/>
      <c r="P858" s="10"/>
      <c r="Q858" s="22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0"/>
      <c r="B859" s="16"/>
      <c r="C859" s="10"/>
      <c r="D859" s="11"/>
      <c r="E859" s="36"/>
      <c r="F859" s="36"/>
      <c r="G859" s="36"/>
      <c r="H859" s="36"/>
      <c r="I859" s="36"/>
      <c r="J859" s="36"/>
      <c r="K859" s="36"/>
      <c r="L859" s="36"/>
      <c r="M859" s="36"/>
      <c r="N859" s="10"/>
      <c r="O859" s="10"/>
      <c r="P859" s="10"/>
      <c r="Q859" s="22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0"/>
      <c r="B860" s="16"/>
      <c r="C860" s="10"/>
      <c r="D860" s="11"/>
      <c r="E860" s="36"/>
      <c r="F860" s="36"/>
      <c r="G860" s="36"/>
      <c r="H860" s="36"/>
      <c r="I860" s="36"/>
      <c r="J860" s="36"/>
      <c r="K860" s="36"/>
      <c r="L860" s="36"/>
      <c r="M860" s="36"/>
      <c r="N860" s="10"/>
      <c r="O860" s="10"/>
      <c r="P860" s="10"/>
      <c r="Q860" s="22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0"/>
      <c r="B861" s="16"/>
      <c r="C861" s="10"/>
      <c r="D861" s="11"/>
      <c r="E861" s="36"/>
      <c r="F861" s="36"/>
      <c r="G861" s="36"/>
      <c r="H861" s="36"/>
      <c r="I861" s="36"/>
      <c r="J861" s="36"/>
      <c r="K861" s="36"/>
      <c r="L861" s="36"/>
      <c r="M861" s="36"/>
      <c r="N861" s="10"/>
      <c r="O861" s="10"/>
      <c r="P861" s="10"/>
      <c r="Q861" s="22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0"/>
      <c r="B862" s="16"/>
      <c r="C862" s="10"/>
      <c r="D862" s="11"/>
      <c r="E862" s="36"/>
      <c r="F862" s="36"/>
      <c r="G862" s="36"/>
      <c r="H862" s="36"/>
      <c r="I862" s="36"/>
      <c r="J862" s="36"/>
      <c r="K862" s="36"/>
      <c r="L862" s="36"/>
      <c r="M862" s="36"/>
      <c r="N862" s="10"/>
      <c r="O862" s="10"/>
      <c r="P862" s="10"/>
      <c r="Q862" s="22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0"/>
      <c r="B863" s="16"/>
      <c r="C863" s="10"/>
      <c r="D863" s="11"/>
      <c r="E863" s="36"/>
      <c r="F863" s="36"/>
      <c r="G863" s="36"/>
      <c r="H863" s="36"/>
      <c r="I863" s="36"/>
      <c r="J863" s="36"/>
      <c r="K863" s="36"/>
      <c r="L863" s="36"/>
      <c r="M863" s="36"/>
      <c r="N863" s="10"/>
      <c r="O863" s="10"/>
      <c r="P863" s="10"/>
      <c r="Q863" s="22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0"/>
      <c r="B864" s="16"/>
      <c r="C864" s="10"/>
      <c r="D864" s="11"/>
      <c r="E864" s="36"/>
      <c r="F864" s="36"/>
      <c r="G864" s="36"/>
      <c r="H864" s="36"/>
      <c r="I864" s="36"/>
      <c r="J864" s="36"/>
      <c r="K864" s="36"/>
      <c r="L864" s="36"/>
      <c r="M864" s="36"/>
      <c r="N864" s="10"/>
      <c r="O864" s="10"/>
      <c r="P864" s="10"/>
      <c r="Q864" s="22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0"/>
      <c r="B865" s="16"/>
      <c r="C865" s="10"/>
      <c r="D865" s="11"/>
      <c r="E865" s="36"/>
      <c r="F865" s="36"/>
      <c r="G865" s="36"/>
      <c r="H865" s="36"/>
      <c r="I865" s="36"/>
      <c r="J865" s="36"/>
      <c r="K865" s="36"/>
      <c r="L865" s="36"/>
      <c r="M865" s="36"/>
      <c r="N865" s="10"/>
      <c r="O865" s="10"/>
      <c r="P865" s="10"/>
      <c r="Q865" s="22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0"/>
      <c r="B866" s="16"/>
      <c r="C866" s="10"/>
      <c r="D866" s="11"/>
      <c r="E866" s="36"/>
      <c r="F866" s="36"/>
      <c r="G866" s="36"/>
      <c r="H866" s="36"/>
      <c r="I866" s="36"/>
      <c r="J866" s="36"/>
      <c r="K866" s="36"/>
      <c r="L866" s="36"/>
      <c r="M866" s="36"/>
      <c r="N866" s="10"/>
      <c r="O866" s="10"/>
      <c r="P866" s="10"/>
      <c r="Q866" s="22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0"/>
      <c r="B867" s="16"/>
      <c r="C867" s="10"/>
      <c r="D867" s="11"/>
      <c r="E867" s="36"/>
      <c r="F867" s="36"/>
      <c r="G867" s="36"/>
      <c r="H867" s="36"/>
      <c r="I867" s="36"/>
      <c r="J867" s="36"/>
      <c r="K867" s="36"/>
      <c r="L867" s="36"/>
      <c r="M867" s="36"/>
      <c r="N867" s="10"/>
      <c r="O867" s="10"/>
      <c r="P867" s="10"/>
      <c r="Q867" s="22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0"/>
      <c r="B868" s="16"/>
      <c r="C868" s="10"/>
      <c r="D868" s="11"/>
      <c r="E868" s="36"/>
      <c r="F868" s="36"/>
      <c r="G868" s="36"/>
      <c r="H868" s="36"/>
      <c r="I868" s="36"/>
      <c r="J868" s="36"/>
      <c r="K868" s="36"/>
      <c r="L868" s="36"/>
      <c r="M868" s="36"/>
      <c r="N868" s="10"/>
      <c r="O868" s="10"/>
      <c r="P868" s="10"/>
      <c r="Q868" s="22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0"/>
      <c r="B869" s="16"/>
      <c r="C869" s="10"/>
      <c r="D869" s="11"/>
      <c r="E869" s="36"/>
      <c r="F869" s="36"/>
      <c r="G869" s="36"/>
      <c r="H869" s="36"/>
      <c r="I869" s="36"/>
      <c r="J869" s="36"/>
      <c r="K869" s="36"/>
      <c r="L869" s="36"/>
      <c r="M869" s="36"/>
      <c r="N869" s="10"/>
      <c r="O869" s="10"/>
      <c r="P869" s="10"/>
      <c r="Q869" s="22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0"/>
      <c r="B870" s="16"/>
      <c r="C870" s="10"/>
      <c r="D870" s="11"/>
      <c r="E870" s="36"/>
      <c r="F870" s="36"/>
      <c r="G870" s="36"/>
      <c r="H870" s="36"/>
      <c r="I870" s="36"/>
      <c r="J870" s="36"/>
      <c r="K870" s="36"/>
      <c r="L870" s="36"/>
      <c r="M870" s="36"/>
      <c r="N870" s="10"/>
      <c r="O870" s="10"/>
      <c r="P870" s="10"/>
      <c r="Q870" s="22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0"/>
      <c r="B871" s="16"/>
      <c r="C871" s="10"/>
      <c r="D871" s="11"/>
      <c r="E871" s="36"/>
      <c r="F871" s="36"/>
      <c r="G871" s="36"/>
      <c r="H871" s="36"/>
      <c r="I871" s="36"/>
      <c r="J871" s="36"/>
      <c r="K871" s="36"/>
      <c r="L871" s="36"/>
      <c r="M871" s="36"/>
      <c r="N871" s="10"/>
      <c r="O871" s="10"/>
      <c r="P871" s="10"/>
      <c r="Q871" s="22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0"/>
      <c r="B872" s="16"/>
      <c r="C872" s="10"/>
      <c r="D872" s="11"/>
      <c r="E872" s="36"/>
      <c r="F872" s="36"/>
      <c r="G872" s="36"/>
      <c r="H872" s="36"/>
      <c r="I872" s="36"/>
      <c r="J872" s="36"/>
      <c r="K872" s="36"/>
      <c r="L872" s="36"/>
      <c r="M872" s="36"/>
      <c r="N872" s="10"/>
      <c r="O872" s="10"/>
      <c r="P872" s="10"/>
      <c r="Q872" s="22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0"/>
      <c r="B873" s="16"/>
      <c r="C873" s="10"/>
      <c r="D873" s="11"/>
      <c r="E873" s="36"/>
      <c r="F873" s="36"/>
      <c r="G873" s="36"/>
      <c r="H873" s="36"/>
      <c r="I873" s="36"/>
      <c r="J873" s="36"/>
      <c r="K873" s="36"/>
      <c r="L873" s="36"/>
      <c r="M873" s="36"/>
      <c r="N873" s="10"/>
      <c r="O873" s="10"/>
      <c r="P873" s="10"/>
      <c r="Q873" s="22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0"/>
      <c r="B874" s="16"/>
      <c r="C874" s="10"/>
      <c r="D874" s="11"/>
      <c r="E874" s="36"/>
      <c r="F874" s="36"/>
      <c r="G874" s="36"/>
      <c r="H874" s="36"/>
      <c r="I874" s="36"/>
      <c r="J874" s="36"/>
      <c r="K874" s="36"/>
      <c r="L874" s="36"/>
      <c r="M874" s="36"/>
      <c r="N874" s="10"/>
      <c r="O874" s="10"/>
      <c r="P874" s="10"/>
      <c r="Q874" s="22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0"/>
      <c r="B875" s="16"/>
      <c r="C875" s="10"/>
      <c r="D875" s="11"/>
      <c r="E875" s="36"/>
      <c r="F875" s="36"/>
      <c r="G875" s="36"/>
      <c r="H875" s="36"/>
      <c r="I875" s="36"/>
      <c r="J875" s="36"/>
      <c r="K875" s="36"/>
      <c r="L875" s="36"/>
      <c r="M875" s="36"/>
      <c r="N875" s="10"/>
      <c r="O875" s="10"/>
      <c r="P875" s="10"/>
      <c r="Q875" s="22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0"/>
      <c r="B876" s="16"/>
      <c r="C876" s="10"/>
      <c r="D876" s="11"/>
      <c r="E876" s="36"/>
      <c r="F876" s="36"/>
      <c r="G876" s="36"/>
      <c r="H876" s="36"/>
      <c r="I876" s="36"/>
      <c r="J876" s="36"/>
      <c r="K876" s="36"/>
      <c r="L876" s="36"/>
      <c r="M876" s="36"/>
      <c r="N876" s="10"/>
      <c r="O876" s="10"/>
      <c r="P876" s="10"/>
      <c r="Q876" s="22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0"/>
      <c r="B877" s="16"/>
      <c r="C877" s="10"/>
      <c r="D877" s="11"/>
      <c r="E877" s="36"/>
      <c r="F877" s="36"/>
      <c r="G877" s="36"/>
      <c r="H877" s="36"/>
      <c r="I877" s="36"/>
      <c r="J877" s="36"/>
      <c r="K877" s="36"/>
      <c r="L877" s="36"/>
      <c r="M877" s="36"/>
      <c r="N877" s="10"/>
      <c r="O877" s="10"/>
      <c r="P877" s="10"/>
      <c r="Q877" s="22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0"/>
      <c r="B878" s="16"/>
      <c r="C878" s="10"/>
      <c r="D878" s="11"/>
      <c r="E878" s="36"/>
      <c r="F878" s="36"/>
      <c r="G878" s="36"/>
      <c r="H878" s="36"/>
      <c r="I878" s="36"/>
      <c r="J878" s="36"/>
      <c r="K878" s="36"/>
      <c r="L878" s="36"/>
      <c r="M878" s="36"/>
      <c r="N878" s="10"/>
      <c r="O878" s="10"/>
      <c r="P878" s="10"/>
      <c r="Q878" s="22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0"/>
      <c r="B879" s="16"/>
      <c r="C879" s="10"/>
      <c r="D879" s="11"/>
      <c r="E879" s="36"/>
      <c r="F879" s="36"/>
      <c r="G879" s="36"/>
      <c r="H879" s="36"/>
      <c r="I879" s="36"/>
      <c r="J879" s="36"/>
      <c r="K879" s="36"/>
      <c r="L879" s="36"/>
      <c r="M879" s="36"/>
      <c r="N879" s="10"/>
      <c r="O879" s="10"/>
      <c r="P879" s="10"/>
      <c r="Q879" s="22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0"/>
      <c r="B880" s="16"/>
      <c r="C880" s="10"/>
      <c r="D880" s="11"/>
      <c r="E880" s="36"/>
      <c r="F880" s="36"/>
      <c r="G880" s="36"/>
      <c r="H880" s="36"/>
      <c r="I880" s="36"/>
      <c r="J880" s="36"/>
      <c r="K880" s="36"/>
      <c r="L880" s="36"/>
      <c r="M880" s="36"/>
      <c r="N880" s="10"/>
      <c r="O880" s="10"/>
      <c r="P880" s="10"/>
      <c r="Q880" s="22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0"/>
      <c r="B881" s="16"/>
      <c r="C881" s="10"/>
      <c r="D881" s="11"/>
      <c r="E881" s="36"/>
      <c r="F881" s="36"/>
      <c r="G881" s="36"/>
      <c r="H881" s="36"/>
      <c r="I881" s="36"/>
      <c r="J881" s="36"/>
      <c r="K881" s="36"/>
      <c r="L881" s="36"/>
      <c r="M881" s="36"/>
      <c r="N881" s="10"/>
      <c r="O881" s="10"/>
      <c r="P881" s="10"/>
      <c r="Q881" s="22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0"/>
      <c r="B882" s="16"/>
      <c r="C882" s="10"/>
      <c r="D882" s="11"/>
      <c r="E882" s="36"/>
      <c r="F882" s="36"/>
      <c r="G882" s="36"/>
      <c r="H882" s="36"/>
      <c r="I882" s="36"/>
      <c r="J882" s="36"/>
      <c r="K882" s="36"/>
      <c r="L882" s="36"/>
      <c r="M882" s="36"/>
      <c r="N882" s="10"/>
      <c r="O882" s="10"/>
      <c r="P882" s="10"/>
      <c r="Q882" s="22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0"/>
      <c r="B883" s="16"/>
      <c r="C883" s="10"/>
      <c r="D883" s="11"/>
      <c r="E883" s="36"/>
      <c r="F883" s="36"/>
      <c r="G883" s="36"/>
      <c r="H883" s="36"/>
      <c r="I883" s="36"/>
      <c r="J883" s="36"/>
      <c r="K883" s="36"/>
      <c r="L883" s="36"/>
      <c r="M883" s="36"/>
      <c r="N883" s="10"/>
      <c r="O883" s="10"/>
      <c r="P883" s="10"/>
      <c r="Q883" s="22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0"/>
      <c r="B884" s="16"/>
      <c r="C884" s="10"/>
      <c r="D884" s="11"/>
      <c r="E884" s="36"/>
      <c r="F884" s="36"/>
      <c r="G884" s="36"/>
      <c r="H884" s="36"/>
      <c r="I884" s="36"/>
      <c r="J884" s="36"/>
      <c r="K884" s="36"/>
      <c r="L884" s="36"/>
      <c r="M884" s="36"/>
      <c r="N884" s="10"/>
      <c r="O884" s="10"/>
      <c r="P884" s="10"/>
      <c r="Q884" s="22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0"/>
      <c r="B885" s="16"/>
      <c r="C885" s="10"/>
      <c r="D885" s="11"/>
      <c r="E885" s="36"/>
      <c r="F885" s="36"/>
      <c r="G885" s="36"/>
      <c r="H885" s="36"/>
      <c r="I885" s="36"/>
      <c r="J885" s="36"/>
      <c r="K885" s="36"/>
      <c r="L885" s="36"/>
      <c r="M885" s="36"/>
      <c r="N885" s="10"/>
      <c r="O885" s="10"/>
      <c r="P885" s="10"/>
      <c r="Q885" s="22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0"/>
      <c r="B886" s="16"/>
      <c r="C886" s="10"/>
      <c r="D886" s="11"/>
      <c r="E886" s="36"/>
      <c r="F886" s="36"/>
      <c r="G886" s="36"/>
      <c r="H886" s="36"/>
      <c r="I886" s="36"/>
      <c r="J886" s="36"/>
      <c r="K886" s="36"/>
      <c r="L886" s="36"/>
      <c r="M886" s="36"/>
      <c r="N886" s="10"/>
      <c r="O886" s="10"/>
      <c r="P886" s="10"/>
      <c r="Q886" s="22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0"/>
      <c r="B887" s="16"/>
      <c r="C887" s="10"/>
      <c r="D887" s="11"/>
      <c r="E887" s="36"/>
      <c r="F887" s="36"/>
      <c r="G887" s="36"/>
      <c r="H887" s="36"/>
      <c r="I887" s="36"/>
      <c r="J887" s="36"/>
      <c r="K887" s="36"/>
      <c r="L887" s="36"/>
      <c r="M887" s="36"/>
      <c r="N887" s="10"/>
      <c r="O887" s="10"/>
      <c r="P887" s="10"/>
      <c r="Q887" s="22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0"/>
      <c r="B888" s="16"/>
      <c r="C888" s="10"/>
      <c r="D888" s="11"/>
      <c r="E888" s="36"/>
      <c r="F888" s="36"/>
      <c r="G888" s="36"/>
      <c r="H888" s="36"/>
      <c r="I888" s="36"/>
      <c r="J888" s="36"/>
      <c r="K888" s="36"/>
      <c r="L888" s="36"/>
      <c r="M888" s="36"/>
      <c r="N888" s="10"/>
      <c r="O888" s="10"/>
      <c r="P888" s="10"/>
      <c r="Q888" s="22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0"/>
      <c r="B889" s="16"/>
      <c r="C889" s="10"/>
      <c r="D889" s="11"/>
      <c r="E889" s="36"/>
      <c r="F889" s="36"/>
      <c r="G889" s="36"/>
      <c r="H889" s="36"/>
      <c r="I889" s="36"/>
      <c r="J889" s="36"/>
      <c r="K889" s="36"/>
      <c r="L889" s="36"/>
      <c r="M889" s="36"/>
      <c r="N889" s="10"/>
      <c r="O889" s="10"/>
      <c r="P889" s="10"/>
      <c r="Q889" s="22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0"/>
      <c r="B890" s="16"/>
      <c r="C890" s="10"/>
      <c r="D890" s="11"/>
      <c r="E890" s="36"/>
      <c r="F890" s="36"/>
      <c r="G890" s="36"/>
      <c r="H890" s="36"/>
      <c r="I890" s="36"/>
      <c r="J890" s="36"/>
      <c r="K890" s="36"/>
      <c r="L890" s="36"/>
      <c r="M890" s="36"/>
      <c r="N890" s="10"/>
      <c r="O890" s="10"/>
      <c r="P890" s="10"/>
      <c r="Q890" s="22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0"/>
      <c r="B891" s="16"/>
      <c r="C891" s="10"/>
      <c r="D891" s="11"/>
      <c r="E891" s="36"/>
      <c r="F891" s="36"/>
      <c r="G891" s="36"/>
      <c r="H891" s="36"/>
      <c r="I891" s="36"/>
      <c r="J891" s="36"/>
      <c r="K891" s="36"/>
      <c r="L891" s="36"/>
      <c r="M891" s="36"/>
      <c r="N891" s="10"/>
      <c r="O891" s="10"/>
      <c r="P891" s="10"/>
      <c r="Q891" s="22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0"/>
      <c r="B892" s="16"/>
      <c r="C892" s="10"/>
      <c r="D892" s="11"/>
      <c r="E892" s="36"/>
      <c r="F892" s="36"/>
      <c r="G892" s="36"/>
      <c r="H892" s="36"/>
      <c r="I892" s="36"/>
      <c r="J892" s="36"/>
      <c r="K892" s="36"/>
      <c r="L892" s="36"/>
      <c r="M892" s="36"/>
      <c r="N892" s="10"/>
      <c r="O892" s="10"/>
      <c r="P892" s="10"/>
      <c r="Q892" s="22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0"/>
      <c r="B893" s="16"/>
      <c r="C893" s="10"/>
      <c r="D893" s="11"/>
      <c r="E893" s="36"/>
      <c r="F893" s="36"/>
      <c r="G893" s="36"/>
      <c r="H893" s="36"/>
      <c r="I893" s="36"/>
      <c r="J893" s="36"/>
      <c r="K893" s="36"/>
      <c r="L893" s="36"/>
      <c r="M893" s="36"/>
      <c r="N893" s="10"/>
      <c r="O893" s="10"/>
      <c r="P893" s="10"/>
      <c r="Q893" s="22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0"/>
      <c r="B894" s="16"/>
      <c r="C894" s="10"/>
      <c r="D894" s="11"/>
      <c r="E894" s="36"/>
      <c r="F894" s="36"/>
      <c r="G894" s="36"/>
      <c r="H894" s="36"/>
      <c r="I894" s="36"/>
      <c r="J894" s="36"/>
      <c r="K894" s="36"/>
      <c r="L894" s="36"/>
      <c r="M894" s="36"/>
      <c r="N894" s="10"/>
      <c r="O894" s="10"/>
      <c r="P894" s="10"/>
      <c r="Q894" s="22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0"/>
      <c r="B895" s="16"/>
      <c r="C895" s="10"/>
      <c r="D895" s="11"/>
      <c r="E895" s="36"/>
      <c r="F895" s="36"/>
      <c r="G895" s="36"/>
      <c r="H895" s="36"/>
      <c r="I895" s="36"/>
      <c r="J895" s="36"/>
      <c r="K895" s="36"/>
      <c r="L895" s="36"/>
      <c r="M895" s="36"/>
      <c r="N895" s="10"/>
      <c r="O895" s="10"/>
      <c r="P895" s="10"/>
      <c r="Q895" s="22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0"/>
      <c r="B896" s="16"/>
      <c r="C896" s="10"/>
      <c r="D896" s="11"/>
      <c r="E896" s="36"/>
      <c r="F896" s="36"/>
      <c r="G896" s="36"/>
      <c r="H896" s="36"/>
      <c r="I896" s="36"/>
      <c r="J896" s="36"/>
      <c r="K896" s="36"/>
      <c r="L896" s="36"/>
      <c r="M896" s="36"/>
      <c r="N896" s="10"/>
      <c r="O896" s="10"/>
      <c r="P896" s="10"/>
      <c r="Q896" s="22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0"/>
      <c r="B897" s="16"/>
      <c r="C897" s="10"/>
      <c r="D897" s="11"/>
      <c r="E897" s="36"/>
      <c r="F897" s="36"/>
      <c r="G897" s="36"/>
      <c r="H897" s="36"/>
      <c r="I897" s="36"/>
      <c r="J897" s="36"/>
      <c r="K897" s="36"/>
      <c r="L897" s="36"/>
      <c r="M897" s="36"/>
      <c r="N897" s="10"/>
      <c r="O897" s="10"/>
      <c r="P897" s="10"/>
      <c r="Q897" s="22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0"/>
      <c r="B898" s="16"/>
      <c r="C898" s="10"/>
      <c r="D898" s="11"/>
      <c r="E898" s="36"/>
      <c r="F898" s="36"/>
      <c r="G898" s="36"/>
      <c r="H898" s="36"/>
      <c r="I898" s="36"/>
      <c r="J898" s="36"/>
      <c r="K898" s="36"/>
      <c r="L898" s="36"/>
      <c r="M898" s="36"/>
      <c r="N898" s="10"/>
      <c r="O898" s="10"/>
      <c r="P898" s="10"/>
      <c r="Q898" s="22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0"/>
      <c r="B899" s="16"/>
      <c r="C899" s="10"/>
      <c r="D899" s="11"/>
      <c r="E899" s="36"/>
      <c r="F899" s="36"/>
      <c r="G899" s="36"/>
      <c r="H899" s="36"/>
      <c r="I899" s="36"/>
      <c r="J899" s="36"/>
      <c r="K899" s="36"/>
      <c r="L899" s="36"/>
      <c r="M899" s="36"/>
      <c r="N899" s="10"/>
      <c r="O899" s="10"/>
      <c r="P899" s="10"/>
      <c r="Q899" s="22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0"/>
      <c r="B900" s="16"/>
      <c r="C900" s="10"/>
      <c r="D900" s="11"/>
      <c r="E900" s="36"/>
      <c r="F900" s="36"/>
      <c r="G900" s="36"/>
      <c r="H900" s="36"/>
      <c r="I900" s="36"/>
      <c r="J900" s="36"/>
      <c r="K900" s="36"/>
      <c r="L900" s="36"/>
      <c r="M900" s="36"/>
      <c r="N900" s="10"/>
      <c r="O900" s="10"/>
      <c r="P900" s="10"/>
      <c r="Q900" s="22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0"/>
      <c r="B901" s="16"/>
      <c r="C901" s="10"/>
      <c r="D901" s="11"/>
      <c r="E901" s="36"/>
      <c r="F901" s="36"/>
      <c r="G901" s="36"/>
      <c r="H901" s="36"/>
      <c r="I901" s="36"/>
      <c r="J901" s="36"/>
      <c r="K901" s="36"/>
      <c r="L901" s="36"/>
      <c r="M901" s="36"/>
      <c r="N901" s="10"/>
      <c r="O901" s="10"/>
      <c r="P901" s="10"/>
      <c r="Q901" s="22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0"/>
      <c r="B902" s="16"/>
      <c r="C902" s="10"/>
      <c r="D902" s="11"/>
      <c r="E902" s="36"/>
      <c r="F902" s="36"/>
      <c r="G902" s="36"/>
      <c r="H902" s="36"/>
      <c r="I902" s="36"/>
      <c r="J902" s="36"/>
      <c r="K902" s="36"/>
      <c r="L902" s="36"/>
      <c r="M902" s="36"/>
      <c r="N902" s="10"/>
      <c r="O902" s="10"/>
      <c r="P902" s="10"/>
      <c r="Q902" s="22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0"/>
      <c r="B903" s="16"/>
      <c r="C903" s="10"/>
      <c r="D903" s="11"/>
      <c r="E903" s="36"/>
      <c r="F903" s="36"/>
      <c r="G903" s="36"/>
      <c r="H903" s="36"/>
      <c r="I903" s="36"/>
      <c r="J903" s="36"/>
      <c r="K903" s="36"/>
      <c r="L903" s="36"/>
      <c r="M903" s="36"/>
      <c r="N903" s="10"/>
      <c r="O903" s="10"/>
      <c r="P903" s="10"/>
      <c r="Q903" s="22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0"/>
      <c r="B904" s="16"/>
      <c r="C904" s="10"/>
      <c r="D904" s="11"/>
      <c r="E904" s="36"/>
      <c r="F904" s="36"/>
      <c r="G904" s="36"/>
      <c r="H904" s="36"/>
      <c r="I904" s="36"/>
      <c r="J904" s="36"/>
      <c r="K904" s="36"/>
      <c r="L904" s="36"/>
      <c r="M904" s="36"/>
      <c r="N904" s="10"/>
      <c r="O904" s="10"/>
      <c r="P904" s="10"/>
      <c r="Q904" s="22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0"/>
      <c r="B905" s="16"/>
      <c r="C905" s="10"/>
      <c r="D905" s="11"/>
      <c r="E905" s="36"/>
      <c r="F905" s="36"/>
      <c r="G905" s="36"/>
      <c r="H905" s="36"/>
      <c r="I905" s="36"/>
      <c r="J905" s="36"/>
      <c r="K905" s="36"/>
      <c r="L905" s="36"/>
      <c r="M905" s="36"/>
      <c r="N905" s="10"/>
      <c r="O905" s="10"/>
      <c r="P905" s="10"/>
      <c r="Q905" s="22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0"/>
      <c r="B906" s="16"/>
      <c r="C906" s="10"/>
      <c r="D906" s="11"/>
      <c r="E906" s="36"/>
      <c r="F906" s="36"/>
      <c r="G906" s="36"/>
      <c r="H906" s="36"/>
      <c r="I906" s="36"/>
      <c r="J906" s="36"/>
      <c r="K906" s="36"/>
      <c r="L906" s="36"/>
      <c r="M906" s="36"/>
      <c r="N906" s="10"/>
      <c r="O906" s="10"/>
      <c r="P906" s="10"/>
      <c r="Q906" s="22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0"/>
      <c r="B907" s="16"/>
      <c r="C907" s="10"/>
      <c r="D907" s="11"/>
      <c r="E907" s="36"/>
      <c r="F907" s="36"/>
      <c r="G907" s="36"/>
      <c r="H907" s="36"/>
      <c r="I907" s="36"/>
      <c r="J907" s="36"/>
      <c r="K907" s="36"/>
      <c r="L907" s="36"/>
      <c r="M907" s="36"/>
      <c r="N907" s="10"/>
      <c r="O907" s="10"/>
      <c r="P907" s="10"/>
      <c r="Q907" s="22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0"/>
      <c r="B908" s="16"/>
      <c r="C908" s="10"/>
      <c r="D908" s="11"/>
      <c r="E908" s="36"/>
      <c r="F908" s="36"/>
      <c r="G908" s="36"/>
      <c r="H908" s="36"/>
      <c r="I908" s="36"/>
      <c r="J908" s="36"/>
      <c r="K908" s="36"/>
      <c r="L908" s="36"/>
      <c r="M908" s="36"/>
      <c r="N908" s="10"/>
      <c r="O908" s="10"/>
      <c r="P908" s="10"/>
      <c r="Q908" s="22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0"/>
      <c r="B909" s="16"/>
      <c r="C909" s="10"/>
      <c r="D909" s="11"/>
      <c r="E909" s="36"/>
      <c r="F909" s="36"/>
      <c r="G909" s="36"/>
      <c r="H909" s="36"/>
      <c r="I909" s="36"/>
      <c r="J909" s="36"/>
      <c r="K909" s="36"/>
      <c r="L909" s="36"/>
      <c r="M909" s="36"/>
      <c r="N909" s="10"/>
      <c r="O909" s="10"/>
      <c r="P909" s="10"/>
      <c r="Q909" s="22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0"/>
      <c r="B910" s="16"/>
      <c r="C910" s="10"/>
      <c r="D910" s="11"/>
      <c r="E910" s="36"/>
      <c r="F910" s="36"/>
      <c r="G910" s="36"/>
      <c r="H910" s="36"/>
      <c r="I910" s="36"/>
      <c r="J910" s="36"/>
      <c r="K910" s="36"/>
      <c r="L910" s="36"/>
      <c r="M910" s="36"/>
      <c r="N910" s="10"/>
      <c r="O910" s="10"/>
      <c r="P910" s="10"/>
      <c r="Q910" s="22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0"/>
      <c r="B911" s="16"/>
      <c r="C911" s="10"/>
      <c r="D911" s="11"/>
      <c r="E911" s="36"/>
      <c r="F911" s="36"/>
      <c r="G911" s="36"/>
      <c r="H911" s="36"/>
      <c r="I911" s="36"/>
      <c r="J911" s="36"/>
      <c r="K911" s="36"/>
      <c r="L911" s="36"/>
      <c r="M911" s="36"/>
      <c r="N911" s="10"/>
      <c r="O911" s="10"/>
      <c r="P911" s="10"/>
      <c r="Q911" s="22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0"/>
      <c r="B912" s="16"/>
      <c r="C912" s="10"/>
      <c r="D912" s="11"/>
      <c r="E912" s="36"/>
      <c r="F912" s="36"/>
      <c r="G912" s="36"/>
      <c r="H912" s="36"/>
      <c r="I912" s="36"/>
      <c r="J912" s="36"/>
      <c r="K912" s="36"/>
      <c r="L912" s="36"/>
      <c r="M912" s="36"/>
      <c r="N912" s="10"/>
      <c r="O912" s="10"/>
      <c r="P912" s="10"/>
      <c r="Q912" s="22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0"/>
      <c r="B913" s="16"/>
      <c r="C913" s="10"/>
      <c r="D913" s="11"/>
      <c r="E913" s="36"/>
      <c r="F913" s="36"/>
      <c r="G913" s="36"/>
      <c r="H913" s="36"/>
      <c r="I913" s="36"/>
      <c r="J913" s="36"/>
      <c r="K913" s="36"/>
      <c r="L913" s="36"/>
      <c r="M913" s="36"/>
      <c r="N913" s="10"/>
      <c r="O913" s="10"/>
      <c r="P913" s="10"/>
      <c r="Q913" s="22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0"/>
      <c r="B914" s="16"/>
      <c r="C914" s="10"/>
      <c r="D914" s="11"/>
      <c r="E914" s="36"/>
      <c r="F914" s="36"/>
      <c r="G914" s="36"/>
      <c r="H914" s="36"/>
      <c r="I914" s="36"/>
      <c r="J914" s="36"/>
      <c r="K914" s="36"/>
      <c r="L914" s="36"/>
      <c r="M914" s="36"/>
      <c r="N914" s="10"/>
      <c r="O914" s="10"/>
      <c r="P914" s="10"/>
      <c r="Q914" s="22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0"/>
      <c r="B915" s="16"/>
      <c r="C915" s="10"/>
      <c r="D915" s="11"/>
      <c r="E915" s="36"/>
      <c r="F915" s="36"/>
      <c r="G915" s="36"/>
      <c r="H915" s="36"/>
      <c r="I915" s="36"/>
      <c r="J915" s="36"/>
      <c r="K915" s="36"/>
      <c r="L915" s="36"/>
      <c r="M915" s="36"/>
      <c r="N915" s="10"/>
      <c r="O915" s="10"/>
      <c r="P915" s="10"/>
      <c r="Q915" s="22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0"/>
      <c r="B916" s="16"/>
      <c r="C916" s="10"/>
      <c r="D916" s="11"/>
      <c r="E916" s="36"/>
      <c r="F916" s="36"/>
      <c r="G916" s="36"/>
      <c r="H916" s="36"/>
      <c r="I916" s="36"/>
      <c r="J916" s="36"/>
      <c r="K916" s="36"/>
      <c r="L916" s="36"/>
      <c r="M916" s="36"/>
      <c r="N916" s="10"/>
      <c r="O916" s="10"/>
      <c r="P916" s="10"/>
      <c r="Q916" s="22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0"/>
      <c r="B917" s="16"/>
      <c r="C917" s="10"/>
      <c r="D917" s="11"/>
      <c r="E917" s="36"/>
      <c r="F917" s="36"/>
      <c r="G917" s="36"/>
      <c r="H917" s="36"/>
      <c r="I917" s="36"/>
      <c r="J917" s="36"/>
      <c r="K917" s="36"/>
      <c r="L917" s="36"/>
      <c r="M917" s="36"/>
      <c r="N917" s="10"/>
      <c r="O917" s="10"/>
      <c r="P917" s="10"/>
      <c r="Q917" s="22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0"/>
      <c r="B918" s="16"/>
      <c r="C918" s="10"/>
      <c r="D918" s="11"/>
      <c r="E918" s="36"/>
      <c r="F918" s="36"/>
      <c r="G918" s="36"/>
      <c r="H918" s="36"/>
      <c r="I918" s="36"/>
      <c r="J918" s="36"/>
      <c r="K918" s="36"/>
      <c r="L918" s="36"/>
      <c r="M918" s="36"/>
      <c r="N918" s="10"/>
      <c r="O918" s="10"/>
      <c r="P918" s="10"/>
      <c r="Q918" s="22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0"/>
      <c r="B919" s="16"/>
      <c r="C919" s="10"/>
      <c r="D919" s="11"/>
      <c r="E919" s="36"/>
      <c r="F919" s="36"/>
      <c r="G919" s="36"/>
      <c r="H919" s="36"/>
      <c r="I919" s="36"/>
      <c r="J919" s="36"/>
      <c r="K919" s="36"/>
      <c r="L919" s="36"/>
      <c r="M919" s="36"/>
      <c r="N919" s="10"/>
      <c r="O919" s="10"/>
      <c r="P919" s="10"/>
      <c r="Q919" s="22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0"/>
      <c r="B920" s="16"/>
      <c r="C920" s="10"/>
      <c r="D920" s="11"/>
      <c r="E920" s="36"/>
      <c r="F920" s="36"/>
      <c r="G920" s="36"/>
      <c r="H920" s="36"/>
      <c r="I920" s="36"/>
      <c r="J920" s="36"/>
      <c r="K920" s="36"/>
      <c r="L920" s="36"/>
      <c r="M920" s="36"/>
      <c r="N920" s="10"/>
      <c r="O920" s="10"/>
      <c r="P920" s="10"/>
      <c r="Q920" s="22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0"/>
      <c r="B921" s="16"/>
      <c r="C921" s="10"/>
      <c r="D921" s="11"/>
      <c r="E921" s="36"/>
      <c r="F921" s="36"/>
      <c r="G921" s="36"/>
      <c r="H921" s="36"/>
      <c r="I921" s="36"/>
      <c r="J921" s="36"/>
      <c r="K921" s="36"/>
      <c r="L921" s="36"/>
      <c r="M921" s="36"/>
      <c r="N921" s="10"/>
      <c r="O921" s="10"/>
      <c r="P921" s="10"/>
      <c r="Q921" s="22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0"/>
      <c r="B922" s="16"/>
      <c r="C922" s="10"/>
      <c r="D922" s="11"/>
      <c r="E922" s="36"/>
      <c r="F922" s="36"/>
      <c r="G922" s="36"/>
      <c r="H922" s="36"/>
      <c r="I922" s="36"/>
      <c r="J922" s="36"/>
      <c r="K922" s="36"/>
      <c r="L922" s="36"/>
      <c r="M922" s="36"/>
      <c r="N922" s="10"/>
      <c r="O922" s="10"/>
      <c r="P922" s="10"/>
      <c r="Q922" s="22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0"/>
      <c r="B923" s="16"/>
      <c r="C923" s="10"/>
      <c r="D923" s="11"/>
      <c r="E923" s="36"/>
      <c r="F923" s="36"/>
      <c r="G923" s="36"/>
      <c r="H923" s="36"/>
      <c r="I923" s="36"/>
      <c r="J923" s="36"/>
      <c r="K923" s="36"/>
      <c r="L923" s="36"/>
      <c r="M923" s="36"/>
      <c r="N923" s="10"/>
      <c r="O923" s="10"/>
      <c r="P923" s="10"/>
      <c r="Q923" s="22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0"/>
      <c r="B924" s="16"/>
      <c r="C924" s="10"/>
      <c r="D924" s="11"/>
      <c r="E924" s="36"/>
      <c r="F924" s="36"/>
      <c r="G924" s="36"/>
      <c r="H924" s="36"/>
      <c r="I924" s="36"/>
      <c r="J924" s="36"/>
      <c r="K924" s="36"/>
      <c r="L924" s="36"/>
      <c r="M924" s="36"/>
      <c r="N924" s="10"/>
      <c r="O924" s="10"/>
      <c r="P924" s="10"/>
      <c r="Q924" s="22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0"/>
      <c r="B925" s="16"/>
      <c r="C925" s="10"/>
      <c r="D925" s="11"/>
      <c r="E925" s="36"/>
      <c r="F925" s="36"/>
      <c r="G925" s="36"/>
      <c r="H925" s="36"/>
      <c r="I925" s="36"/>
      <c r="J925" s="36"/>
      <c r="K925" s="36"/>
      <c r="L925" s="36"/>
      <c r="M925" s="36"/>
      <c r="N925" s="10"/>
      <c r="O925" s="10"/>
      <c r="P925" s="10"/>
      <c r="Q925" s="22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0"/>
      <c r="B926" s="16"/>
      <c r="C926" s="10"/>
      <c r="D926" s="11"/>
      <c r="E926" s="36"/>
      <c r="F926" s="36"/>
      <c r="G926" s="36"/>
      <c r="H926" s="36"/>
      <c r="I926" s="36"/>
      <c r="J926" s="36"/>
      <c r="K926" s="36"/>
      <c r="L926" s="36"/>
      <c r="M926" s="36"/>
      <c r="N926" s="10"/>
      <c r="O926" s="10"/>
      <c r="P926" s="10"/>
      <c r="Q926" s="22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0"/>
      <c r="B927" s="16"/>
      <c r="C927" s="10"/>
      <c r="D927" s="11"/>
      <c r="E927" s="36"/>
      <c r="F927" s="36"/>
      <c r="G927" s="36"/>
      <c r="H927" s="36"/>
      <c r="I927" s="36"/>
      <c r="J927" s="36"/>
      <c r="K927" s="36"/>
      <c r="L927" s="36"/>
      <c r="M927" s="36"/>
      <c r="N927" s="10"/>
      <c r="O927" s="10"/>
      <c r="P927" s="10"/>
      <c r="Q927" s="22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0"/>
      <c r="B928" s="16"/>
      <c r="C928" s="10"/>
      <c r="D928" s="11"/>
      <c r="E928" s="36"/>
      <c r="F928" s="36"/>
      <c r="G928" s="36"/>
      <c r="H928" s="36"/>
      <c r="I928" s="36"/>
      <c r="J928" s="36"/>
      <c r="K928" s="36"/>
      <c r="L928" s="36"/>
      <c r="M928" s="36"/>
      <c r="N928" s="10"/>
      <c r="O928" s="10"/>
      <c r="P928" s="10"/>
      <c r="Q928" s="22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0"/>
      <c r="B929" s="16"/>
      <c r="C929" s="10"/>
      <c r="D929" s="11"/>
      <c r="E929" s="36"/>
      <c r="F929" s="36"/>
      <c r="G929" s="36"/>
      <c r="H929" s="36"/>
      <c r="I929" s="36"/>
      <c r="J929" s="36"/>
      <c r="K929" s="36"/>
      <c r="L929" s="36"/>
      <c r="M929" s="36"/>
      <c r="N929" s="10"/>
      <c r="O929" s="10"/>
      <c r="P929" s="10"/>
      <c r="Q929" s="22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0"/>
      <c r="B930" s="16"/>
      <c r="C930" s="10"/>
      <c r="D930" s="11"/>
      <c r="E930" s="36"/>
      <c r="F930" s="36"/>
      <c r="G930" s="36"/>
      <c r="H930" s="36"/>
      <c r="I930" s="36"/>
      <c r="J930" s="36"/>
      <c r="K930" s="36"/>
      <c r="L930" s="36"/>
      <c r="M930" s="36"/>
      <c r="N930" s="10"/>
      <c r="O930" s="10"/>
      <c r="P930" s="10"/>
      <c r="Q930" s="22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0"/>
      <c r="B931" s="16"/>
      <c r="C931" s="10"/>
      <c r="D931" s="11"/>
      <c r="E931" s="36"/>
      <c r="F931" s="36"/>
      <c r="G931" s="36"/>
      <c r="H931" s="36"/>
      <c r="I931" s="36"/>
      <c r="J931" s="36"/>
      <c r="K931" s="36"/>
      <c r="L931" s="36"/>
      <c r="M931" s="36"/>
      <c r="N931" s="10"/>
      <c r="O931" s="10"/>
      <c r="P931" s="10"/>
      <c r="Q931" s="22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0"/>
      <c r="B932" s="16"/>
      <c r="C932" s="10"/>
      <c r="D932" s="11"/>
      <c r="E932" s="36"/>
      <c r="F932" s="36"/>
      <c r="G932" s="36"/>
      <c r="H932" s="36"/>
      <c r="I932" s="36"/>
      <c r="J932" s="36"/>
      <c r="K932" s="36"/>
      <c r="L932" s="36"/>
      <c r="M932" s="36"/>
      <c r="N932" s="10"/>
      <c r="O932" s="10"/>
      <c r="P932" s="10"/>
      <c r="Q932" s="22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0"/>
      <c r="B933" s="16"/>
      <c r="C933" s="10"/>
      <c r="D933" s="11"/>
      <c r="E933" s="36"/>
      <c r="F933" s="36"/>
      <c r="G933" s="36"/>
      <c r="H933" s="36"/>
      <c r="I933" s="36"/>
      <c r="J933" s="36"/>
      <c r="K933" s="36"/>
      <c r="L933" s="36"/>
      <c r="M933" s="36"/>
      <c r="N933" s="10"/>
      <c r="O933" s="10"/>
      <c r="P933" s="10"/>
      <c r="Q933" s="22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0"/>
      <c r="B934" s="16"/>
      <c r="C934" s="10"/>
      <c r="D934" s="11"/>
      <c r="E934" s="36"/>
      <c r="F934" s="36"/>
      <c r="G934" s="36"/>
      <c r="H934" s="36"/>
      <c r="I934" s="36"/>
      <c r="J934" s="36"/>
      <c r="K934" s="36"/>
      <c r="L934" s="36"/>
      <c r="M934" s="36"/>
      <c r="N934" s="10"/>
      <c r="O934" s="10"/>
      <c r="P934" s="10"/>
      <c r="Q934" s="22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0"/>
      <c r="B935" s="16"/>
      <c r="C935" s="10"/>
      <c r="D935" s="11"/>
      <c r="E935" s="36"/>
      <c r="F935" s="36"/>
      <c r="G935" s="36"/>
      <c r="H935" s="36"/>
      <c r="I935" s="36"/>
      <c r="J935" s="36"/>
      <c r="K935" s="36"/>
      <c r="L935" s="36"/>
      <c r="M935" s="36"/>
      <c r="N935" s="10"/>
      <c r="O935" s="10"/>
      <c r="P935" s="10"/>
      <c r="Q935" s="22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0"/>
      <c r="B936" s="16"/>
      <c r="C936" s="10"/>
      <c r="D936" s="11"/>
      <c r="E936" s="36"/>
      <c r="F936" s="36"/>
      <c r="G936" s="36"/>
      <c r="H936" s="36"/>
      <c r="I936" s="36"/>
      <c r="J936" s="36"/>
      <c r="K936" s="36"/>
      <c r="L936" s="36"/>
      <c r="M936" s="36"/>
      <c r="N936" s="10"/>
      <c r="O936" s="10"/>
      <c r="P936" s="10"/>
      <c r="Q936" s="22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0"/>
      <c r="B937" s="16"/>
      <c r="C937" s="10"/>
      <c r="D937" s="11"/>
      <c r="E937" s="36"/>
      <c r="F937" s="36"/>
      <c r="G937" s="36"/>
      <c r="H937" s="36"/>
      <c r="I937" s="36"/>
      <c r="J937" s="36"/>
      <c r="K937" s="36"/>
      <c r="L937" s="36"/>
      <c r="M937" s="36"/>
      <c r="N937" s="10"/>
      <c r="O937" s="10"/>
      <c r="P937" s="10"/>
      <c r="Q937" s="22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0"/>
      <c r="B938" s="16"/>
      <c r="C938" s="10"/>
      <c r="D938" s="11"/>
      <c r="E938" s="36"/>
      <c r="F938" s="36"/>
      <c r="G938" s="36"/>
      <c r="H938" s="36"/>
      <c r="I938" s="36"/>
      <c r="J938" s="36"/>
      <c r="K938" s="36"/>
      <c r="L938" s="36"/>
      <c r="M938" s="36"/>
      <c r="N938" s="10"/>
      <c r="O938" s="10"/>
      <c r="P938" s="10"/>
      <c r="Q938" s="22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0"/>
      <c r="B939" s="16"/>
      <c r="C939" s="10"/>
      <c r="D939" s="11"/>
      <c r="E939" s="36"/>
      <c r="F939" s="36"/>
      <c r="G939" s="36"/>
      <c r="H939" s="36"/>
      <c r="I939" s="36"/>
      <c r="J939" s="36"/>
      <c r="K939" s="36"/>
      <c r="L939" s="36"/>
      <c r="M939" s="36"/>
      <c r="N939" s="10"/>
      <c r="O939" s="10"/>
      <c r="P939" s="10"/>
      <c r="Q939" s="22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0"/>
      <c r="B940" s="16"/>
      <c r="C940" s="10"/>
      <c r="D940" s="11"/>
      <c r="E940" s="36"/>
      <c r="F940" s="36"/>
      <c r="G940" s="36"/>
      <c r="H940" s="36"/>
      <c r="I940" s="36"/>
      <c r="J940" s="36"/>
      <c r="K940" s="36"/>
      <c r="L940" s="36"/>
      <c r="M940" s="36"/>
      <c r="N940" s="10"/>
      <c r="O940" s="10"/>
      <c r="P940" s="10"/>
      <c r="Q940" s="22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0"/>
      <c r="B941" s="16"/>
      <c r="C941" s="10"/>
      <c r="D941" s="11"/>
      <c r="E941" s="36"/>
      <c r="F941" s="36"/>
      <c r="G941" s="36"/>
      <c r="H941" s="36"/>
      <c r="I941" s="36"/>
      <c r="J941" s="36"/>
      <c r="K941" s="36"/>
      <c r="L941" s="36"/>
      <c r="M941" s="36"/>
      <c r="N941" s="10"/>
      <c r="O941" s="10"/>
      <c r="P941" s="10"/>
      <c r="Q941" s="22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0"/>
      <c r="B942" s="16"/>
      <c r="C942" s="10"/>
      <c r="D942" s="11"/>
      <c r="E942" s="36"/>
      <c r="F942" s="36"/>
      <c r="G942" s="36"/>
      <c r="H942" s="36"/>
      <c r="I942" s="36"/>
      <c r="J942" s="36"/>
      <c r="K942" s="36"/>
      <c r="L942" s="36"/>
      <c r="M942" s="36"/>
      <c r="N942" s="10"/>
      <c r="O942" s="10"/>
      <c r="P942" s="10"/>
      <c r="Q942" s="22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0"/>
      <c r="B943" s="16"/>
      <c r="C943" s="10"/>
      <c r="D943" s="11"/>
      <c r="E943" s="36"/>
      <c r="F943" s="36"/>
      <c r="G943" s="36"/>
      <c r="H943" s="36"/>
      <c r="I943" s="36"/>
      <c r="J943" s="36"/>
      <c r="K943" s="36"/>
      <c r="L943" s="36"/>
      <c r="M943" s="36"/>
      <c r="N943" s="10"/>
      <c r="O943" s="10"/>
      <c r="P943" s="10"/>
      <c r="Q943" s="22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0"/>
      <c r="B944" s="16"/>
      <c r="C944" s="10"/>
      <c r="D944" s="11"/>
      <c r="E944" s="36"/>
      <c r="F944" s="36"/>
      <c r="G944" s="36"/>
      <c r="H944" s="36"/>
      <c r="I944" s="36"/>
      <c r="J944" s="36"/>
      <c r="K944" s="36"/>
      <c r="L944" s="36"/>
      <c r="M944" s="36"/>
      <c r="N944" s="10"/>
      <c r="O944" s="10"/>
      <c r="P944" s="10"/>
      <c r="Q944" s="22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0"/>
      <c r="B945" s="16"/>
      <c r="C945" s="10"/>
      <c r="D945" s="11"/>
      <c r="E945" s="36"/>
      <c r="F945" s="36"/>
      <c r="G945" s="36"/>
      <c r="H945" s="36"/>
      <c r="I945" s="36"/>
      <c r="J945" s="36"/>
      <c r="K945" s="36"/>
      <c r="L945" s="36"/>
      <c r="M945" s="36"/>
      <c r="N945" s="10"/>
      <c r="O945" s="10"/>
      <c r="P945" s="10"/>
      <c r="Q945" s="22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0"/>
      <c r="B946" s="16"/>
      <c r="C946" s="10"/>
      <c r="D946" s="11"/>
      <c r="E946" s="36"/>
      <c r="F946" s="36"/>
      <c r="G946" s="36"/>
      <c r="H946" s="36"/>
      <c r="I946" s="36"/>
      <c r="J946" s="36"/>
      <c r="K946" s="36"/>
      <c r="L946" s="36"/>
      <c r="M946" s="36"/>
      <c r="N946" s="10"/>
      <c r="O946" s="10"/>
      <c r="P946" s="10"/>
      <c r="Q946" s="22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0"/>
      <c r="B947" s="16"/>
      <c r="C947" s="10"/>
      <c r="D947" s="11"/>
      <c r="E947" s="36"/>
      <c r="F947" s="36"/>
      <c r="G947" s="36"/>
      <c r="H947" s="36"/>
      <c r="I947" s="36"/>
      <c r="J947" s="36"/>
      <c r="K947" s="36"/>
      <c r="L947" s="36"/>
      <c r="M947" s="36"/>
      <c r="N947" s="10"/>
      <c r="O947" s="10"/>
      <c r="P947" s="10"/>
      <c r="Q947" s="22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0"/>
      <c r="B948" s="16"/>
      <c r="C948" s="10"/>
      <c r="D948" s="11"/>
      <c r="E948" s="36"/>
      <c r="F948" s="36"/>
      <c r="G948" s="36"/>
      <c r="H948" s="36"/>
      <c r="I948" s="36"/>
      <c r="J948" s="36"/>
      <c r="K948" s="36"/>
      <c r="L948" s="36"/>
      <c r="M948" s="36"/>
      <c r="N948" s="10"/>
      <c r="O948" s="10"/>
      <c r="P948" s="10"/>
      <c r="Q948" s="22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0"/>
      <c r="B949" s="16"/>
      <c r="C949" s="10"/>
      <c r="D949" s="11"/>
      <c r="E949" s="36"/>
      <c r="F949" s="36"/>
      <c r="G949" s="36"/>
      <c r="H949" s="36"/>
      <c r="I949" s="36"/>
      <c r="J949" s="36"/>
      <c r="K949" s="36"/>
      <c r="L949" s="36"/>
      <c r="M949" s="36"/>
      <c r="N949" s="10"/>
      <c r="O949" s="10"/>
      <c r="P949" s="10"/>
      <c r="Q949" s="22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0"/>
      <c r="B950" s="16"/>
      <c r="C950" s="10"/>
      <c r="D950" s="11"/>
      <c r="E950" s="36"/>
      <c r="F950" s="36"/>
      <c r="G950" s="36"/>
      <c r="H950" s="36"/>
      <c r="I950" s="36"/>
      <c r="J950" s="36"/>
      <c r="K950" s="36"/>
      <c r="L950" s="36"/>
      <c r="M950" s="36"/>
      <c r="N950" s="10"/>
      <c r="O950" s="10"/>
      <c r="P950" s="10"/>
      <c r="Q950" s="22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0"/>
      <c r="B951" s="16"/>
      <c r="C951" s="10"/>
      <c r="D951" s="11"/>
      <c r="E951" s="36"/>
      <c r="F951" s="36"/>
      <c r="G951" s="36"/>
      <c r="H951" s="36"/>
      <c r="I951" s="36"/>
      <c r="J951" s="36"/>
      <c r="K951" s="36"/>
      <c r="L951" s="36"/>
      <c r="M951" s="36"/>
      <c r="N951" s="10"/>
      <c r="O951" s="10"/>
      <c r="P951" s="10"/>
      <c r="Q951" s="22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0"/>
      <c r="B952" s="16"/>
      <c r="C952" s="10"/>
      <c r="D952" s="11"/>
      <c r="E952" s="36"/>
      <c r="F952" s="36"/>
      <c r="G952" s="36"/>
      <c r="H952" s="36"/>
      <c r="I952" s="36"/>
      <c r="J952" s="36"/>
      <c r="K952" s="36"/>
      <c r="L952" s="36"/>
      <c r="M952" s="36"/>
      <c r="N952" s="10"/>
      <c r="O952" s="10"/>
      <c r="P952" s="10"/>
      <c r="Q952" s="22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0"/>
      <c r="B953" s="16"/>
      <c r="C953" s="10"/>
      <c r="D953" s="11"/>
      <c r="E953" s="36"/>
      <c r="F953" s="36"/>
      <c r="G953" s="36"/>
      <c r="H953" s="36"/>
      <c r="I953" s="36"/>
      <c r="J953" s="36"/>
      <c r="K953" s="36"/>
      <c r="L953" s="36"/>
      <c r="M953" s="36"/>
      <c r="N953" s="10"/>
      <c r="O953" s="10"/>
      <c r="P953" s="10"/>
      <c r="Q953" s="22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0"/>
      <c r="B954" s="16"/>
      <c r="C954" s="10"/>
      <c r="D954" s="11"/>
      <c r="E954" s="36"/>
      <c r="F954" s="36"/>
      <c r="G954" s="36"/>
      <c r="H954" s="36"/>
      <c r="I954" s="36"/>
      <c r="J954" s="36"/>
      <c r="K954" s="36"/>
      <c r="L954" s="36"/>
      <c r="M954" s="36"/>
      <c r="N954" s="10"/>
      <c r="O954" s="10"/>
      <c r="P954" s="10"/>
      <c r="Q954" s="22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0"/>
      <c r="B955" s="16"/>
      <c r="C955" s="10"/>
      <c r="D955" s="11"/>
      <c r="E955" s="36"/>
      <c r="F955" s="36"/>
      <c r="G955" s="36"/>
      <c r="H955" s="36"/>
      <c r="I955" s="36"/>
      <c r="J955" s="36"/>
      <c r="K955" s="36"/>
      <c r="L955" s="36"/>
      <c r="M955" s="36"/>
      <c r="N955" s="10"/>
      <c r="O955" s="10"/>
      <c r="P955" s="10"/>
      <c r="Q955" s="22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0"/>
      <c r="B956" s="16"/>
      <c r="C956" s="10"/>
      <c r="D956" s="11"/>
      <c r="E956" s="36"/>
      <c r="F956" s="36"/>
      <c r="G956" s="36"/>
      <c r="H956" s="36"/>
      <c r="I956" s="36"/>
      <c r="J956" s="36"/>
      <c r="K956" s="36"/>
      <c r="L956" s="36"/>
      <c r="M956" s="36"/>
      <c r="N956" s="10"/>
      <c r="O956" s="10"/>
      <c r="P956" s="10"/>
      <c r="Q956" s="22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0"/>
      <c r="B957" s="16"/>
      <c r="C957" s="10"/>
      <c r="D957" s="11"/>
      <c r="E957" s="36"/>
      <c r="F957" s="36"/>
      <c r="G957" s="36"/>
      <c r="H957" s="36"/>
      <c r="I957" s="36"/>
      <c r="J957" s="36"/>
      <c r="K957" s="36"/>
      <c r="L957" s="36"/>
      <c r="M957" s="36"/>
      <c r="N957" s="10"/>
      <c r="O957" s="10"/>
      <c r="P957" s="10"/>
      <c r="Q957" s="22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0"/>
      <c r="B958" s="16"/>
      <c r="C958" s="10"/>
      <c r="D958" s="11"/>
      <c r="E958" s="36"/>
      <c r="F958" s="36"/>
      <c r="G958" s="36"/>
      <c r="H958" s="36"/>
      <c r="I958" s="36"/>
      <c r="J958" s="36"/>
      <c r="K958" s="36"/>
      <c r="L958" s="36"/>
      <c r="M958" s="36"/>
      <c r="N958" s="10"/>
      <c r="O958" s="10"/>
      <c r="P958" s="10"/>
      <c r="Q958" s="22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0"/>
      <c r="B959" s="16"/>
      <c r="C959" s="10"/>
      <c r="D959" s="11"/>
      <c r="E959" s="36"/>
      <c r="F959" s="36"/>
      <c r="G959" s="36"/>
      <c r="H959" s="36"/>
      <c r="I959" s="36"/>
      <c r="J959" s="36"/>
      <c r="K959" s="36"/>
      <c r="L959" s="36"/>
      <c r="M959" s="36"/>
      <c r="N959" s="10"/>
      <c r="O959" s="10"/>
      <c r="P959" s="10"/>
      <c r="Q959" s="22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0"/>
      <c r="B960" s="16"/>
      <c r="C960" s="10"/>
      <c r="D960" s="11"/>
      <c r="E960" s="36"/>
      <c r="F960" s="36"/>
      <c r="G960" s="36"/>
      <c r="H960" s="36"/>
      <c r="I960" s="36"/>
      <c r="J960" s="36"/>
      <c r="K960" s="36"/>
      <c r="L960" s="36"/>
      <c r="M960" s="36"/>
      <c r="N960" s="10"/>
      <c r="O960" s="10"/>
      <c r="P960" s="10"/>
      <c r="Q960" s="22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0"/>
      <c r="B961" s="16"/>
      <c r="C961" s="10"/>
      <c r="D961" s="11"/>
      <c r="E961" s="36"/>
      <c r="F961" s="36"/>
      <c r="G961" s="36"/>
      <c r="H961" s="36"/>
      <c r="I961" s="36"/>
      <c r="J961" s="36"/>
      <c r="K961" s="36"/>
      <c r="L961" s="36"/>
      <c r="M961" s="36"/>
      <c r="N961" s="10"/>
      <c r="O961" s="10"/>
      <c r="P961" s="10"/>
      <c r="Q961" s="22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0"/>
      <c r="B962" s="16"/>
      <c r="C962" s="10"/>
      <c r="D962" s="11"/>
      <c r="E962" s="36"/>
      <c r="F962" s="36"/>
      <c r="G962" s="36"/>
      <c r="H962" s="36"/>
      <c r="I962" s="36"/>
      <c r="J962" s="36"/>
      <c r="K962" s="36"/>
      <c r="L962" s="36"/>
      <c r="M962" s="36"/>
      <c r="N962" s="10"/>
      <c r="O962" s="10"/>
      <c r="P962" s="10"/>
      <c r="Q962" s="22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0"/>
      <c r="B963" s="16"/>
      <c r="C963" s="10"/>
      <c r="D963" s="11"/>
      <c r="E963" s="36"/>
      <c r="F963" s="36"/>
      <c r="G963" s="36"/>
      <c r="H963" s="36"/>
      <c r="I963" s="36"/>
      <c r="J963" s="36"/>
      <c r="K963" s="36"/>
      <c r="L963" s="36"/>
      <c r="M963" s="36"/>
      <c r="N963" s="10"/>
      <c r="O963" s="10"/>
      <c r="P963" s="10"/>
      <c r="Q963" s="22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0"/>
      <c r="B964" s="16"/>
      <c r="C964" s="10"/>
      <c r="D964" s="11"/>
      <c r="E964" s="36"/>
      <c r="F964" s="36"/>
      <c r="G964" s="36"/>
      <c r="H964" s="36"/>
      <c r="I964" s="36"/>
      <c r="J964" s="36"/>
      <c r="K964" s="36"/>
      <c r="L964" s="36"/>
      <c r="M964" s="36"/>
      <c r="N964" s="10"/>
      <c r="O964" s="10"/>
      <c r="P964" s="10"/>
      <c r="Q964" s="22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0"/>
      <c r="B965" s="16"/>
      <c r="C965" s="10"/>
      <c r="D965" s="11"/>
      <c r="E965" s="36"/>
      <c r="F965" s="36"/>
      <c r="G965" s="36"/>
      <c r="H965" s="36"/>
      <c r="I965" s="36"/>
      <c r="J965" s="36"/>
      <c r="K965" s="36"/>
      <c r="L965" s="36"/>
      <c r="M965" s="36"/>
      <c r="N965" s="10"/>
      <c r="O965" s="10"/>
      <c r="P965" s="10"/>
      <c r="Q965" s="22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0"/>
      <c r="B966" s="16"/>
      <c r="C966" s="10"/>
      <c r="D966" s="11"/>
      <c r="E966" s="36"/>
      <c r="F966" s="36"/>
      <c r="G966" s="36"/>
      <c r="H966" s="36"/>
      <c r="I966" s="36"/>
      <c r="J966" s="36"/>
      <c r="K966" s="36"/>
      <c r="L966" s="36"/>
      <c r="M966" s="36"/>
      <c r="N966" s="10"/>
      <c r="O966" s="10"/>
      <c r="P966" s="10"/>
      <c r="Q966" s="22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0"/>
      <c r="B967" s="16"/>
      <c r="C967" s="10"/>
      <c r="D967" s="11"/>
      <c r="E967" s="36"/>
      <c r="F967" s="36"/>
      <c r="G967" s="36"/>
      <c r="H967" s="36"/>
      <c r="I967" s="36"/>
      <c r="J967" s="36"/>
      <c r="K967" s="36"/>
      <c r="L967" s="36"/>
      <c r="M967" s="36"/>
      <c r="N967" s="10"/>
      <c r="O967" s="10"/>
      <c r="P967" s="10"/>
      <c r="Q967" s="22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0"/>
      <c r="B968" s="16"/>
      <c r="C968" s="10"/>
      <c r="D968" s="11"/>
      <c r="E968" s="36"/>
      <c r="F968" s="36"/>
      <c r="G968" s="36"/>
      <c r="H968" s="36"/>
      <c r="I968" s="36"/>
      <c r="J968" s="36"/>
      <c r="K968" s="36"/>
      <c r="L968" s="36"/>
      <c r="M968" s="36"/>
      <c r="N968" s="10"/>
      <c r="O968" s="10"/>
      <c r="P968" s="10"/>
      <c r="Q968" s="22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0"/>
      <c r="B969" s="16"/>
      <c r="C969" s="10"/>
      <c r="D969" s="11"/>
      <c r="E969" s="36"/>
      <c r="F969" s="36"/>
      <c r="G969" s="36"/>
      <c r="H969" s="36"/>
      <c r="I969" s="36"/>
      <c r="J969" s="36"/>
      <c r="K969" s="36"/>
      <c r="L969" s="36"/>
      <c r="M969" s="36"/>
      <c r="N969" s="10"/>
      <c r="O969" s="10"/>
      <c r="P969" s="10"/>
      <c r="Q969" s="22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0"/>
      <c r="B970" s="16"/>
      <c r="C970" s="10"/>
      <c r="D970" s="11"/>
      <c r="E970" s="36"/>
      <c r="F970" s="36"/>
      <c r="G970" s="36"/>
      <c r="H970" s="36"/>
      <c r="I970" s="36"/>
      <c r="J970" s="36"/>
      <c r="K970" s="36"/>
      <c r="L970" s="36"/>
      <c r="M970" s="36"/>
      <c r="N970" s="10"/>
      <c r="O970" s="10"/>
      <c r="P970" s="10"/>
      <c r="Q970" s="22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0"/>
      <c r="B971" s="16"/>
      <c r="C971" s="10"/>
      <c r="D971" s="11"/>
      <c r="E971" s="36"/>
      <c r="F971" s="36"/>
      <c r="G971" s="36"/>
      <c r="H971" s="36"/>
      <c r="I971" s="36"/>
      <c r="J971" s="36"/>
      <c r="K971" s="36"/>
      <c r="L971" s="36"/>
      <c r="M971" s="36"/>
      <c r="N971" s="10"/>
      <c r="O971" s="10"/>
      <c r="P971" s="10"/>
      <c r="Q971" s="22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0"/>
      <c r="B972" s="16"/>
      <c r="C972" s="10"/>
      <c r="D972" s="11"/>
      <c r="E972" s="36"/>
      <c r="F972" s="36"/>
      <c r="G972" s="36"/>
      <c r="H972" s="36"/>
      <c r="I972" s="36"/>
      <c r="J972" s="36"/>
      <c r="K972" s="36"/>
      <c r="L972" s="36"/>
      <c r="M972" s="36"/>
      <c r="N972" s="10"/>
      <c r="O972" s="10"/>
      <c r="P972" s="10"/>
      <c r="Q972" s="22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0"/>
      <c r="B973" s="16"/>
      <c r="C973" s="10"/>
      <c r="D973" s="11"/>
      <c r="E973" s="36"/>
      <c r="F973" s="36"/>
      <c r="G973" s="36"/>
      <c r="H973" s="36"/>
      <c r="I973" s="36"/>
      <c r="J973" s="36"/>
      <c r="K973" s="36"/>
      <c r="L973" s="36"/>
      <c r="M973" s="36"/>
      <c r="N973" s="10"/>
      <c r="O973" s="10"/>
      <c r="P973" s="10"/>
      <c r="Q973" s="22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0"/>
      <c r="B974" s="16"/>
      <c r="C974" s="10"/>
      <c r="D974" s="11"/>
      <c r="E974" s="36"/>
      <c r="F974" s="36"/>
      <c r="G974" s="36"/>
      <c r="H974" s="36"/>
      <c r="I974" s="36"/>
      <c r="J974" s="36"/>
      <c r="K974" s="36"/>
      <c r="L974" s="36"/>
      <c r="M974" s="36"/>
      <c r="N974" s="10"/>
      <c r="O974" s="10"/>
      <c r="P974" s="10"/>
      <c r="Q974" s="22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0"/>
      <c r="B975" s="16"/>
      <c r="C975" s="10"/>
      <c r="D975" s="11"/>
      <c r="E975" s="36"/>
      <c r="F975" s="36"/>
      <c r="G975" s="36"/>
      <c r="H975" s="36"/>
      <c r="I975" s="36"/>
      <c r="J975" s="36"/>
      <c r="K975" s="36"/>
      <c r="L975" s="36"/>
      <c r="M975" s="36"/>
      <c r="N975" s="10"/>
      <c r="O975" s="10"/>
      <c r="P975" s="10"/>
      <c r="Q975" s="22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0"/>
      <c r="B976" s="16"/>
      <c r="C976" s="10"/>
      <c r="D976" s="11"/>
      <c r="E976" s="36"/>
      <c r="F976" s="36"/>
      <c r="G976" s="36"/>
      <c r="H976" s="36"/>
      <c r="I976" s="36"/>
      <c r="J976" s="36"/>
      <c r="K976" s="36"/>
      <c r="L976" s="36"/>
      <c r="M976" s="36"/>
      <c r="N976" s="10"/>
      <c r="O976" s="10"/>
      <c r="P976" s="10"/>
      <c r="Q976" s="22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0"/>
      <c r="B977" s="16"/>
      <c r="C977" s="10"/>
      <c r="D977" s="11"/>
      <c r="E977" s="36"/>
      <c r="F977" s="36"/>
      <c r="G977" s="36"/>
      <c r="H977" s="36"/>
      <c r="I977" s="36"/>
      <c r="J977" s="36"/>
      <c r="K977" s="36"/>
      <c r="L977" s="36"/>
      <c r="M977" s="36"/>
      <c r="N977" s="10"/>
      <c r="O977" s="10"/>
      <c r="P977" s="10"/>
      <c r="Q977" s="22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0"/>
      <c r="B978" s="16"/>
      <c r="C978" s="10"/>
      <c r="D978" s="11"/>
      <c r="E978" s="36"/>
      <c r="F978" s="36"/>
      <c r="G978" s="36"/>
      <c r="H978" s="36"/>
      <c r="I978" s="36"/>
      <c r="J978" s="36"/>
      <c r="K978" s="36"/>
      <c r="L978" s="36"/>
      <c r="M978" s="36"/>
      <c r="N978" s="10"/>
      <c r="O978" s="10"/>
      <c r="P978" s="10"/>
      <c r="Q978" s="22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0"/>
      <c r="B979" s="16"/>
      <c r="C979" s="10"/>
      <c r="D979" s="11"/>
      <c r="E979" s="36"/>
      <c r="F979" s="36"/>
      <c r="G979" s="36"/>
      <c r="H979" s="36"/>
      <c r="I979" s="36"/>
      <c r="J979" s="36"/>
      <c r="K979" s="36"/>
      <c r="L979" s="36"/>
      <c r="M979" s="36"/>
      <c r="N979" s="10"/>
      <c r="O979" s="10"/>
      <c r="P979" s="10"/>
      <c r="Q979" s="22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0"/>
      <c r="B980" s="16"/>
      <c r="C980" s="10"/>
      <c r="D980" s="11"/>
      <c r="E980" s="36"/>
      <c r="F980" s="36"/>
      <c r="G980" s="36"/>
      <c r="H980" s="36"/>
      <c r="I980" s="36"/>
      <c r="J980" s="36"/>
      <c r="K980" s="36"/>
      <c r="L980" s="36"/>
      <c r="M980" s="36"/>
      <c r="N980" s="10"/>
      <c r="O980" s="10"/>
      <c r="P980" s="10"/>
      <c r="Q980" s="22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0"/>
      <c r="B981" s="16"/>
      <c r="C981" s="10"/>
      <c r="D981" s="11"/>
      <c r="E981" s="36"/>
      <c r="F981" s="36"/>
      <c r="G981" s="36"/>
      <c r="H981" s="36"/>
      <c r="I981" s="36"/>
      <c r="J981" s="36"/>
      <c r="K981" s="36"/>
      <c r="L981" s="36"/>
      <c r="M981" s="36"/>
      <c r="N981" s="10"/>
      <c r="O981" s="10"/>
      <c r="P981" s="10"/>
      <c r="Q981" s="22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0"/>
      <c r="B982" s="16"/>
      <c r="C982" s="10"/>
      <c r="D982" s="11"/>
      <c r="E982" s="36"/>
      <c r="F982" s="36"/>
      <c r="G982" s="36"/>
      <c r="H982" s="36"/>
      <c r="I982" s="36"/>
      <c r="J982" s="36"/>
      <c r="K982" s="36"/>
      <c r="L982" s="36"/>
      <c r="M982" s="36"/>
      <c r="N982" s="10"/>
      <c r="O982" s="10"/>
      <c r="P982" s="10"/>
      <c r="Q982" s="22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0"/>
      <c r="B983" s="16"/>
      <c r="C983" s="10"/>
      <c r="D983" s="11"/>
      <c r="E983" s="36"/>
      <c r="F983" s="36"/>
      <c r="G983" s="36"/>
      <c r="H983" s="36"/>
      <c r="I983" s="36"/>
      <c r="J983" s="36"/>
      <c r="K983" s="36"/>
      <c r="L983" s="36"/>
      <c r="M983" s="36"/>
      <c r="N983" s="10"/>
      <c r="O983" s="10"/>
      <c r="P983" s="10"/>
      <c r="Q983" s="22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0"/>
      <c r="B984" s="16"/>
      <c r="C984" s="10"/>
      <c r="D984" s="11"/>
      <c r="E984" s="36"/>
      <c r="F984" s="36"/>
      <c r="G984" s="36"/>
      <c r="H984" s="36"/>
      <c r="I984" s="36"/>
      <c r="J984" s="36"/>
      <c r="K984" s="36"/>
      <c r="L984" s="36"/>
      <c r="M984" s="36"/>
      <c r="N984" s="10"/>
      <c r="O984" s="10"/>
      <c r="P984" s="10"/>
      <c r="Q984" s="22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0"/>
      <c r="B985" s="16"/>
      <c r="C985" s="10"/>
      <c r="D985" s="11"/>
      <c r="E985" s="36"/>
      <c r="F985" s="36"/>
      <c r="G985" s="36"/>
      <c r="H985" s="36"/>
      <c r="I985" s="36"/>
      <c r="J985" s="36"/>
      <c r="K985" s="36"/>
      <c r="L985" s="36"/>
      <c r="M985" s="36"/>
      <c r="N985" s="10"/>
      <c r="O985" s="10"/>
      <c r="P985" s="10"/>
      <c r="Q985" s="22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0"/>
      <c r="B986" s="16"/>
      <c r="C986" s="10"/>
      <c r="D986" s="11"/>
      <c r="E986" s="36"/>
      <c r="F986" s="36"/>
      <c r="G986" s="36"/>
      <c r="H986" s="36"/>
      <c r="I986" s="36"/>
      <c r="J986" s="36"/>
      <c r="K986" s="36"/>
      <c r="L986" s="36"/>
      <c r="M986" s="36"/>
      <c r="N986" s="10"/>
      <c r="O986" s="10"/>
      <c r="P986" s="10"/>
      <c r="Q986" s="22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0"/>
      <c r="B987" s="16"/>
      <c r="C987" s="10"/>
      <c r="D987" s="11"/>
      <c r="E987" s="36"/>
      <c r="F987" s="36"/>
      <c r="G987" s="36"/>
      <c r="H987" s="36"/>
      <c r="I987" s="36"/>
      <c r="J987" s="36"/>
      <c r="K987" s="36"/>
      <c r="L987" s="36"/>
      <c r="M987" s="36"/>
      <c r="N987" s="10"/>
      <c r="O987" s="10"/>
      <c r="P987" s="10"/>
      <c r="Q987" s="22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0"/>
      <c r="B988" s="16"/>
      <c r="C988" s="10"/>
      <c r="D988" s="11"/>
      <c r="E988" s="36"/>
      <c r="F988" s="36"/>
      <c r="G988" s="36"/>
      <c r="H988" s="36"/>
      <c r="I988" s="36"/>
      <c r="J988" s="36"/>
      <c r="K988" s="36"/>
      <c r="L988" s="36"/>
      <c r="M988" s="36"/>
      <c r="N988" s="10"/>
      <c r="O988" s="10"/>
      <c r="P988" s="10"/>
      <c r="Q988" s="22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0"/>
      <c r="B989" s="16"/>
      <c r="C989" s="10"/>
      <c r="D989" s="11"/>
      <c r="E989" s="36"/>
      <c r="F989" s="36"/>
      <c r="G989" s="36"/>
      <c r="H989" s="36"/>
      <c r="I989" s="36"/>
      <c r="J989" s="36"/>
      <c r="K989" s="36"/>
      <c r="L989" s="36"/>
      <c r="M989" s="36"/>
      <c r="N989" s="10"/>
      <c r="O989" s="10"/>
      <c r="P989" s="10"/>
      <c r="Q989" s="22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0"/>
      <c r="B990" s="16"/>
      <c r="C990" s="10"/>
      <c r="D990" s="11"/>
      <c r="E990" s="36"/>
      <c r="F990" s="36"/>
      <c r="G990" s="36"/>
      <c r="H990" s="36"/>
      <c r="I990" s="36"/>
      <c r="J990" s="36"/>
      <c r="K990" s="36"/>
      <c r="L990" s="36"/>
      <c r="M990" s="36"/>
      <c r="N990" s="10"/>
      <c r="O990" s="10"/>
      <c r="P990" s="10"/>
      <c r="Q990" s="22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0"/>
      <c r="B991" s="16"/>
      <c r="C991" s="10"/>
      <c r="D991" s="11"/>
      <c r="E991" s="36"/>
      <c r="F991" s="36"/>
      <c r="G991" s="36"/>
      <c r="H991" s="36"/>
      <c r="I991" s="36"/>
      <c r="J991" s="36"/>
      <c r="K991" s="36"/>
      <c r="L991" s="36"/>
      <c r="M991" s="36"/>
      <c r="N991" s="10"/>
      <c r="O991" s="10"/>
      <c r="P991" s="10"/>
      <c r="Q991" s="22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0"/>
      <c r="B992" s="16"/>
      <c r="C992" s="10"/>
      <c r="D992" s="11"/>
      <c r="E992" s="36"/>
      <c r="F992" s="36"/>
      <c r="G992" s="36"/>
      <c r="H992" s="36"/>
      <c r="I992" s="36"/>
      <c r="J992" s="36"/>
      <c r="K992" s="36"/>
      <c r="L992" s="36"/>
      <c r="M992" s="36"/>
      <c r="N992" s="10"/>
      <c r="O992" s="10"/>
      <c r="P992" s="10"/>
      <c r="Q992" s="22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0"/>
      <c r="B993" s="16"/>
      <c r="C993" s="10"/>
      <c r="D993" s="11"/>
      <c r="E993" s="36"/>
      <c r="F993" s="36"/>
      <c r="G993" s="36"/>
      <c r="H993" s="36"/>
      <c r="I993" s="36"/>
      <c r="J993" s="36"/>
      <c r="K993" s="36"/>
      <c r="L993" s="36"/>
      <c r="M993" s="36"/>
      <c r="N993" s="10"/>
      <c r="O993" s="10"/>
      <c r="P993" s="10"/>
      <c r="Q993" s="22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0"/>
      <c r="B994" s="16"/>
      <c r="C994" s="10"/>
      <c r="D994" s="11"/>
      <c r="E994" s="36"/>
      <c r="F994" s="36"/>
      <c r="G994" s="36"/>
      <c r="H994" s="36"/>
      <c r="I994" s="36"/>
      <c r="J994" s="36"/>
      <c r="K994" s="36"/>
      <c r="L994" s="36"/>
      <c r="M994" s="36"/>
      <c r="N994" s="10"/>
      <c r="O994" s="10"/>
      <c r="P994" s="10"/>
      <c r="Q994" s="22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0"/>
      <c r="B995" s="16"/>
      <c r="C995" s="10"/>
      <c r="D995" s="11"/>
      <c r="E995" s="36"/>
      <c r="F995" s="36"/>
      <c r="G995" s="36"/>
      <c r="H995" s="36"/>
      <c r="I995" s="36"/>
      <c r="J995" s="36"/>
      <c r="K995" s="36"/>
      <c r="L995" s="36"/>
      <c r="M995" s="36"/>
      <c r="N995" s="10"/>
      <c r="O995" s="10"/>
      <c r="P995" s="10"/>
      <c r="Q995" s="22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0"/>
      <c r="B996" s="16"/>
      <c r="C996" s="10"/>
      <c r="D996" s="11"/>
      <c r="E996" s="36"/>
      <c r="F996" s="36"/>
      <c r="G996" s="36"/>
      <c r="H996" s="36"/>
      <c r="I996" s="36"/>
      <c r="J996" s="36"/>
      <c r="K996" s="36"/>
      <c r="L996" s="36"/>
      <c r="M996" s="36"/>
      <c r="N996" s="10"/>
      <c r="O996" s="10"/>
      <c r="P996" s="10"/>
      <c r="Q996" s="22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0"/>
      <c r="B997" s="16"/>
      <c r="C997" s="10"/>
      <c r="D997" s="11"/>
      <c r="E997" s="36"/>
      <c r="F997" s="36"/>
      <c r="G997" s="36"/>
      <c r="H997" s="36"/>
      <c r="I997" s="36"/>
      <c r="J997" s="36"/>
      <c r="K997" s="36"/>
      <c r="L997" s="36"/>
      <c r="M997" s="36"/>
      <c r="N997" s="10"/>
      <c r="O997" s="10"/>
      <c r="P997" s="10"/>
      <c r="Q997" s="22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0"/>
      <c r="B998" s="16"/>
      <c r="C998" s="10"/>
      <c r="D998" s="11"/>
      <c r="E998" s="36"/>
      <c r="F998" s="36"/>
      <c r="G998" s="36"/>
      <c r="H998" s="36"/>
      <c r="I998" s="36"/>
      <c r="J998" s="36"/>
      <c r="K998" s="36"/>
      <c r="L998" s="36"/>
      <c r="M998" s="36"/>
      <c r="N998" s="10"/>
      <c r="O998" s="10"/>
      <c r="P998" s="10"/>
      <c r="Q998" s="22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0"/>
      <c r="B999" s="16"/>
      <c r="C999" s="10"/>
      <c r="D999" s="11"/>
      <c r="E999" s="36"/>
      <c r="F999" s="36"/>
      <c r="G999" s="36"/>
      <c r="H999" s="36"/>
      <c r="I999" s="36"/>
      <c r="J999" s="36"/>
      <c r="K999" s="36"/>
      <c r="L999" s="36"/>
      <c r="M999" s="36"/>
      <c r="N999" s="10"/>
      <c r="O999" s="10"/>
      <c r="P999" s="10"/>
      <c r="Q999" s="22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0"/>
      <c r="B1000" s="16"/>
      <c r="C1000" s="10"/>
      <c r="D1000" s="11"/>
      <c r="E1000" s="36"/>
      <c r="F1000" s="36"/>
      <c r="G1000" s="36"/>
      <c r="H1000" s="36"/>
      <c r="I1000" s="36"/>
      <c r="J1000" s="36"/>
      <c r="K1000" s="36"/>
      <c r="L1000" s="36"/>
      <c r="M1000" s="36"/>
      <c r="N1000" s="10"/>
      <c r="O1000" s="10"/>
      <c r="P1000" s="10"/>
      <c r="Q1000" s="22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5.75"/>
    <col customWidth="1" min="4" max="4" width="14.5"/>
    <col customWidth="1" min="5" max="5" width="12.13"/>
    <col customWidth="1" min="6" max="6" width="19.75"/>
    <col customWidth="1" min="7" max="7" width="7.75"/>
    <col customWidth="1" min="8" max="8" width="7.5"/>
    <col customWidth="1" min="9" max="9" width="19.0"/>
    <col customWidth="1" min="10" max="10" width="13.88"/>
    <col customWidth="1" min="11" max="11" width="16.0"/>
    <col customWidth="1" min="12" max="12" width="7.63"/>
  </cols>
  <sheetData>
    <row r="1">
      <c r="A1" s="4" t="str">
        <f t="array" ref="A1:A1000">IF(LEN(D:D),if(ROW(D:D)=1,"No",ROW(D:D)-1),)</f>
        <v>No</v>
      </c>
      <c r="B1" s="13" t="str">
        <f t="array" ref="B1:B1000">IF(LEN(D:D),if(ROW(D:D)=1,"Timestamp",ifs(D:D="","",B:B="",now(),True,B:B)),)</f>
        <v>Timestamp</v>
      </c>
      <c r="C1" s="4" t="str">
        <f t="array" ref="C1:C1000">IF(LEN(D:D),if(ROW(D:D)=1,"Nomor Registrasi","WAP"&amp;TEXT(ROW(D:D)-1,"JA0000")),)</f>
        <v>Nomor Registrasi</v>
      </c>
      <c r="D1" s="3" t="s">
        <v>1</v>
      </c>
      <c r="E1" s="3" t="s">
        <v>2</v>
      </c>
      <c r="F1" s="3" t="s">
        <v>26</v>
      </c>
      <c r="G1" s="3" t="s">
        <v>4</v>
      </c>
      <c r="H1" s="3" t="s">
        <v>5</v>
      </c>
      <c r="I1" s="3" t="s">
        <v>17</v>
      </c>
      <c r="J1" s="3" t="s">
        <v>6</v>
      </c>
      <c r="K1" s="4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4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4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6"/>
      <c r="D2" s="9"/>
      <c r="E2" s="12"/>
      <c r="F2" s="12"/>
      <c r="G2" s="12"/>
      <c r="H2" s="12"/>
      <c r="I2" s="12"/>
      <c r="J2" s="12"/>
      <c r="K2" s="6"/>
      <c r="L2" s="6"/>
      <c r="M2" s="6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/>
      <c r="C3" s="6"/>
      <c r="D3" s="12"/>
      <c r="E3" s="12"/>
      <c r="F3" s="12"/>
      <c r="G3" s="12"/>
      <c r="H3" s="12"/>
      <c r="I3" s="12"/>
      <c r="J3" s="12"/>
      <c r="K3" s="6"/>
      <c r="L3" s="6"/>
      <c r="M3" s="6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7"/>
      <c r="C4" s="6"/>
      <c r="D4" s="12"/>
      <c r="E4" s="12"/>
      <c r="F4" s="12"/>
      <c r="G4" s="12"/>
      <c r="H4" s="12"/>
      <c r="I4" s="12"/>
      <c r="J4" s="12"/>
      <c r="K4" s="6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6"/>
      <c r="D5" s="12"/>
      <c r="E5" s="12"/>
      <c r="F5" s="12"/>
      <c r="G5" s="12"/>
      <c r="H5" s="12"/>
      <c r="I5" s="12"/>
      <c r="J5" s="12"/>
      <c r="K5" s="6"/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7"/>
      <c r="C6" s="6"/>
      <c r="D6" s="12"/>
      <c r="E6" s="12"/>
      <c r="F6" s="12"/>
      <c r="G6" s="12"/>
      <c r="H6" s="12"/>
      <c r="I6" s="12"/>
      <c r="J6" s="12"/>
      <c r="K6" s="6"/>
      <c r="L6" s="6"/>
      <c r="M6" s="6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B7" s="7"/>
      <c r="C7" s="6"/>
      <c r="D7" s="12"/>
      <c r="E7" s="12"/>
      <c r="F7" s="12"/>
      <c r="G7" s="12"/>
      <c r="H7" s="12"/>
      <c r="I7" s="12"/>
      <c r="J7" s="12"/>
      <c r="K7" s="6"/>
      <c r="L7" s="6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7"/>
      <c r="C8" s="6"/>
      <c r="D8" s="12"/>
      <c r="E8" s="12"/>
      <c r="F8" s="12"/>
      <c r="G8" s="12"/>
      <c r="H8" s="12"/>
      <c r="I8" s="12"/>
      <c r="J8" s="12"/>
      <c r="K8" s="6"/>
      <c r="L8" s="6"/>
      <c r="M8" s="6"/>
      <c r="N8" s="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7"/>
      <c r="C9" s="6"/>
      <c r="D9" s="12"/>
      <c r="E9" s="12"/>
      <c r="F9" s="12"/>
      <c r="G9" s="12"/>
      <c r="H9" s="12"/>
      <c r="I9" s="12"/>
      <c r="J9" s="12"/>
      <c r="K9" s="6"/>
      <c r="L9" s="6"/>
      <c r="M9" s="6"/>
      <c r="N9" s="6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7"/>
      <c r="C10" s="6"/>
      <c r="D10" s="12"/>
      <c r="E10" s="12"/>
      <c r="F10" s="12"/>
      <c r="G10" s="12"/>
      <c r="H10" s="12"/>
      <c r="I10" s="12"/>
      <c r="J10" s="12"/>
      <c r="K10" s="6"/>
      <c r="L10" s="6"/>
      <c r="M10" s="6"/>
      <c r="N10" s="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7"/>
      <c r="C11" s="6"/>
      <c r="D11" s="12"/>
      <c r="E11" s="12"/>
      <c r="F11" s="12"/>
      <c r="G11" s="12"/>
      <c r="H11" s="12"/>
      <c r="I11" s="12"/>
      <c r="J11" s="12"/>
      <c r="K11" s="6"/>
      <c r="L11" s="6"/>
      <c r="M11" s="6"/>
      <c r="N11" s="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7"/>
      <c r="C12" s="6"/>
      <c r="D12" s="12"/>
      <c r="E12" s="12"/>
      <c r="F12" s="12"/>
      <c r="G12" s="12"/>
      <c r="H12" s="12"/>
      <c r="I12" s="12"/>
      <c r="J12" s="12"/>
      <c r="K12" s="6"/>
      <c r="L12" s="6"/>
      <c r="M12" s="6"/>
      <c r="N12" s="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7"/>
      <c r="C13" s="6"/>
      <c r="D13" s="12"/>
      <c r="E13" s="12"/>
      <c r="F13" s="12"/>
      <c r="G13" s="12"/>
      <c r="H13" s="12"/>
      <c r="I13" s="12"/>
      <c r="J13" s="12"/>
      <c r="K13" s="6"/>
      <c r="L13" s="6"/>
      <c r="M13" s="6"/>
      <c r="N13" s="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7"/>
      <c r="C14" s="6"/>
      <c r="D14" s="12"/>
      <c r="E14" s="12"/>
      <c r="F14" s="12"/>
      <c r="G14" s="12"/>
      <c r="H14" s="12"/>
      <c r="I14" s="12"/>
      <c r="J14" s="12"/>
      <c r="K14" s="6"/>
      <c r="L14" s="6"/>
      <c r="M14" s="6"/>
      <c r="N14" s="6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7"/>
      <c r="C15" s="6"/>
      <c r="D15" s="12"/>
      <c r="E15" s="12"/>
      <c r="F15" s="12"/>
      <c r="G15" s="12"/>
      <c r="H15" s="12"/>
      <c r="I15" s="12"/>
      <c r="J15" s="12"/>
      <c r="K15" s="6"/>
      <c r="L15" s="6"/>
      <c r="M15" s="6"/>
      <c r="N15" s="6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7"/>
      <c r="C16" s="6"/>
      <c r="D16" s="12"/>
      <c r="E16" s="12"/>
      <c r="F16" s="12"/>
      <c r="G16" s="12"/>
      <c r="H16" s="12"/>
      <c r="I16" s="12"/>
      <c r="J16" s="12"/>
      <c r="K16" s="6"/>
      <c r="L16" s="6"/>
      <c r="M16" s="6"/>
      <c r="N16" s="6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7"/>
      <c r="C17" s="6"/>
      <c r="D17" s="12"/>
      <c r="E17" s="12"/>
      <c r="F17" s="12"/>
      <c r="G17" s="12"/>
      <c r="H17" s="12"/>
      <c r="I17" s="12"/>
      <c r="J17" s="12"/>
      <c r="K17" s="6"/>
      <c r="L17" s="6"/>
      <c r="M17" s="6"/>
      <c r="N17" s="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7"/>
      <c r="C18" s="6"/>
      <c r="D18" s="12"/>
      <c r="E18" s="12"/>
      <c r="F18" s="12"/>
      <c r="G18" s="12"/>
      <c r="H18" s="12"/>
      <c r="I18" s="12"/>
      <c r="J18" s="12"/>
      <c r="K18" s="6"/>
      <c r="L18" s="6"/>
      <c r="M18" s="6"/>
      <c r="N18" s="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7"/>
      <c r="C19" s="6"/>
      <c r="D19" s="12"/>
      <c r="E19" s="12"/>
      <c r="F19" s="12"/>
      <c r="G19" s="12"/>
      <c r="H19" s="12"/>
      <c r="I19" s="12"/>
      <c r="J19" s="12"/>
      <c r="K19" s="6"/>
      <c r="L19" s="6"/>
      <c r="M19" s="6"/>
      <c r="N19" s="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7"/>
      <c r="C20" s="6"/>
      <c r="D20" s="12"/>
      <c r="E20" s="12"/>
      <c r="F20" s="12"/>
      <c r="G20" s="12"/>
      <c r="H20" s="12"/>
      <c r="I20" s="12"/>
      <c r="J20" s="12"/>
      <c r="K20" s="6"/>
      <c r="L20" s="6"/>
      <c r="M20" s="6"/>
      <c r="N20" s="6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7"/>
      <c r="C21" s="6"/>
      <c r="D21" s="12"/>
      <c r="E21" s="12"/>
      <c r="F21" s="12"/>
      <c r="G21" s="12"/>
      <c r="H21" s="12"/>
      <c r="I21" s="12"/>
      <c r="J21" s="12"/>
      <c r="K21" s="6"/>
      <c r="L21" s="6"/>
      <c r="M21" s="6"/>
      <c r="N21" s="6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7"/>
      <c r="C22" s="6"/>
      <c r="D22" s="12"/>
      <c r="E22" s="12"/>
      <c r="F22" s="12"/>
      <c r="G22" s="12"/>
      <c r="H22" s="12"/>
      <c r="I22" s="12"/>
      <c r="J22" s="12"/>
      <c r="K22" s="6"/>
      <c r="L22" s="6"/>
      <c r="M22" s="6"/>
      <c r="N22" s="6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7"/>
      <c r="C23" s="6"/>
      <c r="D23" s="12"/>
      <c r="E23" s="12"/>
      <c r="F23" s="12"/>
      <c r="G23" s="12"/>
      <c r="H23" s="12"/>
      <c r="I23" s="12"/>
      <c r="J23" s="12"/>
      <c r="K23" s="6"/>
      <c r="L23" s="6"/>
      <c r="M23" s="6"/>
      <c r="N23" s="6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7"/>
      <c r="C24" s="6"/>
      <c r="D24" s="12"/>
      <c r="E24" s="12"/>
      <c r="F24" s="12"/>
      <c r="G24" s="12"/>
      <c r="H24" s="12"/>
      <c r="I24" s="12"/>
      <c r="J24" s="12"/>
      <c r="K24" s="6"/>
      <c r="L24" s="6"/>
      <c r="M24" s="6"/>
      <c r="N24" s="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7"/>
      <c r="C25" s="6"/>
      <c r="D25" s="12"/>
      <c r="E25" s="12"/>
      <c r="F25" s="12"/>
      <c r="G25" s="12"/>
      <c r="H25" s="12"/>
      <c r="I25" s="12"/>
      <c r="J25" s="12"/>
      <c r="K25" s="6"/>
      <c r="L25" s="6"/>
      <c r="M25" s="6"/>
      <c r="N25" s="6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7"/>
      <c r="C26" s="6"/>
      <c r="D26" s="12"/>
      <c r="E26" s="12"/>
      <c r="F26" s="12"/>
      <c r="G26" s="12"/>
      <c r="H26" s="12"/>
      <c r="I26" s="12"/>
      <c r="J26" s="12"/>
      <c r="K26" s="6"/>
      <c r="L26" s="6"/>
      <c r="M26" s="6"/>
      <c r="N26" s="6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7"/>
      <c r="C27" s="6"/>
      <c r="D27" s="12"/>
      <c r="E27" s="12"/>
      <c r="F27" s="12"/>
      <c r="G27" s="12"/>
      <c r="H27" s="12"/>
      <c r="I27" s="12"/>
      <c r="J27" s="12"/>
      <c r="K27" s="6"/>
      <c r="L27" s="6"/>
      <c r="M27" s="6"/>
      <c r="N27" s="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7"/>
      <c r="C28" s="6"/>
      <c r="D28" s="12"/>
      <c r="E28" s="12"/>
      <c r="F28" s="12"/>
      <c r="G28" s="12"/>
      <c r="H28" s="12"/>
      <c r="I28" s="12"/>
      <c r="J28" s="12"/>
      <c r="K28" s="6"/>
      <c r="L28" s="6"/>
      <c r="M28" s="6"/>
      <c r="N28" s="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7"/>
      <c r="C29" s="6"/>
      <c r="D29" s="12"/>
      <c r="E29" s="12"/>
      <c r="F29" s="12"/>
      <c r="G29" s="12"/>
      <c r="H29" s="12"/>
      <c r="I29" s="12"/>
      <c r="J29" s="12"/>
      <c r="K29" s="6"/>
      <c r="L29" s="6"/>
      <c r="M29" s="6"/>
      <c r="N29" s="6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7"/>
      <c r="C30" s="6"/>
      <c r="D30" s="12"/>
      <c r="E30" s="12"/>
      <c r="F30" s="12"/>
      <c r="G30" s="12"/>
      <c r="H30" s="12"/>
      <c r="I30" s="12"/>
      <c r="J30" s="12"/>
      <c r="K30" s="6"/>
      <c r="L30" s="6"/>
      <c r="M30" s="6"/>
      <c r="N30" s="6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7"/>
      <c r="C31" s="6"/>
      <c r="D31" s="12"/>
      <c r="E31" s="12"/>
      <c r="F31" s="12"/>
      <c r="G31" s="12"/>
      <c r="H31" s="12"/>
      <c r="I31" s="12"/>
      <c r="J31" s="12"/>
      <c r="K31" s="6"/>
      <c r="L31" s="6"/>
      <c r="M31" s="6"/>
      <c r="N31" s="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7"/>
      <c r="C32" s="6"/>
      <c r="D32" s="12"/>
      <c r="E32" s="12"/>
      <c r="F32" s="12"/>
      <c r="G32" s="12"/>
      <c r="H32" s="12"/>
      <c r="I32" s="12"/>
      <c r="J32" s="12"/>
      <c r="K32" s="6"/>
      <c r="L32" s="6"/>
      <c r="M32" s="6"/>
      <c r="N32" s="6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7"/>
      <c r="C33" s="6"/>
      <c r="D33" s="12"/>
      <c r="E33" s="12"/>
      <c r="F33" s="12"/>
      <c r="G33" s="12"/>
      <c r="H33" s="12"/>
      <c r="I33" s="12"/>
      <c r="J33" s="12"/>
      <c r="K33" s="6"/>
      <c r="L33" s="6"/>
      <c r="M33" s="6"/>
      <c r="N33" s="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7"/>
      <c r="C34" s="6"/>
      <c r="D34" s="12"/>
      <c r="E34" s="12"/>
      <c r="F34" s="12"/>
      <c r="G34" s="12"/>
      <c r="H34" s="12"/>
      <c r="I34" s="12"/>
      <c r="J34" s="12"/>
      <c r="K34" s="6"/>
      <c r="L34" s="6"/>
      <c r="M34" s="6"/>
      <c r="N34" s="6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7"/>
      <c r="C35" s="6"/>
      <c r="D35" s="12"/>
      <c r="E35" s="12"/>
      <c r="F35" s="12"/>
      <c r="G35" s="12"/>
      <c r="H35" s="12"/>
      <c r="I35" s="12"/>
      <c r="J35" s="12"/>
      <c r="K35" s="6"/>
      <c r="L35" s="6"/>
      <c r="M35" s="6"/>
      <c r="N35" s="6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7"/>
      <c r="C36" s="6"/>
      <c r="D36" s="12"/>
      <c r="E36" s="12"/>
      <c r="F36" s="12"/>
      <c r="G36" s="12"/>
      <c r="H36" s="12"/>
      <c r="I36" s="12"/>
      <c r="J36" s="12"/>
      <c r="K36" s="6"/>
      <c r="L36" s="6"/>
      <c r="M36" s="6"/>
      <c r="N36" s="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7"/>
      <c r="C37" s="6"/>
      <c r="D37" s="12"/>
      <c r="E37" s="12"/>
      <c r="F37" s="12"/>
      <c r="G37" s="12"/>
      <c r="H37" s="12"/>
      <c r="I37" s="12"/>
      <c r="J37" s="12"/>
      <c r="K37" s="6"/>
      <c r="L37" s="6"/>
      <c r="M37" s="6"/>
      <c r="N37" s="6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/>
      <c r="B38" s="7"/>
      <c r="C38" s="6"/>
      <c r="D38" s="12"/>
      <c r="E38" s="12"/>
      <c r="F38" s="12"/>
      <c r="G38" s="12"/>
      <c r="H38" s="12"/>
      <c r="I38" s="12"/>
      <c r="J38" s="12"/>
      <c r="K38" s="6"/>
      <c r="L38" s="6"/>
      <c r="M38" s="6"/>
      <c r="N38" s="6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7"/>
      <c r="C39" s="6"/>
      <c r="D39" s="12"/>
      <c r="E39" s="12"/>
      <c r="F39" s="12"/>
      <c r="G39" s="12"/>
      <c r="H39" s="12"/>
      <c r="I39" s="12"/>
      <c r="J39" s="12"/>
      <c r="K39" s="6"/>
      <c r="L39" s="6"/>
      <c r="M39" s="6"/>
      <c r="N39" s="6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7"/>
      <c r="C40" s="6"/>
      <c r="D40" s="12"/>
      <c r="E40" s="12"/>
      <c r="F40" s="12"/>
      <c r="G40" s="12"/>
      <c r="H40" s="12"/>
      <c r="I40" s="12"/>
      <c r="J40" s="12"/>
      <c r="K40" s="6"/>
      <c r="L40" s="6"/>
      <c r="M40" s="6"/>
      <c r="N40" s="6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7"/>
      <c r="C41" s="6"/>
      <c r="D41" s="12"/>
      <c r="E41" s="12"/>
      <c r="F41" s="12"/>
      <c r="G41" s="12"/>
      <c r="H41" s="12"/>
      <c r="I41" s="12"/>
      <c r="J41" s="12"/>
      <c r="K41" s="6"/>
      <c r="L41" s="6"/>
      <c r="M41" s="6"/>
      <c r="N41" s="6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7"/>
      <c r="C42" s="6"/>
      <c r="D42" s="12"/>
      <c r="E42" s="12"/>
      <c r="F42" s="12"/>
      <c r="G42" s="12"/>
      <c r="H42" s="12"/>
      <c r="I42" s="12"/>
      <c r="J42" s="12"/>
      <c r="K42" s="6"/>
      <c r="L42" s="6"/>
      <c r="M42" s="6"/>
      <c r="N42" s="6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7"/>
      <c r="C43" s="6"/>
      <c r="D43" s="12"/>
      <c r="E43" s="12"/>
      <c r="F43" s="12"/>
      <c r="G43" s="12"/>
      <c r="H43" s="12"/>
      <c r="I43" s="12"/>
      <c r="J43" s="12"/>
      <c r="K43" s="6"/>
      <c r="L43" s="6"/>
      <c r="M43" s="6"/>
      <c r="N43" s="6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7"/>
      <c r="C44" s="6"/>
      <c r="D44" s="12"/>
      <c r="E44" s="12"/>
      <c r="F44" s="12"/>
      <c r="G44" s="12"/>
      <c r="H44" s="12"/>
      <c r="I44" s="12"/>
      <c r="J44" s="12"/>
      <c r="K44" s="6"/>
      <c r="L44" s="6"/>
      <c r="M44" s="6"/>
      <c r="N44" s="6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7"/>
      <c r="C45" s="6"/>
      <c r="D45" s="12"/>
      <c r="E45" s="12"/>
      <c r="F45" s="12"/>
      <c r="G45" s="12"/>
      <c r="H45" s="12"/>
      <c r="I45" s="12"/>
      <c r="J45" s="12"/>
      <c r="K45" s="6"/>
      <c r="L45" s="6"/>
      <c r="M45" s="6"/>
      <c r="N45" s="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7"/>
      <c r="C46" s="6"/>
      <c r="D46" s="12"/>
      <c r="E46" s="12"/>
      <c r="F46" s="12"/>
      <c r="G46" s="12"/>
      <c r="H46" s="12"/>
      <c r="I46" s="12"/>
      <c r="J46" s="12"/>
      <c r="K46" s="6"/>
      <c r="L46" s="6"/>
      <c r="M46" s="6"/>
      <c r="N46" s="6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7"/>
      <c r="C47" s="6"/>
      <c r="D47" s="12"/>
      <c r="E47" s="12"/>
      <c r="F47" s="12"/>
      <c r="G47" s="12"/>
      <c r="H47" s="12"/>
      <c r="I47" s="12"/>
      <c r="J47" s="12"/>
      <c r="K47" s="6"/>
      <c r="L47" s="6"/>
      <c r="M47" s="6"/>
      <c r="N47" s="6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7"/>
      <c r="C48" s="6"/>
      <c r="D48" s="12"/>
      <c r="E48" s="12"/>
      <c r="F48" s="12"/>
      <c r="G48" s="12"/>
      <c r="H48" s="12"/>
      <c r="I48" s="12"/>
      <c r="J48" s="12"/>
      <c r="K48" s="6"/>
      <c r="L48" s="6"/>
      <c r="M48" s="6"/>
      <c r="N48" s="6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7"/>
      <c r="C49" s="6"/>
      <c r="D49" s="12"/>
      <c r="E49" s="12"/>
      <c r="F49" s="12"/>
      <c r="G49" s="12"/>
      <c r="H49" s="12"/>
      <c r="I49" s="12"/>
      <c r="J49" s="12"/>
      <c r="K49" s="6"/>
      <c r="L49" s="6"/>
      <c r="M49" s="6"/>
      <c r="N49" s="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7"/>
      <c r="C50" s="6"/>
      <c r="D50" s="12"/>
      <c r="E50" s="12"/>
      <c r="F50" s="12"/>
      <c r="G50" s="12"/>
      <c r="H50" s="12"/>
      <c r="I50" s="12"/>
      <c r="J50" s="12"/>
      <c r="K50" s="6"/>
      <c r="L50" s="6"/>
      <c r="M50" s="6"/>
      <c r="N50" s="6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7"/>
      <c r="C51" s="6"/>
      <c r="D51" s="12"/>
      <c r="E51" s="12"/>
      <c r="F51" s="12"/>
      <c r="G51" s="12"/>
      <c r="H51" s="12"/>
      <c r="I51" s="12"/>
      <c r="J51" s="12"/>
      <c r="K51" s="6"/>
      <c r="L51" s="6"/>
      <c r="M51" s="6"/>
      <c r="N51" s="6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7"/>
      <c r="C52" s="6"/>
      <c r="D52" s="12"/>
      <c r="E52" s="12"/>
      <c r="F52" s="12"/>
      <c r="G52" s="12"/>
      <c r="H52" s="12"/>
      <c r="I52" s="12"/>
      <c r="J52" s="12"/>
      <c r="K52" s="6"/>
      <c r="L52" s="6"/>
      <c r="M52" s="6"/>
      <c r="N52" s="6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7"/>
      <c r="C53" s="6"/>
      <c r="D53" s="12"/>
      <c r="E53" s="12"/>
      <c r="F53" s="12"/>
      <c r="G53" s="12"/>
      <c r="H53" s="12"/>
      <c r="I53" s="12"/>
      <c r="J53" s="12"/>
      <c r="K53" s="6"/>
      <c r="L53" s="6"/>
      <c r="M53" s="6"/>
      <c r="N53" s="6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7"/>
      <c r="C54" s="6"/>
      <c r="D54" s="12"/>
      <c r="E54" s="12"/>
      <c r="F54" s="12"/>
      <c r="G54" s="12"/>
      <c r="H54" s="12"/>
      <c r="I54" s="12"/>
      <c r="J54" s="12"/>
      <c r="K54" s="6"/>
      <c r="L54" s="6"/>
      <c r="M54" s="6"/>
      <c r="N54" s="6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7"/>
      <c r="C55" s="6"/>
      <c r="D55" s="12"/>
      <c r="E55" s="12"/>
      <c r="F55" s="12"/>
      <c r="G55" s="12"/>
      <c r="H55" s="12"/>
      <c r="I55" s="12"/>
      <c r="J55" s="12"/>
      <c r="K55" s="6"/>
      <c r="L55" s="6"/>
      <c r="M55" s="6"/>
      <c r="N55" s="6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7"/>
      <c r="C56" s="6"/>
      <c r="D56" s="12"/>
      <c r="E56" s="12"/>
      <c r="F56" s="12"/>
      <c r="G56" s="12"/>
      <c r="H56" s="12"/>
      <c r="I56" s="12"/>
      <c r="J56" s="12"/>
      <c r="K56" s="6"/>
      <c r="L56" s="6"/>
      <c r="M56" s="6"/>
      <c r="N56" s="6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7"/>
      <c r="C57" s="6"/>
      <c r="D57" s="12"/>
      <c r="E57" s="12"/>
      <c r="F57" s="12"/>
      <c r="G57" s="12"/>
      <c r="H57" s="12"/>
      <c r="I57" s="12"/>
      <c r="J57" s="12"/>
      <c r="K57" s="6"/>
      <c r="L57" s="6"/>
      <c r="M57" s="6"/>
      <c r="N57" s="6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7"/>
      <c r="C58" s="6"/>
      <c r="D58" s="12"/>
      <c r="E58" s="12"/>
      <c r="F58" s="12"/>
      <c r="G58" s="12"/>
      <c r="H58" s="12"/>
      <c r="I58" s="12"/>
      <c r="J58" s="12"/>
      <c r="K58" s="6"/>
      <c r="L58" s="6"/>
      <c r="M58" s="6"/>
      <c r="N58" s="6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7"/>
      <c r="C59" s="6"/>
      <c r="D59" s="12"/>
      <c r="E59" s="12"/>
      <c r="F59" s="12"/>
      <c r="G59" s="12"/>
      <c r="H59" s="12"/>
      <c r="I59" s="12"/>
      <c r="J59" s="12"/>
      <c r="K59" s="6"/>
      <c r="L59" s="6"/>
      <c r="M59" s="6"/>
      <c r="N59" s="6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7"/>
      <c r="C60" s="6"/>
      <c r="D60" s="12"/>
      <c r="E60" s="12"/>
      <c r="F60" s="12"/>
      <c r="G60" s="12"/>
      <c r="H60" s="12"/>
      <c r="I60" s="12"/>
      <c r="J60" s="12"/>
      <c r="K60" s="6"/>
      <c r="L60" s="6"/>
      <c r="M60" s="6"/>
      <c r="N60" s="6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7"/>
      <c r="C61" s="6"/>
      <c r="D61" s="12"/>
      <c r="E61" s="12"/>
      <c r="F61" s="12"/>
      <c r="G61" s="12"/>
      <c r="H61" s="12"/>
      <c r="I61" s="12"/>
      <c r="J61" s="12"/>
      <c r="K61" s="6"/>
      <c r="L61" s="6"/>
      <c r="M61" s="6"/>
      <c r="N61" s="6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7"/>
      <c r="C62" s="6"/>
      <c r="D62" s="12"/>
      <c r="E62" s="12"/>
      <c r="F62" s="12"/>
      <c r="G62" s="12"/>
      <c r="H62" s="12"/>
      <c r="I62" s="12"/>
      <c r="J62" s="12"/>
      <c r="K62" s="6"/>
      <c r="L62" s="6"/>
      <c r="M62" s="6"/>
      <c r="N62" s="6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7"/>
      <c r="C63" s="6"/>
      <c r="D63" s="12"/>
      <c r="E63" s="12"/>
      <c r="F63" s="12"/>
      <c r="G63" s="12"/>
      <c r="H63" s="12"/>
      <c r="I63" s="12"/>
      <c r="J63" s="12"/>
      <c r="K63" s="6"/>
      <c r="L63" s="6"/>
      <c r="M63" s="6"/>
      <c r="N63" s="6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7"/>
      <c r="C64" s="6"/>
      <c r="D64" s="12"/>
      <c r="E64" s="12"/>
      <c r="F64" s="12"/>
      <c r="G64" s="12"/>
      <c r="H64" s="12"/>
      <c r="I64" s="12"/>
      <c r="J64" s="12"/>
      <c r="K64" s="6"/>
      <c r="L64" s="6"/>
      <c r="M64" s="6"/>
      <c r="N64" s="6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7"/>
      <c r="C65" s="6"/>
      <c r="D65" s="12"/>
      <c r="E65" s="12"/>
      <c r="F65" s="12"/>
      <c r="G65" s="12"/>
      <c r="H65" s="12"/>
      <c r="I65" s="12"/>
      <c r="J65" s="12"/>
      <c r="K65" s="6"/>
      <c r="L65" s="6"/>
      <c r="M65" s="6"/>
      <c r="N65" s="6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7"/>
      <c r="C66" s="6"/>
      <c r="D66" s="12"/>
      <c r="E66" s="12"/>
      <c r="F66" s="12"/>
      <c r="G66" s="12"/>
      <c r="H66" s="12"/>
      <c r="I66" s="12"/>
      <c r="J66" s="12"/>
      <c r="K66" s="6"/>
      <c r="L66" s="6"/>
      <c r="M66" s="6"/>
      <c r="N66" s="6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7"/>
      <c r="C67" s="6"/>
      <c r="D67" s="12"/>
      <c r="E67" s="12"/>
      <c r="F67" s="12"/>
      <c r="G67" s="12"/>
      <c r="H67" s="12"/>
      <c r="I67" s="12"/>
      <c r="J67" s="12"/>
      <c r="K67" s="6"/>
      <c r="L67" s="6"/>
      <c r="M67" s="6"/>
      <c r="N67" s="6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7"/>
      <c r="C68" s="6"/>
      <c r="D68" s="12"/>
      <c r="E68" s="12"/>
      <c r="F68" s="12"/>
      <c r="G68" s="12"/>
      <c r="H68" s="12"/>
      <c r="I68" s="12"/>
      <c r="J68" s="12"/>
      <c r="K68" s="6"/>
      <c r="L68" s="6"/>
      <c r="M68" s="6"/>
      <c r="N68" s="6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/>
      <c r="B69" s="7"/>
      <c r="C69" s="6"/>
      <c r="D69" s="12"/>
      <c r="E69" s="12"/>
      <c r="F69" s="12"/>
      <c r="G69" s="12"/>
      <c r="H69" s="12"/>
      <c r="I69" s="12"/>
      <c r="J69" s="12"/>
      <c r="K69" s="6"/>
      <c r="L69" s="6"/>
      <c r="M69" s="6"/>
      <c r="N69" s="6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/>
      <c r="B70" s="7"/>
      <c r="C70" s="6"/>
      <c r="D70" s="12"/>
      <c r="E70" s="12"/>
      <c r="F70" s="12"/>
      <c r="G70" s="12"/>
      <c r="H70" s="12"/>
      <c r="I70" s="12"/>
      <c r="J70" s="12"/>
      <c r="K70" s="6"/>
      <c r="L70" s="6"/>
      <c r="M70" s="6"/>
      <c r="N70" s="6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/>
      <c r="B71" s="7"/>
      <c r="C71" s="6"/>
      <c r="D71" s="12"/>
      <c r="E71" s="12"/>
      <c r="F71" s="12"/>
      <c r="G71" s="12"/>
      <c r="H71" s="12"/>
      <c r="I71" s="12"/>
      <c r="J71" s="12"/>
      <c r="K71" s="6"/>
      <c r="L71" s="6"/>
      <c r="M71" s="6"/>
      <c r="N71" s="6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/>
      <c r="B72" s="7"/>
      <c r="C72" s="6"/>
      <c r="D72" s="12"/>
      <c r="E72" s="12"/>
      <c r="F72" s="12"/>
      <c r="G72" s="12"/>
      <c r="H72" s="12"/>
      <c r="I72" s="12"/>
      <c r="J72" s="12"/>
      <c r="K72" s="6"/>
      <c r="L72" s="6"/>
      <c r="M72" s="6"/>
      <c r="N72" s="6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/>
      <c r="B73" s="7"/>
      <c r="C73" s="6"/>
      <c r="D73" s="12"/>
      <c r="E73" s="12"/>
      <c r="F73" s="12"/>
      <c r="G73" s="12"/>
      <c r="H73" s="12"/>
      <c r="I73" s="12"/>
      <c r="J73" s="12"/>
      <c r="K73" s="6"/>
      <c r="L73" s="6"/>
      <c r="M73" s="6"/>
      <c r="N73" s="6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/>
      <c r="B74" s="7"/>
      <c r="C74" s="6"/>
      <c r="D74" s="12"/>
      <c r="E74" s="12"/>
      <c r="F74" s="12"/>
      <c r="G74" s="12"/>
      <c r="H74" s="12"/>
      <c r="I74" s="12"/>
      <c r="J74" s="12"/>
      <c r="K74" s="6"/>
      <c r="L74" s="6"/>
      <c r="M74" s="6"/>
      <c r="N74" s="6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/>
      <c r="B75" s="7"/>
      <c r="C75" s="6"/>
      <c r="D75" s="12"/>
      <c r="E75" s="12"/>
      <c r="F75" s="12"/>
      <c r="G75" s="12"/>
      <c r="H75" s="12"/>
      <c r="I75" s="12"/>
      <c r="J75" s="12"/>
      <c r="K75" s="6"/>
      <c r="L75" s="6"/>
      <c r="M75" s="6"/>
      <c r="N75" s="6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7"/>
      <c r="C76" s="6"/>
      <c r="D76" s="12"/>
      <c r="E76" s="12"/>
      <c r="F76" s="12"/>
      <c r="G76" s="12"/>
      <c r="H76" s="12"/>
      <c r="I76" s="12"/>
      <c r="J76" s="12"/>
      <c r="K76" s="6"/>
      <c r="L76" s="6"/>
      <c r="M76" s="6"/>
      <c r="N76" s="6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/>
      <c r="B77" s="7"/>
      <c r="C77" s="6"/>
      <c r="D77" s="12"/>
      <c r="E77" s="12"/>
      <c r="F77" s="12"/>
      <c r="G77" s="12"/>
      <c r="H77" s="12"/>
      <c r="I77" s="12"/>
      <c r="J77" s="12"/>
      <c r="K77" s="6"/>
      <c r="L77" s="6"/>
      <c r="M77" s="6"/>
      <c r="N77" s="6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7"/>
      <c r="C78" s="6"/>
      <c r="D78" s="12"/>
      <c r="E78" s="12"/>
      <c r="F78" s="12"/>
      <c r="G78" s="12"/>
      <c r="H78" s="12"/>
      <c r="I78" s="12"/>
      <c r="J78" s="12"/>
      <c r="K78" s="6"/>
      <c r="L78" s="6"/>
      <c r="M78" s="6"/>
      <c r="N78" s="6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/>
      <c r="B79" s="7"/>
      <c r="C79" s="6"/>
      <c r="D79" s="12"/>
      <c r="E79" s="12"/>
      <c r="F79" s="12"/>
      <c r="G79" s="12"/>
      <c r="H79" s="12"/>
      <c r="I79" s="12"/>
      <c r="J79" s="12"/>
      <c r="K79" s="6"/>
      <c r="L79" s="6"/>
      <c r="M79" s="6"/>
      <c r="N79" s="6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7"/>
      <c r="C80" s="6"/>
      <c r="D80" s="12"/>
      <c r="E80" s="12"/>
      <c r="F80" s="12"/>
      <c r="G80" s="12"/>
      <c r="H80" s="12"/>
      <c r="I80" s="12"/>
      <c r="J80" s="12"/>
      <c r="K80" s="6"/>
      <c r="L80" s="6"/>
      <c r="M80" s="6"/>
      <c r="N80" s="6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7"/>
      <c r="C81" s="6"/>
      <c r="D81" s="12"/>
      <c r="E81" s="12"/>
      <c r="F81" s="12"/>
      <c r="G81" s="12"/>
      <c r="H81" s="12"/>
      <c r="I81" s="12"/>
      <c r="J81" s="12"/>
      <c r="K81" s="6"/>
      <c r="L81" s="6"/>
      <c r="M81" s="6"/>
      <c r="N81" s="6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7"/>
      <c r="C82" s="6"/>
      <c r="D82" s="12"/>
      <c r="E82" s="12"/>
      <c r="F82" s="12"/>
      <c r="G82" s="12"/>
      <c r="H82" s="12"/>
      <c r="I82" s="12"/>
      <c r="J82" s="12"/>
      <c r="K82" s="6"/>
      <c r="L82" s="6"/>
      <c r="M82" s="6"/>
      <c r="N82" s="6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7"/>
      <c r="C83" s="6"/>
      <c r="D83" s="12"/>
      <c r="E83" s="12"/>
      <c r="F83" s="12"/>
      <c r="G83" s="12"/>
      <c r="H83" s="12"/>
      <c r="I83" s="12"/>
      <c r="J83" s="12"/>
      <c r="K83" s="6"/>
      <c r="L83" s="6"/>
      <c r="M83" s="6"/>
      <c r="N83" s="6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7"/>
      <c r="C84" s="6"/>
      <c r="D84" s="12"/>
      <c r="E84" s="12"/>
      <c r="F84" s="12"/>
      <c r="G84" s="12"/>
      <c r="H84" s="12"/>
      <c r="I84" s="12"/>
      <c r="J84" s="12"/>
      <c r="K84" s="6"/>
      <c r="L84" s="6"/>
      <c r="M84" s="6"/>
      <c r="N84" s="6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7"/>
      <c r="C85" s="6"/>
      <c r="D85" s="12"/>
      <c r="E85" s="12"/>
      <c r="F85" s="12"/>
      <c r="G85" s="12"/>
      <c r="H85" s="12"/>
      <c r="I85" s="12"/>
      <c r="J85" s="12"/>
      <c r="K85" s="6"/>
      <c r="L85" s="6"/>
      <c r="M85" s="6"/>
      <c r="N85" s="6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7"/>
      <c r="C86" s="6"/>
      <c r="D86" s="12"/>
      <c r="E86" s="12"/>
      <c r="F86" s="12"/>
      <c r="G86" s="12"/>
      <c r="H86" s="12"/>
      <c r="I86" s="12"/>
      <c r="J86" s="12"/>
      <c r="K86" s="6"/>
      <c r="L86" s="6"/>
      <c r="M86" s="6"/>
      <c r="N86" s="6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7"/>
      <c r="C87" s="6"/>
      <c r="D87" s="12"/>
      <c r="E87" s="12"/>
      <c r="F87" s="12"/>
      <c r="G87" s="12"/>
      <c r="H87" s="12"/>
      <c r="I87" s="12"/>
      <c r="J87" s="12"/>
      <c r="K87" s="6"/>
      <c r="L87" s="6"/>
      <c r="M87" s="6"/>
      <c r="N87" s="6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7"/>
      <c r="C88" s="6"/>
      <c r="D88" s="12"/>
      <c r="E88" s="12"/>
      <c r="F88" s="12"/>
      <c r="G88" s="12"/>
      <c r="H88" s="12"/>
      <c r="I88" s="12"/>
      <c r="J88" s="12"/>
      <c r="K88" s="6"/>
      <c r="L88" s="6"/>
      <c r="M88" s="6"/>
      <c r="N88" s="6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7"/>
      <c r="C89" s="6"/>
      <c r="D89" s="12"/>
      <c r="E89" s="12"/>
      <c r="F89" s="12"/>
      <c r="G89" s="12"/>
      <c r="H89" s="12"/>
      <c r="I89" s="12"/>
      <c r="J89" s="12"/>
      <c r="K89" s="6"/>
      <c r="L89" s="6"/>
      <c r="M89" s="6"/>
      <c r="N89" s="6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7"/>
      <c r="C90" s="6"/>
      <c r="D90" s="12"/>
      <c r="E90" s="12"/>
      <c r="F90" s="12"/>
      <c r="G90" s="12"/>
      <c r="H90" s="12"/>
      <c r="I90" s="12"/>
      <c r="J90" s="12"/>
      <c r="K90" s="6"/>
      <c r="L90" s="6"/>
      <c r="M90" s="6"/>
      <c r="N90" s="6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7"/>
      <c r="C91" s="6"/>
      <c r="D91" s="12"/>
      <c r="E91" s="12"/>
      <c r="F91" s="12"/>
      <c r="G91" s="12"/>
      <c r="H91" s="12"/>
      <c r="I91" s="12"/>
      <c r="J91" s="12"/>
      <c r="K91" s="6"/>
      <c r="L91" s="6"/>
      <c r="M91" s="6"/>
      <c r="N91" s="6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7"/>
      <c r="C92" s="6"/>
      <c r="D92" s="12"/>
      <c r="E92" s="12"/>
      <c r="F92" s="12"/>
      <c r="G92" s="12"/>
      <c r="H92" s="12"/>
      <c r="I92" s="12"/>
      <c r="J92" s="12"/>
      <c r="K92" s="6"/>
      <c r="L92" s="6"/>
      <c r="M92" s="6"/>
      <c r="N92" s="6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7"/>
      <c r="C93" s="6"/>
      <c r="D93" s="12"/>
      <c r="E93" s="12"/>
      <c r="F93" s="12"/>
      <c r="G93" s="12"/>
      <c r="H93" s="12"/>
      <c r="I93" s="12"/>
      <c r="J93" s="12"/>
      <c r="K93" s="6"/>
      <c r="L93" s="6"/>
      <c r="M93" s="6"/>
      <c r="N93" s="6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7"/>
      <c r="C94" s="6"/>
      <c r="D94" s="12"/>
      <c r="E94" s="12"/>
      <c r="F94" s="12"/>
      <c r="G94" s="12"/>
      <c r="H94" s="12"/>
      <c r="I94" s="12"/>
      <c r="J94" s="12"/>
      <c r="K94" s="6"/>
      <c r="L94" s="6"/>
      <c r="M94" s="6"/>
      <c r="N94" s="6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7"/>
      <c r="C95" s="6"/>
      <c r="D95" s="12"/>
      <c r="E95" s="12"/>
      <c r="F95" s="12"/>
      <c r="G95" s="12"/>
      <c r="H95" s="12"/>
      <c r="I95" s="12"/>
      <c r="J95" s="12"/>
      <c r="K95" s="6"/>
      <c r="L95" s="6"/>
      <c r="M95" s="6"/>
      <c r="N95" s="6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7"/>
      <c r="C96" s="6"/>
      <c r="D96" s="12"/>
      <c r="E96" s="12"/>
      <c r="F96" s="12"/>
      <c r="G96" s="12"/>
      <c r="H96" s="12"/>
      <c r="I96" s="12"/>
      <c r="J96" s="12"/>
      <c r="K96" s="6"/>
      <c r="L96" s="6"/>
      <c r="M96" s="6"/>
      <c r="N96" s="6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7"/>
      <c r="C97" s="6"/>
      <c r="D97" s="12"/>
      <c r="E97" s="12"/>
      <c r="F97" s="12"/>
      <c r="G97" s="12"/>
      <c r="H97" s="12"/>
      <c r="I97" s="12"/>
      <c r="J97" s="12"/>
      <c r="K97" s="6"/>
      <c r="L97" s="6"/>
      <c r="M97" s="6"/>
      <c r="N97" s="6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7"/>
      <c r="C98" s="6"/>
      <c r="D98" s="12"/>
      <c r="E98" s="12"/>
      <c r="F98" s="12"/>
      <c r="G98" s="12"/>
      <c r="H98" s="12"/>
      <c r="I98" s="12"/>
      <c r="J98" s="12"/>
      <c r="K98" s="6"/>
      <c r="L98" s="6"/>
      <c r="M98" s="6"/>
      <c r="N98" s="6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7"/>
      <c r="C99" s="6"/>
      <c r="D99" s="12"/>
      <c r="E99" s="12"/>
      <c r="F99" s="12"/>
      <c r="G99" s="12"/>
      <c r="H99" s="12"/>
      <c r="I99" s="12"/>
      <c r="J99" s="12"/>
      <c r="K99" s="6"/>
      <c r="L99" s="6"/>
      <c r="M99" s="6"/>
      <c r="N99" s="6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7"/>
      <c r="C100" s="6"/>
      <c r="D100" s="12"/>
      <c r="E100" s="12"/>
      <c r="F100" s="12"/>
      <c r="G100" s="12"/>
      <c r="H100" s="12"/>
      <c r="I100" s="12"/>
      <c r="J100" s="12"/>
      <c r="K100" s="6"/>
      <c r="L100" s="6"/>
      <c r="M100" s="6"/>
      <c r="N100" s="6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7"/>
      <c r="C101" s="6"/>
      <c r="D101" s="12"/>
      <c r="E101" s="12"/>
      <c r="F101" s="12"/>
      <c r="G101" s="12"/>
      <c r="H101" s="12"/>
      <c r="I101" s="12"/>
      <c r="J101" s="12"/>
      <c r="K101" s="6"/>
      <c r="L101" s="6"/>
      <c r="M101" s="6"/>
      <c r="N101" s="6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7"/>
      <c r="C102" s="6"/>
      <c r="D102" s="12"/>
      <c r="E102" s="12"/>
      <c r="F102" s="12"/>
      <c r="G102" s="12"/>
      <c r="H102" s="12"/>
      <c r="I102" s="12"/>
      <c r="J102" s="12"/>
      <c r="K102" s="6"/>
      <c r="L102" s="6"/>
      <c r="M102" s="6"/>
      <c r="N102" s="6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7"/>
      <c r="C103" s="6"/>
      <c r="D103" s="12"/>
      <c r="E103" s="12"/>
      <c r="F103" s="12"/>
      <c r="G103" s="12"/>
      <c r="H103" s="12"/>
      <c r="I103" s="12"/>
      <c r="J103" s="12"/>
      <c r="K103" s="6"/>
      <c r="L103" s="6"/>
      <c r="M103" s="6"/>
      <c r="N103" s="6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7"/>
      <c r="C104" s="6"/>
      <c r="D104" s="12"/>
      <c r="E104" s="12"/>
      <c r="F104" s="12"/>
      <c r="G104" s="12"/>
      <c r="H104" s="12"/>
      <c r="I104" s="12"/>
      <c r="J104" s="12"/>
      <c r="K104" s="6"/>
      <c r="L104" s="6"/>
      <c r="M104" s="6"/>
      <c r="N104" s="6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7"/>
      <c r="C105" s="6"/>
      <c r="D105" s="12"/>
      <c r="E105" s="12"/>
      <c r="F105" s="12"/>
      <c r="G105" s="12"/>
      <c r="H105" s="12"/>
      <c r="I105" s="12"/>
      <c r="J105" s="12"/>
      <c r="K105" s="6"/>
      <c r="L105" s="6"/>
      <c r="M105" s="6"/>
      <c r="N105" s="6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7"/>
      <c r="C106" s="6"/>
      <c r="D106" s="12"/>
      <c r="E106" s="12"/>
      <c r="F106" s="12"/>
      <c r="G106" s="12"/>
      <c r="H106" s="12"/>
      <c r="I106" s="12"/>
      <c r="J106" s="12"/>
      <c r="K106" s="6"/>
      <c r="L106" s="6"/>
      <c r="M106" s="6"/>
      <c r="N106" s="6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7"/>
      <c r="C107" s="6"/>
      <c r="D107" s="12"/>
      <c r="E107" s="12"/>
      <c r="F107" s="12"/>
      <c r="G107" s="12"/>
      <c r="H107" s="12"/>
      <c r="I107" s="12"/>
      <c r="J107" s="12"/>
      <c r="K107" s="6"/>
      <c r="L107" s="6"/>
      <c r="M107" s="6"/>
      <c r="N107" s="6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7"/>
      <c r="C108" s="6"/>
      <c r="D108" s="12"/>
      <c r="E108" s="12"/>
      <c r="F108" s="12"/>
      <c r="G108" s="12"/>
      <c r="H108" s="12"/>
      <c r="I108" s="12"/>
      <c r="J108" s="12"/>
      <c r="K108" s="6"/>
      <c r="L108" s="6"/>
      <c r="M108" s="6"/>
      <c r="N108" s="6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7"/>
      <c r="C109" s="6"/>
      <c r="D109" s="12"/>
      <c r="E109" s="12"/>
      <c r="F109" s="12"/>
      <c r="G109" s="12"/>
      <c r="H109" s="12"/>
      <c r="I109" s="12"/>
      <c r="J109" s="12"/>
      <c r="K109" s="6"/>
      <c r="L109" s="6"/>
      <c r="M109" s="6"/>
      <c r="N109" s="6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7"/>
      <c r="C110" s="6"/>
      <c r="D110" s="12"/>
      <c r="E110" s="12"/>
      <c r="F110" s="12"/>
      <c r="G110" s="12"/>
      <c r="H110" s="12"/>
      <c r="I110" s="12"/>
      <c r="J110" s="12"/>
      <c r="K110" s="6"/>
      <c r="L110" s="6"/>
      <c r="M110" s="6"/>
      <c r="N110" s="6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/>
      <c r="B111" s="7"/>
      <c r="C111" s="6"/>
      <c r="D111" s="12"/>
      <c r="E111" s="12"/>
      <c r="F111" s="12"/>
      <c r="G111" s="12"/>
      <c r="H111" s="12"/>
      <c r="I111" s="12"/>
      <c r="J111" s="12"/>
      <c r="K111" s="6"/>
      <c r="L111" s="6"/>
      <c r="M111" s="6"/>
      <c r="N111" s="6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/>
      <c r="B112" s="7"/>
      <c r="C112" s="6"/>
      <c r="D112" s="12"/>
      <c r="E112" s="12"/>
      <c r="F112" s="12"/>
      <c r="G112" s="12"/>
      <c r="H112" s="12"/>
      <c r="I112" s="12"/>
      <c r="J112" s="12"/>
      <c r="K112" s="6"/>
      <c r="L112" s="6"/>
      <c r="M112" s="6"/>
      <c r="N112" s="6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/>
      <c r="B113" s="7"/>
      <c r="C113" s="6"/>
      <c r="D113" s="12"/>
      <c r="E113" s="12"/>
      <c r="F113" s="12"/>
      <c r="G113" s="12"/>
      <c r="H113" s="12"/>
      <c r="I113" s="12"/>
      <c r="J113" s="12"/>
      <c r="K113" s="6"/>
      <c r="L113" s="6"/>
      <c r="M113" s="6"/>
      <c r="N113" s="6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/>
      <c r="B114" s="7"/>
      <c r="C114" s="6"/>
      <c r="D114" s="12"/>
      <c r="E114" s="12"/>
      <c r="F114" s="12"/>
      <c r="G114" s="12"/>
      <c r="H114" s="12"/>
      <c r="I114" s="12"/>
      <c r="J114" s="12"/>
      <c r="K114" s="6"/>
      <c r="L114" s="6"/>
      <c r="M114" s="6"/>
      <c r="N114" s="6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/>
      <c r="B115" s="7"/>
      <c r="C115" s="6"/>
      <c r="D115" s="12"/>
      <c r="E115" s="12"/>
      <c r="F115" s="12"/>
      <c r="G115" s="12"/>
      <c r="H115" s="12"/>
      <c r="I115" s="12"/>
      <c r="J115" s="12"/>
      <c r="K115" s="6"/>
      <c r="L115" s="6"/>
      <c r="M115" s="6"/>
      <c r="N115" s="6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/>
      <c r="B116" s="7"/>
      <c r="C116" s="6"/>
      <c r="D116" s="12"/>
      <c r="E116" s="12"/>
      <c r="F116" s="12"/>
      <c r="G116" s="12"/>
      <c r="H116" s="12"/>
      <c r="I116" s="12"/>
      <c r="J116" s="12"/>
      <c r="K116" s="6"/>
      <c r="L116" s="6"/>
      <c r="M116" s="6"/>
      <c r="N116" s="6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/>
      <c r="B117" s="7"/>
      <c r="C117" s="6"/>
      <c r="D117" s="12"/>
      <c r="E117" s="12"/>
      <c r="F117" s="12"/>
      <c r="G117" s="12"/>
      <c r="H117" s="12"/>
      <c r="I117" s="12"/>
      <c r="J117" s="12"/>
      <c r="K117" s="6"/>
      <c r="L117" s="6"/>
      <c r="M117" s="6"/>
      <c r="N117" s="6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/>
      <c r="B118" s="7"/>
      <c r="C118" s="6"/>
      <c r="D118" s="12"/>
      <c r="E118" s="12"/>
      <c r="F118" s="12"/>
      <c r="G118" s="12"/>
      <c r="H118" s="12"/>
      <c r="I118" s="12"/>
      <c r="J118" s="12"/>
      <c r="K118" s="6"/>
      <c r="L118" s="6"/>
      <c r="M118" s="6"/>
      <c r="N118" s="6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/>
      <c r="B119" s="7"/>
      <c r="C119" s="6"/>
      <c r="D119" s="12"/>
      <c r="E119" s="12"/>
      <c r="F119" s="12"/>
      <c r="G119" s="12"/>
      <c r="H119" s="12"/>
      <c r="I119" s="12"/>
      <c r="J119" s="12"/>
      <c r="K119" s="6"/>
      <c r="L119" s="6"/>
      <c r="M119" s="6"/>
      <c r="N119" s="6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/>
      <c r="B120" s="7"/>
      <c r="C120" s="6"/>
      <c r="D120" s="12"/>
      <c r="E120" s="12"/>
      <c r="F120" s="12"/>
      <c r="G120" s="12"/>
      <c r="H120" s="12"/>
      <c r="I120" s="12"/>
      <c r="J120" s="12"/>
      <c r="K120" s="6"/>
      <c r="L120" s="6"/>
      <c r="M120" s="6"/>
      <c r="N120" s="6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/>
      <c r="B121" s="7"/>
      <c r="C121" s="6"/>
      <c r="D121" s="12"/>
      <c r="E121" s="12"/>
      <c r="F121" s="12"/>
      <c r="G121" s="12"/>
      <c r="H121" s="12"/>
      <c r="I121" s="12"/>
      <c r="J121" s="12"/>
      <c r="K121" s="6"/>
      <c r="L121" s="6"/>
      <c r="M121" s="6"/>
      <c r="N121" s="6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/>
      <c r="B122" s="7"/>
      <c r="C122" s="6"/>
      <c r="D122" s="12"/>
      <c r="E122" s="12"/>
      <c r="F122" s="12"/>
      <c r="G122" s="12"/>
      <c r="H122" s="12"/>
      <c r="I122" s="12"/>
      <c r="J122" s="12"/>
      <c r="K122" s="6"/>
      <c r="L122" s="6"/>
      <c r="M122" s="6"/>
      <c r="N122" s="6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/>
      <c r="B123" s="7"/>
      <c r="C123" s="6"/>
      <c r="D123" s="12"/>
      <c r="E123" s="12"/>
      <c r="F123" s="12"/>
      <c r="G123" s="12"/>
      <c r="H123" s="12"/>
      <c r="I123" s="12"/>
      <c r="J123" s="12"/>
      <c r="K123" s="6"/>
      <c r="L123" s="6"/>
      <c r="M123" s="6"/>
      <c r="N123" s="6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/>
      <c r="B124" s="7"/>
      <c r="C124" s="6"/>
      <c r="D124" s="12"/>
      <c r="E124" s="12"/>
      <c r="F124" s="12"/>
      <c r="G124" s="12"/>
      <c r="H124" s="12"/>
      <c r="I124" s="12"/>
      <c r="J124" s="12"/>
      <c r="K124" s="6"/>
      <c r="L124" s="6"/>
      <c r="M124" s="6"/>
      <c r="N124" s="6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/>
      <c r="B125" s="7"/>
      <c r="C125" s="6"/>
      <c r="D125" s="12"/>
      <c r="E125" s="12"/>
      <c r="F125" s="12"/>
      <c r="G125" s="12"/>
      <c r="H125" s="12"/>
      <c r="I125" s="12"/>
      <c r="J125" s="12"/>
      <c r="K125" s="6"/>
      <c r="L125" s="6"/>
      <c r="M125" s="6"/>
      <c r="N125" s="6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/>
      <c r="B126" s="7"/>
      <c r="C126" s="6"/>
      <c r="D126" s="12"/>
      <c r="E126" s="12"/>
      <c r="F126" s="12"/>
      <c r="G126" s="12"/>
      <c r="H126" s="12"/>
      <c r="I126" s="12"/>
      <c r="J126" s="12"/>
      <c r="K126" s="6"/>
      <c r="L126" s="6"/>
      <c r="M126" s="6"/>
      <c r="N126" s="6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/>
      <c r="B127" s="7"/>
      <c r="C127" s="6"/>
      <c r="D127" s="12"/>
      <c r="E127" s="12"/>
      <c r="F127" s="12"/>
      <c r="G127" s="12"/>
      <c r="H127" s="12"/>
      <c r="I127" s="12"/>
      <c r="J127" s="12"/>
      <c r="K127" s="6"/>
      <c r="L127" s="6"/>
      <c r="M127" s="6"/>
      <c r="N127" s="6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/>
      <c r="B128" s="7"/>
      <c r="C128" s="6"/>
      <c r="D128" s="12"/>
      <c r="E128" s="12"/>
      <c r="F128" s="12"/>
      <c r="G128" s="12"/>
      <c r="H128" s="12"/>
      <c r="I128" s="12"/>
      <c r="J128" s="12"/>
      <c r="K128" s="6"/>
      <c r="L128" s="6"/>
      <c r="M128" s="6"/>
      <c r="N128" s="6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/>
      <c r="B129" s="7"/>
      <c r="C129" s="6"/>
      <c r="D129" s="12"/>
      <c r="E129" s="12"/>
      <c r="F129" s="12"/>
      <c r="G129" s="12"/>
      <c r="H129" s="12"/>
      <c r="I129" s="12"/>
      <c r="J129" s="12"/>
      <c r="K129" s="6"/>
      <c r="L129" s="6"/>
      <c r="M129" s="6"/>
      <c r="N129" s="6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/>
      <c r="B130" s="7"/>
      <c r="C130" s="6"/>
      <c r="D130" s="12"/>
      <c r="E130" s="12"/>
      <c r="F130" s="12"/>
      <c r="G130" s="12"/>
      <c r="H130" s="12"/>
      <c r="I130" s="12"/>
      <c r="J130" s="12"/>
      <c r="K130" s="6"/>
      <c r="L130" s="6"/>
      <c r="M130" s="6"/>
      <c r="N130" s="6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/>
      <c r="B131" s="7"/>
      <c r="C131" s="6"/>
      <c r="D131" s="12"/>
      <c r="E131" s="12"/>
      <c r="F131" s="12"/>
      <c r="G131" s="12"/>
      <c r="H131" s="12"/>
      <c r="I131" s="12"/>
      <c r="J131" s="12"/>
      <c r="K131" s="6"/>
      <c r="L131" s="6"/>
      <c r="M131" s="6"/>
      <c r="N131" s="6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/>
      <c r="B132" s="7"/>
      <c r="C132" s="6"/>
      <c r="D132" s="12"/>
      <c r="E132" s="12"/>
      <c r="F132" s="12"/>
      <c r="G132" s="12"/>
      <c r="H132" s="12"/>
      <c r="I132" s="12"/>
      <c r="J132" s="12"/>
      <c r="K132" s="6"/>
      <c r="L132" s="6"/>
      <c r="M132" s="6"/>
      <c r="N132" s="6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/>
      <c r="B133" s="7"/>
      <c r="C133" s="6"/>
      <c r="D133" s="12"/>
      <c r="E133" s="12"/>
      <c r="F133" s="12"/>
      <c r="G133" s="12"/>
      <c r="H133" s="12"/>
      <c r="I133" s="12"/>
      <c r="J133" s="12"/>
      <c r="K133" s="6"/>
      <c r="L133" s="6"/>
      <c r="M133" s="6"/>
      <c r="N133" s="6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/>
      <c r="B134" s="7"/>
      <c r="C134" s="6"/>
      <c r="D134" s="12"/>
      <c r="E134" s="12"/>
      <c r="F134" s="12"/>
      <c r="G134" s="12"/>
      <c r="H134" s="12"/>
      <c r="I134" s="12"/>
      <c r="J134" s="12"/>
      <c r="K134" s="6"/>
      <c r="L134" s="6"/>
      <c r="M134" s="6"/>
      <c r="N134" s="6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/>
      <c r="B135" s="7"/>
      <c r="C135" s="6"/>
      <c r="D135" s="12"/>
      <c r="E135" s="12"/>
      <c r="F135" s="12"/>
      <c r="G135" s="12"/>
      <c r="H135" s="12"/>
      <c r="I135" s="12"/>
      <c r="J135" s="12"/>
      <c r="K135" s="6"/>
      <c r="L135" s="6"/>
      <c r="M135" s="6"/>
      <c r="N135" s="6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/>
      <c r="B136" s="7"/>
      <c r="C136" s="6"/>
      <c r="D136" s="12"/>
      <c r="E136" s="12"/>
      <c r="F136" s="12"/>
      <c r="G136" s="12"/>
      <c r="H136" s="12"/>
      <c r="I136" s="12"/>
      <c r="J136" s="12"/>
      <c r="K136" s="6"/>
      <c r="L136" s="6"/>
      <c r="M136" s="6"/>
      <c r="N136" s="6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/>
      <c r="B137" s="7"/>
      <c r="C137" s="6"/>
      <c r="D137" s="12"/>
      <c r="E137" s="12"/>
      <c r="F137" s="12"/>
      <c r="G137" s="12"/>
      <c r="H137" s="12"/>
      <c r="I137" s="12"/>
      <c r="J137" s="12"/>
      <c r="K137" s="6"/>
      <c r="L137" s="6"/>
      <c r="M137" s="6"/>
      <c r="N137" s="6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7"/>
      <c r="C138" s="6"/>
      <c r="D138" s="12"/>
      <c r="E138" s="12"/>
      <c r="F138" s="12"/>
      <c r="G138" s="12"/>
      <c r="H138" s="12"/>
      <c r="I138" s="12"/>
      <c r="J138" s="12"/>
      <c r="K138" s="6"/>
      <c r="L138" s="6"/>
      <c r="M138" s="6"/>
      <c r="N138" s="6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7"/>
      <c r="C139" s="6"/>
      <c r="D139" s="12"/>
      <c r="E139" s="12"/>
      <c r="F139" s="12"/>
      <c r="G139" s="12"/>
      <c r="H139" s="12"/>
      <c r="I139" s="12"/>
      <c r="J139" s="12"/>
      <c r="K139" s="6"/>
      <c r="L139" s="6"/>
      <c r="M139" s="6"/>
      <c r="N139" s="6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7"/>
      <c r="C140" s="6"/>
      <c r="D140" s="12"/>
      <c r="E140" s="12"/>
      <c r="F140" s="12"/>
      <c r="G140" s="12"/>
      <c r="H140" s="12"/>
      <c r="I140" s="12"/>
      <c r="J140" s="12"/>
      <c r="K140" s="6"/>
      <c r="L140" s="6"/>
      <c r="M140" s="6"/>
      <c r="N140" s="6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7"/>
      <c r="C141" s="6"/>
      <c r="D141" s="12"/>
      <c r="E141" s="12"/>
      <c r="F141" s="12"/>
      <c r="G141" s="12"/>
      <c r="H141" s="12"/>
      <c r="I141" s="12"/>
      <c r="J141" s="12"/>
      <c r="K141" s="6"/>
      <c r="L141" s="6"/>
      <c r="M141" s="6"/>
      <c r="N141" s="6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/>
      <c r="B142" s="7"/>
      <c r="C142" s="6"/>
      <c r="D142" s="12"/>
      <c r="E142" s="12"/>
      <c r="F142" s="12"/>
      <c r="G142" s="12"/>
      <c r="H142" s="12"/>
      <c r="I142" s="12"/>
      <c r="J142" s="12"/>
      <c r="K142" s="6"/>
      <c r="L142" s="6"/>
      <c r="M142" s="6"/>
      <c r="N142" s="6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7"/>
      <c r="C143" s="6"/>
      <c r="D143" s="12"/>
      <c r="E143" s="12"/>
      <c r="F143" s="12"/>
      <c r="G143" s="12"/>
      <c r="H143" s="12"/>
      <c r="I143" s="12"/>
      <c r="J143" s="12"/>
      <c r="K143" s="6"/>
      <c r="L143" s="6"/>
      <c r="M143" s="6"/>
      <c r="N143" s="6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7"/>
      <c r="C144" s="6"/>
      <c r="D144" s="12"/>
      <c r="E144" s="12"/>
      <c r="F144" s="12"/>
      <c r="G144" s="12"/>
      <c r="H144" s="12"/>
      <c r="I144" s="12"/>
      <c r="J144" s="12"/>
      <c r="K144" s="6"/>
      <c r="L144" s="6"/>
      <c r="M144" s="6"/>
      <c r="N144" s="6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7"/>
      <c r="C145" s="6"/>
      <c r="D145" s="12"/>
      <c r="E145" s="12"/>
      <c r="F145" s="12"/>
      <c r="G145" s="12"/>
      <c r="H145" s="12"/>
      <c r="I145" s="12"/>
      <c r="J145" s="12"/>
      <c r="K145" s="6"/>
      <c r="L145" s="6"/>
      <c r="M145" s="6"/>
      <c r="N145" s="6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/>
      <c r="B146" s="7"/>
      <c r="C146" s="6"/>
      <c r="D146" s="12"/>
      <c r="E146" s="12"/>
      <c r="F146" s="12"/>
      <c r="G146" s="12"/>
      <c r="H146" s="12"/>
      <c r="I146" s="12"/>
      <c r="J146" s="12"/>
      <c r="K146" s="6"/>
      <c r="L146" s="6"/>
      <c r="M146" s="6"/>
      <c r="N146" s="6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/>
      <c r="B147" s="7"/>
      <c r="C147" s="6"/>
      <c r="D147" s="12"/>
      <c r="E147" s="12"/>
      <c r="F147" s="12"/>
      <c r="G147" s="12"/>
      <c r="H147" s="12"/>
      <c r="I147" s="12"/>
      <c r="J147" s="12"/>
      <c r="K147" s="6"/>
      <c r="L147" s="6"/>
      <c r="M147" s="6"/>
      <c r="N147" s="6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/>
      <c r="B148" s="7"/>
      <c r="C148" s="6"/>
      <c r="D148" s="12"/>
      <c r="E148" s="12"/>
      <c r="F148" s="12"/>
      <c r="G148" s="12"/>
      <c r="H148" s="12"/>
      <c r="I148" s="12"/>
      <c r="J148" s="12"/>
      <c r="K148" s="6"/>
      <c r="L148" s="6"/>
      <c r="M148" s="6"/>
      <c r="N148" s="6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/>
      <c r="B149" s="7"/>
      <c r="C149" s="6"/>
      <c r="D149" s="12"/>
      <c r="E149" s="12"/>
      <c r="F149" s="12"/>
      <c r="G149" s="12"/>
      <c r="H149" s="12"/>
      <c r="I149" s="12"/>
      <c r="J149" s="12"/>
      <c r="K149" s="6"/>
      <c r="L149" s="6"/>
      <c r="M149" s="6"/>
      <c r="N149" s="6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/>
      <c r="B150" s="7"/>
      <c r="C150" s="6"/>
      <c r="D150" s="12"/>
      <c r="E150" s="12"/>
      <c r="F150" s="12"/>
      <c r="G150" s="12"/>
      <c r="H150" s="12"/>
      <c r="I150" s="12"/>
      <c r="J150" s="12"/>
      <c r="K150" s="6"/>
      <c r="L150" s="6"/>
      <c r="M150" s="6"/>
      <c r="N150" s="6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/>
      <c r="B151" s="7"/>
      <c r="C151" s="6"/>
      <c r="D151" s="12"/>
      <c r="E151" s="12"/>
      <c r="F151" s="12"/>
      <c r="G151" s="12"/>
      <c r="H151" s="12"/>
      <c r="I151" s="12"/>
      <c r="J151" s="12"/>
      <c r="K151" s="6"/>
      <c r="L151" s="6"/>
      <c r="M151" s="6"/>
      <c r="N151" s="6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/>
      <c r="B152" s="7"/>
      <c r="C152" s="6"/>
      <c r="D152" s="12"/>
      <c r="E152" s="12"/>
      <c r="F152" s="12"/>
      <c r="G152" s="12"/>
      <c r="H152" s="12"/>
      <c r="I152" s="12"/>
      <c r="J152" s="12"/>
      <c r="K152" s="6"/>
      <c r="L152" s="6"/>
      <c r="M152" s="6"/>
      <c r="N152" s="6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/>
      <c r="B153" s="7"/>
      <c r="C153" s="6"/>
      <c r="D153" s="12"/>
      <c r="E153" s="12"/>
      <c r="F153" s="12"/>
      <c r="G153" s="12"/>
      <c r="H153" s="12"/>
      <c r="I153" s="12"/>
      <c r="J153" s="12"/>
      <c r="K153" s="6"/>
      <c r="L153" s="6"/>
      <c r="M153" s="6"/>
      <c r="N153" s="6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/>
      <c r="B154" s="7"/>
      <c r="C154" s="6"/>
      <c r="D154" s="12"/>
      <c r="E154" s="12"/>
      <c r="F154" s="12"/>
      <c r="G154" s="12"/>
      <c r="H154" s="12"/>
      <c r="I154" s="12"/>
      <c r="J154" s="12"/>
      <c r="K154" s="6"/>
      <c r="L154" s="6"/>
      <c r="M154" s="6"/>
      <c r="N154" s="6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/>
      <c r="B155" s="7"/>
      <c r="C155" s="6"/>
      <c r="D155" s="12"/>
      <c r="E155" s="12"/>
      <c r="F155" s="12"/>
      <c r="G155" s="12"/>
      <c r="H155" s="12"/>
      <c r="I155" s="12"/>
      <c r="J155" s="12"/>
      <c r="K155" s="6"/>
      <c r="L155" s="6"/>
      <c r="M155" s="6"/>
      <c r="N155" s="6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/>
      <c r="B156" s="7"/>
      <c r="C156" s="6"/>
      <c r="D156" s="12"/>
      <c r="E156" s="12"/>
      <c r="F156" s="12"/>
      <c r="G156" s="12"/>
      <c r="H156" s="12"/>
      <c r="I156" s="12"/>
      <c r="J156" s="12"/>
      <c r="K156" s="6"/>
      <c r="L156" s="6"/>
      <c r="M156" s="6"/>
      <c r="N156" s="6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/>
      <c r="B157" s="7"/>
      <c r="C157" s="6"/>
      <c r="D157" s="12"/>
      <c r="E157" s="12"/>
      <c r="F157" s="12"/>
      <c r="G157" s="12"/>
      <c r="H157" s="12"/>
      <c r="I157" s="12"/>
      <c r="J157" s="12"/>
      <c r="K157" s="6"/>
      <c r="L157" s="6"/>
      <c r="M157" s="6"/>
      <c r="N157" s="6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/>
      <c r="B158" s="7"/>
      <c r="C158" s="6"/>
      <c r="D158" s="12"/>
      <c r="E158" s="12"/>
      <c r="F158" s="12"/>
      <c r="G158" s="12"/>
      <c r="H158" s="12"/>
      <c r="I158" s="12"/>
      <c r="J158" s="12"/>
      <c r="K158" s="6"/>
      <c r="L158" s="6"/>
      <c r="M158" s="6"/>
      <c r="N158" s="6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/>
      <c r="B159" s="7"/>
      <c r="C159" s="6"/>
      <c r="D159" s="12"/>
      <c r="E159" s="12"/>
      <c r="F159" s="12"/>
      <c r="G159" s="12"/>
      <c r="H159" s="12"/>
      <c r="I159" s="12"/>
      <c r="J159" s="12"/>
      <c r="K159" s="6"/>
      <c r="L159" s="6"/>
      <c r="M159" s="6"/>
      <c r="N159" s="6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/>
      <c r="B160" s="7"/>
      <c r="C160" s="6"/>
      <c r="D160" s="12"/>
      <c r="E160" s="12"/>
      <c r="F160" s="12"/>
      <c r="G160" s="12"/>
      <c r="H160" s="12"/>
      <c r="I160" s="12"/>
      <c r="J160" s="12"/>
      <c r="K160" s="6"/>
      <c r="L160" s="6"/>
      <c r="M160" s="6"/>
      <c r="N160" s="6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/>
      <c r="B161" s="7"/>
      <c r="C161" s="6"/>
      <c r="D161" s="12"/>
      <c r="E161" s="12"/>
      <c r="F161" s="12"/>
      <c r="G161" s="12"/>
      <c r="H161" s="12"/>
      <c r="I161" s="12"/>
      <c r="J161" s="12"/>
      <c r="K161" s="6"/>
      <c r="L161" s="6"/>
      <c r="M161" s="6"/>
      <c r="N161" s="6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/>
      <c r="B162" s="7"/>
      <c r="C162" s="6"/>
      <c r="D162" s="12"/>
      <c r="E162" s="12"/>
      <c r="F162" s="12"/>
      <c r="G162" s="12"/>
      <c r="H162" s="12"/>
      <c r="I162" s="12"/>
      <c r="J162" s="12"/>
      <c r="K162" s="6"/>
      <c r="L162" s="6"/>
      <c r="M162" s="6"/>
      <c r="N162" s="6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/>
      <c r="B163" s="7"/>
      <c r="C163" s="6"/>
      <c r="D163" s="12"/>
      <c r="E163" s="12"/>
      <c r="F163" s="12"/>
      <c r="G163" s="12"/>
      <c r="H163" s="12"/>
      <c r="I163" s="12"/>
      <c r="J163" s="12"/>
      <c r="K163" s="6"/>
      <c r="L163" s="6"/>
      <c r="M163" s="6"/>
      <c r="N163" s="6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/>
      <c r="B164" s="7"/>
      <c r="C164" s="6"/>
      <c r="D164" s="12"/>
      <c r="E164" s="12"/>
      <c r="F164" s="12"/>
      <c r="G164" s="12"/>
      <c r="H164" s="12"/>
      <c r="I164" s="12"/>
      <c r="J164" s="12"/>
      <c r="K164" s="6"/>
      <c r="L164" s="6"/>
      <c r="M164" s="6"/>
      <c r="N164" s="6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7"/>
      <c r="C165" s="6"/>
      <c r="D165" s="12"/>
      <c r="E165" s="12"/>
      <c r="F165" s="12"/>
      <c r="G165" s="12"/>
      <c r="H165" s="12"/>
      <c r="I165" s="12"/>
      <c r="J165" s="12"/>
      <c r="K165" s="6"/>
      <c r="L165" s="6"/>
      <c r="M165" s="6"/>
      <c r="N165" s="6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7"/>
      <c r="C166" s="6"/>
      <c r="D166" s="12"/>
      <c r="E166" s="12"/>
      <c r="F166" s="12"/>
      <c r="G166" s="12"/>
      <c r="H166" s="12"/>
      <c r="I166" s="12"/>
      <c r="J166" s="12"/>
      <c r="K166" s="6"/>
      <c r="L166" s="6"/>
      <c r="M166" s="6"/>
      <c r="N166" s="6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/>
      <c r="B167" s="7"/>
      <c r="C167" s="6"/>
      <c r="D167" s="12"/>
      <c r="E167" s="12"/>
      <c r="F167" s="12"/>
      <c r="G167" s="12"/>
      <c r="H167" s="12"/>
      <c r="I167" s="12"/>
      <c r="J167" s="12"/>
      <c r="K167" s="6"/>
      <c r="L167" s="6"/>
      <c r="M167" s="6"/>
      <c r="N167" s="6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/>
      <c r="B168" s="7"/>
      <c r="C168" s="6"/>
      <c r="D168" s="12"/>
      <c r="E168" s="12"/>
      <c r="F168" s="12"/>
      <c r="G168" s="12"/>
      <c r="H168" s="12"/>
      <c r="I168" s="12"/>
      <c r="J168" s="12"/>
      <c r="K168" s="6"/>
      <c r="L168" s="6"/>
      <c r="M168" s="6"/>
      <c r="N168" s="6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/>
      <c r="B169" s="7"/>
      <c r="C169" s="6"/>
      <c r="D169" s="12"/>
      <c r="E169" s="12"/>
      <c r="F169" s="12"/>
      <c r="G169" s="12"/>
      <c r="H169" s="12"/>
      <c r="I169" s="12"/>
      <c r="J169" s="12"/>
      <c r="K169" s="6"/>
      <c r="L169" s="6"/>
      <c r="M169" s="6"/>
      <c r="N169" s="6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/>
      <c r="B170" s="7"/>
      <c r="C170" s="6"/>
      <c r="D170" s="12"/>
      <c r="E170" s="12"/>
      <c r="F170" s="12"/>
      <c r="G170" s="12"/>
      <c r="H170" s="12"/>
      <c r="I170" s="12"/>
      <c r="J170" s="12"/>
      <c r="K170" s="6"/>
      <c r="L170" s="6"/>
      <c r="M170" s="6"/>
      <c r="N170" s="6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/>
      <c r="B171" s="7"/>
      <c r="C171" s="6"/>
      <c r="D171" s="12"/>
      <c r="E171" s="12"/>
      <c r="F171" s="12"/>
      <c r="G171" s="12"/>
      <c r="H171" s="12"/>
      <c r="I171" s="12"/>
      <c r="J171" s="12"/>
      <c r="K171" s="6"/>
      <c r="L171" s="6"/>
      <c r="M171" s="6"/>
      <c r="N171" s="6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/>
      <c r="B172" s="7"/>
      <c r="C172" s="6"/>
      <c r="D172" s="12"/>
      <c r="E172" s="12"/>
      <c r="F172" s="12"/>
      <c r="G172" s="12"/>
      <c r="H172" s="12"/>
      <c r="I172" s="12"/>
      <c r="J172" s="12"/>
      <c r="K172" s="6"/>
      <c r="L172" s="6"/>
      <c r="M172" s="6"/>
      <c r="N172" s="6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/>
      <c r="B173" s="7"/>
      <c r="C173" s="6"/>
      <c r="D173" s="12"/>
      <c r="E173" s="12"/>
      <c r="F173" s="12"/>
      <c r="G173" s="12"/>
      <c r="H173" s="12"/>
      <c r="I173" s="12"/>
      <c r="J173" s="12"/>
      <c r="K173" s="6"/>
      <c r="L173" s="6"/>
      <c r="M173" s="6"/>
      <c r="N173" s="6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/>
      <c r="B174" s="7"/>
      <c r="C174" s="6"/>
      <c r="D174" s="12"/>
      <c r="E174" s="12"/>
      <c r="F174" s="12"/>
      <c r="G174" s="12"/>
      <c r="H174" s="12"/>
      <c r="I174" s="12"/>
      <c r="J174" s="12"/>
      <c r="K174" s="6"/>
      <c r="L174" s="6"/>
      <c r="M174" s="6"/>
      <c r="N174" s="6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/>
      <c r="B175" s="7"/>
      <c r="C175" s="6"/>
      <c r="D175" s="12"/>
      <c r="E175" s="12"/>
      <c r="F175" s="12"/>
      <c r="G175" s="12"/>
      <c r="H175" s="12"/>
      <c r="I175" s="12"/>
      <c r="J175" s="12"/>
      <c r="K175" s="6"/>
      <c r="L175" s="6"/>
      <c r="M175" s="6"/>
      <c r="N175" s="6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/>
      <c r="B176" s="7"/>
      <c r="C176" s="6"/>
      <c r="D176" s="12"/>
      <c r="E176" s="12"/>
      <c r="F176" s="12"/>
      <c r="G176" s="12"/>
      <c r="H176" s="12"/>
      <c r="I176" s="12"/>
      <c r="J176" s="12"/>
      <c r="K176" s="6"/>
      <c r="L176" s="6"/>
      <c r="M176" s="6"/>
      <c r="N176" s="6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/>
      <c r="B177" s="7"/>
      <c r="C177" s="6"/>
      <c r="D177" s="12"/>
      <c r="E177" s="12"/>
      <c r="F177" s="12"/>
      <c r="G177" s="12"/>
      <c r="H177" s="12"/>
      <c r="I177" s="12"/>
      <c r="J177" s="12"/>
      <c r="K177" s="6"/>
      <c r="L177" s="6"/>
      <c r="M177" s="6"/>
      <c r="N177" s="6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/>
      <c r="B178" s="7"/>
      <c r="C178" s="6"/>
      <c r="D178" s="12"/>
      <c r="E178" s="12"/>
      <c r="F178" s="12"/>
      <c r="G178" s="12"/>
      <c r="H178" s="12"/>
      <c r="I178" s="12"/>
      <c r="J178" s="12"/>
      <c r="K178" s="6"/>
      <c r="L178" s="6"/>
      <c r="M178" s="6"/>
      <c r="N178" s="6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/>
      <c r="B179" s="7"/>
      <c r="C179" s="6"/>
      <c r="D179" s="12"/>
      <c r="E179" s="12"/>
      <c r="F179" s="12"/>
      <c r="G179" s="12"/>
      <c r="H179" s="12"/>
      <c r="I179" s="12"/>
      <c r="J179" s="12"/>
      <c r="K179" s="6"/>
      <c r="L179" s="6"/>
      <c r="M179" s="6"/>
      <c r="N179" s="6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7"/>
      <c r="C180" s="6"/>
      <c r="D180" s="12"/>
      <c r="E180" s="12"/>
      <c r="F180" s="12"/>
      <c r="G180" s="12"/>
      <c r="H180" s="12"/>
      <c r="I180" s="12"/>
      <c r="J180" s="12"/>
      <c r="K180" s="6"/>
      <c r="L180" s="6"/>
      <c r="M180" s="6"/>
      <c r="N180" s="6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7"/>
      <c r="C181" s="6"/>
      <c r="D181" s="12"/>
      <c r="E181" s="12"/>
      <c r="F181" s="12"/>
      <c r="G181" s="12"/>
      <c r="H181" s="12"/>
      <c r="I181" s="12"/>
      <c r="J181" s="12"/>
      <c r="K181" s="6"/>
      <c r="L181" s="6"/>
      <c r="M181" s="6"/>
      <c r="N181" s="6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/>
      <c r="B182" s="7"/>
      <c r="C182" s="6"/>
      <c r="D182" s="12"/>
      <c r="E182" s="12"/>
      <c r="F182" s="12"/>
      <c r="G182" s="12"/>
      <c r="H182" s="12"/>
      <c r="I182" s="12"/>
      <c r="J182" s="12"/>
      <c r="K182" s="6"/>
      <c r="L182" s="6"/>
      <c r="M182" s="6"/>
      <c r="N182" s="6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7"/>
      <c r="C183" s="6"/>
      <c r="D183" s="12"/>
      <c r="E183" s="12"/>
      <c r="F183" s="12"/>
      <c r="G183" s="12"/>
      <c r="H183" s="12"/>
      <c r="I183" s="12"/>
      <c r="J183" s="12"/>
      <c r="K183" s="6"/>
      <c r="L183" s="6"/>
      <c r="M183" s="6"/>
      <c r="N183" s="6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7"/>
      <c r="C184" s="6"/>
      <c r="D184" s="12"/>
      <c r="E184" s="12"/>
      <c r="F184" s="12"/>
      <c r="G184" s="12"/>
      <c r="H184" s="12"/>
      <c r="I184" s="12"/>
      <c r="J184" s="12"/>
      <c r="K184" s="6"/>
      <c r="L184" s="6"/>
      <c r="M184" s="6"/>
      <c r="N184" s="6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7"/>
      <c r="C185" s="6"/>
      <c r="D185" s="12"/>
      <c r="E185" s="12"/>
      <c r="F185" s="12"/>
      <c r="G185" s="12"/>
      <c r="H185" s="12"/>
      <c r="I185" s="12"/>
      <c r="J185" s="12"/>
      <c r="K185" s="6"/>
      <c r="L185" s="6"/>
      <c r="M185" s="6"/>
      <c r="N185" s="6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7"/>
      <c r="C186" s="6"/>
      <c r="D186" s="12"/>
      <c r="E186" s="12"/>
      <c r="F186" s="12"/>
      <c r="G186" s="12"/>
      <c r="H186" s="12"/>
      <c r="I186" s="12"/>
      <c r="J186" s="12"/>
      <c r="K186" s="6"/>
      <c r="L186" s="6"/>
      <c r="M186" s="6"/>
      <c r="N186" s="6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7"/>
      <c r="C187" s="6"/>
      <c r="D187" s="12"/>
      <c r="E187" s="12"/>
      <c r="F187" s="12"/>
      <c r="G187" s="12"/>
      <c r="H187" s="12"/>
      <c r="I187" s="12"/>
      <c r="J187" s="12"/>
      <c r="K187" s="6"/>
      <c r="L187" s="6"/>
      <c r="M187" s="6"/>
      <c r="N187" s="6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7"/>
      <c r="C188" s="6"/>
      <c r="D188" s="12"/>
      <c r="E188" s="12"/>
      <c r="F188" s="12"/>
      <c r="G188" s="12"/>
      <c r="H188" s="12"/>
      <c r="I188" s="12"/>
      <c r="J188" s="12"/>
      <c r="K188" s="6"/>
      <c r="L188" s="6"/>
      <c r="M188" s="6"/>
      <c r="N188" s="6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7"/>
      <c r="C189" s="6"/>
      <c r="D189" s="12"/>
      <c r="E189" s="12"/>
      <c r="F189" s="12"/>
      <c r="G189" s="12"/>
      <c r="H189" s="12"/>
      <c r="I189" s="12"/>
      <c r="J189" s="12"/>
      <c r="K189" s="6"/>
      <c r="L189" s="6"/>
      <c r="M189" s="6"/>
      <c r="N189" s="6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/>
      <c r="B190" s="7"/>
      <c r="C190" s="6"/>
      <c r="D190" s="12"/>
      <c r="E190" s="12"/>
      <c r="F190" s="12"/>
      <c r="G190" s="12"/>
      <c r="H190" s="12"/>
      <c r="I190" s="12"/>
      <c r="J190" s="12"/>
      <c r="K190" s="6"/>
      <c r="L190" s="6"/>
      <c r="M190" s="6"/>
      <c r="N190" s="6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/>
      <c r="B191" s="7"/>
      <c r="C191" s="6"/>
      <c r="D191" s="12"/>
      <c r="E191" s="12"/>
      <c r="F191" s="12"/>
      <c r="G191" s="12"/>
      <c r="H191" s="12"/>
      <c r="I191" s="12"/>
      <c r="J191" s="12"/>
      <c r="K191" s="6"/>
      <c r="L191" s="6"/>
      <c r="M191" s="6"/>
      <c r="N191" s="6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/>
      <c r="B192" s="7"/>
      <c r="C192" s="6"/>
      <c r="D192" s="12"/>
      <c r="E192" s="12"/>
      <c r="F192" s="12"/>
      <c r="G192" s="12"/>
      <c r="H192" s="12"/>
      <c r="I192" s="12"/>
      <c r="J192" s="12"/>
      <c r="K192" s="6"/>
      <c r="L192" s="6"/>
      <c r="M192" s="6"/>
      <c r="N192" s="6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/>
      <c r="B193" s="7"/>
      <c r="C193" s="6"/>
      <c r="D193" s="12"/>
      <c r="E193" s="12"/>
      <c r="F193" s="12"/>
      <c r="G193" s="12"/>
      <c r="H193" s="12"/>
      <c r="I193" s="12"/>
      <c r="J193" s="12"/>
      <c r="K193" s="6"/>
      <c r="L193" s="6"/>
      <c r="M193" s="6"/>
      <c r="N193" s="6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/>
      <c r="B194" s="7"/>
      <c r="C194" s="6"/>
      <c r="D194" s="12"/>
      <c r="E194" s="12"/>
      <c r="F194" s="12"/>
      <c r="G194" s="12"/>
      <c r="H194" s="12"/>
      <c r="I194" s="12"/>
      <c r="J194" s="12"/>
      <c r="K194" s="6"/>
      <c r="L194" s="6"/>
      <c r="M194" s="6"/>
      <c r="N194" s="6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/>
      <c r="B195" s="7"/>
      <c r="C195" s="6"/>
      <c r="D195" s="12"/>
      <c r="E195" s="12"/>
      <c r="F195" s="12"/>
      <c r="G195" s="12"/>
      <c r="H195" s="12"/>
      <c r="I195" s="12"/>
      <c r="J195" s="12"/>
      <c r="K195" s="6"/>
      <c r="L195" s="6"/>
      <c r="M195" s="6"/>
      <c r="N195" s="6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/>
      <c r="B196" s="7"/>
      <c r="C196" s="6"/>
      <c r="D196" s="12"/>
      <c r="E196" s="12"/>
      <c r="F196" s="12"/>
      <c r="G196" s="12"/>
      <c r="H196" s="12"/>
      <c r="I196" s="12"/>
      <c r="J196" s="12"/>
      <c r="K196" s="6"/>
      <c r="L196" s="6"/>
      <c r="M196" s="6"/>
      <c r="N196" s="6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/>
      <c r="B197" s="7"/>
      <c r="C197" s="6"/>
      <c r="D197" s="12"/>
      <c r="E197" s="12"/>
      <c r="F197" s="12"/>
      <c r="G197" s="12"/>
      <c r="H197" s="12"/>
      <c r="I197" s="12"/>
      <c r="J197" s="12"/>
      <c r="K197" s="6"/>
      <c r="L197" s="6"/>
      <c r="M197" s="6"/>
      <c r="N197" s="6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/>
      <c r="B198" s="7"/>
      <c r="C198" s="6"/>
      <c r="D198" s="12"/>
      <c r="E198" s="12"/>
      <c r="F198" s="12"/>
      <c r="G198" s="12"/>
      <c r="H198" s="12"/>
      <c r="I198" s="12"/>
      <c r="J198" s="12"/>
      <c r="K198" s="6"/>
      <c r="L198" s="6"/>
      <c r="M198" s="6"/>
      <c r="N198" s="6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/>
      <c r="B199" s="7"/>
      <c r="C199" s="6"/>
      <c r="D199" s="12"/>
      <c r="E199" s="12"/>
      <c r="F199" s="12"/>
      <c r="G199" s="12"/>
      <c r="H199" s="12"/>
      <c r="I199" s="12"/>
      <c r="J199" s="12"/>
      <c r="K199" s="6"/>
      <c r="L199" s="6"/>
      <c r="M199" s="6"/>
      <c r="N199" s="6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/>
      <c r="B200" s="7"/>
      <c r="C200" s="6"/>
      <c r="D200" s="12"/>
      <c r="E200" s="12"/>
      <c r="F200" s="12"/>
      <c r="G200" s="12"/>
      <c r="H200" s="12"/>
      <c r="I200" s="12"/>
      <c r="J200" s="12"/>
      <c r="K200" s="6"/>
      <c r="L200" s="6"/>
      <c r="M200" s="6"/>
      <c r="N200" s="6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/>
      <c r="B201" s="7"/>
      <c r="C201" s="6"/>
      <c r="D201" s="12"/>
      <c r="E201" s="12"/>
      <c r="F201" s="12"/>
      <c r="G201" s="12"/>
      <c r="H201" s="12"/>
      <c r="I201" s="12"/>
      <c r="J201" s="12"/>
      <c r="K201" s="6"/>
      <c r="L201" s="6"/>
      <c r="M201" s="6"/>
      <c r="N201" s="6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/>
      <c r="B202" s="7"/>
      <c r="C202" s="6"/>
      <c r="D202" s="12"/>
      <c r="E202" s="12"/>
      <c r="F202" s="12"/>
      <c r="G202" s="12"/>
      <c r="H202" s="12"/>
      <c r="I202" s="12"/>
      <c r="J202" s="12"/>
      <c r="K202" s="6"/>
      <c r="L202" s="6"/>
      <c r="M202" s="6"/>
      <c r="N202" s="6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/>
      <c r="B203" s="7"/>
      <c r="C203" s="6"/>
      <c r="D203" s="12"/>
      <c r="E203" s="12"/>
      <c r="F203" s="12"/>
      <c r="G203" s="12"/>
      <c r="H203" s="12"/>
      <c r="I203" s="12"/>
      <c r="J203" s="12"/>
      <c r="K203" s="6"/>
      <c r="L203" s="6"/>
      <c r="M203" s="6"/>
      <c r="N203" s="6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/>
      <c r="B204" s="7"/>
      <c r="C204" s="6"/>
      <c r="D204" s="12"/>
      <c r="E204" s="12"/>
      <c r="F204" s="12"/>
      <c r="G204" s="12"/>
      <c r="H204" s="12"/>
      <c r="I204" s="12"/>
      <c r="J204" s="12"/>
      <c r="K204" s="6"/>
      <c r="L204" s="6"/>
      <c r="M204" s="6"/>
      <c r="N204" s="6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/>
      <c r="B205" s="7"/>
      <c r="C205" s="6"/>
      <c r="D205" s="12"/>
      <c r="E205" s="12"/>
      <c r="F205" s="12"/>
      <c r="G205" s="12"/>
      <c r="H205" s="12"/>
      <c r="I205" s="12"/>
      <c r="J205" s="12"/>
      <c r="K205" s="6"/>
      <c r="L205" s="6"/>
      <c r="M205" s="6"/>
      <c r="N205" s="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/>
      <c r="B206" s="7"/>
      <c r="C206" s="6"/>
      <c r="D206" s="12"/>
      <c r="E206" s="12"/>
      <c r="F206" s="12"/>
      <c r="G206" s="12"/>
      <c r="H206" s="12"/>
      <c r="I206" s="12"/>
      <c r="J206" s="12"/>
      <c r="K206" s="6"/>
      <c r="L206" s="6"/>
      <c r="M206" s="6"/>
      <c r="N206" s="6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/>
      <c r="B207" s="7"/>
      <c r="C207" s="6"/>
      <c r="D207" s="12"/>
      <c r="E207" s="12"/>
      <c r="F207" s="12"/>
      <c r="G207" s="12"/>
      <c r="H207" s="12"/>
      <c r="I207" s="12"/>
      <c r="J207" s="12"/>
      <c r="K207" s="6"/>
      <c r="L207" s="6"/>
      <c r="M207" s="6"/>
      <c r="N207" s="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/>
      <c r="B208" s="7"/>
      <c r="C208" s="6"/>
      <c r="D208" s="12"/>
      <c r="E208" s="12"/>
      <c r="F208" s="12"/>
      <c r="G208" s="12"/>
      <c r="H208" s="12"/>
      <c r="I208" s="12"/>
      <c r="J208" s="12"/>
      <c r="K208" s="6"/>
      <c r="L208" s="6"/>
      <c r="M208" s="6"/>
      <c r="N208" s="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7"/>
      <c r="C209" s="6"/>
      <c r="D209" s="12"/>
      <c r="E209" s="12"/>
      <c r="F209" s="12"/>
      <c r="G209" s="12"/>
      <c r="H209" s="12"/>
      <c r="I209" s="12"/>
      <c r="J209" s="12"/>
      <c r="K209" s="6"/>
      <c r="L209" s="6"/>
      <c r="M209" s="6"/>
      <c r="N209" s="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/>
      <c r="B210" s="7"/>
      <c r="C210" s="6"/>
      <c r="D210" s="12"/>
      <c r="E210" s="12"/>
      <c r="F210" s="12"/>
      <c r="G210" s="12"/>
      <c r="H210" s="12"/>
      <c r="I210" s="12"/>
      <c r="J210" s="12"/>
      <c r="K210" s="6"/>
      <c r="L210" s="6"/>
      <c r="M210" s="6"/>
      <c r="N210" s="6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/>
      <c r="B211" s="7"/>
      <c r="C211" s="6"/>
      <c r="D211" s="12"/>
      <c r="E211" s="12"/>
      <c r="F211" s="12"/>
      <c r="G211" s="12"/>
      <c r="H211" s="12"/>
      <c r="I211" s="12"/>
      <c r="J211" s="12"/>
      <c r="K211" s="6"/>
      <c r="L211" s="6"/>
      <c r="M211" s="6"/>
      <c r="N211" s="6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/>
      <c r="B212" s="7"/>
      <c r="C212" s="6"/>
      <c r="D212" s="12"/>
      <c r="E212" s="12"/>
      <c r="F212" s="12"/>
      <c r="G212" s="12"/>
      <c r="H212" s="12"/>
      <c r="I212" s="12"/>
      <c r="J212" s="12"/>
      <c r="K212" s="6"/>
      <c r="L212" s="6"/>
      <c r="M212" s="6"/>
      <c r="N212" s="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/>
      <c r="B213" s="7"/>
      <c r="C213" s="6"/>
      <c r="D213" s="12"/>
      <c r="E213" s="12"/>
      <c r="F213" s="12"/>
      <c r="G213" s="12"/>
      <c r="H213" s="12"/>
      <c r="I213" s="12"/>
      <c r="J213" s="12"/>
      <c r="K213" s="6"/>
      <c r="L213" s="6"/>
      <c r="M213" s="6"/>
      <c r="N213" s="6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/>
      <c r="B214" s="7"/>
      <c r="C214" s="6"/>
      <c r="D214" s="12"/>
      <c r="E214" s="12"/>
      <c r="F214" s="12"/>
      <c r="G214" s="12"/>
      <c r="H214" s="12"/>
      <c r="I214" s="12"/>
      <c r="J214" s="12"/>
      <c r="K214" s="6"/>
      <c r="L214" s="6"/>
      <c r="M214" s="6"/>
      <c r="N214" s="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/>
      <c r="B215" s="7"/>
      <c r="C215" s="6"/>
      <c r="D215" s="12"/>
      <c r="E215" s="12"/>
      <c r="F215" s="12"/>
      <c r="G215" s="12"/>
      <c r="H215" s="12"/>
      <c r="I215" s="12"/>
      <c r="J215" s="12"/>
      <c r="K215" s="6"/>
      <c r="L215" s="6"/>
      <c r="M215" s="6"/>
      <c r="N215" s="6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/>
      <c r="B216" s="7"/>
      <c r="C216" s="6"/>
      <c r="D216" s="12"/>
      <c r="E216" s="12"/>
      <c r="F216" s="12"/>
      <c r="G216" s="12"/>
      <c r="H216" s="12"/>
      <c r="I216" s="12"/>
      <c r="J216" s="12"/>
      <c r="K216" s="6"/>
      <c r="L216" s="6"/>
      <c r="M216" s="6"/>
      <c r="N216" s="6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/>
      <c r="B217" s="7"/>
      <c r="C217" s="6"/>
      <c r="D217" s="12"/>
      <c r="E217" s="12"/>
      <c r="F217" s="12"/>
      <c r="G217" s="12"/>
      <c r="H217" s="12"/>
      <c r="I217" s="12"/>
      <c r="J217" s="12"/>
      <c r="K217" s="6"/>
      <c r="L217" s="6"/>
      <c r="M217" s="6"/>
      <c r="N217" s="6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/>
      <c r="B218" s="7"/>
      <c r="C218" s="6"/>
      <c r="D218" s="12"/>
      <c r="E218" s="12"/>
      <c r="F218" s="12"/>
      <c r="G218" s="12"/>
      <c r="H218" s="12"/>
      <c r="I218" s="12"/>
      <c r="J218" s="12"/>
      <c r="K218" s="6"/>
      <c r="L218" s="6"/>
      <c r="M218" s="6"/>
      <c r="N218" s="6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/>
      <c r="B219" s="7"/>
      <c r="C219" s="6"/>
      <c r="D219" s="12"/>
      <c r="E219" s="12"/>
      <c r="F219" s="12"/>
      <c r="G219" s="12"/>
      <c r="H219" s="12"/>
      <c r="I219" s="12"/>
      <c r="J219" s="12"/>
      <c r="K219" s="6"/>
      <c r="L219" s="6"/>
      <c r="M219" s="6"/>
      <c r="N219" s="6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/>
      <c r="B220" s="7"/>
      <c r="C220" s="6"/>
      <c r="D220" s="12"/>
      <c r="E220" s="12"/>
      <c r="F220" s="12"/>
      <c r="G220" s="12"/>
      <c r="H220" s="12"/>
      <c r="I220" s="12"/>
      <c r="J220" s="12"/>
      <c r="K220" s="6"/>
      <c r="L220" s="6"/>
      <c r="M220" s="6"/>
      <c r="N220" s="6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/>
      <c r="B221" s="7"/>
      <c r="C221" s="6"/>
      <c r="D221" s="12"/>
      <c r="E221" s="12"/>
      <c r="F221" s="12"/>
      <c r="G221" s="12"/>
      <c r="H221" s="12"/>
      <c r="I221" s="12"/>
      <c r="J221" s="12"/>
      <c r="K221" s="6"/>
      <c r="L221" s="6"/>
      <c r="M221" s="6"/>
      <c r="N221" s="6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/>
      <c r="B222" s="7"/>
      <c r="C222" s="6"/>
      <c r="D222" s="12"/>
      <c r="E222" s="12"/>
      <c r="F222" s="12"/>
      <c r="G222" s="12"/>
      <c r="H222" s="12"/>
      <c r="I222" s="12"/>
      <c r="J222" s="12"/>
      <c r="K222" s="6"/>
      <c r="L222" s="6"/>
      <c r="M222" s="6"/>
      <c r="N222" s="6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/>
      <c r="B223" s="7"/>
      <c r="C223" s="6"/>
      <c r="D223" s="12"/>
      <c r="E223" s="12"/>
      <c r="F223" s="12"/>
      <c r="G223" s="12"/>
      <c r="H223" s="12"/>
      <c r="I223" s="12"/>
      <c r="J223" s="12"/>
      <c r="K223" s="6"/>
      <c r="L223" s="6"/>
      <c r="M223" s="6"/>
      <c r="N223" s="6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/>
      <c r="B224" s="7"/>
      <c r="C224" s="6"/>
      <c r="D224" s="12"/>
      <c r="E224" s="12"/>
      <c r="F224" s="12"/>
      <c r="G224" s="12"/>
      <c r="H224" s="12"/>
      <c r="I224" s="12"/>
      <c r="J224" s="12"/>
      <c r="K224" s="6"/>
      <c r="L224" s="6"/>
      <c r="M224" s="6"/>
      <c r="N224" s="6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/>
      <c r="B225" s="7"/>
      <c r="C225" s="6"/>
      <c r="D225" s="12"/>
      <c r="E225" s="12"/>
      <c r="F225" s="12"/>
      <c r="G225" s="12"/>
      <c r="H225" s="12"/>
      <c r="I225" s="12"/>
      <c r="J225" s="12"/>
      <c r="K225" s="6"/>
      <c r="L225" s="6"/>
      <c r="M225" s="6"/>
      <c r="N225" s="6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/>
      <c r="B226" s="7"/>
      <c r="C226" s="6"/>
      <c r="D226" s="12"/>
      <c r="E226" s="12"/>
      <c r="F226" s="12"/>
      <c r="G226" s="12"/>
      <c r="H226" s="12"/>
      <c r="I226" s="12"/>
      <c r="J226" s="12"/>
      <c r="K226" s="6"/>
      <c r="L226" s="6"/>
      <c r="M226" s="6"/>
      <c r="N226" s="6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/>
      <c r="B227" s="7"/>
      <c r="C227" s="6"/>
      <c r="D227" s="12"/>
      <c r="E227" s="12"/>
      <c r="F227" s="12"/>
      <c r="G227" s="12"/>
      <c r="H227" s="12"/>
      <c r="I227" s="12"/>
      <c r="J227" s="12"/>
      <c r="K227" s="6"/>
      <c r="L227" s="6"/>
      <c r="M227" s="6"/>
      <c r="N227" s="6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/>
      <c r="B228" s="7"/>
      <c r="C228" s="6"/>
      <c r="D228" s="12"/>
      <c r="E228" s="12"/>
      <c r="F228" s="12"/>
      <c r="G228" s="12"/>
      <c r="H228" s="12"/>
      <c r="I228" s="12"/>
      <c r="J228" s="12"/>
      <c r="K228" s="6"/>
      <c r="L228" s="6"/>
      <c r="M228" s="6"/>
      <c r="N228" s="6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/>
      <c r="B229" s="7"/>
      <c r="C229" s="6"/>
      <c r="D229" s="12"/>
      <c r="E229" s="12"/>
      <c r="F229" s="12"/>
      <c r="G229" s="12"/>
      <c r="H229" s="12"/>
      <c r="I229" s="12"/>
      <c r="J229" s="12"/>
      <c r="K229" s="6"/>
      <c r="L229" s="6"/>
      <c r="M229" s="6"/>
      <c r="N229" s="6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/>
      <c r="B230" s="7"/>
      <c r="C230" s="6"/>
      <c r="D230" s="12"/>
      <c r="E230" s="12"/>
      <c r="F230" s="12"/>
      <c r="G230" s="12"/>
      <c r="H230" s="12"/>
      <c r="I230" s="12"/>
      <c r="J230" s="12"/>
      <c r="K230" s="6"/>
      <c r="L230" s="6"/>
      <c r="M230" s="6"/>
      <c r="N230" s="6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/>
      <c r="B231" s="7"/>
      <c r="C231" s="6"/>
      <c r="D231" s="12"/>
      <c r="E231" s="12"/>
      <c r="F231" s="12"/>
      <c r="G231" s="12"/>
      <c r="H231" s="12"/>
      <c r="I231" s="12"/>
      <c r="J231" s="12"/>
      <c r="K231" s="6"/>
      <c r="L231" s="6"/>
      <c r="M231" s="6"/>
      <c r="N231" s="6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/>
      <c r="B232" s="7"/>
      <c r="C232" s="6"/>
      <c r="D232" s="12"/>
      <c r="E232" s="12"/>
      <c r="F232" s="12"/>
      <c r="G232" s="12"/>
      <c r="H232" s="12"/>
      <c r="I232" s="12"/>
      <c r="J232" s="12"/>
      <c r="K232" s="6"/>
      <c r="L232" s="6"/>
      <c r="M232" s="6"/>
      <c r="N232" s="6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/>
      <c r="B233" s="7"/>
      <c r="C233" s="6"/>
      <c r="D233" s="12"/>
      <c r="E233" s="12"/>
      <c r="F233" s="12"/>
      <c r="G233" s="12"/>
      <c r="H233" s="12"/>
      <c r="I233" s="12"/>
      <c r="J233" s="12"/>
      <c r="K233" s="6"/>
      <c r="L233" s="6"/>
      <c r="M233" s="6"/>
      <c r="N233" s="6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/>
      <c r="B234" s="7"/>
      <c r="C234" s="6"/>
      <c r="D234" s="12"/>
      <c r="E234" s="12"/>
      <c r="F234" s="12"/>
      <c r="G234" s="12"/>
      <c r="H234" s="12"/>
      <c r="I234" s="12"/>
      <c r="J234" s="12"/>
      <c r="K234" s="6"/>
      <c r="L234" s="6"/>
      <c r="M234" s="6"/>
      <c r="N234" s="6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/>
      <c r="B235" s="7"/>
      <c r="C235" s="6"/>
      <c r="D235" s="12"/>
      <c r="E235" s="12"/>
      <c r="F235" s="12"/>
      <c r="G235" s="12"/>
      <c r="H235" s="12"/>
      <c r="I235" s="12"/>
      <c r="J235" s="12"/>
      <c r="K235" s="6"/>
      <c r="L235" s="6"/>
      <c r="M235" s="6"/>
      <c r="N235" s="6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/>
      <c r="B236" s="7"/>
      <c r="C236" s="6"/>
      <c r="D236" s="12"/>
      <c r="E236" s="12"/>
      <c r="F236" s="12"/>
      <c r="G236" s="12"/>
      <c r="H236" s="12"/>
      <c r="I236" s="12"/>
      <c r="J236" s="12"/>
      <c r="K236" s="6"/>
      <c r="L236" s="6"/>
      <c r="M236" s="6"/>
      <c r="N236" s="6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/>
      <c r="B237" s="7"/>
      <c r="C237" s="6"/>
      <c r="D237" s="12"/>
      <c r="E237" s="12"/>
      <c r="F237" s="12"/>
      <c r="G237" s="12"/>
      <c r="H237" s="12"/>
      <c r="I237" s="12"/>
      <c r="J237" s="12"/>
      <c r="K237" s="6"/>
      <c r="L237" s="6"/>
      <c r="M237" s="6"/>
      <c r="N237" s="6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/>
      <c r="B238" s="7"/>
      <c r="C238" s="6"/>
      <c r="D238" s="12"/>
      <c r="E238" s="12"/>
      <c r="F238" s="12"/>
      <c r="G238" s="12"/>
      <c r="H238" s="12"/>
      <c r="I238" s="12"/>
      <c r="J238" s="12"/>
      <c r="K238" s="6"/>
      <c r="L238" s="6"/>
      <c r="M238" s="6"/>
      <c r="N238" s="6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/>
      <c r="B239" s="7"/>
      <c r="C239" s="6"/>
      <c r="D239" s="12"/>
      <c r="E239" s="12"/>
      <c r="F239" s="12"/>
      <c r="G239" s="12"/>
      <c r="H239" s="12"/>
      <c r="I239" s="12"/>
      <c r="J239" s="12"/>
      <c r="K239" s="6"/>
      <c r="L239" s="6"/>
      <c r="M239" s="6"/>
      <c r="N239" s="6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/>
      <c r="B240" s="7"/>
      <c r="C240" s="6"/>
      <c r="D240" s="12"/>
      <c r="E240" s="12"/>
      <c r="F240" s="12"/>
      <c r="G240" s="12"/>
      <c r="H240" s="12"/>
      <c r="I240" s="12"/>
      <c r="J240" s="12"/>
      <c r="K240" s="6"/>
      <c r="L240" s="6"/>
      <c r="M240" s="6"/>
      <c r="N240" s="6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/>
      <c r="B241" s="7"/>
      <c r="C241" s="6"/>
      <c r="D241" s="12"/>
      <c r="E241" s="12"/>
      <c r="F241" s="12"/>
      <c r="G241" s="12"/>
      <c r="H241" s="12"/>
      <c r="I241" s="12"/>
      <c r="J241" s="12"/>
      <c r="K241" s="6"/>
      <c r="L241" s="6"/>
      <c r="M241" s="6"/>
      <c r="N241" s="6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/>
      <c r="B242" s="7"/>
      <c r="C242" s="6"/>
      <c r="D242" s="12"/>
      <c r="E242" s="12"/>
      <c r="F242" s="12"/>
      <c r="G242" s="12"/>
      <c r="H242" s="12"/>
      <c r="I242" s="12"/>
      <c r="J242" s="12"/>
      <c r="K242" s="6"/>
      <c r="L242" s="6"/>
      <c r="M242" s="6"/>
      <c r="N242" s="6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/>
      <c r="B243" s="7"/>
      <c r="C243" s="6"/>
      <c r="D243" s="12"/>
      <c r="E243" s="12"/>
      <c r="F243" s="12"/>
      <c r="G243" s="12"/>
      <c r="H243" s="12"/>
      <c r="I243" s="12"/>
      <c r="J243" s="12"/>
      <c r="K243" s="6"/>
      <c r="L243" s="6"/>
      <c r="M243" s="6"/>
      <c r="N243" s="6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/>
      <c r="B244" s="7"/>
      <c r="C244" s="6"/>
      <c r="D244" s="12"/>
      <c r="E244" s="12"/>
      <c r="F244" s="12"/>
      <c r="G244" s="12"/>
      <c r="H244" s="12"/>
      <c r="I244" s="12"/>
      <c r="J244" s="12"/>
      <c r="K244" s="6"/>
      <c r="L244" s="6"/>
      <c r="M244" s="6"/>
      <c r="N244" s="6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/>
      <c r="B245" s="7"/>
      <c r="C245" s="6"/>
      <c r="D245" s="12"/>
      <c r="E245" s="12"/>
      <c r="F245" s="12"/>
      <c r="G245" s="12"/>
      <c r="H245" s="12"/>
      <c r="I245" s="12"/>
      <c r="J245" s="12"/>
      <c r="K245" s="6"/>
      <c r="L245" s="6"/>
      <c r="M245" s="6"/>
      <c r="N245" s="6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/>
      <c r="B246" s="7"/>
      <c r="C246" s="6"/>
      <c r="D246" s="12"/>
      <c r="E246" s="12"/>
      <c r="F246" s="12"/>
      <c r="G246" s="12"/>
      <c r="H246" s="12"/>
      <c r="I246" s="12"/>
      <c r="J246" s="12"/>
      <c r="K246" s="6"/>
      <c r="L246" s="6"/>
      <c r="M246" s="6"/>
      <c r="N246" s="6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/>
      <c r="B247" s="7"/>
      <c r="C247" s="6"/>
      <c r="D247" s="12"/>
      <c r="E247" s="12"/>
      <c r="F247" s="12"/>
      <c r="G247" s="12"/>
      <c r="H247" s="12"/>
      <c r="I247" s="12"/>
      <c r="J247" s="12"/>
      <c r="K247" s="6"/>
      <c r="L247" s="6"/>
      <c r="M247" s="6"/>
      <c r="N247" s="6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/>
      <c r="B248" s="7"/>
      <c r="C248" s="6"/>
      <c r="D248" s="12"/>
      <c r="E248" s="12"/>
      <c r="F248" s="12"/>
      <c r="G248" s="12"/>
      <c r="H248" s="12"/>
      <c r="I248" s="12"/>
      <c r="J248" s="12"/>
      <c r="K248" s="6"/>
      <c r="L248" s="6"/>
      <c r="M248" s="6"/>
      <c r="N248" s="6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/>
      <c r="B249" s="7"/>
      <c r="C249" s="6"/>
      <c r="D249" s="12"/>
      <c r="E249" s="12"/>
      <c r="F249" s="12"/>
      <c r="G249" s="12"/>
      <c r="H249" s="12"/>
      <c r="I249" s="12"/>
      <c r="J249" s="12"/>
      <c r="K249" s="6"/>
      <c r="L249" s="6"/>
      <c r="M249" s="6"/>
      <c r="N249" s="6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/>
      <c r="B250" s="7"/>
      <c r="C250" s="6"/>
      <c r="D250" s="12"/>
      <c r="E250" s="12"/>
      <c r="F250" s="12"/>
      <c r="G250" s="12"/>
      <c r="H250" s="12"/>
      <c r="I250" s="12"/>
      <c r="J250" s="12"/>
      <c r="K250" s="6"/>
      <c r="L250" s="6"/>
      <c r="M250" s="6"/>
      <c r="N250" s="6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/>
      <c r="B251" s="7"/>
      <c r="C251" s="6"/>
      <c r="D251" s="12"/>
      <c r="E251" s="12"/>
      <c r="F251" s="12"/>
      <c r="G251" s="12"/>
      <c r="H251" s="12"/>
      <c r="I251" s="12"/>
      <c r="J251" s="12"/>
      <c r="K251" s="6"/>
      <c r="L251" s="6"/>
      <c r="M251" s="6"/>
      <c r="N251" s="6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/>
      <c r="B252" s="7"/>
      <c r="C252" s="6"/>
      <c r="D252" s="12"/>
      <c r="E252" s="12"/>
      <c r="F252" s="12"/>
      <c r="G252" s="12"/>
      <c r="H252" s="12"/>
      <c r="I252" s="12"/>
      <c r="J252" s="12"/>
      <c r="K252" s="6"/>
      <c r="L252" s="6"/>
      <c r="M252" s="6"/>
      <c r="N252" s="6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/>
      <c r="B253" s="7"/>
      <c r="C253" s="6"/>
      <c r="D253" s="12"/>
      <c r="E253" s="12"/>
      <c r="F253" s="12"/>
      <c r="G253" s="12"/>
      <c r="H253" s="12"/>
      <c r="I253" s="12"/>
      <c r="J253" s="12"/>
      <c r="K253" s="6"/>
      <c r="L253" s="6"/>
      <c r="M253" s="6"/>
      <c r="N253" s="6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/>
      <c r="B254" s="7"/>
      <c r="C254" s="6"/>
      <c r="D254" s="12"/>
      <c r="E254" s="12"/>
      <c r="F254" s="12"/>
      <c r="G254" s="12"/>
      <c r="H254" s="12"/>
      <c r="I254" s="12"/>
      <c r="J254" s="12"/>
      <c r="K254" s="6"/>
      <c r="L254" s="6"/>
      <c r="M254" s="6"/>
      <c r="N254" s="6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/>
      <c r="B255" s="7"/>
      <c r="C255" s="6"/>
      <c r="D255" s="12"/>
      <c r="E255" s="12"/>
      <c r="F255" s="12"/>
      <c r="G255" s="12"/>
      <c r="H255" s="12"/>
      <c r="I255" s="12"/>
      <c r="J255" s="12"/>
      <c r="K255" s="6"/>
      <c r="L255" s="6"/>
      <c r="M255" s="6"/>
      <c r="N255" s="6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/>
      <c r="B256" s="7"/>
      <c r="C256" s="6"/>
      <c r="D256" s="12"/>
      <c r="E256" s="12"/>
      <c r="F256" s="12"/>
      <c r="G256" s="12"/>
      <c r="H256" s="12"/>
      <c r="I256" s="12"/>
      <c r="J256" s="12"/>
      <c r="K256" s="6"/>
      <c r="L256" s="6"/>
      <c r="M256" s="6"/>
      <c r="N256" s="6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/>
      <c r="B257" s="7"/>
      <c r="C257" s="6"/>
      <c r="D257" s="12"/>
      <c r="E257" s="12"/>
      <c r="F257" s="12"/>
      <c r="G257" s="12"/>
      <c r="H257" s="12"/>
      <c r="I257" s="12"/>
      <c r="J257" s="12"/>
      <c r="K257" s="6"/>
      <c r="L257" s="6"/>
      <c r="M257" s="6"/>
      <c r="N257" s="6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/>
      <c r="B258" s="7"/>
      <c r="C258" s="6"/>
      <c r="D258" s="12"/>
      <c r="E258" s="12"/>
      <c r="F258" s="12"/>
      <c r="G258" s="12"/>
      <c r="H258" s="12"/>
      <c r="I258" s="12"/>
      <c r="J258" s="12"/>
      <c r="K258" s="6"/>
      <c r="L258" s="6"/>
      <c r="M258" s="6"/>
      <c r="N258" s="6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/>
      <c r="B259" s="7"/>
      <c r="C259" s="6"/>
      <c r="D259" s="12"/>
      <c r="E259" s="12"/>
      <c r="F259" s="12"/>
      <c r="G259" s="12"/>
      <c r="H259" s="12"/>
      <c r="I259" s="12"/>
      <c r="J259" s="12"/>
      <c r="K259" s="6"/>
      <c r="L259" s="6"/>
      <c r="M259" s="6"/>
      <c r="N259" s="6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/>
      <c r="B260" s="7"/>
      <c r="C260" s="6"/>
      <c r="D260" s="12"/>
      <c r="E260" s="12"/>
      <c r="F260" s="12"/>
      <c r="G260" s="12"/>
      <c r="H260" s="12"/>
      <c r="I260" s="12"/>
      <c r="J260" s="12"/>
      <c r="K260" s="6"/>
      <c r="L260" s="6"/>
      <c r="M260" s="6"/>
      <c r="N260" s="6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/>
      <c r="B261" s="7"/>
      <c r="C261" s="6"/>
      <c r="D261" s="12"/>
      <c r="E261" s="12"/>
      <c r="F261" s="12"/>
      <c r="G261" s="12"/>
      <c r="H261" s="12"/>
      <c r="I261" s="12"/>
      <c r="J261" s="12"/>
      <c r="K261" s="6"/>
      <c r="L261" s="6"/>
      <c r="M261" s="6"/>
      <c r="N261" s="6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/>
      <c r="B262" s="7"/>
      <c r="C262" s="6"/>
      <c r="D262" s="12"/>
      <c r="E262" s="12"/>
      <c r="F262" s="12"/>
      <c r="G262" s="12"/>
      <c r="H262" s="12"/>
      <c r="I262" s="12"/>
      <c r="J262" s="12"/>
      <c r="K262" s="6"/>
      <c r="L262" s="6"/>
      <c r="M262" s="6"/>
      <c r="N262" s="6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/>
      <c r="B263" s="7"/>
      <c r="C263" s="6"/>
      <c r="D263" s="12"/>
      <c r="E263" s="12"/>
      <c r="F263" s="12"/>
      <c r="G263" s="12"/>
      <c r="H263" s="12"/>
      <c r="I263" s="12"/>
      <c r="J263" s="12"/>
      <c r="K263" s="6"/>
      <c r="L263" s="6"/>
      <c r="M263" s="6"/>
      <c r="N263" s="6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/>
      <c r="B264" s="7"/>
      <c r="C264" s="6"/>
      <c r="D264" s="12"/>
      <c r="E264" s="12"/>
      <c r="F264" s="12"/>
      <c r="G264" s="12"/>
      <c r="H264" s="12"/>
      <c r="I264" s="12"/>
      <c r="J264" s="12"/>
      <c r="K264" s="6"/>
      <c r="L264" s="6"/>
      <c r="M264" s="6"/>
      <c r="N264" s="6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/>
      <c r="B265" s="7"/>
      <c r="C265" s="6"/>
      <c r="D265" s="12"/>
      <c r="E265" s="12"/>
      <c r="F265" s="12"/>
      <c r="G265" s="12"/>
      <c r="H265" s="12"/>
      <c r="I265" s="12"/>
      <c r="J265" s="12"/>
      <c r="K265" s="6"/>
      <c r="L265" s="6"/>
      <c r="M265" s="6"/>
      <c r="N265" s="6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/>
      <c r="B266" s="7"/>
      <c r="C266" s="6"/>
      <c r="D266" s="12"/>
      <c r="E266" s="12"/>
      <c r="F266" s="12"/>
      <c r="G266" s="12"/>
      <c r="H266" s="12"/>
      <c r="I266" s="12"/>
      <c r="J266" s="12"/>
      <c r="K266" s="6"/>
      <c r="L266" s="6"/>
      <c r="M266" s="6"/>
      <c r="N266" s="6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/>
      <c r="B267" s="7"/>
      <c r="C267" s="6"/>
      <c r="D267" s="12"/>
      <c r="E267" s="12"/>
      <c r="F267" s="12"/>
      <c r="G267" s="12"/>
      <c r="H267" s="12"/>
      <c r="I267" s="12"/>
      <c r="J267" s="12"/>
      <c r="K267" s="6"/>
      <c r="L267" s="6"/>
      <c r="M267" s="6"/>
      <c r="N267" s="6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/>
      <c r="B268" s="7"/>
      <c r="C268" s="6"/>
      <c r="D268" s="12"/>
      <c r="E268" s="12"/>
      <c r="F268" s="12"/>
      <c r="G268" s="12"/>
      <c r="H268" s="12"/>
      <c r="I268" s="12"/>
      <c r="J268" s="12"/>
      <c r="K268" s="6"/>
      <c r="L268" s="6"/>
      <c r="M268" s="6"/>
      <c r="N268" s="6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/>
      <c r="B269" s="7"/>
      <c r="C269" s="6"/>
      <c r="D269" s="12"/>
      <c r="E269" s="12"/>
      <c r="F269" s="12"/>
      <c r="G269" s="12"/>
      <c r="H269" s="12"/>
      <c r="I269" s="12"/>
      <c r="J269" s="12"/>
      <c r="K269" s="6"/>
      <c r="L269" s="6"/>
      <c r="M269" s="6"/>
      <c r="N269" s="6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/>
      <c r="B270" s="7"/>
      <c r="C270" s="6"/>
      <c r="D270" s="12"/>
      <c r="E270" s="12"/>
      <c r="F270" s="12"/>
      <c r="G270" s="12"/>
      <c r="H270" s="12"/>
      <c r="I270" s="12"/>
      <c r="J270" s="12"/>
      <c r="K270" s="6"/>
      <c r="L270" s="6"/>
      <c r="M270" s="6"/>
      <c r="N270" s="6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/>
      <c r="B271" s="7"/>
      <c r="C271" s="6"/>
      <c r="D271" s="12"/>
      <c r="E271" s="12"/>
      <c r="F271" s="12"/>
      <c r="G271" s="12"/>
      <c r="H271" s="12"/>
      <c r="I271" s="12"/>
      <c r="J271" s="12"/>
      <c r="K271" s="6"/>
      <c r="L271" s="6"/>
      <c r="M271" s="6"/>
      <c r="N271" s="6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/>
      <c r="B272" s="7"/>
      <c r="C272" s="6"/>
      <c r="D272" s="12"/>
      <c r="E272" s="12"/>
      <c r="F272" s="12"/>
      <c r="G272" s="12"/>
      <c r="H272" s="12"/>
      <c r="I272" s="12"/>
      <c r="J272" s="12"/>
      <c r="K272" s="6"/>
      <c r="L272" s="6"/>
      <c r="M272" s="6"/>
      <c r="N272" s="6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/>
      <c r="B273" s="7"/>
      <c r="C273" s="6"/>
      <c r="D273" s="12"/>
      <c r="E273" s="12"/>
      <c r="F273" s="12"/>
      <c r="G273" s="12"/>
      <c r="H273" s="12"/>
      <c r="I273" s="12"/>
      <c r="J273" s="12"/>
      <c r="K273" s="6"/>
      <c r="L273" s="6"/>
      <c r="M273" s="6"/>
      <c r="N273" s="6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/>
      <c r="B274" s="7"/>
      <c r="C274" s="6"/>
      <c r="D274" s="12"/>
      <c r="E274" s="12"/>
      <c r="F274" s="12"/>
      <c r="G274" s="12"/>
      <c r="H274" s="12"/>
      <c r="I274" s="12"/>
      <c r="J274" s="12"/>
      <c r="K274" s="6"/>
      <c r="L274" s="6"/>
      <c r="M274" s="6"/>
      <c r="N274" s="6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/>
      <c r="B275" s="7"/>
      <c r="C275" s="6"/>
      <c r="D275" s="12"/>
      <c r="E275" s="12"/>
      <c r="F275" s="12"/>
      <c r="G275" s="12"/>
      <c r="H275" s="12"/>
      <c r="I275" s="12"/>
      <c r="J275" s="12"/>
      <c r="K275" s="6"/>
      <c r="L275" s="6"/>
      <c r="M275" s="6"/>
      <c r="N275" s="6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/>
      <c r="B276" s="7"/>
      <c r="C276" s="6"/>
      <c r="D276" s="12"/>
      <c r="E276" s="12"/>
      <c r="F276" s="12"/>
      <c r="G276" s="12"/>
      <c r="H276" s="12"/>
      <c r="I276" s="12"/>
      <c r="J276" s="12"/>
      <c r="K276" s="6"/>
      <c r="L276" s="6"/>
      <c r="M276" s="6"/>
      <c r="N276" s="6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/>
      <c r="B277" s="7"/>
      <c r="C277" s="6"/>
      <c r="D277" s="12"/>
      <c r="E277" s="12"/>
      <c r="F277" s="12"/>
      <c r="G277" s="12"/>
      <c r="H277" s="12"/>
      <c r="I277" s="12"/>
      <c r="J277" s="12"/>
      <c r="K277" s="6"/>
      <c r="L277" s="6"/>
      <c r="M277" s="6"/>
      <c r="N277" s="6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/>
      <c r="B278" s="7"/>
      <c r="C278" s="6"/>
      <c r="D278" s="12"/>
      <c r="E278" s="12"/>
      <c r="F278" s="12"/>
      <c r="G278" s="12"/>
      <c r="H278" s="12"/>
      <c r="I278" s="12"/>
      <c r="J278" s="12"/>
      <c r="K278" s="6"/>
      <c r="L278" s="6"/>
      <c r="M278" s="6"/>
      <c r="N278" s="6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/>
      <c r="B279" s="7"/>
      <c r="C279" s="6"/>
      <c r="D279" s="12"/>
      <c r="E279" s="12"/>
      <c r="F279" s="12"/>
      <c r="G279" s="12"/>
      <c r="H279" s="12"/>
      <c r="I279" s="12"/>
      <c r="J279" s="12"/>
      <c r="K279" s="6"/>
      <c r="L279" s="6"/>
      <c r="M279" s="6"/>
      <c r="N279" s="6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/>
      <c r="B280" s="7"/>
      <c r="C280" s="6"/>
      <c r="D280" s="12"/>
      <c r="E280" s="12"/>
      <c r="F280" s="12"/>
      <c r="G280" s="12"/>
      <c r="H280" s="12"/>
      <c r="I280" s="12"/>
      <c r="J280" s="12"/>
      <c r="K280" s="6"/>
      <c r="L280" s="6"/>
      <c r="M280" s="6"/>
      <c r="N280" s="6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/>
      <c r="B281" s="7"/>
      <c r="C281" s="6"/>
      <c r="D281" s="12"/>
      <c r="E281" s="12"/>
      <c r="F281" s="12"/>
      <c r="G281" s="12"/>
      <c r="H281" s="12"/>
      <c r="I281" s="12"/>
      <c r="J281" s="12"/>
      <c r="K281" s="6"/>
      <c r="L281" s="6"/>
      <c r="M281" s="6"/>
      <c r="N281" s="6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/>
      <c r="B282" s="7"/>
      <c r="C282" s="6"/>
      <c r="D282" s="12"/>
      <c r="E282" s="12"/>
      <c r="F282" s="12"/>
      <c r="G282" s="12"/>
      <c r="H282" s="12"/>
      <c r="I282" s="12"/>
      <c r="J282" s="12"/>
      <c r="K282" s="6"/>
      <c r="L282" s="6"/>
      <c r="M282" s="6"/>
      <c r="N282" s="6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/>
      <c r="B283" s="7"/>
      <c r="C283" s="6"/>
      <c r="D283" s="12"/>
      <c r="E283" s="12"/>
      <c r="F283" s="12"/>
      <c r="G283" s="12"/>
      <c r="H283" s="12"/>
      <c r="I283" s="12"/>
      <c r="J283" s="12"/>
      <c r="K283" s="6"/>
      <c r="L283" s="6"/>
      <c r="M283" s="6"/>
      <c r="N283" s="6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/>
      <c r="B284" s="7"/>
      <c r="C284" s="6"/>
      <c r="D284" s="12"/>
      <c r="E284" s="12"/>
      <c r="F284" s="12"/>
      <c r="G284" s="12"/>
      <c r="H284" s="12"/>
      <c r="I284" s="12"/>
      <c r="J284" s="12"/>
      <c r="K284" s="6"/>
      <c r="L284" s="6"/>
      <c r="M284" s="6"/>
      <c r="N284" s="6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/>
      <c r="B285" s="7"/>
      <c r="C285" s="6"/>
      <c r="D285" s="12"/>
      <c r="E285" s="12"/>
      <c r="F285" s="12"/>
      <c r="G285" s="12"/>
      <c r="H285" s="12"/>
      <c r="I285" s="12"/>
      <c r="J285" s="12"/>
      <c r="K285" s="6"/>
      <c r="L285" s="6"/>
      <c r="M285" s="6"/>
      <c r="N285" s="6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/>
      <c r="B286" s="7"/>
      <c r="C286" s="6"/>
      <c r="D286" s="12"/>
      <c r="E286" s="12"/>
      <c r="F286" s="12"/>
      <c r="G286" s="12"/>
      <c r="H286" s="12"/>
      <c r="I286" s="12"/>
      <c r="J286" s="12"/>
      <c r="K286" s="6"/>
      <c r="L286" s="6"/>
      <c r="M286" s="6"/>
      <c r="N286" s="6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/>
      <c r="B287" s="7"/>
      <c r="C287" s="6"/>
      <c r="D287" s="12"/>
      <c r="E287" s="12"/>
      <c r="F287" s="12"/>
      <c r="G287" s="12"/>
      <c r="H287" s="12"/>
      <c r="I287" s="12"/>
      <c r="J287" s="12"/>
      <c r="K287" s="6"/>
      <c r="L287" s="6"/>
      <c r="M287" s="6"/>
      <c r="N287" s="6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/>
      <c r="B288" s="7"/>
      <c r="C288" s="6"/>
      <c r="D288" s="12"/>
      <c r="E288" s="12"/>
      <c r="F288" s="12"/>
      <c r="G288" s="12"/>
      <c r="H288" s="12"/>
      <c r="I288" s="12"/>
      <c r="J288" s="12"/>
      <c r="K288" s="6"/>
      <c r="L288" s="6"/>
      <c r="M288" s="6"/>
      <c r="N288" s="6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/>
      <c r="B289" s="7"/>
      <c r="C289" s="6"/>
      <c r="D289" s="12"/>
      <c r="E289" s="12"/>
      <c r="F289" s="12"/>
      <c r="G289" s="12"/>
      <c r="H289" s="12"/>
      <c r="I289" s="12"/>
      <c r="J289" s="12"/>
      <c r="K289" s="6"/>
      <c r="L289" s="6"/>
      <c r="M289" s="6"/>
      <c r="N289" s="6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/>
      <c r="B290" s="7"/>
      <c r="C290" s="6"/>
      <c r="D290" s="12"/>
      <c r="E290" s="12"/>
      <c r="F290" s="12"/>
      <c r="G290" s="12"/>
      <c r="H290" s="12"/>
      <c r="I290" s="12"/>
      <c r="J290" s="12"/>
      <c r="K290" s="6"/>
      <c r="L290" s="6"/>
      <c r="M290" s="6"/>
      <c r="N290" s="6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/>
      <c r="B291" s="7"/>
      <c r="C291" s="6"/>
      <c r="D291" s="12"/>
      <c r="E291" s="12"/>
      <c r="F291" s="12"/>
      <c r="G291" s="12"/>
      <c r="H291" s="12"/>
      <c r="I291" s="12"/>
      <c r="J291" s="12"/>
      <c r="K291" s="6"/>
      <c r="L291" s="6"/>
      <c r="M291" s="6"/>
      <c r="N291" s="6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/>
      <c r="B292" s="7"/>
      <c r="C292" s="6"/>
      <c r="D292" s="12"/>
      <c r="E292" s="12"/>
      <c r="F292" s="12"/>
      <c r="G292" s="12"/>
      <c r="H292" s="12"/>
      <c r="I292" s="12"/>
      <c r="J292" s="12"/>
      <c r="K292" s="6"/>
      <c r="L292" s="6"/>
      <c r="M292" s="6"/>
      <c r="N292" s="6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/>
      <c r="B293" s="7"/>
      <c r="C293" s="6"/>
      <c r="D293" s="12"/>
      <c r="E293" s="12"/>
      <c r="F293" s="12"/>
      <c r="G293" s="12"/>
      <c r="H293" s="12"/>
      <c r="I293" s="12"/>
      <c r="J293" s="12"/>
      <c r="K293" s="6"/>
      <c r="L293" s="6"/>
      <c r="M293" s="6"/>
      <c r="N293" s="6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/>
      <c r="B294" s="7"/>
      <c r="C294" s="6"/>
      <c r="D294" s="12"/>
      <c r="E294" s="12"/>
      <c r="F294" s="12"/>
      <c r="G294" s="12"/>
      <c r="H294" s="12"/>
      <c r="I294" s="12"/>
      <c r="J294" s="12"/>
      <c r="K294" s="6"/>
      <c r="L294" s="6"/>
      <c r="M294" s="6"/>
      <c r="N294" s="6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/>
      <c r="B295" s="7"/>
      <c r="C295" s="6"/>
      <c r="D295" s="12"/>
      <c r="E295" s="12"/>
      <c r="F295" s="12"/>
      <c r="G295" s="12"/>
      <c r="H295" s="12"/>
      <c r="I295" s="12"/>
      <c r="J295" s="12"/>
      <c r="K295" s="6"/>
      <c r="L295" s="6"/>
      <c r="M295" s="6"/>
      <c r="N295" s="6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/>
      <c r="B296" s="7"/>
      <c r="C296" s="6"/>
      <c r="D296" s="12"/>
      <c r="E296" s="12"/>
      <c r="F296" s="12"/>
      <c r="G296" s="12"/>
      <c r="H296" s="12"/>
      <c r="I296" s="12"/>
      <c r="J296" s="12"/>
      <c r="K296" s="6"/>
      <c r="L296" s="6"/>
      <c r="M296" s="6"/>
      <c r="N296" s="6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/>
      <c r="B297" s="7"/>
      <c r="C297" s="6"/>
      <c r="D297" s="12"/>
      <c r="E297" s="12"/>
      <c r="F297" s="12"/>
      <c r="G297" s="12"/>
      <c r="H297" s="12"/>
      <c r="I297" s="12"/>
      <c r="J297" s="12"/>
      <c r="K297" s="6"/>
      <c r="L297" s="6"/>
      <c r="M297" s="6"/>
      <c r="N297" s="6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/>
      <c r="B298" s="7"/>
      <c r="C298" s="6"/>
      <c r="D298" s="12"/>
      <c r="E298" s="12"/>
      <c r="F298" s="12"/>
      <c r="G298" s="12"/>
      <c r="H298" s="12"/>
      <c r="I298" s="12"/>
      <c r="J298" s="12"/>
      <c r="K298" s="6"/>
      <c r="L298" s="6"/>
      <c r="M298" s="6"/>
      <c r="N298" s="6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/>
      <c r="B299" s="7"/>
      <c r="C299" s="6"/>
      <c r="D299" s="12"/>
      <c r="E299" s="12"/>
      <c r="F299" s="12"/>
      <c r="G299" s="12"/>
      <c r="H299" s="12"/>
      <c r="I299" s="12"/>
      <c r="J299" s="12"/>
      <c r="K299" s="6"/>
      <c r="L299" s="6"/>
      <c r="M299" s="6"/>
      <c r="N299" s="6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/>
      <c r="B300" s="7"/>
      <c r="C300" s="6"/>
      <c r="D300" s="12"/>
      <c r="E300" s="12"/>
      <c r="F300" s="12"/>
      <c r="G300" s="12"/>
      <c r="H300" s="12"/>
      <c r="I300" s="12"/>
      <c r="J300" s="12"/>
      <c r="K300" s="6"/>
      <c r="L300" s="6"/>
      <c r="M300" s="6"/>
      <c r="N300" s="6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/>
      <c r="B301" s="7"/>
      <c r="C301" s="6"/>
      <c r="D301" s="12"/>
      <c r="E301" s="12"/>
      <c r="F301" s="12"/>
      <c r="G301" s="12"/>
      <c r="H301" s="12"/>
      <c r="I301" s="12"/>
      <c r="J301" s="12"/>
      <c r="K301" s="6"/>
      <c r="L301" s="6"/>
      <c r="M301" s="6"/>
      <c r="N301" s="6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/>
      <c r="B302" s="7"/>
      <c r="C302" s="6"/>
      <c r="D302" s="12"/>
      <c r="E302" s="12"/>
      <c r="F302" s="12"/>
      <c r="G302" s="12"/>
      <c r="H302" s="12"/>
      <c r="I302" s="12"/>
      <c r="J302" s="12"/>
      <c r="K302" s="6"/>
      <c r="L302" s="6"/>
      <c r="M302" s="6"/>
      <c r="N302" s="6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/>
      <c r="B303" s="7"/>
      <c r="C303" s="6"/>
      <c r="D303" s="12"/>
      <c r="E303" s="12"/>
      <c r="F303" s="12"/>
      <c r="G303" s="12"/>
      <c r="H303" s="12"/>
      <c r="I303" s="12"/>
      <c r="J303" s="12"/>
      <c r="K303" s="6"/>
      <c r="L303" s="6"/>
      <c r="M303" s="6"/>
      <c r="N303" s="6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/>
      <c r="B304" s="7"/>
      <c r="C304" s="6"/>
      <c r="D304" s="12"/>
      <c r="E304" s="12"/>
      <c r="F304" s="12"/>
      <c r="G304" s="12"/>
      <c r="H304" s="12"/>
      <c r="I304" s="12"/>
      <c r="J304" s="12"/>
      <c r="K304" s="6"/>
      <c r="L304" s="6"/>
      <c r="M304" s="6"/>
      <c r="N304" s="6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/>
      <c r="B305" s="7"/>
      <c r="C305" s="6"/>
      <c r="D305" s="12"/>
      <c r="E305" s="12"/>
      <c r="F305" s="12"/>
      <c r="G305" s="12"/>
      <c r="H305" s="12"/>
      <c r="I305" s="12"/>
      <c r="J305" s="12"/>
      <c r="K305" s="6"/>
      <c r="L305" s="6"/>
      <c r="M305" s="6"/>
      <c r="N305" s="6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/>
      <c r="B306" s="7"/>
      <c r="C306" s="6"/>
      <c r="D306" s="12"/>
      <c r="E306" s="12"/>
      <c r="F306" s="12"/>
      <c r="G306" s="12"/>
      <c r="H306" s="12"/>
      <c r="I306" s="12"/>
      <c r="J306" s="12"/>
      <c r="K306" s="6"/>
      <c r="L306" s="6"/>
      <c r="M306" s="6"/>
      <c r="N306" s="6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/>
      <c r="B307" s="7"/>
      <c r="C307" s="6"/>
      <c r="D307" s="12"/>
      <c r="E307" s="12"/>
      <c r="F307" s="12"/>
      <c r="G307" s="12"/>
      <c r="H307" s="12"/>
      <c r="I307" s="12"/>
      <c r="J307" s="12"/>
      <c r="K307" s="6"/>
      <c r="L307" s="6"/>
      <c r="M307" s="6"/>
      <c r="N307" s="6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/>
      <c r="B308" s="7"/>
      <c r="C308" s="6"/>
      <c r="D308" s="12"/>
      <c r="E308" s="12"/>
      <c r="F308" s="12"/>
      <c r="G308" s="12"/>
      <c r="H308" s="12"/>
      <c r="I308" s="12"/>
      <c r="J308" s="12"/>
      <c r="K308" s="6"/>
      <c r="L308" s="6"/>
      <c r="M308" s="6"/>
      <c r="N308" s="6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/>
      <c r="B309" s="7"/>
      <c r="C309" s="6"/>
      <c r="D309" s="12"/>
      <c r="E309" s="12"/>
      <c r="F309" s="12"/>
      <c r="G309" s="12"/>
      <c r="H309" s="12"/>
      <c r="I309" s="12"/>
      <c r="J309" s="12"/>
      <c r="K309" s="6"/>
      <c r="L309" s="6"/>
      <c r="M309" s="6"/>
      <c r="N309" s="6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/>
      <c r="B310" s="7"/>
      <c r="C310" s="6"/>
      <c r="D310" s="12"/>
      <c r="E310" s="12"/>
      <c r="F310" s="12"/>
      <c r="G310" s="12"/>
      <c r="H310" s="12"/>
      <c r="I310" s="12"/>
      <c r="J310" s="12"/>
      <c r="K310" s="6"/>
      <c r="L310" s="6"/>
      <c r="M310" s="6"/>
      <c r="N310" s="6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/>
      <c r="B311" s="7"/>
      <c r="C311" s="6"/>
      <c r="D311" s="12"/>
      <c r="E311" s="12"/>
      <c r="F311" s="12"/>
      <c r="G311" s="12"/>
      <c r="H311" s="12"/>
      <c r="I311" s="12"/>
      <c r="J311" s="12"/>
      <c r="K311" s="6"/>
      <c r="L311" s="6"/>
      <c r="M311" s="6"/>
      <c r="N311" s="6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/>
      <c r="B312" s="7"/>
      <c r="C312" s="6"/>
      <c r="D312" s="12"/>
      <c r="E312" s="12"/>
      <c r="F312" s="12"/>
      <c r="G312" s="12"/>
      <c r="H312" s="12"/>
      <c r="I312" s="12"/>
      <c r="J312" s="12"/>
      <c r="K312" s="6"/>
      <c r="L312" s="6"/>
      <c r="M312" s="6"/>
      <c r="N312" s="6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/>
      <c r="B313" s="7"/>
      <c r="C313" s="6"/>
      <c r="D313" s="12"/>
      <c r="E313" s="12"/>
      <c r="F313" s="12"/>
      <c r="G313" s="12"/>
      <c r="H313" s="12"/>
      <c r="I313" s="12"/>
      <c r="J313" s="12"/>
      <c r="K313" s="6"/>
      <c r="L313" s="6"/>
      <c r="M313" s="6"/>
      <c r="N313" s="6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/>
      <c r="B314" s="7"/>
      <c r="C314" s="6"/>
      <c r="D314" s="12"/>
      <c r="E314" s="12"/>
      <c r="F314" s="12"/>
      <c r="G314" s="12"/>
      <c r="H314" s="12"/>
      <c r="I314" s="12"/>
      <c r="J314" s="12"/>
      <c r="K314" s="6"/>
      <c r="L314" s="6"/>
      <c r="M314" s="6"/>
      <c r="N314" s="6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/>
      <c r="B315" s="7"/>
      <c r="C315" s="6"/>
      <c r="D315" s="12"/>
      <c r="E315" s="12"/>
      <c r="F315" s="12"/>
      <c r="G315" s="12"/>
      <c r="H315" s="12"/>
      <c r="I315" s="12"/>
      <c r="J315" s="12"/>
      <c r="K315" s="6"/>
      <c r="L315" s="6"/>
      <c r="M315" s="6"/>
      <c r="N315" s="6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/>
      <c r="B316" s="7"/>
      <c r="C316" s="6"/>
      <c r="D316" s="12"/>
      <c r="E316" s="12"/>
      <c r="F316" s="12"/>
      <c r="G316" s="12"/>
      <c r="H316" s="12"/>
      <c r="I316" s="12"/>
      <c r="J316" s="12"/>
      <c r="K316" s="6"/>
      <c r="L316" s="6"/>
      <c r="M316" s="6"/>
      <c r="N316" s="6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/>
      <c r="B317" s="7"/>
      <c r="C317" s="6"/>
      <c r="D317" s="12"/>
      <c r="E317" s="12"/>
      <c r="F317" s="12"/>
      <c r="G317" s="12"/>
      <c r="H317" s="12"/>
      <c r="I317" s="12"/>
      <c r="J317" s="12"/>
      <c r="K317" s="6"/>
      <c r="L317" s="6"/>
      <c r="M317" s="6"/>
      <c r="N317" s="6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/>
      <c r="B318" s="7"/>
      <c r="C318" s="6"/>
      <c r="D318" s="12"/>
      <c r="E318" s="12"/>
      <c r="F318" s="12"/>
      <c r="G318" s="12"/>
      <c r="H318" s="12"/>
      <c r="I318" s="12"/>
      <c r="J318" s="12"/>
      <c r="K318" s="6"/>
      <c r="L318" s="6"/>
      <c r="M318" s="6"/>
      <c r="N318" s="6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/>
      <c r="B319" s="7"/>
      <c r="C319" s="6"/>
      <c r="D319" s="12"/>
      <c r="E319" s="12"/>
      <c r="F319" s="12"/>
      <c r="G319" s="12"/>
      <c r="H319" s="12"/>
      <c r="I319" s="12"/>
      <c r="J319" s="12"/>
      <c r="K319" s="6"/>
      <c r="L319" s="6"/>
      <c r="M319" s="6"/>
      <c r="N319" s="6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/>
      <c r="B320" s="7"/>
      <c r="C320" s="6"/>
      <c r="D320" s="12"/>
      <c r="E320" s="12"/>
      <c r="F320" s="12"/>
      <c r="G320" s="12"/>
      <c r="H320" s="12"/>
      <c r="I320" s="12"/>
      <c r="J320" s="12"/>
      <c r="K320" s="6"/>
      <c r="L320" s="6"/>
      <c r="M320" s="6"/>
      <c r="N320" s="6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/>
      <c r="B321" s="7"/>
      <c r="C321" s="6"/>
      <c r="D321" s="12"/>
      <c r="E321" s="12"/>
      <c r="F321" s="12"/>
      <c r="G321" s="12"/>
      <c r="H321" s="12"/>
      <c r="I321" s="12"/>
      <c r="J321" s="12"/>
      <c r="K321" s="6"/>
      <c r="L321" s="6"/>
      <c r="M321" s="6"/>
      <c r="N321" s="6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/>
      <c r="B322" s="7"/>
      <c r="C322" s="6"/>
      <c r="D322" s="12"/>
      <c r="E322" s="12"/>
      <c r="F322" s="12"/>
      <c r="G322" s="12"/>
      <c r="H322" s="12"/>
      <c r="I322" s="12"/>
      <c r="J322" s="12"/>
      <c r="K322" s="6"/>
      <c r="L322" s="6"/>
      <c r="M322" s="6"/>
      <c r="N322" s="6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/>
      <c r="B323" s="7"/>
      <c r="C323" s="6"/>
      <c r="D323" s="12"/>
      <c r="E323" s="12"/>
      <c r="F323" s="12"/>
      <c r="G323" s="12"/>
      <c r="H323" s="12"/>
      <c r="I323" s="12"/>
      <c r="J323" s="12"/>
      <c r="K323" s="6"/>
      <c r="L323" s="6"/>
      <c r="M323" s="6"/>
      <c r="N323" s="6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/>
      <c r="B324" s="7"/>
      <c r="C324" s="6"/>
      <c r="D324" s="12"/>
      <c r="E324" s="12"/>
      <c r="F324" s="12"/>
      <c r="G324" s="12"/>
      <c r="H324" s="12"/>
      <c r="I324" s="12"/>
      <c r="J324" s="12"/>
      <c r="K324" s="6"/>
      <c r="L324" s="6"/>
      <c r="M324" s="6"/>
      <c r="N324" s="6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/>
      <c r="B325" s="7"/>
      <c r="C325" s="6"/>
      <c r="D325" s="12"/>
      <c r="E325" s="12"/>
      <c r="F325" s="12"/>
      <c r="G325" s="12"/>
      <c r="H325" s="12"/>
      <c r="I325" s="12"/>
      <c r="J325" s="12"/>
      <c r="K325" s="6"/>
      <c r="L325" s="6"/>
      <c r="M325" s="6"/>
      <c r="N325" s="6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/>
      <c r="B326" s="7"/>
      <c r="C326" s="6"/>
      <c r="D326" s="12"/>
      <c r="E326" s="12"/>
      <c r="F326" s="12"/>
      <c r="G326" s="12"/>
      <c r="H326" s="12"/>
      <c r="I326" s="12"/>
      <c r="J326" s="12"/>
      <c r="K326" s="6"/>
      <c r="L326" s="6"/>
      <c r="M326" s="6"/>
      <c r="N326" s="6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/>
      <c r="B327" s="7"/>
      <c r="C327" s="6"/>
      <c r="D327" s="12"/>
      <c r="E327" s="12"/>
      <c r="F327" s="12"/>
      <c r="G327" s="12"/>
      <c r="H327" s="12"/>
      <c r="I327" s="12"/>
      <c r="J327" s="12"/>
      <c r="K327" s="6"/>
      <c r="L327" s="6"/>
      <c r="M327" s="6"/>
      <c r="N327" s="6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/>
      <c r="B328" s="7"/>
      <c r="C328" s="6"/>
      <c r="D328" s="12"/>
      <c r="E328" s="12"/>
      <c r="F328" s="12"/>
      <c r="G328" s="12"/>
      <c r="H328" s="12"/>
      <c r="I328" s="12"/>
      <c r="J328" s="12"/>
      <c r="K328" s="6"/>
      <c r="L328" s="6"/>
      <c r="M328" s="6"/>
      <c r="N328" s="6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/>
      <c r="B329" s="7"/>
      <c r="C329" s="6"/>
      <c r="D329" s="12"/>
      <c r="E329" s="12"/>
      <c r="F329" s="12"/>
      <c r="G329" s="12"/>
      <c r="H329" s="12"/>
      <c r="I329" s="12"/>
      <c r="J329" s="12"/>
      <c r="K329" s="6"/>
      <c r="L329" s="6"/>
      <c r="M329" s="6"/>
      <c r="N329" s="6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/>
      <c r="B330" s="7"/>
      <c r="C330" s="6"/>
      <c r="D330" s="12"/>
      <c r="E330" s="12"/>
      <c r="F330" s="12"/>
      <c r="G330" s="12"/>
      <c r="H330" s="12"/>
      <c r="I330" s="12"/>
      <c r="J330" s="12"/>
      <c r="K330" s="6"/>
      <c r="L330" s="6"/>
      <c r="M330" s="6"/>
      <c r="N330" s="6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/>
      <c r="B331" s="7"/>
      <c r="C331" s="6"/>
      <c r="D331" s="12"/>
      <c r="E331" s="12"/>
      <c r="F331" s="12"/>
      <c r="G331" s="12"/>
      <c r="H331" s="12"/>
      <c r="I331" s="12"/>
      <c r="J331" s="12"/>
      <c r="K331" s="6"/>
      <c r="L331" s="6"/>
      <c r="M331" s="6"/>
      <c r="N331" s="6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/>
      <c r="B332" s="7"/>
      <c r="C332" s="6"/>
      <c r="D332" s="12"/>
      <c r="E332" s="12"/>
      <c r="F332" s="12"/>
      <c r="G332" s="12"/>
      <c r="H332" s="12"/>
      <c r="I332" s="12"/>
      <c r="J332" s="12"/>
      <c r="K332" s="6"/>
      <c r="L332" s="6"/>
      <c r="M332" s="6"/>
      <c r="N332" s="6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/>
      <c r="B333" s="7"/>
      <c r="C333" s="6"/>
      <c r="D333" s="12"/>
      <c r="E333" s="12"/>
      <c r="F333" s="12"/>
      <c r="G333" s="12"/>
      <c r="H333" s="12"/>
      <c r="I333" s="12"/>
      <c r="J333" s="12"/>
      <c r="K333" s="6"/>
      <c r="L333" s="6"/>
      <c r="M333" s="6"/>
      <c r="N333" s="6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/>
      <c r="B334" s="7"/>
      <c r="C334" s="6"/>
      <c r="D334" s="12"/>
      <c r="E334" s="12"/>
      <c r="F334" s="12"/>
      <c r="G334" s="12"/>
      <c r="H334" s="12"/>
      <c r="I334" s="12"/>
      <c r="J334" s="12"/>
      <c r="K334" s="6"/>
      <c r="L334" s="6"/>
      <c r="M334" s="6"/>
      <c r="N334" s="6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/>
      <c r="B335" s="7"/>
      <c r="C335" s="6"/>
      <c r="D335" s="12"/>
      <c r="E335" s="12"/>
      <c r="F335" s="12"/>
      <c r="G335" s="12"/>
      <c r="H335" s="12"/>
      <c r="I335" s="12"/>
      <c r="J335" s="12"/>
      <c r="K335" s="6"/>
      <c r="L335" s="6"/>
      <c r="M335" s="6"/>
      <c r="N335" s="6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/>
      <c r="B336" s="7"/>
      <c r="C336" s="6"/>
      <c r="D336" s="12"/>
      <c r="E336" s="12"/>
      <c r="F336" s="12"/>
      <c r="G336" s="12"/>
      <c r="H336" s="12"/>
      <c r="I336" s="12"/>
      <c r="J336" s="12"/>
      <c r="K336" s="6"/>
      <c r="L336" s="6"/>
      <c r="M336" s="6"/>
      <c r="N336" s="6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/>
      <c r="B337" s="7"/>
      <c r="C337" s="6"/>
      <c r="D337" s="12"/>
      <c r="E337" s="12"/>
      <c r="F337" s="12"/>
      <c r="G337" s="12"/>
      <c r="H337" s="12"/>
      <c r="I337" s="12"/>
      <c r="J337" s="12"/>
      <c r="K337" s="6"/>
      <c r="L337" s="6"/>
      <c r="M337" s="6"/>
      <c r="N337" s="6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/>
      <c r="B338" s="7"/>
      <c r="C338" s="6"/>
      <c r="D338" s="12"/>
      <c r="E338" s="12"/>
      <c r="F338" s="12"/>
      <c r="G338" s="12"/>
      <c r="H338" s="12"/>
      <c r="I338" s="12"/>
      <c r="J338" s="12"/>
      <c r="K338" s="6"/>
      <c r="L338" s="6"/>
      <c r="M338" s="6"/>
      <c r="N338" s="6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/>
      <c r="B339" s="7"/>
      <c r="C339" s="6"/>
      <c r="D339" s="12"/>
      <c r="E339" s="12"/>
      <c r="F339" s="12"/>
      <c r="G339" s="12"/>
      <c r="H339" s="12"/>
      <c r="I339" s="12"/>
      <c r="J339" s="12"/>
      <c r="K339" s="6"/>
      <c r="L339" s="6"/>
      <c r="M339" s="6"/>
      <c r="N339" s="6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/>
      <c r="B340" s="7"/>
      <c r="C340" s="6"/>
      <c r="D340" s="12"/>
      <c r="E340" s="12"/>
      <c r="F340" s="12"/>
      <c r="G340" s="12"/>
      <c r="H340" s="12"/>
      <c r="I340" s="12"/>
      <c r="J340" s="12"/>
      <c r="K340" s="6"/>
      <c r="L340" s="6"/>
      <c r="M340" s="6"/>
      <c r="N340" s="6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/>
      <c r="B341" s="7"/>
      <c r="C341" s="6"/>
      <c r="D341" s="12"/>
      <c r="E341" s="12"/>
      <c r="F341" s="12"/>
      <c r="G341" s="12"/>
      <c r="H341" s="12"/>
      <c r="I341" s="12"/>
      <c r="J341" s="12"/>
      <c r="K341" s="6"/>
      <c r="L341" s="6"/>
      <c r="M341" s="6"/>
      <c r="N341" s="6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/>
      <c r="B342" s="7"/>
      <c r="C342" s="6"/>
      <c r="D342" s="12"/>
      <c r="E342" s="12"/>
      <c r="F342" s="12"/>
      <c r="G342" s="12"/>
      <c r="H342" s="12"/>
      <c r="I342" s="12"/>
      <c r="J342" s="12"/>
      <c r="K342" s="6"/>
      <c r="L342" s="6"/>
      <c r="M342" s="6"/>
      <c r="N342" s="6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/>
      <c r="B343" s="7"/>
      <c r="C343" s="6"/>
      <c r="D343" s="12"/>
      <c r="E343" s="12"/>
      <c r="F343" s="12"/>
      <c r="G343" s="12"/>
      <c r="H343" s="12"/>
      <c r="I343" s="12"/>
      <c r="J343" s="12"/>
      <c r="K343" s="6"/>
      <c r="L343" s="6"/>
      <c r="M343" s="6"/>
      <c r="N343" s="6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/>
      <c r="B344" s="7"/>
      <c r="C344" s="6"/>
      <c r="D344" s="12"/>
      <c r="E344" s="12"/>
      <c r="F344" s="12"/>
      <c r="G344" s="12"/>
      <c r="H344" s="12"/>
      <c r="I344" s="12"/>
      <c r="J344" s="12"/>
      <c r="K344" s="6"/>
      <c r="L344" s="6"/>
      <c r="M344" s="6"/>
      <c r="N344" s="6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/>
      <c r="B345" s="7"/>
      <c r="C345" s="6"/>
      <c r="D345" s="12"/>
      <c r="E345" s="12"/>
      <c r="F345" s="12"/>
      <c r="G345" s="12"/>
      <c r="H345" s="12"/>
      <c r="I345" s="12"/>
      <c r="J345" s="12"/>
      <c r="K345" s="6"/>
      <c r="L345" s="6"/>
      <c r="M345" s="6"/>
      <c r="N345" s="6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/>
      <c r="B346" s="7"/>
      <c r="C346" s="6"/>
      <c r="D346" s="12"/>
      <c r="E346" s="12"/>
      <c r="F346" s="12"/>
      <c r="G346" s="12"/>
      <c r="H346" s="12"/>
      <c r="I346" s="12"/>
      <c r="J346" s="12"/>
      <c r="K346" s="6"/>
      <c r="L346" s="6"/>
      <c r="M346" s="6"/>
      <c r="N346" s="6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/>
      <c r="B347" s="7"/>
      <c r="C347" s="6"/>
      <c r="D347" s="12"/>
      <c r="E347" s="12"/>
      <c r="F347" s="12"/>
      <c r="G347" s="12"/>
      <c r="H347" s="12"/>
      <c r="I347" s="12"/>
      <c r="J347" s="12"/>
      <c r="K347" s="6"/>
      <c r="L347" s="6"/>
      <c r="M347" s="6"/>
      <c r="N347" s="6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/>
      <c r="B348" s="7"/>
      <c r="C348" s="6"/>
      <c r="D348" s="12"/>
      <c r="E348" s="12"/>
      <c r="F348" s="12"/>
      <c r="G348" s="12"/>
      <c r="H348" s="12"/>
      <c r="I348" s="12"/>
      <c r="J348" s="12"/>
      <c r="K348" s="6"/>
      <c r="L348" s="6"/>
      <c r="M348" s="6"/>
      <c r="N348" s="6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/>
      <c r="B349" s="7"/>
      <c r="C349" s="6"/>
      <c r="D349" s="12"/>
      <c r="E349" s="12"/>
      <c r="F349" s="12"/>
      <c r="G349" s="12"/>
      <c r="H349" s="12"/>
      <c r="I349" s="12"/>
      <c r="J349" s="12"/>
      <c r="K349" s="6"/>
      <c r="L349" s="6"/>
      <c r="M349" s="6"/>
      <c r="N349" s="6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/>
      <c r="B350" s="7"/>
      <c r="C350" s="6"/>
      <c r="D350" s="12"/>
      <c r="E350" s="12"/>
      <c r="F350" s="12"/>
      <c r="G350" s="12"/>
      <c r="H350" s="12"/>
      <c r="I350" s="12"/>
      <c r="J350" s="12"/>
      <c r="K350" s="6"/>
      <c r="L350" s="6"/>
      <c r="M350" s="6"/>
      <c r="N350" s="6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/>
      <c r="B351" s="7"/>
      <c r="C351" s="6"/>
      <c r="D351" s="12"/>
      <c r="E351" s="12"/>
      <c r="F351" s="12"/>
      <c r="G351" s="12"/>
      <c r="H351" s="12"/>
      <c r="I351" s="12"/>
      <c r="J351" s="12"/>
      <c r="K351" s="6"/>
      <c r="L351" s="6"/>
      <c r="M351" s="6"/>
      <c r="N351" s="6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/>
      <c r="B352" s="7"/>
      <c r="C352" s="6"/>
      <c r="D352" s="12"/>
      <c r="E352" s="12"/>
      <c r="F352" s="12"/>
      <c r="G352" s="12"/>
      <c r="H352" s="12"/>
      <c r="I352" s="12"/>
      <c r="J352" s="12"/>
      <c r="K352" s="6"/>
      <c r="L352" s="6"/>
      <c r="M352" s="6"/>
      <c r="N352" s="6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/>
      <c r="B353" s="7"/>
      <c r="C353" s="6"/>
      <c r="D353" s="12"/>
      <c r="E353" s="12"/>
      <c r="F353" s="12"/>
      <c r="G353" s="12"/>
      <c r="H353" s="12"/>
      <c r="I353" s="12"/>
      <c r="J353" s="12"/>
      <c r="K353" s="6"/>
      <c r="L353" s="6"/>
      <c r="M353" s="6"/>
      <c r="N353" s="6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/>
      <c r="B354" s="7"/>
      <c r="C354" s="6"/>
      <c r="D354" s="12"/>
      <c r="E354" s="12"/>
      <c r="F354" s="12"/>
      <c r="G354" s="12"/>
      <c r="H354" s="12"/>
      <c r="I354" s="12"/>
      <c r="J354" s="12"/>
      <c r="K354" s="6"/>
      <c r="L354" s="6"/>
      <c r="M354" s="6"/>
      <c r="N354" s="6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/>
      <c r="B355" s="7"/>
      <c r="C355" s="6"/>
      <c r="D355" s="12"/>
      <c r="E355" s="12"/>
      <c r="F355" s="12"/>
      <c r="G355" s="12"/>
      <c r="H355" s="12"/>
      <c r="I355" s="12"/>
      <c r="J355" s="12"/>
      <c r="K355" s="6"/>
      <c r="L355" s="6"/>
      <c r="M355" s="6"/>
      <c r="N355" s="6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/>
      <c r="B356" s="7"/>
      <c r="C356" s="6"/>
      <c r="D356" s="12"/>
      <c r="E356" s="12"/>
      <c r="F356" s="12"/>
      <c r="G356" s="12"/>
      <c r="H356" s="12"/>
      <c r="I356" s="12"/>
      <c r="J356" s="12"/>
      <c r="K356" s="6"/>
      <c r="L356" s="6"/>
      <c r="M356" s="6"/>
      <c r="N356" s="6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/>
      <c r="B357" s="7"/>
      <c r="C357" s="6"/>
      <c r="D357" s="12"/>
      <c r="E357" s="12"/>
      <c r="F357" s="12"/>
      <c r="G357" s="12"/>
      <c r="H357" s="12"/>
      <c r="I357" s="12"/>
      <c r="J357" s="12"/>
      <c r="K357" s="6"/>
      <c r="L357" s="6"/>
      <c r="M357" s="6"/>
      <c r="N357" s="6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/>
      <c r="B358" s="7"/>
      <c r="C358" s="6"/>
      <c r="D358" s="12"/>
      <c r="E358" s="12"/>
      <c r="F358" s="12"/>
      <c r="G358" s="12"/>
      <c r="H358" s="12"/>
      <c r="I358" s="12"/>
      <c r="J358" s="12"/>
      <c r="K358" s="6"/>
      <c r="L358" s="6"/>
      <c r="M358" s="6"/>
      <c r="N358" s="6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/>
      <c r="B359" s="7"/>
      <c r="C359" s="6"/>
      <c r="D359" s="12"/>
      <c r="E359" s="12"/>
      <c r="F359" s="12"/>
      <c r="G359" s="12"/>
      <c r="H359" s="12"/>
      <c r="I359" s="12"/>
      <c r="J359" s="12"/>
      <c r="K359" s="6"/>
      <c r="L359" s="6"/>
      <c r="M359" s="6"/>
      <c r="N359" s="6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/>
      <c r="B360" s="7"/>
      <c r="C360" s="6"/>
      <c r="D360" s="12"/>
      <c r="E360" s="12"/>
      <c r="F360" s="12"/>
      <c r="G360" s="12"/>
      <c r="H360" s="12"/>
      <c r="I360" s="12"/>
      <c r="J360" s="12"/>
      <c r="K360" s="6"/>
      <c r="L360" s="6"/>
      <c r="M360" s="6"/>
      <c r="N360" s="6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/>
      <c r="B361" s="7"/>
      <c r="C361" s="6"/>
      <c r="D361" s="12"/>
      <c r="E361" s="12"/>
      <c r="F361" s="12"/>
      <c r="G361" s="12"/>
      <c r="H361" s="12"/>
      <c r="I361" s="12"/>
      <c r="J361" s="12"/>
      <c r="K361" s="6"/>
      <c r="L361" s="6"/>
      <c r="M361" s="6"/>
      <c r="N361" s="6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/>
      <c r="B362" s="7"/>
      <c r="C362" s="6"/>
      <c r="D362" s="12"/>
      <c r="E362" s="12"/>
      <c r="F362" s="12"/>
      <c r="G362" s="12"/>
      <c r="H362" s="12"/>
      <c r="I362" s="12"/>
      <c r="J362" s="12"/>
      <c r="K362" s="6"/>
      <c r="L362" s="6"/>
      <c r="M362" s="6"/>
      <c r="N362" s="6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/>
      <c r="B363" s="7"/>
      <c r="C363" s="6"/>
      <c r="D363" s="12"/>
      <c r="E363" s="12"/>
      <c r="F363" s="12"/>
      <c r="G363" s="12"/>
      <c r="H363" s="12"/>
      <c r="I363" s="12"/>
      <c r="J363" s="12"/>
      <c r="K363" s="6"/>
      <c r="L363" s="6"/>
      <c r="M363" s="6"/>
      <c r="N363" s="6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/>
      <c r="B364" s="7"/>
      <c r="C364" s="6"/>
      <c r="D364" s="12"/>
      <c r="E364" s="12"/>
      <c r="F364" s="12"/>
      <c r="G364" s="12"/>
      <c r="H364" s="12"/>
      <c r="I364" s="12"/>
      <c r="J364" s="12"/>
      <c r="K364" s="6"/>
      <c r="L364" s="6"/>
      <c r="M364" s="6"/>
      <c r="N364" s="6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/>
      <c r="B365" s="7"/>
      <c r="C365" s="6"/>
      <c r="D365" s="12"/>
      <c r="E365" s="12"/>
      <c r="F365" s="12"/>
      <c r="G365" s="12"/>
      <c r="H365" s="12"/>
      <c r="I365" s="12"/>
      <c r="J365" s="12"/>
      <c r="K365" s="6"/>
      <c r="L365" s="6"/>
      <c r="M365" s="6"/>
      <c r="N365" s="6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/>
      <c r="B366" s="7"/>
      <c r="C366" s="6"/>
      <c r="D366" s="12"/>
      <c r="E366" s="12"/>
      <c r="F366" s="12"/>
      <c r="G366" s="12"/>
      <c r="H366" s="12"/>
      <c r="I366" s="12"/>
      <c r="J366" s="12"/>
      <c r="K366" s="6"/>
      <c r="L366" s="6"/>
      <c r="M366" s="6"/>
      <c r="N366" s="6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/>
      <c r="B367" s="7"/>
      <c r="C367" s="6"/>
      <c r="D367" s="12"/>
      <c r="E367" s="12"/>
      <c r="F367" s="12"/>
      <c r="G367" s="12"/>
      <c r="H367" s="12"/>
      <c r="I367" s="12"/>
      <c r="J367" s="12"/>
      <c r="K367" s="6"/>
      <c r="L367" s="6"/>
      <c r="M367" s="6"/>
      <c r="N367" s="6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/>
      <c r="B368" s="7"/>
      <c r="C368" s="6"/>
      <c r="D368" s="12"/>
      <c r="E368" s="12"/>
      <c r="F368" s="12"/>
      <c r="G368" s="12"/>
      <c r="H368" s="12"/>
      <c r="I368" s="12"/>
      <c r="J368" s="12"/>
      <c r="K368" s="6"/>
      <c r="L368" s="6"/>
      <c r="M368" s="6"/>
      <c r="N368" s="6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/>
      <c r="B369" s="7"/>
      <c r="C369" s="6"/>
      <c r="D369" s="12"/>
      <c r="E369" s="12"/>
      <c r="F369" s="12"/>
      <c r="G369" s="12"/>
      <c r="H369" s="12"/>
      <c r="I369" s="12"/>
      <c r="J369" s="12"/>
      <c r="K369" s="6"/>
      <c r="L369" s="6"/>
      <c r="M369" s="6"/>
      <c r="N369" s="6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/>
      <c r="B370" s="7"/>
      <c r="C370" s="6"/>
      <c r="D370" s="12"/>
      <c r="E370" s="12"/>
      <c r="F370" s="12"/>
      <c r="G370" s="12"/>
      <c r="H370" s="12"/>
      <c r="I370" s="12"/>
      <c r="J370" s="12"/>
      <c r="K370" s="6"/>
      <c r="L370" s="6"/>
      <c r="M370" s="6"/>
      <c r="N370" s="6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/>
      <c r="B371" s="7"/>
      <c r="C371" s="6"/>
      <c r="D371" s="12"/>
      <c r="E371" s="12"/>
      <c r="F371" s="12"/>
      <c r="G371" s="12"/>
      <c r="H371" s="12"/>
      <c r="I371" s="12"/>
      <c r="J371" s="12"/>
      <c r="K371" s="6"/>
      <c r="L371" s="6"/>
      <c r="M371" s="6"/>
      <c r="N371" s="6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/>
      <c r="B372" s="7"/>
      <c r="C372" s="6"/>
      <c r="D372" s="12"/>
      <c r="E372" s="12"/>
      <c r="F372" s="12"/>
      <c r="G372" s="12"/>
      <c r="H372" s="12"/>
      <c r="I372" s="12"/>
      <c r="J372" s="12"/>
      <c r="K372" s="6"/>
      <c r="L372" s="6"/>
      <c r="M372" s="6"/>
      <c r="N372" s="6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/>
      <c r="B373" s="7"/>
      <c r="C373" s="6"/>
      <c r="D373" s="12"/>
      <c r="E373" s="12"/>
      <c r="F373" s="12"/>
      <c r="G373" s="12"/>
      <c r="H373" s="12"/>
      <c r="I373" s="12"/>
      <c r="J373" s="12"/>
      <c r="K373" s="6"/>
      <c r="L373" s="6"/>
      <c r="M373" s="6"/>
      <c r="N373" s="6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/>
      <c r="B374" s="7"/>
      <c r="C374" s="6"/>
      <c r="D374" s="12"/>
      <c r="E374" s="12"/>
      <c r="F374" s="12"/>
      <c r="G374" s="12"/>
      <c r="H374" s="12"/>
      <c r="I374" s="12"/>
      <c r="J374" s="12"/>
      <c r="K374" s="6"/>
      <c r="L374" s="6"/>
      <c r="M374" s="6"/>
      <c r="N374" s="6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/>
      <c r="B375" s="7"/>
      <c r="C375" s="6"/>
      <c r="D375" s="12"/>
      <c r="E375" s="12"/>
      <c r="F375" s="12"/>
      <c r="G375" s="12"/>
      <c r="H375" s="12"/>
      <c r="I375" s="12"/>
      <c r="J375" s="12"/>
      <c r="K375" s="6"/>
      <c r="L375" s="6"/>
      <c r="M375" s="6"/>
      <c r="N375" s="6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/>
      <c r="B376" s="7"/>
      <c r="C376" s="6"/>
      <c r="D376" s="12"/>
      <c r="E376" s="12"/>
      <c r="F376" s="12"/>
      <c r="G376" s="12"/>
      <c r="H376" s="12"/>
      <c r="I376" s="12"/>
      <c r="J376" s="12"/>
      <c r="K376" s="6"/>
      <c r="L376" s="6"/>
      <c r="M376" s="6"/>
      <c r="N376" s="6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/>
      <c r="B377" s="7"/>
      <c r="C377" s="6"/>
      <c r="D377" s="12"/>
      <c r="E377" s="12"/>
      <c r="F377" s="12"/>
      <c r="G377" s="12"/>
      <c r="H377" s="12"/>
      <c r="I377" s="12"/>
      <c r="J377" s="12"/>
      <c r="K377" s="6"/>
      <c r="L377" s="6"/>
      <c r="M377" s="6"/>
      <c r="N377" s="6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/>
      <c r="B378" s="7"/>
      <c r="C378" s="6"/>
      <c r="D378" s="12"/>
      <c r="E378" s="12"/>
      <c r="F378" s="12"/>
      <c r="G378" s="12"/>
      <c r="H378" s="12"/>
      <c r="I378" s="12"/>
      <c r="J378" s="12"/>
      <c r="K378" s="6"/>
      <c r="L378" s="6"/>
      <c r="M378" s="6"/>
      <c r="N378" s="6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/>
      <c r="B379" s="7"/>
      <c r="C379" s="6"/>
      <c r="D379" s="12"/>
      <c r="E379" s="12"/>
      <c r="F379" s="12"/>
      <c r="G379" s="12"/>
      <c r="H379" s="12"/>
      <c r="I379" s="12"/>
      <c r="J379" s="12"/>
      <c r="K379" s="6"/>
      <c r="L379" s="6"/>
      <c r="M379" s="6"/>
      <c r="N379" s="6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/>
      <c r="B380" s="7"/>
      <c r="C380" s="6"/>
      <c r="D380" s="12"/>
      <c r="E380" s="12"/>
      <c r="F380" s="12"/>
      <c r="G380" s="12"/>
      <c r="H380" s="12"/>
      <c r="I380" s="12"/>
      <c r="J380" s="12"/>
      <c r="K380" s="6"/>
      <c r="L380" s="6"/>
      <c r="M380" s="6"/>
      <c r="N380" s="6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/>
      <c r="B381" s="7"/>
      <c r="C381" s="6"/>
      <c r="D381" s="12"/>
      <c r="E381" s="12"/>
      <c r="F381" s="12"/>
      <c r="G381" s="12"/>
      <c r="H381" s="12"/>
      <c r="I381" s="12"/>
      <c r="J381" s="12"/>
      <c r="K381" s="6"/>
      <c r="L381" s="6"/>
      <c r="M381" s="6"/>
      <c r="N381" s="6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/>
      <c r="B382" s="7"/>
      <c r="C382" s="6"/>
      <c r="D382" s="12"/>
      <c r="E382" s="12"/>
      <c r="F382" s="12"/>
      <c r="G382" s="12"/>
      <c r="H382" s="12"/>
      <c r="I382" s="12"/>
      <c r="J382" s="12"/>
      <c r="K382" s="6"/>
      <c r="L382" s="6"/>
      <c r="M382" s="6"/>
      <c r="N382" s="6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/>
      <c r="B383" s="7"/>
      <c r="C383" s="6"/>
      <c r="D383" s="12"/>
      <c r="E383" s="12"/>
      <c r="F383" s="12"/>
      <c r="G383" s="12"/>
      <c r="H383" s="12"/>
      <c r="I383" s="12"/>
      <c r="J383" s="12"/>
      <c r="K383" s="6"/>
      <c r="L383" s="6"/>
      <c r="M383" s="6"/>
      <c r="N383" s="6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/>
      <c r="B384" s="7"/>
      <c r="C384" s="6"/>
      <c r="D384" s="12"/>
      <c r="E384" s="12"/>
      <c r="F384" s="12"/>
      <c r="G384" s="12"/>
      <c r="H384" s="12"/>
      <c r="I384" s="12"/>
      <c r="J384" s="12"/>
      <c r="K384" s="6"/>
      <c r="L384" s="6"/>
      <c r="M384" s="6"/>
      <c r="N384" s="6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/>
      <c r="B385" s="7"/>
      <c r="C385" s="6"/>
      <c r="D385" s="12"/>
      <c r="E385" s="12"/>
      <c r="F385" s="12"/>
      <c r="G385" s="12"/>
      <c r="H385" s="12"/>
      <c r="I385" s="12"/>
      <c r="J385" s="12"/>
      <c r="K385" s="6"/>
      <c r="L385" s="6"/>
      <c r="M385" s="6"/>
      <c r="N385" s="6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/>
      <c r="B386" s="7"/>
      <c r="C386" s="6"/>
      <c r="D386" s="12"/>
      <c r="E386" s="12"/>
      <c r="F386" s="12"/>
      <c r="G386" s="12"/>
      <c r="H386" s="12"/>
      <c r="I386" s="12"/>
      <c r="J386" s="12"/>
      <c r="K386" s="6"/>
      <c r="L386" s="6"/>
      <c r="M386" s="6"/>
      <c r="N386" s="6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/>
      <c r="B387" s="7"/>
      <c r="C387" s="6"/>
      <c r="D387" s="12"/>
      <c r="E387" s="12"/>
      <c r="F387" s="12"/>
      <c r="G387" s="12"/>
      <c r="H387" s="12"/>
      <c r="I387" s="12"/>
      <c r="J387" s="12"/>
      <c r="K387" s="6"/>
      <c r="L387" s="6"/>
      <c r="M387" s="6"/>
      <c r="N387" s="6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/>
      <c r="B388" s="7"/>
      <c r="C388" s="6"/>
      <c r="D388" s="12"/>
      <c r="E388" s="12"/>
      <c r="F388" s="12"/>
      <c r="G388" s="12"/>
      <c r="H388" s="12"/>
      <c r="I388" s="12"/>
      <c r="J388" s="12"/>
      <c r="K388" s="6"/>
      <c r="L388" s="6"/>
      <c r="M388" s="6"/>
      <c r="N388" s="6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/>
      <c r="B389" s="7"/>
      <c r="C389" s="6"/>
      <c r="D389" s="12"/>
      <c r="E389" s="12"/>
      <c r="F389" s="12"/>
      <c r="G389" s="12"/>
      <c r="H389" s="12"/>
      <c r="I389" s="12"/>
      <c r="J389" s="12"/>
      <c r="K389" s="6"/>
      <c r="L389" s="6"/>
      <c r="M389" s="6"/>
      <c r="N389" s="6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/>
      <c r="B390" s="7"/>
      <c r="C390" s="6"/>
      <c r="D390" s="12"/>
      <c r="E390" s="12"/>
      <c r="F390" s="12"/>
      <c r="G390" s="12"/>
      <c r="H390" s="12"/>
      <c r="I390" s="12"/>
      <c r="J390" s="12"/>
      <c r="K390" s="6"/>
      <c r="L390" s="6"/>
      <c r="M390" s="6"/>
      <c r="N390" s="6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/>
      <c r="B391" s="7"/>
      <c r="C391" s="6"/>
      <c r="D391" s="12"/>
      <c r="E391" s="12"/>
      <c r="F391" s="12"/>
      <c r="G391" s="12"/>
      <c r="H391" s="12"/>
      <c r="I391" s="12"/>
      <c r="J391" s="12"/>
      <c r="K391" s="6"/>
      <c r="L391" s="6"/>
      <c r="M391" s="6"/>
      <c r="N391" s="6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/>
      <c r="B392" s="7"/>
      <c r="C392" s="6"/>
      <c r="D392" s="12"/>
      <c r="E392" s="12"/>
      <c r="F392" s="12"/>
      <c r="G392" s="12"/>
      <c r="H392" s="12"/>
      <c r="I392" s="12"/>
      <c r="J392" s="12"/>
      <c r="K392" s="6"/>
      <c r="L392" s="6"/>
      <c r="M392" s="6"/>
      <c r="N392" s="6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/>
      <c r="B393" s="7"/>
      <c r="C393" s="6"/>
      <c r="D393" s="12"/>
      <c r="E393" s="12"/>
      <c r="F393" s="12"/>
      <c r="G393" s="12"/>
      <c r="H393" s="12"/>
      <c r="I393" s="12"/>
      <c r="J393" s="12"/>
      <c r="K393" s="6"/>
      <c r="L393" s="6"/>
      <c r="M393" s="6"/>
      <c r="N393" s="6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/>
      <c r="B394" s="7"/>
      <c r="C394" s="6"/>
      <c r="D394" s="12"/>
      <c r="E394" s="12"/>
      <c r="F394" s="12"/>
      <c r="G394" s="12"/>
      <c r="H394" s="12"/>
      <c r="I394" s="12"/>
      <c r="J394" s="12"/>
      <c r="K394" s="6"/>
      <c r="L394" s="6"/>
      <c r="M394" s="6"/>
      <c r="N394" s="6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/>
      <c r="B395" s="7"/>
      <c r="C395" s="6"/>
      <c r="D395" s="12"/>
      <c r="E395" s="12"/>
      <c r="F395" s="12"/>
      <c r="G395" s="12"/>
      <c r="H395" s="12"/>
      <c r="I395" s="12"/>
      <c r="J395" s="12"/>
      <c r="K395" s="6"/>
      <c r="L395" s="6"/>
      <c r="M395" s="6"/>
      <c r="N395" s="6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/>
      <c r="B396" s="7"/>
      <c r="C396" s="6"/>
      <c r="D396" s="12"/>
      <c r="E396" s="12"/>
      <c r="F396" s="12"/>
      <c r="G396" s="12"/>
      <c r="H396" s="12"/>
      <c r="I396" s="12"/>
      <c r="J396" s="12"/>
      <c r="K396" s="6"/>
      <c r="L396" s="6"/>
      <c r="M396" s="6"/>
      <c r="N396" s="6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/>
      <c r="B397" s="7"/>
      <c r="C397" s="6"/>
      <c r="D397" s="12"/>
      <c r="E397" s="12"/>
      <c r="F397" s="12"/>
      <c r="G397" s="12"/>
      <c r="H397" s="12"/>
      <c r="I397" s="12"/>
      <c r="J397" s="12"/>
      <c r="K397" s="6"/>
      <c r="L397" s="6"/>
      <c r="M397" s="6"/>
      <c r="N397" s="6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/>
      <c r="B398" s="7"/>
      <c r="C398" s="6"/>
      <c r="D398" s="12"/>
      <c r="E398" s="12"/>
      <c r="F398" s="12"/>
      <c r="G398" s="12"/>
      <c r="H398" s="12"/>
      <c r="I398" s="12"/>
      <c r="J398" s="12"/>
      <c r="K398" s="6"/>
      <c r="L398" s="6"/>
      <c r="M398" s="6"/>
      <c r="N398" s="6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/>
      <c r="B399" s="7"/>
      <c r="C399" s="6"/>
      <c r="D399" s="12"/>
      <c r="E399" s="12"/>
      <c r="F399" s="12"/>
      <c r="G399" s="12"/>
      <c r="H399" s="12"/>
      <c r="I399" s="12"/>
      <c r="J399" s="12"/>
      <c r="K399" s="6"/>
      <c r="L399" s="6"/>
      <c r="M399" s="6"/>
      <c r="N399" s="6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/>
      <c r="B400" s="7"/>
      <c r="C400" s="6"/>
      <c r="D400" s="12"/>
      <c r="E400" s="12"/>
      <c r="F400" s="12"/>
      <c r="G400" s="12"/>
      <c r="H400" s="12"/>
      <c r="I400" s="12"/>
      <c r="J400" s="12"/>
      <c r="K400" s="6"/>
      <c r="L400" s="6"/>
      <c r="M400" s="6"/>
      <c r="N400" s="6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/>
      <c r="B401" s="7"/>
      <c r="C401" s="6"/>
      <c r="D401" s="12"/>
      <c r="E401" s="12"/>
      <c r="F401" s="12"/>
      <c r="G401" s="12"/>
      <c r="H401" s="12"/>
      <c r="I401" s="12"/>
      <c r="J401" s="12"/>
      <c r="K401" s="6"/>
      <c r="L401" s="6"/>
      <c r="M401" s="6"/>
      <c r="N401" s="6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/>
      <c r="B402" s="7"/>
      <c r="C402" s="6"/>
      <c r="D402" s="12"/>
      <c r="E402" s="12"/>
      <c r="F402" s="12"/>
      <c r="G402" s="12"/>
      <c r="H402" s="12"/>
      <c r="I402" s="12"/>
      <c r="J402" s="12"/>
      <c r="K402" s="6"/>
      <c r="L402" s="6"/>
      <c r="M402" s="6"/>
      <c r="N402" s="6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/>
      <c r="B403" s="7"/>
      <c r="C403" s="6"/>
      <c r="D403" s="12"/>
      <c r="E403" s="12"/>
      <c r="F403" s="12"/>
      <c r="G403" s="12"/>
      <c r="H403" s="12"/>
      <c r="I403" s="12"/>
      <c r="J403" s="12"/>
      <c r="K403" s="6"/>
      <c r="L403" s="6"/>
      <c r="M403" s="6"/>
      <c r="N403" s="6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/>
      <c r="B404" s="7"/>
      <c r="C404" s="6"/>
      <c r="D404" s="12"/>
      <c r="E404" s="12"/>
      <c r="F404" s="12"/>
      <c r="G404" s="12"/>
      <c r="H404" s="12"/>
      <c r="I404" s="12"/>
      <c r="J404" s="12"/>
      <c r="K404" s="6"/>
      <c r="L404" s="6"/>
      <c r="M404" s="6"/>
      <c r="N404" s="6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/>
      <c r="B405" s="7"/>
      <c r="C405" s="6"/>
      <c r="D405" s="12"/>
      <c r="E405" s="12"/>
      <c r="F405" s="12"/>
      <c r="G405" s="12"/>
      <c r="H405" s="12"/>
      <c r="I405" s="12"/>
      <c r="J405" s="12"/>
      <c r="K405" s="6"/>
      <c r="L405" s="6"/>
      <c r="M405" s="6"/>
      <c r="N405" s="6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/>
      <c r="B406" s="7"/>
      <c r="C406" s="6"/>
      <c r="D406" s="12"/>
      <c r="E406" s="12"/>
      <c r="F406" s="12"/>
      <c r="G406" s="12"/>
      <c r="H406" s="12"/>
      <c r="I406" s="12"/>
      <c r="J406" s="12"/>
      <c r="K406" s="6"/>
      <c r="L406" s="6"/>
      <c r="M406" s="6"/>
      <c r="N406" s="6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/>
      <c r="B407" s="7"/>
      <c r="C407" s="6"/>
      <c r="D407" s="12"/>
      <c r="E407" s="12"/>
      <c r="F407" s="12"/>
      <c r="G407" s="12"/>
      <c r="H407" s="12"/>
      <c r="I407" s="12"/>
      <c r="J407" s="12"/>
      <c r="K407" s="6"/>
      <c r="L407" s="6"/>
      <c r="M407" s="6"/>
      <c r="N407" s="6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/>
      <c r="B408" s="7"/>
      <c r="C408" s="6"/>
      <c r="D408" s="12"/>
      <c r="E408" s="12"/>
      <c r="F408" s="12"/>
      <c r="G408" s="12"/>
      <c r="H408" s="12"/>
      <c r="I408" s="12"/>
      <c r="J408" s="12"/>
      <c r="K408" s="6"/>
      <c r="L408" s="6"/>
      <c r="M408" s="6"/>
      <c r="N408" s="6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/>
      <c r="B409" s="7"/>
      <c r="C409" s="6"/>
      <c r="D409" s="12"/>
      <c r="E409" s="12"/>
      <c r="F409" s="12"/>
      <c r="G409" s="12"/>
      <c r="H409" s="12"/>
      <c r="I409" s="12"/>
      <c r="J409" s="12"/>
      <c r="K409" s="6"/>
      <c r="L409" s="6"/>
      <c r="M409" s="6"/>
      <c r="N409" s="6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/>
      <c r="B410" s="7"/>
      <c r="C410" s="6"/>
      <c r="D410" s="12"/>
      <c r="E410" s="12"/>
      <c r="F410" s="12"/>
      <c r="G410" s="12"/>
      <c r="H410" s="12"/>
      <c r="I410" s="12"/>
      <c r="J410" s="12"/>
      <c r="K410" s="6"/>
      <c r="L410" s="6"/>
      <c r="M410" s="6"/>
      <c r="N410" s="6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/>
      <c r="B411" s="7"/>
      <c r="C411" s="6"/>
      <c r="D411" s="12"/>
      <c r="E411" s="12"/>
      <c r="F411" s="12"/>
      <c r="G411" s="12"/>
      <c r="H411" s="12"/>
      <c r="I411" s="12"/>
      <c r="J411" s="12"/>
      <c r="K411" s="6"/>
      <c r="L411" s="6"/>
      <c r="M411" s="6"/>
      <c r="N411" s="6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/>
      <c r="B412" s="7"/>
      <c r="C412" s="6"/>
      <c r="D412" s="12"/>
      <c r="E412" s="12"/>
      <c r="F412" s="12"/>
      <c r="G412" s="12"/>
      <c r="H412" s="12"/>
      <c r="I412" s="12"/>
      <c r="J412" s="12"/>
      <c r="K412" s="6"/>
      <c r="L412" s="6"/>
      <c r="M412" s="6"/>
      <c r="N412" s="6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/>
      <c r="B413" s="7"/>
      <c r="C413" s="6"/>
      <c r="D413" s="12"/>
      <c r="E413" s="12"/>
      <c r="F413" s="12"/>
      <c r="G413" s="12"/>
      <c r="H413" s="12"/>
      <c r="I413" s="12"/>
      <c r="J413" s="12"/>
      <c r="K413" s="6"/>
      <c r="L413" s="6"/>
      <c r="M413" s="6"/>
      <c r="N413" s="6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/>
      <c r="B414" s="7"/>
      <c r="C414" s="6"/>
      <c r="D414" s="12"/>
      <c r="E414" s="12"/>
      <c r="F414" s="12"/>
      <c r="G414" s="12"/>
      <c r="H414" s="12"/>
      <c r="I414" s="12"/>
      <c r="J414" s="12"/>
      <c r="K414" s="6"/>
      <c r="L414" s="6"/>
      <c r="M414" s="6"/>
      <c r="N414" s="6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/>
      <c r="B415" s="7"/>
      <c r="C415" s="6"/>
      <c r="D415" s="12"/>
      <c r="E415" s="12"/>
      <c r="F415" s="12"/>
      <c r="G415" s="12"/>
      <c r="H415" s="12"/>
      <c r="I415" s="12"/>
      <c r="J415" s="12"/>
      <c r="K415" s="6"/>
      <c r="L415" s="6"/>
      <c r="M415" s="6"/>
      <c r="N415" s="6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/>
      <c r="B416" s="7"/>
      <c r="C416" s="6"/>
      <c r="D416" s="12"/>
      <c r="E416" s="12"/>
      <c r="F416" s="12"/>
      <c r="G416" s="12"/>
      <c r="H416" s="12"/>
      <c r="I416" s="12"/>
      <c r="J416" s="12"/>
      <c r="K416" s="6"/>
      <c r="L416" s="6"/>
      <c r="M416" s="6"/>
      <c r="N416" s="6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/>
      <c r="B417" s="7"/>
      <c r="C417" s="6"/>
      <c r="D417" s="12"/>
      <c r="E417" s="12"/>
      <c r="F417" s="12"/>
      <c r="G417" s="12"/>
      <c r="H417" s="12"/>
      <c r="I417" s="12"/>
      <c r="J417" s="12"/>
      <c r="K417" s="6"/>
      <c r="L417" s="6"/>
      <c r="M417" s="6"/>
      <c r="N417" s="6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/>
      <c r="B418" s="7"/>
      <c r="C418" s="6"/>
      <c r="D418" s="12"/>
      <c r="E418" s="12"/>
      <c r="F418" s="12"/>
      <c r="G418" s="12"/>
      <c r="H418" s="12"/>
      <c r="I418" s="12"/>
      <c r="J418" s="12"/>
      <c r="K418" s="6"/>
      <c r="L418" s="6"/>
      <c r="M418" s="6"/>
      <c r="N418" s="6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/>
      <c r="B419" s="7"/>
      <c r="C419" s="6"/>
      <c r="D419" s="12"/>
      <c r="E419" s="12"/>
      <c r="F419" s="12"/>
      <c r="G419" s="12"/>
      <c r="H419" s="12"/>
      <c r="I419" s="12"/>
      <c r="J419" s="12"/>
      <c r="K419" s="6"/>
      <c r="L419" s="6"/>
      <c r="M419" s="6"/>
      <c r="N419" s="6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/>
      <c r="B420" s="7"/>
      <c r="C420" s="6"/>
      <c r="D420" s="12"/>
      <c r="E420" s="12"/>
      <c r="F420" s="12"/>
      <c r="G420" s="12"/>
      <c r="H420" s="12"/>
      <c r="I420" s="12"/>
      <c r="J420" s="12"/>
      <c r="K420" s="6"/>
      <c r="L420" s="6"/>
      <c r="M420" s="6"/>
      <c r="N420" s="6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/>
      <c r="B421" s="7"/>
      <c r="C421" s="6"/>
      <c r="D421" s="12"/>
      <c r="E421" s="12"/>
      <c r="F421" s="12"/>
      <c r="G421" s="12"/>
      <c r="H421" s="12"/>
      <c r="I421" s="12"/>
      <c r="J421" s="12"/>
      <c r="K421" s="6"/>
      <c r="L421" s="6"/>
      <c r="M421" s="6"/>
      <c r="N421" s="6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/>
      <c r="B422" s="7"/>
      <c r="C422" s="6"/>
      <c r="D422" s="12"/>
      <c r="E422" s="12"/>
      <c r="F422" s="12"/>
      <c r="G422" s="12"/>
      <c r="H422" s="12"/>
      <c r="I422" s="12"/>
      <c r="J422" s="12"/>
      <c r="K422" s="6"/>
      <c r="L422" s="6"/>
      <c r="M422" s="6"/>
      <c r="N422" s="6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/>
      <c r="B423" s="7"/>
      <c r="C423" s="6"/>
      <c r="D423" s="12"/>
      <c r="E423" s="12"/>
      <c r="F423" s="12"/>
      <c r="G423" s="12"/>
      <c r="H423" s="12"/>
      <c r="I423" s="12"/>
      <c r="J423" s="12"/>
      <c r="K423" s="6"/>
      <c r="L423" s="6"/>
      <c r="M423" s="6"/>
      <c r="N423" s="6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/>
      <c r="B424" s="7"/>
      <c r="C424" s="6"/>
      <c r="D424" s="12"/>
      <c r="E424" s="12"/>
      <c r="F424" s="12"/>
      <c r="G424" s="12"/>
      <c r="H424" s="12"/>
      <c r="I424" s="12"/>
      <c r="J424" s="12"/>
      <c r="K424" s="6"/>
      <c r="L424" s="6"/>
      <c r="M424" s="6"/>
      <c r="N424" s="6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/>
      <c r="B425" s="7"/>
      <c r="C425" s="6"/>
      <c r="D425" s="12"/>
      <c r="E425" s="12"/>
      <c r="F425" s="12"/>
      <c r="G425" s="12"/>
      <c r="H425" s="12"/>
      <c r="I425" s="12"/>
      <c r="J425" s="12"/>
      <c r="K425" s="6"/>
      <c r="L425" s="6"/>
      <c r="M425" s="6"/>
      <c r="N425" s="6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/>
      <c r="B426" s="7"/>
      <c r="C426" s="6"/>
      <c r="D426" s="12"/>
      <c r="E426" s="12"/>
      <c r="F426" s="12"/>
      <c r="G426" s="12"/>
      <c r="H426" s="12"/>
      <c r="I426" s="12"/>
      <c r="J426" s="12"/>
      <c r="K426" s="6"/>
      <c r="L426" s="6"/>
      <c r="M426" s="6"/>
      <c r="N426" s="6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/>
      <c r="B427" s="7"/>
      <c r="C427" s="6"/>
      <c r="D427" s="12"/>
      <c r="E427" s="12"/>
      <c r="F427" s="12"/>
      <c r="G427" s="12"/>
      <c r="H427" s="12"/>
      <c r="I427" s="12"/>
      <c r="J427" s="12"/>
      <c r="K427" s="6"/>
      <c r="L427" s="6"/>
      <c r="M427" s="6"/>
      <c r="N427" s="6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/>
      <c r="B428" s="7"/>
      <c r="C428" s="6"/>
      <c r="D428" s="12"/>
      <c r="E428" s="12"/>
      <c r="F428" s="12"/>
      <c r="G428" s="12"/>
      <c r="H428" s="12"/>
      <c r="I428" s="12"/>
      <c r="J428" s="12"/>
      <c r="K428" s="6"/>
      <c r="L428" s="6"/>
      <c r="M428" s="6"/>
      <c r="N428" s="6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/>
      <c r="B429" s="7"/>
      <c r="C429" s="6"/>
      <c r="D429" s="12"/>
      <c r="E429" s="12"/>
      <c r="F429" s="12"/>
      <c r="G429" s="12"/>
      <c r="H429" s="12"/>
      <c r="I429" s="12"/>
      <c r="J429" s="12"/>
      <c r="K429" s="6"/>
      <c r="L429" s="6"/>
      <c r="M429" s="6"/>
      <c r="N429" s="6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/>
      <c r="B430" s="7"/>
      <c r="C430" s="6"/>
      <c r="D430" s="12"/>
      <c r="E430" s="12"/>
      <c r="F430" s="12"/>
      <c r="G430" s="12"/>
      <c r="H430" s="12"/>
      <c r="I430" s="12"/>
      <c r="J430" s="12"/>
      <c r="K430" s="6"/>
      <c r="L430" s="6"/>
      <c r="M430" s="6"/>
      <c r="N430" s="6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/>
      <c r="B431" s="7"/>
      <c r="C431" s="6"/>
      <c r="D431" s="12"/>
      <c r="E431" s="12"/>
      <c r="F431" s="12"/>
      <c r="G431" s="12"/>
      <c r="H431" s="12"/>
      <c r="I431" s="12"/>
      <c r="J431" s="12"/>
      <c r="K431" s="6"/>
      <c r="L431" s="6"/>
      <c r="M431" s="6"/>
      <c r="N431" s="6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/>
      <c r="B432" s="7"/>
      <c r="C432" s="6"/>
      <c r="D432" s="12"/>
      <c r="E432" s="12"/>
      <c r="F432" s="12"/>
      <c r="G432" s="12"/>
      <c r="H432" s="12"/>
      <c r="I432" s="12"/>
      <c r="J432" s="12"/>
      <c r="K432" s="6"/>
      <c r="L432" s="6"/>
      <c r="M432" s="6"/>
      <c r="N432" s="6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/>
      <c r="B433" s="7"/>
      <c r="C433" s="6"/>
      <c r="D433" s="12"/>
      <c r="E433" s="12"/>
      <c r="F433" s="12"/>
      <c r="G433" s="12"/>
      <c r="H433" s="12"/>
      <c r="I433" s="12"/>
      <c r="J433" s="12"/>
      <c r="K433" s="6"/>
      <c r="L433" s="6"/>
      <c r="M433" s="6"/>
      <c r="N433" s="6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/>
      <c r="B434" s="7"/>
      <c r="C434" s="6"/>
      <c r="D434" s="12"/>
      <c r="E434" s="12"/>
      <c r="F434" s="12"/>
      <c r="G434" s="12"/>
      <c r="H434" s="12"/>
      <c r="I434" s="12"/>
      <c r="J434" s="12"/>
      <c r="K434" s="6"/>
      <c r="L434" s="6"/>
      <c r="M434" s="6"/>
      <c r="N434" s="6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/>
      <c r="B435" s="7"/>
      <c r="C435" s="6"/>
      <c r="D435" s="12"/>
      <c r="E435" s="12"/>
      <c r="F435" s="12"/>
      <c r="G435" s="12"/>
      <c r="H435" s="12"/>
      <c r="I435" s="12"/>
      <c r="J435" s="12"/>
      <c r="K435" s="6"/>
      <c r="L435" s="6"/>
      <c r="M435" s="6"/>
      <c r="N435" s="6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/>
      <c r="B436" s="7"/>
      <c r="C436" s="6"/>
      <c r="D436" s="12"/>
      <c r="E436" s="12"/>
      <c r="F436" s="12"/>
      <c r="G436" s="12"/>
      <c r="H436" s="12"/>
      <c r="I436" s="12"/>
      <c r="J436" s="12"/>
      <c r="K436" s="6"/>
      <c r="L436" s="6"/>
      <c r="M436" s="6"/>
      <c r="N436" s="6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/>
      <c r="B437" s="7"/>
      <c r="C437" s="6"/>
      <c r="D437" s="12"/>
      <c r="E437" s="12"/>
      <c r="F437" s="12"/>
      <c r="G437" s="12"/>
      <c r="H437" s="12"/>
      <c r="I437" s="12"/>
      <c r="J437" s="12"/>
      <c r="K437" s="6"/>
      <c r="L437" s="6"/>
      <c r="M437" s="6"/>
      <c r="N437" s="6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/>
      <c r="B438" s="7"/>
      <c r="C438" s="6"/>
      <c r="D438" s="12"/>
      <c r="E438" s="12"/>
      <c r="F438" s="12"/>
      <c r="G438" s="12"/>
      <c r="H438" s="12"/>
      <c r="I438" s="12"/>
      <c r="J438" s="12"/>
      <c r="K438" s="6"/>
      <c r="L438" s="6"/>
      <c r="M438" s="6"/>
      <c r="N438" s="6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/>
      <c r="B439" s="7"/>
      <c r="C439" s="6"/>
      <c r="D439" s="12"/>
      <c r="E439" s="12"/>
      <c r="F439" s="12"/>
      <c r="G439" s="12"/>
      <c r="H439" s="12"/>
      <c r="I439" s="12"/>
      <c r="J439" s="12"/>
      <c r="K439" s="6"/>
      <c r="L439" s="6"/>
      <c r="M439" s="6"/>
      <c r="N439" s="6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/>
      <c r="B440" s="7"/>
      <c r="C440" s="6"/>
      <c r="D440" s="12"/>
      <c r="E440" s="12"/>
      <c r="F440" s="12"/>
      <c r="G440" s="12"/>
      <c r="H440" s="12"/>
      <c r="I440" s="12"/>
      <c r="J440" s="12"/>
      <c r="K440" s="6"/>
      <c r="L440" s="6"/>
      <c r="M440" s="6"/>
      <c r="N440" s="6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/>
      <c r="B441" s="7"/>
      <c r="C441" s="6"/>
      <c r="D441" s="12"/>
      <c r="E441" s="12"/>
      <c r="F441" s="12"/>
      <c r="G441" s="12"/>
      <c r="H441" s="12"/>
      <c r="I441" s="12"/>
      <c r="J441" s="12"/>
      <c r="K441" s="6"/>
      <c r="L441" s="6"/>
      <c r="M441" s="6"/>
      <c r="N441" s="6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/>
      <c r="B442" s="7"/>
      <c r="C442" s="6"/>
      <c r="D442" s="12"/>
      <c r="E442" s="12"/>
      <c r="F442" s="12"/>
      <c r="G442" s="12"/>
      <c r="H442" s="12"/>
      <c r="I442" s="12"/>
      <c r="J442" s="12"/>
      <c r="K442" s="6"/>
      <c r="L442" s="6"/>
      <c r="M442" s="6"/>
      <c r="N442" s="6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/>
      <c r="B443" s="7"/>
      <c r="C443" s="6"/>
      <c r="D443" s="12"/>
      <c r="E443" s="12"/>
      <c r="F443" s="12"/>
      <c r="G443" s="12"/>
      <c r="H443" s="12"/>
      <c r="I443" s="12"/>
      <c r="J443" s="12"/>
      <c r="K443" s="6"/>
      <c r="L443" s="6"/>
      <c r="M443" s="6"/>
      <c r="N443" s="6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/>
      <c r="B444" s="7"/>
      <c r="C444" s="6"/>
      <c r="D444" s="12"/>
      <c r="E444" s="12"/>
      <c r="F444" s="12"/>
      <c r="G444" s="12"/>
      <c r="H444" s="12"/>
      <c r="I444" s="12"/>
      <c r="J444" s="12"/>
      <c r="K444" s="6"/>
      <c r="L444" s="6"/>
      <c r="M444" s="6"/>
      <c r="N444" s="6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/>
      <c r="B445" s="7"/>
      <c r="C445" s="6"/>
      <c r="D445" s="12"/>
      <c r="E445" s="12"/>
      <c r="F445" s="12"/>
      <c r="G445" s="12"/>
      <c r="H445" s="12"/>
      <c r="I445" s="12"/>
      <c r="J445" s="12"/>
      <c r="K445" s="6"/>
      <c r="L445" s="6"/>
      <c r="M445" s="6"/>
      <c r="N445" s="6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/>
      <c r="B446" s="7"/>
      <c r="C446" s="6"/>
      <c r="D446" s="12"/>
      <c r="E446" s="12"/>
      <c r="F446" s="12"/>
      <c r="G446" s="12"/>
      <c r="H446" s="12"/>
      <c r="I446" s="12"/>
      <c r="J446" s="12"/>
      <c r="K446" s="6"/>
      <c r="L446" s="6"/>
      <c r="M446" s="6"/>
      <c r="N446" s="6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/>
      <c r="B447" s="7"/>
      <c r="C447" s="6"/>
      <c r="D447" s="12"/>
      <c r="E447" s="12"/>
      <c r="F447" s="12"/>
      <c r="G447" s="12"/>
      <c r="H447" s="12"/>
      <c r="I447" s="12"/>
      <c r="J447" s="12"/>
      <c r="K447" s="6"/>
      <c r="L447" s="6"/>
      <c r="M447" s="6"/>
      <c r="N447" s="6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/>
      <c r="B448" s="7"/>
      <c r="C448" s="6"/>
      <c r="D448" s="12"/>
      <c r="E448" s="12"/>
      <c r="F448" s="12"/>
      <c r="G448" s="12"/>
      <c r="H448" s="12"/>
      <c r="I448" s="12"/>
      <c r="J448" s="12"/>
      <c r="K448" s="6"/>
      <c r="L448" s="6"/>
      <c r="M448" s="6"/>
      <c r="N448" s="6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/>
      <c r="B449" s="7"/>
      <c r="C449" s="6"/>
      <c r="D449" s="12"/>
      <c r="E449" s="12"/>
      <c r="F449" s="12"/>
      <c r="G449" s="12"/>
      <c r="H449" s="12"/>
      <c r="I449" s="12"/>
      <c r="J449" s="12"/>
      <c r="K449" s="6"/>
      <c r="L449" s="6"/>
      <c r="M449" s="6"/>
      <c r="N449" s="6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/>
      <c r="B450" s="7"/>
      <c r="C450" s="6"/>
      <c r="D450" s="12"/>
      <c r="E450" s="12"/>
      <c r="F450" s="12"/>
      <c r="G450" s="12"/>
      <c r="H450" s="12"/>
      <c r="I450" s="12"/>
      <c r="J450" s="12"/>
      <c r="K450" s="6"/>
      <c r="L450" s="6"/>
      <c r="M450" s="6"/>
      <c r="N450" s="6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/>
      <c r="B451" s="7"/>
      <c r="C451" s="6"/>
      <c r="D451" s="12"/>
      <c r="E451" s="12"/>
      <c r="F451" s="12"/>
      <c r="G451" s="12"/>
      <c r="H451" s="12"/>
      <c r="I451" s="12"/>
      <c r="J451" s="12"/>
      <c r="K451" s="6"/>
      <c r="L451" s="6"/>
      <c r="M451" s="6"/>
      <c r="N451" s="6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/>
      <c r="B452" s="7"/>
      <c r="C452" s="6"/>
      <c r="D452" s="12"/>
      <c r="E452" s="12"/>
      <c r="F452" s="12"/>
      <c r="G452" s="12"/>
      <c r="H452" s="12"/>
      <c r="I452" s="12"/>
      <c r="J452" s="12"/>
      <c r="K452" s="6"/>
      <c r="L452" s="6"/>
      <c r="M452" s="6"/>
      <c r="N452" s="6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/>
      <c r="B453" s="7"/>
      <c r="C453" s="6"/>
      <c r="D453" s="12"/>
      <c r="E453" s="12"/>
      <c r="F453" s="12"/>
      <c r="G453" s="12"/>
      <c r="H453" s="12"/>
      <c r="I453" s="12"/>
      <c r="J453" s="12"/>
      <c r="K453" s="6"/>
      <c r="L453" s="6"/>
      <c r="M453" s="6"/>
      <c r="N453" s="6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/>
      <c r="B454" s="7"/>
      <c r="C454" s="6"/>
      <c r="D454" s="12"/>
      <c r="E454" s="12"/>
      <c r="F454" s="12"/>
      <c r="G454" s="12"/>
      <c r="H454" s="12"/>
      <c r="I454" s="12"/>
      <c r="J454" s="12"/>
      <c r="K454" s="6"/>
      <c r="L454" s="6"/>
      <c r="M454" s="6"/>
      <c r="N454" s="6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/>
      <c r="B455" s="7"/>
      <c r="C455" s="6"/>
      <c r="D455" s="12"/>
      <c r="E455" s="12"/>
      <c r="F455" s="12"/>
      <c r="G455" s="12"/>
      <c r="H455" s="12"/>
      <c r="I455" s="12"/>
      <c r="J455" s="12"/>
      <c r="K455" s="6"/>
      <c r="L455" s="6"/>
      <c r="M455" s="6"/>
      <c r="N455" s="6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/>
      <c r="B456" s="7"/>
      <c r="C456" s="6"/>
      <c r="D456" s="12"/>
      <c r="E456" s="12"/>
      <c r="F456" s="12"/>
      <c r="G456" s="12"/>
      <c r="H456" s="12"/>
      <c r="I456" s="12"/>
      <c r="J456" s="12"/>
      <c r="K456" s="6"/>
      <c r="L456" s="6"/>
      <c r="M456" s="6"/>
      <c r="N456" s="6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/>
      <c r="B457" s="7"/>
      <c r="C457" s="6"/>
      <c r="D457" s="12"/>
      <c r="E457" s="12"/>
      <c r="F457" s="12"/>
      <c r="G457" s="12"/>
      <c r="H457" s="12"/>
      <c r="I457" s="12"/>
      <c r="J457" s="12"/>
      <c r="K457" s="6"/>
      <c r="L457" s="6"/>
      <c r="M457" s="6"/>
      <c r="N457" s="6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/>
      <c r="B458" s="7"/>
      <c r="C458" s="6"/>
      <c r="D458" s="12"/>
      <c r="E458" s="12"/>
      <c r="F458" s="12"/>
      <c r="G458" s="12"/>
      <c r="H458" s="12"/>
      <c r="I458" s="12"/>
      <c r="J458" s="12"/>
      <c r="K458" s="6"/>
      <c r="L458" s="6"/>
      <c r="M458" s="6"/>
      <c r="N458" s="6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/>
      <c r="B459" s="7"/>
      <c r="C459" s="6"/>
      <c r="D459" s="12"/>
      <c r="E459" s="12"/>
      <c r="F459" s="12"/>
      <c r="G459" s="12"/>
      <c r="H459" s="12"/>
      <c r="I459" s="12"/>
      <c r="J459" s="12"/>
      <c r="K459" s="6"/>
      <c r="L459" s="6"/>
      <c r="M459" s="6"/>
      <c r="N459" s="6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/>
      <c r="B460" s="7"/>
      <c r="C460" s="6"/>
      <c r="D460" s="12"/>
      <c r="E460" s="12"/>
      <c r="F460" s="12"/>
      <c r="G460" s="12"/>
      <c r="H460" s="12"/>
      <c r="I460" s="12"/>
      <c r="J460" s="12"/>
      <c r="K460" s="6"/>
      <c r="L460" s="6"/>
      <c r="M460" s="6"/>
      <c r="N460" s="6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/>
      <c r="B461" s="7"/>
      <c r="C461" s="6"/>
      <c r="D461" s="12"/>
      <c r="E461" s="12"/>
      <c r="F461" s="12"/>
      <c r="G461" s="12"/>
      <c r="H461" s="12"/>
      <c r="I461" s="12"/>
      <c r="J461" s="12"/>
      <c r="K461" s="6"/>
      <c r="L461" s="6"/>
      <c r="M461" s="6"/>
      <c r="N461" s="6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/>
      <c r="B462" s="7"/>
      <c r="C462" s="6"/>
      <c r="D462" s="12"/>
      <c r="E462" s="12"/>
      <c r="F462" s="12"/>
      <c r="G462" s="12"/>
      <c r="H462" s="12"/>
      <c r="I462" s="12"/>
      <c r="J462" s="12"/>
      <c r="K462" s="6"/>
      <c r="L462" s="6"/>
      <c r="M462" s="6"/>
      <c r="N462" s="6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/>
      <c r="B463" s="7"/>
      <c r="C463" s="6"/>
      <c r="D463" s="12"/>
      <c r="E463" s="12"/>
      <c r="F463" s="12"/>
      <c r="G463" s="12"/>
      <c r="H463" s="12"/>
      <c r="I463" s="12"/>
      <c r="J463" s="12"/>
      <c r="K463" s="6"/>
      <c r="L463" s="6"/>
      <c r="M463" s="6"/>
      <c r="N463" s="6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/>
      <c r="B464" s="7"/>
      <c r="C464" s="6"/>
      <c r="D464" s="12"/>
      <c r="E464" s="12"/>
      <c r="F464" s="12"/>
      <c r="G464" s="12"/>
      <c r="H464" s="12"/>
      <c r="I464" s="12"/>
      <c r="J464" s="12"/>
      <c r="K464" s="6"/>
      <c r="L464" s="6"/>
      <c r="M464" s="6"/>
      <c r="N464" s="6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/>
      <c r="B465" s="7"/>
      <c r="C465" s="6"/>
      <c r="D465" s="12"/>
      <c r="E465" s="12"/>
      <c r="F465" s="12"/>
      <c r="G465" s="12"/>
      <c r="H465" s="12"/>
      <c r="I465" s="12"/>
      <c r="J465" s="12"/>
      <c r="K465" s="6"/>
      <c r="L465" s="6"/>
      <c r="M465" s="6"/>
      <c r="N465" s="6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/>
      <c r="B466" s="7"/>
      <c r="C466" s="6"/>
      <c r="D466" s="12"/>
      <c r="E466" s="12"/>
      <c r="F466" s="12"/>
      <c r="G466" s="12"/>
      <c r="H466" s="12"/>
      <c r="I466" s="12"/>
      <c r="J466" s="12"/>
      <c r="K466" s="6"/>
      <c r="L466" s="6"/>
      <c r="M466" s="6"/>
      <c r="N466" s="6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/>
      <c r="B467" s="7"/>
      <c r="C467" s="6"/>
      <c r="D467" s="12"/>
      <c r="E467" s="12"/>
      <c r="F467" s="12"/>
      <c r="G467" s="12"/>
      <c r="H467" s="12"/>
      <c r="I467" s="12"/>
      <c r="J467" s="12"/>
      <c r="K467" s="6"/>
      <c r="L467" s="6"/>
      <c r="M467" s="6"/>
      <c r="N467" s="6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/>
      <c r="B468" s="7"/>
      <c r="C468" s="6"/>
      <c r="D468" s="12"/>
      <c r="E468" s="12"/>
      <c r="F468" s="12"/>
      <c r="G468" s="12"/>
      <c r="H468" s="12"/>
      <c r="I468" s="12"/>
      <c r="J468" s="12"/>
      <c r="K468" s="6"/>
      <c r="L468" s="6"/>
      <c r="M468" s="6"/>
      <c r="N468" s="6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/>
      <c r="B469" s="7"/>
      <c r="C469" s="6"/>
      <c r="D469" s="12"/>
      <c r="E469" s="12"/>
      <c r="F469" s="12"/>
      <c r="G469" s="12"/>
      <c r="H469" s="12"/>
      <c r="I469" s="12"/>
      <c r="J469" s="12"/>
      <c r="K469" s="6"/>
      <c r="L469" s="6"/>
      <c r="M469" s="6"/>
      <c r="N469" s="6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/>
      <c r="B470" s="7"/>
      <c r="C470" s="6"/>
      <c r="D470" s="12"/>
      <c r="E470" s="12"/>
      <c r="F470" s="12"/>
      <c r="G470" s="12"/>
      <c r="H470" s="12"/>
      <c r="I470" s="12"/>
      <c r="J470" s="12"/>
      <c r="K470" s="6"/>
      <c r="L470" s="6"/>
      <c r="M470" s="6"/>
      <c r="N470" s="6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/>
      <c r="B471" s="7"/>
      <c r="C471" s="6"/>
      <c r="D471" s="12"/>
      <c r="E471" s="12"/>
      <c r="F471" s="12"/>
      <c r="G471" s="12"/>
      <c r="H471" s="12"/>
      <c r="I471" s="12"/>
      <c r="J471" s="12"/>
      <c r="K471" s="6"/>
      <c r="L471" s="6"/>
      <c r="M471" s="6"/>
      <c r="N471" s="6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/>
      <c r="B472" s="7"/>
      <c r="C472" s="6"/>
      <c r="D472" s="12"/>
      <c r="E472" s="12"/>
      <c r="F472" s="12"/>
      <c r="G472" s="12"/>
      <c r="H472" s="12"/>
      <c r="I472" s="12"/>
      <c r="J472" s="12"/>
      <c r="K472" s="6"/>
      <c r="L472" s="6"/>
      <c r="M472" s="6"/>
      <c r="N472" s="6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/>
      <c r="B473" s="7"/>
      <c r="C473" s="6"/>
      <c r="D473" s="12"/>
      <c r="E473" s="12"/>
      <c r="F473" s="12"/>
      <c r="G473" s="12"/>
      <c r="H473" s="12"/>
      <c r="I473" s="12"/>
      <c r="J473" s="12"/>
      <c r="K473" s="6"/>
      <c r="L473" s="6"/>
      <c r="M473" s="6"/>
      <c r="N473" s="6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/>
      <c r="B474" s="7"/>
      <c r="C474" s="6"/>
      <c r="D474" s="12"/>
      <c r="E474" s="12"/>
      <c r="F474" s="12"/>
      <c r="G474" s="12"/>
      <c r="H474" s="12"/>
      <c r="I474" s="12"/>
      <c r="J474" s="12"/>
      <c r="K474" s="6"/>
      <c r="L474" s="6"/>
      <c r="M474" s="6"/>
      <c r="N474" s="6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/>
      <c r="B475" s="7"/>
      <c r="C475" s="6"/>
      <c r="D475" s="12"/>
      <c r="E475" s="12"/>
      <c r="F475" s="12"/>
      <c r="G475" s="12"/>
      <c r="H475" s="12"/>
      <c r="I475" s="12"/>
      <c r="J475" s="12"/>
      <c r="K475" s="6"/>
      <c r="L475" s="6"/>
      <c r="M475" s="6"/>
      <c r="N475" s="6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/>
      <c r="B476" s="7"/>
      <c r="C476" s="6"/>
      <c r="D476" s="12"/>
      <c r="E476" s="12"/>
      <c r="F476" s="12"/>
      <c r="G476" s="12"/>
      <c r="H476" s="12"/>
      <c r="I476" s="12"/>
      <c r="J476" s="12"/>
      <c r="K476" s="6"/>
      <c r="L476" s="6"/>
      <c r="M476" s="6"/>
      <c r="N476" s="6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/>
      <c r="B477" s="7"/>
      <c r="C477" s="6"/>
      <c r="D477" s="12"/>
      <c r="E477" s="12"/>
      <c r="F477" s="12"/>
      <c r="G477" s="12"/>
      <c r="H477" s="12"/>
      <c r="I477" s="12"/>
      <c r="J477" s="12"/>
      <c r="K477" s="6"/>
      <c r="L477" s="6"/>
      <c r="M477" s="6"/>
      <c r="N477" s="6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/>
      <c r="B478" s="7"/>
      <c r="C478" s="6"/>
      <c r="D478" s="12"/>
      <c r="E478" s="12"/>
      <c r="F478" s="12"/>
      <c r="G478" s="12"/>
      <c r="H478" s="12"/>
      <c r="I478" s="12"/>
      <c r="J478" s="12"/>
      <c r="K478" s="6"/>
      <c r="L478" s="6"/>
      <c r="M478" s="6"/>
      <c r="N478" s="6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/>
      <c r="B479" s="7"/>
      <c r="C479" s="6"/>
      <c r="D479" s="12"/>
      <c r="E479" s="12"/>
      <c r="F479" s="12"/>
      <c r="G479" s="12"/>
      <c r="H479" s="12"/>
      <c r="I479" s="12"/>
      <c r="J479" s="12"/>
      <c r="K479" s="6"/>
      <c r="L479" s="6"/>
      <c r="M479" s="6"/>
      <c r="N479" s="6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/>
      <c r="B480" s="7"/>
      <c r="C480" s="6"/>
      <c r="D480" s="12"/>
      <c r="E480" s="12"/>
      <c r="F480" s="12"/>
      <c r="G480" s="12"/>
      <c r="H480" s="12"/>
      <c r="I480" s="12"/>
      <c r="J480" s="12"/>
      <c r="K480" s="6"/>
      <c r="L480" s="6"/>
      <c r="M480" s="6"/>
      <c r="N480" s="6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/>
      <c r="B481" s="7"/>
      <c r="C481" s="6"/>
      <c r="D481" s="12"/>
      <c r="E481" s="12"/>
      <c r="F481" s="12"/>
      <c r="G481" s="12"/>
      <c r="H481" s="12"/>
      <c r="I481" s="12"/>
      <c r="J481" s="12"/>
      <c r="K481" s="6"/>
      <c r="L481" s="6"/>
      <c r="M481" s="6"/>
      <c r="N481" s="6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/>
      <c r="B482" s="7"/>
      <c r="C482" s="6"/>
      <c r="D482" s="12"/>
      <c r="E482" s="12"/>
      <c r="F482" s="12"/>
      <c r="G482" s="12"/>
      <c r="H482" s="12"/>
      <c r="I482" s="12"/>
      <c r="J482" s="12"/>
      <c r="K482" s="6"/>
      <c r="L482" s="6"/>
      <c r="M482" s="6"/>
      <c r="N482" s="6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/>
      <c r="B483" s="7"/>
      <c r="C483" s="6"/>
      <c r="D483" s="12"/>
      <c r="E483" s="12"/>
      <c r="F483" s="12"/>
      <c r="G483" s="12"/>
      <c r="H483" s="12"/>
      <c r="I483" s="12"/>
      <c r="J483" s="12"/>
      <c r="K483" s="6"/>
      <c r="L483" s="6"/>
      <c r="M483" s="6"/>
      <c r="N483" s="6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/>
      <c r="B484" s="7"/>
      <c r="C484" s="6"/>
      <c r="D484" s="12"/>
      <c r="E484" s="12"/>
      <c r="F484" s="12"/>
      <c r="G484" s="12"/>
      <c r="H484" s="12"/>
      <c r="I484" s="12"/>
      <c r="J484" s="12"/>
      <c r="K484" s="6"/>
      <c r="L484" s="6"/>
      <c r="M484" s="6"/>
      <c r="N484" s="6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/>
      <c r="B485" s="7"/>
      <c r="C485" s="6"/>
      <c r="D485" s="12"/>
      <c r="E485" s="12"/>
      <c r="F485" s="12"/>
      <c r="G485" s="12"/>
      <c r="H485" s="12"/>
      <c r="I485" s="12"/>
      <c r="J485" s="12"/>
      <c r="K485" s="6"/>
      <c r="L485" s="6"/>
      <c r="M485" s="6"/>
      <c r="N485" s="6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/>
      <c r="B486" s="7"/>
      <c r="C486" s="6"/>
      <c r="D486" s="12"/>
      <c r="E486" s="12"/>
      <c r="F486" s="12"/>
      <c r="G486" s="12"/>
      <c r="H486" s="12"/>
      <c r="I486" s="12"/>
      <c r="J486" s="12"/>
      <c r="K486" s="6"/>
      <c r="L486" s="6"/>
      <c r="M486" s="6"/>
      <c r="N486" s="6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/>
      <c r="B487" s="7"/>
      <c r="C487" s="6"/>
      <c r="D487" s="12"/>
      <c r="E487" s="12"/>
      <c r="F487" s="12"/>
      <c r="G487" s="12"/>
      <c r="H487" s="12"/>
      <c r="I487" s="12"/>
      <c r="J487" s="12"/>
      <c r="K487" s="6"/>
      <c r="L487" s="6"/>
      <c r="M487" s="6"/>
      <c r="N487" s="6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/>
      <c r="B488" s="7"/>
      <c r="C488" s="6"/>
      <c r="D488" s="12"/>
      <c r="E488" s="12"/>
      <c r="F488" s="12"/>
      <c r="G488" s="12"/>
      <c r="H488" s="12"/>
      <c r="I488" s="12"/>
      <c r="J488" s="12"/>
      <c r="K488" s="6"/>
      <c r="L488" s="6"/>
      <c r="M488" s="6"/>
      <c r="N488" s="6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/>
      <c r="B489" s="7"/>
      <c r="C489" s="6"/>
      <c r="D489" s="12"/>
      <c r="E489" s="12"/>
      <c r="F489" s="12"/>
      <c r="G489" s="12"/>
      <c r="H489" s="12"/>
      <c r="I489" s="12"/>
      <c r="J489" s="12"/>
      <c r="K489" s="6"/>
      <c r="L489" s="6"/>
      <c r="M489" s="6"/>
      <c r="N489" s="6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/>
      <c r="B490" s="7"/>
      <c r="C490" s="6"/>
      <c r="D490" s="12"/>
      <c r="E490" s="12"/>
      <c r="F490" s="12"/>
      <c r="G490" s="12"/>
      <c r="H490" s="12"/>
      <c r="I490" s="12"/>
      <c r="J490" s="12"/>
      <c r="K490" s="6"/>
      <c r="L490" s="6"/>
      <c r="M490" s="6"/>
      <c r="N490" s="6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/>
      <c r="B491" s="7"/>
      <c r="C491" s="6"/>
      <c r="D491" s="12"/>
      <c r="E491" s="12"/>
      <c r="F491" s="12"/>
      <c r="G491" s="12"/>
      <c r="H491" s="12"/>
      <c r="I491" s="12"/>
      <c r="J491" s="12"/>
      <c r="K491" s="6"/>
      <c r="L491" s="6"/>
      <c r="M491" s="6"/>
      <c r="N491" s="6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/>
      <c r="B492" s="7"/>
      <c r="C492" s="6"/>
      <c r="D492" s="12"/>
      <c r="E492" s="12"/>
      <c r="F492" s="12"/>
      <c r="G492" s="12"/>
      <c r="H492" s="12"/>
      <c r="I492" s="12"/>
      <c r="J492" s="12"/>
      <c r="K492" s="6"/>
      <c r="L492" s="6"/>
      <c r="M492" s="6"/>
      <c r="N492" s="6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/>
      <c r="B493" s="7"/>
      <c r="C493" s="6"/>
      <c r="D493" s="12"/>
      <c r="E493" s="12"/>
      <c r="F493" s="12"/>
      <c r="G493" s="12"/>
      <c r="H493" s="12"/>
      <c r="I493" s="12"/>
      <c r="J493" s="12"/>
      <c r="K493" s="6"/>
      <c r="L493" s="6"/>
      <c r="M493" s="6"/>
      <c r="N493" s="6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/>
      <c r="B494" s="7"/>
      <c r="C494" s="6"/>
      <c r="D494" s="12"/>
      <c r="E494" s="12"/>
      <c r="F494" s="12"/>
      <c r="G494" s="12"/>
      <c r="H494" s="12"/>
      <c r="I494" s="12"/>
      <c r="J494" s="12"/>
      <c r="K494" s="6"/>
      <c r="L494" s="6"/>
      <c r="M494" s="6"/>
      <c r="N494" s="6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/>
      <c r="B495" s="7"/>
      <c r="C495" s="6"/>
      <c r="D495" s="12"/>
      <c r="E495" s="12"/>
      <c r="F495" s="12"/>
      <c r="G495" s="12"/>
      <c r="H495" s="12"/>
      <c r="I495" s="12"/>
      <c r="J495" s="12"/>
      <c r="K495" s="6"/>
      <c r="L495" s="6"/>
      <c r="M495" s="6"/>
      <c r="N495" s="6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/>
      <c r="B496" s="7"/>
      <c r="C496" s="6"/>
      <c r="D496" s="12"/>
      <c r="E496" s="12"/>
      <c r="F496" s="12"/>
      <c r="G496" s="12"/>
      <c r="H496" s="12"/>
      <c r="I496" s="12"/>
      <c r="J496" s="12"/>
      <c r="K496" s="6"/>
      <c r="L496" s="6"/>
      <c r="M496" s="6"/>
      <c r="N496" s="6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/>
      <c r="B497" s="7"/>
      <c r="C497" s="6"/>
      <c r="D497" s="12"/>
      <c r="E497" s="12"/>
      <c r="F497" s="12"/>
      <c r="G497" s="12"/>
      <c r="H497" s="12"/>
      <c r="I497" s="12"/>
      <c r="J497" s="12"/>
      <c r="K497" s="6"/>
      <c r="L497" s="6"/>
      <c r="M497" s="6"/>
      <c r="N497" s="6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/>
      <c r="B498" s="7"/>
      <c r="C498" s="6"/>
      <c r="D498" s="12"/>
      <c r="E498" s="12"/>
      <c r="F498" s="12"/>
      <c r="G498" s="12"/>
      <c r="H498" s="12"/>
      <c r="I498" s="12"/>
      <c r="J498" s="12"/>
      <c r="K498" s="6"/>
      <c r="L498" s="6"/>
      <c r="M498" s="6"/>
      <c r="N498" s="6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/>
      <c r="B499" s="7"/>
      <c r="C499" s="6"/>
      <c r="D499" s="12"/>
      <c r="E499" s="12"/>
      <c r="F499" s="12"/>
      <c r="G499" s="12"/>
      <c r="H499" s="12"/>
      <c r="I499" s="12"/>
      <c r="J499" s="12"/>
      <c r="K499" s="6"/>
      <c r="L499" s="6"/>
      <c r="M499" s="6"/>
      <c r="N499" s="6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/>
      <c r="B500" s="7"/>
      <c r="C500" s="6"/>
      <c r="D500" s="12"/>
      <c r="E500" s="12"/>
      <c r="F500" s="12"/>
      <c r="G500" s="12"/>
      <c r="H500" s="12"/>
      <c r="I500" s="12"/>
      <c r="J500" s="12"/>
      <c r="K500" s="6"/>
      <c r="L500" s="6"/>
      <c r="M500" s="6"/>
      <c r="N500" s="6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/>
      <c r="B501" s="7"/>
      <c r="C501" s="6"/>
      <c r="D501" s="12"/>
      <c r="E501" s="12"/>
      <c r="F501" s="12"/>
      <c r="G501" s="12"/>
      <c r="H501" s="12"/>
      <c r="I501" s="12"/>
      <c r="J501" s="12"/>
      <c r="K501" s="6"/>
      <c r="L501" s="6"/>
      <c r="M501" s="6"/>
      <c r="N501" s="6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/>
      <c r="B502" s="7"/>
      <c r="C502" s="6"/>
      <c r="D502" s="12"/>
      <c r="E502" s="12"/>
      <c r="F502" s="12"/>
      <c r="G502" s="12"/>
      <c r="H502" s="12"/>
      <c r="I502" s="12"/>
      <c r="J502" s="12"/>
      <c r="K502" s="6"/>
      <c r="L502" s="6"/>
      <c r="M502" s="6"/>
      <c r="N502" s="6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/>
      <c r="B503" s="7"/>
      <c r="C503" s="6"/>
      <c r="D503" s="12"/>
      <c r="E503" s="12"/>
      <c r="F503" s="12"/>
      <c r="G503" s="12"/>
      <c r="H503" s="12"/>
      <c r="I503" s="12"/>
      <c r="J503" s="12"/>
      <c r="K503" s="6"/>
      <c r="L503" s="6"/>
      <c r="M503" s="6"/>
      <c r="N503" s="6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/>
      <c r="B504" s="7"/>
      <c r="C504" s="6"/>
      <c r="D504" s="12"/>
      <c r="E504" s="12"/>
      <c r="F504" s="12"/>
      <c r="G504" s="12"/>
      <c r="H504" s="12"/>
      <c r="I504" s="12"/>
      <c r="J504" s="12"/>
      <c r="K504" s="6"/>
      <c r="L504" s="6"/>
      <c r="M504" s="6"/>
      <c r="N504" s="6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/>
      <c r="B505" s="7"/>
      <c r="C505" s="6"/>
      <c r="D505" s="12"/>
      <c r="E505" s="12"/>
      <c r="F505" s="12"/>
      <c r="G505" s="12"/>
      <c r="H505" s="12"/>
      <c r="I505" s="12"/>
      <c r="J505" s="12"/>
      <c r="K505" s="6"/>
      <c r="L505" s="6"/>
      <c r="M505" s="6"/>
      <c r="N505" s="6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/>
      <c r="B506" s="7"/>
      <c r="C506" s="6"/>
      <c r="D506" s="12"/>
      <c r="E506" s="12"/>
      <c r="F506" s="12"/>
      <c r="G506" s="12"/>
      <c r="H506" s="12"/>
      <c r="I506" s="12"/>
      <c r="J506" s="12"/>
      <c r="K506" s="6"/>
      <c r="L506" s="6"/>
      <c r="M506" s="6"/>
      <c r="N506" s="6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/>
      <c r="B507" s="7"/>
      <c r="C507" s="6"/>
      <c r="D507" s="12"/>
      <c r="E507" s="12"/>
      <c r="F507" s="12"/>
      <c r="G507" s="12"/>
      <c r="H507" s="12"/>
      <c r="I507" s="12"/>
      <c r="J507" s="12"/>
      <c r="K507" s="6"/>
      <c r="L507" s="6"/>
      <c r="M507" s="6"/>
      <c r="N507" s="6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/>
      <c r="B508" s="7"/>
      <c r="C508" s="6"/>
      <c r="D508" s="12"/>
      <c r="E508" s="12"/>
      <c r="F508" s="12"/>
      <c r="G508" s="12"/>
      <c r="H508" s="12"/>
      <c r="I508" s="12"/>
      <c r="J508" s="12"/>
      <c r="K508" s="6"/>
      <c r="L508" s="6"/>
      <c r="M508" s="6"/>
      <c r="N508" s="6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/>
      <c r="B509" s="7"/>
      <c r="C509" s="6"/>
      <c r="D509" s="12"/>
      <c r="E509" s="12"/>
      <c r="F509" s="12"/>
      <c r="G509" s="12"/>
      <c r="H509" s="12"/>
      <c r="I509" s="12"/>
      <c r="J509" s="12"/>
      <c r="K509" s="6"/>
      <c r="L509" s="6"/>
      <c r="M509" s="6"/>
      <c r="N509" s="6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/>
      <c r="B510" s="7"/>
      <c r="C510" s="6"/>
      <c r="D510" s="12"/>
      <c r="E510" s="12"/>
      <c r="F510" s="12"/>
      <c r="G510" s="12"/>
      <c r="H510" s="12"/>
      <c r="I510" s="12"/>
      <c r="J510" s="12"/>
      <c r="K510" s="6"/>
      <c r="L510" s="6"/>
      <c r="M510" s="6"/>
      <c r="N510" s="6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/>
      <c r="B511" s="7"/>
      <c r="C511" s="6"/>
      <c r="D511" s="12"/>
      <c r="E511" s="12"/>
      <c r="F511" s="12"/>
      <c r="G511" s="12"/>
      <c r="H511" s="12"/>
      <c r="I511" s="12"/>
      <c r="J511" s="12"/>
      <c r="K511" s="6"/>
      <c r="L511" s="6"/>
      <c r="M511" s="6"/>
      <c r="N511" s="6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/>
      <c r="B512" s="7"/>
      <c r="C512" s="6"/>
      <c r="D512" s="12"/>
      <c r="E512" s="12"/>
      <c r="F512" s="12"/>
      <c r="G512" s="12"/>
      <c r="H512" s="12"/>
      <c r="I512" s="12"/>
      <c r="J512" s="12"/>
      <c r="K512" s="6"/>
      <c r="L512" s="6"/>
      <c r="M512" s="6"/>
      <c r="N512" s="6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/>
      <c r="B513" s="7"/>
      <c r="C513" s="6"/>
      <c r="D513" s="12"/>
      <c r="E513" s="12"/>
      <c r="F513" s="12"/>
      <c r="G513" s="12"/>
      <c r="H513" s="12"/>
      <c r="I513" s="12"/>
      <c r="J513" s="12"/>
      <c r="K513" s="6"/>
      <c r="L513" s="6"/>
      <c r="M513" s="6"/>
      <c r="N513" s="6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/>
      <c r="B514" s="7"/>
      <c r="C514" s="6"/>
      <c r="D514" s="12"/>
      <c r="E514" s="12"/>
      <c r="F514" s="12"/>
      <c r="G514" s="12"/>
      <c r="H514" s="12"/>
      <c r="I514" s="12"/>
      <c r="J514" s="12"/>
      <c r="K514" s="6"/>
      <c r="L514" s="6"/>
      <c r="M514" s="6"/>
      <c r="N514" s="6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/>
      <c r="B515" s="7"/>
      <c r="C515" s="6"/>
      <c r="D515" s="12"/>
      <c r="E515" s="12"/>
      <c r="F515" s="12"/>
      <c r="G515" s="12"/>
      <c r="H515" s="12"/>
      <c r="I515" s="12"/>
      <c r="J515" s="12"/>
      <c r="K515" s="6"/>
      <c r="L515" s="6"/>
      <c r="M515" s="6"/>
      <c r="N515" s="6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/>
      <c r="B516" s="7"/>
      <c r="C516" s="6"/>
      <c r="D516" s="12"/>
      <c r="E516" s="12"/>
      <c r="F516" s="12"/>
      <c r="G516" s="12"/>
      <c r="H516" s="12"/>
      <c r="I516" s="12"/>
      <c r="J516" s="12"/>
      <c r="K516" s="6"/>
      <c r="L516" s="6"/>
      <c r="M516" s="6"/>
      <c r="N516" s="6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/>
      <c r="B517" s="7"/>
      <c r="C517" s="6"/>
      <c r="D517" s="12"/>
      <c r="E517" s="12"/>
      <c r="F517" s="12"/>
      <c r="G517" s="12"/>
      <c r="H517" s="12"/>
      <c r="I517" s="12"/>
      <c r="J517" s="12"/>
      <c r="K517" s="6"/>
      <c r="L517" s="6"/>
      <c r="M517" s="6"/>
      <c r="N517" s="6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/>
      <c r="B518" s="7"/>
      <c r="C518" s="6"/>
      <c r="D518" s="12"/>
      <c r="E518" s="12"/>
      <c r="F518" s="12"/>
      <c r="G518" s="12"/>
      <c r="H518" s="12"/>
      <c r="I518" s="12"/>
      <c r="J518" s="12"/>
      <c r="K518" s="6"/>
      <c r="L518" s="6"/>
      <c r="M518" s="6"/>
      <c r="N518" s="6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/>
      <c r="B519" s="7"/>
      <c r="C519" s="6"/>
      <c r="D519" s="12"/>
      <c r="E519" s="12"/>
      <c r="F519" s="12"/>
      <c r="G519" s="12"/>
      <c r="H519" s="12"/>
      <c r="I519" s="12"/>
      <c r="J519" s="12"/>
      <c r="K519" s="6"/>
      <c r="L519" s="6"/>
      <c r="M519" s="6"/>
      <c r="N519" s="6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/>
      <c r="B520" s="7"/>
      <c r="C520" s="6"/>
      <c r="D520" s="12"/>
      <c r="E520" s="12"/>
      <c r="F520" s="12"/>
      <c r="G520" s="12"/>
      <c r="H520" s="12"/>
      <c r="I520" s="12"/>
      <c r="J520" s="12"/>
      <c r="K520" s="6"/>
      <c r="L520" s="6"/>
      <c r="M520" s="6"/>
      <c r="N520" s="6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/>
      <c r="B521" s="7"/>
      <c r="C521" s="6"/>
      <c r="D521" s="12"/>
      <c r="E521" s="12"/>
      <c r="F521" s="12"/>
      <c r="G521" s="12"/>
      <c r="H521" s="12"/>
      <c r="I521" s="12"/>
      <c r="J521" s="12"/>
      <c r="K521" s="6"/>
      <c r="L521" s="6"/>
      <c r="M521" s="6"/>
      <c r="N521" s="6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/>
      <c r="B522" s="7"/>
      <c r="C522" s="6"/>
      <c r="D522" s="12"/>
      <c r="E522" s="12"/>
      <c r="F522" s="12"/>
      <c r="G522" s="12"/>
      <c r="H522" s="12"/>
      <c r="I522" s="12"/>
      <c r="J522" s="12"/>
      <c r="K522" s="6"/>
      <c r="L522" s="6"/>
      <c r="M522" s="6"/>
      <c r="N522" s="6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/>
      <c r="B523" s="7"/>
      <c r="C523" s="6"/>
      <c r="D523" s="12"/>
      <c r="E523" s="12"/>
      <c r="F523" s="12"/>
      <c r="G523" s="12"/>
      <c r="H523" s="12"/>
      <c r="I523" s="12"/>
      <c r="J523" s="12"/>
      <c r="K523" s="6"/>
      <c r="L523" s="6"/>
      <c r="M523" s="6"/>
      <c r="N523" s="6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/>
      <c r="B524" s="7"/>
      <c r="C524" s="6"/>
      <c r="D524" s="12"/>
      <c r="E524" s="12"/>
      <c r="F524" s="12"/>
      <c r="G524" s="12"/>
      <c r="H524" s="12"/>
      <c r="I524" s="12"/>
      <c r="J524" s="12"/>
      <c r="K524" s="6"/>
      <c r="L524" s="6"/>
      <c r="M524" s="6"/>
      <c r="N524" s="6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/>
      <c r="B525" s="7"/>
      <c r="C525" s="6"/>
      <c r="D525" s="12"/>
      <c r="E525" s="12"/>
      <c r="F525" s="12"/>
      <c r="G525" s="12"/>
      <c r="H525" s="12"/>
      <c r="I525" s="12"/>
      <c r="J525" s="12"/>
      <c r="K525" s="6"/>
      <c r="L525" s="6"/>
      <c r="M525" s="6"/>
      <c r="N525" s="6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/>
      <c r="B526" s="7"/>
      <c r="C526" s="6"/>
      <c r="D526" s="12"/>
      <c r="E526" s="12"/>
      <c r="F526" s="12"/>
      <c r="G526" s="12"/>
      <c r="H526" s="12"/>
      <c r="I526" s="12"/>
      <c r="J526" s="12"/>
      <c r="K526" s="6"/>
      <c r="L526" s="6"/>
      <c r="M526" s="6"/>
      <c r="N526" s="6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/>
      <c r="B527" s="7"/>
      <c r="C527" s="6"/>
      <c r="D527" s="12"/>
      <c r="E527" s="12"/>
      <c r="F527" s="12"/>
      <c r="G527" s="12"/>
      <c r="H527" s="12"/>
      <c r="I527" s="12"/>
      <c r="J527" s="12"/>
      <c r="K527" s="6"/>
      <c r="L527" s="6"/>
      <c r="M527" s="6"/>
      <c r="N527" s="6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/>
      <c r="B528" s="7"/>
      <c r="C528" s="6"/>
      <c r="D528" s="12"/>
      <c r="E528" s="12"/>
      <c r="F528" s="12"/>
      <c r="G528" s="12"/>
      <c r="H528" s="12"/>
      <c r="I528" s="12"/>
      <c r="J528" s="12"/>
      <c r="K528" s="6"/>
      <c r="L528" s="6"/>
      <c r="M528" s="6"/>
      <c r="N528" s="6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/>
      <c r="B529" s="7"/>
      <c r="C529" s="6"/>
      <c r="D529" s="12"/>
      <c r="E529" s="12"/>
      <c r="F529" s="12"/>
      <c r="G529" s="12"/>
      <c r="H529" s="12"/>
      <c r="I529" s="12"/>
      <c r="J529" s="12"/>
      <c r="K529" s="6"/>
      <c r="L529" s="6"/>
      <c r="M529" s="6"/>
      <c r="N529" s="6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/>
      <c r="B530" s="7"/>
      <c r="C530" s="6"/>
      <c r="D530" s="12"/>
      <c r="E530" s="12"/>
      <c r="F530" s="12"/>
      <c r="G530" s="12"/>
      <c r="H530" s="12"/>
      <c r="I530" s="12"/>
      <c r="J530" s="12"/>
      <c r="K530" s="6"/>
      <c r="L530" s="6"/>
      <c r="M530" s="6"/>
      <c r="N530" s="6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/>
      <c r="B531" s="7"/>
      <c r="C531" s="6"/>
      <c r="D531" s="12"/>
      <c r="E531" s="12"/>
      <c r="F531" s="12"/>
      <c r="G531" s="12"/>
      <c r="H531" s="12"/>
      <c r="I531" s="12"/>
      <c r="J531" s="12"/>
      <c r="K531" s="6"/>
      <c r="L531" s="6"/>
      <c r="M531" s="6"/>
      <c r="N531" s="6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/>
      <c r="B532" s="7"/>
      <c r="C532" s="6"/>
      <c r="D532" s="12"/>
      <c r="E532" s="12"/>
      <c r="F532" s="12"/>
      <c r="G532" s="12"/>
      <c r="H532" s="12"/>
      <c r="I532" s="12"/>
      <c r="J532" s="12"/>
      <c r="K532" s="6"/>
      <c r="L532" s="6"/>
      <c r="M532" s="6"/>
      <c r="N532" s="6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/>
      <c r="B533" s="7"/>
      <c r="C533" s="6"/>
      <c r="D533" s="12"/>
      <c r="E533" s="12"/>
      <c r="F533" s="12"/>
      <c r="G533" s="12"/>
      <c r="H533" s="12"/>
      <c r="I533" s="12"/>
      <c r="J533" s="12"/>
      <c r="K533" s="6"/>
      <c r="L533" s="6"/>
      <c r="M533" s="6"/>
      <c r="N533" s="6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/>
      <c r="B534" s="7"/>
      <c r="C534" s="6"/>
      <c r="D534" s="12"/>
      <c r="E534" s="12"/>
      <c r="F534" s="12"/>
      <c r="G534" s="12"/>
      <c r="H534" s="12"/>
      <c r="I534" s="12"/>
      <c r="J534" s="12"/>
      <c r="K534" s="6"/>
      <c r="L534" s="6"/>
      <c r="M534" s="6"/>
      <c r="N534" s="6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/>
      <c r="B535" s="7"/>
      <c r="C535" s="6"/>
      <c r="D535" s="12"/>
      <c r="E535" s="12"/>
      <c r="F535" s="12"/>
      <c r="G535" s="12"/>
      <c r="H535" s="12"/>
      <c r="I535" s="12"/>
      <c r="J535" s="12"/>
      <c r="K535" s="6"/>
      <c r="L535" s="6"/>
      <c r="M535" s="6"/>
      <c r="N535" s="6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/>
      <c r="B536" s="7"/>
      <c r="C536" s="6"/>
      <c r="D536" s="12"/>
      <c r="E536" s="12"/>
      <c r="F536" s="12"/>
      <c r="G536" s="12"/>
      <c r="H536" s="12"/>
      <c r="I536" s="12"/>
      <c r="J536" s="12"/>
      <c r="K536" s="6"/>
      <c r="L536" s="6"/>
      <c r="M536" s="6"/>
      <c r="N536" s="6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/>
      <c r="B537" s="7"/>
      <c r="C537" s="6"/>
      <c r="D537" s="12"/>
      <c r="E537" s="12"/>
      <c r="F537" s="12"/>
      <c r="G537" s="12"/>
      <c r="H537" s="12"/>
      <c r="I537" s="12"/>
      <c r="J537" s="12"/>
      <c r="K537" s="6"/>
      <c r="L537" s="6"/>
      <c r="M537" s="6"/>
      <c r="N537" s="6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/>
      <c r="B538" s="7"/>
      <c r="C538" s="6"/>
      <c r="D538" s="12"/>
      <c r="E538" s="12"/>
      <c r="F538" s="12"/>
      <c r="G538" s="12"/>
      <c r="H538" s="12"/>
      <c r="I538" s="12"/>
      <c r="J538" s="12"/>
      <c r="K538" s="6"/>
      <c r="L538" s="6"/>
      <c r="M538" s="6"/>
      <c r="N538" s="6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/>
      <c r="B539" s="7"/>
      <c r="C539" s="6"/>
      <c r="D539" s="12"/>
      <c r="E539" s="12"/>
      <c r="F539" s="12"/>
      <c r="G539" s="12"/>
      <c r="H539" s="12"/>
      <c r="I539" s="12"/>
      <c r="J539" s="12"/>
      <c r="K539" s="6"/>
      <c r="L539" s="6"/>
      <c r="M539" s="6"/>
      <c r="N539" s="6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/>
      <c r="B540" s="7"/>
      <c r="C540" s="6"/>
      <c r="D540" s="12"/>
      <c r="E540" s="12"/>
      <c r="F540" s="12"/>
      <c r="G540" s="12"/>
      <c r="H540" s="12"/>
      <c r="I540" s="12"/>
      <c r="J540" s="12"/>
      <c r="K540" s="6"/>
      <c r="L540" s="6"/>
      <c r="M540" s="6"/>
      <c r="N540" s="6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/>
      <c r="B541" s="7"/>
      <c r="C541" s="6"/>
      <c r="D541" s="12"/>
      <c r="E541" s="12"/>
      <c r="F541" s="12"/>
      <c r="G541" s="12"/>
      <c r="H541" s="12"/>
      <c r="I541" s="12"/>
      <c r="J541" s="12"/>
      <c r="K541" s="6"/>
      <c r="L541" s="6"/>
      <c r="M541" s="6"/>
      <c r="N541" s="6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/>
      <c r="B542" s="7"/>
      <c r="C542" s="6"/>
      <c r="D542" s="12"/>
      <c r="E542" s="12"/>
      <c r="F542" s="12"/>
      <c r="G542" s="12"/>
      <c r="H542" s="12"/>
      <c r="I542" s="12"/>
      <c r="J542" s="12"/>
      <c r="K542" s="6"/>
      <c r="L542" s="6"/>
      <c r="M542" s="6"/>
      <c r="N542" s="6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/>
      <c r="B543" s="7"/>
      <c r="C543" s="6"/>
      <c r="D543" s="12"/>
      <c r="E543" s="12"/>
      <c r="F543" s="12"/>
      <c r="G543" s="12"/>
      <c r="H543" s="12"/>
      <c r="I543" s="12"/>
      <c r="J543" s="12"/>
      <c r="K543" s="6"/>
      <c r="L543" s="6"/>
      <c r="M543" s="6"/>
      <c r="N543" s="6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/>
      <c r="B544" s="7"/>
      <c r="C544" s="6"/>
      <c r="D544" s="12"/>
      <c r="E544" s="12"/>
      <c r="F544" s="12"/>
      <c r="G544" s="12"/>
      <c r="H544" s="12"/>
      <c r="I544" s="12"/>
      <c r="J544" s="12"/>
      <c r="K544" s="6"/>
      <c r="L544" s="6"/>
      <c r="M544" s="6"/>
      <c r="N544" s="6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/>
      <c r="B545" s="7"/>
      <c r="C545" s="6"/>
      <c r="D545" s="12"/>
      <c r="E545" s="12"/>
      <c r="F545" s="12"/>
      <c r="G545" s="12"/>
      <c r="H545" s="12"/>
      <c r="I545" s="12"/>
      <c r="J545" s="12"/>
      <c r="K545" s="6"/>
      <c r="L545" s="6"/>
      <c r="M545" s="6"/>
      <c r="N545" s="6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/>
      <c r="B546" s="7"/>
      <c r="C546" s="6"/>
      <c r="D546" s="12"/>
      <c r="E546" s="12"/>
      <c r="F546" s="12"/>
      <c r="G546" s="12"/>
      <c r="H546" s="12"/>
      <c r="I546" s="12"/>
      <c r="J546" s="12"/>
      <c r="K546" s="6"/>
      <c r="L546" s="6"/>
      <c r="M546" s="6"/>
      <c r="N546" s="6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/>
      <c r="B547" s="7"/>
      <c r="C547" s="6"/>
      <c r="D547" s="12"/>
      <c r="E547" s="12"/>
      <c r="F547" s="12"/>
      <c r="G547" s="12"/>
      <c r="H547" s="12"/>
      <c r="I547" s="12"/>
      <c r="J547" s="12"/>
      <c r="K547" s="6"/>
      <c r="L547" s="6"/>
      <c r="M547" s="6"/>
      <c r="N547" s="6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/>
      <c r="B548" s="7"/>
      <c r="C548" s="6"/>
      <c r="D548" s="12"/>
      <c r="E548" s="12"/>
      <c r="F548" s="12"/>
      <c r="G548" s="12"/>
      <c r="H548" s="12"/>
      <c r="I548" s="12"/>
      <c r="J548" s="12"/>
      <c r="K548" s="6"/>
      <c r="L548" s="6"/>
      <c r="M548" s="6"/>
      <c r="N548" s="6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/>
      <c r="B549" s="7"/>
      <c r="C549" s="6"/>
      <c r="D549" s="12"/>
      <c r="E549" s="12"/>
      <c r="F549" s="12"/>
      <c r="G549" s="12"/>
      <c r="H549" s="12"/>
      <c r="I549" s="12"/>
      <c r="J549" s="12"/>
      <c r="K549" s="6"/>
      <c r="L549" s="6"/>
      <c r="M549" s="6"/>
      <c r="N549" s="6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/>
      <c r="B550" s="7"/>
      <c r="C550" s="6"/>
      <c r="D550" s="12"/>
      <c r="E550" s="12"/>
      <c r="F550" s="12"/>
      <c r="G550" s="12"/>
      <c r="H550" s="12"/>
      <c r="I550" s="12"/>
      <c r="J550" s="12"/>
      <c r="K550" s="6"/>
      <c r="L550" s="6"/>
      <c r="M550" s="6"/>
      <c r="N550" s="6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/>
      <c r="B551" s="7"/>
      <c r="C551" s="6"/>
      <c r="D551" s="12"/>
      <c r="E551" s="12"/>
      <c r="F551" s="12"/>
      <c r="G551" s="12"/>
      <c r="H551" s="12"/>
      <c r="I551" s="12"/>
      <c r="J551" s="12"/>
      <c r="K551" s="6"/>
      <c r="L551" s="6"/>
      <c r="M551" s="6"/>
      <c r="N551" s="6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/>
      <c r="B552" s="7"/>
      <c r="C552" s="6"/>
      <c r="D552" s="12"/>
      <c r="E552" s="12"/>
      <c r="F552" s="12"/>
      <c r="G552" s="12"/>
      <c r="H552" s="12"/>
      <c r="I552" s="12"/>
      <c r="J552" s="12"/>
      <c r="K552" s="6"/>
      <c r="L552" s="6"/>
      <c r="M552" s="6"/>
      <c r="N552" s="6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/>
      <c r="B553" s="7"/>
      <c r="C553" s="6"/>
      <c r="D553" s="12"/>
      <c r="E553" s="12"/>
      <c r="F553" s="12"/>
      <c r="G553" s="12"/>
      <c r="H553" s="12"/>
      <c r="I553" s="12"/>
      <c r="J553" s="12"/>
      <c r="K553" s="6"/>
      <c r="L553" s="6"/>
      <c r="M553" s="6"/>
      <c r="N553" s="6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/>
      <c r="B554" s="7"/>
      <c r="C554" s="6"/>
      <c r="D554" s="12"/>
      <c r="E554" s="12"/>
      <c r="F554" s="12"/>
      <c r="G554" s="12"/>
      <c r="H554" s="12"/>
      <c r="I554" s="12"/>
      <c r="J554" s="12"/>
      <c r="K554" s="6"/>
      <c r="L554" s="6"/>
      <c r="M554" s="6"/>
      <c r="N554" s="6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/>
      <c r="B555" s="7"/>
      <c r="C555" s="6"/>
      <c r="D555" s="12"/>
      <c r="E555" s="12"/>
      <c r="F555" s="12"/>
      <c r="G555" s="12"/>
      <c r="H555" s="12"/>
      <c r="I555" s="12"/>
      <c r="J555" s="12"/>
      <c r="K555" s="6"/>
      <c r="L555" s="6"/>
      <c r="M555" s="6"/>
      <c r="N555" s="6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/>
      <c r="B556" s="7"/>
      <c r="C556" s="6"/>
      <c r="D556" s="12"/>
      <c r="E556" s="12"/>
      <c r="F556" s="12"/>
      <c r="G556" s="12"/>
      <c r="H556" s="12"/>
      <c r="I556" s="12"/>
      <c r="J556" s="12"/>
      <c r="K556" s="6"/>
      <c r="L556" s="6"/>
      <c r="M556" s="6"/>
      <c r="N556" s="6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/>
      <c r="B557" s="7"/>
      <c r="C557" s="6"/>
      <c r="D557" s="12"/>
      <c r="E557" s="12"/>
      <c r="F557" s="12"/>
      <c r="G557" s="12"/>
      <c r="H557" s="12"/>
      <c r="I557" s="12"/>
      <c r="J557" s="12"/>
      <c r="K557" s="6"/>
      <c r="L557" s="6"/>
      <c r="M557" s="6"/>
      <c r="N557" s="6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/>
      <c r="B558" s="7"/>
      <c r="C558" s="6"/>
      <c r="D558" s="12"/>
      <c r="E558" s="12"/>
      <c r="F558" s="12"/>
      <c r="G558" s="12"/>
      <c r="H558" s="12"/>
      <c r="I558" s="12"/>
      <c r="J558" s="12"/>
      <c r="K558" s="6"/>
      <c r="L558" s="6"/>
      <c r="M558" s="6"/>
      <c r="N558" s="6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/>
      <c r="B559" s="7"/>
      <c r="C559" s="6"/>
      <c r="D559" s="12"/>
      <c r="E559" s="12"/>
      <c r="F559" s="12"/>
      <c r="G559" s="12"/>
      <c r="H559" s="12"/>
      <c r="I559" s="12"/>
      <c r="J559" s="12"/>
      <c r="K559" s="6"/>
      <c r="L559" s="6"/>
      <c r="M559" s="6"/>
      <c r="N559" s="6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/>
      <c r="B560" s="7"/>
      <c r="C560" s="6"/>
      <c r="D560" s="12"/>
      <c r="E560" s="12"/>
      <c r="F560" s="12"/>
      <c r="G560" s="12"/>
      <c r="H560" s="12"/>
      <c r="I560" s="12"/>
      <c r="J560" s="12"/>
      <c r="K560" s="6"/>
      <c r="L560" s="6"/>
      <c r="M560" s="6"/>
      <c r="N560" s="6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/>
      <c r="B561" s="7"/>
      <c r="C561" s="6"/>
      <c r="D561" s="12"/>
      <c r="E561" s="12"/>
      <c r="F561" s="12"/>
      <c r="G561" s="12"/>
      <c r="H561" s="12"/>
      <c r="I561" s="12"/>
      <c r="J561" s="12"/>
      <c r="K561" s="6"/>
      <c r="L561" s="6"/>
      <c r="M561" s="6"/>
      <c r="N561" s="6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/>
      <c r="B562" s="7"/>
      <c r="C562" s="6"/>
      <c r="D562" s="12"/>
      <c r="E562" s="12"/>
      <c r="F562" s="12"/>
      <c r="G562" s="12"/>
      <c r="H562" s="12"/>
      <c r="I562" s="12"/>
      <c r="J562" s="12"/>
      <c r="K562" s="6"/>
      <c r="L562" s="6"/>
      <c r="M562" s="6"/>
      <c r="N562" s="6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/>
      <c r="B563" s="7"/>
      <c r="C563" s="6"/>
      <c r="D563" s="12"/>
      <c r="E563" s="12"/>
      <c r="F563" s="12"/>
      <c r="G563" s="12"/>
      <c r="H563" s="12"/>
      <c r="I563" s="12"/>
      <c r="J563" s="12"/>
      <c r="K563" s="6"/>
      <c r="L563" s="6"/>
      <c r="M563" s="6"/>
      <c r="N563" s="6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/>
      <c r="B564" s="7"/>
      <c r="C564" s="6"/>
      <c r="D564" s="12"/>
      <c r="E564" s="12"/>
      <c r="F564" s="12"/>
      <c r="G564" s="12"/>
      <c r="H564" s="12"/>
      <c r="I564" s="12"/>
      <c r="J564" s="12"/>
      <c r="K564" s="6"/>
      <c r="L564" s="6"/>
      <c r="M564" s="6"/>
      <c r="N564" s="6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/>
      <c r="B565" s="7"/>
      <c r="C565" s="6"/>
      <c r="D565" s="12"/>
      <c r="E565" s="12"/>
      <c r="F565" s="12"/>
      <c r="G565" s="12"/>
      <c r="H565" s="12"/>
      <c r="I565" s="12"/>
      <c r="J565" s="12"/>
      <c r="K565" s="6"/>
      <c r="L565" s="6"/>
      <c r="M565" s="6"/>
      <c r="N565" s="6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/>
      <c r="B566" s="7"/>
      <c r="C566" s="6"/>
      <c r="D566" s="12"/>
      <c r="E566" s="12"/>
      <c r="F566" s="12"/>
      <c r="G566" s="12"/>
      <c r="H566" s="12"/>
      <c r="I566" s="12"/>
      <c r="J566" s="12"/>
      <c r="K566" s="6"/>
      <c r="L566" s="6"/>
      <c r="M566" s="6"/>
      <c r="N566" s="6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/>
      <c r="B567" s="7"/>
      <c r="C567" s="6"/>
      <c r="D567" s="12"/>
      <c r="E567" s="12"/>
      <c r="F567" s="12"/>
      <c r="G567" s="12"/>
      <c r="H567" s="12"/>
      <c r="I567" s="12"/>
      <c r="J567" s="12"/>
      <c r="K567" s="6"/>
      <c r="L567" s="6"/>
      <c r="M567" s="6"/>
      <c r="N567" s="6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/>
      <c r="B568" s="7"/>
      <c r="C568" s="6"/>
      <c r="D568" s="12"/>
      <c r="E568" s="12"/>
      <c r="F568" s="12"/>
      <c r="G568" s="12"/>
      <c r="H568" s="12"/>
      <c r="I568" s="12"/>
      <c r="J568" s="12"/>
      <c r="K568" s="6"/>
      <c r="L568" s="6"/>
      <c r="M568" s="6"/>
      <c r="N568" s="6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/>
      <c r="B569" s="7"/>
      <c r="C569" s="6"/>
      <c r="D569" s="12"/>
      <c r="E569" s="12"/>
      <c r="F569" s="12"/>
      <c r="G569" s="12"/>
      <c r="H569" s="12"/>
      <c r="I569" s="12"/>
      <c r="J569" s="12"/>
      <c r="K569" s="6"/>
      <c r="L569" s="6"/>
      <c r="M569" s="6"/>
      <c r="N569" s="6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/>
      <c r="B570" s="7"/>
      <c r="C570" s="6"/>
      <c r="D570" s="12"/>
      <c r="E570" s="12"/>
      <c r="F570" s="12"/>
      <c r="G570" s="12"/>
      <c r="H570" s="12"/>
      <c r="I570" s="12"/>
      <c r="J570" s="12"/>
      <c r="K570" s="6"/>
      <c r="L570" s="6"/>
      <c r="M570" s="6"/>
      <c r="N570" s="6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/>
      <c r="B571" s="7"/>
      <c r="C571" s="6"/>
      <c r="D571" s="12"/>
      <c r="E571" s="12"/>
      <c r="F571" s="12"/>
      <c r="G571" s="12"/>
      <c r="H571" s="12"/>
      <c r="I571" s="12"/>
      <c r="J571" s="12"/>
      <c r="K571" s="6"/>
      <c r="L571" s="6"/>
      <c r="M571" s="6"/>
      <c r="N571" s="6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/>
      <c r="B572" s="7"/>
      <c r="C572" s="6"/>
      <c r="D572" s="12"/>
      <c r="E572" s="12"/>
      <c r="F572" s="12"/>
      <c r="G572" s="12"/>
      <c r="H572" s="12"/>
      <c r="I572" s="12"/>
      <c r="J572" s="12"/>
      <c r="K572" s="6"/>
      <c r="L572" s="6"/>
      <c r="M572" s="6"/>
      <c r="N572" s="6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/>
      <c r="B573" s="7"/>
      <c r="C573" s="6"/>
      <c r="D573" s="12"/>
      <c r="E573" s="12"/>
      <c r="F573" s="12"/>
      <c r="G573" s="12"/>
      <c r="H573" s="12"/>
      <c r="I573" s="12"/>
      <c r="J573" s="12"/>
      <c r="K573" s="6"/>
      <c r="L573" s="6"/>
      <c r="M573" s="6"/>
      <c r="N573" s="6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/>
      <c r="B574" s="7"/>
      <c r="C574" s="6"/>
      <c r="D574" s="12"/>
      <c r="E574" s="12"/>
      <c r="F574" s="12"/>
      <c r="G574" s="12"/>
      <c r="H574" s="12"/>
      <c r="I574" s="12"/>
      <c r="J574" s="12"/>
      <c r="K574" s="6"/>
      <c r="L574" s="6"/>
      <c r="M574" s="6"/>
      <c r="N574" s="6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/>
      <c r="B575" s="7"/>
      <c r="C575" s="6"/>
      <c r="D575" s="12"/>
      <c r="E575" s="12"/>
      <c r="F575" s="12"/>
      <c r="G575" s="12"/>
      <c r="H575" s="12"/>
      <c r="I575" s="12"/>
      <c r="J575" s="12"/>
      <c r="K575" s="6"/>
      <c r="L575" s="6"/>
      <c r="M575" s="6"/>
      <c r="N575" s="6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/>
      <c r="B576" s="7"/>
      <c r="C576" s="6"/>
      <c r="D576" s="12"/>
      <c r="E576" s="12"/>
      <c r="F576" s="12"/>
      <c r="G576" s="12"/>
      <c r="H576" s="12"/>
      <c r="I576" s="12"/>
      <c r="J576" s="12"/>
      <c r="K576" s="6"/>
      <c r="L576" s="6"/>
      <c r="M576" s="6"/>
      <c r="N576" s="6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/>
      <c r="B577" s="7"/>
      <c r="C577" s="6"/>
      <c r="D577" s="12"/>
      <c r="E577" s="12"/>
      <c r="F577" s="12"/>
      <c r="G577" s="12"/>
      <c r="H577" s="12"/>
      <c r="I577" s="12"/>
      <c r="J577" s="12"/>
      <c r="K577" s="6"/>
      <c r="L577" s="6"/>
      <c r="M577" s="6"/>
      <c r="N577" s="6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/>
      <c r="B578" s="7"/>
      <c r="C578" s="6"/>
      <c r="D578" s="12"/>
      <c r="E578" s="12"/>
      <c r="F578" s="12"/>
      <c r="G578" s="12"/>
      <c r="H578" s="12"/>
      <c r="I578" s="12"/>
      <c r="J578" s="12"/>
      <c r="K578" s="6"/>
      <c r="L578" s="6"/>
      <c r="M578" s="6"/>
      <c r="N578" s="6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/>
      <c r="B579" s="7"/>
      <c r="C579" s="6"/>
      <c r="D579" s="12"/>
      <c r="E579" s="12"/>
      <c r="F579" s="12"/>
      <c r="G579" s="12"/>
      <c r="H579" s="12"/>
      <c r="I579" s="12"/>
      <c r="J579" s="12"/>
      <c r="K579" s="6"/>
      <c r="L579" s="6"/>
      <c r="M579" s="6"/>
      <c r="N579" s="6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/>
      <c r="B580" s="7"/>
      <c r="C580" s="6"/>
      <c r="D580" s="12"/>
      <c r="E580" s="12"/>
      <c r="F580" s="12"/>
      <c r="G580" s="12"/>
      <c r="H580" s="12"/>
      <c r="I580" s="12"/>
      <c r="J580" s="12"/>
      <c r="K580" s="6"/>
      <c r="L580" s="6"/>
      <c r="M580" s="6"/>
      <c r="N580" s="6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/>
      <c r="B581" s="7"/>
      <c r="C581" s="6"/>
      <c r="D581" s="12"/>
      <c r="E581" s="12"/>
      <c r="F581" s="12"/>
      <c r="G581" s="12"/>
      <c r="H581" s="12"/>
      <c r="I581" s="12"/>
      <c r="J581" s="12"/>
      <c r="K581" s="6"/>
      <c r="L581" s="6"/>
      <c r="M581" s="6"/>
      <c r="N581" s="6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/>
      <c r="B582" s="7"/>
      <c r="C582" s="6"/>
      <c r="D582" s="12"/>
      <c r="E582" s="12"/>
      <c r="F582" s="12"/>
      <c r="G582" s="12"/>
      <c r="H582" s="12"/>
      <c r="I582" s="12"/>
      <c r="J582" s="12"/>
      <c r="K582" s="6"/>
      <c r="L582" s="6"/>
      <c r="M582" s="6"/>
      <c r="N582" s="6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/>
      <c r="B583" s="7"/>
      <c r="C583" s="6"/>
      <c r="D583" s="12"/>
      <c r="E583" s="12"/>
      <c r="F583" s="12"/>
      <c r="G583" s="12"/>
      <c r="H583" s="12"/>
      <c r="I583" s="12"/>
      <c r="J583" s="12"/>
      <c r="K583" s="6"/>
      <c r="L583" s="6"/>
      <c r="M583" s="6"/>
      <c r="N583" s="6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/>
      <c r="B584" s="7"/>
      <c r="C584" s="6"/>
      <c r="D584" s="12"/>
      <c r="E584" s="12"/>
      <c r="F584" s="12"/>
      <c r="G584" s="12"/>
      <c r="H584" s="12"/>
      <c r="I584" s="12"/>
      <c r="J584" s="12"/>
      <c r="K584" s="6"/>
      <c r="L584" s="6"/>
      <c r="M584" s="6"/>
      <c r="N584" s="6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/>
      <c r="B585" s="7"/>
      <c r="C585" s="6"/>
      <c r="D585" s="12"/>
      <c r="E585" s="12"/>
      <c r="F585" s="12"/>
      <c r="G585" s="12"/>
      <c r="H585" s="12"/>
      <c r="I585" s="12"/>
      <c r="J585" s="12"/>
      <c r="K585" s="6"/>
      <c r="L585" s="6"/>
      <c r="M585" s="6"/>
      <c r="N585" s="6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/>
      <c r="B586" s="7"/>
      <c r="C586" s="6"/>
      <c r="D586" s="12"/>
      <c r="E586" s="12"/>
      <c r="F586" s="12"/>
      <c r="G586" s="12"/>
      <c r="H586" s="12"/>
      <c r="I586" s="12"/>
      <c r="J586" s="12"/>
      <c r="K586" s="6"/>
      <c r="L586" s="6"/>
      <c r="M586" s="6"/>
      <c r="N586" s="6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/>
      <c r="B587" s="7"/>
      <c r="C587" s="6"/>
      <c r="D587" s="12"/>
      <c r="E587" s="12"/>
      <c r="F587" s="12"/>
      <c r="G587" s="12"/>
      <c r="H587" s="12"/>
      <c r="I587" s="12"/>
      <c r="J587" s="12"/>
      <c r="K587" s="6"/>
      <c r="L587" s="6"/>
      <c r="M587" s="6"/>
      <c r="N587" s="6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/>
      <c r="B588" s="7"/>
      <c r="C588" s="6"/>
      <c r="D588" s="12"/>
      <c r="E588" s="12"/>
      <c r="F588" s="12"/>
      <c r="G588" s="12"/>
      <c r="H588" s="12"/>
      <c r="I588" s="12"/>
      <c r="J588" s="12"/>
      <c r="K588" s="6"/>
      <c r="L588" s="6"/>
      <c r="M588" s="6"/>
      <c r="N588" s="6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/>
      <c r="B589" s="7"/>
      <c r="C589" s="6"/>
      <c r="D589" s="12"/>
      <c r="E589" s="12"/>
      <c r="F589" s="12"/>
      <c r="G589" s="12"/>
      <c r="H589" s="12"/>
      <c r="I589" s="12"/>
      <c r="J589" s="12"/>
      <c r="K589" s="6"/>
      <c r="L589" s="6"/>
      <c r="M589" s="6"/>
      <c r="N589" s="6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/>
      <c r="B590" s="7"/>
      <c r="C590" s="6"/>
      <c r="D590" s="12"/>
      <c r="E590" s="12"/>
      <c r="F590" s="12"/>
      <c r="G590" s="12"/>
      <c r="H590" s="12"/>
      <c r="I590" s="12"/>
      <c r="J590" s="12"/>
      <c r="K590" s="6"/>
      <c r="L590" s="6"/>
      <c r="M590" s="6"/>
      <c r="N590" s="6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/>
      <c r="B591" s="7"/>
      <c r="C591" s="6"/>
      <c r="D591" s="12"/>
      <c r="E591" s="12"/>
      <c r="F591" s="12"/>
      <c r="G591" s="12"/>
      <c r="H591" s="12"/>
      <c r="I591" s="12"/>
      <c r="J591" s="12"/>
      <c r="K591" s="6"/>
      <c r="L591" s="6"/>
      <c r="M591" s="6"/>
      <c r="N591" s="6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/>
      <c r="B592" s="7"/>
      <c r="C592" s="6"/>
      <c r="D592" s="12"/>
      <c r="E592" s="12"/>
      <c r="F592" s="12"/>
      <c r="G592" s="12"/>
      <c r="H592" s="12"/>
      <c r="I592" s="12"/>
      <c r="J592" s="12"/>
      <c r="K592" s="6"/>
      <c r="L592" s="6"/>
      <c r="M592" s="6"/>
      <c r="N592" s="6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/>
      <c r="B593" s="7"/>
      <c r="C593" s="6"/>
      <c r="D593" s="12"/>
      <c r="E593" s="12"/>
      <c r="F593" s="12"/>
      <c r="G593" s="12"/>
      <c r="H593" s="12"/>
      <c r="I593" s="12"/>
      <c r="J593" s="12"/>
      <c r="K593" s="6"/>
      <c r="L593" s="6"/>
      <c r="M593" s="6"/>
      <c r="N593" s="6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/>
      <c r="B594" s="7"/>
      <c r="C594" s="6"/>
      <c r="D594" s="12"/>
      <c r="E594" s="12"/>
      <c r="F594" s="12"/>
      <c r="G594" s="12"/>
      <c r="H594" s="12"/>
      <c r="I594" s="12"/>
      <c r="J594" s="12"/>
      <c r="K594" s="6"/>
      <c r="L594" s="6"/>
      <c r="M594" s="6"/>
      <c r="N594" s="6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/>
      <c r="B595" s="7"/>
      <c r="C595" s="6"/>
      <c r="D595" s="12"/>
      <c r="E595" s="12"/>
      <c r="F595" s="12"/>
      <c r="G595" s="12"/>
      <c r="H595" s="12"/>
      <c r="I595" s="12"/>
      <c r="J595" s="12"/>
      <c r="K595" s="6"/>
      <c r="L595" s="6"/>
      <c r="M595" s="6"/>
      <c r="N595" s="6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/>
      <c r="B596" s="7"/>
      <c r="C596" s="6"/>
      <c r="D596" s="12"/>
      <c r="E596" s="12"/>
      <c r="F596" s="12"/>
      <c r="G596" s="12"/>
      <c r="H596" s="12"/>
      <c r="I596" s="12"/>
      <c r="J596" s="12"/>
      <c r="K596" s="6"/>
      <c r="L596" s="6"/>
      <c r="M596" s="6"/>
      <c r="N596" s="6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/>
      <c r="B597" s="7"/>
      <c r="C597" s="6"/>
      <c r="D597" s="12"/>
      <c r="E597" s="12"/>
      <c r="F597" s="12"/>
      <c r="G597" s="12"/>
      <c r="H597" s="12"/>
      <c r="I597" s="12"/>
      <c r="J597" s="12"/>
      <c r="K597" s="6"/>
      <c r="L597" s="6"/>
      <c r="M597" s="6"/>
      <c r="N597" s="6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/>
      <c r="B598" s="7"/>
      <c r="C598" s="6"/>
      <c r="D598" s="12"/>
      <c r="E598" s="12"/>
      <c r="F598" s="12"/>
      <c r="G598" s="12"/>
      <c r="H598" s="12"/>
      <c r="I598" s="12"/>
      <c r="J598" s="12"/>
      <c r="K598" s="6"/>
      <c r="L598" s="6"/>
      <c r="M598" s="6"/>
      <c r="N598" s="6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/>
      <c r="B599" s="7"/>
      <c r="C599" s="6"/>
      <c r="D599" s="12"/>
      <c r="E599" s="12"/>
      <c r="F599" s="12"/>
      <c r="G599" s="12"/>
      <c r="H599" s="12"/>
      <c r="I599" s="12"/>
      <c r="J599" s="12"/>
      <c r="K599" s="6"/>
      <c r="L599" s="6"/>
      <c r="M599" s="6"/>
      <c r="N599" s="6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/>
      <c r="B600" s="7"/>
      <c r="C600" s="6"/>
      <c r="D600" s="12"/>
      <c r="E600" s="12"/>
      <c r="F600" s="12"/>
      <c r="G600" s="12"/>
      <c r="H600" s="12"/>
      <c r="I600" s="12"/>
      <c r="J600" s="12"/>
      <c r="K600" s="6"/>
      <c r="L600" s="6"/>
      <c r="M600" s="6"/>
      <c r="N600" s="6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/>
      <c r="B601" s="7"/>
      <c r="C601" s="6"/>
      <c r="D601" s="12"/>
      <c r="E601" s="12"/>
      <c r="F601" s="12"/>
      <c r="G601" s="12"/>
      <c r="H601" s="12"/>
      <c r="I601" s="12"/>
      <c r="J601" s="12"/>
      <c r="K601" s="6"/>
      <c r="L601" s="6"/>
      <c r="M601" s="6"/>
      <c r="N601" s="6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/>
      <c r="B602" s="7"/>
      <c r="C602" s="6"/>
      <c r="D602" s="12"/>
      <c r="E602" s="12"/>
      <c r="F602" s="12"/>
      <c r="G602" s="12"/>
      <c r="H602" s="12"/>
      <c r="I602" s="12"/>
      <c r="J602" s="12"/>
      <c r="K602" s="6"/>
      <c r="L602" s="6"/>
      <c r="M602" s="6"/>
      <c r="N602" s="6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/>
      <c r="B603" s="7"/>
      <c r="C603" s="6"/>
      <c r="D603" s="12"/>
      <c r="E603" s="12"/>
      <c r="F603" s="12"/>
      <c r="G603" s="12"/>
      <c r="H603" s="12"/>
      <c r="I603" s="12"/>
      <c r="J603" s="12"/>
      <c r="K603" s="6"/>
      <c r="L603" s="6"/>
      <c r="M603" s="6"/>
      <c r="N603" s="6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/>
      <c r="B604" s="7"/>
      <c r="C604" s="6"/>
      <c r="D604" s="12"/>
      <c r="E604" s="12"/>
      <c r="F604" s="12"/>
      <c r="G604" s="12"/>
      <c r="H604" s="12"/>
      <c r="I604" s="12"/>
      <c r="J604" s="12"/>
      <c r="K604" s="6"/>
      <c r="L604" s="6"/>
      <c r="M604" s="6"/>
      <c r="N604" s="6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/>
      <c r="B605" s="7"/>
      <c r="C605" s="6"/>
      <c r="D605" s="12"/>
      <c r="E605" s="12"/>
      <c r="F605" s="12"/>
      <c r="G605" s="12"/>
      <c r="H605" s="12"/>
      <c r="I605" s="12"/>
      <c r="J605" s="12"/>
      <c r="K605" s="6"/>
      <c r="L605" s="6"/>
      <c r="M605" s="6"/>
      <c r="N605" s="6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/>
      <c r="B606" s="7"/>
      <c r="C606" s="6"/>
      <c r="D606" s="12"/>
      <c r="E606" s="12"/>
      <c r="F606" s="12"/>
      <c r="G606" s="12"/>
      <c r="H606" s="12"/>
      <c r="I606" s="12"/>
      <c r="J606" s="12"/>
      <c r="K606" s="6"/>
      <c r="L606" s="6"/>
      <c r="M606" s="6"/>
      <c r="N606" s="6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/>
      <c r="B607" s="7"/>
      <c r="C607" s="6"/>
      <c r="D607" s="12"/>
      <c r="E607" s="12"/>
      <c r="F607" s="12"/>
      <c r="G607" s="12"/>
      <c r="H607" s="12"/>
      <c r="I607" s="12"/>
      <c r="J607" s="12"/>
      <c r="K607" s="6"/>
      <c r="L607" s="6"/>
      <c r="M607" s="6"/>
      <c r="N607" s="6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/>
      <c r="B608" s="7"/>
      <c r="C608" s="6"/>
      <c r="D608" s="12"/>
      <c r="E608" s="12"/>
      <c r="F608" s="12"/>
      <c r="G608" s="12"/>
      <c r="H608" s="12"/>
      <c r="I608" s="12"/>
      <c r="J608" s="12"/>
      <c r="K608" s="6"/>
      <c r="L608" s="6"/>
      <c r="M608" s="6"/>
      <c r="N608" s="6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/>
      <c r="B609" s="7"/>
      <c r="C609" s="6"/>
      <c r="D609" s="12"/>
      <c r="E609" s="12"/>
      <c r="F609" s="12"/>
      <c r="G609" s="12"/>
      <c r="H609" s="12"/>
      <c r="I609" s="12"/>
      <c r="J609" s="12"/>
      <c r="K609" s="6"/>
      <c r="L609" s="6"/>
      <c r="M609" s="6"/>
      <c r="N609" s="6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/>
      <c r="B610" s="7"/>
      <c r="C610" s="6"/>
      <c r="D610" s="12"/>
      <c r="E610" s="12"/>
      <c r="F610" s="12"/>
      <c r="G610" s="12"/>
      <c r="H610" s="12"/>
      <c r="I610" s="12"/>
      <c r="J610" s="12"/>
      <c r="K610" s="6"/>
      <c r="L610" s="6"/>
      <c r="M610" s="6"/>
      <c r="N610" s="6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/>
      <c r="B611" s="7"/>
      <c r="C611" s="6"/>
      <c r="D611" s="12"/>
      <c r="E611" s="12"/>
      <c r="F611" s="12"/>
      <c r="G611" s="12"/>
      <c r="H611" s="12"/>
      <c r="I611" s="12"/>
      <c r="J611" s="12"/>
      <c r="K611" s="6"/>
      <c r="L611" s="6"/>
      <c r="M611" s="6"/>
      <c r="N611" s="6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/>
      <c r="B612" s="7"/>
      <c r="C612" s="6"/>
      <c r="D612" s="12"/>
      <c r="E612" s="12"/>
      <c r="F612" s="12"/>
      <c r="G612" s="12"/>
      <c r="H612" s="12"/>
      <c r="I612" s="12"/>
      <c r="J612" s="12"/>
      <c r="K612" s="6"/>
      <c r="L612" s="6"/>
      <c r="M612" s="6"/>
      <c r="N612" s="6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/>
      <c r="B613" s="7"/>
      <c r="C613" s="6"/>
      <c r="D613" s="12"/>
      <c r="E613" s="12"/>
      <c r="F613" s="12"/>
      <c r="G613" s="12"/>
      <c r="H613" s="12"/>
      <c r="I613" s="12"/>
      <c r="J613" s="12"/>
      <c r="K613" s="6"/>
      <c r="L613" s="6"/>
      <c r="M613" s="6"/>
      <c r="N613" s="6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/>
      <c r="B614" s="7"/>
      <c r="C614" s="6"/>
      <c r="D614" s="12"/>
      <c r="E614" s="12"/>
      <c r="F614" s="12"/>
      <c r="G614" s="12"/>
      <c r="H614" s="12"/>
      <c r="I614" s="12"/>
      <c r="J614" s="12"/>
      <c r="K614" s="6"/>
      <c r="L614" s="6"/>
      <c r="M614" s="6"/>
      <c r="N614" s="6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/>
      <c r="B615" s="7"/>
      <c r="C615" s="6"/>
      <c r="D615" s="12"/>
      <c r="E615" s="12"/>
      <c r="F615" s="12"/>
      <c r="G615" s="12"/>
      <c r="H615" s="12"/>
      <c r="I615" s="12"/>
      <c r="J615" s="12"/>
      <c r="K615" s="6"/>
      <c r="L615" s="6"/>
      <c r="M615" s="6"/>
      <c r="N615" s="6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/>
      <c r="B616" s="7"/>
      <c r="C616" s="6"/>
      <c r="D616" s="12"/>
      <c r="E616" s="12"/>
      <c r="F616" s="12"/>
      <c r="G616" s="12"/>
      <c r="H616" s="12"/>
      <c r="I616" s="12"/>
      <c r="J616" s="12"/>
      <c r="K616" s="6"/>
      <c r="L616" s="6"/>
      <c r="M616" s="6"/>
      <c r="N616" s="6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/>
      <c r="B617" s="7"/>
      <c r="C617" s="6"/>
      <c r="D617" s="12"/>
      <c r="E617" s="12"/>
      <c r="F617" s="12"/>
      <c r="G617" s="12"/>
      <c r="H617" s="12"/>
      <c r="I617" s="12"/>
      <c r="J617" s="12"/>
      <c r="K617" s="6"/>
      <c r="L617" s="6"/>
      <c r="M617" s="6"/>
      <c r="N617" s="6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/>
      <c r="B618" s="7"/>
      <c r="C618" s="6"/>
      <c r="D618" s="12"/>
      <c r="E618" s="12"/>
      <c r="F618" s="12"/>
      <c r="G618" s="12"/>
      <c r="H618" s="12"/>
      <c r="I618" s="12"/>
      <c r="J618" s="12"/>
      <c r="K618" s="6"/>
      <c r="L618" s="6"/>
      <c r="M618" s="6"/>
      <c r="N618" s="6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/>
      <c r="B619" s="7"/>
      <c r="C619" s="6"/>
      <c r="D619" s="12"/>
      <c r="E619" s="12"/>
      <c r="F619" s="12"/>
      <c r="G619" s="12"/>
      <c r="H619" s="12"/>
      <c r="I619" s="12"/>
      <c r="J619" s="12"/>
      <c r="K619" s="6"/>
      <c r="L619" s="6"/>
      <c r="M619" s="6"/>
      <c r="N619" s="6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/>
      <c r="B620" s="7"/>
      <c r="C620" s="6"/>
      <c r="D620" s="12"/>
      <c r="E620" s="12"/>
      <c r="F620" s="12"/>
      <c r="G620" s="12"/>
      <c r="H620" s="12"/>
      <c r="I620" s="12"/>
      <c r="J620" s="12"/>
      <c r="K620" s="6"/>
      <c r="L620" s="6"/>
      <c r="M620" s="6"/>
      <c r="N620" s="6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/>
      <c r="B621" s="7"/>
      <c r="C621" s="6"/>
      <c r="D621" s="12"/>
      <c r="E621" s="12"/>
      <c r="F621" s="12"/>
      <c r="G621" s="12"/>
      <c r="H621" s="12"/>
      <c r="I621" s="12"/>
      <c r="J621" s="12"/>
      <c r="K621" s="6"/>
      <c r="L621" s="6"/>
      <c r="M621" s="6"/>
      <c r="N621" s="6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/>
      <c r="B622" s="7"/>
      <c r="C622" s="6"/>
      <c r="D622" s="12"/>
      <c r="E622" s="12"/>
      <c r="F622" s="12"/>
      <c r="G622" s="12"/>
      <c r="H622" s="12"/>
      <c r="I622" s="12"/>
      <c r="J622" s="12"/>
      <c r="K622" s="6"/>
      <c r="L622" s="6"/>
      <c r="M622" s="6"/>
      <c r="N622" s="6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/>
      <c r="B623" s="7"/>
      <c r="C623" s="6"/>
      <c r="D623" s="12"/>
      <c r="E623" s="12"/>
      <c r="F623" s="12"/>
      <c r="G623" s="12"/>
      <c r="H623" s="12"/>
      <c r="I623" s="12"/>
      <c r="J623" s="12"/>
      <c r="K623" s="6"/>
      <c r="L623" s="6"/>
      <c r="M623" s="6"/>
      <c r="N623" s="6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/>
      <c r="B624" s="7"/>
      <c r="C624" s="6"/>
      <c r="D624" s="12"/>
      <c r="E624" s="12"/>
      <c r="F624" s="12"/>
      <c r="G624" s="12"/>
      <c r="H624" s="12"/>
      <c r="I624" s="12"/>
      <c r="J624" s="12"/>
      <c r="K624" s="6"/>
      <c r="L624" s="6"/>
      <c r="M624" s="6"/>
      <c r="N624" s="6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/>
      <c r="B625" s="7"/>
      <c r="C625" s="6"/>
      <c r="D625" s="12"/>
      <c r="E625" s="12"/>
      <c r="F625" s="12"/>
      <c r="G625" s="12"/>
      <c r="H625" s="12"/>
      <c r="I625" s="12"/>
      <c r="J625" s="12"/>
      <c r="K625" s="6"/>
      <c r="L625" s="6"/>
      <c r="M625" s="6"/>
      <c r="N625" s="6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/>
      <c r="B626" s="7"/>
      <c r="C626" s="6"/>
      <c r="D626" s="12"/>
      <c r="E626" s="12"/>
      <c r="F626" s="12"/>
      <c r="G626" s="12"/>
      <c r="H626" s="12"/>
      <c r="I626" s="12"/>
      <c r="J626" s="12"/>
      <c r="K626" s="6"/>
      <c r="L626" s="6"/>
      <c r="M626" s="6"/>
      <c r="N626" s="6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/>
      <c r="B627" s="7"/>
      <c r="C627" s="6"/>
      <c r="D627" s="12"/>
      <c r="E627" s="12"/>
      <c r="F627" s="12"/>
      <c r="G627" s="12"/>
      <c r="H627" s="12"/>
      <c r="I627" s="12"/>
      <c r="J627" s="12"/>
      <c r="K627" s="6"/>
      <c r="L627" s="6"/>
      <c r="M627" s="6"/>
      <c r="N627" s="6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/>
      <c r="B628" s="7"/>
      <c r="C628" s="6"/>
      <c r="D628" s="12"/>
      <c r="E628" s="12"/>
      <c r="F628" s="12"/>
      <c r="G628" s="12"/>
      <c r="H628" s="12"/>
      <c r="I628" s="12"/>
      <c r="J628" s="12"/>
      <c r="K628" s="6"/>
      <c r="L628" s="6"/>
      <c r="M628" s="6"/>
      <c r="N628" s="6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/>
      <c r="B629" s="7"/>
      <c r="C629" s="6"/>
      <c r="D629" s="12"/>
      <c r="E629" s="12"/>
      <c r="F629" s="12"/>
      <c r="G629" s="12"/>
      <c r="H629" s="12"/>
      <c r="I629" s="12"/>
      <c r="J629" s="12"/>
      <c r="K629" s="6"/>
      <c r="L629" s="6"/>
      <c r="M629" s="6"/>
      <c r="N629" s="6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/>
      <c r="B630" s="7"/>
      <c r="C630" s="6"/>
      <c r="D630" s="12"/>
      <c r="E630" s="12"/>
      <c r="F630" s="12"/>
      <c r="G630" s="12"/>
      <c r="H630" s="12"/>
      <c r="I630" s="12"/>
      <c r="J630" s="12"/>
      <c r="K630" s="6"/>
      <c r="L630" s="6"/>
      <c r="M630" s="6"/>
      <c r="N630" s="6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/>
      <c r="B631" s="7"/>
      <c r="C631" s="6"/>
      <c r="D631" s="12"/>
      <c r="E631" s="12"/>
      <c r="F631" s="12"/>
      <c r="G631" s="12"/>
      <c r="H631" s="12"/>
      <c r="I631" s="12"/>
      <c r="J631" s="12"/>
      <c r="K631" s="6"/>
      <c r="L631" s="6"/>
      <c r="M631" s="6"/>
      <c r="N631" s="6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/>
      <c r="B632" s="7"/>
      <c r="C632" s="6"/>
      <c r="D632" s="12"/>
      <c r="E632" s="12"/>
      <c r="F632" s="12"/>
      <c r="G632" s="12"/>
      <c r="H632" s="12"/>
      <c r="I632" s="12"/>
      <c r="J632" s="12"/>
      <c r="K632" s="6"/>
      <c r="L632" s="6"/>
      <c r="M632" s="6"/>
      <c r="N632" s="6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/>
      <c r="B633" s="7"/>
      <c r="C633" s="6"/>
      <c r="D633" s="12"/>
      <c r="E633" s="12"/>
      <c r="F633" s="12"/>
      <c r="G633" s="12"/>
      <c r="H633" s="12"/>
      <c r="I633" s="12"/>
      <c r="J633" s="12"/>
      <c r="K633" s="6"/>
      <c r="L633" s="6"/>
      <c r="M633" s="6"/>
      <c r="N633" s="6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/>
      <c r="B634" s="7"/>
      <c r="C634" s="6"/>
      <c r="D634" s="12"/>
      <c r="E634" s="12"/>
      <c r="F634" s="12"/>
      <c r="G634" s="12"/>
      <c r="H634" s="12"/>
      <c r="I634" s="12"/>
      <c r="J634" s="12"/>
      <c r="K634" s="6"/>
      <c r="L634" s="6"/>
      <c r="M634" s="6"/>
      <c r="N634" s="6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/>
      <c r="B635" s="7"/>
      <c r="C635" s="6"/>
      <c r="D635" s="12"/>
      <c r="E635" s="12"/>
      <c r="F635" s="12"/>
      <c r="G635" s="12"/>
      <c r="H635" s="12"/>
      <c r="I635" s="12"/>
      <c r="J635" s="12"/>
      <c r="K635" s="6"/>
      <c r="L635" s="6"/>
      <c r="M635" s="6"/>
      <c r="N635" s="6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/>
      <c r="B636" s="7"/>
      <c r="C636" s="6"/>
      <c r="D636" s="12"/>
      <c r="E636" s="12"/>
      <c r="F636" s="12"/>
      <c r="G636" s="12"/>
      <c r="H636" s="12"/>
      <c r="I636" s="12"/>
      <c r="J636" s="12"/>
      <c r="K636" s="6"/>
      <c r="L636" s="6"/>
      <c r="M636" s="6"/>
      <c r="N636" s="6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/>
      <c r="B637" s="7"/>
      <c r="C637" s="6"/>
      <c r="D637" s="12"/>
      <c r="E637" s="12"/>
      <c r="F637" s="12"/>
      <c r="G637" s="12"/>
      <c r="H637" s="12"/>
      <c r="I637" s="12"/>
      <c r="J637" s="12"/>
      <c r="K637" s="6"/>
      <c r="L637" s="6"/>
      <c r="M637" s="6"/>
      <c r="N637" s="6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/>
      <c r="B638" s="7"/>
      <c r="C638" s="6"/>
      <c r="D638" s="12"/>
      <c r="E638" s="12"/>
      <c r="F638" s="12"/>
      <c r="G638" s="12"/>
      <c r="H638" s="12"/>
      <c r="I638" s="12"/>
      <c r="J638" s="12"/>
      <c r="K638" s="6"/>
      <c r="L638" s="6"/>
      <c r="M638" s="6"/>
      <c r="N638" s="6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/>
      <c r="B639" s="7"/>
      <c r="C639" s="6"/>
      <c r="D639" s="12"/>
      <c r="E639" s="12"/>
      <c r="F639" s="12"/>
      <c r="G639" s="12"/>
      <c r="H639" s="12"/>
      <c r="I639" s="12"/>
      <c r="J639" s="12"/>
      <c r="K639" s="6"/>
      <c r="L639" s="6"/>
      <c r="M639" s="6"/>
      <c r="N639" s="6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/>
      <c r="B640" s="7"/>
      <c r="C640" s="6"/>
      <c r="D640" s="12"/>
      <c r="E640" s="12"/>
      <c r="F640" s="12"/>
      <c r="G640" s="12"/>
      <c r="H640" s="12"/>
      <c r="I640" s="12"/>
      <c r="J640" s="12"/>
      <c r="K640" s="6"/>
      <c r="L640" s="6"/>
      <c r="M640" s="6"/>
      <c r="N640" s="6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/>
      <c r="B641" s="7"/>
      <c r="C641" s="6"/>
      <c r="D641" s="12"/>
      <c r="E641" s="12"/>
      <c r="F641" s="12"/>
      <c r="G641" s="12"/>
      <c r="H641" s="12"/>
      <c r="I641" s="12"/>
      <c r="J641" s="12"/>
      <c r="K641" s="6"/>
      <c r="L641" s="6"/>
      <c r="M641" s="6"/>
      <c r="N641" s="6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/>
      <c r="B642" s="7"/>
      <c r="C642" s="6"/>
      <c r="D642" s="12"/>
      <c r="E642" s="12"/>
      <c r="F642" s="12"/>
      <c r="G642" s="12"/>
      <c r="H642" s="12"/>
      <c r="I642" s="12"/>
      <c r="J642" s="12"/>
      <c r="K642" s="6"/>
      <c r="L642" s="6"/>
      <c r="M642" s="6"/>
      <c r="N642" s="6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/>
      <c r="B643" s="7"/>
      <c r="C643" s="6"/>
      <c r="D643" s="12"/>
      <c r="E643" s="12"/>
      <c r="F643" s="12"/>
      <c r="G643" s="12"/>
      <c r="H643" s="12"/>
      <c r="I643" s="12"/>
      <c r="J643" s="12"/>
      <c r="K643" s="6"/>
      <c r="L643" s="6"/>
      <c r="M643" s="6"/>
      <c r="N643" s="6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/>
      <c r="B644" s="7"/>
      <c r="C644" s="6"/>
      <c r="D644" s="12"/>
      <c r="E644" s="12"/>
      <c r="F644" s="12"/>
      <c r="G644" s="12"/>
      <c r="H644" s="12"/>
      <c r="I644" s="12"/>
      <c r="J644" s="12"/>
      <c r="K644" s="6"/>
      <c r="L644" s="6"/>
      <c r="M644" s="6"/>
      <c r="N644" s="6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/>
      <c r="B645" s="7"/>
      <c r="C645" s="6"/>
      <c r="D645" s="12"/>
      <c r="E645" s="12"/>
      <c r="F645" s="12"/>
      <c r="G645" s="12"/>
      <c r="H645" s="12"/>
      <c r="I645" s="12"/>
      <c r="J645" s="12"/>
      <c r="K645" s="6"/>
      <c r="L645" s="6"/>
      <c r="M645" s="6"/>
      <c r="N645" s="6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/>
      <c r="B646" s="7"/>
      <c r="C646" s="6"/>
      <c r="D646" s="12"/>
      <c r="E646" s="12"/>
      <c r="F646" s="12"/>
      <c r="G646" s="12"/>
      <c r="H646" s="12"/>
      <c r="I646" s="12"/>
      <c r="J646" s="12"/>
      <c r="K646" s="6"/>
      <c r="L646" s="6"/>
      <c r="M646" s="6"/>
      <c r="N646" s="6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/>
      <c r="B647" s="7"/>
      <c r="C647" s="6"/>
      <c r="D647" s="12"/>
      <c r="E647" s="12"/>
      <c r="F647" s="12"/>
      <c r="G647" s="12"/>
      <c r="H647" s="12"/>
      <c r="I647" s="12"/>
      <c r="J647" s="12"/>
      <c r="K647" s="6"/>
      <c r="L647" s="6"/>
      <c r="M647" s="6"/>
      <c r="N647" s="6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/>
      <c r="B648" s="7"/>
      <c r="C648" s="6"/>
      <c r="D648" s="12"/>
      <c r="E648" s="12"/>
      <c r="F648" s="12"/>
      <c r="G648" s="12"/>
      <c r="H648" s="12"/>
      <c r="I648" s="12"/>
      <c r="J648" s="12"/>
      <c r="K648" s="6"/>
      <c r="L648" s="6"/>
      <c r="M648" s="6"/>
      <c r="N648" s="6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/>
      <c r="B649" s="7"/>
      <c r="C649" s="6"/>
      <c r="D649" s="12"/>
      <c r="E649" s="12"/>
      <c r="F649" s="12"/>
      <c r="G649" s="12"/>
      <c r="H649" s="12"/>
      <c r="I649" s="12"/>
      <c r="J649" s="12"/>
      <c r="K649" s="6"/>
      <c r="L649" s="6"/>
      <c r="M649" s="6"/>
      <c r="N649" s="6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/>
      <c r="B650" s="7"/>
      <c r="C650" s="6"/>
      <c r="D650" s="12"/>
      <c r="E650" s="12"/>
      <c r="F650" s="12"/>
      <c r="G650" s="12"/>
      <c r="H650" s="12"/>
      <c r="I650" s="12"/>
      <c r="J650" s="12"/>
      <c r="K650" s="6"/>
      <c r="L650" s="6"/>
      <c r="M650" s="6"/>
      <c r="N650" s="6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/>
      <c r="B651" s="7"/>
      <c r="C651" s="6"/>
      <c r="D651" s="12"/>
      <c r="E651" s="12"/>
      <c r="F651" s="12"/>
      <c r="G651" s="12"/>
      <c r="H651" s="12"/>
      <c r="I651" s="12"/>
      <c r="J651" s="12"/>
      <c r="K651" s="6"/>
      <c r="L651" s="6"/>
      <c r="M651" s="6"/>
      <c r="N651" s="6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/>
      <c r="B652" s="7"/>
      <c r="C652" s="6"/>
      <c r="D652" s="12"/>
      <c r="E652" s="12"/>
      <c r="F652" s="12"/>
      <c r="G652" s="12"/>
      <c r="H652" s="12"/>
      <c r="I652" s="12"/>
      <c r="J652" s="12"/>
      <c r="K652" s="6"/>
      <c r="L652" s="6"/>
      <c r="M652" s="6"/>
      <c r="N652" s="6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/>
      <c r="B653" s="7"/>
      <c r="C653" s="6"/>
      <c r="D653" s="12"/>
      <c r="E653" s="12"/>
      <c r="F653" s="12"/>
      <c r="G653" s="12"/>
      <c r="H653" s="12"/>
      <c r="I653" s="12"/>
      <c r="J653" s="12"/>
      <c r="K653" s="6"/>
      <c r="L653" s="6"/>
      <c r="M653" s="6"/>
      <c r="N653" s="6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/>
      <c r="B654" s="7"/>
      <c r="C654" s="6"/>
      <c r="D654" s="12"/>
      <c r="E654" s="12"/>
      <c r="F654" s="12"/>
      <c r="G654" s="12"/>
      <c r="H654" s="12"/>
      <c r="I654" s="12"/>
      <c r="J654" s="12"/>
      <c r="K654" s="6"/>
      <c r="L654" s="6"/>
      <c r="M654" s="6"/>
      <c r="N654" s="6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/>
      <c r="B655" s="7"/>
      <c r="C655" s="6"/>
      <c r="D655" s="12"/>
      <c r="E655" s="12"/>
      <c r="F655" s="12"/>
      <c r="G655" s="12"/>
      <c r="H655" s="12"/>
      <c r="I655" s="12"/>
      <c r="J655" s="12"/>
      <c r="K655" s="6"/>
      <c r="L655" s="6"/>
      <c r="M655" s="6"/>
      <c r="N655" s="6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/>
      <c r="B656" s="7"/>
      <c r="C656" s="6"/>
      <c r="D656" s="12"/>
      <c r="E656" s="12"/>
      <c r="F656" s="12"/>
      <c r="G656" s="12"/>
      <c r="H656" s="12"/>
      <c r="I656" s="12"/>
      <c r="J656" s="12"/>
      <c r="K656" s="6"/>
      <c r="L656" s="6"/>
      <c r="M656" s="6"/>
      <c r="N656" s="6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/>
      <c r="B657" s="7"/>
      <c r="C657" s="6"/>
      <c r="D657" s="12"/>
      <c r="E657" s="12"/>
      <c r="F657" s="12"/>
      <c r="G657" s="12"/>
      <c r="H657" s="12"/>
      <c r="I657" s="12"/>
      <c r="J657" s="12"/>
      <c r="K657" s="6"/>
      <c r="L657" s="6"/>
      <c r="M657" s="6"/>
      <c r="N657" s="6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/>
      <c r="B658" s="7"/>
      <c r="C658" s="6"/>
      <c r="D658" s="12"/>
      <c r="E658" s="12"/>
      <c r="F658" s="12"/>
      <c r="G658" s="12"/>
      <c r="H658" s="12"/>
      <c r="I658" s="12"/>
      <c r="J658" s="12"/>
      <c r="K658" s="6"/>
      <c r="L658" s="6"/>
      <c r="M658" s="6"/>
      <c r="N658" s="6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/>
      <c r="B659" s="7"/>
      <c r="C659" s="6"/>
      <c r="D659" s="12"/>
      <c r="E659" s="12"/>
      <c r="F659" s="12"/>
      <c r="G659" s="12"/>
      <c r="H659" s="12"/>
      <c r="I659" s="12"/>
      <c r="J659" s="12"/>
      <c r="K659" s="6"/>
      <c r="L659" s="6"/>
      <c r="M659" s="6"/>
      <c r="N659" s="6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/>
      <c r="B660" s="7"/>
      <c r="C660" s="6"/>
      <c r="D660" s="12"/>
      <c r="E660" s="12"/>
      <c r="F660" s="12"/>
      <c r="G660" s="12"/>
      <c r="H660" s="12"/>
      <c r="I660" s="12"/>
      <c r="J660" s="12"/>
      <c r="K660" s="6"/>
      <c r="L660" s="6"/>
      <c r="M660" s="6"/>
      <c r="N660" s="6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/>
      <c r="B661" s="7"/>
      <c r="C661" s="6"/>
      <c r="D661" s="12"/>
      <c r="E661" s="12"/>
      <c r="F661" s="12"/>
      <c r="G661" s="12"/>
      <c r="H661" s="12"/>
      <c r="I661" s="12"/>
      <c r="J661" s="12"/>
      <c r="K661" s="6"/>
      <c r="L661" s="6"/>
      <c r="M661" s="6"/>
      <c r="N661" s="6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/>
      <c r="B662" s="7"/>
      <c r="C662" s="6"/>
      <c r="D662" s="12"/>
      <c r="E662" s="12"/>
      <c r="F662" s="12"/>
      <c r="G662" s="12"/>
      <c r="H662" s="12"/>
      <c r="I662" s="12"/>
      <c r="J662" s="12"/>
      <c r="K662" s="6"/>
      <c r="L662" s="6"/>
      <c r="M662" s="6"/>
      <c r="N662" s="6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/>
      <c r="B663" s="7"/>
      <c r="C663" s="6"/>
      <c r="D663" s="12"/>
      <c r="E663" s="12"/>
      <c r="F663" s="12"/>
      <c r="G663" s="12"/>
      <c r="H663" s="12"/>
      <c r="I663" s="12"/>
      <c r="J663" s="12"/>
      <c r="K663" s="6"/>
      <c r="L663" s="6"/>
      <c r="M663" s="6"/>
      <c r="N663" s="6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/>
      <c r="B664" s="7"/>
      <c r="C664" s="6"/>
      <c r="D664" s="12"/>
      <c r="E664" s="12"/>
      <c r="F664" s="12"/>
      <c r="G664" s="12"/>
      <c r="H664" s="12"/>
      <c r="I664" s="12"/>
      <c r="J664" s="12"/>
      <c r="K664" s="6"/>
      <c r="L664" s="6"/>
      <c r="M664" s="6"/>
      <c r="N664" s="6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/>
      <c r="B665" s="7"/>
      <c r="C665" s="6"/>
      <c r="D665" s="12"/>
      <c r="E665" s="12"/>
      <c r="F665" s="12"/>
      <c r="G665" s="12"/>
      <c r="H665" s="12"/>
      <c r="I665" s="12"/>
      <c r="J665" s="12"/>
      <c r="K665" s="6"/>
      <c r="L665" s="6"/>
      <c r="M665" s="6"/>
      <c r="N665" s="6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/>
      <c r="B666" s="7"/>
      <c r="C666" s="6"/>
      <c r="D666" s="12"/>
      <c r="E666" s="12"/>
      <c r="F666" s="12"/>
      <c r="G666" s="12"/>
      <c r="H666" s="12"/>
      <c r="I666" s="12"/>
      <c r="J666" s="12"/>
      <c r="K666" s="6"/>
      <c r="L666" s="6"/>
      <c r="M666" s="6"/>
      <c r="N666" s="6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/>
      <c r="B667" s="7"/>
      <c r="C667" s="6"/>
      <c r="D667" s="12"/>
      <c r="E667" s="12"/>
      <c r="F667" s="12"/>
      <c r="G667" s="12"/>
      <c r="H667" s="12"/>
      <c r="I667" s="12"/>
      <c r="J667" s="12"/>
      <c r="K667" s="6"/>
      <c r="L667" s="6"/>
      <c r="M667" s="6"/>
      <c r="N667" s="6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/>
      <c r="B668" s="7"/>
      <c r="C668" s="6"/>
      <c r="D668" s="12"/>
      <c r="E668" s="12"/>
      <c r="F668" s="12"/>
      <c r="G668" s="12"/>
      <c r="H668" s="12"/>
      <c r="I668" s="12"/>
      <c r="J668" s="12"/>
      <c r="K668" s="6"/>
      <c r="L668" s="6"/>
      <c r="M668" s="6"/>
      <c r="N668" s="6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/>
      <c r="B669" s="7"/>
      <c r="C669" s="6"/>
      <c r="D669" s="12"/>
      <c r="E669" s="12"/>
      <c r="F669" s="12"/>
      <c r="G669" s="12"/>
      <c r="H669" s="12"/>
      <c r="I669" s="12"/>
      <c r="J669" s="12"/>
      <c r="K669" s="6"/>
      <c r="L669" s="6"/>
      <c r="M669" s="6"/>
      <c r="N669" s="6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/>
      <c r="B670" s="7"/>
      <c r="C670" s="6"/>
      <c r="D670" s="12"/>
      <c r="E670" s="12"/>
      <c r="F670" s="12"/>
      <c r="G670" s="12"/>
      <c r="H670" s="12"/>
      <c r="I670" s="12"/>
      <c r="J670" s="12"/>
      <c r="K670" s="6"/>
      <c r="L670" s="6"/>
      <c r="M670" s="6"/>
      <c r="N670" s="6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/>
      <c r="B671" s="7"/>
      <c r="C671" s="6"/>
      <c r="D671" s="12"/>
      <c r="E671" s="12"/>
      <c r="F671" s="12"/>
      <c r="G671" s="12"/>
      <c r="H671" s="12"/>
      <c r="I671" s="12"/>
      <c r="J671" s="12"/>
      <c r="K671" s="6"/>
      <c r="L671" s="6"/>
      <c r="M671" s="6"/>
      <c r="N671" s="6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/>
      <c r="B672" s="7"/>
      <c r="C672" s="6"/>
      <c r="D672" s="12"/>
      <c r="E672" s="12"/>
      <c r="F672" s="12"/>
      <c r="G672" s="12"/>
      <c r="H672" s="12"/>
      <c r="I672" s="12"/>
      <c r="J672" s="12"/>
      <c r="K672" s="6"/>
      <c r="L672" s="6"/>
      <c r="M672" s="6"/>
      <c r="N672" s="6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/>
      <c r="B673" s="7"/>
      <c r="C673" s="6"/>
      <c r="D673" s="12"/>
      <c r="E673" s="12"/>
      <c r="F673" s="12"/>
      <c r="G673" s="12"/>
      <c r="H673" s="12"/>
      <c r="I673" s="12"/>
      <c r="J673" s="12"/>
      <c r="K673" s="6"/>
      <c r="L673" s="6"/>
      <c r="M673" s="6"/>
      <c r="N673" s="6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/>
      <c r="B674" s="7"/>
      <c r="C674" s="6"/>
      <c r="D674" s="12"/>
      <c r="E674" s="12"/>
      <c r="F674" s="12"/>
      <c r="G674" s="12"/>
      <c r="H674" s="12"/>
      <c r="I674" s="12"/>
      <c r="J674" s="12"/>
      <c r="K674" s="6"/>
      <c r="L674" s="6"/>
      <c r="M674" s="6"/>
      <c r="N674" s="6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/>
      <c r="B675" s="7"/>
      <c r="C675" s="6"/>
      <c r="D675" s="12"/>
      <c r="E675" s="12"/>
      <c r="F675" s="12"/>
      <c r="G675" s="12"/>
      <c r="H675" s="12"/>
      <c r="I675" s="12"/>
      <c r="J675" s="12"/>
      <c r="K675" s="6"/>
      <c r="L675" s="6"/>
      <c r="M675" s="6"/>
      <c r="N675" s="6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/>
      <c r="B676" s="7"/>
      <c r="C676" s="6"/>
      <c r="D676" s="12"/>
      <c r="E676" s="12"/>
      <c r="F676" s="12"/>
      <c r="G676" s="12"/>
      <c r="H676" s="12"/>
      <c r="I676" s="12"/>
      <c r="J676" s="12"/>
      <c r="K676" s="6"/>
      <c r="L676" s="6"/>
      <c r="M676" s="6"/>
      <c r="N676" s="6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/>
      <c r="B677" s="7"/>
      <c r="C677" s="6"/>
      <c r="D677" s="12"/>
      <c r="E677" s="12"/>
      <c r="F677" s="12"/>
      <c r="G677" s="12"/>
      <c r="H677" s="12"/>
      <c r="I677" s="12"/>
      <c r="J677" s="12"/>
      <c r="K677" s="6"/>
      <c r="L677" s="6"/>
      <c r="M677" s="6"/>
      <c r="N677" s="6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/>
      <c r="B678" s="7"/>
      <c r="C678" s="6"/>
      <c r="D678" s="12"/>
      <c r="E678" s="12"/>
      <c r="F678" s="12"/>
      <c r="G678" s="12"/>
      <c r="H678" s="12"/>
      <c r="I678" s="12"/>
      <c r="J678" s="12"/>
      <c r="K678" s="6"/>
      <c r="L678" s="6"/>
      <c r="M678" s="6"/>
      <c r="N678" s="6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/>
      <c r="B679" s="7"/>
      <c r="C679" s="6"/>
      <c r="D679" s="12"/>
      <c r="E679" s="12"/>
      <c r="F679" s="12"/>
      <c r="G679" s="12"/>
      <c r="H679" s="12"/>
      <c r="I679" s="12"/>
      <c r="J679" s="12"/>
      <c r="K679" s="6"/>
      <c r="L679" s="6"/>
      <c r="M679" s="6"/>
      <c r="N679" s="6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/>
      <c r="B680" s="7"/>
      <c r="C680" s="6"/>
      <c r="D680" s="12"/>
      <c r="E680" s="12"/>
      <c r="F680" s="12"/>
      <c r="G680" s="12"/>
      <c r="H680" s="12"/>
      <c r="I680" s="12"/>
      <c r="J680" s="12"/>
      <c r="K680" s="6"/>
      <c r="L680" s="6"/>
      <c r="M680" s="6"/>
      <c r="N680" s="6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/>
      <c r="B681" s="7"/>
      <c r="C681" s="6"/>
      <c r="D681" s="12"/>
      <c r="E681" s="12"/>
      <c r="F681" s="12"/>
      <c r="G681" s="12"/>
      <c r="H681" s="12"/>
      <c r="I681" s="12"/>
      <c r="J681" s="12"/>
      <c r="K681" s="6"/>
      <c r="L681" s="6"/>
      <c r="M681" s="6"/>
      <c r="N681" s="6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/>
      <c r="B682" s="7"/>
      <c r="C682" s="6"/>
      <c r="D682" s="12"/>
      <c r="E682" s="12"/>
      <c r="F682" s="12"/>
      <c r="G682" s="12"/>
      <c r="H682" s="12"/>
      <c r="I682" s="12"/>
      <c r="J682" s="12"/>
      <c r="K682" s="6"/>
      <c r="L682" s="6"/>
      <c r="M682" s="6"/>
      <c r="N682" s="6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/>
      <c r="B683" s="7"/>
      <c r="C683" s="6"/>
      <c r="D683" s="12"/>
      <c r="E683" s="12"/>
      <c r="F683" s="12"/>
      <c r="G683" s="12"/>
      <c r="H683" s="12"/>
      <c r="I683" s="12"/>
      <c r="J683" s="12"/>
      <c r="K683" s="6"/>
      <c r="L683" s="6"/>
      <c r="M683" s="6"/>
      <c r="N683" s="6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/>
      <c r="B684" s="7"/>
      <c r="C684" s="6"/>
      <c r="D684" s="12"/>
      <c r="E684" s="12"/>
      <c r="F684" s="12"/>
      <c r="G684" s="12"/>
      <c r="H684" s="12"/>
      <c r="I684" s="12"/>
      <c r="J684" s="12"/>
      <c r="K684" s="6"/>
      <c r="L684" s="6"/>
      <c r="M684" s="6"/>
      <c r="N684" s="6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/>
      <c r="B685" s="7"/>
      <c r="C685" s="6"/>
      <c r="D685" s="12"/>
      <c r="E685" s="12"/>
      <c r="F685" s="12"/>
      <c r="G685" s="12"/>
      <c r="H685" s="12"/>
      <c r="I685" s="12"/>
      <c r="J685" s="12"/>
      <c r="K685" s="6"/>
      <c r="L685" s="6"/>
      <c r="M685" s="6"/>
      <c r="N685" s="6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/>
      <c r="B686" s="7"/>
      <c r="C686" s="6"/>
      <c r="D686" s="12"/>
      <c r="E686" s="12"/>
      <c r="F686" s="12"/>
      <c r="G686" s="12"/>
      <c r="H686" s="12"/>
      <c r="I686" s="12"/>
      <c r="J686" s="12"/>
      <c r="K686" s="6"/>
      <c r="L686" s="6"/>
      <c r="M686" s="6"/>
      <c r="N686" s="6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/>
      <c r="B687" s="7"/>
      <c r="C687" s="6"/>
      <c r="D687" s="12"/>
      <c r="E687" s="12"/>
      <c r="F687" s="12"/>
      <c r="G687" s="12"/>
      <c r="H687" s="12"/>
      <c r="I687" s="12"/>
      <c r="J687" s="12"/>
      <c r="K687" s="6"/>
      <c r="L687" s="6"/>
      <c r="M687" s="6"/>
      <c r="N687" s="6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/>
      <c r="B688" s="7"/>
      <c r="C688" s="6"/>
      <c r="D688" s="12"/>
      <c r="E688" s="12"/>
      <c r="F688" s="12"/>
      <c r="G688" s="12"/>
      <c r="H688" s="12"/>
      <c r="I688" s="12"/>
      <c r="J688" s="12"/>
      <c r="K688" s="6"/>
      <c r="L688" s="6"/>
      <c r="M688" s="6"/>
      <c r="N688" s="6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/>
      <c r="B689" s="7"/>
      <c r="C689" s="6"/>
      <c r="D689" s="12"/>
      <c r="E689" s="12"/>
      <c r="F689" s="12"/>
      <c r="G689" s="12"/>
      <c r="H689" s="12"/>
      <c r="I689" s="12"/>
      <c r="J689" s="12"/>
      <c r="K689" s="6"/>
      <c r="L689" s="6"/>
      <c r="M689" s="6"/>
      <c r="N689" s="6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/>
      <c r="B690" s="7"/>
      <c r="C690" s="6"/>
      <c r="D690" s="12"/>
      <c r="E690" s="12"/>
      <c r="F690" s="12"/>
      <c r="G690" s="12"/>
      <c r="H690" s="12"/>
      <c r="I690" s="12"/>
      <c r="J690" s="12"/>
      <c r="K690" s="6"/>
      <c r="L690" s="6"/>
      <c r="M690" s="6"/>
      <c r="N690" s="6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/>
      <c r="B691" s="7"/>
      <c r="C691" s="6"/>
      <c r="D691" s="12"/>
      <c r="E691" s="12"/>
      <c r="F691" s="12"/>
      <c r="G691" s="12"/>
      <c r="H691" s="12"/>
      <c r="I691" s="12"/>
      <c r="J691" s="12"/>
      <c r="K691" s="6"/>
      <c r="L691" s="6"/>
      <c r="M691" s="6"/>
      <c r="N691" s="6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/>
      <c r="B692" s="7"/>
      <c r="C692" s="6"/>
      <c r="D692" s="12"/>
      <c r="E692" s="12"/>
      <c r="F692" s="12"/>
      <c r="G692" s="12"/>
      <c r="H692" s="12"/>
      <c r="I692" s="12"/>
      <c r="J692" s="12"/>
      <c r="K692" s="6"/>
      <c r="L692" s="6"/>
      <c r="M692" s="6"/>
      <c r="N692" s="6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/>
      <c r="B693" s="7"/>
      <c r="C693" s="6"/>
      <c r="D693" s="12"/>
      <c r="E693" s="12"/>
      <c r="F693" s="12"/>
      <c r="G693" s="12"/>
      <c r="H693" s="12"/>
      <c r="I693" s="12"/>
      <c r="J693" s="12"/>
      <c r="K693" s="6"/>
      <c r="L693" s="6"/>
      <c r="M693" s="6"/>
      <c r="N693" s="6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/>
      <c r="B694" s="7"/>
      <c r="C694" s="6"/>
      <c r="D694" s="12"/>
      <c r="E694" s="12"/>
      <c r="F694" s="12"/>
      <c r="G694" s="12"/>
      <c r="H694" s="12"/>
      <c r="I694" s="12"/>
      <c r="J694" s="12"/>
      <c r="K694" s="6"/>
      <c r="L694" s="6"/>
      <c r="M694" s="6"/>
      <c r="N694" s="6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/>
      <c r="B695" s="7"/>
      <c r="C695" s="6"/>
      <c r="D695" s="12"/>
      <c r="E695" s="12"/>
      <c r="F695" s="12"/>
      <c r="G695" s="12"/>
      <c r="H695" s="12"/>
      <c r="I695" s="12"/>
      <c r="J695" s="12"/>
      <c r="K695" s="6"/>
      <c r="L695" s="6"/>
      <c r="M695" s="6"/>
      <c r="N695" s="6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/>
      <c r="B696" s="7"/>
      <c r="C696" s="6"/>
      <c r="D696" s="12"/>
      <c r="E696" s="12"/>
      <c r="F696" s="12"/>
      <c r="G696" s="12"/>
      <c r="H696" s="12"/>
      <c r="I696" s="12"/>
      <c r="J696" s="12"/>
      <c r="K696" s="6"/>
      <c r="L696" s="6"/>
      <c r="M696" s="6"/>
      <c r="N696" s="6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/>
      <c r="B697" s="7"/>
      <c r="C697" s="6"/>
      <c r="D697" s="12"/>
      <c r="E697" s="12"/>
      <c r="F697" s="12"/>
      <c r="G697" s="12"/>
      <c r="H697" s="12"/>
      <c r="I697" s="12"/>
      <c r="J697" s="12"/>
      <c r="K697" s="6"/>
      <c r="L697" s="6"/>
      <c r="M697" s="6"/>
      <c r="N697" s="6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/>
      <c r="B698" s="7"/>
      <c r="C698" s="6"/>
      <c r="D698" s="12"/>
      <c r="E698" s="12"/>
      <c r="F698" s="12"/>
      <c r="G698" s="12"/>
      <c r="H698" s="12"/>
      <c r="I698" s="12"/>
      <c r="J698" s="12"/>
      <c r="K698" s="6"/>
      <c r="L698" s="6"/>
      <c r="M698" s="6"/>
      <c r="N698" s="6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/>
      <c r="B699" s="7"/>
      <c r="C699" s="6"/>
      <c r="D699" s="12"/>
      <c r="E699" s="12"/>
      <c r="F699" s="12"/>
      <c r="G699" s="12"/>
      <c r="H699" s="12"/>
      <c r="I699" s="12"/>
      <c r="J699" s="12"/>
      <c r="K699" s="6"/>
      <c r="L699" s="6"/>
      <c r="M699" s="6"/>
      <c r="N699" s="6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/>
      <c r="B700" s="7"/>
      <c r="C700" s="6"/>
      <c r="D700" s="12"/>
      <c r="E700" s="12"/>
      <c r="F700" s="12"/>
      <c r="G700" s="12"/>
      <c r="H700" s="12"/>
      <c r="I700" s="12"/>
      <c r="J700" s="12"/>
      <c r="K700" s="6"/>
      <c r="L700" s="6"/>
      <c r="M700" s="6"/>
      <c r="N700" s="6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/>
      <c r="B701" s="7"/>
      <c r="C701" s="6"/>
      <c r="D701" s="12"/>
      <c r="E701" s="12"/>
      <c r="F701" s="12"/>
      <c r="G701" s="12"/>
      <c r="H701" s="12"/>
      <c r="I701" s="12"/>
      <c r="J701" s="12"/>
      <c r="K701" s="6"/>
      <c r="L701" s="6"/>
      <c r="M701" s="6"/>
      <c r="N701" s="6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/>
      <c r="B702" s="7"/>
      <c r="C702" s="6"/>
      <c r="D702" s="12"/>
      <c r="E702" s="12"/>
      <c r="F702" s="12"/>
      <c r="G702" s="12"/>
      <c r="H702" s="12"/>
      <c r="I702" s="12"/>
      <c r="J702" s="12"/>
      <c r="K702" s="6"/>
      <c r="L702" s="6"/>
      <c r="M702" s="6"/>
      <c r="N702" s="6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/>
      <c r="B703" s="7"/>
      <c r="C703" s="6"/>
      <c r="D703" s="12"/>
      <c r="E703" s="12"/>
      <c r="F703" s="12"/>
      <c r="G703" s="12"/>
      <c r="H703" s="12"/>
      <c r="I703" s="12"/>
      <c r="J703" s="12"/>
      <c r="K703" s="6"/>
      <c r="L703" s="6"/>
      <c r="M703" s="6"/>
      <c r="N703" s="6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/>
      <c r="B704" s="7"/>
      <c r="C704" s="6"/>
      <c r="D704" s="12"/>
      <c r="E704" s="12"/>
      <c r="F704" s="12"/>
      <c r="G704" s="12"/>
      <c r="H704" s="12"/>
      <c r="I704" s="12"/>
      <c r="J704" s="12"/>
      <c r="K704" s="6"/>
      <c r="L704" s="6"/>
      <c r="M704" s="6"/>
      <c r="N704" s="6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/>
      <c r="B705" s="7"/>
      <c r="C705" s="6"/>
      <c r="D705" s="12"/>
      <c r="E705" s="12"/>
      <c r="F705" s="12"/>
      <c r="G705" s="12"/>
      <c r="H705" s="12"/>
      <c r="I705" s="12"/>
      <c r="J705" s="12"/>
      <c r="K705" s="6"/>
      <c r="L705" s="6"/>
      <c r="M705" s="6"/>
      <c r="N705" s="6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/>
      <c r="B706" s="7"/>
      <c r="C706" s="6"/>
      <c r="D706" s="12"/>
      <c r="E706" s="12"/>
      <c r="F706" s="12"/>
      <c r="G706" s="12"/>
      <c r="H706" s="12"/>
      <c r="I706" s="12"/>
      <c r="J706" s="12"/>
      <c r="K706" s="6"/>
      <c r="L706" s="6"/>
      <c r="M706" s="6"/>
      <c r="N706" s="6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/>
      <c r="B707" s="7"/>
      <c r="C707" s="6"/>
      <c r="D707" s="12"/>
      <c r="E707" s="12"/>
      <c r="F707" s="12"/>
      <c r="G707" s="12"/>
      <c r="H707" s="12"/>
      <c r="I707" s="12"/>
      <c r="J707" s="12"/>
      <c r="K707" s="6"/>
      <c r="L707" s="6"/>
      <c r="M707" s="6"/>
      <c r="N707" s="6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/>
      <c r="B708" s="7"/>
      <c r="C708" s="6"/>
      <c r="D708" s="12"/>
      <c r="E708" s="12"/>
      <c r="F708" s="12"/>
      <c r="G708" s="12"/>
      <c r="H708" s="12"/>
      <c r="I708" s="12"/>
      <c r="J708" s="12"/>
      <c r="K708" s="6"/>
      <c r="L708" s="6"/>
      <c r="M708" s="6"/>
      <c r="N708" s="6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/>
      <c r="B709" s="7"/>
      <c r="C709" s="6"/>
      <c r="D709" s="12"/>
      <c r="E709" s="12"/>
      <c r="F709" s="12"/>
      <c r="G709" s="12"/>
      <c r="H709" s="12"/>
      <c r="I709" s="12"/>
      <c r="J709" s="12"/>
      <c r="K709" s="6"/>
      <c r="L709" s="6"/>
      <c r="M709" s="6"/>
      <c r="N709" s="6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/>
      <c r="B710" s="7"/>
      <c r="C710" s="6"/>
      <c r="D710" s="12"/>
      <c r="E710" s="12"/>
      <c r="F710" s="12"/>
      <c r="G710" s="12"/>
      <c r="H710" s="12"/>
      <c r="I710" s="12"/>
      <c r="J710" s="12"/>
      <c r="K710" s="6"/>
      <c r="L710" s="6"/>
      <c r="M710" s="6"/>
      <c r="N710" s="6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/>
      <c r="B711" s="7"/>
      <c r="C711" s="6"/>
      <c r="D711" s="12"/>
      <c r="E711" s="12"/>
      <c r="F711" s="12"/>
      <c r="G711" s="12"/>
      <c r="H711" s="12"/>
      <c r="I711" s="12"/>
      <c r="J711" s="12"/>
      <c r="K711" s="6"/>
      <c r="L711" s="6"/>
      <c r="M711" s="6"/>
      <c r="N711" s="6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/>
      <c r="B712" s="7"/>
      <c r="C712" s="6"/>
      <c r="D712" s="12"/>
      <c r="E712" s="12"/>
      <c r="F712" s="12"/>
      <c r="G712" s="12"/>
      <c r="H712" s="12"/>
      <c r="I712" s="12"/>
      <c r="J712" s="12"/>
      <c r="K712" s="6"/>
      <c r="L712" s="6"/>
      <c r="M712" s="6"/>
      <c r="N712" s="6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/>
      <c r="B713" s="7"/>
      <c r="C713" s="6"/>
      <c r="D713" s="12"/>
      <c r="E713" s="12"/>
      <c r="F713" s="12"/>
      <c r="G713" s="12"/>
      <c r="H713" s="12"/>
      <c r="I713" s="12"/>
      <c r="J713" s="12"/>
      <c r="K713" s="6"/>
      <c r="L713" s="6"/>
      <c r="M713" s="6"/>
      <c r="N713" s="6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/>
      <c r="B714" s="7"/>
      <c r="C714" s="6"/>
      <c r="D714" s="12"/>
      <c r="E714" s="12"/>
      <c r="F714" s="12"/>
      <c r="G714" s="12"/>
      <c r="H714" s="12"/>
      <c r="I714" s="12"/>
      <c r="J714" s="12"/>
      <c r="K714" s="6"/>
      <c r="L714" s="6"/>
      <c r="M714" s="6"/>
      <c r="N714" s="6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/>
      <c r="B715" s="7"/>
      <c r="C715" s="6"/>
      <c r="D715" s="12"/>
      <c r="E715" s="12"/>
      <c r="F715" s="12"/>
      <c r="G715" s="12"/>
      <c r="H715" s="12"/>
      <c r="I715" s="12"/>
      <c r="J715" s="12"/>
      <c r="K715" s="6"/>
      <c r="L715" s="6"/>
      <c r="M715" s="6"/>
      <c r="N715" s="6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/>
      <c r="B716" s="7"/>
      <c r="C716" s="6"/>
      <c r="D716" s="12"/>
      <c r="E716" s="12"/>
      <c r="F716" s="12"/>
      <c r="G716" s="12"/>
      <c r="H716" s="12"/>
      <c r="I716" s="12"/>
      <c r="J716" s="12"/>
      <c r="K716" s="6"/>
      <c r="L716" s="6"/>
      <c r="M716" s="6"/>
      <c r="N716" s="6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/>
      <c r="B717" s="7"/>
      <c r="C717" s="6"/>
      <c r="D717" s="12"/>
      <c r="E717" s="12"/>
      <c r="F717" s="12"/>
      <c r="G717" s="12"/>
      <c r="H717" s="12"/>
      <c r="I717" s="12"/>
      <c r="J717" s="12"/>
      <c r="K717" s="6"/>
      <c r="L717" s="6"/>
      <c r="M717" s="6"/>
      <c r="N717" s="6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/>
      <c r="B718" s="7"/>
      <c r="C718" s="6"/>
      <c r="D718" s="12"/>
      <c r="E718" s="12"/>
      <c r="F718" s="12"/>
      <c r="G718" s="12"/>
      <c r="H718" s="12"/>
      <c r="I718" s="12"/>
      <c r="J718" s="12"/>
      <c r="K718" s="6"/>
      <c r="L718" s="6"/>
      <c r="M718" s="6"/>
      <c r="N718" s="6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/>
      <c r="B719" s="7"/>
      <c r="C719" s="6"/>
      <c r="D719" s="12"/>
      <c r="E719" s="12"/>
      <c r="F719" s="12"/>
      <c r="G719" s="12"/>
      <c r="H719" s="12"/>
      <c r="I719" s="12"/>
      <c r="J719" s="12"/>
      <c r="K719" s="6"/>
      <c r="L719" s="6"/>
      <c r="M719" s="6"/>
      <c r="N719" s="6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/>
      <c r="B720" s="7"/>
      <c r="C720" s="6"/>
      <c r="D720" s="12"/>
      <c r="E720" s="12"/>
      <c r="F720" s="12"/>
      <c r="G720" s="12"/>
      <c r="H720" s="12"/>
      <c r="I720" s="12"/>
      <c r="J720" s="12"/>
      <c r="K720" s="6"/>
      <c r="L720" s="6"/>
      <c r="M720" s="6"/>
      <c r="N720" s="6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/>
      <c r="B721" s="7"/>
      <c r="C721" s="6"/>
      <c r="D721" s="12"/>
      <c r="E721" s="12"/>
      <c r="F721" s="12"/>
      <c r="G721" s="12"/>
      <c r="H721" s="12"/>
      <c r="I721" s="12"/>
      <c r="J721" s="12"/>
      <c r="K721" s="6"/>
      <c r="L721" s="6"/>
      <c r="M721" s="6"/>
      <c r="N721" s="6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/>
      <c r="B722" s="7"/>
      <c r="C722" s="6"/>
      <c r="D722" s="12"/>
      <c r="E722" s="12"/>
      <c r="F722" s="12"/>
      <c r="G722" s="12"/>
      <c r="H722" s="12"/>
      <c r="I722" s="12"/>
      <c r="J722" s="12"/>
      <c r="K722" s="6"/>
      <c r="L722" s="6"/>
      <c r="M722" s="6"/>
      <c r="N722" s="6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/>
      <c r="B723" s="7"/>
      <c r="C723" s="6"/>
      <c r="D723" s="12"/>
      <c r="E723" s="12"/>
      <c r="F723" s="12"/>
      <c r="G723" s="12"/>
      <c r="H723" s="12"/>
      <c r="I723" s="12"/>
      <c r="J723" s="12"/>
      <c r="K723" s="6"/>
      <c r="L723" s="6"/>
      <c r="M723" s="6"/>
      <c r="N723" s="6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/>
      <c r="B724" s="7"/>
      <c r="C724" s="6"/>
      <c r="D724" s="12"/>
      <c r="E724" s="12"/>
      <c r="F724" s="12"/>
      <c r="G724" s="12"/>
      <c r="H724" s="12"/>
      <c r="I724" s="12"/>
      <c r="J724" s="12"/>
      <c r="K724" s="6"/>
      <c r="L724" s="6"/>
      <c r="M724" s="6"/>
      <c r="N724" s="6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/>
      <c r="B725" s="7"/>
      <c r="C725" s="6"/>
      <c r="D725" s="12"/>
      <c r="E725" s="12"/>
      <c r="F725" s="12"/>
      <c r="G725" s="12"/>
      <c r="H725" s="12"/>
      <c r="I725" s="12"/>
      <c r="J725" s="12"/>
      <c r="K725" s="6"/>
      <c r="L725" s="6"/>
      <c r="M725" s="6"/>
      <c r="N725" s="6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/>
      <c r="B726" s="7"/>
      <c r="C726" s="6"/>
      <c r="D726" s="12"/>
      <c r="E726" s="12"/>
      <c r="F726" s="12"/>
      <c r="G726" s="12"/>
      <c r="H726" s="12"/>
      <c r="I726" s="12"/>
      <c r="J726" s="12"/>
      <c r="K726" s="6"/>
      <c r="L726" s="6"/>
      <c r="M726" s="6"/>
      <c r="N726" s="6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/>
      <c r="B727" s="7"/>
      <c r="C727" s="6"/>
      <c r="D727" s="12"/>
      <c r="E727" s="12"/>
      <c r="F727" s="12"/>
      <c r="G727" s="12"/>
      <c r="H727" s="12"/>
      <c r="I727" s="12"/>
      <c r="J727" s="12"/>
      <c r="K727" s="6"/>
      <c r="L727" s="6"/>
      <c r="M727" s="6"/>
      <c r="N727" s="6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/>
      <c r="B728" s="7"/>
      <c r="C728" s="6"/>
      <c r="D728" s="12"/>
      <c r="E728" s="12"/>
      <c r="F728" s="12"/>
      <c r="G728" s="12"/>
      <c r="H728" s="12"/>
      <c r="I728" s="12"/>
      <c r="J728" s="12"/>
      <c r="K728" s="6"/>
      <c r="L728" s="6"/>
      <c r="M728" s="6"/>
      <c r="N728" s="6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/>
      <c r="B729" s="7"/>
      <c r="C729" s="6"/>
      <c r="D729" s="12"/>
      <c r="E729" s="12"/>
      <c r="F729" s="12"/>
      <c r="G729" s="12"/>
      <c r="H729" s="12"/>
      <c r="I729" s="12"/>
      <c r="J729" s="12"/>
      <c r="K729" s="6"/>
      <c r="L729" s="6"/>
      <c r="M729" s="6"/>
      <c r="N729" s="6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/>
      <c r="B730" s="7"/>
      <c r="C730" s="6"/>
      <c r="D730" s="12"/>
      <c r="E730" s="12"/>
      <c r="F730" s="12"/>
      <c r="G730" s="12"/>
      <c r="H730" s="12"/>
      <c r="I730" s="12"/>
      <c r="J730" s="12"/>
      <c r="K730" s="6"/>
      <c r="L730" s="6"/>
      <c r="M730" s="6"/>
      <c r="N730" s="6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/>
      <c r="B731" s="7"/>
      <c r="C731" s="6"/>
      <c r="D731" s="12"/>
      <c r="E731" s="12"/>
      <c r="F731" s="12"/>
      <c r="G731" s="12"/>
      <c r="H731" s="12"/>
      <c r="I731" s="12"/>
      <c r="J731" s="12"/>
      <c r="K731" s="6"/>
      <c r="L731" s="6"/>
      <c r="M731" s="6"/>
      <c r="N731" s="6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/>
      <c r="B732" s="7"/>
      <c r="C732" s="6"/>
      <c r="D732" s="12"/>
      <c r="E732" s="12"/>
      <c r="F732" s="12"/>
      <c r="G732" s="12"/>
      <c r="H732" s="12"/>
      <c r="I732" s="12"/>
      <c r="J732" s="12"/>
      <c r="K732" s="6"/>
      <c r="L732" s="6"/>
      <c r="M732" s="6"/>
      <c r="N732" s="6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/>
      <c r="B733" s="7"/>
      <c r="C733" s="6"/>
      <c r="D733" s="12"/>
      <c r="E733" s="12"/>
      <c r="F733" s="12"/>
      <c r="G733" s="12"/>
      <c r="H733" s="12"/>
      <c r="I733" s="12"/>
      <c r="J733" s="12"/>
      <c r="K733" s="6"/>
      <c r="L733" s="6"/>
      <c r="M733" s="6"/>
      <c r="N733" s="6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/>
      <c r="B734" s="7"/>
      <c r="C734" s="6"/>
      <c r="D734" s="12"/>
      <c r="E734" s="12"/>
      <c r="F734" s="12"/>
      <c r="G734" s="12"/>
      <c r="H734" s="12"/>
      <c r="I734" s="12"/>
      <c r="J734" s="12"/>
      <c r="K734" s="6"/>
      <c r="L734" s="6"/>
      <c r="M734" s="6"/>
      <c r="N734" s="6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/>
      <c r="B735" s="7"/>
      <c r="C735" s="6"/>
      <c r="D735" s="12"/>
      <c r="E735" s="12"/>
      <c r="F735" s="12"/>
      <c r="G735" s="12"/>
      <c r="H735" s="12"/>
      <c r="I735" s="12"/>
      <c r="J735" s="12"/>
      <c r="K735" s="6"/>
      <c r="L735" s="6"/>
      <c r="M735" s="6"/>
      <c r="N735" s="6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/>
      <c r="B736" s="7"/>
      <c r="C736" s="6"/>
      <c r="D736" s="12"/>
      <c r="E736" s="12"/>
      <c r="F736" s="12"/>
      <c r="G736" s="12"/>
      <c r="H736" s="12"/>
      <c r="I736" s="12"/>
      <c r="J736" s="12"/>
      <c r="K736" s="6"/>
      <c r="L736" s="6"/>
      <c r="M736" s="6"/>
      <c r="N736" s="6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/>
      <c r="B737" s="7"/>
      <c r="C737" s="6"/>
      <c r="D737" s="12"/>
      <c r="E737" s="12"/>
      <c r="F737" s="12"/>
      <c r="G737" s="12"/>
      <c r="H737" s="12"/>
      <c r="I737" s="12"/>
      <c r="J737" s="12"/>
      <c r="K737" s="6"/>
      <c r="L737" s="6"/>
      <c r="M737" s="6"/>
      <c r="N737" s="6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/>
      <c r="B738" s="7"/>
      <c r="C738" s="6"/>
      <c r="D738" s="12"/>
      <c r="E738" s="12"/>
      <c r="F738" s="12"/>
      <c r="G738" s="12"/>
      <c r="H738" s="12"/>
      <c r="I738" s="12"/>
      <c r="J738" s="12"/>
      <c r="K738" s="6"/>
      <c r="L738" s="6"/>
      <c r="M738" s="6"/>
      <c r="N738" s="6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/>
      <c r="B739" s="7"/>
      <c r="C739" s="6"/>
      <c r="D739" s="12"/>
      <c r="E739" s="12"/>
      <c r="F739" s="12"/>
      <c r="G739" s="12"/>
      <c r="H739" s="12"/>
      <c r="I739" s="12"/>
      <c r="J739" s="12"/>
      <c r="K739" s="6"/>
      <c r="L739" s="6"/>
      <c r="M739" s="6"/>
      <c r="N739" s="6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/>
      <c r="B740" s="7"/>
      <c r="C740" s="6"/>
      <c r="D740" s="12"/>
      <c r="E740" s="12"/>
      <c r="F740" s="12"/>
      <c r="G740" s="12"/>
      <c r="H740" s="12"/>
      <c r="I740" s="12"/>
      <c r="J740" s="12"/>
      <c r="K740" s="6"/>
      <c r="L740" s="6"/>
      <c r="M740" s="6"/>
      <c r="N740" s="6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/>
      <c r="B741" s="7"/>
      <c r="C741" s="6"/>
      <c r="D741" s="12"/>
      <c r="E741" s="12"/>
      <c r="F741" s="12"/>
      <c r="G741" s="12"/>
      <c r="H741" s="12"/>
      <c r="I741" s="12"/>
      <c r="J741" s="12"/>
      <c r="K741" s="6"/>
      <c r="L741" s="6"/>
      <c r="M741" s="6"/>
      <c r="N741" s="6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/>
      <c r="B742" s="7"/>
      <c r="C742" s="6"/>
      <c r="D742" s="12"/>
      <c r="E742" s="12"/>
      <c r="F742" s="12"/>
      <c r="G742" s="12"/>
      <c r="H742" s="12"/>
      <c r="I742" s="12"/>
      <c r="J742" s="12"/>
      <c r="K742" s="6"/>
      <c r="L742" s="6"/>
      <c r="M742" s="6"/>
      <c r="N742" s="6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/>
      <c r="B743" s="7"/>
      <c r="C743" s="6"/>
      <c r="D743" s="12"/>
      <c r="E743" s="12"/>
      <c r="F743" s="12"/>
      <c r="G743" s="12"/>
      <c r="H743" s="12"/>
      <c r="I743" s="12"/>
      <c r="J743" s="12"/>
      <c r="K743" s="6"/>
      <c r="L743" s="6"/>
      <c r="M743" s="6"/>
      <c r="N743" s="6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/>
      <c r="B744" s="7"/>
      <c r="C744" s="6"/>
      <c r="D744" s="12"/>
      <c r="E744" s="12"/>
      <c r="F744" s="12"/>
      <c r="G744" s="12"/>
      <c r="H744" s="12"/>
      <c r="I744" s="12"/>
      <c r="J744" s="12"/>
      <c r="K744" s="6"/>
      <c r="L744" s="6"/>
      <c r="M744" s="6"/>
      <c r="N744" s="6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/>
      <c r="B745" s="7"/>
      <c r="C745" s="6"/>
      <c r="D745" s="12"/>
      <c r="E745" s="12"/>
      <c r="F745" s="12"/>
      <c r="G745" s="12"/>
      <c r="H745" s="12"/>
      <c r="I745" s="12"/>
      <c r="J745" s="12"/>
      <c r="K745" s="6"/>
      <c r="L745" s="6"/>
      <c r="M745" s="6"/>
      <c r="N745" s="6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/>
      <c r="B746" s="7"/>
      <c r="C746" s="6"/>
      <c r="D746" s="12"/>
      <c r="E746" s="12"/>
      <c r="F746" s="12"/>
      <c r="G746" s="12"/>
      <c r="H746" s="12"/>
      <c r="I746" s="12"/>
      <c r="J746" s="12"/>
      <c r="K746" s="6"/>
      <c r="L746" s="6"/>
      <c r="M746" s="6"/>
      <c r="N746" s="6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/>
      <c r="B747" s="7"/>
      <c r="C747" s="6"/>
      <c r="D747" s="12"/>
      <c r="E747" s="12"/>
      <c r="F747" s="12"/>
      <c r="G747" s="12"/>
      <c r="H747" s="12"/>
      <c r="I747" s="12"/>
      <c r="J747" s="12"/>
      <c r="K747" s="6"/>
      <c r="L747" s="6"/>
      <c r="M747" s="6"/>
      <c r="N747" s="6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/>
      <c r="B748" s="7"/>
      <c r="C748" s="6"/>
      <c r="D748" s="12"/>
      <c r="E748" s="12"/>
      <c r="F748" s="12"/>
      <c r="G748" s="12"/>
      <c r="H748" s="12"/>
      <c r="I748" s="12"/>
      <c r="J748" s="12"/>
      <c r="K748" s="6"/>
      <c r="L748" s="6"/>
      <c r="M748" s="6"/>
      <c r="N748" s="6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/>
      <c r="B749" s="7"/>
      <c r="C749" s="6"/>
      <c r="D749" s="12"/>
      <c r="E749" s="12"/>
      <c r="F749" s="12"/>
      <c r="G749" s="12"/>
      <c r="H749" s="12"/>
      <c r="I749" s="12"/>
      <c r="J749" s="12"/>
      <c r="K749" s="6"/>
      <c r="L749" s="6"/>
      <c r="M749" s="6"/>
      <c r="N749" s="6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/>
      <c r="B750" s="7"/>
      <c r="C750" s="6"/>
      <c r="D750" s="12"/>
      <c r="E750" s="12"/>
      <c r="F750" s="12"/>
      <c r="G750" s="12"/>
      <c r="H750" s="12"/>
      <c r="I750" s="12"/>
      <c r="J750" s="12"/>
      <c r="K750" s="6"/>
      <c r="L750" s="6"/>
      <c r="M750" s="6"/>
      <c r="N750" s="6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/>
      <c r="B751" s="7"/>
      <c r="C751" s="6"/>
      <c r="D751" s="12"/>
      <c r="E751" s="12"/>
      <c r="F751" s="12"/>
      <c r="G751" s="12"/>
      <c r="H751" s="12"/>
      <c r="I751" s="12"/>
      <c r="J751" s="12"/>
      <c r="K751" s="6"/>
      <c r="L751" s="6"/>
      <c r="M751" s="6"/>
      <c r="N751" s="6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/>
      <c r="B752" s="7"/>
      <c r="C752" s="6"/>
      <c r="D752" s="12"/>
      <c r="E752" s="12"/>
      <c r="F752" s="12"/>
      <c r="G752" s="12"/>
      <c r="H752" s="12"/>
      <c r="I752" s="12"/>
      <c r="J752" s="12"/>
      <c r="K752" s="6"/>
      <c r="L752" s="6"/>
      <c r="M752" s="6"/>
      <c r="N752" s="6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/>
      <c r="B753" s="7"/>
      <c r="C753" s="6"/>
      <c r="D753" s="12"/>
      <c r="E753" s="12"/>
      <c r="F753" s="12"/>
      <c r="G753" s="12"/>
      <c r="H753" s="12"/>
      <c r="I753" s="12"/>
      <c r="J753" s="12"/>
      <c r="K753" s="6"/>
      <c r="L753" s="6"/>
      <c r="M753" s="6"/>
      <c r="N753" s="6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/>
      <c r="B754" s="7"/>
      <c r="C754" s="6"/>
      <c r="D754" s="12"/>
      <c r="E754" s="12"/>
      <c r="F754" s="12"/>
      <c r="G754" s="12"/>
      <c r="H754" s="12"/>
      <c r="I754" s="12"/>
      <c r="J754" s="12"/>
      <c r="K754" s="6"/>
      <c r="L754" s="6"/>
      <c r="M754" s="6"/>
      <c r="N754" s="6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/>
      <c r="B755" s="7"/>
      <c r="C755" s="6"/>
      <c r="D755" s="12"/>
      <c r="E755" s="12"/>
      <c r="F755" s="12"/>
      <c r="G755" s="12"/>
      <c r="H755" s="12"/>
      <c r="I755" s="12"/>
      <c r="J755" s="12"/>
      <c r="K755" s="6"/>
      <c r="L755" s="6"/>
      <c r="M755" s="6"/>
      <c r="N755" s="6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/>
      <c r="B756" s="7"/>
      <c r="C756" s="6"/>
      <c r="D756" s="12"/>
      <c r="E756" s="12"/>
      <c r="F756" s="12"/>
      <c r="G756" s="12"/>
      <c r="H756" s="12"/>
      <c r="I756" s="12"/>
      <c r="J756" s="12"/>
      <c r="K756" s="6"/>
      <c r="L756" s="6"/>
      <c r="M756" s="6"/>
      <c r="N756" s="6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/>
      <c r="B757" s="7"/>
      <c r="C757" s="6"/>
      <c r="D757" s="12"/>
      <c r="E757" s="12"/>
      <c r="F757" s="12"/>
      <c r="G757" s="12"/>
      <c r="H757" s="12"/>
      <c r="I757" s="12"/>
      <c r="J757" s="12"/>
      <c r="K757" s="6"/>
      <c r="L757" s="6"/>
      <c r="M757" s="6"/>
      <c r="N757" s="6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/>
      <c r="B758" s="7"/>
      <c r="C758" s="6"/>
      <c r="D758" s="12"/>
      <c r="E758" s="12"/>
      <c r="F758" s="12"/>
      <c r="G758" s="12"/>
      <c r="H758" s="12"/>
      <c r="I758" s="12"/>
      <c r="J758" s="12"/>
      <c r="K758" s="6"/>
      <c r="L758" s="6"/>
      <c r="M758" s="6"/>
      <c r="N758" s="6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/>
      <c r="B759" s="7"/>
      <c r="C759" s="6"/>
      <c r="D759" s="12"/>
      <c r="E759" s="12"/>
      <c r="F759" s="12"/>
      <c r="G759" s="12"/>
      <c r="H759" s="12"/>
      <c r="I759" s="12"/>
      <c r="J759" s="12"/>
      <c r="K759" s="6"/>
      <c r="L759" s="6"/>
      <c r="M759" s="6"/>
      <c r="N759" s="6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/>
      <c r="B760" s="7"/>
      <c r="C760" s="6"/>
      <c r="D760" s="12"/>
      <c r="E760" s="12"/>
      <c r="F760" s="12"/>
      <c r="G760" s="12"/>
      <c r="H760" s="12"/>
      <c r="I760" s="12"/>
      <c r="J760" s="12"/>
      <c r="K760" s="6"/>
      <c r="L760" s="6"/>
      <c r="M760" s="6"/>
      <c r="N760" s="6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/>
      <c r="B761" s="7"/>
      <c r="C761" s="6"/>
      <c r="D761" s="12"/>
      <c r="E761" s="12"/>
      <c r="F761" s="12"/>
      <c r="G761" s="12"/>
      <c r="H761" s="12"/>
      <c r="I761" s="12"/>
      <c r="J761" s="12"/>
      <c r="K761" s="6"/>
      <c r="L761" s="6"/>
      <c r="M761" s="6"/>
      <c r="N761" s="6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/>
      <c r="B762" s="7"/>
      <c r="C762" s="6"/>
      <c r="D762" s="12"/>
      <c r="E762" s="12"/>
      <c r="F762" s="12"/>
      <c r="G762" s="12"/>
      <c r="H762" s="12"/>
      <c r="I762" s="12"/>
      <c r="J762" s="12"/>
      <c r="K762" s="6"/>
      <c r="L762" s="6"/>
      <c r="M762" s="6"/>
      <c r="N762" s="6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/>
      <c r="B763" s="7"/>
      <c r="C763" s="6"/>
      <c r="D763" s="12"/>
      <c r="E763" s="12"/>
      <c r="F763" s="12"/>
      <c r="G763" s="12"/>
      <c r="H763" s="12"/>
      <c r="I763" s="12"/>
      <c r="J763" s="12"/>
      <c r="K763" s="6"/>
      <c r="L763" s="6"/>
      <c r="M763" s="6"/>
      <c r="N763" s="6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/>
      <c r="B764" s="7"/>
      <c r="C764" s="6"/>
      <c r="D764" s="12"/>
      <c r="E764" s="12"/>
      <c r="F764" s="12"/>
      <c r="G764" s="12"/>
      <c r="H764" s="12"/>
      <c r="I764" s="12"/>
      <c r="J764" s="12"/>
      <c r="K764" s="6"/>
      <c r="L764" s="6"/>
      <c r="M764" s="6"/>
      <c r="N764" s="6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/>
      <c r="B765" s="7"/>
      <c r="C765" s="6"/>
      <c r="D765" s="12"/>
      <c r="E765" s="12"/>
      <c r="F765" s="12"/>
      <c r="G765" s="12"/>
      <c r="H765" s="12"/>
      <c r="I765" s="12"/>
      <c r="J765" s="12"/>
      <c r="K765" s="6"/>
      <c r="L765" s="6"/>
      <c r="M765" s="6"/>
      <c r="N765" s="6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/>
      <c r="B766" s="7"/>
      <c r="C766" s="6"/>
      <c r="D766" s="12"/>
      <c r="E766" s="12"/>
      <c r="F766" s="12"/>
      <c r="G766" s="12"/>
      <c r="H766" s="12"/>
      <c r="I766" s="12"/>
      <c r="J766" s="12"/>
      <c r="K766" s="6"/>
      <c r="L766" s="6"/>
      <c r="M766" s="6"/>
      <c r="N766" s="6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/>
      <c r="B767" s="7"/>
      <c r="C767" s="6"/>
      <c r="D767" s="12"/>
      <c r="E767" s="12"/>
      <c r="F767" s="12"/>
      <c r="G767" s="12"/>
      <c r="H767" s="12"/>
      <c r="I767" s="12"/>
      <c r="J767" s="12"/>
      <c r="K767" s="6"/>
      <c r="L767" s="6"/>
      <c r="M767" s="6"/>
      <c r="N767" s="6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/>
      <c r="B768" s="7"/>
      <c r="C768" s="6"/>
      <c r="D768" s="12"/>
      <c r="E768" s="12"/>
      <c r="F768" s="12"/>
      <c r="G768" s="12"/>
      <c r="H768" s="12"/>
      <c r="I768" s="12"/>
      <c r="J768" s="12"/>
      <c r="K768" s="6"/>
      <c r="L768" s="6"/>
      <c r="M768" s="6"/>
      <c r="N768" s="6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/>
      <c r="B769" s="7"/>
      <c r="C769" s="6"/>
      <c r="D769" s="12"/>
      <c r="E769" s="12"/>
      <c r="F769" s="12"/>
      <c r="G769" s="12"/>
      <c r="H769" s="12"/>
      <c r="I769" s="12"/>
      <c r="J769" s="12"/>
      <c r="K769" s="6"/>
      <c r="L769" s="6"/>
      <c r="M769" s="6"/>
      <c r="N769" s="6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/>
      <c r="B770" s="7"/>
      <c r="C770" s="6"/>
      <c r="D770" s="12"/>
      <c r="E770" s="12"/>
      <c r="F770" s="12"/>
      <c r="G770" s="12"/>
      <c r="H770" s="12"/>
      <c r="I770" s="12"/>
      <c r="J770" s="12"/>
      <c r="K770" s="6"/>
      <c r="L770" s="6"/>
      <c r="M770" s="6"/>
      <c r="N770" s="6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/>
      <c r="B771" s="7"/>
      <c r="C771" s="6"/>
      <c r="D771" s="12"/>
      <c r="E771" s="12"/>
      <c r="F771" s="12"/>
      <c r="G771" s="12"/>
      <c r="H771" s="12"/>
      <c r="I771" s="12"/>
      <c r="J771" s="12"/>
      <c r="K771" s="6"/>
      <c r="L771" s="6"/>
      <c r="M771" s="6"/>
      <c r="N771" s="6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/>
      <c r="B772" s="7"/>
      <c r="C772" s="6"/>
      <c r="D772" s="12"/>
      <c r="E772" s="12"/>
      <c r="F772" s="12"/>
      <c r="G772" s="12"/>
      <c r="H772" s="12"/>
      <c r="I772" s="12"/>
      <c r="J772" s="12"/>
      <c r="K772" s="6"/>
      <c r="L772" s="6"/>
      <c r="M772" s="6"/>
      <c r="N772" s="6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/>
      <c r="B773" s="7"/>
      <c r="C773" s="6"/>
      <c r="D773" s="12"/>
      <c r="E773" s="12"/>
      <c r="F773" s="12"/>
      <c r="G773" s="12"/>
      <c r="H773" s="12"/>
      <c r="I773" s="12"/>
      <c r="J773" s="12"/>
      <c r="K773" s="6"/>
      <c r="L773" s="6"/>
      <c r="M773" s="6"/>
      <c r="N773" s="6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/>
      <c r="B774" s="7"/>
      <c r="C774" s="6"/>
      <c r="D774" s="12"/>
      <c r="E774" s="12"/>
      <c r="F774" s="12"/>
      <c r="G774" s="12"/>
      <c r="H774" s="12"/>
      <c r="I774" s="12"/>
      <c r="J774" s="12"/>
      <c r="K774" s="6"/>
      <c r="L774" s="6"/>
      <c r="M774" s="6"/>
      <c r="N774" s="6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/>
      <c r="B775" s="7"/>
      <c r="C775" s="6"/>
      <c r="D775" s="12"/>
      <c r="E775" s="12"/>
      <c r="F775" s="12"/>
      <c r="G775" s="12"/>
      <c r="H775" s="12"/>
      <c r="I775" s="12"/>
      <c r="J775" s="12"/>
      <c r="K775" s="6"/>
      <c r="L775" s="6"/>
      <c r="M775" s="6"/>
      <c r="N775" s="6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/>
      <c r="B776" s="7"/>
      <c r="C776" s="6"/>
      <c r="D776" s="12"/>
      <c r="E776" s="12"/>
      <c r="F776" s="12"/>
      <c r="G776" s="12"/>
      <c r="H776" s="12"/>
      <c r="I776" s="12"/>
      <c r="J776" s="12"/>
      <c r="K776" s="6"/>
      <c r="L776" s="6"/>
      <c r="M776" s="6"/>
      <c r="N776" s="6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/>
      <c r="B777" s="7"/>
      <c r="C777" s="6"/>
      <c r="D777" s="12"/>
      <c r="E777" s="12"/>
      <c r="F777" s="12"/>
      <c r="G777" s="12"/>
      <c r="H777" s="12"/>
      <c r="I777" s="12"/>
      <c r="J777" s="12"/>
      <c r="K777" s="6"/>
      <c r="L777" s="6"/>
      <c r="M777" s="6"/>
      <c r="N777" s="6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/>
      <c r="B778" s="7"/>
      <c r="C778" s="6"/>
      <c r="D778" s="12"/>
      <c r="E778" s="12"/>
      <c r="F778" s="12"/>
      <c r="G778" s="12"/>
      <c r="H778" s="12"/>
      <c r="I778" s="12"/>
      <c r="J778" s="12"/>
      <c r="K778" s="6"/>
      <c r="L778" s="6"/>
      <c r="M778" s="6"/>
      <c r="N778" s="6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/>
      <c r="B779" s="7"/>
      <c r="C779" s="6"/>
      <c r="D779" s="12"/>
      <c r="E779" s="12"/>
      <c r="F779" s="12"/>
      <c r="G779" s="12"/>
      <c r="H779" s="12"/>
      <c r="I779" s="12"/>
      <c r="J779" s="12"/>
      <c r="K779" s="6"/>
      <c r="L779" s="6"/>
      <c r="M779" s="6"/>
      <c r="N779" s="6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/>
      <c r="B780" s="7"/>
      <c r="C780" s="6"/>
      <c r="D780" s="12"/>
      <c r="E780" s="12"/>
      <c r="F780" s="12"/>
      <c r="G780" s="12"/>
      <c r="H780" s="12"/>
      <c r="I780" s="12"/>
      <c r="J780" s="12"/>
      <c r="K780" s="6"/>
      <c r="L780" s="6"/>
      <c r="M780" s="6"/>
      <c r="N780" s="6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/>
      <c r="B781" s="7"/>
      <c r="C781" s="6"/>
      <c r="D781" s="12"/>
      <c r="E781" s="12"/>
      <c r="F781" s="12"/>
      <c r="G781" s="12"/>
      <c r="H781" s="12"/>
      <c r="I781" s="12"/>
      <c r="J781" s="12"/>
      <c r="K781" s="6"/>
      <c r="L781" s="6"/>
      <c r="M781" s="6"/>
      <c r="N781" s="6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/>
      <c r="B782" s="7"/>
      <c r="C782" s="6"/>
      <c r="D782" s="12"/>
      <c r="E782" s="12"/>
      <c r="F782" s="12"/>
      <c r="G782" s="12"/>
      <c r="H782" s="12"/>
      <c r="I782" s="12"/>
      <c r="J782" s="12"/>
      <c r="K782" s="6"/>
      <c r="L782" s="6"/>
      <c r="M782" s="6"/>
      <c r="N782" s="6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/>
      <c r="B783" s="7"/>
      <c r="C783" s="6"/>
      <c r="D783" s="12"/>
      <c r="E783" s="12"/>
      <c r="F783" s="12"/>
      <c r="G783" s="12"/>
      <c r="H783" s="12"/>
      <c r="I783" s="12"/>
      <c r="J783" s="12"/>
      <c r="K783" s="6"/>
      <c r="L783" s="6"/>
      <c r="M783" s="6"/>
      <c r="N783" s="6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/>
      <c r="B784" s="7"/>
      <c r="C784" s="6"/>
      <c r="D784" s="12"/>
      <c r="E784" s="12"/>
      <c r="F784" s="12"/>
      <c r="G784" s="12"/>
      <c r="H784" s="12"/>
      <c r="I784" s="12"/>
      <c r="J784" s="12"/>
      <c r="K784" s="6"/>
      <c r="L784" s="6"/>
      <c r="M784" s="6"/>
      <c r="N784" s="6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/>
      <c r="B785" s="7"/>
      <c r="C785" s="6"/>
      <c r="D785" s="12"/>
      <c r="E785" s="12"/>
      <c r="F785" s="12"/>
      <c r="G785" s="12"/>
      <c r="H785" s="12"/>
      <c r="I785" s="12"/>
      <c r="J785" s="12"/>
      <c r="K785" s="6"/>
      <c r="L785" s="6"/>
      <c r="M785" s="6"/>
      <c r="N785" s="6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/>
      <c r="B786" s="7"/>
      <c r="C786" s="6"/>
      <c r="D786" s="12"/>
      <c r="E786" s="12"/>
      <c r="F786" s="12"/>
      <c r="G786" s="12"/>
      <c r="H786" s="12"/>
      <c r="I786" s="12"/>
      <c r="J786" s="12"/>
      <c r="K786" s="6"/>
      <c r="L786" s="6"/>
      <c r="M786" s="6"/>
      <c r="N786" s="6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/>
      <c r="B787" s="7"/>
      <c r="C787" s="6"/>
      <c r="D787" s="12"/>
      <c r="E787" s="12"/>
      <c r="F787" s="12"/>
      <c r="G787" s="12"/>
      <c r="H787" s="12"/>
      <c r="I787" s="12"/>
      <c r="J787" s="12"/>
      <c r="K787" s="6"/>
      <c r="L787" s="6"/>
      <c r="M787" s="6"/>
      <c r="N787" s="6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/>
      <c r="B788" s="7"/>
      <c r="C788" s="6"/>
      <c r="D788" s="12"/>
      <c r="E788" s="12"/>
      <c r="F788" s="12"/>
      <c r="G788" s="12"/>
      <c r="H788" s="12"/>
      <c r="I788" s="12"/>
      <c r="J788" s="12"/>
      <c r="K788" s="6"/>
      <c r="L788" s="6"/>
      <c r="M788" s="6"/>
      <c r="N788" s="6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/>
      <c r="B789" s="7"/>
      <c r="C789" s="6"/>
      <c r="D789" s="12"/>
      <c r="E789" s="12"/>
      <c r="F789" s="12"/>
      <c r="G789" s="12"/>
      <c r="H789" s="12"/>
      <c r="I789" s="12"/>
      <c r="J789" s="12"/>
      <c r="K789" s="6"/>
      <c r="L789" s="6"/>
      <c r="M789" s="6"/>
      <c r="N789" s="6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/>
      <c r="B790" s="7"/>
      <c r="C790" s="6"/>
      <c r="D790" s="12"/>
      <c r="E790" s="12"/>
      <c r="F790" s="12"/>
      <c r="G790" s="12"/>
      <c r="H790" s="12"/>
      <c r="I790" s="12"/>
      <c r="J790" s="12"/>
      <c r="K790" s="6"/>
      <c r="L790" s="6"/>
      <c r="M790" s="6"/>
      <c r="N790" s="6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/>
      <c r="B791" s="7"/>
      <c r="C791" s="6"/>
      <c r="D791" s="12"/>
      <c r="E791" s="12"/>
      <c r="F791" s="12"/>
      <c r="G791" s="12"/>
      <c r="H791" s="12"/>
      <c r="I791" s="12"/>
      <c r="J791" s="12"/>
      <c r="K791" s="6"/>
      <c r="L791" s="6"/>
      <c r="M791" s="6"/>
      <c r="N791" s="6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/>
      <c r="B792" s="7"/>
      <c r="C792" s="6"/>
      <c r="D792" s="12"/>
      <c r="E792" s="12"/>
      <c r="F792" s="12"/>
      <c r="G792" s="12"/>
      <c r="H792" s="12"/>
      <c r="I792" s="12"/>
      <c r="J792" s="12"/>
      <c r="K792" s="6"/>
      <c r="L792" s="6"/>
      <c r="M792" s="6"/>
      <c r="N792" s="6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/>
      <c r="B793" s="7"/>
      <c r="C793" s="6"/>
      <c r="D793" s="12"/>
      <c r="E793" s="12"/>
      <c r="F793" s="12"/>
      <c r="G793" s="12"/>
      <c r="H793" s="12"/>
      <c r="I793" s="12"/>
      <c r="J793" s="12"/>
      <c r="K793" s="6"/>
      <c r="L793" s="6"/>
      <c r="M793" s="6"/>
      <c r="N793" s="6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/>
      <c r="B794" s="7"/>
      <c r="C794" s="6"/>
      <c r="D794" s="12"/>
      <c r="E794" s="12"/>
      <c r="F794" s="12"/>
      <c r="G794" s="12"/>
      <c r="H794" s="12"/>
      <c r="I794" s="12"/>
      <c r="J794" s="12"/>
      <c r="K794" s="6"/>
      <c r="L794" s="6"/>
      <c r="M794" s="6"/>
      <c r="N794" s="6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/>
      <c r="B795" s="7"/>
      <c r="C795" s="6"/>
      <c r="D795" s="12"/>
      <c r="E795" s="12"/>
      <c r="F795" s="12"/>
      <c r="G795" s="12"/>
      <c r="H795" s="12"/>
      <c r="I795" s="12"/>
      <c r="J795" s="12"/>
      <c r="K795" s="6"/>
      <c r="L795" s="6"/>
      <c r="M795" s="6"/>
      <c r="N795" s="6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/>
      <c r="B796" s="7"/>
      <c r="C796" s="6"/>
      <c r="D796" s="12"/>
      <c r="E796" s="12"/>
      <c r="F796" s="12"/>
      <c r="G796" s="12"/>
      <c r="H796" s="12"/>
      <c r="I796" s="12"/>
      <c r="J796" s="12"/>
      <c r="K796" s="6"/>
      <c r="L796" s="6"/>
      <c r="M796" s="6"/>
      <c r="N796" s="6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/>
      <c r="B797" s="7"/>
      <c r="C797" s="6"/>
      <c r="D797" s="12"/>
      <c r="E797" s="12"/>
      <c r="F797" s="12"/>
      <c r="G797" s="12"/>
      <c r="H797" s="12"/>
      <c r="I797" s="12"/>
      <c r="J797" s="12"/>
      <c r="K797" s="6"/>
      <c r="L797" s="6"/>
      <c r="M797" s="6"/>
      <c r="N797" s="6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/>
      <c r="B798" s="7"/>
      <c r="C798" s="6"/>
      <c r="D798" s="12"/>
      <c r="E798" s="12"/>
      <c r="F798" s="12"/>
      <c r="G798" s="12"/>
      <c r="H798" s="12"/>
      <c r="I798" s="12"/>
      <c r="J798" s="12"/>
      <c r="K798" s="6"/>
      <c r="L798" s="6"/>
      <c r="M798" s="6"/>
      <c r="N798" s="6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/>
      <c r="B799" s="7"/>
      <c r="C799" s="6"/>
      <c r="D799" s="12"/>
      <c r="E799" s="12"/>
      <c r="F799" s="12"/>
      <c r="G799" s="12"/>
      <c r="H799" s="12"/>
      <c r="I799" s="12"/>
      <c r="J799" s="12"/>
      <c r="K799" s="6"/>
      <c r="L799" s="6"/>
      <c r="M799" s="6"/>
      <c r="N799" s="6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/>
      <c r="B800" s="7"/>
      <c r="C800" s="6"/>
      <c r="D800" s="12"/>
      <c r="E800" s="12"/>
      <c r="F800" s="12"/>
      <c r="G800" s="12"/>
      <c r="H800" s="12"/>
      <c r="I800" s="12"/>
      <c r="J800" s="12"/>
      <c r="K800" s="6"/>
      <c r="L800" s="6"/>
      <c r="M800" s="6"/>
      <c r="N800" s="6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/>
      <c r="B801" s="7"/>
      <c r="C801" s="6"/>
      <c r="D801" s="12"/>
      <c r="E801" s="12"/>
      <c r="F801" s="12"/>
      <c r="G801" s="12"/>
      <c r="H801" s="12"/>
      <c r="I801" s="12"/>
      <c r="J801" s="12"/>
      <c r="K801" s="6"/>
      <c r="L801" s="6"/>
      <c r="M801" s="6"/>
      <c r="N801" s="6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/>
      <c r="B802" s="7"/>
      <c r="C802" s="6"/>
      <c r="D802" s="12"/>
      <c r="E802" s="12"/>
      <c r="F802" s="12"/>
      <c r="G802" s="12"/>
      <c r="H802" s="12"/>
      <c r="I802" s="12"/>
      <c r="J802" s="12"/>
      <c r="K802" s="6"/>
      <c r="L802" s="6"/>
      <c r="M802" s="6"/>
      <c r="N802" s="6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/>
      <c r="B803" s="7"/>
      <c r="C803" s="6"/>
      <c r="D803" s="12"/>
      <c r="E803" s="12"/>
      <c r="F803" s="12"/>
      <c r="G803" s="12"/>
      <c r="H803" s="12"/>
      <c r="I803" s="12"/>
      <c r="J803" s="12"/>
      <c r="K803" s="6"/>
      <c r="L803" s="6"/>
      <c r="M803" s="6"/>
      <c r="N803" s="6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/>
      <c r="B804" s="7"/>
      <c r="C804" s="6"/>
      <c r="D804" s="12"/>
      <c r="E804" s="12"/>
      <c r="F804" s="12"/>
      <c r="G804" s="12"/>
      <c r="H804" s="12"/>
      <c r="I804" s="12"/>
      <c r="J804" s="12"/>
      <c r="K804" s="6"/>
      <c r="L804" s="6"/>
      <c r="M804" s="6"/>
      <c r="N804" s="6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/>
      <c r="B805" s="7"/>
      <c r="C805" s="6"/>
      <c r="D805" s="12"/>
      <c r="E805" s="12"/>
      <c r="F805" s="12"/>
      <c r="G805" s="12"/>
      <c r="H805" s="12"/>
      <c r="I805" s="12"/>
      <c r="J805" s="12"/>
      <c r="K805" s="6"/>
      <c r="L805" s="6"/>
      <c r="M805" s="6"/>
      <c r="N805" s="6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/>
      <c r="B806" s="7"/>
      <c r="C806" s="6"/>
      <c r="D806" s="12"/>
      <c r="E806" s="12"/>
      <c r="F806" s="12"/>
      <c r="G806" s="12"/>
      <c r="H806" s="12"/>
      <c r="I806" s="12"/>
      <c r="J806" s="12"/>
      <c r="K806" s="6"/>
      <c r="L806" s="6"/>
      <c r="M806" s="6"/>
      <c r="N806" s="6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/>
      <c r="B807" s="7"/>
      <c r="C807" s="6"/>
      <c r="D807" s="12"/>
      <c r="E807" s="12"/>
      <c r="F807" s="12"/>
      <c r="G807" s="12"/>
      <c r="H807" s="12"/>
      <c r="I807" s="12"/>
      <c r="J807" s="12"/>
      <c r="K807" s="6"/>
      <c r="L807" s="6"/>
      <c r="M807" s="6"/>
      <c r="N807" s="6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/>
      <c r="B808" s="7"/>
      <c r="C808" s="6"/>
      <c r="D808" s="12"/>
      <c r="E808" s="12"/>
      <c r="F808" s="12"/>
      <c r="G808" s="12"/>
      <c r="H808" s="12"/>
      <c r="I808" s="12"/>
      <c r="J808" s="12"/>
      <c r="K808" s="6"/>
      <c r="L808" s="6"/>
      <c r="M808" s="6"/>
      <c r="N808" s="6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/>
      <c r="B809" s="7"/>
      <c r="C809" s="6"/>
      <c r="D809" s="12"/>
      <c r="E809" s="12"/>
      <c r="F809" s="12"/>
      <c r="G809" s="12"/>
      <c r="H809" s="12"/>
      <c r="I809" s="12"/>
      <c r="J809" s="12"/>
      <c r="K809" s="6"/>
      <c r="L809" s="6"/>
      <c r="M809" s="6"/>
      <c r="N809" s="6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/>
      <c r="B810" s="7"/>
      <c r="C810" s="6"/>
      <c r="D810" s="12"/>
      <c r="E810" s="12"/>
      <c r="F810" s="12"/>
      <c r="G810" s="12"/>
      <c r="H810" s="12"/>
      <c r="I810" s="12"/>
      <c r="J810" s="12"/>
      <c r="K810" s="6"/>
      <c r="L810" s="6"/>
      <c r="M810" s="6"/>
      <c r="N810" s="6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/>
      <c r="B811" s="7"/>
      <c r="C811" s="6"/>
      <c r="D811" s="12"/>
      <c r="E811" s="12"/>
      <c r="F811" s="12"/>
      <c r="G811" s="12"/>
      <c r="H811" s="12"/>
      <c r="I811" s="12"/>
      <c r="J811" s="12"/>
      <c r="K811" s="6"/>
      <c r="L811" s="6"/>
      <c r="M811" s="6"/>
      <c r="N811" s="6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/>
      <c r="B812" s="7"/>
      <c r="C812" s="6"/>
      <c r="D812" s="12"/>
      <c r="E812" s="12"/>
      <c r="F812" s="12"/>
      <c r="G812" s="12"/>
      <c r="H812" s="12"/>
      <c r="I812" s="12"/>
      <c r="J812" s="12"/>
      <c r="K812" s="6"/>
      <c r="L812" s="6"/>
      <c r="M812" s="6"/>
      <c r="N812" s="6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/>
      <c r="B813" s="7"/>
      <c r="C813" s="6"/>
      <c r="D813" s="12"/>
      <c r="E813" s="12"/>
      <c r="F813" s="12"/>
      <c r="G813" s="12"/>
      <c r="H813" s="12"/>
      <c r="I813" s="12"/>
      <c r="J813" s="12"/>
      <c r="K813" s="6"/>
      <c r="L813" s="6"/>
      <c r="M813" s="6"/>
      <c r="N813" s="6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/>
      <c r="B814" s="7"/>
      <c r="C814" s="6"/>
      <c r="D814" s="12"/>
      <c r="E814" s="12"/>
      <c r="F814" s="12"/>
      <c r="G814" s="12"/>
      <c r="H814" s="12"/>
      <c r="I814" s="12"/>
      <c r="J814" s="12"/>
      <c r="K814" s="6"/>
      <c r="L814" s="6"/>
      <c r="M814" s="6"/>
      <c r="N814" s="6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/>
      <c r="B815" s="7"/>
      <c r="C815" s="6"/>
      <c r="D815" s="12"/>
      <c r="E815" s="12"/>
      <c r="F815" s="12"/>
      <c r="G815" s="12"/>
      <c r="H815" s="12"/>
      <c r="I815" s="12"/>
      <c r="J815" s="12"/>
      <c r="K815" s="6"/>
      <c r="L815" s="6"/>
      <c r="M815" s="6"/>
      <c r="N815" s="6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/>
      <c r="B816" s="7"/>
      <c r="C816" s="6"/>
      <c r="D816" s="12"/>
      <c r="E816" s="12"/>
      <c r="F816" s="12"/>
      <c r="G816" s="12"/>
      <c r="H816" s="12"/>
      <c r="I816" s="12"/>
      <c r="J816" s="12"/>
      <c r="K816" s="6"/>
      <c r="L816" s="6"/>
      <c r="M816" s="6"/>
      <c r="N816" s="6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/>
      <c r="B817" s="7"/>
      <c r="C817" s="6"/>
      <c r="D817" s="12"/>
      <c r="E817" s="12"/>
      <c r="F817" s="12"/>
      <c r="G817" s="12"/>
      <c r="H817" s="12"/>
      <c r="I817" s="12"/>
      <c r="J817" s="12"/>
      <c r="K817" s="6"/>
      <c r="L817" s="6"/>
      <c r="M817" s="6"/>
      <c r="N817" s="6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/>
      <c r="B818" s="7"/>
      <c r="C818" s="6"/>
      <c r="D818" s="12"/>
      <c r="E818" s="12"/>
      <c r="F818" s="12"/>
      <c r="G818" s="12"/>
      <c r="H818" s="12"/>
      <c r="I818" s="12"/>
      <c r="J818" s="12"/>
      <c r="K818" s="6"/>
      <c r="L818" s="6"/>
      <c r="M818" s="6"/>
      <c r="N818" s="6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/>
      <c r="B819" s="7"/>
      <c r="C819" s="6"/>
      <c r="D819" s="12"/>
      <c r="E819" s="12"/>
      <c r="F819" s="12"/>
      <c r="G819" s="12"/>
      <c r="H819" s="12"/>
      <c r="I819" s="12"/>
      <c r="J819" s="12"/>
      <c r="K819" s="6"/>
      <c r="L819" s="6"/>
      <c r="M819" s="6"/>
      <c r="N819" s="6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/>
      <c r="B820" s="7"/>
      <c r="C820" s="6"/>
      <c r="D820" s="12"/>
      <c r="E820" s="12"/>
      <c r="F820" s="12"/>
      <c r="G820" s="12"/>
      <c r="H820" s="12"/>
      <c r="I820" s="12"/>
      <c r="J820" s="12"/>
      <c r="K820" s="6"/>
      <c r="L820" s="6"/>
      <c r="M820" s="6"/>
      <c r="N820" s="6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/>
      <c r="B821" s="7"/>
      <c r="C821" s="6"/>
      <c r="D821" s="12"/>
      <c r="E821" s="12"/>
      <c r="F821" s="12"/>
      <c r="G821" s="12"/>
      <c r="H821" s="12"/>
      <c r="I821" s="12"/>
      <c r="J821" s="12"/>
      <c r="K821" s="6"/>
      <c r="L821" s="6"/>
      <c r="M821" s="6"/>
      <c r="N821" s="6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/>
      <c r="B822" s="7"/>
      <c r="C822" s="6"/>
      <c r="D822" s="12"/>
      <c r="E822" s="12"/>
      <c r="F822" s="12"/>
      <c r="G822" s="12"/>
      <c r="H822" s="12"/>
      <c r="I822" s="12"/>
      <c r="J822" s="12"/>
      <c r="K822" s="6"/>
      <c r="L822" s="6"/>
      <c r="M822" s="6"/>
      <c r="N822" s="6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/>
      <c r="B823" s="7"/>
      <c r="C823" s="6"/>
      <c r="D823" s="12"/>
      <c r="E823" s="12"/>
      <c r="F823" s="12"/>
      <c r="G823" s="12"/>
      <c r="H823" s="12"/>
      <c r="I823" s="12"/>
      <c r="J823" s="12"/>
      <c r="K823" s="6"/>
      <c r="L823" s="6"/>
      <c r="M823" s="6"/>
      <c r="N823" s="6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/>
      <c r="B824" s="7"/>
      <c r="C824" s="6"/>
      <c r="D824" s="12"/>
      <c r="E824" s="12"/>
      <c r="F824" s="12"/>
      <c r="G824" s="12"/>
      <c r="H824" s="12"/>
      <c r="I824" s="12"/>
      <c r="J824" s="12"/>
      <c r="K824" s="6"/>
      <c r="L824" s="6"/>
      <c r="M824" s="6"/>
      <c r="N824" s="6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/>
      <c r="B825" s="7"/>
      <c r="C825" s="6"/>
      <c r="D825" s="12"/>
      <c r="E825" s="12"/>
      <c r="F825" s="12"/>
      <c r="G825" s="12"/>
      <c r="H825" s="12"/>
      <c r="I825" s="12"/>
      <c r="J825" s="12"/>
      <c r="K825" s="6"/>
      <c r="L825" s="6"/>
      <c r="M825" s="6"/>
      <c r="N825" s="6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/>
      <c r="B826" s="7"/>
      <c r="C826" s="6"/>
      <c r="D826" s="12"/>
      <c r="E826" s="12"/>
      <c r="F826" s="12"/>
      <c r="G826" s="12"/>
      <c r="H826" s="12"/>
      <c r="I826" s="12"/>
      <c r="J826" s="12"/>
      <c r="K826" s="6"/>
      <c r="L826" s="6"/>
      <c r="M826" s="6"/>
      <c r="N826" s="6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/>
      <c r="B827" s="7"/>
      <c r="C827" s="6"/>
      <c r="D827" s="12"/>
      <c r="E827" s="12"/>
      <c r="F827" s="12"/>
      <c r="G827" s="12"/>
      <c r="H827" s="12"/>
      <c r="I827" s="12"/>
      <c r="J827" s="12"/>
      <c r="K827" s="6"/>
      <c r="L827" s="6"/>
      <c r="M827" s="6"/>
      <c r="N827" s="6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/>
      <c r="B828" s="7"/>
      <c r="C828" s="6"/>
      <c r="D828" s="12"/>
      <c r="E828" s="12"/>
      <c r="F828" s="12"/>
      <c r="G828" s="12"/>
      <c r="H828" s="12"/>
      <c r="I828" s="12"/>
      <c r="J828" s="12"/>
      <c r="K828" s="6"/>
      <c r="L828" s="6"/>
      <c r="M828" s="6"/>
      <c r="N828" s="6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/>
      <c r="B829" s="7"/>
      <c r="C829" s="6"/>
      <c r="D829" s="12"/>
      <c r="E829" s="12"/>
      <c r="F829" s="12"/>
      <c r="G829" s="12"/>
      <c r="H829" s="12"/>
      <c r="I829" s="12"/>
      <c r="J829" s="12"/>
      <c r="K829" s="6"/>
      <c r="L829" s="6"/>
      <c r="M829" s="6"/>
      <c r="N829" s="6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/>
      <c r="B830" s="7"/>
      <c r="C830" s="6"/>
      <c r="D830" s="12"/>
      <c r="E830" s="12"/>
      <c r="F830" s="12"/>
      <c r="G830" s="12"/>
      <c r="H830" s="12"/>
      <c r="I830" s="12"/>
      <c r="J830" s="12"/>
      <c r="K830" s="6"/>
      <c r="L830" s="6"/>
      <c r="M830" s="6"/>
      <c r="N830" s="6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/>
      <c r="B831" s="7"/>
      <c r="C831" s="6"/>
      <c r="D831" s="12"/>
      <c r="E831" s="12"/>
      <c r="F831" s="12"/>
      <c r="G831" s="12"/>
      <c r="H831" s="12"/>
      <c r="I831" s="12"/>
      <c r="J831" s="12"/>
      <c r="K831" s="6"/>
      <c r="L831" s="6"/>
      <c r="M831" s="6"/>
      <c r="N831" s="6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/>
      <c r="B832" s="7"/>
      <c r="C832" s="6"/>
      <c r="D832" s="12"/>
      <c r="E832" s="12"/>
      <c r="F832" s="12"/>
      <c r="G832" s="12"/>
      <c r="H832" s="12"/>
      <c r="I832" s="12"/>
      <c r="J832" s="12"/>
      <c r="K832" s="6"/>
      <c r="L832" s="6"/>
      <c r="M832" s="6"/>
      <c r="N832" s="6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/>
      <c r="B833" s="7"/>
      <c r="C833" s="6"/>
      <c r="D833" s="12"/>
      <c r="E833" s="12"/>
      <c r="F833" s="12"/>
      <c r="G833" s="12"/>
      <c r="H833" s="12"/>
      <c r="I833" s="12"/>
      <c r="J833" s="12"/>
      <c r="K833" s="6"/>
      <c r="L833" s="6"/>
      <c r="M833" s="6"/>
      <c r="N833" s="6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/>
      <c r="B834" s="7"/>
      <c r="C834" s="6"/>
      <c r="D834" s="12"/>
      <c r="E834" s="12"/>
      <c r="F834" s="12"/>
      <c r="G834" s="12"/>
      <c r="H834" s="12"/>
      <c r="I834" s="12"/>
      <c r="J834" s="12"/>
      <c r="K834" s="6"/>
      <c r="L834" s="6"/>
      <c r="M834" s="6"/>
      <c r="N834" s="6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/>
      <c r="B835" s="7"/>
      <c r="C835" s="6"/>
      <c r="D835" s="12"/>
      <c r="E835" s="12"/>
      <c r="F835" s="12"/>
      <c r="G835" s="12"/>
      <c r="H835" s="12"/>
      <c r="I835" s="12"/>
      <c r="J835" s="12"/>
      <c r="K835" s="6"/>
      <c r="L835" s="6"/>
      <c r="M835" s="6"/>
      <c r="N835" s="6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/>
      <c r="B836" s="7"/>
      <c r="C836" s="6"/>
      <c r="D836" s="12"/>
      <c r="E836" s="12"/>
      <c r="F836" s="12"/>
      <c r="G836" s="12"/>
      <c r="H836" s="12"/>
      <c r="I836" s="12"/>
      <c r="J836" s="12"/>
      <c r="K836" s="6"/>
      <c r="L836" s="6"/>
      <c r="M836" s="6"/>
      <c r="N836" s="6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/>
      <c r="B837" s="7"/>
      <c r="C837" s="6"/>
      <c r="D837" s="12"/>
      <c r="E837" s="12"/>
      <c r="F837" s="12"/>
      <c r="G837" s="12"/>
      <c r="H837" s="12"/>
      <c r="I837" s="12"/>
      <c r="J837" s="12"/>
      <c r="K837" s="6"/>
      <c r="L837" s="6"/>
      <c r="M837" s="6"/>
      <c r="N837" s="6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/>
      <c r="B838" s="7"/>
      <c r="C838" s="6"/>
      <c r="D838" s="12"/>
      <c r="E838" s="12"/>
      <c r="F838" s="12"/>
      <c r="G838" s="12"/>
      <c r="H838" s="12"/>
      <c r="I838" s="12"/>
      <c r="J838" s="12"/>
      <c r="K838" s="6"/>
      <c r="L838" s="6"/>
      <c r="M838" s="6"/>
      <c r="N838" s="6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/>
      <c r="B839" s="7"/>
      <c r="C839" s="6"/>
      <c r="D839" s="12"/>
      <c r="E839" s="12"/>
      <c r="F839" s="12"/>
      <c r="G839" s="12"/>
      <c r="H839" s="12"/>
      <c r="I839" s="12"/>
      <c r="J839" s="12"/>
      <c r="K839" s="6"/>
      <c r="L839" s="6"/>
      <c r="M839" s="6"/>
      <c r="N839" s="6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/>
      <c r="B840" s="7"/>
      <c r="C840" s="6"/>
      <c r="D840" s="12"/>
      <c r="E840" s="12"/>
      <c r="F840" s="12"/>
      <c r="G840" s="12"/>
      <c r="H840" s="12"/>
      <c r="I840" s="12"/>
      <c r="J840" s="12"/>
      <c r="K840" s="6"/>
      <c r="L840" s="6"/>
      <c r="M840" s="6"/>
      <c r="N840" s="6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/>
      <c r="B841" s="7"/>
      <c r="C841" s="6"/>
      <c r="D841" s="12"/>
      <c r="E841" s="12"/>
      <c r="F841" s="12"/>
      <c r="G841" s="12"/>
      <c r="H841" s="12"/>
      <c r="I841" s="12"/>
      <c r="J841" s="12"/>
      <c r="K841" s="6"/>
      <c r="L841" s="6"/>
      <c r="M841" s="6"/>
      <c r="N841" s="6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/>
      <c r="B842" s="7"/>
      <c r="C842" s="6"/>
      <c r="D842" s="12"/>
      <c r="E842" s="12"/>
      <c r="F842" s="12"/>
      <c r="G842" s="12"/>
      <c r="H842" s="12"/>
      <c r="I842" s="12"/>
      <c r="J842" s="12"/>
      <c r="K842" s="6"/>
      <c r="L842" s="6"/>
      <c r="M842" s="6"/>
      <c r="N842" s="6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/>
      <c r="B843" s="7"/>
      <c r="C843" s="6"/>
      <c r="D843" s="12"/>
      <c r="E843" s="12"/>
      <c r="F843" s="12"/>
      <c r="G843" s="12"/>
      <c r="H843" s="12"/>
      <c r="I843" s="12"/>
      <c r="J843" s="12"/>
      <c r="K843" s="6"/>
      <c r="L843" s="6"/>
      <c r="M843" s="6"/>
      <c r="N843" s="6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/>
      <c r="B844" s="7"/>
      <c r="C844" s="6"/>
      <c r="D844" s="12"/>
      <c r="E844" s="12"/>
      <c r="F844" s="12"/>
      <c r="G844" s="12"/>
      <c r="H844" s="12"/>
      <c r="I844" s="12"/>
      <c r="J844" s="12"/>
      <c r="K844" s="6"/>
      <c r="L844" s="6"/>
      <c r="M844" s="6"/>
      <c r="N844" s="6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/>
      <c r="B845" s="7"/>
      <c r="C845" s="6"/>
      <c r="D845" s="12"/>
      <c r="E845" s="12"/>
      <c r="F845" s="12"/>
      <c r="G845" s="12"/>
      <c r="H845" s="12"/>
      <c r="I845" s="12"/>
      <c r="J845" s="12"/>
      <c r="K845" s="6"/>
      <c r="L845" s="6"/>
      <c r="M845" s="6"/>
      <c r="N845" s="6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/>
      <c r="B846" s="7"/>
      <c r="C846" s="6"/>
      <c r="D846" s="12"/>
      <c r="E846" s="12"/>
      <c r="F846" s="12"/>
      <c r="G846" s="12"/>
      <c r="H846" s="12"/>
      <c r="I846" s="12"/>
      <c r="J846" s="12"/>
      <c r="K846" s="6"/>
      <c r="L846" s="6"/>
      <c r="M846" s="6"/>
      <c r="N846" s="6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/>
      <c r="B847" s="7"/>
      <c r="C847" s="6"/>
      <c r="D847" s="12"/>
      <c r="E847" s="12"/>
      <c r="F847" s="12"/>
      <c r="G847" s="12"/>
      <c r="H847" s="12"/>
      <c r="I847" s="12"/>
      <c r="J847" s="12"/>
      <c r="K847" s="6"/>
      <c r="L847" s="6"/>
      <c r="M847" s="6"/>
      <c r="N847" s="6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/>
      <c r="B848" s="7"/>
      <c r="C848" s="6"/>
      <c r="D848" s="12"/>
      <c r="E848" s="12"/>
      <c r="F848" s="12"/>
      <c r="G848" s="12"/>
      <c r="H848" s="12"/>
      <c r="I848" s="12"/>
      <c r="J848" s="12"/>
      <c r="K848" s="6"/>
      <c r="L848" s="6"/>
      <c r="M848" s="6"/>
      <c r="N848" s="6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/>
      <c r="B849" s="7"/>
      <c r="C849" s="6"/>
      <c r="D849" s="12"/>
      <c r="E849" s="12"/>
      <c r="F849" s="12"/>
      <c r="G849" s="12"/>
      <c r="H849" s="12"/>
      <c r="I849" s="12"/>
      <c r="J849" s="12"/>
      <c r="K849" s="6"/>
      <c r="L849" s="6"/>
      <c r="M849" s="6"/>
      <c r="N849" s="6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/>
      <c r="B850" s="7"/>
      <c r="C850" s="6"/>
      <c r="D850" s="12"/>
      <c r="E850" s="12"/>
      <c r="F850" s="12"/>
      <c r="G850" s="12"/>
      <c r="H850" s="12"/>
      <c r="I850" s="12"/>
      <c r="J850" s="12"/>
      <c r="K850" s="6"/>
      <c r="L850" s="6"/>
      <c r="M850" s="6"/>
      <c r="N850" s="6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/>
      <c r="B851" s="7"/>
      <c r="C851" s="6"/>
      <c r="D851" s="12"/>
      <c r="E851" s="12"/>
      <c r="F851" s="12"/>
      <c r="G851" s="12"/>
      <c r="H851" s="12"/>
      <c r="I851" s="12"/>
      <c r="J851" s="12"/>
      <c r="K851" s="6"/>
      <c r="L851" s="6"/>
      <c r="M851" s="6"/>
      <c r="N851" s="6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/>
      <c r="B852" s="7"/>
      <c r="C852" s="6"/>
      <c r="D852" s="12"/>
      <c r="E852" s="12"/>
      <c r="F852" s="12"/>
      <c r="G852" s="12"/>
      <c r="H852" s="12"/>
      <c r="I852" s="12"/>
      <c r="J852" s="12"/>
      <c r="K852" s="6"/>
      <c r="L852" s="6"/>
      <c r="M852" s="6"/>
      <c r="N852" s="6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/>
      <c r="B853" s="7"/>
      <c r="C853" s="6"/>
      <c r="D853" s="12"/>
      <c r="E853" s="12"/>
      <c r="F853" s="12"/>
      <c r="G853" s="12"/>
      <c r="H853" s="12"/>
      <c r="I853" s="12"/>
      <c r="J853" s="12"/>
      <c r="K853" s="6"/>
      <c r="L853" s="6"/>
      <c r="M853" s="6"/>
      <c r="N853" s="6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/>
      <c r="B854" s="7"/>
      <c r="C854" s="6"/>
      <c r="D854" s="12"/>
      <c r="E854" s="12"/>
      <c r="F854" s="12"/>
      <c r="G854" s="12"/>
      <c r="H854" s="12"/>
      <c r="I854" s="12"/>
      <c r="J854" s="12"/>
      <c r="K854" s="6"/>
      <c r="L854" s="6"/>
      <c r="M854" s="6"/>
      <c r="N854" s="6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/>
      <c r="B855" s="7"/>
      <c r="C855" s="6"/>
      <c r="D855" s="12"/>
      <c r="E855" s="12"/>
      <c r="F855" s="12"/>
      <c r="G855" s="12"/>
      <c r="H855" s="12"/>
      <c r="I855" s="12"/>
      <c r="J855" s="12"/>
      <c r="K855" s="6"/>
      <c r="L855" s="6"/>
      <c r="M855" s="6"/>
      <c r="N855" s="6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/>
      <c r="B856" s="7"/>
      <c r="C856" s="6"/>
      <c r="D856" s="12"/>
      <c r="E856" s="12"/>
      <c r="F856" s="12"/>
      <c r="G856" s="12"/>
      <c r="H856" s="12"/>
      <c r="I856" s="12"/>
      <c r="J856" s="12"/>
      <c r="K856" s="6"/>
      <c r="L856" s="6"/>
      <c r="M856" s="6"/>
      <c r="N856" s="6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/>
      <c r="B857" s="7"/>
      <c r="C857" s="6"/>
      <c r="D857" s="12"/>
      <c r="E857" s="12"/>
      <c r="F857" s="12"/>
      <c r="G857" s="12"/>
      <c r="H857" s="12"/>
      <c r="I857" s="12"/>
      <c r="J857" s="12"/>
      <c r="K857" s="6"/>
      <c r="L857" s="6"/>
      <c r="M857" s="6"/>
      <c r="N857" s="6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/>
      <c r="B858" s="7"/>
      <c r="C858" s="6"/>
      <c r="D858" s="12"/>
      <c r="E858" s="12"/>
      <c r="F858" s="12"/>
      <c r="G858" s="12"/>
      <c r="H858" s="12"/>
      <c r="I858" s="12"/>
      <c r="J858" s="12"/>
      <c r="K858" s="6"/>
      <c r="L858" s="6"/>
      <c r="M858" s="6"/>
      <c r="N858" s="6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/>
      <c r="B859" s="7"/>
      <c r="C859" s="6"/>
      <c r="D859" s="12"/>
      <c r="E859" s="12"/>
      <c r="F859" s="12"/>
      <c r="G859" s="12"/>
      <c r="H859" s="12"/>
      <c r="I859" s="12"/>
      <c r="J859" s="12"/>
      <c r="K859" s="6"/>
      <c r="L859" s="6"/>
      <c r="M859" s="6"/>
      <c r="N859" s="6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/>
      <c r="B860" s="7"/>
      <c r="C860" s="6"/>
      <c r="D860" s="12"/>
      <c r="E860" s="12"/>
      <c r="F860" s="12"/>
      <c r="G860" s="12"/>
      <c r="H860" s="12"/>
      <c r="I860" s="12"/>
      <c r="J860" s="12"/>
      <c r="K860" s="6"/>
      <c r="L860" s="6"/>
      <c r="M860" s="6"/>
      <c r="N860" s="6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/>
      <c r="B861" s="7"/>
      <c r="C861" s="6"/>
      <c r="D861" s="12"/>
      <c r="E861" s="12"/>
      <c r="F861" s="12"/>
      <c r="G861" s="12"/>
      <c r="H861" s="12"/>
      <c r="I861" s="12"/>
      <c r="J861" s="12"/>
      <c r="K861" s="6"/>
      <c r="L861" s="6"/>
      <c r="M861" s="6"/>
      <c r="N861" s="6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/>
      <c r="B862" s="7"/>
      <c r="C862" s="6"/>
      <c r="D862" s="12"/>
      <c r="E862" s="12"/>
      <c r="F862" s="12"/>
      <c r="G862" s="12"/>
      <c r="H862" s="12"/>
      <c r="I862" s="12"/>
      <c r="J862" s="12"/>
      <c r="K862" s="6"/>
      <c r="L862" s="6"/>
      <c r="M862" s="6"/>
      <c r="N862" s="6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/>
      <c r="B863" s="7"/>
      <c r="C863" s="6"/>
      <c r="D863" s="12"/>
      <c r="E863" s="12"/>
      <c r="F863" s="12"/>
      <c r="G863" s="12"/>
      <c r="H863" s="12"/>
      <c r="I863" s="12"/>
      <c r="J863" s="12"/>
      <c r="K863" s="6"/>
      <c r="L863" s="6"/>
      <c r="M863" s="6"/>
      <c r="N863" s="6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/>
      <c r="B864" s="7"/>
      <c r="C864" s="6"/>
      <c r="D864" s="12"/>
      <c r="E864" s="12"/>
      <c r="F864" s="12"/>
      <c r="G864" s="12"/>
      <c r="H864" s="12"/>
      <c r="I864" s="12"/>
      <c r="J864" s="12"/>
      <c r="K864" s="6"/>
      <c r="L864" s="6"/>
      <c r="M864" s="6"/>
      <c r="N864" s="6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/>
      <c r="B865" s="7"/>
      <c r="C865" s="6"/>
      <c r="D865" s="12"/>
      <c r="E865" s="12"/>
      <c r="F865" s="12"/>
      <c r="G865" s="12"/>
      <c r="H865" s="12"/>
      <c r="I865" s="12"/>
      <c r="J865" s="12"/>
      <c r="K865" s="6"/>
      <c r="L865" s="6"/>
      <c r="M865" s="6"/>
      <c r="N865" s="6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/>
      <c r="B866" s="7"/>
      <c r="C866" s="6"/>
      <c r="D866" s="12"/>
      <c r="E866" s="12"/>
      <c r="F866" s="12"/>
      <c r="G866" s="12"/>
      <c r="H866" s="12"/>
      <c r="I866" s="12"/>
      <c r="J866" s="12"/>
      <c r="K866" s="6"/>
      <c r="L866" s="6"/>
      <c r="M866" s="6"/>
      <c r="N866" s="6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/>
      <c r="B867" s="7"/>
      <c r="C867" s="6"/>
      <c r="D867" s="12"/>
      <c r="E867" s="12"/>
      <c r="F867" s="12"/>
      <c r="G867" s="12"/>
      <c r="H867" s="12"/>
      <c r="I867" s="12"/>
      <c r="J867" s="12"/>
      <c r="K867" s="6"/>
      <c r="L867" s="6"/>
      <c r="M867" s="6"/>
      <c r="N867" s="6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/>
      <c r="B868" s="7"/>
      <c r="C868" s="6"/>
      <c r="D868" s="12"/>
      <c r="E868" s="12"/>
      <c r="F868" s="12"/>
      <c r="G868" s="12"/>
      <c r="H868" s="12"/>
      <c r="I868" s="12"/>
      <c r="J868" s="12"/>
      <c r="K868" s="6"/>
      <c r="L868" s="6"/>
      <c r="M868" s="6"/>
      <c r="N868" s="6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/>
      <c r="B869" s="7"/>
      <c r="C869" s="6"/>
      <c r="D869" s="12"/>
      <c r="E869" s="12"/>
      <c r="F869" s="12"/>
      <c r="G869" s="12"/>
      <c r="H869" s="12"/>
      <c r="I869" s="12"/>
      <c r="J869" s="12"/>
      <c r="K869" s="6"/>
      <c r="L869" s="6"/>
      <c r="M869" s="6"/>
      <c r="N869" s="6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/>
      <c r="B870" s="7"/>
      <c r="C870" s="6"/>
      <c r="D870" s="12"/>
      <c r="E870" s="12"/>
      <c r="F870" s="12"/>
      <c r="G870" s="12"/>
      <c r="H870" s="12"/>
      <c r="I870" s="12"/>
      <c r="J870" s="12"/>
      <c r="K870" s="6"/>
      <c r="L870" s="6"/>
      <c r="M870" s="6"/>
      <c r="N870" s="6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/>
      <c r="B871" s="7"/>
      <c r="C871" s="6"/>
      <c r="D871" s="12"/>
      <c r="E871" s="12"/>
      <c r="F871" s="12"/>
      <c r="G871" s="12"/>
      <c r="H871" s="12"/>
      <c r="I871" s="12"/>
      <c r="J871" s="12"/>
      <c r="K871" s="6"/>
      <c r="L871" s="6"/>
      <c r="M871" s="6"/>
      <c r="N871" s="6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/>
      <c r="B872" s="7"/>
      <c r="C872" s="6"/>
      <c r="D872" s="12"/>
      <c r="E872" s="12"/>
      <c r="F872" s="12"/>
      <c r="G872" s="12"/>
      <c r="H872" s="12"/>
      <c r="I872" s="12"/>
      <c r="J872" s="12"/>
      <c r="K872" s="6"/>
      <c r="L872" s="6"/>
      <c r="M872" s="6"/>
      <c r="N872" s="6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/>
      <c r="B873" s="7"/>
      <c r="C873" s="6"/>
      <c r="D873" s="12"/>
      <c r="E873" s="12"/>
      <c r="F873" s="12"/>
      <c r="G873" s="12"/>
      <c r="H873" s="12"/>
      <c r="I873" s="12"/>
      <c r="J873" s="12"/>
      <c r="K873" s="6"/>
      <c r="L873" s="6"/>
      <c r="M873" s="6"/>
      <c r="N873" s="6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/>
      <c r="B874" s="7"/>
      <c r="C874" s="6"/>
      <c r="D874" s="12"/>
      <c r="E874" s="12"/>
      <c r="F874" s="12"/>
      <c r="G874" s="12"/>
      <c r="H874" s="12"/>
      <c r="I874" s="12"/>
      <c r="J874" s="12"/>
      <c r="K874" s="6"/>
      <c r="L874" s="6"/>
      <c r="M874" s="6"/>
      <c r="N874" s="6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/>
      <c r="B875" s="7"/>
      <c r="C875" s="6"/>
      <c r="D875" s="12"/>
      <c r="E875" s="12"/>
      <c r="F875" s="12"/>
      <c r="G875" s="12"/>
      <c r="H875" s="12"/>
      <c r="I875" s="12"/>
      <c r="J875" s="12"/>
      <c r="K875" s="6"/>
      <c r="L875" s="6"/>
      <c r="M875" s="6"/>
      <c r="N875" s="6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/>
      <c r="B876" s="7"/>
      <c r="C876" s="6"/>
      <c r="D876" s="12"/>
      <c r="E876" s="12"/>
      <c r="F876" s="12"/>
      <c r="G876" s="12"/>
      <c r="H876" s="12"/>
      <c r="I876" s="12"/>
      <c r="J876" s="12"/>
      <c r="K876" s="6"/>
      <c r="L876" s="6"/>
      <c r="M876" s="6"/>
      <c r="N876" s="6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/>
      <c r="B877" s="7"/>
      <c r="C877" s="6"/>
      <c r="D877" s="12"/>
      <c r="E877" s="12"/>
      <c r="F877" s="12"/>
      <c r="G877" s="12"/>
      <c r="H877" s="12"/>
      <c r="I877" s="12"/>
      <c r="J877" s="12"/>
      <c r="K877" s="6"/>
      <c r="L877" s="6"/>
      <c r="M877" s="6"/>
      <c r="N877" s="6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/>
      <c r="B878" s="7"/>
      <c r="C878" s="6"/>
      <c r="D878" s="12"/>
      <c r="E878" s="12"/>
      <c r="F878" s="12"/>
      <c r="G878" s="12"/>
      <c r="H878" s="12"/>
      <c r="I878" s="12"/>
      <c r="J878" s="12"/>
      <c r="K878" s="6"/>
      <c r="L878" s="6"/>
      <c r="M878" s="6"/>
      <c r="N878" s="6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/>
      <c r="B879" s="7"/>
      <c r="C879" s="6"/>
      <c r="D879" s="12"/>
      <c r="E879" s="12"/>
      <c r="F879" s="12"/>
      <c r="G879" s="12"/>
      <c r="H879" s="12"/>
      <c r="I879" s="12"/>
      <c r="J879" s="12"/>
      <c r="K879" s="6"/>
      <c r="L879" s="6"/>
      <c r="M879" s="6"/>
      <c r="N879" s="6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/>
      <c r="B880" s="7"/>
      <c r="C880" s="6"/>
      <c r="D880" s="12"/>
      <c r="E880" s="12"/>
      <c r="F880" s="12"/>
      <c r="G880" s="12"/>
      <c r="H880" s="12"/>
      <c r="I880" s="12"/>
      <c r="J880" s="12"/>
      <c r="K880" s="6"/>
      <c r="L880" s="6"/>
      <c r="M880" s="6"/>
      <c r="N880" s="6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/>
      <c r="B881" s="7"/>
      <c r="C881" s="6"/>
      <c r="D881" s="12"/>
      <c r="E881" s="12"/>
      <c r="F881" s="12"/>
      <c r="G881" s="12"/>
      <c r="H881" s="12"/>
      <c r="I881" s="12"/>
      <c r="J881" s="12"/>
      <c r="K881" s="6"/>
      <c r="L881" s="6"/>
      <c r="M881" s="6"/>
      <c r="N881" s="6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/>
      <c r="B882" s="7"/>
      <c r="C882" s="6"/>
      <c r="D882" s="12"/>
      <c r="E882" s="12"/>
      <c r="F882" s="12"/>
      <c r="G882" s="12"/>
      <c r="H882" s="12"/>
      <c r="I882" s="12"/>
      <c r="J882" s="12"/>
      <c r="K882" s="6"/>
      <c r="L882" s="6"/>
      <c r="M882" s="6"/>
      <c r="N882" s="6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/>
      <c r="B883" s="7"/>
      <c r="C883" s="6"/>
      <c r="D883" s="12"/>
      <c r="E883" s="12"/>
      <c r="F883" s="12"/>
      <c r="G883" s="12"/>
      <c r="H883" s="12"/>
      <c r="I883" s="12"/>
      <c r="J883" s="12"/>
      <c r="K883" s="6"/>
      <c r="L883" s="6"/>
      <c r="M883" s="6"/>
      <c r="N883" s="6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/>
      <c r="B884" s="7"/>
      <c r="C884" s="6"/>
      <c r="D884" s="12"/>
      <c r="E884" s="12"/>
      <c r="F884" s="12"/>
      <c r="G884" s="12"/>
      <c r="H884" s="12"/>
      <c r="I884" s="12"/>
      <c r="J884" s="12"/>
      <c r="K884" s="6"/>
      <c r="L884" s="6"/>
      <c r="M884" s="6"/>
      <c r="N884" s="6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/>
      <c r="B885" s="7"/>
      <c r="C885" s="6"/>
      <c r="D885" s="12"/>
      <c r="E885" s="12"/>
      <c r="F885" s="12"/>
      <c r="G885" s="12"/>
      <c r="H885" s="12"/>
      <c r="I885" s="12"/>
      <c r="J885" s="12"/>
      <c r="K885" s="6"/>
      <c r="L885" s="6"/>
      <c r="M885" s="6"/>
      <c r="N885" s="6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/>
      <c r="B886" s="7"/>
      <c r="C886" s="6"/>
      <c r="D886" s="12"/>
      <c r="E886" s="12"/>
      <c r="F886" s="12"/>
      <c r="G886" s="12"/>
      <c r="H886" s="12"/>
      <c r="I886" s="12"/>
      <c r="J886" s="12"/>
      <c r="K886" s="6"/>
      <c r="L886" s="6"/>
      <c r="M886" s="6"/>
      <c r="N886" s="6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/>
      <c r="B887" s="7"/>
      <c r="C887" s="6"/>
      <c r="D887" s="12"/>
      <c r="E887" s="12"/>
      <c r="F887" s="12"/>
      <c r="G887" s="12"/>
      <c r="H887" s="12"/>
      <c r="I887" s="12"/>
      <c r="J887" s="12"/>
      <c r="K887" s="6"/>
      <c r="L887" s="6"/>
      <c r="M887" s="6"/>
      <c r="N887" s="6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/>
      <c r="B888" s="7"/>
      <c r="C888" s="6"/>
      <c r="D888" s="12"/>
      <c r="E888" s="12"/>
      <c r="F888" s="12"/>
      <c r="G888" s="12"/>
      <c r="H888" s="12"/>
      <c r="I888" s="12"/>
      <c r="J888" s="12"/>
      <c r="K888" s="6"/>
      <c r="L888" s="6"/>
      <c r="M888" s="6"/>
      <c r="N888" s="6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/>
      <c r="B889" s="7"/>
      <c r="C889" s="6"/>
      <c r="D889" s="12"/>
      <c r="E889" s="12"/>
      <c r="F889" s="12"/>
      <c r="G889" s="12"/>
      <c r="H889" s="12"/>
      <c r="I889" s="12"/>
      <c r="J889" s="12"/>
      <c r="K889" s="6"/>
      <c r="L889" s="6"/>
      <c r="M889" s="6"/>
      <c r="N889" s="6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/>
      <c r="B890" s="7"/>
      <c r="C890" s="6"/>
      <c r="D890" s="12"/>
      <c r="E890" s="12"/>
      <c r="F890" s="12"/>
      <c r="G890" s="12"/>
      <c r="H890" s="12"/>
      <c r="I890" s="12"/>
      <c r="J890" s="12"/>
      <c r="K890" s="6"/>
      <c r="L890" s="6"/>
      <c r="M890" s="6"/>
      <c r="N890" s="6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/>
      <c r="B891" s="7"/>
      <c r="C891" s="6"/>
      <c r="D891" s="12"/>
      <c r="E891" s="12"/>
      <c r="F891" s="12"/>
      <c r="G891" s="12"/>
      <c r="H891" s="12"/>
      <c r="I891" s="12"/>
      <c r="J891" s="12"/>
      <c r="K891" s="6"/>
      <c r="L891" s="6"/>
      <c r="M891" s="6"/>
      <c r="N891" s="6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/>
      <c r="B892" s="7"/>
      <c r="C892" s="6"/>
      <c r="D892" s="12"/>
      <c r="E892" s="12"/>
      <c r="F892" s="12"/>
      <c r="G892" s="12"/>
      <c r="H892" s="12"/>
      <c r="I892" s="12"/>
      <c r="J892" s="12"/>
      <c r="K892" s="6"/>
      <c r="L892" s="6"/>
      <c r="M892" s="6"/>
      <c r="N892" s="6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/>
      <c r="B893" s="7"/>
      <c r="C893" s="6"/>
      <c r="D893" s="12"/>
      <c r="E893" s="12"/>
      <c r="F893" s="12"/>
      <c r="G893" s="12"/>
      <c r="H893" s="12"/>
      <c r="I893" s="12"/>
      <c r="J893" s="12"/>
      <c r="K893" s="6"/>
      <c r="L893" s="6"/>
      <c r="M893" s="6"/>
      <c r="N893" s="6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/>
      <c r="B894" s="7"/>
      <c r="C894" s="6"/>
      <c r="D894" s="12"/>
      <c r="E894" s="12"/>
      <c r="F894" s="12"/>
      <c r="G894" s="12"/>
      <c r="H894" s="12"/>
      <c r="I894" s="12"/>
      <c r="J894" s="12"/>
      <c r="K894" s="6"/>
      <c r="L894" s="6"/>
      <c r="M894" s="6"/>
      <c r="N894" s="6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/>
      <c r="B895" s="7"/>
      <c r="C895" s="6"/>
      <c r="D895" s="12"/>
      <c r="E895" s="12"/>
      <c r="F895" s="12"/>
      <c r="G895" s="12"/>
      <c r="H895" s="12"/>
      <c r="I895" s="12"/>
      <c r="J895" s="12"/>
      <c r="K895" s="6"/>
      <c r="L895" s="6"/>
      <c r="M895" s="6"/>
      <c r="N895" s="6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/>
      <c r="B896" s="7"/>
      <c r="C896" s="6"/>
      <c r="D896" s="12"/>
      <c r="E896" s="12"/>
      <c r="F896" s="12"/>
      <c r="G896" s="12"/>
      <c r="H896" s="12"/>
      <c r="I896" s="12"/>
      <c r="J896" s="12"/>
      <c r="K896" s="6"/>
      <c r="L896" s="6"/>
      <c r="M896" s="6"/>
      <c r="N896" s="6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/>
      <c r="B897" s="7"/>
      <c r="C897" s="6"/>
      <c r="D897" s="12"/>
      <c r="E897" s="12"/>
      <c r="F897" s="12"/>
      <c r="G897" s="12"/>
      <c r="H897" s="12"/>
      <c r="I897" s="12"/>
      <c r="J897" s="12"/>
      <c r="K897" s="6"/>
      <c r="L897" s="6"/>
      <c r="M897" s="6"/>
      <c r="N897" s="6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/>
      <c r="B898" s="7"/>
      <c r="C898" s="6"/>
      <c r="D898" s="12"/>
      <c r="E898" s="12"/>
      <c r="F898" s="12"/>
      <c r="G898" s="12"/>
      <c r="H898" s="12"/>
      <c r="I898" s="12"/>
      <c r="J898" s="12"/>
      <c r="K898" s="6"/>
      <c r="L898" s="6"/>
      <c r="M898" s="6"/>
      <c r="N898" s="6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/>
      <c r="B899" s="7"/>
      <c r="C899" s="6"/>
      <c r="D899" s="12"/>
      <c r="E899" s="12"/>
      <c r="F899" s="12"/>
      <c r="G899" s="12"/>
      <c r="H899" s="12"/>
      <c r="I899" s="12"/>
      <c r="J899" s="12"/>
      <c r="K899" s="6"/>
      <c r="L899" s="6"/>
      <c r="M899" s="6"/>
      <c r="N899" s="6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/>
      <c r="B900" s="7"/>
      <c r="C900" s="6"/>
      <c r="D900" s="12"/>
      <c r="E900" s="12"/>
      <c r="F900" s="12"/>
      <c r="G900" s="12"/>
      <c r="H900" s="12"/>
      <c r="I900" s="12"/>
      <c r="J900" s="12"/>
      <c r="K900" s="6"/>
      <c r="L900" s="6"/>
      <c r="M900" s="6"/>
      <c r="N900" s="6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/>
      <c r="B901" s="7"/>
      <c r="C901" s="6"/>
      <c r="D901" s="12"/>
      <c r="E901" s="12"/>
      <c r="F901" s="12"/>
      <c r="G901" s="12"/>
      <c r="H901" s="12"/>
      <c r="I901" s="12"/>
      <c r="J901" s="12"/>
      <c r="K901" s="6"/>
      <c r="L901" s="6"/>
      <c r="M901" s="6"/>
      <c r="N901" s="6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/>
      <c r="B902" s="7"/>
      <c r="C902" s="6"/>
      <c r="D902" s="12"/>
      <c r="E902" s="12"/>
      <c r="F902" s="12"/>
      <c r="G902" s="12"/>
      <c r="H902" s="12"/>
      <c r="I902" s="12"/>
      <c r="J902" s="12"/>
      <c r="K902" s="6"/>
      <c r="L902" s="6"/>
      <c r="M902" s="6"/>
      <c r="N902" s="6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/>
      <c r="B903" s="7"/>
      <c r="C903" s="6"/>
      <c r="D903" s="12"/>
      <c r="E903" s="12"/>
      <c r="F903" s="12"/>
      <c r="G903" s="12"/>
      <c r="H903" s="12"/>
      <c r="I903" s="12"/>
      <c r="J903" s="12"/>
      <c r="K903" s="6"/>
      <c r="L903" s="6"/>
      <c r="M903" s="6"/>
      <c r="N903" s="6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/>
      <c r="B904" s="7"/>
      <c r="C904" s="6"/>
      <c r="D904" s="12"/>
      <c r="E904" s="12"/>
      <c r="F904" s="12"/>
      <c r="G904" s="12"/>
      <c r="H904" s="12"/>
      <c r="I904" s="12"/>
      <c r="J904" s="12"/>
      <c r="K904" s="6"/>
      <c r="L904" s="6"/>
      <c r="M904" s="6"/>
      <c r="N904" s="6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/>
      <c r="B905" s="7"/>
      <c r="C905" s="6"/>
      <c r="D905" s="12"/>
      <c r="E905" s="12"/>
      <c r="F905" s="12"/>
      <c r="G905" s="12"/>
      <c r="H905" s="12"/>
      <c r="I905" s="12"/>
      <c r="J905" s="12"/>
      <c r="K905" s="6"/>
      <c r="L905" s="6"/>
      <c r="M905" s="6"/>
      <c r="N905" s="6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/>
      <c r="B906" s="7"/>
      <c r="C906" s="6"/>
      <c r="D906" s="12"/>
      <c r="E906" s="12"/>
      <c r="F906" s="12"/>
      <c r="G906" s="12"/>
      <c r="H906" s="12"/>
      <c r="I906" s="12"/>
      <c r="J906" s="12"/>
      <c r="K906" s="6"/>
      <c r="L906" s="6"/>
      <c r="M906" s="6"/>
      <c r="N906" s="6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/>
      <c r="B907" s="7"/>
      <c r="C907" s="6"/>
      <c r="D907" s="12"/>
      <c r="E907" s="12"/>
      <c r="F907" s="12"/>
      <c r="G907" s="12"/>
      <c r="H907" s="12"/>
      <c r="I907" s="12"/>
      <c r="J907" s="12"/>
      <c r="K907" s="6"/>
      <c r="L907" s="6"/>
      <c r="M907" s="6"/>
      <c r="N907" s="6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/>
      <c r="B908" s="7"/>
      <c r="C908" s="6"/>
      <c r="D908" s="12"/>
      <c r="E908" s="12"/>
      <c r="F908" s="12"/>
      <c r="G908" s="12"/>
      <c r="H908" s="12"/>
      <c r="I908" s="12"/>
      <c r="J908" s="12"/>
      <c r="K908" s="6"/>
      <c r="L908" s="6"/>
      <c r="M908" s="6"/>
      <c r="N908" s="6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/>
      <c r="B909" s="7"/>
      <c r="C909" s="6"/>
      <c r="D909" s="12"/>
      <c r="E909" s="12"/>
      <c r="F909" s="12"/>
      <c r="G909" s="12"/>
      <c r="H909" s="12"/>
      <c r="I909" s="12"/>
      <c r="J909" s="12"/>
      <c r="K909" s="6"/>
      <c r="L909" s="6"/>
      <c r="M909" s="6"/>
      <c r="N909" s="6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/>
      <c r="B910" s="7"/>
      <c r="C910" s="6"/>
      <c r="D910" s="12"/>
      <c r="E910" s="12"/>
      <c r="F910" s="12"/>
      <c r="G910" s="12"/>
      <c r="H910" s="12"/>
      <c r="I910" s="12"/>
      <c r="J910" s="12"/>
      <c r="K910" s="6"/>
      <c r="L910" s="6"/>
      <c r="M910" s="6"/>
      <c r="N910" s="6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/>
      <c r="B911" s="7"/>
      <c r="C911" s="6"/>
      <c r="D911" s="12"/>
      <c r="E911" s="12"/>
      <c r="F911" s="12"/>
      <c r="G911" s="12"/>
      <c r="H911" s="12"/>
      <c r="I911" s="12"/>
      <c r="J911" s="12"/>
      <c r="K911" s="6"/>
      <c r="L911" s="6"/>
      <c r="M911" s="6"/>
      <c r="N911" s="6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/>
      <c r="B912" s="7"/>
      <c r="C912" s="6"/>
      <c r="D912" s="12"/>
      <c r="E912" s="12"/>
      <c r="F912" s="12"/>
      <c r="G912" s="12"/>
      <c r="H912" s="12"/>
      <c r="I912" s="12"/>
      <c r="J912" s="12"/>
      <c r="K912" s="6"/>
      <c r="L912" s="6"/>
      <c r="M912" s="6"/>
      <c r="N912" s="6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/>
      <c r="B913" s="7"/>
      <c r="C913" s="6"/>
      <c r="D913" s="12"/>
      <c r="E913" s="12"/>
      <c r="F913" s="12"/>
      <c r="G913" s="12"/>
      <c r="H913" s="12"/>
      <c r="I913" s="12"/>
      <c r="J913" s="12"/>
      <c r="K913" s="6"/>
      <c r="L913" s="6"/>
      <c r="M913" s="6"/>
      <c r="N913" s="6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/>
      <c r="B914" s="7"/>
      <c r="C914" s="6"/>
      <c r="D914" s="12"/>
      <c r="E914" s="12"/>
      <c r="F914" s="12"/>
      <c r="G914" s="12"/>
      <c r="H914" s="12"/>
      <c r="I914" s="12"/>
      <c r="J914" s="12"/>
      <c r="K914" s="6"/>
      <c r="L914" s="6"/>
      <c r="M914" s="6"/>
      <c r="N914" s="6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/>
      <c r="B915" s="7"/>
      <c r="C915" s="6"/>
      <c r="D915" s="12"/>
      <c r="E915" s="12"/>
      <c r="F915" s="12"/>
      <c r="G915" s="12"/>
      <c r="H915" s="12"/>
      <c r="I915" s="12"/>
      <c r="J915" s="12"/>
      <c r="K915" s="6"/>
      <c r="L915" s="6"/>
      <c r="M915" s="6"/>
      <c r="N915" s="6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/>
      <c r="B916" s="7"/>
      <c r="C916" s="6"/>
      <c r="D916" s="12"/>
      <c r="E916" s="12"/>
      <c r="F916" s="12"/>
      <c r="G916" s="12"/>
      <c r="H916" s="12"/>
      <c r="I916" s="12"/>
      <c r="J916" s="12"/>
      <c r="K916" s="6"/>
      <c r="L916" s="6"/>
      <c r="M916" s="6"/>
      <c r="N916" s="6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/>
      <c r="B917" s="7"/>
      <c r="C917" s="6"/>
      <c r="D917" s="12"/>
      <c r="E917" s="12"/>
      <c r="F917" s="12"/>
      <c r="G917" s="12"/>
      <c r="H917" s="12"/>
      <c r="I917" s="12"/>
      <c r="J917" s="12"/>
      <c r="K917" s="6"/>
      <c r="L917" s="6"/>
      <c r="M917" s="6"/>
      <c r="N917" s="6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/>
      <c r="B918" s="7"/>
      <c r="C918" s="6"/>
      <c r="D918" s="12"/>
      <c r="E918" s="12"/>
      <c r="F918" s="12"/>
      <c r="G918" s="12"/>
      <c r="H918" s="12"/>
      <c r="I918" s="12"/>
      <c r="J918" s="12"/>
      <c r="K918" s="6"/>
      <c r="L918" s="6"/>
      <c r="M918" s="6"/>
      <c r="N918" s="6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/>
      <c r="B919" s="7"/>
      <c r="C919" s="6"/>
      <c r="D919" s="12"/>
      <c r="E919" s="12"/>
      <c r="F919" s="12"/>
      <c r="G919" s="12"/>
      <c r="H919" s="12"/>
      <c r="I919" s="12"/>
      <c r="J919" s="12"/>
      <c r="K919" s="6"/>
      <c r="L919" s="6"/>
      <c r="M919" s="6"/>
      <c r="N919" s="6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/>
      <c r="B920" s="7"/>
      <c r="C920" s="6"/>
      <c r="D920" s="12"/>
      <c r="E920" s="12"/>
      <c r="F920" s="12"/>
      <c r="G920" s="12"/>
      <c r="H920" s="12"/>
      <c r="I920" s="12"/>
      <c r="J920" s="12"/>
      <c r="K920" s="6"/>
      <c r="L920" s="6"/>
      <c r="M920" s="6"/>
      <c r="N920" s="6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/>
      <c r="B921" s="7"/>
      <c r="C921" s="6"/>
      <c r="D921" s="12"/>
      <c r="E921" s="12"/>
      <c r="F921" s="12"/>
      <c r="G921" s="12"/>
      <c r="H921" s="12"/>
      <c r="I921" s="12"/>
      <c r="J921" s="12"/>
      <c r="K921" s="6"/>
      <c r="L921" s="6"/>
      <c r="M921" s="6"/>
      <c r="N921" s="6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/>
      <c r="B922" s="7"/>
      <c r="C922" s="6"/>
      <c r="D922" s="12"/>
      <c r="E922" s="12"/>
      <c r="F922" s="12"/>
      <c r="G922" s="12"/>
      <c r="H922" s="12"/>
      <c r="I922" s="12"/>
      <c r="J922" s="12"/>
      <c r="K922" s="6"/>
      <c r="L922" s="6"/>
      <c r="M922" s="6"/>
      <c r="N922" s="6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/>
      <c r="B923" s="7"/>
      <c r="C923" s="6"/>
      <c r="D923" s="12"/>
      <c r="E923" s="12"/>
      <c r="F923" s="12"/>
      <c r="G923" s="12"/>
      <c r="H923" s="12"/>
      <c r="I923" s="12"/>
      <c r="J923" s="12"/>
      <c r="K923" s="6"/>
      <c r="L923" s="6"/>
      <c r="M923" s="6"/>
      <c r="N923" s="6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/>
      <c r="B924" s="7"/>
      <c r="C924" s="6"/>
      <c r="D924" s="12"/>
      <c r="E924" s="12"/>
      <c r="F924" s="12"/>
      <c r="G924" s="12"/>
      <c r="H924" s="12"/>
      <c r="I924" s="12"/>
      <c r="J924" s="12"/>
      <c r="K924" s="6"/>
      <c r="L924" s="6"/>
      <c r="M924" s="6"/>
      <c r="N924" s="6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/>
      <c r="B925" s="7"/>
      <c r="C925" s="6"/>
      <c r="D925" s="12"/>
      <c r="E925" s="12"/>
      <c r="F925" s="12"/>
      <c r="G925" s="12"/>
      <c r="H925" s="12"/>
      <c r="I925" s="12"/>
      <c r="J925" s="12"/>
      <c r="K925" s="6"/>
      <c r="L925" s="6"/>
      <c r="M925" s="6"/>
      <c r="N925" s="6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/>
      <c r="B926" s="7"/>
      <c r="C926" s="6"/>
      <c r="D926" s="12"/>
      <c r="E926" s="12"/>
      <c r="F926" s="12"/>
      <c r="G926" s="12"/>
      <c r="H926" s="12"/>
      <c r="I926" s="12"/>
      <c r="J926" s="12"/>
      <c r="K926" s="6"/>
      <c r="L926" s="6"/>
      <c r="M926" s="6"/>
      <c r="N926" s="6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/>
      <c r="B927" s="7"/>
      <c r="C927" s="6"/>
      <c r="D927" s="12"/>
      <c r="E927" s="12"/>
      <c r="F927" s="12"/>
      <c r="G927" s="12"/>
      <c r="H927" s="12"/>
      <c r="I927" s="12"/>
      <c r="J927" s="12"/>
      <c r="K927" s="6"/>
      <c r="L927" s="6"/>
      <c r="M927" s="6"/>
      <c r="N927" s="6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/>
      <c r="B928" s="7"/>
      <c r="C928" s="6"/>
      <c r="D928" s="12"/>
      <c r="E928" s="12"/>
      <c r="F928" s="12"/>
      <c r="G928" s="12"/>
      <c r="H928" s="12"/>
      <c r="I928" s="12"/>
      <c r="J928" s="12"/>
      <c r="K928" s="6"/>
      <c r="L928" s="6"/>
      <c r="M928" s="6"/>
      <c r="N928" s="6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/>
      <c r="B929" s="7"/>
      <c r="C929" s="6"/>
      <c r="D929" s="12"/>
      <c r="E929" s="12"/>
      <c r="F929" s="12"/>
      <c r="G929" s="12"/>
      <c r="H929" s="12"/>
      <c r="I929" s="12"/>
      <c r="J929" s="12"/>
      <c r="K929" s="6"/>
      <c r="L929" s="6"/>
      <c r="M929" s="6"/>
      <c r="N929" s="6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/>
      <c r="B930" s="7"/>
      <c r="C930" s="6"/>
      <c r="D930" s="12"/>
      <c r="E930" s="12"/>
      <c r="F930" s="12"/>
      <c r="G930" s="12"/>
      <c r="H930" s="12"/>
      <c r="I930" s="12"/>
      <c r="J930" s="12"/>
      <c r="K930" s="6"/>
      <c r="L930" s="6"/>
      <c r="M930" s="6"/>
      <c r="N930" s="6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/>
      <c r="B931" s="7"/>
      <c r="C931" s="6"/>
      <c r="D931" s="12"/>
      <c r="E931" s="12"/>
      <c r="F931" s="12"/>
      <c r="G931" s="12"/>
      <c r="H931" s="12"/>
      <c r="I931" s="12"/>
      <c r="J931" s="12"/>
      <c r="K931" s="6"/>
      <c r="L931" s="6"/>
      <c r="M931" s="6"/>
      <c r="N931" s="6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/>
      <c r="B932" s="7"/>
      <c r="C932" s="6"/>
      <c r="D932" s="12"/>
      <c r="E932" s="12"/>
      <c r="F932" s="12"/>
      <c r="G932" s="12"/>
      <c r="H932" s="12"/>
      <c r="I932" s="12"/>
      <c r="J932" s="12"/>
      <c r="K932" s="6"/>
      <c r="L932" s="6"/>
      <c r="M932" s="6"/>
      <c r="N932" s="6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/>
      <c r="B933" s="7"/>
      <c r="C933" s="6"/>
      <c r="D933" s="12"/>
      <c r="E933" s="12"/>
      <c r="F933" s="12"/>
      <c r="G933" s="12"/>
      <c r="H933" s="12"/>
      <c r="I933" s="12"/>
      <c r="J933" s="12"/>
      <c r="K933" s="6"/>
      <c r="L933" s="6"/>
      <c r="M933" s="6"/>
      <c r="N933" s="6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/>
      <c r="B934" s="7"/>
      <c r="C934" s="6"/>
      <c r="D934" s="12"/>
      <c r="E934" s="12"/>
      <c r="F934" s="12"/>
      <c r="G934" s="12"/>
      <c r="H934" s="12"/>
      <c r="I934" s="12"/>
      <c r="J934" s="12"/>
      <c r="K934" s="6"/>
      <c r="L934" s="6"/>
      <c r="M934" s="6"/>
      <c r="N934" s="6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/>
      <c r="B935" s="7"/>
      <c r="C935" s="6"/>
      <c r="D935" s="12"/>
      <c r="E935" s="12"/>
      <c r="F935" s="12"/>
      <c r="G935" s="12"/>
      <c r="H935" s="12"/>
      <c r="I935" s="12"/>
      <c r="J935" s="12"/>
      <c r="K935" s="6"/>
      <c r="L935" s="6"/>
      <c r="M935" s="6"/>
      <c r="N935" s="6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/>
      <c r="B936" s="7"/>
      <c r="C936" s="6"/>
      <c r="D936" s="12"/>
      <c r="E936" s="12"/>
      <c r="F936" s="12"/>
      <c r="G936" s="12"/>
      <c r="H936" s="12"/>
      <c r="I936" s="12"/>
      <c r="J936" s="12"/>
      <c r="K936" s="6"/>
      <c r="L936" s="6"/>
      <c r="M936" s="6"/>
      <c r="N936" s="6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/>
      <c r="B937" s="7"/>
      <c r="C937" s="6"/>
      <c r="D937" s="12"/>
      <c r="E937" s="12"/>
      <c r="F937" s="12"/>
      <c r="G937" s="12"/>
      <c r="H937" s="12"/>
      <c r="I937" s="12"/>
      <c r="J937" s="12"/>
      <c r="K937" s="6"/>
      <c r="L937" s="6"/>
      <c r="M937" s="6"/>
      <c r="N937" s="6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/>
      <c r="B938" s="7"/>
      <c r="C938" s="6"/>
      <c r="D938" s="12"/>
      <c r="E938" s="12"/>
      <c r="F938" s="12"/>
      <c r="G938" s="12"/>
      <c r="H938" s="12"/>
      <c r="I938" s="12"/>
      <c r="J938" s="12"/>
      <c r="K938" s="6"/>
      <c r="L938" s="6"/>
      <c r="M938" s="6"/>
      <c r="N938" s="6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/>
      <c r="B939" s="7"/>
      <c r="C939" s="6"/>
      <c r="D939" s="12"/>
      <c r="E939" s="12"/>
      <c r="F939" s="12"/>
      <c r="G939" s="12"/>
      <c r="H939" s="12"/>
      <c r="I939" s="12"/>
      <c r="J939" s="12"/>
      <c r="K939" s="6"/>
      <c r="L939" s="6"/>
      <c r="M939" s="6"/>
      <c r="N939" s="6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/>
      <c r="B940" s="7"/>
      <c r="C940" s="6"/>
      <c r="D940" s="12"/>
      <c r="E940" s="12"/>
      <c r="F940" s="12"/>
      <c r="G940" s="12"/>
      <c r="H940" s="12"/>
      <c r="I940" s="12"/>
      <c r="J940" s="12"/>
      <c r="K940" s="6"/>
      <c r="L940" s="6"/>
      <c r="M940" s="6"/>
      <c r="N940" s="6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/>
      <c r="B941" s="7"/>
      <c r="C941" s="6"/>
      <c r="D941" s="12"/>
      <c r="E941" s="12"/>
      <c r="F941" s="12"/>
      <c r="G941" s="12"/>
      <c r="H941" s="12"/>
      <c r="I941" s="12"/>
      <c r="J941" s="12"/>
      <c r="K941" s="6"/>
      <c r="L941" s="6"/>
      <c r="M941" s="6"/>
      <c r="N941" s="6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/>
      <c r="B942" s="7"/>
      <c r="C942" s="6"/>
      <c r="D942" s="12"/>
      <c r="E942" s="12"/>
      <c r="F942" s="12"/>
      <c r="G942" s="12"/>
      <c r="H942" s="12"/>
      <c r="I942" s="12"/>
      <c r="J942" s="12"/>
      <c r="K942" s="6"/>
      <c r="L942" s="6"/>
      <c r="M942" s="6"/>
      <c r="N942" s="6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/>
      <c r="B943" s="7"/>
      <c r="C943" s="6"/>
      <c r="D943" s="12"/>
      <c r="E943" s="12"/>
      <c r="F943" s="12"/>
      <c r="G943" s="12"/>
      <c r="H943" s="12"/>
      <c r="I943" s="12"/>
      <c r="J943" s="12"/>
      <c r="K943" s="6"/>
      <c r="L943" s="6"/>
      <c r="M943" s="6"/>
      <c r="N943" s="6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/>
      <c r="B944" s="7"/>
      <c r="C944" s="6"/>
      <c r="D944" s="12"/>
      <c r="E944" s="12"/>
      <c r="F944" s="12"/>
      <c r="G944" s="12"/>
      <c r="H944" s="12"/>
      <c r="I944" s="12"/>
      <c r="J944" s="12"/>
      <c r="K944" s="6"/>
      <c r="L944" s="6"/>
      <c r="M944" s="6"/>
      <c r="N944" s="6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/>
      <c r="B945" s="7"/>
      <c r="C945" s="6"/>
      <c r="D945" s="12"/>
      <c r="E945" s="12"/>
      <c r="F945" s="12"/>
      <c r="G945" s="12"/>
      <c r="H945" s="12"/>
      <c r="I945" s="12"/>
      <c r="J945" s="12"/>
      <c r="K945" s="6"/>
      <c r="L945" s="6"/>
      <c r="M945" s="6"/>
      <c r="N945" s="6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/>
      <c r="B946" s="7"/>
      <c r="C946" s="6"/>
      <c r="D946" s="12"/>
      <c r="E946" s="12"/>
      <c r="F946" s="12"/>
      <c r="G946" s="12"/>
      <c r="H946" s="12"/>
      <c r="I946" s="12"/>
      <c r="J946" s="12"/>
      <c r="K946" s="6"/>
      <c r="L946" s="6"/>
      <c r="M946" s="6"/>
      <c r="N946" s="6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/>
      <c r="B947" s="7"/>
      <c r="C947" s="6"/>
      <c r="D947" s="12"/>
      <c r="E947" s="12"/>
      <c r="F947" s="12"/>
      <c r="G947" s="12"/>
      <c r="H947" s="12"/>
      <c r="I947" s="12"/>
      <c r="J947" s="12"/>
      <c r="K947" s="6"/>
      <c r="L947" s="6"/>
      <c r="M947" s="6"/>
      <c r="N947" s="6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/>
      <c r="B948" s="7"/>
      <c r="C948" s="6"/>
      <c r="D948" s="12"/>
      <c r="E948" s="12"/>
      <c r="F948" s="12"/>
      <c r="G948" s="12"/>
      <c r="H948" s="12"/>
      <c r="I948" s="12"/>
      <c r="J948" s="12"/>
      <c r="K948" s="6"/>
      <c r="L948" s="6"/>
      <c r="M948" s="6"/>
      <c r="N948" s="6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/>
      <c r="B949" s="7"/>
      <c r="C949" s="6"/>
      <c r="D949" s="12"/>
      <c r="E949" s="12"/>
      <c r="F949" s="12"/>
      <c r="G949" s="12"/>
      <c r="H949" s="12"/>
      <c r="I949" s="12"/>
      <c r="J949" s="12"/>
      <c r="K949" s="6"/>
      <c r="L949" s="6"/>
      <c r="M949" s="6"/>
      <c r="N949" s="6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/>
      <c r="B950" s="7"/>
      <c r="C950" s="6"/>
      <c r="D950" s="12"/>
      <c r="E950" s="12"/>
      <c r="F950" s="12"/>
      <c r="G950" s="12"/>
      <c r="H950" s="12"/>
      <c r="I950" s="12"/>
      <c r="J950" s="12"/>
      <c r="K950" s="6"/>
      <c r="L950" s="6"/>
      <c r="M950" s="6"/>
      <c r="N950" s="6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/>
      <c r="B951" s="7"/>
      <c r="C951" s="6"/>
      <c r="D951" s="12"/>
      <c r="E951" s="12"/>
      <c r="F951" s="12"/>
      <c r="G951" s="12"/>
      <c r="H951" s="12"/>
      <c r="I951" s="12"/>
      <c r="J951" s="12"/>
      <c r="K951" s="6"/>
      <c r="L951" s="6"/>
      <c r="M951" s="6"/>
      <c r="N951" s="6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/>
      <c r="B952" s="7"/>
      <c r="C952" s="6"/>
      <c r="D952" s="12"/>
      <c r="E952" s="12"/>
      <c r="F952" s="12"/>
      <c r="G952" s="12"/>
      <c r="H952" s="12"/>
      <c r="I952" s="12"/>
      <c r="J952" s="12"/>
      <c r="K952" s="6"/>
      <c r="L952" s="6"/>
      <c r="M952" s="6"/>
      <c r="N952" s="6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/>
      <c r="B953" s="7"/>
      <c r="C953" s="6"/>
      <c r="D953" s="12"/>
      <c r="E953" s="12"/>
      <c r="F953" s="12"/>
      <c r="G953" s="12"/>
      <c r="H953" s="12"/>
      <c r="I953" s="12"/>
      <c r="J953" s="12"/>
      <c r="K953" s="6"/>
      <c r="L953" s="6"/>
      <c r="M953" s="6"/>
      <c r="N953" s="6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/>
      <c r="B954" s="7"/>
      <c r="C954" s="6"/>
      <c r="D954" s="12"/>
      <c r="E954" s="12"/>
      <c r="F954" s="12"/>
      <c r="G954" s="12"/>
      <c r="H954" s="12"/>
      <c r="I954" s="12"/>
      <c r="J954" s="12"/>
      <c r="K954" s="6"/>
      <c r="L954" s="6"/>
      <c r="M954" s="6"/>
      <c r="N954" s="6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/>
      <c r="B955" s="7"/>
      <c r="C955" s="6"/>
      <c r="D955" s="12"/>
      <c r="E955" s="12"/>
      <c r="F955" s="12"/>
      <c r="G955" s="12"/>
      <c r="H955" s="12"/>
      <c r="I955" s="12"/>
      <c r="J955" s="12"/>
      <c r="K955" s="6"/>
      <c r="L955" s="6"/>
      <c r="M955" s="6"/>
      <c r="N955" s="6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/>
      <c r="B956" s="7"/>
      <c r="C956" s="6"/>
      <c r="D956" s="12"/>
      <c r="E956" s="12"/>
      <c r="F956" s="12"/>
      <c r="G956" s="12"/>
      <c r="H956" s="12"/>
      <c r="I956" s="12"/>
      <c r="J956" s="12"/>
      <c r="K956" s="6"/>
      <c r="L956" s="6"/>
      <c r="M956" s="6"/>
      <c r="N956" s="6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/>
      <c r="B957" s="7"/>
      <c r="C957" s="6"/>
      <c r="D957" s="12"/>
      <c r="E957" s="12"/>
      <c r="F957" s="12"/>
      <c r="G957" s="12"/>
      <c r="H957" s="12"/>
      <c r="I957" s="12"/>
      <c r="J957" s="12"/>
      <c r="K957" s="6"/>
      <c r="L957" s="6"/>
      <c r="M957" s="6"/>
      <c r="N957" s="6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/>
      <c r="B958" s="7"/>
      <c r="C958" s="6"/>
      <c r="D958" s="12"/>
      <c r="E958" s="12"/>
      <c r="F958" s="12"/>
      <c r="G958" s="12"/>
      <c r="H958" s="12"/>
      <c r="I958" s="12"/>
      <c r="J958" s="12"/>
      <c r="K958" s="6"/>
      <c r="L958" s="6"/>
      <c r="M958" s="6"/>
      <c r="N958" s="6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/>
      <c r="B959" s="7"/>
      <c r="C959" s="6"/>
      <c r="D959" s="12"/>
      <c r="E959" s="12"/>
      <c r="F959" s="12"/>
      <c r="G959" s="12"/>
      <c r="H959" s="12"/>
      <c r="I959" s="12"/>
      <c r="J959" s="12"/>
      <c r="K959" s="6"/>
      <c r="L959" s="6"/>
      <c r="M959" s="6"/>
      <c r="N959" s="6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/>
      <c r="B960" s="7"/>
      <c r="C960" s="6"/>
      <c r="D960" s="12"/>
      <c r="E960" s="12"/>
      <c r="F960" s="12"/>
      <c r="G960" s="12"/>
      <c r="H960" s="12"/>
      <c r="I960" s="12"/>
      <c r="J960" s="12"/>
      <c r="K960" s="6"/>
      <c r="L960" s="6"/>
      <c r="M960" s="6"/>
      <c r="N960" s="6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/>
      <c r="B961" s="7"/>
      <c r="C961" s="6"/>
      <c r="D961" s="12"/>
      <c r="E961" s="12"/>
      <c r="F961" s="12"/>
      <c r="G961" s="12"/>
      <c r="H961" s="12"/>
      <c r="I961" s="12"/>
      <c r="J961" s="12"/>
      <c r="K961" s="6"/>
      <c r="L961" s="6"/>
      <c r="M961" s="6"/>
      <c r="N961" s="6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/>
      <c r="B962" s="7"/>
      <c r="C962" s="6"/>
      <c r="D962" s="12"/>
      <c r="E962" s="12"/>
      <c r="F962" s="12"/>
      <c r="G962" s="12"/>
      <c r="H962" s="12"/>
      <c r="I962" s="12"/>
      <c r="J962" s="12"/>
      <c r="K962" s="6"/>
      <c r="L962" s="6"/>
      <c r="M962" s="6"/>
      <c r="N962" s="6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/>
      <c r="B963" s="7"/>
      <c r="C963" s="6"/>
      <c r="D963" s="12"/>
      <c r="E963" s="12"/>
      <c r="F963" s="12"/>
      <c r="G963" s="12"/>
      <c r="H963" s="12"/>
      <c r="I963" s="12"/>
      <c r="J963" s="12"/>
      <c r="K963" s="6"/>
      <c r="L963" s="6"/>
      <c r="M963" s="6"/>
      <c r="N963" s="6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/>
      <c r="B964" s="7"/>
      <c r="C964" s="6"/>
      <c r="D964" s="12"/>
      <c r="E964" s="12"/>
      <c r="F964" s="12"/>
      <c r="G964" s="12"/>
      <c r="H964" s="12"/>
      <c r="I964" s="12"/>
      <c r="J964" s="12"/>
      <c r="K964" s="6"/>
      <c r="L964" s="6"/>
      <c r="M964" s="6"/>
      <c r="N964" s="6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/>
      <c r="B965" s="7"/>
      <c r="C965" s="6"/>
      <c r="D965" s="12"/>
      <c r="E965" s="12"/>
      <c r="F965" s="12"/>
      <c r="G965" s="12"/>
      <c r="H965" s="12"/>
      <c r="I965" s="12"/>
      <c r="J965" s="12"/>
      <c r="K965" s="6"/>
      <c r="L965" s="6"/>
      <c r="M965" s="6"/>
      <c r="N965" s="6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/>
      <c r="B966" s="7"/>
      <c r="C966" s="6"/>
      <c r="D966" s="12"/>
      <c r="E966" s="12"/>
      <c r="F966" s="12"/>
      <c r="G966" s="12"/>
      <c r="H966" s="12"/>
      <c r="I966" s="12"/>
      <c r="J966" s="12"/>
      <c r="K966" s="6"/>
      <c r="L966" s="6"/>
      <c r="M966" s="6"/>
      <c r="N966" s="6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/>
      <c r="B967" s="7"/>
      <c r="C967" s="6"/>
      <c r="D967" s="12"/>
      <c r="E967" s="12"/>
      <c r="F967" s="12"/>
      <c r="G967" s="12"/>
      <c r="H967" s="12"/>
      <c r="I967" s="12"/>
      <c r="J967" s="12"/>
      <c r="K967" s="6"/>
      <c r="L967" s="6"/>
      <c r="M967" s="6"/>
      <c r="N967" s="6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/>
      <c r="B968" s="7"/>
      <c r="C968" s="6"/>
      <c r="D968" s="12"/>
      <c r="E968" s="12"/>
      <c r="F968" s="12"/>
      <c r="G968" s="12"/>
      <c r="H968" s="12"/>
      <c r="I968" s="12"/>
      <c r="J968" s="12"/>
      <c r="K968" s="6"/>
      <c r="L968" s="6"/>
      <c r="M968" s="6"/>
      <c r="N968" s="6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/>
      <c r="B969" s="7"/>
      <c r="C969" s="6"/>
      <c r="D969" s="12"/>
      <c r="E969" s="12"/>
      <c r="F969" s="12"/>
      <c r="G969" s="12"/>
      <c r="H969" s="12"/>
      <c r="I969" s="12"/>
      <c r="J969" s="12"/>
      <c r="K969" s="6"/>
      <c r="L969" s="6"/>
      <c r="M969" s="6"/>
      <c r="N969" s="6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/>
      <c r="B970" s="7"/>
      <c r="C970" s="6"/>
      <c r="D970" s="12"/>
      <c r="E970" s="12"/>
      <c r="F970" s="12"/>
      <c r="G970" s="12"/>
      <c r="H970" s="12"/>
      <c r="I970" s="12"/>
      <c r="J970" s="12"/>
      <c r="K970" s="6"/>
      <c r="L970" s="6"/>
      <c r="M970" s="6"/>
      <c r="N970" s="6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/>
      <c r="B971" s="7"/>
      <c r="C971" s="6"/>
      <c r="D971" s="12"/>
      <c r="E971" s="12"/>
      <c r="F971" s="12"/>
      <c r="G971" s="12"/>
      <c r="H971" s="12"/>
      <c r="I971" s="12"/>
      <c r="J971" s="12"/>
      <c r="K971" s="6"/>
      <c r="L971" s="6"/>
      <c r="M971" s="6"/>
      <c r="N971" s="6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/>
      <c r="B972" s="7"/>
      <c r="C972" s="6"/>
      <c r="D972" s="12"/>
      <c r="E972" s="12"/>
      <c r="F972" s="12"/>
      <c r="G972" s="12"/>
      <c r="H972" s="12"/>
      <c r="I972" s="12"/>
      <c r="J972" s="12"/>
      <c r="K972" s="6"/>
      <c r="L972" s="6"/>
      <c r="M972" s="6"/>
      <c r="N972" s="6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/>
      <c r="B973" s="7"/>
      <c r="C973" s="6"/>
      <c r="D973" s="12"/>
      <c r="E973" s="12"/>
      <c r="F973" s="12"/>
      <c r="G973" s="12"/>
      <c r="H973" s="12"/>
      <c r="I973" s="12"/>
      <c r="J973" s="12"/>
      <c r="K973" s="6"/>
      <c r="L973" s="6"/>
      <c r="M973" s="6"/>
      <c r="N973" s="6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/>
      <c r="B974" s="7"/>
      <c r="C974" s="6"/>
      <c r="D974" s="12"/>
      <c r="E974" s="12"/>
      <c r="F974" s="12"/>
      <c r="G974" s="12"/>
      <c r="H974" s="12"/>
      <c r="I974" s="12"/>
      <c r="J974" s="12"/>
      <c r="K974" s="6"/>
      <c r="L974" s="6"/>
      <c r="M974" s="6"/>
      <c r="N974" s="6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/>
      <c r="B975" s="7"/>
      <c r="C975" s="6"/>
      <c r="D975" s="12"/>
      <c r="E975" s="12"/>
      <c r="F975" s="12"/>
      <c r="G975" s="12"/>
      <c r="H975" s="12"/>
      <c r="I975" s="12"/>
      <c r="J975" s="12"/>
      <c r="K975" s="6"/>
      <c r="L975" s="6"/>
      <c r="M975" s="6"/>
      <c r="N975" s="6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/>
      <c r="B976" s="7"/>
      <c r="C976" s="6"/>
      <c r="D976" s="12"/>
      <c r="E976" s="12"/>
      <c r="F976" s="12"/>
      <c r="G976" s="12"/>
      <c r="H976" s="12"/>
      <c r="I976" s="12"/>
      <c r="J976" s="12"/>
      <c r="K976" s="6"/>
      <c r="L976" s="6"/>
      <c r="M976" s="6"/>
      <c r="N976" s="6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/>
      <c r="B977" s="7"/>
      <c r="C977" s="6"/>
      <c r="D977" s="12"/>
      <c r="E977" s="12"/>
      <c r="F977" s="12"/>
      <c r="G977" s="12"/>
      <c r="H977" s="12"/>
      <c r="I977" s="12"/>
      <c r="J977" s="12"/>
      <c r="K977" s="6"/>
      <c r="L977" s="6"/>
      <c r="M977" s="6"/>
      <c r="N977" s="6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/>
      <c r="B978" s="7"/>
      <c r="C978" s="6"/>
      <c r="D978" s="12"/>
      <c r="E978" s="12"/>
      <c r="F978" s="12"/>
      <c r="G978" s="12"/>
      <c r="H978" s="12"/>
      <c r="I978" s="12"/>
      <c r="J978" s="12"/>
      <c r="K978" s="6"/>
      <c r="L978" s="6"/>
      <c r="M978" s="6"/>
      <c r="N978" s="6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/>
      <c r="B979" s="7"/>
      <c r="C979" s="6"/>
      <c r="D979" s="12"/>
      <c r="E979" s="12"/>
      <c r="F979" s="12"/>
      <c r="G979" s="12"/>
      <c r="H979" s="12"/>
      <c r="I979" s="12"/>
      <c r="J979" s="12"/>
      <c r="K979" s="6"/>
      <c r="L979" s="6"/>
      <c r="M979" s="6"/>
      <c r="N979" s="6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/>
      <c r="B980" s="7"/>
      <c r="C980" s="6"/>
      <c r="D980" s="12"/>
      <c r="E980" s="12"/>
      <c r="F980" s="12"/>
      <c r="G980" s="12"/>
      <c r="H980" s="12"/>
      <c r="I980" s="12"/>
      <c r="J980" s="12"/>
      <c r="K980" s="6"/>
      <c r="L980" s="6"/>
      <c r="M980" s="6"/>
      <c r="N980" s="6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/>
      <c r="B981" s="7"/>
      <c r="C981" s="6"/>
      <c r="D981" s="12"/>
      <c r="E981" s="12"/>
      <c r="F981" s="12"/>
      <c r="G981" s="12"/>
      <c r="H981" s="12"/>
      <c r="I981" s="12"/>
      <c r="J981" s="12"/>
      <c r="K981" s="6"/>
      <c r="L981" s="6"/>
      <c r="M981" s="6"/>
      <c r="N981" s="6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/>
      <c r="B982" s="7"/>
      <c r="C982" s="6"/>
      <c r="D982" s="12"/>
      <c r="E982" s="12"/>
      <c r="F982" s="12"/>
      <c r="G982" s="12"/>
      <c r="H982" s="12"/>
      <c r="I982" s="12"/>
      <c r="J982" s="12"/>
      <c r="K982" s="6"/>
      <c r="L982" s="6"/>
      <c r="M982" s="6"/>
      <c r="N982" s="6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/>
      <c r="B983" s="7"/>
      <c r="C983" s="6"/>
      <c r="D983" s="12"/>
      <c r="E983" s="12"/>
      <c r="F983" s="12"/>
      <c r="G983" s="12"/>
      <c r="H983" s="12"/>
      <c r="I983" s="12"/>
      <c r="J983" s="12"/>
      <c r="K983" s="6"/>
      <c r="L983" s="6"/>
      <c r="M983" s="6"/>
      <c r="N983" s="6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/>
      <c r="B984" s="7"/>
      <c r="C984" s="6"/>
      <c r="D984" s="12"/>
      <c r="E984" s="12"/>
      <c r="F984" s="12"/>
      <c r="G984" s="12"/>
      <c r="H984" s="12"/>
      <c r="I984" s="12"/>
      <c r="J984" s="12"/>
      <c r="K984" s="6"/>
      <c r="L984" s="6"/>
      <c r="M984" s="6"/>
      <c r="N984" s="6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/>
      <c r="B985" s="7"/>
      <c r="C985" s="6"/>
      <c r="D985" s="12"/>
      <c r="E985" s="12"/>
      <c r="F985" s="12"/>
      <c r="G985" s="12"/>
      <c r="H985" s="12"/>
      <c r="I985" s="12"/>
      <c r="J985" s="12"/>
      <c r="K985" s="6"/>
      <c r="L985" s="6"/>
      <c r="M985" s="6"/>
      <c r="N985" s="6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/>
      <c r="B986" s="7"/>
      <c r="C986" s="6"/>
      <c r="D986" s="12"/>
      <c r="E986" s="12"/>
      <c r="F986" s="12"/>
      <c r="G986" s="12"/>
      <c r="H986" s="12"/>
      <c r="I986" s="12"/>
      <c r="J986" s="12"/>
      <c r="K986" s="6"/>
      <c r="L986" s="6"/>
      <c r="M986" s="6"/>
      <c r="N986" s="6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/>
      <c r="B987" s="7"/>
      <c r="C987" s="6"/>
      <c r="D987" s="12"/>
      <c r="E987" s="12"/>
      <c r="F987" s="12"/>
      <c r="G987" s="12"/>
      <c r="H987" s="12"/>
      <c r="I987" s="12"/>
      <c r="J987" s="12"/>
      <c r="K987" s="6"/>
      <c r="L987" s="6"/>
      <c r="M987" s="6"/>
      <c r="N987" s="6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/>
      <c r="B988" s="7"/>
      <c r="C988" s="6"/>
      <c r="D988" s="12"/>
      <c r="E988" s="12"/>
      <c r="F988" s="12"/>
      <c r="G988" s="12"/>
      <c r="H988" s="12"/>
      <c r="I988" s="12"/>
      <c r="J988" s="12"/>
      <c r="K988" s="6"/>
      <c r="L988" s="6"/>
      <c r="M988" s="6"/>
      <c r="N988" s="6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/>
      <c r="B989" s="7"/>
      <c r="C989" s="6"/>
      <c r="D989" s="12"/>
      <c r="E989" s="12"/>
      <c r="F989" s="12"/>
      <c r="G989" s="12"/>
      <c r="H989" s="12"/>
      <c r="I989" s="12"/>
      <c r="J989" s="12"/>
      <c r="K989" s="6"/>
      <c r="L989" s="6"/>
      <c r="M989" s="6"/>
      <c r="N989" s="6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/>
      <c r="B990" s="7"/>
      <c r="C990" s="6"/>
      <c r="D990" s="12"/>
      <c r="E990" s="12"/>
      <c r="F990" s="12"/>
      <c r="G990" s="12"/>
      <c r="H990" s="12"/>
      <c r="I990" s="12"/>
      <c r="J990" s="12"/>
      <c r="K990" s="6"/>
      <c r="L990" s="6"/>
      <c r="M990" s="6"/>
      <c r="N990" s="6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/>
      <c r="B991" s="7"/>
      <c r="C991" s="6"/>
      <c r="D991" s="12"/>
      <c r="E991" s="12"/>
      <c r="F991" s="12"/>
      <c r="G991" s="12"/>
      <c r="H991" s="12"/>
      <c r="I991" s="12"/>
      <c r="J991" s="12"/>
      <c r="K991" s="6"/>
      <c r="L991" s="6"/>
      <c r="M991" s="6"/>
      <c r="N991" s="6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/>
      <c r="B992" s="7"/>
      <c r="C992" s="6"/>
      <c r="D992" s="12"/>
      <c r="E992" s="12"/>
      <c r="F992" s="12"/>
      <c r="G992" s="12"/>
      <c r="H992" s="12"/>
      <c r="I992" s="12"/>
      <c r="J992" s="12"/>
      <c r="K992" s="6"/>
      <c r="L992" s="6"/>
      <c r="M992" s="6"/>
      <c r="N992" s="6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/>
      <c r="B993" s="7"/>
      <c r="C993" s="6"/>
      <c r="D993" s="12"/>
      <c r="E993" s="12"/>
      <c r="F993" s="12"/>
      <c r="G993" s="12"/>
      <c r="H993" s="12"/>
      <c r="I993" s="12"/>
      <c r="J993" s="12"/>
      <c r="K993" s="6"/>
      <c r="L993" s="6"/>
      <c r="M993" s="6"/>
      <c r="N993" s="6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/>
      <c r="B994" s="7"/>
      <c r="C994" s="6"/>
      <c r="D994" s="12"/>
      <c r="E994" s="12"/>
      <c r="F994" s="12"/>
      <c r="G994" s="12"/>
      <c r="H994" s="12"/>
      <c r="I994" s="12"/>
      <c r="J994" s="12"/>
      <c r="K994" s="6"/>
      <c r="L994" s="6"/>
      <c r="M994" s="6"/>
      <c r="N994" s="6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/>
      <c r="B995" s="7"/>
      <c r="C995" s="6"/>
      <c r="D995" s="12"/>
      <c r="E995" s="12"/>
      <c r="F995" s="12"/>
      <c r="G995" s="12"/>
      <c r="H995" s="12"/>
      <c r="I995" s="12"/>
      <c r="J995" s="12"/>
      <c r="K995" s="6"/>
      <c r="L995" s="6"/>
      <c r="M995" s="6"/>
      <c r="N995" s="6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/>
      <c r="B996" s="7"/>
      <c r="C996" s="6"/>
      <c r="D996" s="12"/>
      <c r="E996" s="12"/>
      <c r="F996" s="12"/>
      <c r="G996" s="12"/>
      <c r="H996" s="12"/>
      <c r="I996" s="12"/>
      <c r="J996" s="12"/>
      <c r="K996" s="6"/>
      <c r="L996" s="6"/>
      <c r="M996" s="6"/>
      <c r="N996" s="6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/>
      <c r="B997" s="7"/>
      <c r="C997" s="6"/>
      <c r="D997" s="12"/>
      <c r="E997" s="12"/>
      <c r="F997" s="12"/>
      <c r="G997" s="12"/>
      <c r="H997" s="12"/>
      <c r="I997" s="12"/>
      <c r="J997" s="12"/>
      <c r="K997" s="6"/>
      <c r="L997" s="6"/>
      <c r="M997" s="6"/>
      <c r="N997" s="6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/>
      <c r="B998" s="7"/>
      <c r="C998" s="6"/>
      <c r="D998" s="12"/>
      <c r="E998" s="12"/>
      <c r="F998" s="12"/>
      <c r="G998" s="12"/>
      <c r="H998" s="12"/>
      <c r="I998" s="12"/>
      <c r="J998" s="12"/>
      <c r="K998" s="6"/>
      <c r="L998" s="6"/>
      <c r="M998" s="6"/>
      <c r="N998" s="6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/>
      <c r="B999" s="7"/>
      <c r="C999" s="6"/>
      <c r="D999" s="12"/>
      <c r="E999" s="12"/>
      <c r="F999" s="12"/>
      <c r="G999" s="12"/>
      <c r="H999" s="12"/>
      <c r="I999" s="12"/>
      <c r="J999" s="12"/>
      <c r="K999" s="6"/>
      <c r="L999" s="6"/>
      <c r="M999" s="6"/>
      <c r="N999" s="6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/>
      <c r="B1000" s="7"/>
      <c r="C1000" s="6"/>
      <c r="D1000" s="12"/>
      <c r="E1000" s="12"/>
      <c r="F1000" s="12"/>
      <c r="G1000" s="12"/>
      <c r="H1000" s="12"/>
      <c r="I1000" s="12"/>
      <c r="J1000" s="12"/>
      <c r="K1000" s="6"/>
      <c r="L1000" s="6"/>
      <c r="M1000" s="6"/>
      <c r="N1000" s="6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IFERROR(__xludf.DUMMYFUNCTION("importrange(""1ZTUXhF0dnt45v0vHwLa1Fr56SKO64eHyOYXGurqHipk"",""Sheet1!A:C"")"),"Item Code")</f>
        <v>Item Code</v>
      </c>
      <c r="B1" s="14" t="str">
        <f>IFERROR(__xludf.DUMMYFUNCTION("""COMPUTED_VALUE"""),"Deskripsi")</f>
        <v>Deskripsi</v>
      </c>
      <c r="C1" s="14" t="str">
        <f>IFERROR(__xludf.DUMMYFUNCTION("""COMPUTED_VALUE"""),"Item Code")</f>
        <v>Item Code</v>
      </c>
    </row>
    <row r="2">
      <c r="A2" s="14" t="str">
        <f>IFERROR(__xludf.DUMMYFUNCTION("""COMPUTED_VALUE"""),"J-10205-02")</f>
        <v>J-10205-02</v>
      </c>
      <c r="B2" s="14" t="str">
        <f>IFERROR(__xludf.DUMMYFUNCTION("""COMPUTED_VALUE"""),"Chlorine Test; Merck; c/n 1.14978.0001; 600 tests/pack")</f>
        <v>Chlorine Test; Merck; c/n 1.14978.0001; 600 tests/pack</v>
      </c>
      <c r="C2" s="14" t="str">
        <f>IFERROR(__xludf.DUMMYFUNCTION("""COMPUTED_VALUE"""),"J-10205-02")</f>
        <v>J-10205-02</v>
      </c>
    </row>
    <row r="3">
      <c r="A3" s="14" t="str">
        <f>IFERROR(__xludf.DUMMYFUNCTION("""COMPUTED_VALUE"""),"O-11109-00")</f>
        <v>O-11109-00</v>
      </c>
      <c r="B3" s="14" t="str">
        <f>IFERROR(__xludf.DUMMYFUNCTION("""COMPUTED_VALUE"""),"Bearing 6002-2RSH")</f>
        <v>Bearing 6002-2RSH</v>
      </c>
      <c r="C3" s="14" t="str">
        <f>IFERROR(__xludf.DUMMYFUNCTION("""COMPUTED_VALUE"""),"O-11109-00")</f>
        <v>O-11109-00</v>
      </c>
    </row>
    <row r="4">
      <c r="A4" s="14" t="str">
        <f>IFERROR(__xludf.DUMMYFUNCTION("""COMPUTED_VALUE"""),"O-11145-00")</f>
        <v>O-11145-00</v>
      </c>
      <c r="B4" s="14" t="str">
        <f>IFERROR(__xludf.DUMMYFUNCTION("""COMPUTED_VALUE"""),"Bearing 6201 2Z")</f>
        <v>Bearing 6201 2Z</v>
      </c>
      <c r="C4" s="14" t="str">
        <f>IFERROR(__xludf.DUMMYFUNCTION("""COMPUTED_VALUE"""),"O-11145-00")</f>
        <v>O-11145-00</v>
      </c>
    </row>
    <row r="5">
      <c r="A5" s="14" t="str">
        <f>IFERROR(__xludf.DUMMYFUNCTION("""COMPUTED_VALUE"""),"O-11149-00")</f>
        <v>O-11149-00</v>
      </c>
      <c r="B5" s="14" t="str">
        <f>IFERROR(__xludf.DUMMYFUNCTION("""COMPUTED_VALUE"""),"Bearing 6202 ZZ - P/N : -  pc")</f>
        <v>Bearing 6202 ZZ - P/N : -  pc</v>
      </c>
      <c r="C5" s="14" t="str">
        <f>IFERROR(__xludf.DUMMYFUNCTION("""COMPUTED_VALUE"""),"O-11149-00")</f>
        <v>O-11149-00</v>
      </c>
    </row>
    <row r="6">
      <c r="A6" s="14" t="str">
        <f>IFERROR(__xludf.DUMMYFUNCTION("""COMPUTED_VALUE"""),"O-11154-00")</f>
        <v>O-11154-00</v>
      </c>
      <c r="B6" s="14" t="str">
        <f>IFERROR(__xludf.DUMMYFUNCTION("""COMPUTED_VALUE"""),"Bearing 6204 2Z SKF")</f>
        <v>Bearing 6204 2Z SKF</v>
      </c>
      <c r="C6" s="14" t="str">
        <f>IFERROR(__xludf.DUMMYFUNCTION("""COMPUTED_VALUE"""),"O-11154-00")</f>
        <v>O-11154-00</v>
      </c>
    </row>
    <row r="7">
      <c r="A7" s="14" t="str">
        <f>IFERROR(__xludf.DUMMYFUNCTION("""COMPUTED_VALUE"""),"O-11162-00")</f>
        <v>O-11162-00</v>
      </c>
      <c r="B7" s="14" t="str">
        <f>IFERROR(__xludf.DUMMYFUNCTION("""COMPUTED_VALUE"""),"Bearing 6205 ZZ")</f>
        <v>Bearing 6205 ZZ</v>
      </c>
      <c r="C7" s="14" t="str">
        <f>IFERROR(__xludf.DUMMYFUNCTION("""COMPUTED_VALUE"""),"O-11162-00")</f>
        <v>O-11162-00</v>
      </c>
    </row>
    <row r="8">
      <c r="A8" s="14" t="str">
        <f>IFERROR(__xludf.DUMMYFUNCTION("""COMPUTED_VALUE"""),"O-11166-00")</f>
        <v>O-11166-00</v>
      </c>
      <c r="B8" s="14" t="str">
        <f>IFERROR(__xludf.DUMMYFUNCTION("""COMPUTED_VALUE"""),"Bearing 6206 ZZ")</f>
        <v>Bearing 6206 ZZ</v>
      </c>
      <c r="C8" s="14" t="str">
        <f>IFERROR(__xludf.DUMMYFUNCTION("""COMPUTED_VALUE"""),"O-11166-00")</f>
        <v>O-11166-00</v>
      </c>
    </row>
    <row r="9">
      <c r="A9" s="14" t="str">
        <f>IFERROR(__xludf.DUMMYFUNCTION("""COMPUTED_VALUE"""),"O-11169-00")</f>
        <v>O-11169-00</v>
      </c>
      <c r="B9" s="14" t="str">
        <f>IFERROR(__xludf.DUMMYFUNCTION("""COMPUTED_VALUE"""),"Bearing 6207ZZ")</f>
        <v>Bearing 6207ZZ</v>
      </c>
      <c r="C9" s="14" t="str">
        <f>IFERROR(__xludf.DUMMYFUNCTION("""COMPUTED_VALUE"""),"O-11169-00")</f>
        <v>O-11169-00</v>
      </c>
    </row>
    <row r="10">
      <c r="A10" s="14" t="str">
        <f>IFERROR(__xludf.DUMMYFUNCTION("""COMPUTED_VALUE"""),"O-11173-00")</f>
        <v>O-11173-00</v>
      </c>
      <c r="B10" s="14" t="str">
        <f>IFERROR(__xludf.DUMMYFUNCTION("""COMPUTED_VALUE"""),"Bearing 6208 SKF")</f>
        <v>Bearing 6208 SKF</v>
      </c>
      <c r="C10" s="14" t="str">
        <f>IFERROR(__xludf.DUMMYFUNCTION("""COMPUTED_VALUE"""),"O-11173-00")</f>
        <v>O-11173-00</v>
      </c>
    </row>
    <row r="11">
      <c r="A11" s="14" t="str">
        <f>IFERROR(__xludf.DUMMYFUNCTION("""COMPUTED_VALUE"""),"O-11181-00")</f>
        <v>O-11181-00</v>
      </c>
      <c r="B11" s="14" t="str">
        <f>IFERROR(__xludf.DUMMYFUNCTION("""COMPUTED_VALUE"""),"Bearing 626-2Z")</f>
        <v>Bearing 626-2Z</v>
      </c>
      <c r="C11" s="14" t="str">
        <f>IFERROR(__xludf.DUMMYFUNCTION("""COMPUTED_VALUE"""),"O-11181-00")</f>
        <v>O-11181-00</v>
      </c>
    </row>
    <row r="12">
      <c r="A12" s="14" t="str">
        <f>IFERROR(__xludf.DUMMYFUNCTION("""COMPUTED_VALUE"""),"O-11287-00")</f>
        <v>O-11287-00</v>
      </c>
      <c r="B12" s="14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4" t="str">
        <f>IFERROR(__xludf.DUMMYFUNCTION("""COMPUTED_VALUE"""),"O-11287-00")</f>
        <v>O-11287-00</v>
      </c>
    </row>
    <row r="13">
      <c r="A13" s="14" t="str">
        <f>IFERROR(__xludf.DUMMYFUNCTION("""COMPUTED_VALUE"""),"O-11356-00")</f>
        <v>O-11356-00</v>
      </c>
      <c r="B13" s="14" t="str">
        <f>IFERROR(__xludf.DUMMYFUNCTION("""COMPUTED_VALUE"""),"Lubricant ? Food grade oil Viscolab 150 - Pc=Liter")</f>
        <v>Lubricant ? Food grade oil Viscolab 150 - Pc=Liter</v>
      </c>
      <c r="C13" s="14" t="str">
        <f>IFERROR(__xludf.DUMMYFUNCTION("""COMPUTED_VALUE"""),"O-11356-00")</f>
        <v>O-11356-00</v>
      </c>
    </row>
    <row r="14">
      <c r="A14" s="14" t="str">
        <f>IFERROR(__xludf.DUMMYFUNCTION("""COMPUTED_VALUE"""),"O-11367-00")</f>
        <v>O-11367-00</v>
      </c>
      <c r="B14" s="14" t="str">
        <f>IFERROR(__xludf.DUMMYFUNCTION("""COMPUTED_VALUE"""),"Lubricant ? Oli ISO VG 320 MULTIPRIMA INDOSEJAHTERA, PT P/N : -  pc")</f>
        <v>Lubricant ? Oli ISO VG 320 MULTIPRIMA INDOSEJAHTERA, PT P/N : -  pc</v>
      </c>
      <c r="C14" s="14" t="str">
        <f>IFERROR(__xludf.DUMMYFUNCTION("""COMPUTED_VALUE"""),"O-11367-00")</f>
        <v>O-11367-00</v>
      </c>
    </row>
    <row r="15">
      <c r="A15" s="14" t="str">
        <f>IFERROR(__xludf.DUMMYFUNCTION("""COMPUTED_VALUE"""),"O-11761-00")</f>
        <v>O-11761-00</v>
      </c>
      <c r="B15" s="14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4" t="str">
        <f>IFERROR(__xludf.DUMMYFUNCTION("""COMPUTED_VALUE"""),"O-11761-00")</f>
        <v>O-11761-00</v>
      </c>
    </row>
    <row r="16">
      <c r="A16" s="14" t="str">
        <f>IFERROR(__xludf.DUMMYFUNCTION("""COMPUTED_VALUE"""),"O-11762-00")</f>
        <v>O-11762-00</v>
      </c>
      <c r="B16" s="14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4" t="str">
        <f>IFERROR(__xludf.DUMMYFUNCTION("""COMPUTED_VALUE"""),"O-11762-00")</f>
        <v>O-11762-00</v>
      </c>
    </row>
    <row r="17">
      <c r="A17" s="14" t="str">
        <f>IFERROR(__xludf.DUMMYFUNCTION("""COMPUTED_VALUE"""),"O-11763-00")</f>
        <v>O-11763-00</v>
      </c>
      <c r="B17" s="14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4" t="str">
        <f>IFERROR(__xludf.DUMMYFUNCTION("""COMPUTED_VALUE"""),"O-11763-00")</f>
        <v>O-11763-00</v>
      </c>
    </row>
    <row r="18">
      <c r="A18" s="14" t="str">
        <f>IFERROR(__xludf.DUMMYFUNCTION("""COMPUTED_VALUE"""),"O-12732-00")</f>
        <v>O-12732-00</v>
      </c>
      <c r="B18" s="14" t="str">
        <f>IFERROR(__xludf.DUMMYFUNCTION("""COMPUTED_VALUE"""),"Tubing Polyurethane TU1208 Clear; SMC; Part No. X3; roll")</f>
        <v>Tubing Polyurethane TU1208 Clear; SMC; Part No. X3; roll</v>
      </c>
      <c r="C18" s="14" t="str">
        <f>IFERROR(__xludf.DUMMYFUNCTION("""COMPUTED_VALUE"""),"O-12732-00")</f>
        <v>O-12732-00</v>
      </c>
    </row>
    <row r="19">
      <c r="A19" s="14" t="str">
        <f>IFERROR(__xludf.DUMMYFUNCTION("""COMPUTED_VALUE"""),"O-12733-00")</f>
        <v>O-12733-00</v>
      </c>
      <c r="B19" s="14" t="str">
        <f>IFERROR(__xludf.DUMMYFUNCTION("""COMPUTED_VALUE"""),"General - TU Polyurethane Tubing, TU1065C-100; SMC Pneumatics; -; 1 roll")</f>
        <v>General - TU Polyurethane Tubing, TU1065C-100; SMC Pneumatics; -; 1 roll</v>
      </c>
      <c r="C19" s="14" t="str">
        <f>IFERROR(__xludf.DUMMYFUNCTION("""COMPUTED_VALUE"""),"O-12733-00")</f>
        <v>O-12733-00</v>
      </c>
    </row>
    <row r="20">
      <c r="A20" s="14" t="str">
        <f>IFERROR(__xludf.DUMMYFUNCTION("""COMPUTED_VALUE"""),"O-12734-00")</f>
        <v>O-12734-00</v>
      </c>
      <c r="B20" s="14" t="str">
        <f>IFERROR(__xludf.DUMMYFUNCTION("""COMPUTED_VALUE"""),"General - TU Polyurethane Tubing, TU0805C-100; SMC Pneumatics; -; 1 roll")</f>
        <v>General - TU Polyurethane Tubing, TU0805C-100; SMC Pneumatics; -; 1 roll</v>
      </c>
      <c r="C20" s="14" t="str">
        <f>IFERROR(__xludf.DUMMYFUNCTION("""COMPUTED_VALUE"""),"O-12734-00")</f>
        <v>O-12734-00</v>
      </c>
    </row>
    <row r="21">
      <c r="A21" s="14" t="str">
        <f>IFERROR(__xludf.DUMMYFUNCTION("""COMPUTED_VALUE"""),"O-12735-00")</f>
        <v>O-12735-00</v>
      </c>
      <c r="B21" s="14" t="str">
        <f>IFERROR(__xludf.DUMMYFUNCTION("""COMPUTED_VALUE"""),"General - TU Polyurethane Tubing, TU0604C-100; SMC Pneumatics; -; 1 roll")</f>
        <v>General - TU Polyurethane Tubing, TU0604C-100; SMC Pneumatics; -; 1 roll</v>
      </c>
      <c r="C21" s="14" t="str">
        <f>IFERROR(__xludf.DUMMYFUNCTION("""COMPUTED_VALUE"""),"O-12735-00")</f>
        <v>O-12735-00</v>
      </c>
    </row>
    <row r="22">
      <c r="A22" s="14" t="str">
        <f>IFERROR(__xludf.DUMMYFUNCTION("""COMPUTED_VALUE"""),"O-12736-00")</f>
        <v>O-12736-00</v>
      </c>
      <c r="B22" s="14" t="str">
        <f>IFERROR(__xludf.DUMMYFUNCTION("""COMPUTED_VALUE"""),"Tubing Polyurethane TU0425 Clear; ; ;")</f>
        <v>Tubing Polyurethane TU0425 Clear; ; ;</v>
      </c>
      <c r="C22" s="14" t="str">
        <f>IFERROR(__xludf.DUMMYFUNCTION("""COMPUTED_VALUE"""),"O-12736-00")</f>
        <v>O-12736-00</v>
      </c>
    </row>
    <row r="23">
      <c r="A23" s="14" t="str">
        <f>IFERROR(__xludf.DUMMYFUNCTION("""COMPUTED_VALUE"""),"O-12868-00")</f>
        <v>O-12868-00</v>
      </c>
      <c r="B23" s="14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4" t="str">
        <f>IFERROR(__xludf.DUMMYFUNCTION("""COMPUTED_VALUE"""),"O-12868-00")</f>
        <v>O-12868-00</v>
      </c>
    </row>
    <row r="24">
      <c r="A24" s="14" t="str">
        <f>IFERROR(__xludf.DUMMYFUNCTION("""COMPUTED_VALUE"""),"O-12918-00")</f>
        <v>O-12918-00</v>
      </c>
      <c r="B24" s="14" t="str">
        <f>IFERROR(__xludf.DUMMYFUNCTION("""COMPUTED_VALUE"""),"MARCHESINI MA 255 - p/n 322010 Nordson - Saturn precision Nozzle 200 mesh")</f>
        <v>MARCHESINI MA 255 - p/n 322010 Nordson - Saturn precision Nozzle 200 mesh</v>
      </c>
      <c r="C24" s="14" t="str">
        <f>IFERROR(__xludf.DUMMYFUNCTION("""COMPUTED_VALUE"""),"O-12918-00")</f>
        <v>O-12918-00</v>
      </c>
    </row>
    <row r="25">
      <c r="A25" s="14" t="str">
        <f>IFERROR(__xludf.DUMMYFUNCTION("""COMPUTED_VALUE"""),"O-13062-00")</f>
        <v>O-13062-00</v>
      </c>
      <c r="B25" s="14" t="str">
        <f>IFERROR(__xludf.DUMMYFUNCTION("""COMPUTED_VALUE"""),"AUTOCLAVE Lab Mikro - PALL Emflon Filter 0,2um p/n C3PFRP1")</f>
        <v>AUTOCLAVE Lab Mikro - PALL Emflon Filter 0,2um p/n C3PFRP1</v>
      </c>
      <c r="C25" s="14" t="str">
        <f>IFERROR(__xludf.DUMMYFUNCTION("""COMPUTED_VALUE"""),"O-13062-00")</f>
        <v>O-13062-00</v>
      </c>
    </row>
    <row r="26">
      <c r="A26" s="14" t="str">
        <f>IFERROR(__xludf.DUMMYFUNCTION("""COMPUTED_VALUE"""),"O-13216-00")</f>
        <v>O-13216-00</v>
      </c>
      <c r="B26" s="14" t="str">
        <f>IFERROR(__xludf.DUMMYFUNCTION("""COMPUTED_VALUE"""),"Lubricant - Bechem Staroil G 320 Brown H1 @20 Liter/Pail")</f>
        <v>Lubricant - Bechem Staroil G 320 Brown H1 @20 Liter/Pail</v>
      </c>
      <c r="C26" s="14" t="str">
        <f>IFERROR(__xludf.DUMMYFUNCTION("""COMPUTED_VALUE"""),"O-13216-00")</f>
        <v>O-13216-00</v>
      </c>
    </row>
    <row r="27">
      <c r="A27" s="14" t="str">
        <f>IFERROR(__xludf.DUMMYFUNCTION("""COMPUTED_VALUE"""),"O-13501-00")</f>
        <v>O-13501-00</v>
      </c>
      <c r="B27" s="14" t="str">
        <f>IFERROR(__xludf.DUMMYFUNCTION("""COMPUTED_VALUE"""),"General - Push-in T-connector, QST-12; Festo; 153132; 1 pcs")</f>
        <v>General - Push-in T-connector, QST-12; Festo; 153132; 1 pcs</v>
      </c>
      <c r="C27" s="14" t="str">
        <f>IFERROR(__xludf.DUMMYFUNCTION("""COMPUTED_VALUE"""),"O-13501-00")</f>
        <v>O-13501-00</v>
      </c>
    </row>
    <row r="28">
      <c r="A28" s="14" t="str">
        <f>IFERROR(__xludf.DUMMYFUNCTION("""COMPUTED_VALUE"""),"O-13505-00")</f>
        <v>O-13505-00</v>
      </c>
      <c r="B28" s="14" t="str">
        <f>IFERROR(__xludf.DUMMYFUNCTION("""COMPUTED_VALUE"""),"General - Push-in T-connector, QST-10; Festo; 153131; 1 pcs")</f>
        <v>General - Push-in T-connector, QST-10; Festo; 153131; 1 pcs</v>
      </c>
      <c r="C28" s="14" t="str">
        <f>IFERROR(__xludf.DUMMYFUNCTION("""COMPUTED_VALUE"""),"O-13505-00")</f>
        <v>O-13505-00</v>
      </c>
    </row>
    <row r="29">
      <c r="A29" s="14" t="str">
        <f>IFERROR(__xludf.DUMMYFUNCTION("""COMPUTED_VALUE"""),"O-13508-00")</f>
        <v>O-13508-00</v>
      </c>
      <c r="B29" s="14" t="str">
        <f>IFERROR(__xludf.DUMMYFUNCTION("""COMPUTED_VALUE"""),"Pneumatic Fitting - QS 8-6 FESTO P/N : -  pc")</f>
        <v>Pneumatic Fitting - QS 8-6 FESTO P/N : -  pc</v>
      </c>
      <c r="C29" s="14" t="str">
        <f>IFERROR(__xludf.DUMMYFUNCTION("""COMPUTED_VALUE"""),"O-13508-00")</f>
        <v>O-13508-00</v>
      </c>
    </row>
    <row r="30">
      <c r="A30" s="14" t="str">
        <f>IFERROR(__xludf.DUMMYFUNCTION("""COMPUTED_VALUE"""),"O-13510-00")</f>
        <v>O-13510-00</v>
      </c>
      <c r="B30" s="14" t="str">
        <f>IFERROR(__xludf.DUMMYFUNCTION("""COMPUTED_VALUE"""),"Pneumatic Fitting - QS 12-10 FESTO P/N : -  pc")</f>
        <v>Pneumatic Fitting - QS 12-10 FESTO P/N : -  pc</v>
      </c>
      <c r="C30" s="14" t="str">
        <f>IFERROR(__xludf.DUMMYFUNCTION("""COMPUTED_VALUE"""),"O-13510-00")</f>
        <v>O-13510-00</v>
      </c>
    </row>
    <row r="31">
      <c r="A31" s="14" t="str">
        <f>IFERROR(__xludf.DUMMYFUNCTION("""COMPUTED_VALUE"""),"O-13521-00")</f>
        <v>O-13521-00</v>
      </c>
      <c r="B31" s="14" t="str">
        <f>IFERROR(__xludf.DUMMYFUNCTION("""COMPUTED_VALUE"""),"gasket 1 1/2"" / EPDM - P/N : -  pc")</f>
        <v>gasket 1 1/2" / EPDM - P/N : -  pc</v>
      </c>
      <c r="C31" s="14" t="str">
        <f>IFERROR(__xludf.DUMMYFUNCTION("""COMPUTED_VALUE"""),"O-13521-00")</f>
        <v>O-13521-00</v>
      </c>
    </row>
    <row r="32">
      <c r="A32" s="14" t="str">
        <f>IFERROR(__xludf.DUMMYFUNCTION("""COMPUTED_VALUE"""),"O-13522-00")</f>
        <v>O-13522-00</v>
      </c>
      <c r="B32" s="14" t="str">
        <f>IFERROR(__xludf.DUMMYFUNCTION("""COMPUTED_VALUE"""),"gasket 2"" / EPDM; ; ;")</f>
        <v>gasket 2" / EPDM; ; ;</v>
      </c>
      <c r="C32" s="14" t="str">
        <f>IFERROR(__xludf.DUMMYFUNCTION("""COMPUTED_VALUE"""),"O-13522-00")</f>
        <v>O-13522-00</v>
      </c>
    </row>
    <row r="33">
      <c r="A33" s="14" t="str">
        <f>IFERROR(__xludf.DUMMYFUNCTION("""COMPUTED_VALUE"""),"O-13617-00")</f>
        <v>O-13617-00</v>
      </c>
      <c r="B33" s="14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4" t="str">
        <f>IFERROR(__xludf.DUMMYFUNCTION("""COMPUTED_VALUE"""),"O-13617-00")</f>
        <v>O-13617-00</v>
      </c>
    </row>
    <row r="34">
      <c r="A34" s="14" t="str">
        <f>IFERROR(__xludf.DUMMYFUNCTION("""COMPUTED_VALUE"""),"O-13799-00")</f>
        <v>O-13799-00</v>
      </c>
      <c r="B34" s="14" t="str">
        <f>IFERROR(__xludf.DUMMYFUNCTION("""COMPUTED_VALUE"""),"Carbon Vanes VT4.40 INTIDAYA DINAMIKA SEJATI, PT P/N : -  pc")</f>
        <v>Carbon Vanes VT4.40 INTIDAYA DINAMIKA SEJATI, PT P/N : -  pc</v>
      </c>
      <c r="C34" s="14" t="str">
        <f>IFERROR(__xludf.DUMMYFUNCTION("""COMPUTED_VALUE"""),"O-13799-00")</f>
        <v>O-13799-00</v>
      </c>
    </row>
    <row r="35">
      <c r="A35" s="14" t="str">
        <f>IFERROR(__xludf.DUMMYFUNCTION("""COMPUTED_VALUE"""),"O-14022-00")</f>
        <v>O-14022-00</v>
      </c>
      <c r="B35" s="14" t="str">
        <f>IFERROR(__xludf.DUMMYFUNCTION("""COMPUTED_VALUE"""),"Valve Base SV-3-M5 Festo FESTO P/N : -  pc")</f>
        <v>Valve Base SV-3-M5 Festo FESTO P/N : -  pc</v>
      </c>
      <c r="C35" s="14" t="str">
        <f>IFERROR(__xludf.DUMMYFUNCTION("""COMPUTED_VALUE"""),"O-14022-00")</f>
        <v>O-14022-00</v>
      </c>
    </row>
    <row r="36">
      <c r="A36" s="14" t="str">
        <f>IFERROR(__xludf.DUMMYFUNCTION("""COMPUTED_VALUE"""),"O-14099-00")</f>
        <v>O-14099-00</v>
      </c>
      <c r="B36" s="14" t="str">
        <f>IFERROR(__xludf.DUMMYFUNCTION("""COMPUTED_VALUE"""),"Selang TS-25 (25x33) TOYOX P/N : -  pc")</f>
        <v>Selang TS-25 (25x33) TOYOX P/N : -  pc</v>
      </c>
      <c r="C36" s="14" t="str">
        <f>IFERROR(__xludf.DUMMYFUNCTION("""COMPUTED_VALUE"""),"O-14099-00")</f>
        <v>O-14099-00</v>
      </c>
    </row>
    <row r="37">
      <c r="A37" s="14" t="str">
        <f>IFERROR(__xludf.DUMMYFUNCTION("""COMPUTED_VALUE"""),"O-14360-00")</f>
        <v>O-14360-00</v>
      </c>
      <c r="B37" s="14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4" t="str">
        <f>IFERROR(__xludf.DUMMYFUNCTION("""COMPUTED_VALUE"""),"O-14360-00")</f>
        <v>O-14360-00</v>
      </c>
    </row>
    <row r="38">
      <c r="A38" s="14" t="str">
        <f>IFERROR(__xludf.DUMMYFUNCTION("""COMPUTED_VALUE"""),"O-14363-00")</f>
        <v>O-14363-00</v>
      </c>
      <c r="B38" s="14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4" t="str">
        <f>IFERROR(__xludf.DUMMYFUNCTION("""COMPUTED_VALUE"""),"O-14363-00")</f>
        <v>O-14363-00</v>
      </c>
    </row>
    <row r="39">
      <c r="A39" s="14" t="str">
        <f>IFERROR(__xludf.DUMMYFUNCTION("""COMPUTED_VALUE"""),"O-14364-00")</f>
        <v>O-14364-00</v>
      </c>
      <c r="B39" s="14" t="str">
        <f>IFERROR(__xludf.DUMMYFUNCTION("""COMPUTED_VALUE"""),"Membrane Diaphragm Valve EPDM PTFE DN 50 p/n: 600 50M5E-221 Gemu; ; ;")</f>
        <v>Membrane Diaphragm Valve EPDM PTFE DN 50 p/n: 600 50M5E-221 Gemu; ; ;</v>
      </c>
      <c r="C39" s="14" t="str">
        <f>IFERROR(__xludf.DUMMYFUNCTION("""COMPUTED_VALUE"""),"O-14364-00")</f>
        <v>O-14364-00</v>
      </c>
    </row>
    <row r="40">
      <c r="A40" s="14" t="str">
        <f>IFERROR(__xludf.DUMMYFUNCTION("""COMPUTED_VALUE"""),"O-14449-00")</f>
        <v>O-14449-00</v>
      </c>
      <c r="B40" s="14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4" t="str">
        <f>IFERROR(__xludf.DUMMYFUNCTION("""COMPUTED_VALUE"""),"O-14449-00")</f>
        <v>O-14449-00</v>
      </c>
    </row>
    <row r="41">
      <c r="A41" s="14" t="str">
        <f>IFERROR(__xludf.DUMMYFUNCTION("""COMPUTED_VALUE"""),"O-14510-00")</f>
        <v>O-14510-00</v>
      </c>
      <c r="B41" s="14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4" t="str">
        <f>IFERROR(__xludf.DUMMYFUNCTION("""COMPUTED_VALUE"""),"O-14510-00")</f>
        <v>O-14510-00</v>
      </c>
    </row>
    <row r="42">
      <c r="A42" s="14" t="str">
        <f>IFERROR(__xludf.DUMMYFUNCTION("""COMPUTED_VALUE"""),"O-14594-00")</f>
        <v>O-14594-00</v>
      </c>
      <c r="B42" s="14" t="str">
        <f>IFERROR(__xludf.DUMMYFUNCTION("""COMPUTED_VALUE"""),"Kit, membrane ozone 6510 METTLER TOLEDO INDONESIA, PT P/N : -  pc")</f>
        <v>Kit, membrane ozone 6510 METTLER TOLEDO INDONESIA, PT P/N : -  pc</v>
      </c>
      <c r="C42" s="14" t="str">
        <f>IFERROR(__xludf.DUMMYFUNCTION("""COMPUTED_VALUE"""),"O-14594-00")</f>
        <v>O-14594-00</v>
      </c>
    </row>
    <row r="43">
      <c r="A43" s="14" t="str">
        <f>IFERROR(__xludf.DUMMYFUNCTION("""COMPUTED_VALUE"""),"O-14616-00")</f>
        <v>O-14616-00</v>
      </c>
      <c r="B43" s="14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4" t="str">
        <f>IFERROR(__xludf.DUMMYFUNCTION("""COMPUTED_VALUE"""),"O-14616-00")</f>
        <v>O-14616-00</v>
      </c>
    </row>
    <row r="44">
      <c r="A44" s="14" t="str">
        <f>IFERROR(__xludf.DUMMYFUNCTION("""COMPUTED_VALUE"""),"O-14617-00")</f>
        <v>O-14617-00</v>
      </c>
      <c r="B44" s="14" t="str">
        <f>IFERROR(__xludf.DUMMYFUNCTION("""COMPUTED_VALUE"""),"Solenoid valve 2/2 ways NC 4,5mm; ; c/n 28582;")</f>
        <v>Solenoid valve 2/2 ways NC 4,5mm; ; c/n 28582;</v>
      </c>
      <c r="C44" s="14" t="str">
        <f>IFERROR(__xludf.DUMMYFUNCTION("""COMPUTED_VALUE"""),"O-14617-00")</f>
        <v>O-14617-00</v>
      </c>
    </row>
    <row r="45">
      <c r="A45" s="14" t="str">
        <f>IFERROR(__xludf.DUMMYFUNCTION("""COMPUTED_VALUE"""),"O-14618-00")</f>
        <v>O-14618-00</v>
      </c>
      <c r="B45" s="14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4" t="str">
        <f>IFERROR(__xludf.DUMMYFUNCTION("""COMPUTED_VALUE"""),"O-14618-00")</f>
        <v>O-14618-00</v>
      </c>
    </row>
    <row r="46">
      <c r="A46" s="14" t="str">
        <f>IFERROR(__xludf.DUMMYFUNCTION("""COMPUTED_VALUE"""),"O-14619-00")</f>
        <v>O-14619-00</v>
      </c>
      <c r="B46" s="14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4" t="str">
        <f>IFERROR(__xludf.DUMMYFUNCTION("""COMPUTED_VALUE"""),"O-14619-00")</f>
        <v>O-14619-00</v>
      </c>
    </row>
    <row r="47">
      <c r="A47" s="14" t="str">
        <f>IFERROR(__xludf.DUMMYFUNCTION("""COMPUTED_VALUE"""),"O-14620-00")</f>
        <v>O-14620-00</v>
      </c>
      <c r="B47" s="14" t="str">
        <f>IFERROR(__xludf.DUMMYFUNCTION("""COMPUTED_VALUE"""),"Microswitch for pneumatic cylinder; ; c/n 7821;")</f>
        <v>Microswitch for pneumatic cylinder; ; c/n 7821;</v>
      </c>
      <c r="C47" s="14" t="str">
        <f>IFERROR(__xludf.DUMMYFUNCTION("""COMPUTED_VALUE"""),"O-14620-00")</f>
        <v>O-14620-00</v>
      </c>
    </row>
    <row r="48">
      <c r="A48" s="14" t="str">
        <f>IFERROR(__xludf.DUMMYFUNCTION("""COMPUTED_VALUE"""),"O-14621-00")</f>
        <v>O-14621-00</v>
      </c>
      <c r="B48" s="14" t="str">
        <f>IFERROR(__xludf.DUMMYFUNCTION("""COMPUTED_VALUE"""),"Coil U2 11W 24VDC; Univer; c/n 5233;")</f>
        <v>Coil U2 11W 24VDC; Univer; c/n 5233;</v>
      </c>
      <c r="C48" s="14" t="str">
        <f>IFERROR(__xludf.DUMMYFUNCTION("""COMPUTED_VALUE"""),"O-14621-00")</f>
        <v>O-14621-00</v>
      </c>
    </row>
    <row r="49">
      <c r="A49" s="14" t="str">
        <f>IFERROR(__xludf.DUMMYFUNCTION("""COMPUTED_VALUE"""),"O-14639-00")</f>
        <v>O-14639-00</v>
      </c>
      <c r="B49" s="14" t="str">
        <f>IFERROR(__xludf.DUMMYFUNCTION("""COMPUTED_VALUE"""),"EPDM Gasket for Ferrule dia. 1/2"" - P/N : -  pc")</f>
        <v>EPDM Gasket for Ferrule dia. 1/2" - P/N : -  pc</v>
      </c>
      <c r="C49" s="14" t="str">
        <f>IFERROR(__xludf.DUMMYFUNCTION("""COMPUTED_VALUE"""),"O-14639-00")</f>
        <v>O-14639-00</v>
      </c>
    </row>
    <row r="50">
      <c r="A50" s="14" t="str">
        <f>IFERROR(__xludf.DUMMYFUNCTION("""COMPUTED_VALUE"""),"O-14640-00")</f>
        <v>O-14640-00</v>
      </c>
      <c r="B50" s="14" t="str">
        <f>IFERROR(__xludf.DUMMYFUNCTION("""COMPUTED_VALUE"""),"General - Silicone Gasket for Ferrule dia. 3/4""; -; -; 1 Pc")</f>
        <v>General - Silicone Gasket for Ferrule dia. 3/4"; -; -; 1 Pc</v>
      </c>
      <c r="C50" s="14" t="str">
        <f>IFERROR(__xludf.DUMMYFUNCTION("""COMPUTED_VALUE"""),"O-14640-00")</f>
        <v>O-14640-00</v>
      </c>
    </row>
    <row r="51">
      <c r="A51" s="14" t="str">
        <f>IFERROR(__xludf.DUMMYFUNCTION("""COMPUTED_VALUE"""),"O-14641-00")</f>
        <v>O-14641-00</v>
      </c>
      <c r="B51" s="14" t="str">
        <f>IFERROR(__xludf.DUMMYFUNCTION("""COMPUTED_VALUE"""),"General - Silicone Gasket for Ferrule dia. 1""; -; -; 1 Pc")</f>
        <v>General - Silicone Gasket for Ferrule dia. 1"; -; -; 1 Pc</v>
      </c>
      <c r="C51" s="14" t="str">
        <f>IFERROR(__xludf.DUMMYFUNCTION("""COMPUTED_VALUE"""),"O-14641-00")</f>
        <v>O-14641-00</v>
      </c>
    </row>
    <row r="52">
      <c r="A52" s="14" t="str">
        <f>IFERROR(__xludf.DUMMYFUNCTION("""COMPUTED_VALUE"""),"O-14642-00")</f>
        <v>O-14642-00</v>
      </c>
      <c r="B52" s="14" t="str">
        <f>IFERROR(__xludf.DUMMYFUNCTION("""COMPUTED_VALUE"""),"General - Silicone Gasket for Ferrule dia. 2,5""; -; -; 1 Pc")</f>
        <v>General - Silicone Gasket for Ferrule dia. 2,5"; -; -; 1 Pc</v>
      </c>
      <c r="C52" s="14" t="str">
        <f>IFERROR(__xludf.DUMMYFUNCTION("""COMPUTED_VALUE"""),"O-14642-00")</f>
        <v>O-14642-00</v>
      </c>
    </row>
    <row r="53">
      <c r="A53" s="14" t="str">
        <f>IFERROR(__xludf.DUMMYFUNCTION("""COMPUTED_VALUE"""),"O-14643-00")</f>
        <v>O-14643-00</v>
      </c>
      <c r="B53" s="14" t="str">
        <f>IFERROR(__xludf.DUMMYFUNCTION("""COMPUTED_VALUE"""),"EPDM Gasket for Ferrule dia. 3""; ; ;")</f>
        <v>EPDM Gasket for Ferrule dia. 3"; ; ;</v>
      </c>
      <c r="C53" s="14" t="str">
        <f>IFERROR(__xludf.DUMMYFUNCTION("""COMPUTED_VALUE"""),"O-14643-00")</f>
        <v>O-14643-00</v>
      </c>
    </row>
    <row r="54">
      <c r="A54" s="14" t="str">
        <f>IFERROR(__xludf.DUMMYFUNCTION("""COMPUTED_VALUE"""),"O-14644-00")</f>
        <v>O-14644-00</v>
      </c>
      <c r="B54" s="14" t="str">
        <f>IFERROR(__xludf.DUMMYFUNCTION("""COMPUTED_VALUE"""),"General - Silicone Gasket for Ferrule dia. 4""; -; -; 1 Pc")</f>
        <v>General - Silicone Gasket for Ferrule dia. 4"; -; -; 1 Pc</v>
      </c>
      <c r="C54" s="14" t="str">
        <f>IFERROR(__xludf.DUMMYFUNCTION("""COMPUTED_VALUE"""),"O-14644-00")</f>
        <v>O-14644-00</v>
      </c>
    </row>
    <row r="55">
      <c r="A55" s="14" t="str">
        <f>IFERROR(__xludf.DUMMYFUNCTION("""COMPUTED_VALUE"""),"O-15019-00")</f>
        <v>O-15019-00</v>
      </c>
      <c r="B55" s="14" t="str">
        <f>IFERROR(__xludf.DUMMYFUNCTION("""COMPUTED_VALUE"""),"Bearing 6004 H SS")</f>
        <v>Bearing 6004 H SS</v>
      </c>
      <c r="C55" s="14" t="str">
        <f>IFERROR(__xludf.DUMMYFUNCTION("""COMPUTED_VALUE"""),"O-15019-00")</f>
        <v>O-15019-00</v>
      </c>
    </row>
    <row r="56">
      <c r="A56" s="14" t="str">
        <f>IFERROR(__xludf.DUMMYFUNCTION("""COMPUTED_VALUE"""),"O-15398-00")</f>
        <v>O-15398-00</v>
      </c>
      <c r="B56" s="14" t="str">
        <f>IFERROR(__xludf.DUMMYFUNCTION("""COMPUTED_VALUE"""),"Bearing - 61800-2RS1 - P/N : -  pc")</f>
        <v>Bearing - 61800-2RS1 - P/N : -  pc</v>
      </c>
      <c r="C56" s="14" t="str">
        <f>IFERROR(__xludf.DUMMYFUNCTION("""COMPUTED_VALUE"""),"O-15398-00")</f>
        <v>O-15398-00</v>
      </c>
    </row>
    <row r="57">
      <c r="A57" s="14" t="str">
        <f>IFERROR(__xludf.DUMMYFUNCTION("""COMPUTED_VALUE"""),"O-15400-00")</f>
        <v>O-15400-00</v>
      </c>
      <c r="B57" s="14" t="str">
        <f>IFERROR(__xludf.DUMMYFUNCTION("""COMPUTED_VALUE"""),"Colamark - Side Arms kit EPT012551; Domino; SP-0076; 1 Pc")</f>
        <v>Colamark - Side Arms kit EPT012551; Domino; SP-0076; 1 Pc</v>
      </c>
      <c r="C57" s="14" t="str">
        <f>IFERROR(__xludf.DUMMYFUNCTION("""COMPUTED_VALUE"""),"O-15400-00")</f>
        <v>O-15400-00</v>
      </c>
    </row>
    <row r="58">
      <c r="A58" s="14" t="str">
        <f>IFERROR(__xludf.DUMMYFUNCTION("""COMPUTED_VALUE"""),"O-15462-00")</f>
        <v>O-15462-00</v>
      </c>
      <c r="B58" s="14" t="str">
        <f>IFERROR(__xludf.DUMMYFUNCTION("""COMPUTED_VALUE"""),"Dry Fog Stainless Steel FLOAT 47049-23S")</f>
        <v>Dry Fog Stainless Steel FLOAT 47049-23S</v>
      </c>
      <c r="C58" s="14" t="str">
        <f>IFERROR(__xludf.DUMMYFUNCTION("""COMPUTED_VALUE"""),"O-15462-00")</f>
        <v>O-15462-00</v>
      </c>
    </row>
    <row r="59">
      <c r="A59" s="14" t="str">
        <f>IFERROR(__xludf.DUMMYFUNCTION("""COMPUTED_VALUE"""),"O-15484-00")</f>
        <v>O-15484-00</v>
      </c>
      <c r="B59" s="14" t="str">
        <f>IFERROR(__xludf.DUMMYFUNCTION("""COMPUTED_VALUE"""),"Static Gasket (Door gasket) for main chamber; ; ;")</f>
        <v>Static Gasket (Door gasket) for main chamber; ; ;</v>
      </c>
      <c r="C59" s="14" t="str">
        <f>IFERROR(__xludf.DUMMYFUNCTION("""COMPUTED_VALUE"""),"O-15484-00")</f>
        <v>O-15484-00</v>
      </c>
    </row>
    <row r="60">
      <c r="A60" s="14" t="str">
        <f>IFERROR(__xludf.DUMMYFUNCTION("""COMPUTED_VALUE"""),"O-15485-00")</f>
        <v>O-15485-00</v>
      </c>
      <c r="B60" s="14" t="str">
        <f>IFERROR(__xludf.DUMMYFUNCTION("""COMPUTED_VALUE"""),"HEPA (H 14) Filters (155D mm x 150H mm); ; ;")</f>
        <v>HEPA (H 14) Filters (155D mm x 150H mm); ; ;</v>
      </c>
      <c r="C60" s="14" t="str">
        <f>IFERROR(__xludf.DUMMYFUNCTION("""COMPUTED_VALUE"""),"O-15485-00")</f>
        <v>O-15485-00</v>
      </c>
    </row>
    <row r="61">
      <c r="A61" s="14" t="str">
        <f>IFERROR(__xludf.DUMMYFUNCTION("""COMPUTED_VALUE"""),"O-15486-00")</f>
        <v>O-15486-00</v>
      </c>
      <c r="B61" s="14" t="str">
        <f>IFERROR(__xludf.DUMMYFUNCTION("""COMPUTED_VALUE"""),"Pre-filter (EU-8) size 100D x 135H mm; ; ;")</f>
        <v>Pre-filter (EU-8) size 100D x 135H mm; ; ;</v>
      </c>
      <c r="C61" s="14" t="str">
        <f>IFERROR(__xludf.DUMMYFUNCTION("""COMPUTED_VALUE"""),"O-15486-00")</f>
        <v>O-15486-00</v>
      </c>
    </row>
    <row r="62">
      <c r="A62" s="14" t="str">
        <f>IFERROR(__xludf.DUMMYFUNCTION("""COMPUTED_VALUE"""),"O-15487-00")</f>
        <v>O-15487-00</v>
      </c>
      <c r="B62" s="14" t="str">
        <f>IFERROR(__xludf.DUMMYFUNCTION("""COMPUTED_VALUE"""),"Gas Spring Model : 8-18-2, 03 SL/300N-486; ; ;")</f>
        <v>Gas Spring Model : 8-18-2, 03 SL/300N-486; ; ;</v>
      </c>
      <c r="C62" s="14" t="str">
        <f>IFERROR(__xludf.DUMMYFUNCTION("""COMPUTED_VALUE"""),"O-15487-00")</f>
        <v>O-15487-00</v>
      </c>
    </row>
    <row r="63">
      <c r="A63" s="14" t="str">
        <f>IFERROR(__xludf.DUMMYFUNCTION("""COMPUTED_VALUE"""),"O-15488-00")</f>
        <v>O-15488-00</v>
      </c>
      <c r="B63" s="14" t="str">
        <f>IFERROR(__xludf.DUMMYFUNCTION("""COMPUTED_VALUE"""),"Gauntlets for main chamber, port size 250 x 200 mm; ; ;")</f>
        <v>Gauntlets for main chamber, port size 250 x 200 mm; ; ;</v>
      </c>
      <c r="C63" s="14" t="str">
        <f>IFERROR(__xludf.DUMMYFUNCTION("""COMPUTED_VALUE"""),"O-15488-00")</f>
        <v>O-15488-00</v>
      </c>
    </row>
    <row r="64">
      <c r="A64" s="14" t="str">
        <f>IFERROR(__xludf.DUMMYFUNCTION("""COMPUTED_VALUE"""),"O-15489-00")</f>
        <v>O-15489-00</v>
      </c>
      <c r="B64" s="14" t="str">
        <f>IFERROR(__xludf.DUMMYFUNCTION("""COMPUTED_VALUE"""),"SPA 1120 Brand : Optibelt / Bando Merah; Optibelt; ;")</f>
        <v>SPA 1120 Brand : Optibelt / Bando Merah; Optibelt; ;</v>
      </c>
      <c r="C64" s="14" t="str">
        <f>IFERROR(__xludf.DUMMYFUNCTION("""COMPUTED_VALUE"""),"O-15489-00")</f>
        <v>O-15489-00</v>
      </c>
    </row>
    <row r="65">
      <c r="A65" s="14" t="str">
        <f>IFERROR(__xludf.DUMMYFUNCTION("""COMPUTED_VALUE"""),"O-15490-00")</f>
        <v>O-15490-00</v>
      </c>
      <c r="B65" s="14" t="str">
        <f>IFERROR(__xludf.DUMMYFUNCTION("""COMPUTED_VALUE"""),"B63 Brand : Optibelt / Bando Merah; Optibelt; ;")</f>
        <v>B63 Brand : Optibelt / Bando Merah; Optibelt; ;</v>
      </c>
      <c r="C65" s="14" t="str">
        <f>IFERROR(__xludf.DUMMYFUNCTION("""COMPUTED_VALUE"""),"O-15490-00")</f>
        <v>O-15490-00</v>
      </c>
    </row>
    <row r="66">
      <c r="A66" s="14" t="str">
        <f>IFERROR(__xludf.DUMMYFUNCTION("""COMPUTED_VALUE"""),"O-15491-00")</f>
        <v>O-15491-00</v>
      </c>
      <c r="B66" s="14" t="str">
        <f>IFERROR(__xludf.DUMMYFUNCTION("""COMPUTED_VALUE"""),"SPA 2482 Lw Brand : Optibelt / Bando Merah; Optibelt; ;")</f>
        <v>SPA 2482 Lw Brand : Optibelt / Bando Merah; Optibelt; ;</v>
      </c>
      <c r="C66" s="14" t="str">
        <f>IFERROR(__xludf.DUMMYFUNCTION("""COMPUTED_VALUE"""),"O-15491-00")</f>
        <v>O-15491-00</v>
      </c>
    </row>
    <row r="67">
      <c r="A67" s="14" t="str">
        <f>IFERROR(__xludf.DUMMYFUNCTION("""COMPUTED_VALUE"""),"O-15492-00")</f>
        <v>O-15492-00</v>
      </c>
      <c r="B67" s="14" t="str">
        <f>IFERROR(__xludf.DUMMYFUNCTION("""COMPUTED_VALUE"""),"SPA 1132 Brand : Optibelt / Bando Merah - P/N : - pc")</f>
        <v>SPA 1132 Brand : Optibelt / Bando Merah - P/N : - pc</v>
      </c>
      <c r="C67" s="14" t="str">
        <f>IFERROR(__xludf.DUMMYFUNCTION("""COMPUTED_VALUE"""),"O-15492-00")</f>
        <v>O-15492-00</v>
      </c>
    </row>
    <row r="68">
      <c r="A68" s="14" t="str">
        <f>IFERROR(__xludf.DUMMYFUNCTION("""COMPUTED_VALUE"""),"O-15493-00")</f>
        <v>O-15493-00</v>
      </c>
      <c r="B68" s="14" t="str">
        <f>IFERROR(__xludf.DUMMYFUNCTION("""COMPUTED_VALUE"""),"SPA 1082 Brand : Optibelt / Bando Merah Optibelt")</f>
        <v>SPA 1082 Brand : Optibelt / Bando Merah Optibelt</v>
      </c>
      <c r="C68" s="14" t="str">
        <f>IFERROR(__xludf.DUMMYFUNCTION("""COMPUTED_VALUE"""),"O-15493-00")</f>
        <v>O-15493-00</v>
      </c>
    </row>
    <row r="69">
      <c r="A69" s="14" t="str">
        <f>IFERROR(__xludf.DUMMYFUNCTION("""COMPUTED_VALUE"""),"O-15544-00")</f>
        <v>O-15544-00</v>
      </c>
      <c r="B69" s="14" t="str">
        <f>IFERROR(__xludf.DUMMYFUNCTION("""COMPUTED_VALUE"""),"BECKER VACUUM - Medical Bacterial Filter FM70 Conn: 1/2 inch")</f>
        <v>BECKER VACUUM - Medical Bacterial Filter FM70 Conn: 1/2 inch</v>
      </c>
      <c r="C69" s="14" t="str">
        <f>IFERROR(__xludf.DUMMYFUNCTION("""COMPUTED_VALUE"""),"O-15544-00")</f>
        <v>O-15544-00</v>
      </c>
    </row>
    <row r="70">
      <c r="A70" s="14" t="str">
        <f>IFERROR(__xludf.DUMMYFUNCTION("""COMPUTED_VALUE"""),"O-15550-00")</f>
        <v>O-15550-00</v>
      </c>
      <c r="B70" s="14" t="str">
        <f>IFERROR(__xludf.DUMMYFUNCTION("""COMPUTED_VALUE"""),"ABSOLUT ENCODER MONOLOOP SSI, GRAY CODE, 360 TURN PULSE")</f>
        <v>ABSOLUT ENCODER MONOLOOP SSI, GRAY CODE, 360 TURN PULSE</v>
      </c>
      <c r="C70" s="14" t="str">
        <f>IFERROR(__xludf.DUMMYFUNCTION("""COMPUTED_VALUE"""),"O-15550-00")</f>
        <v>O-15550-00</v>
      </c>
    </row>
    <row r="71">
      <c r="A71" s="14" t="str">
        <f>IFERROR(__xludf.DUMMYFUNCTION("""COMPUTED_VALUE"""),"O-15551-00")</f>
        <v>O-15551-00</v>
      </c>
      <c r="B71" s="14" t="str">
        <f>IFERROR(__xludf.DUMMYFUNCTION("""COMPUTED_VALUE"""),"ABSOLUT ENCODER MONOLOOP SSI; GRAY CODE, 360 TURN PULSE; MAIN ENCODER ;")</f>
        <v>ABSOLUT ENCODER MONOLOOP SSI; GRAY CODE, 360 TURN PULSE; MAIN ENCODER ;</v>
      </c>
      <c r="C71" s="14" t="str">
        <f>IFERROR(__xludf.DUMMYFUNCTION("""COMPUTED_VALUE"""),"O-15551-00")</f>
        <v>O-15551-00</v>
      </c>
    </row>
    <row r="72">
      <c r="A72" s="14" t="str">
        <f>IFERROR(__xludf.DUMMYFUNCTION("""COMPUTED_VALUE"""),"O-15552-00")</f>
        <v>O-15552-00</v>
      </c>
      <c r="B72" s="14" t="str">
        <f>IFERROR(__xludf.DUMMYFUNCTION("""COMPUTED_VALUE"""),"ABSOLUTE ENCODER SSI 8192 GRAY RADIAL CONNECTOR; PART NO :202931")</f>
        <v>ABSOLUTE ENCODER SSI 8192 GRAY RADIAL CONNECTOR; PART NO :202931</v>
      </c>
      <c r="C72" s="14" t="str">
        <f>IFERROR(__xludf.DUMMYFUNCTION("""COMPUTED_VALUE"""),"O-15552-00")</f>
        <v>O-15552-00</v>
      </c>
    </row>
    <row r="73">
      <c r="A73" s="14" t="str">
        <f>IFERROR(__xludf.DUMMYFUNCTION("""COMPUTED_VALUE"""),"O-15553-00")</f>
        <v>O-15553-00</v>
      </c>
      <c r="B73" s="14" t="str">
        <f>IFERROR(__xludf.DUMMYFUNCTION("""COMPUTED_VALUE"""),"ACTUATOR VALVE (FV20)")</f>
        <v>ACTUATOR VALVE (FV20)</v>
      </c>
      <c r="C73" s="14" t="str">
        <f>IFERROR(__xludf.DUMMYFUNCTION("""COMPUTED_VALUE"""),"O-15553-00")</f>
        <v>O-15553-00</v>
      </c>
    </row>
    <row r="74">
      <c r="A74" s="14" t="str">
        <f>IFERROR(__xludf.DUMMYFUNCTION("""COMPUTED_VALUE"""),"O-15554-00")</f>
        <v>O-15554-00</v>
      </c>
      <c r="B74" s="14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4" t="str">
        <f>IFERROR(__xludf.DUMMYFUNCTION("""COMPUTED_VALUE"""),"O-15554-00")</f>
        <v>O-15554-00</v>
      </c>
    </row>
    <row r="75">
      <c r="A75" s="14" t="str">
        <f>IFERROR(__xludf.DUMMYFUNCTION("""COMPUTED_VALUE"""),"O-15555-00")</f>
        <v>O-15555-00</v>
      </c>
      <c r="B75" s="14" t="str">
        <f>IFERROR(__xludf.DUMMYFUNCTION("""COMPUTED_VALUE"""),"AISI BALLS 5/32; PART NO :200042")</f>
        <v>AISI BALLS 5/32; PART NO :200042</v>
      </c>
      <c r="C75" s="14" t="str">
        <f>IFERROR(__xludf.DUMMYFUNCTION("""COMPUTED_VALUE"""),"O-15555-00")</f>
        <v>O-15555-00</v>
      </c>
    </row>
    <row r="76">
      <c r="A76" s="14" t="str">
        <f>IFERROR(__xludf.DUMMYFUNCTION("""COMPUTED_VALUE"""),"O-15556-00")</f>
        <v>O-15556-00</v>
      </c>
      <c r="B76" s="14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4" t="str">
        <f>IFERROR(__xludf.DUMMYFUNCTION("""COMPUTED_VALUE"""),"O-15556-00")</f>
        <v>O-15556-00</v>
      </c>
    </row>
    <row r="77">
      <c r="A77" s="14" t="str">
        <f>IFERROR(__xludf.DUMMYFUNCTION("""COMPUTED_VALUE"""),"O-15557-00")</f>
        <v>O-15557-00</v>
      </c>
      <c r="B77" s="14" t="str">
        <f>IFERROR(__xludf.DUMMYFUNCTION("""COMPUTED_VALUE"""),"BEARING 51104; STERILINE; PART NO :201653")</f>
        <v>BEARING 51104; STERILINE; PART NO :201653</v>
      </c>
      <c r="C77" s="14" t="str">
        <f>IFERROR(__xludf.DUMMYFUNCTION("""COMPUTED_VALUE"""),"O-15557-00")</f>
        <v>O-15557-00</v>
      </c>
    </row>
    <row r="78">
      <c r="A78" s="14" t="str">
        <f>IFERROR(__xludf.DUMMYFUNCTION("""COMPUTED_VALUE"""),"O-15558-00")</f>
        <v>O-15558-00</v>
      </c>
      <c r="B78" s="14" t="str">
        <f>IFERROR(__xludf.DUMMYFUNCTION("""COMPUTED_VALUE"""),"BEARING ANGULAR BALL 7003 ACDGA/P4A; STERILINE ; PART NO :200245")</f>
        <v>BEARING ANGULAR BALL 7003 ACDGA/P4A; STERILINE ; PART NO :200245</v>
      </c>
      <c r="C78" s="14" t="str">
        <f>IFERROR(__xludf.DUMMYFUNCTION("""COMPUTED_VALUE"""),"O-15558-00")</f>
        <v>O-15558-00</v>
      </c>
    </row>
    <row r="79">
      <c r="A79" s="14" t="str">
        <f>IFERROR(__xludf.DUMMYFUNCTION("""COMPUTED_VALUE"""),"O-15559-00")</f>
        <v>O-15559-00</v>
      </c>
      <c r="B79" s="14" t="str">
        <f>IFERROR(__xludf.DUMMYFUNCTION("""COMPUTED_VALUE"""),"BEARING INA KH 1428; STERILINE : PART NO :200023")</f>
        <v>BEARING INA KH 1428; STERILINE : PART NO :200023</v>
      </c>
      <c r="C79" s="14" t="str">
        <f>IFERROR(__xludf.DUMMYFUNCTION("""COMPUTED_VALUE"""),"O-15559-00")</f>
        <v>O-15559-00</v>
      </c>
    </row>
    <row r="80">
      <c r="A80" s="14" t="str">
        <f>IFERROR(__xludf.DUMMYFUNCTION("""COMPUTED_VALUE"""),"O-15560-00")</f>
        <v>O-15560-00</v>
      </c>
      <c r="B80" s="14" t="str">
        <f>IFERROR(__xludf.DUMMYFUNCTION("""COMPUTED_VALUE"""),"BEARING INA KH 2030; STERILINE ; PART NO :200053")</f>
        <v>BEARING INA KH 2030; STERILINE ; PART NO :200053</v>
      </c>
      <c r="C80" s="14" t="str">
        <f>IFERROR(__xludf.DUMMYFUNCTION("""COMPUTED_VALUE"""),"O-15560-00")</f>
        <v>O-15560-00</v>
      </c>
    </row>
    <row r="81">
      <c r="A81" s="14" t="str">
        <f>IFERROR(__xludf.DUMMYFUNCTION("""COMPUTED_VALUE"""),"O-15561-00")</f>
        <v>O-15561-00</v>
      </c>
      <c r="B81" s="14" t="str">
        <f>IFERROR(__xludf.DUMMYFUNCTION("""COMPUTED_VALUE"""),"BEARING INA KH 3050; STERILINE ; PART NO :200055")</f>
        <v>BEARING INA KH 3050; STERILINE ; PART NO :200055</v>
      </c>
      <c r="C81" s="14" t="str">
        <f>IFERROR(__xludf.DUMMYFUNCTION("""COMPUTED_VALUE"""),"O-15561-00")</f>
        <v>O-15561-00</v>
      </c>
    </row>
    <row r="82">
      <c r="A82" s="14" t="str">
        <f>IFERROR(__xludf.DUMMYFUNCTION("""COMPUTED_VALUE"""),"O-15562-00")</f>
        <v>O-15562-00</v>
      </c>
      <c r="B82" s="14" t="str">
        <f>IFERROR(__xludf.DUMMYFUNCTION("""COMPUTED_VALUE"""),"BEARING INA NKIA5902; STERILINE PART NO :201027")</f>
        <v>BEARING INA NKIA5902; STERILINE PART NO :201027</v>
      </c>
      <c r="C82" s="14" t="str">
        <f>IFERROR(__xludf.DUMMYFUNCTION("""COMPUTED_VALUE"""),"O-15562-00")</f>
        <v>O-15562-00</v>
      </c>
    </row>
    <row r="83">
      <c r="A83" s="14" t="str">
        <f>IFERROR(__xludf.DUMMYFUNCTION("""COMPUTED_VALUE"""),"O-15563-00")</f>
        <v>O-15563-00</v>
      </c>
      <c r="B83" s="14" t="str">
        <f>IFERROR(__xludf.DUMMYFUNCTION("""COMPUTED_VALUE"""),"BEARING R-4HH BRAND EZO")</f>
        <v>BEARING R-4HH BRAND EZO</v>
      </c>
      <c r="C83" s="14" t="str">
        <f>IFERROR(__xludf.DUMMYFUNCTION("""COMPUTED_VALUE"""),"O-15563-00")</f>
        <v>O-15563-00</v>
      </c>
    </row>
    <row r="84">
      <c r="A84" s="14" t="str">
        <f>IFERROR(__xludf.DUMMYFUNCTION("""COMPUTED_VALUE"""),"O-15564-00")</f>
        <v>O-15564-00</v>
      </c>
      <c r="B84" s="14" t="str">
        <f>IFERROR(__xludf.DUMMYFUNCTION("""COMPUTED_VALUE"""),"BUSHING IGUS HFM 08 - 10 - 10; STERILINE PART NO :201202")</f>
        <v>BUSHING IGUS HFM 08 - 10 - 10; STERILINE PART NO :201202</v>
      </c>
      <c r="C84" s="14" t="str">
        <f>IFERROR(__xludf.DUMMYFUNCTION("""COMPUTED_VALUE"""),"O-15564-00")</f>
        <v>O-15564-00</v>
      </c>
    </row>
    <row r="85">
      <c r="A85" s="14" t="str">
        <f>IFERROR(__xludf.DUMMYFUNCTION("""COMPUTED_VALUE"""),"O-15565-00")</f>
        <v>O-15565-00</v>
      </c>
      <c r="B85" s="14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4" t="str">
        <f>IFERROR(__xludf.DUMMYFUNCTION("""COMPUTED_VALUE"""),"O-15565-00")</f>
        <v>O-15565-00</v>
      </c>
    </row>
    <row r="86">
      <c r="A86" s="14" t="str">
        <f>IFERROR(__xludf.DUMMYFUNCTION("""COMPUTED_VALUE"""),"O-15566-00")</f>
        <v>O-15566-00</v>
      </c>
      <c r="B86" s="14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4" t="str">
        <f>IFERROR(__xludf.DUMMYFUNCTION("""COMPUTED_VALUE"""),"O-15566-00")</f>
        <v>O-15566-00</v>
      </c>
    </row>
    <row r="87">
      <c r="A87" s="14" t="str">
        <f>IFERROR(__xludf.DUMMYFUNCTION("""COMPUTED_VALUE"""),"O-15567-00")</f>
        <v>O-15567-00</v>
      </c>
      <c r="B87" s="14" t="str">
        <f>IFERROR(__xludf.DUMMYFUNCTION("""COMPUTED_VALUE"""),"CAPS MINIMUM LOAD SENSOR ; HIGH PRECISION OPTICAL FIBER FU-7F")</f>
        <v>CAPS MINIMUM LOAD SENSOR ; HIGH PRECISION OPTICAL FIBER FU-7F</v>
      </c>
      <c r="C87" s="14" t="str">
        <f>IFERROR(__xludf.DUMMYFUNCTION("""COMPUTED_VALUE"""),"O-15567-00")</f>
        <v>O-15567-00</v>
      </c>
    </row>
    <row r="88">
      <c r="A88" s="14" t="str">
        <f>IFERROR(__xludf.DUMMYFUNCTION("""COMPUTED_VALUE"""),"O-15568-00")</f>
        <v>O-15568-00</v>
      </c>
      <c r="B88" s="14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4" t="str">
        <f>IFERROR(__xludf.DUMMYFUNCTION("""COMPUTED_VALUE"""),"O-15568-00")</f>
        <v>O-15568-00</v>
      </c>
    </row>
    <row r="89">
      <c r="A89" s="14" t="str">
        <f>IFERROR(__xludf.DUMMYFUNCTION("""COMPUTED_VALUE"""),"O-15569-00")</f>
        <v>O-15569-00</v>
      </c>
      <c r="B89" s="14" t="str">
        <f>IFERROR(__xludf.DUMMYFUNCTION("""COMPUTED_VALUE"""),"CHAMBER AIR INLET PNEUMATIC VALVE ; VP3 ;")</f>
        <v>CHAMBER AIR INLET PNEUMATIC VALVE ; VP3 ;</v>
      </c>
      <c r="C89" s="14" t="str">
        <f>IFERROR(__xludf.DUMMYFUNCTION("""COMPUTED_VALUE"""),"O-15569-00")</f>
        <v>O-15569-00</v>
      </c>
    </row>
    <row r="90">
      <c r="A90" s="14" t="str">
        <f>IFERROR(__xludf.DUMMYFUNCTION("""COMPUTED_VALUE"""),"O-15570-00")</f>
        <v>O-15570-00</v>
      </c>
      <c r="B90" s="14" t="str">
        <f>IFERROR(__xludf.DUMMYFUNCTION("""COMPUTED_VALUE"""),"CHAMBER PRESSURE TRANSDUCER ; TP ;")</f>
        <v>CHAMBER PRESSURE TRANSDUCER ; TP ;</v>
      </c>
      <c r="C90" s="14" t="str">
        <f>IFERROR(__xludf.DUMMYFUNCTION("""COMPUTED_VALUE"""),"O-15570-00")</f>
        <v>O-15570-00</v>
      </c>
    </row>
    <row r="91">
      <c r="A91" s="14" t="str">
        <f>IFERROR(__xludf.DUMMYFUNCTION("""COMPUTED_VALUE"""),"O-15571-00")</f>
        <v>O-15571-00</v>
      </c>
      <c r="B91" s="14" t="str">
        <f>IFERROR(__xludf.DUMMYFUNCTION("""COMPUTED_VALUE"""),"COMPRESSED AIR LINE FILTER; F6 ;")</f>
        <v>COMPRESSED AIR LINE FILTER; F6 ;</v>
      </c>
      <c r="C91" s="14" t="str">
        <f>IFERROR(__xludf.DUMMYFUNCTION("""COMPUTED_VALUE"""),"O-15571-00")</f>
        <v>O-15571-00</v>
      </c>
    </row>
    <row r="92">
      <c r="A92" s="14" t="str">
        <f>IFERROR(__xludf.DUMMYFUNCTION("""COMPUTED_VALUE"""),"O-15572-00")</f>
        <v>O-15572-00</v>
      </c>
      <c r="B92" s="14" t="str">
        <f>IFERROR(__xludf.DUMMYFUNCTION("""COMPUTED_VALUE"""),"CORDA TONDA IN NBR D=3MM; STERILINE ; PART NO :6829")</f>
        <v>CORDA TONDA IN NBR D=3MM; STERILINE ; PART NO :6829</v>
      </c>
      <c r="C92" s="14" t="str">
        <f>IFERROR(__xludf.DUMMYFUNCTION("""COMPUTED_VALUE"""),"O-15572-00")</f>
        <v>O-15572-00</v>
      </c>
    </row>
    <row r="93">
      <c r="A93" s="14" t="str">
        <f>IFERROR(__xludf.DUMMYFUNCTION("""COMPUTED_VALUE"""),"O-15573-00")</f>
        <v>O-15573-00</v>
      </c>
      <c r="B93" s="14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4" t="str">
        <f>IFERROR(__xludf.DUMMYFUNCTION("""COMPUTED_VALUE"""),"O-15573-00")</f>
        <v>O-15573-00</v>
      </c>
    </row>
    <row r="94">
      <c r="A94" s="14" t="str">
        <f>IFERROR(__xludf.DUMMYFUNCTION("""COMPUTED_VALUE"""),"O-15574-00")</f>
        <v>O-15574-00</v>
      </c>
      <c r="B94" s="14" t="str">
        <f>IFERROR(__xludf.DUMMYFUNCTION("""COMPUTED_VALUE"""),"COUPLING HUB: STERILINE ; GET 14 ALU-C DIAM-14; PART NO :200239")</f>
        <v>COUPLING HUB: STERILINE ; GET 14 ALU-C DIAM-14; PART NO :200239</v>
      </c>
      <c r="C94" s="14" t="str">
        <f>IFERROR(__xludf.DUMMYFUNCTION("""COMPUTED_VALUE"""),"O-15574-00")</f>
        <v>O-15574-00</v>
      </c>
    </row>
    <row r="95">
      <c r="A95" s="14" t="str">
        <f>IFERROR(__xludf.DUMMYFUNCTION("""COMPUTED_VALUE"""),"O-15575-00")</f>
        <v>O-15575-00</v>
      </c>
      <c r="B95" s="14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4" t="str">
        <f>IFERROR(__xludf.DUMMYFUNCTION("""COMPUTED_VALUE"""),"O-15575-00")</f>
        <v>O-15575-00</v>
      </c>
    </row>
    <row r="96">
      <c r="A96" s="14" t="str">
        <f>IFERROR(__xludf.DUMMYFUNCTION("""COMPUTED_VALUE"""),"O-15576-00")</f>
        <v>O-15576-00</v>
      </c>
      <c r="B96" s="14" t="str">
        <f>IFERROR(__xludf.DUMMYFUNCTION("""COMPUTED_VALUE"""),"DOOR GASKET RED SILICON; PART NO :PP600076")</f>
        <v>DOOR GASKET RED SILICON; PART NO :PP600076</v>
      </c>
      <c r="C96" s="14" t="str">
        <f>IFERROR(__xludf.DUMMYFUNCTION("""COMPUTED_VALUE"""),"O-15576-00")</f>
        <v>O-15576-00</v>
      </c>
    </row>
    <row r="97">
      <c r="A97" s="14" t="str">
        <f>IFERROR(__xludf.DUMMYFUNCTION("""COMPUTED_VALUE"""),"O-15577-00")</f>
        <v>O-15577-00</v>
      </c>
      <c r="B97" s="14" t="str">
        <f>IFERROR(__xludf.DUMMYFUNCTION("""COMPUTED_VALUE"""),"DOOR LOCKED/UNLOCKED LIMIT SWITCH(ADJUSTABLE ROLLER LEVER, 1NO+1NC,IP67)")</f>
        <v>DOOR LOCKED/UNLOCKED LIMIT SWITCH(ADJUSTABLE ROLLER LEVER, 1NO+1NC,IP67)</v>
      </c>
      <c r="C97" s="14" t="str">
        <f>IFERROR(__xludf.DUMMYFUNCTION("""COMPUTED_VALUE"""),"O-15577-00")</f>
        <v>O-15577-00</v>
      </c>
    </row>
    <row r="98">
      <c r="A98" s="14" t="str">
        <f>IFERROR(__xludf.DUMMYFUNCTION("""COMPUTED_VALUE"""),"O-15578-00")</f>
        <v>O-15578-00</v>
      </c>
      <c r="B98" s="14" t="str">
        <f>IFERROR(__xludf.DUMMYFUNCTION("""COMPUTED_VALUE"""),"DOOR SEALING RING(?D?TYPE SILICON RUBBER 17X20 (7METERS))")</f>
        <v>DOOR SEALING RING(?D?TYPE SILICON RUBBER 17X20 (7METERS))</v>
      </c>
      <c r="C98" s="14" t="str">
        <f>IFERROR(__xludf.DUMMYFUNCTION("""COMPUTED_VALUE"""),"O-15578-00")</f>
        <v>O-15578-00</v>
      </c>
    </row>
    <row r="99">
      <c r="A99" s="14" t="str">
        <f>IFERROR(__xludf.DUMMYFUNCTION("""COMPUTED_VALUE"""),"O-15579-00")</f>
        <v>O-15579-00</v>
      </c>
      <c r="B99" s="14" t="str">
        <f>IFERROR(__xludf.DUMMYFUNCTION("""COMPUTED_VALUE"""),"DOOR GASKET SIDE 1; DG ;")</f>
        <v>DOOR GASKET SIDE 1; DG ;</v>
      </c>
      <c r="C99" s="14" t="str">
        <f>IFERROR(__xludf.DUMMYFUNCTION("""COMPUTED_VALUE"""),"O-15579-00")</f>
        <v>O-15579-00</v>
      </c>
    </row>
    <row r="100">
      <c r="A100" s="14" t="str">
        <f>IFERROR(__xludf.DUMMYFUNCTION("""COMPUTED_VALUE"""),"O-15580-00")</f>
        <v>O-15580-00</v>
      </c>
      <c r="B100" s="14" t="str">
        <f>IFERROR(__xludf.DUMMYFUNCTION("""COMPUTED_VALUE"""),"DOOR GASKET SIDE 2; DG1 ;")</f>
        <v>DOOR GASKET SIDE 2; DG1 ;</v>
      </c>
      <c r="C100" s="14" t="str">
        <f>IFERROR(__xludf.DUMMYFUNCTION("""COMPUTED_VALUE"""),"O-15580-00")</f>
        <v>O-15580-00</v>
      </c>
    </row>
    <row r="101">
      <c r="A101" s="14" t="str">
        <f>IFERROR(__xludf.DUMMYFUNCTION("""COMPUTED_VALUE"""),"O-15581-00")</f>
        <v>O-15581-00</v>
      </c>
      <c r="B101" s="14" t="str">
        <f>IFERROR(__xludf.DUMMYFUNCTION("""COMPUTED_VALUE"""),"DOOR SAFETY SWITCHES ; SCHMERSAL ; MAGNET BPS-260")</f>
        <v>DOOR SAFETY SWITCHES ; SCHMERSAL ; MAGNET BPS-260</v>
      </c>
      <c r="C101" s="14" t="str">
        <f>IFERROR(__xludf.DUMMYFUNCTION("""COMPUTED_VALUE"""),"O-15581-00")</f>
        <v>O-15581-00</v>
      </c>
    </row>
    <row r="102">
      <c r="A102" s="14" t="str">
        <f>IFERROR(__xludf.DUMMYFUNCTION("""COMPUTED_VALUE"""),"O-15582-00")</f>
        <v>O-15582-00</v>
      </c>
      <c r="B102" s="14" t="str">
        <f>IFERROR(__xludf.DUMMYFUNCTION("""COMPUTED_VALUE"""),"DOOR SAFETY SWITCHES ; SCHMERSAL ; PROXIMITY SENSOR , BNS-260 FOR DOOR")</f>
        <v>DOOR SAFETY SWITCHES ; SCHMERSAL ; PROXIMITY SENSOR , BNS-260 FOR DOOR</v>
      </c>
      <c r="C102" s="14" t="str">
        <f>IFERROR(__xludf.DUMMYFUNCTION("""COMPUTED_VALUE"""),"O-15582-00")</f>
        <v>O-15582-00</v>
      </c>
    </row>
    <row r="103">
      <c r="A103" s="14" t="str">
        <f>IFERROR(__xludf.DUMMYFUNCTION("""COMPUTED_VALUE"""),"O-15583-00")</f>
        <v>O-15583-00</v>
      </c>
      <c r="B103" s="14" t="str">
        <f>IFERROR(__xludf.DUMMYFUNCTION("""COMPUTED_VALUE"""),"DOP+GASKET ( FOR RUPTURE DISK SILICON EXPANSION TANK, D=3)")</f>
        <v>DOP+GASKET ( FOR RUPTURE DISK SILICON EXPANSION TANK, D=3)</v>
      </c>
      <c r="C103" s="14" t="str">
        <f>IFERROR(__xludf.DUMMYFUNCTION("""COMPUTED_VALUE"""),"O-15583-00")</f>
        <v>O-15583-00</v>
      </c>
    </row>
    <row r="104">
      <c r="A104" s="14" t="str">
        <f>IFERROR(__xludf.DUMMYFUNCTION("""COMPUTED_VALUE"""),"O-15584-00")</f>
        <v>O-15584-00</v>
      </c>
      <c r="B104" s="14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4" t="str">
        <f>IFERROR(__xludf.DUMMYFUNCTION("""COMPUTED_VALUE"""),"O-15584-00")</f>
        <v>O-15584-00</v>
      </c>
    </row>
    <row r="105">
      <c r="A105" s="14" t="str">
        <f>IFERROR(__xludf.DUMMYFUNCTION("""COMPUTED_VALUE"""),"O-15585-00")</f>
        <v>O-15585-00</v>
      </c>
      <c r="B105" s="14" t="str">
        <f>IFERROR(__xludf.DUMMYFUNCTION("""COMPUTED_VALUE"""),"EPDM GASKET FOR GEMU PNEUMATIC MEMBRANE VALVE 1/2 (DN15) HEAT NO. 133057;")</f>
        <v>EPDM GASKET FOR GEMU PNEUMATIC MEMBRANE VALVE 1/2 (DN15) HEAT NO. 133057;</v>
      </c>
      <c r="C105" s="14" t="str">
        <f>IFERROR(__xludf.DUMMYFUNCTION("""COMPUTED_VALUE"""),"O-15585-00")</f>
        <v>O-15585-00</v>
      </c>
    </row>
    <row r="106">
      <c r="A106" s="14" t="str">
        <f>IFERROR(__xludf.DUMMYFUNCTION("""COMPUTED_VALUE"""),"O-15586-00")</f>
        <v>O-15586-00</v>
      </c>
      <c r="B106" s="14" t="str">
        <f>IFERROR(__xludf.DUMMYFUNCTION("""COMPUTED_VALUE"""),"EXIT LIFTING SIDE GUIDES CYLINDER ; CYLINDER D=16 STROKE=15")</f>
        <v>EXIT LIFTING SIDE GUIDES CYLINDER ; CYLINDER D=16 STROKE=15</v>
      </c>
      <c r="C106" s="14" t="str">
        <f>IFERROR(__xludf.DUMMYFUNCTION("""COMPUTED_VALUE"""),"O-15586-00")</f>
        <v>O-15586-00</v>
      </c>
    </row>
    <row r="107">
      <c r="A107" s="14" t="str">
        <f>IFERROR(__xludf.DUMMYFUNCTION("""COMPUTED_VALUE"""),"O-15587-00")</f>
        <v>O-15587-00</v>
      </c>
      <c r="B107" s="14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4" t="str">
        <f>IFERROR(__xludf.DUMMYFUNCTION("""COMPUTED_VALUE"""),"O-15587-00")</f>
        <v>O-15587-00</v>
      </c>
    </row>
    <row r="108">
      <c r="A108" s="14" t="str">
        <f>IFERROR(__xludf.DUMMYFUNCTION("""COMPUTED_VALUE"""),"O-15588-00")</f>
        <v>O-15588-00</v>
      </c>
      <c r="B108" s="14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4" t="str">
        <f>IFERROR(__xludf.DUMMYFUNCTION("""COMPUTED_VALUE"""),"O-15588-00")</f>
        <v>O-15588-00</v>
      </c>
    </row>
    <row r="109">
      <c r="A109" s="14" t="str">
        <f>IFERROR(__xludf.DUMMYFUNCTION("""COMPUTED_VALUE"""),"O-15589-00")</f>
        <v>O-15589-00</v>
      </c>
      <c r="B109" s="14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4" t="str">
        <f>IFERROR(__xludf.DUMMYFUNCTION("""COMPUTED_VALUE"""),"O-15589-00")</f>
        <v>O-15589-00</v>
      </c>
    </row>
    <row r="110">
      <c r="A110" s="14" t="str">
        <f>IFERROR(__xludf.DUMMYFUNCTION("""COMPUTED_VALUE"""),"O-15590-00")</f>
        <v>O-15590-00</v>
      </c>
      <c r="B110" s="14" t="str">
        <f>IFERROR(__xludf.DUMMYFUNCTION("""COMPUTED_VALUE"""),"FILTER CA 0,2 MICRON; PART NO :CC120072")</f>
        <v>FILTER CA 0,2 MICRON; PART NO :CC120072</v>
      </c>
      <c r="C110" s="14" t="str">
        <f>IFERROR(__xludf.DUMMYFUNCTION("""COMPUTED_VALUE"""),"O-15590-00")</f>
        <v>O-15590-00</v>
      </c>
    </row>
    <row r="111">
      <c r="A111" s="14" t="str">
        <f>IFERROR(__xludf.DUMMYFUNCTION("""COMPUTED_VALUE"""),"O-15591-00")</f>
        <v>O-15591-00</v>
      </c>
      <c r="B111" s="14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4" t="str">
        <f>IFERROR(__xludf.DUMMYFUNCTION("""COMPUTED_VALUE"""),"O-15591-00")</f>
        <v>O-15591-00</v>
      </c>
    </row>
    <row r="112">
      <c r="A112" s="14" t="str">
        <f>IFERROR(__xludf.DUMMYFUNCTION("""COMPUTED_VALUE"""),"O-15592-00")</f>
        <v>O-15592-00</v>
      </c>
      <c r="B112" s="14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4" t="str">
        <f>IFERROR(__xludf.DUMMYFUNCTION("""COMPUTED_VALUE"""),"O-15592-00")</f>
        <v>O-15592-00</v>
      </c>
    </row>
    <row r="113">
      <c r="A113" s="14" t="str">
        <f>IFERROR(__xludf.DUMMYFUNCTION("""COMPUTED_VALUE"""),"O-15592-00")</f>
        <v>O-15592-00</v>
      </c>
      <c r="B113" s="14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4" t="str">
        <f>IFERROR(__xludf.DUMMYFUNCTION("""COMPUTED_VALUE"""),"O-15592-00")</f>
        <v>O-15592-00</v>
      </c>
    </row>
    <row r="114">
      <c r="A114" s="14" t="str">
        <f>IFERROR(__xludf.DUMMYFUNCTION("""COMPUTED_VALUE"""),"O-15593-00")</f>
        <v>O-15593-00</v>
      </c>
      <c r="B114" s="14" t="str">
        <f>IFERROR(__xludf.DUMMYFUNCTION("""COMPUTED_VALUE"""),"FITTING FEMALE THREAD, SMC, KQ2F10-03A")</f>
        <v>FITTING FEMALE THREAD, SMC, KQ2F10-03A</v>
      </c>
      <c r="C114" s="14" t="str">
        <f>IFERROR(__xludf.DUMMYFUNCTION("""COMPUTED_VALUE"""),"O-15593-00")</f>
        <v>O-15593-00</v>
      </c>
    </row>
    <row r="115">
      <c r="A115" s="14" t="str">
        <f>IFERROR(__xludf.DUMMYFUNCTION("""COMPUTED_VALUE"""),"O-15594-00")</f>
        <v>O-15594-00</v>
      </c>
      <c r="B115" s="14" t="str">
        <f>IFERROR(__xludf.DUMMYFUNCTION("""COMPUTED_VALUE"""),"FLOWMETER + REGULATOR PRE GAS/POST GAS; ASA")</f>
        <v>FLOWMETER + REGULATOR PRE GAS/POST GAS; ASA</v>
      </c>
      <c r="C115" s="14" t="str">
        <f>IFERROR(__xludf.DUMMYFUNCTION("""COMPUTED_VALUE"""),"O-15594-00")</f>
        <v>O-15594-00</v>
      </c>
    </row>
    <row r="116">
      <c r="A116" s="14" t="str">
        <f>IFERROR(__xludf.DUMMYFUNCTION("""COMPUTED_VALUE"""),"O-15595-00")</f>
        <v>O-15595-00</v>
      </c>
      <c r="B116" s="14" t="str">
        <f>IFERROR(__xludf.DUMMYFUNCTION("""COMPUTED_VALUE"""),"MOTOR, BONFIGLIOLI TYPE BN63B4 0,18-0,21KW, 50-60HZ 1320RPM;")</f>
        <v>MOTOR, BONFIGLIOLI TYPE BN63B4 0,18-0,21KW, 50-60HZ 1320RPM;</v>
      </c>
      <c r="C116" s="14" t="str">
        <f>IFERROR(__xludf.DUMMYFUNCTION("""COMPUTED_VALUE"""),"O-15595-00")</f>
        <v>O-15595-00</v>
      </c>
    </row>
    <row r="117">
      <c r="A117" s="14" t="str">
        <f>IFERROR(__xludf.DUMMYFUNCTION("""COMPUTED_VALUE"""),"O-15596-00")</f>
        <v>O-15596-00</v>
      </c>
      <c r="B117" s="14" t="str">
        <f>IFERROR(__xludf.DUMMYFUNCTION("""COMPUTED_VALUE"""),"GASKET O RING + SPRING 255")</f>
        <v>GASKET O RING + SPRING 255</v>
      </c>
      <c r="C117" s="14" t="str">
        <f>IFERROR(__xludf.DUMMYFUNCTION("""COMPUTED_VALUE"""),"O-15596-00")</f>
        <v>O-15596-00</v>
      </c>
    </row>
    <row r="118">
      <c r="A118" s="14" t="str">
        <f>IFERROR(__xludf.DUMMYFUNCTION("""COMPUTED_VALUE"""),"O-15597-00")</f>
        <v>O-15597-00</v>
      </c>
      <c r="B118" s="14" t="str">
        <f>IFERROR(__xludf.DUMMYFUNCTION("""COMPUTED_VALUE"""),"GASKET O RING 2,5 ")</f>
        <v>GASKET O RING 2,5 </v>
      </c>
      <c r="C118" s="14" t="str">
        <f>IFERROR(__xludf.DUMMYFUNCTION("""COMPUTED_VALUE"""),"O-15597-00")</f>
        <v>O-15597-00</v>
      </c>
    </row>
    <row r="119">
      <c r="A119" s="14" t="str">
        <f>IFERROR(__xludf.DUMMYFUNCTION("""COMPUTED_VALUE"""),"O-15598-00")</f>
        <v>O-15598-00</v>
      </c>
      <c r="B119" s="14" t="str">
        <f>IFERROR(__xludf.DUMMYFUNCTION("""COMPUTED_VALUE"""),"GASKET O RING 216")</f>
        <v>GASKET O RING 216</v>
      </c>
      <c r="C119" s="14" t="str">
        <f>IFERROR(__xludf.DUMMYFUNCTION("""COMPUTED_VALUE"""),"O-15598-00")</f>
        <v>O-15598-00</v>
      </c>
    </row>
    <row r="120">
      <c r="A120" s="14" t="str">
        <f>IFERROR(__xludf.DUMMYFUNCTION("""COMPUTED_VALUE"""),"O-15599-00")</f>
        <v>O-15599-00</v>
      </c>
      <c r="B120" s="14" t="str">
        <f>IFERROR(__xludf.DUMMYFUNCTION("""COMPUTED_VALUE"""),"GASKET O RING 286")</f>
        <v>GASKET O RING 286</v>
      </c>
      <c r="C120" s="14" t="str">
        <f>IFERROR(__xludf.DUMMYFUNCTION("""COMPUTED_VALUE"""),"O-15599-00")</f>
        <v>O-15599-00</v>
      </c>
    </row>
    <row r="121">
      <c r="A121" s="14" t="str">
        <f>IFERROR(__xludf.DUMMYFUNCTION("""COMPUTED_VALUE"""),"O-15600-00")</f>
        <v>O-15600-00</v>
      </c>
      <c r="B121" s="14" t="str">
        <f>IFERROR(__xludf.DUMMYFUNCTION("""COMPUTED_VALUE"""),"GASKET O RING 301")</f>
        <v>GASKET O RING 301</v>
      </c>
      <c r="C121" s="14" t="str">
        <f>IFERROR(__xludf.DUMMYFUNCTION("""COMPUTED_VALUE"""),"O-15600-00")</f>
        <v>O-15600-00</v>
      </c>
    </row>
    <row r="122">
      <c r="A122" s="14" t="str">
        <f>IFERROR(__xludf.DUMMYFUNCTION("""COMPUTED_VALUE"""),"O-15601-00")</f>
        <v>O-15601-00</v>
      </c>
      <c r="B122" s="14" t="str">
        <f>IFERROR(__xludf.DUMMYFUNCTION("""COMPUTED_VALUE"""),"GASKET O RING 304")</f>
        <v>GASKET O RING 304</v>
      </c>
      <c r="C122" s="14" t="str">
        <f>IFERROR(__xludf.DUMMYFUNCTION("""COMPUTED_VALUE"""),"O-15601-00")</f>
        <v>O-15601-00</v>
      </c>
    </row>
    <row r="123">
      <c r="A123" s="14" t="str">
        <f>IFERROR(__xludf.DUMMYFUNCTION("""COMPUTED_VALUE"""),"O-15602-00")</f>
        <v>O-15602-00</v>
      </c>
      <c r="B123" s="14" t="str">
        <f>IFERROR(__xludf.DUMMYFUNCTION("""COMPUTED_VALUE"""),"GASKET O RING 305")</f>
        <v>GASKET O RING 305</v>
      </c>
      <c r="C123" s="14" t="str">
        <f>IFERROR(__xludf.DUMMYFUNCTION("""COMPUTED_VALUE"""),"O-15602-00")</f>
        <v>O-15602-00</v>
      </c>
    </row>
    <row r="124">
      <c r="A124" s="14" t="str">
        <f>IFERROR(__xludf.DUMMYFUNCTION("""COMPUTED_VALUE"""),"O-15603-00")</f>
        <v>O-15603-00</v>
      </c>
      <c r="B124" s="14" t="str">
        <f>IFERROR(__xludf.DUMMYFUNCTION("""COMPUTED_VALUE"""),"GASKET O RING 310")</f>
        <v>GASKET O RING 310</v>
      </c>
      <c r="C124" s="14" t="str">
        <f>IFERROR(__xludf.DUMMYFUNCTION("""COMPUTED_VALUE"""),"O-15603-00")</f>
        <v>O-15603-00</v>
      </c>
    </row>
    <row r="125">
      <c r="A125" s="14" t="str">
        <f>IFERROR(__xludf.DUMMYFUNCTION("""COMPUTED_VALUE"""),"O-15604-00")</f>
        <v>O-15604-00</v>
      </c>
      <c r="B125" s="14" t="str">
        <f>IFERROR(__xludf.DUMMYFUNCTION("""COMPUTED_VALUE"""),"GASKET O RING 314")</f>
        <v>GASKET O RING 314</v>
      </c>
      <c r="C125" s="14" t="str">
        <f>IFERROR(__xludf.DUMMYFUNCTION("""COMPUTED_VALUE"""),"O-15604-00")</f>
        <v>O-15604-00</v>
      </c>
    </row>
    <row r="126">
      <c r="A126" s="14" t="str">
        <f>IFERROR(__xludf.DUMMYFUNCTION("""COMPUTED_VALUE"""),"O-15605-00")</f>
        <v>O-15605-00</v>
      </c>
      <c r="B126" s="14" t="str">
        <f>IFERROR(__xludf.DUMMYFUNCTION("""COMPUTED_VALUE"""),"GASKET O RING 315")</f>
        <v>GASKET O RING 315</v>
      </c>
      <c r="C126" s="14" t="str">
        <f>IFERROR(__xludf.DUMMYFUNCTION("""COMPUTED_VALUE"""),"O-15605-00")</f>
        <v>O-15605-00</v>
      </c>
    </row>
    <row r="127">
      <c r="A127" s="14" t="str">
        <f>IFERROR(__xludf.DUMMYFUNCTION("""COMPUTED_VALUE"""),"O-15606-00")</f>
        <v>O-15606-00</v>
      </c>
      <c r="B127" s="14" t="str">
        <f>IFERROR(__xludf.DUMMYFUNCTION("""COMPUTED_VALUE"""),"GASKET O RING 424")</f>
        <v>GASKET O RING 424</v>
      </c>
      <c r="C127" s="14" t="str">
        <f>IFERROR(__xludf.DUMMYFUNCTION("""COMPUTED_VALUE"""),"O-15606-00")</f>
        <v>O-15606-00</v>
      </c>
    </row>
    <row r="128">
      <c r="A128" s="14" t="str">
        <f>IFERROR(__xludf.DUMMYFUNCTION("""COMPUTED_VALUE"""),"O-15607-00")</f>
        <v>O-15607-00</v>
      </c>
      <c r="B128" s="14" t="str">
        <f>IFERROR(__xludf.DUMMYFUNCTION("""COMPUTED_VALUE"""),"GASKET O RING 80")</f>
        <v>GASKET O RING 80</v>
      </c>
      <c r="C128" s="14" t="str">
        <f>IFERROR(__xludf.DUMMYFUNCTION("""COMPUTED_VALUE"""),"O-15607-00")</f>
        <v>O-15607-00</v>
      </c>
    </row>
    <row r="129">
      <c r="A129" s="14" t="str">
        <f>IFERROR(__xludf.DUMMYFUNCTION("""COMPUTED_VALUE"""),"O-15608-00")</f>
        <v>O-15608-00</v>
      </c>
      <c r="B129" s="14" t="str">
        <f>IFERROR(__xludf.DUMMYFUNCTION("""COMPUTED_VALUE"""),"GASKET PRESSURE DRAIN SIDE 1 ; PR12 ;")</f>
        <v>GASKET PRESSURE DRAIN SIDE 1 ; PR12 ;</v>
      </c>
      <c r="C129" s="14" t="str">
        <f>IFERROR(__xludf.DUMMYFUNCTION("""COMPUTED_VALUE"""),"O-15608-00")</f>
        <v>O-15608-00</v>
      </c>
    </row>
    <row r="130">
      <c r="A130" s="14" t="str">
        <f>IFERROR(__xludf.DUMMYFUNCTION("""COMPUTED_VALUE"""),"O-15609-00")</f>
        <v>O-15609-00</v>
      </c>
      <c r="B130" s="14" t="str">
        <f>IFERROR(__xludf.DUMMYFUNCTION("""COMPUTED_VALUE"""),"GASKET PRESSURE DRAIN SIDE 2 ; PR13 ;")</f>
        <v>GASKET PRESSURE DRAIN SIDE 2 ; PR13 ;</v>
      </c>
      <c r="C130" s="14" t="str">
        <f>IFERROR(__xludf.DUMMYFUNCTION("""COMPUTED_VALUE"""),"O-15609-00")</f>
        <v>O-15609-00</v>
      </c>
    </row>
    <row r="131">
      <c r="A131" s="14" t="str">
        <f>IFERROR(__xludf.DUMMYFUNCTION("""COMPUTED_VALUE"""),"O-15610-00")</f>
        <v>O-15610-00</v>
      </c>
      <c r="B131" s="14" t="str">
        <f>IFERROR(__xludf.DUMMYFUNCTION("""COMPUTED_VALUE"""),"GEAR MOTOR N100/SO - UFR1 - UL; HALSTRUP SAIA ; PART NO :19475")</f>
        <v>GEAR MOTOR N100/SO - UFR1 - UL; HALSTRUP SAIA ; PART NO :19475</v>
      </c>
      <c r="C131" s="14" t="str">
        <f>IFERROR(__xludf.DUMMYFUNCTION("""COMPUTED_VALUE"""),"O-15610-00")</f>
        <v>O-15610-00</v>
      </c>
    </row>
    <row r="132">
      <c r="A132" s="14" t="str">
        <f>IFERROR(__xludf.DUMMYFUNCTION("""COMPUTED_VALUE"""),"O-15611-00")</f>
        <v>O-15611-00</v>
      </c>
      <c r="B132" s="14" t="str">
        <f>IFERROR(__xludf.DUMMYFUNCTION("""COMPUTED_VALUE"""),"GEAR MOTOR N100/SO + UFR1 - UL;HALSTRUP SAIA ; PART NO :19474")</f>
        <v>GEAR MOTOR N100/SO + UFR1 - UL;HALSTRUP SAIA ; PART NO :19474</v>
      </c>
      <c r="C132" s="14" t="str">
        <f>IFERROR(__xludf.DUMMYFUNCTION("""COMPUTED_VALUE"""),"O-15611-00")</f>
        <v>O-15611-00</v>
      </c>
    </row>
    <row r="133">
      <c r="A133" s="14" t="str">
        <f>IFERROR(__xludf.DUMMYFUNCTION("""COMPUTED_VALUE"""),"O-15612-00")</f>
        <v>O-15612-00</v>
      </c>
      <c r="B133" s="14" t="str">
        <f>IFERROR(__xludf.DUMMYFUNCTION("""COMPUTED_VALUE"""),"GEARED BELT 16AT05 1050(TOOTHED BELT DIN 7721 AT5 : 16AT5 / 1050 - PU)")</f>
        <v>GEARED BELT 16AT05 1050(TOOTHED BELT DIN 7721 AT5 : 16AT5 / 1050 - PU)</v>
      </c>
      <c r="C133" s="14" t="str">
        <f>IFERROR(__xludf.DUMMYFUNCTION("""COMPUTED_VALUE"""),"O-15612-00")</f>
        <v>O-15612-00</v>
      </c>
    </row>
    <row r="134">
      <c r="A134" s="14" t="str">
        <f>IFERROR(__xludf.DUMMYFUNCTION("""COMPUTED_VALUE"""),"O-15613-00")</f>
        <v>O-15613-00</v>
      </c>
      <c r="B134" s="14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4" t="str">
        <f>IFERROR(__xludf.DUMMYFUNCTION("""COMPUTED_VALUE"""),"O-15613-00")</f>
        <v>O-15613-00</v>
      </c>
    </row>
    <row r="135">
      <c r="A135" s="14" t="str">
        <f>IFERROR(__xludf.DUMMYFUNCTION("""COMPUTED_VALUE"""),"O-15614-00")</f>
        <v>O-15614-00</v>
      </c>
      <c r="B135" s="14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4" t="str">
        <f>IFERROR(__xludf.DUMMYFUNCTION("""COMPUTED_VALUE"""),"O-15614-00")</f>
        <v>O-15614-00</v>
      </c>
    </row>
    <row r="136">
      <c r="A136" s="14" t="str">
        <f>IFERROR(__xludf.DUMMYFUNCTION("""COMPUTED_VALUE"""),"O-15615-00")</f>
        <v>O-15615-00</v>
      </c>
      <c r="B136" s="14" t="str">
        <f>IFERROR(__xludf.DUMMYFUNCTION("""COMPUTED_VALUE"""),"HIGH PRECISION OPTICAL FIBER 10MM WIDTH FU-12; PART NO :201020")</f>
        <v>HIGH PRECISION OPTICAL FIBER 10MM WIDTH FU-12; PART NO :201020</v>
      </c>
      <c r="C136" s="14" t="str">
        <f>IFERROR(__xludf.DUMMYFUNCTION("""COMPUTED_VALUE"""),"O-15615-00")</f>
        <v>O-15615-00</v>
      </c>
    </row>
    <row r="137">
      <c r="A137" s="14" t="str">
        <f>IFERROR(__xludf.DUMMYFUNCTION("""COMPUTED_VALUE"""),"O-15616-00")</f>
        <v>O-15616-00</v>
      </c>
      <c r="B137" s="14" t="str">
        <f>IFERROR(__xludf.DUMMYFUNCTION("""COMPUTED_VALUE"""),"HIGH PRECISION OPTICAL FIBER FU-7F; PART NO :201061")</f>
        <v>HIGH PRECISION OPTICAL FIBER FU-7F; PART NO :201061</v>
      </c>
      <c r="C137" s="14" t="str">
        <f>IFERROR(__xludf.DUMMYFUNCTION("""COMPUTED_VALUE"""),"O-15616-00")</f>
        <v>O-15616-00</v>
      </c>
    </row>
    <row r="138">
      <c r="A138" s="14" t="str">
        <f>IFERROR(__xludf.DUMMYFUNCTION("""COMPUTED_VALUE"""),"O-15617-00")</f>
        <v>O-15617-00</v>
      </c>
      <c r="B138" s="14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4" t="str">
        <f>IFERROR(__xludf.DUMMYFUNCTION("""COMPUTED_VALUE"""),"O-15617-00")</f>
        <v>O-15617-00</v>
      </c>
    </row>
    <row r="139">
      <c r="A139" s="14" t="str">
        <f>IFERROR(__xludf.DUMMYFUNCTION("""COMPUTED_VALUE"""),"O-15619-00")</f>
        <v>O-15619-00</v>
      </c>
      <c r="B139" s="14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4" t="str">
        <f>IFERROR(__xludf.DUMMYFUNCTION("""COMPUTED_VALUE"""),"O-15619-00")</f>
        <v>O-15619-00</v>
      </c>
    </row>
    <row r="140">
      <c r="A140" s="14" t="str">
        <f>IFERROR(__xludf.DUMMYFUNCTION("""COMPUTED_VALUE"""),"O-15620-00")</f>
        <v>O-15620-00</v>
      </c>
      <c r="B140" s="14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4" t="str">
        <f>IFERROR(__xludf.DUMMYFUNCTION("""COMPUTED_VALUE"""),"O-15620-00")</f>
        <v>O-15620-00</v>
      </c>
    </row>
    <row r="141">
      <c r="A141" s="14" t="str">
        <f>IFERROR(__xludf.DUMMYFUNCTION("""COMPUTED_VALUE"""),"O-15621-00")</f>
        <v>O-15621-00</v>
      </c>
      <c r="B141" s="14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4" t="str">
        <f>IFERROR(__xludf.DUMMYFUNCTION("""COMPUTED_VALUE"""),"O-15621-00")</f>
        <v>O-15621-00</v>
      </c>
    </row>
    <row r="142">
      <c r="A142" s="14" t="str">
        <f>IFERROR(__xludf.DUMMYFUNCTION("""COMPUTED_VALUE"""),"O-15622-00")</f>
        <v>O-15622-00</v>
      </c>
      <c r="B142" s="14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4" t="str">
        <f>IFERROR(__xludf.DUMMYFUNCTION("""COMPUTED_VALUE"""),"O-15622-00")</f>
        <v>O-15622-00</v>
      </c>
    </row>
    <row r="143">
      <c r="A143" s="14" t="str">
        <f>IFERROR(__xludf.DUMMYFUNCTION("""COMPUTED_VALUE"""),"O-15623-00")</f>
        <v>O-15623-00</v>
      </c>
      <c r="B143" s="14" t="str">
        <f>IFERROR(__xludf.DUMMYFUNCTION("""COMPUTED_VALUE"""),"OPTIC FIBER; OMRON PAIR OF LENS FOR OPTIC FIBERS")</f>
        <v>OPTIC FIBER; OMRON PAIR OF LENS FOR OPTIC FIBERS</v>
      </c>
      <c r="C143" s="14" t="str">
        <f>IFERROR(__xludf.DUMMYFUNCTION("""COMPUTED_VALUE"""),"O-15623-00")</f>
        <v>O-15623-00</v>
      </c>
    </row>
    <row r="144">
      <c r="A144" s="14" t="str">
        <f>IFERROR(__xludf.DUMMYFUNCTION("""COMPUTED_VALUE"""),"O-15624-00")</f>
        <v>O-15624-00</v>
      </c>
      <c r="B144" s="14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4" t="str">
        <f>IFERROR(__xludf.DUMMYFUNCTION("""COMPUTED_VALUE"""),"O-15624-00")</f>
        <v>O-15624-00</v>
      </c>
    </row>
    <row r="145">
      <c r="A145" s="14" t="str">
        <f>IFERROR(__xludf.DUMMYFUNCTION("""COMPUTED_VALUE"""),"O-15625-00")</f>
        <v>O-15625-00</v>
      </c>
      <c r="B145" s="14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4" t="str">
        <f>IFERROR(__xludf.DUMMYFUNCTION("""COMPUTED_VALUE"""),"O-15625-00")</f>
        <v>O-15625-00</v>
      </c>
    </row>
    <row r="146">
      <c r="A146" s="14" t="str">
        <f>IFERROR(__xludf.DUMMYFUNCTION("""COMPUTED_VALUE"""),"O-15626-00")</f>
        <v>O-15626-00</v>
      </c>
      <c r="B146" s="14" t="str">
        <f>IFERROR(__xludf.DUMMYFUNCTION("""COMPUTED_VALUE"""),"JACKET WATER AND CONDENSATE DRAIN FILTER; F9 ;")</f>
        <v>JACKET WATER AND CONDENSATE DRAIN FILTER; F9 ;</v>
      </c>
      <c r="C146" s="14" t="str">
        <f>IFERROR(__xludf.DUMMYFUNCTION("""COMPUTED_VALUE"""),"O-15626-00")</f>
        <v>O-15626-00</v>
      </c>
    </row>
    <row r="147">
      <c r="A147" s="14" t="str">
        <f>IFERROR(__xludf.DUMMYFUNCTION("""COMPUTED_VALUE"""),"O-15628-00")</f>
        <v>O-15628-00</v>
      </c>
      <c r="B147" s="14" t="str">
        <f>IFERROR(__xludf.DUMMYFUNCTION("""COMPUTED_VALUE"""),"LEFT AND RIGHT PINCER ACTUATOR ; SMC :BISTABLE ELECTROVALVE - SV1200-5FU")</f>
        <v>LEFT AND RIGHT PINCER ACTUATOR ; SMC :BISTABLE ELECTROVALVE - SV1200-5FU</v>
      </c>
      <c r="C147" s="14" t="str">
        <f>IFERROR(__xludf.DUMMYFUNCTION("""COMPUTED_VALUE"""),"O-15628-00")</f>
        <v>O-15628-00</v>
      </c>
    </row>
    <row r="148">
      <c r="A148" s="14" t="str">
        <f>IFERROR(__xludf.DUMMYFUNCTION("""COMPUTED_VALUE"""),"O-15629-00")</f>
        <v>O-15629-00</v>
      </c>
      <c r="B148" s="14" t="str">
        <f>IFERROR(__xludf.DUMMYFUNCTION("""COMPUTED_VALUE"""),"ENCODER ;Sick Stegmann;ABSOLUTE ENCODER A4A08192 GRAY RADIAL CONNECTOR")</f>
        <v>ENCODER ;Sick Stegmann;ABSOLUTE ENCODER A4A08192 GRAY RADIAL CONNECTOR</v>
      </c>
      <c r="C148" s="14" t="str">
        <f>IFERROR(__xludf.DUMMYFUNCTION("""COMPUTED_VALUE"""),"O-15629-00")</f>
        <v>O-15629-00</v>
      </c>
    </row>
    <row r="149">
      <c r="A149" s="14" t="str">
        <f>IFERROR(__xludf.DUMMYFUNCTION("""COMPUTED_VALUE"""),"O-15630-00")</f>
        <v>O-15630-00</v>
      </c>
      <c r="B149" s="14" t="str">
        <f>IFERROR(__xludf.DUMMYFUNCTION("""COMPUTED_VALUE"""),"MAGNETIC CONTACTOR (S00, AC-3 4KW, 1NO, COIL VOLTAGE: AC230V 50/60HZ)")</f>
        <v>MAGNETIC CONTACTOR (S00, AC-3 4KW, 1NO, COIL VOLTAGE: AC230V 50/60HZ)</v>
      </c>
      <c r="C149" s="14" t="str">
        <f>IFERROR(__xludf.DUMMYFUNCTION("""COMPUTED_VALUE"""),"O-15630-00")</f>
        <v>O-15630-00</v>
      </c>
    </row>
    <row r="150">
      <c r="A150" s="14" t="str">
        <f>IFERROR(__xludf.DUMMYFUNCTION("""COMPUTED_VALUE"""),"O-15631-00")</f>
        <v>O-15631-00</v>
      </c>
      <c r="B150" s="14" t="str">
        <f>IFERROR(__xludf.DUMMYFUNCTION("""COMPUTED_VALUE"""),"MAGNETIC SWITCH (SMEO - 4U - S - LED - 24B)")</f>
        <v>MAGNETIC SWITCH (SMEO - 4U - S - LED - 24B)</v>
      </c>
      <c r="C150" s="14" t="str">
        <f>IFERROR(__xludf.DUMMYFUNCTION("""COMPUTED_VALUE"""),"O-15631-00")</f>
        <v>O-15631-00</v>
      </c>
    </row>
    <row r="151">
      <c r="A151" s="14" t="str">
        <f>IFERROR(__xludf.DUMMYFUNCTION("""COMPUTED_VALUE"""),"O-15632-00")</f>
        <v>O-15632-00</v>
      </c>
      <c r="B151" s="14" t="str">
        <f>IFERROR(__xludf.DUMMYFUNCTION("""COMPUTED_VALUE"""),"MEMBRANE PTFE/EPDM BONDED; SED;")</f>
        <v>MEMBRANE PTFE/EPDM BONDED; SED;</v>
      </c>
      <c r="C151" s="14" t="str">
        <f>IFERROR(__xludf.DUMMYFUNCTION("""COMPUTED_VALUE"""),"O-15632-00")</f>
        <v>O-15632-00</v>
      </c>
    </row>
    <row r="152">
      <c r="A152" s="14" t="str">
        <f>IFERROR(__xludf.DUMMYFUNCTION("""COMPUTED_VALUE"""),"O-15633-00")</f>
        <v>O-15633-00</v>
      </c>
      <c r="B152" s="14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4" t="str">
        <f>IFERROR(__xludf.DUMMYFUNCTION("""COMPUTED_VALUE"""),"O-15633-00")</f>
        <v>O-15633-00</v>
      </c>
    </row>
    <row r="153">
      <c r="A153" s="14" t="str">
        <f>IFERROR(__xludf.DUMMYFUNCTION("""COMPUTED_VALUE"""),"O-15634-00")</f>
        <v>O-15634-00</v>
      </c>
      <c r="B153" s="14" t="str">
        <f>IFERROR(__xludf.DUMMYFUNCTION("""COMPUTED_VALUE"""),"MICROSWITCH FOR PNEUMATIC CYLINDER, UNIVER, DF-220M08")</f>
        <v>MICROSWITCH FOR PNEUMATIC CYLINDER, UNIVER, DF-220M08</v>
      </c>
      <c r="C153" s="14" t="str">
        <f>IFERROR(__xludf.DUMMYFUNCTION("""COMPUTED_VALUE"""),"O-15634-00")</f>
        <v>O-15634-00</v>
      </c>
    </row>
    <row r="154">
      <c r="A154" s="14" t="str">
        <f>IFERROR(__xludf.DUMMYFUNCTION("""COMPUTED_VALUE"""),"O-15635-00")</f>
        <v>O-15635-00</v>
      </c>
      <c r="B154" s="14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4" t="str">
        <f>IFERROR(__xludf.DUMMYFUNCTION("""COMPUTED_VALUE"""),"O-15635-00")</f>
        <v>O-15635-00</v>
      </c>
    </row>
    <row r="155">
      <c r="A155" s="14" t="str">
        <f>IFERROR(__xludf.DUMMYFUNCTION("""COMPUTED_VALUE"""),"O-15636-00")</f>
        <v>O-15636-00</v>
      </c>
      <c r="B155" s="14" t="str">
        <f>IFERROR(__xludf.DUMMYFUNCTION("""COMPUTED_VALUE"""),"MINIATUR RELAY ; STERILINE ;PART NO :5834")</f>
        <v>MINIATUR RELAY ; STERILINE ;PART NO :5834</v>
      </c>
      <c r="C155" s="14" t="str">
        <f>IFERROR(__xludf.DUMMYFUNCTION("""COMPUTED_VALUE"""),"O-15636-00")</f>
        <v>O-15636-00</v>
      </c>
    </row>
    <row r="156">
      <c r="A156" s="14" t="str">
        <f>IFERROR(__xludf.DUMMYFUNCTION("""COMPUTED_VALUE"""),"O-15637-00")</f>
        <v>O-15637-00</v>
      </c>
      <c r="B156" s="14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4" t="str">
        <f>IFERROR(__xludf.DUMMYFUNCTION("""COMPUTED_VALUE"""),"O-15637-00")</f>
        <v>O-15637-00</v>
      </c>
    </row>
    <row r="157">
      <c r="A157" s="14" t="str">
        <f>IFERROR(__xludf.DUMMYFUNCTION("""COMPUTED_VALUE"""),"O-15638-00")</f>
        <v>O-15638-00</v>
      </c>
      <c r="B157" s="14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4" t="str">
        <f>IFERROR(__xludf.DUMMYFUNCTION("""COMPUTED_VALUE"""),"O-15638-00")</f>
        <v>O-15638-00</v>
      </c>
    </row>
    <row r="158">
      <c r="A158" s="14" t="str">
        <f>IFERROR(__xludf.DUMMYFUNCTION("""COMPUTED_VALUE"""),"O-15639-00")</f>
        <v>O-15639-00</v>
      </c>
      <c r="B158" s="14" t="str">
        <f>IFERROR(__xludf.DUMMYFUNCTION("""COMPUTED_VALUE"""),"MUSHROOM SEAL(SF00-05A SECTION:V)")</f>
        <v>MUSHROOM SEAL(SF00-05A SECTION:V)</v>
      </c>
      <c r="C158" s="14" t="str">
        <f>IFERROR(__xludf.DUMMYFUNCTION("""COMPUTED_VALUE"""),"O-15639-00")</f>
        <v>O-15639-00</v>
      </c>
    </row>
    <row r="159">
      <c r="A159" s="14" t="str">
        <f>IFERROR(__xludf.DUMMYFUNCTION("""COMPUTED_VALUE"""),"O-15640-00")</f>
        <v>O-15640-00</v>
      </c>
      <c r="B159" s="14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4" t="str">
        <f>IFERROR(__xludf.DUMMYFUNCTION("""COMPUTED_VALUE"""),"O-15640-00")</f>
        <v>O-15640-00</v>
      </c>
    </row>
    <row r="160">
      <c r="A160" s="14" t="str">
        <f>IFERROR(__xludf.DUMMYFUNCTION("""COMPUTED_VALUE"""),"O-15641-00")</f>
        <v>O-15641-00</v>
      </c>
      <c r="B160" s="14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4" t="str">
        <f>IFERROR(__xludf.DUMMYFUNCTION("""COMPUTED_VALUE"""),"O-15641-00")</f>
        <v>O-15641-00</v>
      </c>
    </row>
    <row r="161">
      <c r="A161" s="14" t="str">
        <f>IFERROR(__xludf.DUMMYFUNCTION("""COMPUTED_VALUE"""),"O-15642-00")</f>
        <v>O-15642-00</v>
      </c>
      <c r="B161" s="14" t="str">
        <f>IFERROR(__xludf.DUMMYFUNCTION("""COMPUTED_VALUE"""),"PINCH VALVE ; SIRAI TYPE Z130A, WITH COIL 24VDC 13W")</f>
        <v>PINCH VALVE ; SIRAI TYPE Z130A, WITH COIL 24VDC 13W</v>
      </c>
      <c r="C161" s="14" t="str">
        <f>IFERROR(__xludf.DUMMYFUNCTION("""COMPUTED_VALUE"""),"O-15642-00")</f>
        <v>O-15642-00</v>
      </c>
    </row>
    <row r="162">
      <c r="A162" s="14" t="str">
        <f>IFERROR(__xludf.DUMMYFUNCTION("""COMPUTED_VALUE"""),"O-15643-00")</f>
        <v>O-15643-00</v>
      </c>
      <c r="B162" s="14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4" t="str">
        <f>IFERROR(__xludf.DUMMYFUNCTION("""COMPUTED_VALUE"""),"O-15643-00")</f>
        <v>O-15643-00</v>
      </c>
    </row>
    <row r="163">
      <c r="A163" s="14" t="str">
        <f>IFERROR(__xludf.DUMMYFUNCTION("""COMPUTED_VALUE"""),"O-15644-00")</f>
        <v>O-15644-00</v>
      </c>
      <c r="B163" s="14" t="str">
        <f>IFERROR(__xludf.DUMMYFUNCTION("""COMPUTED_VALUE"""),"NOZZLES RISING CYLINDER ; CYLINDER D=40MM, STROKE=40MM")</f>
        <v>NOZZLES RISING CYLINDER ; CYLINDER D=40MM, STROKE=40MM</v>
      </c>
      <c r="C163" s="14" t="str">
        <f>IFERROR(__xludf.DUMMYFUNCTION("""COMPUTED_VALUE"""),"O-15644-00")</f>
        <v>O-15644-00</v>
      </c>
    </row>
    <row r="164">
      <c r="A164" s="14" t="str">
        <f>IFERROR(__xludf.DUMMYFUNCTION("""COMPUTED_VALUE"""),"O-15645-00")</f>
        <v>O-15645-00</v>
      </c>
      <c r="B164" s="14" t="str">
        <f>IFERROR(__xludf.DUMMYFUNCTION("""COMPUTED_VALUE"""),"O - RING T = 2,62 : OR 3081 FPM 75?SH - BLACK( OR 3081 FPM 75?SH - BLACK)")</f>
        <v>O - RING T = 2,62 : OR 3081 FPM 75?SH - BLACK( OR 3081 FPM 75?SH - BLACK)</v>
      </c>
      <c r="C164" s="14" t="str">
        <f>IFERROR(__xludf.DUMMYFUNCTION("""COMPUTED_VALUE"""),"O-15645-00")</f>
        <v>O-15645-00</v>
      </c>
    </row>
    <row r="165">
      <c r="A165" s="14" t="str">
        <f>IFERROR(__xludf.DUMMYFUNCTION("""COMPUTED_VALUE"""),"O-15646-00")</f>
        <v>O-15646-00</v>
      </c>
      <c r="B165" s="14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4" t="str">
        <f>IFERROR(__xludf.DUMMYFUNCTION("""COMPUTED_VALUE"""),"O-15646-00")</f>
        <v>O-15646-00</v>
      </c>
    </row>
    <row r="166">
      <c r="A166" s="14" t="str">
        <f>IFERROR(__xludf.DUMMYFUNCTION("""COMPUTED_VALUE"""),"O-15647-00")</f>
        <v>O-15647-00</v>
      </c>
      <c r="B166" s="14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4" t="str">
        <f>IFERROR(__xludf.DUMMYFUNCTION("""COMPUTED_VALUE"""),"O-15647-00")</f>
        <v>O-15647-00</v>
      </c>
    </row>
    <row r="167">
      <c r="A167" s="14" t="str">
        <f>IFERROR(__xludf.DUMMYFUNCTION("""COMPUTED_VALUE"""),"O-15648-00")</f>
        <v>O-15648-00</v>
      </c>
      <c r="B167" s="14" t="str">
        <f>IFERROR(__xludf.DUMMYFUNCTION("""COMPUTED_VALUE"""),"PAIR OF SLEEVES CSM D.200/90 LENGTH 550MM, THICKNESS 4/10; PART NO :7266")</f>
        <v>PAIR OF SLEEVES CSM D.200/90 LENGTH 550MM, THICKNESS 4/10; PART NO :7266</v>
      </c>
      <c r="C167" s="14" t="str">
        <f>IFERROR(__xludf.DUMMYFUNCTION("""COMPUTED_VALUE"""),"O-15648-00")</f>
        <v>O-15648-00</v>
      </c>
    </row>
    <row r="168">
      <c r="A168" s="14" t="str">
        <f>IFERROR(__xludf.DUMMYFUNCTION("""COMPUTED_VALUE"""),"O-15649-00")</f>
        <v>O-15649-00</v>
      </c>
      <c r="B168" s="14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4" t="str">
        <f>IFERROR(__xludf.DUMMYFUNCTION("""COMPUTED_VALUE"""),"O-15649-00")</f>
        <v>O-15649-00</v>
      </c>
    </row>
    <row r="169">
      <c r="A169" s="14" t="str">
        <f>IFERROR(__xludf.DUMMYFUNCTION("""COMPUTED_VALUE"""),"O-15650-00")</f>
        <v>O-15650-00</v>
      </c>
      <c r="B169" s="14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4" t="str">
        <f>IFERROR(__xludf.DUMMYFUNCTION("""COMPUTED_VALUE"""),"O-15650-00")</f>
        <v>O-15650-00</v>
      </c>
    </row>
    <row r="170">
      <c r="A170" s="14" t="str">
        <f>IFERROR(__xludf.DUMMYFUNCTION("""COMPUTED_VALUE"""),"O-15651-00")</f>
        <v>O-15651-00</v>
      </c>
      <c r="B170" s="14" t="str">
        <f>IFERROR(__xludf.DUMMYFUNCTION("""COMPUTED_VALUE"""),"PHOTOELECTRIC SWITCH; PART NO :10115")</f>
        <v>PHOTOELECTRIC SWITCH; PART NO :10115</v>
      </c>
      <c r="C170" s="14" t="str">
        <f>IFERROR(__xludf.DUMMYFUNCTION("""COMPUTED_VALUE"""),"O-15651-00")</f>
        <v>O-15651-00</v>
      </c>
    </row>
    <row r="171">
      <c r="A171" s="14" t="str">
        <f>IFERROR(__xludf.DUMMYFUNCTION("""COMPUTED_VALUE"""),"O-15652-00")</f>
        <v>O-15652-00</v>
      </c>
      <c r="B171" s="14" t="str">
        <f>IFERROR(__xludf.DUMMYFUNCTION("""COMPUTED_VALUE"""),"PNEUMATIC MEMBRANE VALVE 1/2' (DN15); STERILINE ; PART NO :5189")</f>
        <v>PNEUMATIC MEMBRANE VALVE 1/2' (DN15); STERILINE ; PART NO :5189</v>
      </c>
      <c r="C171" s="14" t="str">
        <f>IFERROR(__xludf.DUMMYFUNCTION("""COMPUTED_VALUE"""),"O-15652-00")</f>
        <v>O-15652-00</v>
      </c>
    </row>
    <row r="172">
      <c r="A172" s="14" t="str">
        <f>IFERROR(__xludf.DUMMYFUNCTION("""COMPUTED_VALUE"""),"O-15653-00")</f>
        <v>O-15653-00</v>
      </c>
      <c r="B172" s="14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4" t="str">
        <f>IFERROR(__xludf.DUMMYFUNCTION("""COMPUTED_VALUE"""),"O-15653-00")</f>
        <v>O-15653-00</v>
      </c>
    </row>
    <row r="173">
      <c r="A173" s="14" t="str">
        <f>IFERROR(__xludf.DUMMYFUNCTION("""COMPUTED_VALUE"""),"O-15654-00")</f>
        <v>O-15654-00</v>
      </c>
      <c r="B173" s="14" t="str">
        <f>IFERROR(__xludf.DUMMYFUNCTION("""COMPUTED_VALUE"""),"PRE-FILTER CARTRIDGE; KLENZAIDS; EU-8 SIZE 100D X 135H MM")</f>
        <v>PRE-FILTER CARTRIDGE; KLENZAIDS; EU-8 SIZE 100D X 135H MM</v>
      </c>
      <c r="C173" s="14" t="str">
        <f>IFERROR(__xludf.DUMMYFUNCTION("""COMPUTED_VALUE"""),"O-15654-00")</f>
        <v>O-15654-00</v>
      </c>
    </row>
    <row r="174">
      <c r="A174" s="14" t="str">
        <f>IFERROR(__xludf.DUMMYFUNCTION("""COMPUTED_VALUE"""),"O-15655-00")</f>
        <v>O-15655-00</v>
      </c>
      <c r="B174" s="14" t="str">
        <f>IFERROR(__xludf.DUMMYFUNCTION("""COMPUTED_VALUE"""),"PRESSURE SWITCH WITH INDICATION, FESTO 0-1 BAR PNEUMATIC CONNECTION")</f>
        <v>PRESSURE SWITCH WITH INDICATION, FESTO 0-1 BAR PNEUMATIC CONNECTION</v>
      </c>
      <c r="C174" s="14" t="str">
        <f>IFERROR(__xludf.DUMMYFUNCTION("""COMPUTED_VALUE"""),"O-15655-00")</f>
        <v>O-15655-00</v>
      </c>
    </row>
    <row r="175">
      <c r="A175" s="14" t="str">
        <f>IFERROR(__xludf.DUMMYFUNCTION("""COMPUTED_VALUE"""),"O-15656-00")</f>
        <v>O-15656-00</v>
      </c>
      <c r="B175" s="14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4" t="str">
        <f>IFERROR(__xludf.DUMMYFUNCTION("""COMPUTED_VALUE"""),"O-15656-00")</f>
        <v>O-15656-00</v>
      </c>
    </row>
    <row r="176">
      <c r="A176" s="14" t="str">
        <f>IFERROR(__xludf.DUMMYFUNCTION("""COMPUTED_VALUE"""),"O-15658-00")</f>
        <v>O-15658-00</v>
      </c>
      <c r="B176" s="14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4" t="str">
        <f>IFERROR(__xludf.DUMMYFUNCTION("""COMPUTED_VALUE"""),"O-15658-00")</f>
        <v>O-15658-00</v>
      </c>
    </row>
    <row r="177">
      <c r="A177" s="14" t="str">
        <f>IFERROR(__xludf.DUMMYFUNCTION("""COMPUTED_VALUE"""),"O-15660-00")</f>
        <v>O-15660-00</v>
      </c>
      <c r="B177" s="14" t="str">
        <f>IFERROR(__xludf.DUMMYFUNCTION("""COMPUTED_VALUE"""),"RADIAL BEARING 15X32X9 6002 - 2Z; STERILINE ; PART NO :200019")</f>
        <v>RADIAL BEARING 15X32X9 6002 - 2Z; STERILINE ; PART NO :200019</v>
      </c>
      <c r="C177" s="14" t="str">
        <f>IFERROR(__xludf.DUMMYFUNCTION("""COMPUTED_VALUE"""),"O-15660-00")</f>
        <v>O-15660-00</v>
      </c>
    </row>
    <row r="178">
      <c r="A178" s="14" t="str">
        <f>IFERROR(__xludf.DUMMYFUNCTION("""COMPUTED_VALUE"""),"O-15661-00")</f>
        <v>O-15661-00</v>
      </c>
      <c r="B178" s="14" t="str">
        <f>IFERROR(__xludf.DUMMYFUNCTION("""COMPUTED_VALUE"""),"RADIAL BEARING 6001-2RS; STERILINE ; PART NO :200723")</f>
        <v>RADIAL BEARING 6001-2RS; STERILINE ; PART NO :200723</v>
      </c>
      <c r="C178" s="14" t="str">
        <f>IFERROR(__xludf.DUMMYFUNCTION("""COMPUTED_VALUE"""),"O-15661-00")</f>
        <v>O-15661-00</v>
      </c>
    </row>
    <row r="179">
      <c r="A179" s="14" t="str">
        <f>IFERROR(__xludf.DUMMYFUNCTION("""COMPUTED_VALUE"""),"O-15662-00")</f>
        <v>O-15662-00</v>
      </c>
      <c r="B179" s="14" t="str">
        <f>IFERROR(__xludf.DUMMYFUNCTION("""COMPUTED_VALUE"""),"RADIAL BEARING 6004 - 2Z SKF (6002-27); STERILINE : PART NO :200018")</f>
        <v>RADIAL BEARING 6004 - 2Z SKF (6002-27); STERILINE : PART NO :200018</v>
      </c>
      <c r="C179" s="14" t="str">
        <f>IFERROR(__xludf.DUMMYFUNCTION("""COMPUTED_VALUE"""),"O-15662-00")</f>
        <v>O-15662-00</v>
      </c>
    </row>
    <row r="180">
      <c r="A180" s="14" t="str">
        <f>IFERROR(__xludf.DUMMYFUNCTION("""COMPUTED_VALUE"""),"O-15663-00")</f>
        <v>O-15663-00</v>
      </c>
      <c r="B180" s="14" t="str">
        <f>IFERROR(__xludf.DUMMYFUNCTION("""COMPUTED_VALUE"""),"RECORDER PAPER(RECORDING WIDTH, 10 ROLLS/BOX) ; YOKOGAWA")</f>
        <v>RECORDER PAPER(RECORDING WIDTH, 10 ROLLS/BOX) ; YOKOGAWA</v>
      </c>
      <c r="C180" s="14" t="str">
        <f>IFERROR(__xludf.DUMMYFUNCTION("""COMPUTED_VALUE"""),"O-15663-00")</f>
        <v>O-15663-00</v>
      </c>
    </row>
    <row r="181">
      <c r="A181" s="14" t="str">
        <f>IFERROR(__xludf.DUMMYFUNCTION("""COMPUTED_VALUE"""),"O-15664-00")</f>
        <v>O-15664-00</v>
      </c>
      <c r="B181" s="14" t="str">
        <f>IFERROR(__xludf.DUMMYFUNCTION("""COMPUTED_VALUE"""),"RECORDER RIBBON(6 COLOR RIBBON CASSETTE)")</f>
        <v>RECORDER RIBBON(6 COLOR RIBBON CASSETTE)</v>
      </c>
      <c r="C181" s="14" t="str">
        <f>IFERROR(__xludf.DUMMYFUNCTION("""COMPUTED_VALUE"""),"O-15664-00")</f>
        <v>O-15664-00</v>
      </c>
    </row>
    <row r="182">
      <c r="A182" s="14" t="str">
        <f>IFERROR(__xludf.DUMMYFUNCTION("""COMPUTED_VALUE"""),"O-15665-00")</f>
        <v>O-15665-00</v>
      </c>
      <c r="B182" s="14" t="str">
        <f>IFERROR(__xludf.DUMMYFUNCTION("""COMPUTED_VALUE"""),"RED SILICON ORING 2125; PART NO :202359")</f>
        <v>RED SILICON ORING 2125; PART NO :202359</v>
      </c>
      <c r="C182" s="14" t="str">
        <f>IFERROR(__xludf.DUMMYFUNCTION("""COMPUTED_VALUE"""),"O-15665-00")</f>
        <v>O-15665-00</v>
      </c>
    </row>
    <row r="183">
      <c r="A183" s="14" t="str">
        <f>IFERROR(__xludf.DUMMYFUNCTION("""COMPUTED_VALUE"""),"O-15666-00")</f>
        <v>O-15666-00</v>
      </c>
      <c r="B183" s="14" t="str">
        <f>IFERROR(__xludf.DUMMYFUNCTION("""COMPUTED_VALUE"""),"RED SILICON ORING 4900; PART NO :202514")</f>
        <v>RED SILICON ORING 4900; PART NO :202514</v>
      </c>
      <c r="C183" s="14" t="str">
        <f>IFERROR(__xludf.DUMMYFUNCTION("""COMPUTED_VALUE"""),"O-15666-00")</f>
        <v>O-15666-00</v>
      </c>
    </row>
    <row r="184">
      <c r="A184" s="14" t="str">
        <f>IFERROR(__xludf.DUMMYFUNCTION("""COMPUTED_VALUE"""),"O-15667-00")</f>
        <v>O-15667-00</v>
      </c>
      <c r="B184" s="14" t="str">
        <f>IFERROR(__xludf.DUMMYFUNCTION("""COMPUTED_VALUE"""),"REFRIGERATION FILTER CORE(48 CU.IN., S.S , MESH, 140 UM,)")</f>
        <v>REFRIGERATION FILTER CORE(48 CU.IN., S.S , MESH, 140 UM,)</v>
      </c>
      <c r="C184" s="14" t="str">
        <f>IFERROR(__xludf.DUMMYFUNCTION("""COMPUTED_VALUE"""),"O-15667-00")</f>
        <v>O-15667-00</v>
      </c>
    </row>
    <row r="185">
      <c r="A185" s="14" t="str">
        <f>IFERROR(__xludf.DUMMYFUNCTION("""COMPUTED_VALUE"""),"O-15668-00")</f>
        <v>O-15668-00</v>
      </c>
      <c r="B185" s="14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4" t="str">
        <f>IFERROR(__xludf.DUMMYFUNCTION("""COMPUTED_VALUE"""),"O-15668-00")</f>
        <v>O-15668-00</v>
      </c>
    </row>
    <row r="186">
      <c r="A186" s="14" t="str">
        <f>IFERROR(__xludf.DUMMYFUNCTION("""COMPUTED_VALUE"""),"O-15669-00")</f>
        <v>O-15669-00</v>
      </c>
      <c r="B186" s="14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4" t="str">
        <f>IFERROR(__xludf.DUMMYFUNCTION("""COMPUTED_VALUE"""),"O-15669-00")</f>
        <v>O-15669-00</v>
      </c>
    </row>
    <row r="187">
      <c r="A187" s="14" t="str">
        <f>IFERROR(__xludf.DUMMYFUNCTION("""COMPUTED_VALUE"""),"O-15670-00")</f>
        <v>O-15670-00</v>
      </c>
      <c r="B187" s="14" t="str">
        <f>IFERROR(__xludf.DUMMYFUNCTION("""COMPUTED_VALUE"""),"RING JOINT - AR 19-24 SHORE 98; PART NO :200105")</f>
        <v>RING JOINT - AR 19-24 SHORE 98; PART NO :200105</v>
      </c>
      <c r="C187" s="14" t="str">
        <f>IFERROR(__xludf.DUMMYFUNCTION("""COMPUTED_VALUE"""),"O-15670-00")</f>
        <v>O-15670-00</v>
      </c>
    </row>
    <row r="188">
      <c r="A188" s="14" t="str">
        <f>IFERROR(__xludf.DUMMYFUNCTION("""COMPUTED_VALUE"""),"O-15671-00")</f>
        <v>O-15671-00</v>
      </c>
      <c r="B188" s="14" t="str">
        <f>IFERROR(__xludf.DUMMYFUNCTION("""COMPUTED_VALUE"""),"RING JOINT AR 14 SHORE 98 SG; PART NO :200078")</f>
        <v>RING JOINT AR 14 SHORE 98 SG; PART NO :200078</v>
      </c>
      <c r="C188" s="14" t="str">
        <f>IFERROR(__xludf.DUMMYFUNCTION("""COMPUTED_VALUE"""),"O-15671-00")</f>
        <v>O-15671-00</v>
      </c>
    </row>
    <row r="189">
      <c r="A189" s="14" t="str">
        <f>IFERROR(__xludf.DUMMYFUNCTION("""COMPUTED_VALUE"""),"O-15672-00")</f>
        <v>O-15672-00</v>
      </c>
      <c r="B189" s="14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4" t="str">
        <f>IFERROR(__xludf.DUMMYFUNCTION("""COMPUTED_VALUE"""),"O-15672-00")</f>
        <v>O-15672-00</v>
      </c>
    </row>
    <row r="190">
      <c r="A190" s="14" t="str">
        <f>IFERROR(__xludf.DUMMYFUNCTION("""COMPUTED_VALUE"""),"O-15673-00")</f>
        <v>O-15673-00</v>
      </c>
      <c r="B190" s="14" t="str">
        <f>IFERROR(__xludf.DUMMYFUNCTION("""COMPUTED_VALUE"""),"SAFETY PRESSURE SWITCH ; PRSIC ;")</f>
        <v>SAFETY PRESSURE SWITCH ; PRSIC ;</v>
      </c>
      <c r="C190" s="14" t="str">
        <f>IFERROR(__xludf.DUMMYFUNCTION("""COMPUTED_VALUE"""),"O-15673-00")</f>
        <v>O-15673-00</v>
      </c>
    </row>
    <row r="191">
      <c r="A191" s="14" t="str">
        <f>IFERROR(__xludf.DUMMYFUNCTION("""COMPUTED_VALUE"""),"O-15674-00")</f>
        <v>O-15674-00</v>
      </c>
      <c r="B191" s="14" t="str">
        <f>IFERROR(__xludf.DUMMYFUNCTION("""COMPUTED_VALUE"""),"SAFETY THERMOMETER PROBE ; TE5 ;")</f>
        <v>SAFETY THERMOMETER PROBE ; TE5 ;</v>
      </c>
      <c r="C191" s="14" t="str">
        <f>IFERROR(__xludf.DUMMYFUNCTION("""COMPUTED_VALUE"""),"O-15674-00")</f>
        <v>O-15674-00</v>
      </c>
    </row>
    <row r="192">
      <c r="A192" s="14" t="str">
        <f>IFERROR(__xludf.DUMMYFUNCTION("""COMPUTED_VALUE"""),"O-15675-00")</f>
        <v>O-15675-00</v>
      </c>
      <c r="B192" s="14" t="str">
        <f>IFERROR(__xludf.DUMMYFUNCTION("""COMPUTED_VALUE"""),"SAFETY THERMOMETER PROBE ; TE5 ;")</f>
        <v>SAFETY THERMOMETER PROBE ; TE5 ;</v>
      </c>
      <c r="C192" s="14" t="str">
        <f>IFERROR(__xludf.DUMMYFUNCTION("""COMPUTED_VALUE"""),"O-15675-00")</f>
        <v>O-15675-00</v>
      </c>
    </row>
    <row r="193">
      <c r="A193" s="14" t="str">
        <f>IFERROR(__xludf.DUMMYFUNCTION("""COMPUTED_VALUE"""),"O-15676-00")</f>
        <v>O-15676-00</v>
      </c>
      <c r="B193" s="14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4" t="str">
        <f>IFERROR(__xludf.DUMMYFUNCTION("""COMPUTED_VALUE"""),"O-15676-00")</f>
        <v>O-15676-00</v>
      </c>
    </row>
    <row r="194">
      <c r="A194" s="14" t="str">
        <f>IFERROR(__xludf.DUMMYFUNCTION("""COMPUTED_VALUE"""),"O-15677-00")</f>
        <v>O-15677-00</v>
      </c>
      <c r="B194" s="14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4" t="str">
        <f>IFERROR(__xludf.DUMMYFUNCTION("""COMPUTED_VALUE"""),"O-15677-00")</f>
        <v>O-15677-00</v>
      </c>
    </row>
    <row r="195">
      <c r="A195" s="14" t="str">
        <f>IFERROR(__xludf.DUMMYFUNCTION("""COMPUTED_VALUE"""),"O-15678-00")</f>
        <v>O-15678-00</v>
      </c>
      <c r="B195" s="14" t="str">
        <f>IFERROR(__xludf.DUMMYFUNCTION("""COMPUTED_VALUE"""),"SEALING RING G20 - 28 - 4; PART NO :200067")</f>
        <v>SEALING RING G20 - 28 - 4; PART NO :200067</v>
      </c>
      <c r="C195" s="14" t="str">
        <f>IFERROR(__xludf.DUMMYFUNCTION("""COMPUTED_VALUE"""),"O-15678-00")</f>
        <v>O-15678-00</v>
      </c>
    </row>
    <row r="196">
      <c r="A196" s="14" t="str">
        <f>IFERROR(__xludf.DUMMYFUNCTION("""COMPUTED_VALUE"""),"O-15679-00")</f>
        <v>O-15679-00</v>
      </c>
      <c r="B196" s="14" t="str">
        <f>IFERROR(__xludf.DUMMYFUNCTION("""COMPUTED_VALUE"""),"SECURITY PHOTOCELLS; PART NO :7209")</f>
        <v>SECURITY PHOTOCELLS; PART NO :7209</v>
      </c>
      <c r="C196" s="14" t="str">
        <f>IFERROR(__xludf.DUMMYFUNCTION("""COMPUTED_VALUE"""),"O-15679-00")</f>
        <v>O-15679-00</v>
      </c>
    </row>
    <row r="197">
      <c r="A197" s="14" t="str">
        <f>IFERROR(__xludf.DUMMYFUNCTION("""COMPUTED_VALUE"""),"O-15680-00")</f>
        <v>O-15680-00</v>
      </c>
      <c r="B197" s="14" t="str">
        <f>IFERROR(__xludf.DUMMYFUNCTION("""COMPUTED_VALUE"""),"SILICON GASKET O RING RED ; ID= 192 mm, OD: 246 mm, Thickness : 4 mm")</f>
        <v>SILICON GASKET O RING RED ; ID= 192 mm, OD: 246 mm, Thickness : 4 mm</v>
      </c>
      <c r="C197" s="14" t="str">
        <f>IFERROR(__xludf.DUMMYFUNCTION("""COMPUTED_VALUE"""),"O-15680-00")</f>
        <v>O-15680-00</v>
      </c>
    </row>
    <row r="198">
      <c r="A198" s="14" t="str">
        <f>IFERROR(__xludf.DUMMYFUNCTION("""COMPUTED_VALUE"""),"O-15681-00")</f>
        <v>O-15681-00</v>
      </c>
      <c r="B198" s="14" t="str">
        <f>IFERROR(__xludf.DUMMYFUNCTION("""COMPUTED_VALUE"""),"Glove housing gasket; Thickness 2 mm, glove port dia 250 mm")</f>
        <v>Glove housing gasket; Thickness 2 mm, glove port dia 250 mm</v>
      </c>
      <c r="C198" s="14" t="str">
        <f>IFERROR(__xludf.DUMMYFUNCTION("""COMPUTED_VALUE"""),"O-15681-00")</f>
        <v>O-15681-00</v>
      </c>
    </row>
    <row r="199">
      <c r="A199" s="14" t="str">
        <f>IFERROR(__xludf.DUMMYFUNCTION("""COMPUTED_VALUE"""),"O-15682-00")</f>
        <v>O-15682-00</v>
      </c>
      <c r="B199" s="14" t="str">
        <f>IFERROR(__xludf.DUMMYFUNCTION("""COMPUTED_VALUE"""),"SILICON HOSES F10 ( ID:6MM / OD: 10MM );")</f>
        <v>SILICON HOSES F10 ( ID:6MM / OD: 10MM );</v>
      </c>
      <c r="C199" s="14" t="str">
        <f>IFERROR(__xludf.DUMMYFUNCTION("""COMPUTED_VALUE"""),"O-15682-00")</f>
        <v>O-15682-00</v>
      </c>
    </row>
    <row r="200">
      <c r="A200" s="14" t="str">
        <f>IFERROR(__xludf.DUMMYFUNCTION("""COMPUTED_VALUE"""),"O-15683-00")</f>
        <v>O-15683-00</v>
      </c>
      <c r="B200" s="14" t="str">
        <f>IFERROR(__xludf.DUMMYFUNCTION("""COMPUTED_VALUE"""),"SILICON HOSES F14 ( ID:4MM / OD: 10MM ) 86/10;")</f>
        <v>SILICON HOSES F14 ( ID:4MM / OD: 10MM ) 86/10;</v>
      </c>
      <c r="C200" s="14" t="str">
        <f>IFERROR(__xludf.DUMMYFUNCTION("""COMPUTED_VALUE"""),"O-15683-00")</f>
        <v>O-15683-00</v>
      </c>
    </row>
    <row r="201">
      <c r="A201" s="14" t="str">
        <f>IFERROR(__xludf.DUMMYFUNCTION("""COMPUTED_VALUE"""),"O-15684-00")</f>
        <v>O-15684-00</v>
      </c>
      <c r="B201" s="14" t="str">
        <f>IFERROR(__xludf.DUMMYFUNCTION("""COMPUTED_VALUE"""),"SILICON ORING 3100; PART NO :200236")</f>
        <v>SILICON ORING 3100; PART NO :200236</v>
      </c>
      <c r="C201" s="14" t="str">
        <f>IFERROR(__xludf.DUMMYFUNCTION("""COMPUTED_VALUE"""),"O-15684-00")</f>
        <v>O-15684-00</v>
      </c>
    </row>
    <row r="202">
      <c r="A202" s="14" t="str">
        <f>IFERROR(__xludf.DUMMYFUNCTION("""COMPUTED_VALUE"""),"O-15685-00")</f>
        <v>O-15685-00</v>
      </c>
      <c r="B202" s="14" t="str">
        <f>IFERROR(__xludf.DUMMYFUNCTION("""COMPUTED_VALUE"""),"SILICON ORING 3162; PART NO :201677")</f>
        <v>SILICON ORING 3162; PART NO :201677</v>
      </c>
      <c r="C202" s="14" t="str">
        <f>IFERROR(__xludf.DUMMYFUNCTION("""COMPUTED_VALUE"""),"O-15685-00")</f>
        <v>O-15685-00</v>
      </c>
    </row>
    <row r="203">
      <c r="A203" s="14" t="str">
        <f>IFERROR(__xludf.DUMMYFUNCTION("""COMPUTED_VALUE"""),"O-15686-00")</f>
        <v>O-15686-00</v>
      </c>
      <c r="B203" s="14" t="str">
        <f>IFERROR(__xludf.DUMMYFUNCTION("""COMPUTED_VALUE"""),"SILICON ORING 3200; PART NO :200069")</f>
        <v>SILICON ORING 3200; PART NO :200069</v>
      </c>
      <c r="C203" s="14" t="str">
        <f>IFERROR(__xludf.DUMMYFUNCTION("""COMPUTED_VALUE"""),"O-15686-00")</f>
        <v>O-15686-00</v>
      </c>
    </row>
    <row r="204">
      <c r="A204" s="14" t="str">
        <f>IFERROR(__xludf.DUMMYFUNCTION("""COMPUTED_VALUE"""),"O-15687-00")</f>
        <v>O-15687-00</v>
      </c>
      <c r="B204" s="14" t="str">
        <f>IFERROR(__xludf.DUMMYFUNCTION("""COMPUTED_VALUE"""),"SILICON ORING 3237; PART NO :201706")</f>
        <v>SILICON ORING 3237; PART NO :201706</v>
      </c>
      <c r="C204" s="14" t="str">
        <f>IFERROR(__xludf.DUMMYFUNCTION("""COMPUTED_VALUE"""),"O-15687-00")</f>
        <v>O-15687-00</v>
      </c>
    </row>
    <row r="205">
      <c r="A205" s="14" t="str">
        <f>IFERROR(__xludf.DUMMYFUNCTION("""COMPUTED_VALUE"""),"O-15688-00")</f>
        <v>O-15688-00</v>
      </c>
      <c r="B205" s="14" t="str">
        <f>IFERROR(__xludf.DUMMYFUNCTION("""COMPUTED_VALUE"""),"SILICON ORING 3256; PART NO :200081")</f>
        <v>SILICON ORING 3256; PART NO :200081</v>
      </c>
      <c r="C205" s="14" t="str">
        <f>IFERROR(__xludf.DUMMYFUNCTION("""COMPUTED_VALUE"""),"O-15688-00")</f>
        <v>O-15688-00</v>
      </c>
    </row>
    <row r="206">
      <c r="A206" s="14" t="str">
        <f>IFERROR(__xludf.DUMMYFUNCTION("""COMPUTED_VALUE"""),"O-15689-00")</f>
        <v>O-15689-00</v>
      </c>
      <c r="B206" s="14" t="str">
        <f>IFERROR(__xludf.DUMMYFUNCTION("""COMPUTED_VALUE"""),"SILICON ORING 3325; PART NO :200079")</f>
        <v>SILICON ORING 3325; PART NO :200079</v>
      </c>
      <c r="C206" s="14" t="str">
        <f>IFERROR(__xludf.DUMMYFUNCTION("""COMPUTED_VALUE"""),"O-15689-00")</f>
        <v>O-15689-00</v>
      </c>
    </row>
    <row r="207">
      <c r="A207" s="14" t="str">
        <f>IFERROR(__xludf.DUMMYFUNCTION("""COMPUTED_VALUE"""),"O-15690-00")</f>
        <v>O-15690-00</v>
      </c>
      <c r="B207" s="14" t="str">
        <f>IFERROR(__xludf.DUMMYFUNCTION("""COMPUTED_VALUE"""),"SILICON ORING 3350; PART NO :200783")</f>
        <v>SILICON ORING 3350; PART NO :200783</v>
      </c>
      <c r="C207" s="14" t="str">
        <f>IFERROR(__xludf.DUMMYFUNCTION("""COMPUTED_VALUE"""),"O-15690-00")</f>
        <v>O-15690-00</v>
      </c>
    </row>
    <row r="208">
      <c r="A208" s="14" t="str">
        <f>IFERROR(__xludf.DUMMYFUNCTION("""COMPUTED_VALUE"""),"O-15691-00")</f>
        <v>O-15691-00</v>
      </c>
      <c r="B208" s="14" t="str">
        <f>IFERROR(__xludf.DUMMYFUNCTION("""COMPUTED_VALUE"""),"SILICON ORING 4675; PART NO :201548")</f>
        <v>SILICON ORING 4675; PART NO :201548</v>
      </c>
      <c r="C208" s="14" t="str">
        <f>IFERROR(__xludf.DUMMYFUNCTION("""COMPUTED_VALUE"""),"O-15691-00")</f>
        <v>O-15691-00</v>
      </c>
    </row>
    <row r="209">
      <c r="A209" s="14" t="str">
        <f>IFERROR(__xludf.DUMMYFUNCTION("""COMPUTED_VALUE"""),"O-15692-00")</f>
        <v>O-15692-00</v>
      </c>
      <c r="B209" s="14" t="str">
        <f>IFERROR(__xludf.DUMMYFUNCTION("""COMPUTED_VALUE"""),"SILICONE GASKET EPDM 24X16; PART NO :7163")</f>
        <v>SILICONE GASKET EPDM 24X16; PART NO :7163</v>
      </c>
      <c r="C209" s="14" t="str">
        <f>IFERROR(__xludf.DUMMYFUNCTION("""COMPUTED_VALUE"""),"O-15692-00")</f>
        <v>O-15692-00</v>
      </c>
    </row>
    <row r="210">
      <c r="A210" s="14" t="str">
        <f>IFERROR(__xludf.DUMMYFUNCTION("""COMPUTED_VALUE"""),"O-15693-00")</f>
        <v>O-15693-00</v>
      </c>
      <c r="B210" s="14" t="str">
        <f>IFERROR(__xludf.DUMMYFUNCTION("""COMPUTED_VALUE"""),"SILICONE GASKET EPDM 29,5X19,5; PART NO :7164")</f>
        <v>SILICONE GASKET EPDM 29,5X19,5; PART NO :7164</v>
      </c>
      <c r="C210" s="14" t="str">
        <f>IFERROR(__xludf.DUMMYFUNCTION("""COMPUTED_VALUE"""),"O-15693-00")</f>
        <v>O-15693-00</v>
      </c>
    </row>
    <row r="211">
      <c r="A211" s="14" t="str">
        <f>IFERROR(__xludf.DUMMYFUNCTION("""COMPUTED_VALUE"""),"O-15694-00")</f>
        <v>O-15694-00</v>
      </c>
      <c r="B211" s="14" t="str">
        <f>IFERROR(__xludf.DUMMYFUNCTION("""COMPUTED_VALUE"""),"SILICONE O-RING 2162; PART NO :200831")</f>
        <v>SILICONE O-RING 2162; PART NO :200831</v>
      </c>
      <c r="C211" s="14" t="str">
        <f>IFERROR(__xludf.DUMMYFUNCTION("""COMPUTED_VALUE"""),"O-15694-00")</f>
        <v>O-15694-00</v>
      </c>
    </row>
    <row r="212">
      <c r="A212" s="14" t="str">
        <f>IFERROR(__xludf.DUMMYFUNCTION("""COMPUTED_VALUE"""),"O-15695-00")</f>
        <v>O-15695-00</v>
      </c>
      <c r="B212" s="14" t="str">
        <f>IFERROR(__xludf.DUMMYFUNCTION("""COMPUTED_VALUE"""),"SILICONE STRING FOR GASKET EPDM 9,5X7,5 ; PART NO :7165")</f>
        <v>SILICONE STRING FOR GASKET EPDM 9,5X7,5 ; PART NO :7165</v>
      </c>
      <c r="C212" s="14" t="str">
        <f>IFERROR(__xludf.DUMMYFUNCTION("""COMPUTED_VALUE"""),"O-15695-00")</f>
        <v>O-15695-00</v>
      </c>
    </row>
    <row r="213">
      <c r="A213" s="14" t="str">
        <f>IFERROR(__xludf.DUMMYFUNCTION("""COMPUTED_VALUE"""),"O-15696-00")</f>
        <v>O-15696-00</v>
      </c>
      <c r="B213" s="14" t="str">
        <f>IFERROR(__xludf.DUMMYFUNCTION("""COMPUTED_VALUE"""),"SILICONE SUCKER 01.11.16; PART NO :202082")</f>
        <v>SILICONE SUCKER 01.11.16; PART NO :202082</v>
      </c>
      <c r="C213" s="14" t="str">
        <f>IFERROR(__xludf.DUMMYFUNCTION("""COMPUTED_VALUE"""),"O-15696-00")</f>
        <v>O-15696-00</v>
      </c>
    </row>
    <row r="214">
      <c r="A214" s="14" t="str">
        <f>IFERROR(__xludf.DUMMYFUNCTION("""COMPUTED_VALUE"""),"O-15697-00")</f>
        <v>O-15697-00</v>
      </c>
      <c r="B214" s="14" t="str">
        <f>IFERROR(__xludf.DUMMYFUNCTION("""COMPUTED_VALUE"""),"General - SILICONE SUCKER 01.16.20; Steriline; 202370; 1 Pc")</f>
        <v>General - SILICONE SUCKER 01.16.20; Steriline; 202370; 1 Pc</v>
      </c>
      <c r="C214" s="14" t="str">
        <f>IFERROR(__xludf.DUMMYFUNCTION("""COMPUTED_VALUE"""),"O-15697-00")</f>
        <v>O-15697-00</v>
      </c>
    </row>
    <row r="215">
      <c r="A215" s="14" t="str">
        <f>IFERROR(__xludf.DUMMYFUNCTION("""COMPUTED_VALUE"""),"O-15698-00")</f>
        <v>O-15698-00</v>
      </c>
      <c r="B215" s="14" t="str">
        <f>IFERROR(__xludf.DUMMYFUNCTION("""COMPUTED_VALUE"""),"SLEEVE BEARING STAR 0670-225-40PP; STERILINE ;
 PART NO :200988")</f>
        <v>SLEEVE BEARING STAR 0670-225-40PP; STERILINE ;
 PART NO :200988</v>
      </c>
      <c r="C215" s="14" t="str">
        <f>IFERROR(__xludf.DUMMYFUNCTION("""COMPUTED_VALUE"""),"O-15698-00")</f>
        <v>O-15698-00</v>
      </c>
    </row>
    <row r="216">
      <c r="A216" s="14" t="str">
        <f>IFERROR(__xludf.DUMMYFUNCTION("""COMPUTED_VALUE"""),"O-15699-00")</f>
        <v>O-15699-00</v>
      </c>
      <c r="B216" s="14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4" t="str">
        <f>IFERROR(__xludf.DUMMYFUNCTION("""COMPUTED_VALUE"""),"O-15699-00")</f>
        <v>O-15699-00</v>
      </c>
    </row>
    <row r="217">
      <c r="A217" s="14" t="str">
        <f>IFERROR(__xludf.DUMMYFUNCTION("""COMPUTED_VALUE"""),"O-15700-00")</f>
        <v>O-15700-00</v>
      </c>
      <c r="B217" s="14" t="str">
        <f>IFERROR(__xludf.DUMMYFUNCTION("""COMPUTED_VALUE"""),"SOLENOID VALVE CLWS COMPRESSOR(6213A 1/2 24 VDC 10 W,)")</f>
        <v>SOLENOID VALVE CLWS COMPRESSOR(6213A 1/2 24 VDC 10 W,)</v>
      </c>
      <c r="C217" s="14" t="str">
        <f>IFERROR(__xludf.DUMMYFUNCTION("""COMPUTED_VALUE"""),"O-15700-00")</f>
        <v>O-15700-00</v>
      </c>
    </row>
    <row r="218">
      <c r="A218" s="14" t="str">
        <f>IFERROR(__xludf.DUMMYFUNCTION("""COMPUTED_VALUE"""),"O-15701-00")</f>
        <v>O-15701-00</v>
      </c>
      <c r="B218" s="14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4" t="str">
        <f>IFERROR(__xludf.DUMMYFUNCTION("""COMPUTED_VALUE"""),"O-15701-00")</f>
        <v>O-15701-00</v>
      </c>
    </row>
    <row r="219">
      <c r="A219" s="14" t="str">
        <f>IFERROR(__xludf.DUMMYFUNCTION("""COMPUTED_VALUE"""),"O-15702-00")</f>
        <v>O-15702-00</v>
      </c>
      <c r="B219" s="14" t="str">
        <f>IFERROR(__xludf.DUMMYFUNCTION("""COMPUTED_VALUE"""),"SOLENOID VALVE SOLDER 3/8  &amp; 3/8")</f>
        <v>SOLENOID VALVE SOLDER 3/8  &amp; 3/8</v>
      </c>
      <c r="C219" s="14" t="str">
        <f>IFERROR(__xludf.DUMMYFUNCTION("""COMPUTED_VALUE"""),"O-15702-00")</f>
        <v>O-15702-00</v>
      </c>
    </row>
    <row r="220">
      <c r="A220" s="14" t="str">
        <f>IFERROR(__xludf.DUMMYFUNCTION("""COMPUTED_VALUE"""),"O-15703-00")</f>
        <v>O-15703-00</v>
      </c>
      <c r="B220" s="14" t="str">
        <f>IFERROR(__xludf.DUMMYFUNCTION("""COMPUTED_VALUE"""),"SPRING D=17X61-1.25 PITCH=10; PART NO :302681")</f>
        <v>SPRING D=17X61-1.25 PITCH=10; PART NO :302681</v>
      </c>
      <c r="C220" s="14" t="str">
        <f>IFERROR(__xludf.DUMMYFUNCTION("""COMPUTED_VALUE"""),"O-15703-00")</f>
        <v>O-15703-00</v>
      </c>
    </row>
    <row r="221">
      <c r="A221" s="14" t="str">
        <f>IFERROR(__xludf.DUMMYFUNCTION("""COMPUTED_VALUE"""),"O-15704-00")</f>
        <v>O-15704-00</v>
      </c>
      <c r="B221" s="14" t="str">
        <f>IFERROR(__xludf.DUMMYFUNCTION("""COMPUTED_VALUE"""),"STATIC GASKET (DOOR GASKET) FOR MAIN CHAMBER ; KLENZAIDS")</f>
        <v>STATIC GASKET (DOOR GASKET) FOR MAIN CHAMBER ; KLENZAIDS</v>
      </c>
      <c r="C221" s="14" t="str">
        <f>IFERROR(__xludf.DUMMYFUNCTION("""COMPUTED_VALUE"""),"O-15704-00")</f>
        <v>O-15704-00</v>
      </c>
    </row>
    <row r="222">
      <c r="A222" s="14" t="str">
        <f>IFERROR(__xludf.DUMMYFUNCTION("""COMPUTED_VALUE"""),"O-15705-00")</f>
        <v>O-15705-00</v>
      </c>
      <c r="B222" s="14" t="str">
        <f>IFERROR(__xludf.DUMMYFUNCTION("""COMPUTED_VALUE"""),"STERILE FILTER(SARTOFLUOR 0.2 UM, CARTRIDGE 5UM)")</f>
        <v>STERILE FILTER(SARTOFLUOR 0.2 UM, CARTRIDGE 5UM)</v>
      </c>
      <c r="C222" s="14" t="str">
        <f>IFERROR(__xludf.DUMMYFUNCTION("""COMPUTED_VALUE"""),"O-15705-00")</f>
        <v>O-15705-00</v>
      </c>
    </row>
    <row r="223">
      <c r="A223" s="14" t="str">
        <f>IFERROR(__xludf.DUMMYFUNCTION("""COMPUTED_VALUE"""),"O-15706-00")</f>
        <v>O-15706-00</v>
      </c>
      <c r="B223" s="14" t="str">
        <f>IFERROR(__xludf.DUMMYFUNCTION("""COMPUTED_VALUE"""),"STERILE FILTER FOR AIR; FA ;")</f>
        <v>STERILE FILTER FOR AIR; FA ;</v>
      </c>
      <c r="C223" s="14" t="str">
        <f>IFERROR(__xludf.DUMMYFUNCTION("""COMPUTED_VALUE"""),"O-15706-00")</f>
        <v>O-15706-00</v>
      </c>
    </row>
    <row r="224">
      <c r="A224" s="14" t="str">
        <f>IFERROR(__xludf.DUMMYFUNCTION("""COMPUTED_VALUE"""),"O-15707-00")</f>
        <v>O-15707-00</v>
      </c>
      <c r="B224" s="14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4" t="str">
        <f>IFERROR(__xludf.DUMMYFUNCTION("""COMPUTED_VALUE"""),"O-15707-00")</f>
        <v>O-15707-00</v>
      </c>
    </row>
    <row r="225">
      <c r="A225" s="14" t="str">
        <f>IFERROR(__xludf.DUMMYFUNCTION("""COMPUTED_VALUE"""),"O-15708-00")</f>
        <v>O-15708-00</v>
      </c>
      <c r="B225" s="14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4" t="str">
        <f>IFERROR(__xludf.DUMMYFUNCTION("""COMPUTED_VALUE"""),"O-15708-00")</f>
        <v>O-15708-00</v>
      </c>
    </row>
    <row r="226">
      <c r="A226" s="14" t="str">
        <f>IFERROR(__xludf.DUMMYFUNCTION("""COMPUTED_VALUE"""),"O-15709-00")</f>
        <v>O-15709-00</v>
      </c>
      <c r="B226" s="14" t="str">
        <f>IFERROR(__xludf.DUMMYFUNCTION("""COMPUTED_VALUE"""),"KEYENCE, HIGH PRECISION OPTICAL FIBER SUPER TOUGH FLEX FIBERS;")</f>
        <v>KEYENCE, HIGH PRECISION OPTICAL FIBER SUPER TOUGH FLEX FIBERS;</v>
      </c>
      <c r="C226" s="14" t="str">
        <f>IFERROR(__xludf.DUMMYFUNCTION("""COMPUTED_VALUE"""),"O-15709-00")</f>
        <v>O-15709-00</v>
      </c>
    </row>
    <row r="227">
      <c r="A227" s="14" t="str">
        <f>IFERROR(__xludf.DUMMYFUNCTION("""COMPUTED_VALUE"""),"O-15710-00")</f>
        <v>O-15710-00</v>
      </c>
      <c r="B227" s="14" t="str">
        <f>IFERROR(__xludf.DUMMYFUNCTION("""COMPUTED_VALUE"""),"VACUUM VALVE; MAC; 55B-24-PE-611-JB")</f>
        <v>VACUUM VALVE; MAC; 55B-24-PE-611-JB</v>
      </c>
      <c r="C227" s="14" t="str">
        <f>IFERROR(__xludf.DUMMYFUNCTION("""COMPUTED_VALUE"""),"O-15710-00")</f>
        <v>O-15710-00</v>
      </c>
    </row>
    <row r="228">
      <c r="A228" s="14" t="str">
        <f>IFERROR(__xludf.DUMMYFUNCTION("""COMPUTED_VALUE"""),"O-15711-00")</f>
        <v>O-15711-00</v>
      </c>
      <c r="B228" s="14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4" t="str">
        <f>IFERROR(__xludf.DUMMYFUNCTION("""COMPUTED_VALUE"""),"O-15711-00")</f>
        <v>O-15711-00</v>
      </c>
    </row>
    <row r="229">
      <c r="A229" s="14" t="str">
        <f>IFERROR(__xludf.DUMMYFUNCTION("""COMPUTED_VALUE"""),"O-15712-00")</f>
        <v>O-15712-00</v>
      </c>
      <c r="B229" s="14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4" t="str">
        <f>IFERROR(__xludf.DUMMYFUNCTION("""COMPUTED_VALUE"""),"O-15712-00")</f>
        <v>O-15712-00</v>
      </c>
    </row>
    <row r="230">
      <c r="A230" s="14" t="str">
        <f>IFERROR(__xludf.DUMMYFUNCTION("""COMPUTED_VALUE"""),"O-15713-00")</f>
        <v>O-15713-00</v>
      </c>
      <c r="B230" s="14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4" t="str">
        <f>IFERROR(__xludf.DUMMYFUNCTION("""COMPUTED_VALUE"""),"O-15713-00")</f>
        <v>O-15713-00</v>
      </c>
    </row>
    <row r="231">
      <c r="A231" s="14" t="str">
        <f>IFERROR(__xludf.DUMMYFUNCTION("""COMPUTED_VALUE"""),"O-15714-00")</f>
        <v>O-15714-00</v>
      </c>
      <c r="B231" s="14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4" t="str">
        <f>IFERROR(__xludf.DUMMYFUNCTION("""COMPUTED_VALUE"""),"O-15714-00")</f>
        <v>O-15714-00</v>
      </c>
    </row>
    <row r="232">
      <c r="A232" s="14" t="str">
        <f>IFERROR(__xludf.DUMMYFUNCTION("""COMPUTED_VALUE"""),"O-15715-00")</f>
        <v>O-15715-00</v>
      </c>
      <c r="B232" s="14" t="str">
        <f>IFERROR(__xludf.DUMMYFUNCTION("""COMPUTED_VALUE"""),"STOPPERS VIBRATING BOWL BASE ; VIBRATING BASE D=290 220V-50HZ")</f>
        <v>STOPPERS VIBRATING BOWL BASE ; VIBRATING BASE D=290 220V-50HZ</v>
      </c>
      <c r="C232" s="14" t="str">
        <f>IFERROR(__xludf.DUMMYFUNCTION("""COMPUTED_VALUE"""),"O-15715-00")</f>
        <v>O-15715-00</v>
      </c>
    </row>
    <row r="233">
      <c r="A233" s="14" t="str">
        <f>IFERROR(__xludf.DUMMYFUNCTION("""COMPUTED_VALUE"""),"O-15716-00")</f>
        <v>O-15716-00</v>
      </c>
      <c r="B233" s="14" t="str">
        <f>IFERROR(__xludf.DUMMYFUNCTION("""COMPUTED_VALUE"""),"STOPPERS VIBRATING CHUTE BASE ; LINEAR FEEDER 220V-50HZ SERIAL NO. 09375")</f>
        <v>STOPPERS VIBRATING CHUTE BASE ; LINEAR FEEDER 220V-50HZ SERIAL NO. 09375</v>
      </c>
      <c r="C233" s="14" t="str">
        <f>IFERROR(__xludf.DUMMYFUNCTION("""COMPUTED_VALUE"""),"O-15716-00")</f>
        <v>O-15716-00</v>
      </c>
    </row>
    <row r="234">
      <c r="A234" s="14" t="str">
        <f>IFERROR(__xludf.DUMMYFUNCTION("""COMPUTED_VALUE"""),"O-15717-00")</f>
        <v>O-15717-00</v>
      </c>
      <c r="B234" s="14" t="str">
        <f>IFERROR(__xludf.DUMMYFUNCTION("""COMPUTED_VALUE"""),"STOPPERS VIBRATING HOPPER BASE ; VIBRATING HOPPER 18/20 LIT BASE")</f>
        <v>STOPPERS VIBRATING HOPPER BASE ; VIBRATING HOPPER 18/20 LIT BASE</v>
      </c>
      <c r="C234" s="14" t="str">
        <f>IFERROR(__xludf.DUMMYFUNCTION("""COMPUTED_VALUE"""),"O-15717-00")</f>
        <v>O-15717-00</v>
      </c>
    </row>
    <row r="235">
      <c r="A235" s="14" t="str">
        <f>IFERROR(__xludf.DUMMYFUNCTION("""COMPUTED_VALUE"""),"O-15718-00")</f>
        <v>O-15718-00</v>
      </c>
      <c r="B235" s="14" t="str">
        <f>IFERROR(__xludf.DUMMYFUNCTION("""COMPUTED_VALUE"""),"General - SYNTHETIC FOOD GRADE; CRC; NSF H1; 1 Pc")</f>
        <v>General - SYNTHETIC FOOD GRADE; CRC; NSF H1; 1 Pc</v>
      </c>
      <c r="C235" s="14" t="str">
        <f>IFERROR(__xludf.DUMMYFUNCTION("""COMPUTED_VALUE"""),"O-15718-00")</f>
        <v>O-15718-00</v>
      </c>
    </row>
    <row r="236">
      <c r="A236" s="14" t="str">
        <f>IFERROR(__xludf.DUMMYFUNCTION("""COMPUTED_VALUE"""),"O-15719-00")</f>
        <v>O-15719-00</v>
      </c>
      <c r="B236" s="14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4" t="str">
        <f>IFERROR(__xludf.DUMMYFUNCTION("""COMPUTED_VALUE"""),"O-15719-00")</f>
        <v>O-15719-00</v>
      </c>
    </row>
    <row r="237">
      <c r="A237" s="14" t="str">
        <f>IFERROR(__xludf.DUMMYFUNCTION("""COMPUTED_VALUE"""),"O-15720-00")</f>
        <v>O-15720-00</v>
      </c>
      <c r="B237" s="14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4" t="str">
        <f>IFERROR(__xludf.DUMMYFUNCTION("""COMPUTED_VALUE"""),"O-15720-00")</f>
        <v>O-15720-00</v>
      </c>
    </row>
    <row r="238">
      <c r="A238" s="14" t="str">
        <f>IFERROR(__xludf.DUMMYFUNCTION("""COMPUTED_VALUE"""),"O-15721-00")</f>
        <v>O-15721-00</v>
      </c>
      <c r="B238" s="14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4" t="str">
        <f>IFERROR(__xludf.DUMMYFUNCTION("""COMPUTED_VALUE"""),"O-15721-00")</f>
        <v>O-15721-00</v>
      </c>
    </row>
    <row r="239">
      <c r="A239" s="14" t="str">
        <f>IFERROR(__xludf.DUMMYFUNCTION("""COMPUTED_VALUE"""),"O-15722-00")</f>
        <v>O-15722-00</v>
      </c>
      <c r="B239" s="14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4" t="str">
        <f>IFERROR(__xludf.DUMMYFUNCTION("""COMPUTED_VALUE"""),"O-15722-00")</f>
        <v>O-15722-00</v>
      </c>
    </row>
    <row r="240">
      <c r="A240" s="14" t="str">
        <f>IFERROR(__xludf.DUMMYFUNCTION("""COMPUTED_VALUE"""),"O-15723-00")</f>
        <v>O-15723-00</v>
      </c>
      <c r="B240" s="14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4" t="str">
        <f>IFERROR(__xludf.DUMMYFUNCTION("""COMPUTED_VALUE"""),"O-15723-00")</f>
        <v>O-15723-00</v>
      </c>
    </row>
    <row r="241">
      <c r="A241" s="14" t="str">
        <f>IFERROR(__xludf.DUMMYFUNCTION("""COMPUTED_VALUE"""),"O-15724-00")</f>
        <v>O-15724-00</v>
      </c>
      <c r="B241" s="14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4" t="str">
        <f>IFERROR(__xludf.DUMMYFUNCTION("""COMPUTED_VALUE"""),"O-15724-00")</f>
        <v>O-15724-00</v>
      </c>
    </row>
    <row r="242">
      <c r="A242" s="14" t="str">
        <f>IFERROR(__xludf.DUMMYFUNCTION("""COMPUTED_VALUE"""),"O-15725-00")</f>
        <v>O-15725-00</v>
      </c>
      <c r="B242" s="14" t="str">
        <f>IFERROR(__xludf.DUMMYFUNCTION("""COMPUTED_VALUE"""),"VACUUM CLAMP DAN BLIND 3/4 + GASKET")</f>
        <v>VACUUM CLAMP DAN BLIND 3/4 + GASKET</v>
      </c>
      <c r="C242" s="14" t="str">
        <f>IFERROR(__xludf.DUMMYFUNCTION("""COMPUTED_VALUE"""),"O-15725-00")</f>
        <v>O-15725-00</v>
      </c>
    </row>
    <row r="243">
      <c r="A243" s="14" t="str">
        <f>IFERROR(__xludf.DUMMYFUNCTION("""COMPUTED_VALUE"""),"O-15726-00")</f>
        <v>O-15726-00</v>
      </c>
      <c r="B243" s="14" t="str">
        <f>IFERROR(__xludf.DUMMYFUNCTION("""COMPUTED_VALUE"""),"VACUUM KIT SEAL; part number KK000315")</f>
        <v>VACUUM KIT SEAL; part number KK000315</v>
      </c>
      <c r="C243" s="14" t="str">
        <f>IFERROR(__xludf.DUMMYFUNCTION("""COMPUTED_VALUE"""),"O-15726-00")</f>
        <v>O-15726-00</v>
      </c>
    </row>
    <row r="244">
      <c r="A244" s="14" t="str">
        <f>IFERROR(__xludf.DUMMYFUNCTION("""COMPUTED_VALUE"""),"O-15727-00")</f>
        <v>O-15727-00</v>
      </c>
      <c r="B244" s="14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4" t="str">
        <f>IFERROR(__xludf.DUMMYFUNCTION("""COMPUTED_VALUE"""),"O-15727-00")</f>
        <v>O-15727-00</v>
      </c>
    </row>
    <row r="245">
      <c r="A245" s="14" t="str">
        <f>IFERROR(__xludf.DUMMYFUNCTION("""COMPUTED_VALUE"""),"O-15728-00")</f>
        <v>O-15728-00</v>
      </c>
      <c r="B245" s="14" t="str">
        <f>IFERROR(__xludf.DUMMYFUNCTION("""COMPUTED_VALUE"""),"VACUUM PUMP WATER LINE FILTER; F4 ;")</f>
        <v>VACUUM PUMP WATER LINE FILTER; F4 ;</v>
      </c>
      <c r="C245" s="14" t="str">
        <f>IFERROR(__xludf.DUMMYFUNCTION("""COMPUTED_VALUE"""),"O-15728-00")</f>
        <v>O-15728-00</v>
      </c>
    </row>
    <row r="246">
      <c r="A246" s="14" t="str">
        <f>IFERROR(__xludf.DUMMYFUNCTION("""COMPUTED_VALUE"""),"O-15729-00")</f>
        <v>O-15729-00</v>
      </c>
      <c r="B246" s="14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4" t="str">
        <f>IFERROR(__xludf.DUMMYFUNCTION("""COMPUTED_VALUE"""),"O-15729-00")</f>
        <v>O-15729-00</v>
      </c>
    </row>
    <row r="247">
      <c r="A247" s="14" t="str">
        <f>IFERROR(__xludf.DUMMYFUNCTION("""COMPUTED_VALUE"""),"O-15730-00")</f>
        <v>O-15730-00</v>
      </c>
      <c r="B247" s="14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4" t="str">
        <f>IFERROR(__xludf.DUMMYFUNCTION("""COMPUTED_VALUE"""),"O-15730-00")</f>
        <v>O-15730-00</v>
      </c>
    </row>
    <row r="248">
      <c r="A248" s="14" t="str">
        <f>IFERROR(__xludf.DUMMYFUNCTION("""COMPUTED_VALUE"""),"O-15731-00")</f>
        <v>O-15731-00</v>
      </c>
      <c r="B248" s="14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4" t="str">
        <f>IFERROR(__xludf.DUMMYFUNCTION("""COMPUTED_VALUE"""),"O-15731-00")</f>
        <v>O-15731-00</v>
      </c>
    </row>
    <row r="249">
      <c r="A249" s="14" t="str">
        <f>IFERROR(__xludf.DUMMYFUNCTION("""COMPUTED_VALUE"""),"O-15732-00")</f>
        <v>O-15732-00</v>
      </c>
      <c r="B249" s="14" t="str">
        <f>IFERROR(__xludf.DUMMYFUNCTION("""COMPUTED_VALUE"""),"KEYENCE AMPLIFIER SENSOR OPTICAL FIBER PNP OUTPUT CONNECTOR M8 FU-12")</f>
        <v>KEYENCE AMPLIFIER SENSOR OPTICAL FIBER PNP OUTPUT CONNECTOR M8 FU-12</v>
      </c>
      <c r="C249" s="14" t="str">
        <f>IFERROR(__xludf.DUMMYFUNCTION("""COMPUTED_VALUE"""),"O-15732-00")</f>
        <v>O-15732-00</v>
      </c>
    </row>
    <row r="250">
      <c r="A250" s="14" t="str">
        <f>IFERROR(__xludf.DUMMYFUNCTION("""COMPUTED_VALUE"""),"O-15733-00")</f>
        <v>O-15733-00</v>
      </c>
      <c r="B250" s="14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4" t="str">
        <f>IFERROR(__xludf.DUMMYFUNCTION("""COMPUTED_VALUE"""),"O-15733-00")</f>
        <v>O-15733-00</v>
      </c>
    </row>
    <row r="251">
      <c r="A251" s="14" t="str">
        <f>IFERROR(__xludf.DUMMYFUNCTION("""COMPUTED_VALUE"""),"O-15734-00")</f>
        <v>O-15734-00</v>
      </c>
      <c r="B251" s="14" t="str">
        <f>IFERROR(__xludf.DUMMYFUNCTION("""COMPUTED_VALUE"""),"WHEEL BEARING NATR 10 PP - INA; STERILINE: PART NO :200829")</f>
        <v>WHEEL BEARING NATR 10 PP - INA; STERILINE: PART NO :200829</v>
      </c>
      <c r="C251" s="14" t="str">
        <f>IFERROR(__xludf.DUMMYFUNCTION("""COMPUTED_VALUE"""),"O-15734-00")</f>
        <v>O-15734-00</v>
      </c>
    </row>
    <row r="252">
      <c r="A252" s="14" t="str">
        <f>IFERROR(__xludf.DUMMYFUNCTION("""COMPUTED_VALUE"""),"O-15786-00")</f>
        <v>O-15786-00</v>
      </c>
      <c r="B252" s="14" t="str">
        <f>IFERROR(__xludf.DUMMYFUNCTION("""COMPUTED_VALUE"""),"SG-1 Coiled Tubing W/3/8""FL Type : 1002-0161; ; ;")</f>
        <v>SG-1 Coiled Tubing W/3/8"FL Type : 1002-0161; ; ;</v>
      </c>
      <c r="C252" s="14" t="str">
        <f>IFERROR(__xludf.DUMMYFUNCTION("""COMPUTED_VALUE"""),"O-15786-00")</f>
        <v>O-15786-00</v>
      </c>
    </row>
    <row r="253">
      <c r="A253" s="14" t="str">
        <f>IFERROR(__xludf.DUMMYFUNCTION("""COMPUTED_VALUE"""),"O-15820-00")</f>
        <v>O-15820-00</v>
      </c>
      <c r="B253" s="14" t="str">
        <f>IFERROR(__xludf.DUMMYFUNCTION("""COMPUTED_VALUE"""),"General - MCB C60H 1 phase 1 pole 2 A; Schneider; -; 1 Pc")</f>
        <v>General - MCB C60H 1 phase 1 pole 2 A; Schneider; -; 1 Pc</v>
      </c>
      <c r="C253" s="14" t="str">
        <f>IFERROR(__xludf.DUMMYFUNCTION("""COMPUTED_VALUE"""),"O-15820-00")</f>
        <v>O-15820-00</v>
      </c>
    </row>
    <row r="254">
      <c r="A254" s="14" t="str">
        <f>IFERROR(__xludf.DUMMYFUNCTION("""COMPUTED_VALUE"""),"O-15821-00")</f>
        <v>O-15821-00</v>
      </c>
      <c r="B254" s="14" t="str">
        <f>IFERROR(__xludf.DUMMYFUNCTION("""COMPUTED_VALUE"""),"MCB Schneider C60H 1 phase 1 pole 4 A 100000A - P/N : - pc")</f>
        <v>MCB Schneider C60H 1 phase 1 pole 4 A 100000A - P/N : - pc</v>
      </c>
      <c r="C254" s="14" t="str">
        <f>IFERROR(__xludf.DUMMYFUNCTION("""COMPUTED_VALUE"""),"O-15821-00")</f>
        <v>O-15821-00</v>
      </c>
    </row>
    <row r="255">
      <c r="A255" s="14" t="str">
        <f>IFERROR(__xludf.DUMMYFUNCTION("""COMPUTED_VALUE"""),"O-15822-00")</f>
        <v>O-15822-00</v>
      </c>
      <c r="B255" s="14" t="str">
        <f>IFERROR(__xludf.DUMMYFUNCTION("""COMPUTED_VALUE"""),"General - MCB C60H 1 phase 1 pole 10 A; Schneider; -; 1 Pc")</f>
        <v>General - MCB C60H 1 phase 1 pole 10 A; Schneider; -; 1 Pc</v>
      </c>
      <c r="C255" s="14" t="str">
        <f>IFERROR(__xludf.DUMMYFUNCTION("""COMPUTED_VALUE"""),"O-15822-00")</f>
        <v>O-15822-00</v>
      </c>
    </row>
    <row r="256">
      <c r="A256" s="14" t="str">
        <f>IFERROR(__xludf.DUMMYFUNCTION("""COMPUTED_VALUE"""),"O-15875-00")</f>
        <v>O-15875-00</v>
      </c>
      <c r="B256" s="14" t="str">
        <f>IFERROR(__xludf.DUMMYFUNCTION("""COMPUTED_VALUE"""),"Flexible Plate; Material = SUS316 L T= 1.2mm; ; ;")</f>
        <v>Flexible Plate; Material = SUS316 L T= 1.2mm; ; ;</v>
      </c>
      <c r="C256" s="14" t="str">
        <f>IFERROR(__xludf.DUMMYFUNCTION("""COMPUTED_VALUE"""),"O-15875-00")</f>
        <v>O-15875-00</v>
      </c>
    </row>
    <row r="257">
      <c r="A257" s="14" t="str">
        <f>IFERROR(__xludf.DUMMYFUNCTION("""COMPUTED_VALUE"""),"O-15902-00")</f>
        <v>O-15902-00</v>
      </c>
      <c r="B257" s="14" t="str">
        <f>IFERROR(__xludf.DUMMYFUNCTION("""COMPUTED_VALUE"""),"Suction Cup capping size 6R; P/N : 011010; ; ;")</f>
        <v>Suction Cup capping size 6R; P/N : 011010; ; ;</v>
      </c>
      <c r="C257" s="14" t="str">
        <f>IFERROR(__xludf.DUMMYFUNCTION("""COMPUTED_VALUE"""),"O-15902-00")</f>
        <v>O-15902-00</v>
      </c>
    </row>
    <row r="258">
      <c r="A258" s="14" t="str">
        <f>IFERROR(__xludf.DUMMYFUNCTION("""COMPUTED_VALUE"""),"O-15905-00")</f>
        <v>O-15905-00</v>
      </c>
      <c r="B258" s="14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4" t="str">
        <f>IFERROR(__xludf.DUMMYFUNCTION("""COMPUTED_VALUE"""),"O-15905-00")</f>
        <v>O-15905-00</v>
      </c>
    </row>
    <row r="259">
      <c r="A259" s="14" t="str">
        <f>IFERROR(__xludf.DUMMYFUNCTION("""COMPUTED_VALUE"""),"O-15906-00")</f>
        <v>O-15906-00</v>
      </c>
      <c r="B259" s="14" t="str">
        <f>IFERROR(__xludf.DUMMYFUNCTION("""COMPUTED_VALUE"""),"O-Ring ID =252mm STRIPE DIAM 4 mm in Viton (Sleeve Glove cRABS); ; ;")</f>
        <v>O-Ring ID =252mm STRIPE DIAM 4 mm in Viton (Sleeve Glove cRABS); ; ;</v>
      </c>
      <c r="C259" s="14" t="str">
        <f>IFERROR(__xludf.DUMMYFUNCTION("""COMPUTED_VALUE"""),"O-15906-00")</f>
        <v>O-15906-00</v>
      </c>
    </row>
    <row r="260">
      <c r="A260" s="14" t="str">
        <f>IFERROR(__xludf.DUMMYFUNCTION("""COMPUTED_VALUE"""),"O-15911-00")</f>
        <v>O-15911-00</v>
      </c>
      <c r="B260" s="14" t="str">
        <f>IFERROR(__xludf.DUMMYFUNCTION("""COMPUTED_VALUE"""),"Fedegari FVA2/A1 - TAPPO DN35 ASTM; Code : PM102749; ; ;")</f>
        <v>Fedegari FVA2/A1 - TAPPO DN35 ASTM; Code : PM102749; ; ;</v>
      </c>
      <c r="C260" s="14" t="str">
        <f>IFERROR(__xludf.DUMMYFUNCTION("""COMPUTED_VALUE"""),"O-15911-00")</f>
        <v>O-15911-00</v>
      </c>
    </row>
    <row r="261">
      <c r="A261" s="14" t="str">
        <f>IFERROR(__xludf.DUMMYFUNCTION("""COMPUTED_VALUE"""),"O-15912-00")</f>
        <v>O-15912-00</v>
      </c>
      <c r="B261" s="14" t="str">
        <f>IFERROR(__xludf.DUMMYFUNCTION("""COMPUTED_VALUE"""),"Fedegari FVA2/A1 - CLAMP DN34-DN35 (MICROCASTED); Code : GM100094; ; ;")</f>
        <v>Fedegari FVA2/A1 - CLAMP DN34-DN35 (MICROCASTED); Code : GM100094; ; ;</v>
      </c>
      <c r="C261" s="14" t="str">
        <f>IFERROR(__xludf.DUMMYFUNCTION("""COMPUTED_VALUE"""),"O-15912-00")</f>
        <v>O-15912-00</v>
      </c>
    </row>
    <row r="262">
      <c r="A262" s="14" t="str">
        <f>IFERROR(__xludf.DUMMYFUNCTION("""COMPUTED_VALUE"""),"O-15913-00")</f>
        <v>O-15913-00</v>
      </c>
      <c r="B262" s="14" t="str">
        <f>IFERROR(__xludf.DUMMYFUNCTION("""COMPUTED_VALUE"""),"Fedegari FVA2/A1 - CENTERING RING DN35 CLAMP; Code : PP100897; ; ;")</f>
        <v>Fedegari FVA2/A1 - CENTERING RING DN35 CLAMP; Code : PP100897; ; ;</v>
      </c>
      <c r="C262" s="14" t="str">
        <f>IFERROR(__xludf.DUMMYFUNCTION("""COMPUTED_VALUE"""),"O-15913-00")</f>
        <v>O-15913-00</v>
      </c>
    </row>
    <row r="263">
      <c r="A263" s="14" t="str">
        <f>IFERROR(__xludf.DUMMYFUNCTION("""COMPUTED_VALUE"""),"O-15914-00")</f>
        <v>O-15914-00</v>
      </c>
      <c r="B263" s="14" t="str">
        <f>IFERROR(__xludf.DUMMYFUNCTION("""COMPUTED_VALUE"""),"Fedegari FVA2/A1 - O-RING 34.52x3.53; Code : CC150171; ; ;")</f>
        <v>Fedegari FVA2/A1 - O-RING 34.52x3.53; Code : CC150171; ; ;</v>
      </c>
      <c r="C263" s="14" t="str">
        <f>IFERROR(__xludf.DUMMYFUNCTION("""COMPUTED_VALUE"""),"O-15914-00")</f>
        <v>O-15914-00</v>
      </c>
    </row>
    <row r="264">
      <c r="A264" s="14" t="str">
        <f>IFERROR(__xludf.DUMMYFUNCTION("""COMPUTED_VALUE"""),"O-15915-00")</f>
        <v>O-15915-00</v>
      </c>
      <c r="B264" s="14" t="str">
        <f>IFERROR(__xludf.DUMMYFUNCTION("""COMPUTED_VALUE"""),"Fedegari FVA2/A1 - DN16 ASTM CAP; Code : PM102747; ; ;")</f>
        <v>Fedegari FVA2/A1 - DN16 ASTM CAP; Code : PM102747; ; ;</v>
      </c>
      <c r="C264" s="14" t="str">
        <f>IFERROR(__xludf.DUMMYFUNCTION("""COMPUTED_VALUE"""),"O-15915-00")</f>
        <v>O-15915-00</v>
      </c>
    </row>
    <row r="265">
      <c r="A265" s="14" t="str">
        <f>IFERROR(__xludf.DUMMYFUNCTION("""COMPUTED_VALUE"""),"O-15916-00")</f>
        <v>O-15916-00</v>
      </c>
      <c r="B265" s="14" t="str">
        <f>IFERROR(__xludf.DUMMYFUNCTION("""COMPUTED_VALUE"""),"Fedegari FVA2/A1 - CLAMP DN10 1/2"" (MICROCASTED); Code : GM100017; ; ;")</f>
        <v>Fedegari FVA2/A1 - CLAMP DN10 1/2" (MICROCASTED); Code : GM100017; ; ;</v>
      </c>
      <c r="C265" s="14" t="str">
        <f>IFERROR(__xludf.DUMMYFUNCTION("""COMPUTED_VALUE"""),"O-15916-00")</f>
        <v>O-15916-00</v>
      </c>
    </row>
    <row r="266">
      <c r="A266" s="14" t="str">
        <f>IFERROR(__xludf.DUMMYFUNCTION("""COMPUTED_VALUE"""),"O-15917-00")</f>
        <v>O-15917-00</v>
      </c>
      <c r="B266" s="14" t="str">
        <f>IFERROR(__xludf.DUMMYFUNCTION("""COMPUTED_VALUE"""),"Fedegari FVA2/A1 - CENTERING RING DN16 CLAMP; Code : PP100907; ; ;")</f>
        <v>Fedegari FVA2/A1 - CENTERING RING DN16 CLAMP; Code : PP100907; ; ;</v>
      </c>
      <c r="C266" s="14" t="str">
        <f>IFERROR(__xludf.DUMMYFUNCTION("""COMPUTED_VALUE"""),"O-15917-00")</f>
        <v>O-15917-00</v>
      </c>
    </row>
    <row r="267">
      <c r="A267" s="14" t="str">
        <f>IFERROR(__xludf.DUMMYFUNCTION("""COMPUTED_VALUE"""),"O-15918-00")</f>
        <v>O-15918-00</v>
      </c>
      <c r="B267" s="14" t="str">
        <f>IFERROR(__xludf.DUMMYFUNCTION("""COMPUTED_VALUE"""),"Fedegari FVA2/A1 - O-RING 15.47x3.53 ; Code : CC150170; ; ;")</f>
        <v>Fedegari FVA2/A1 - O-RING 15.47x3.53 ; Code : CC150170; ; ;</v>
      </c>
      <c r="C267" s="14" t="str">
        <f>IFERROR(__xludf.DUMMYFUNCTION("""COMPUTED_VALUE"""),"O-15918-00")</f>
        <v>O-15918-00</v>
      </c>
    </row>
    <row r="268">
      <c r="A268" s="14" t="str">
        <f>IFERROR(__xludf.DUMMYFUNCTION("""COMPUTED_VALUE"""),"O-15919-00")</f>
        <v>O-15919-00</v>
      </c>
      <c r="B268" s="14" t="str">
        <f>IFERROR(__xludf.DUMMYFUNCTION("""COMPUTED_VALUE"""),"Temperature control Module PUM-A, MODEL PUMATCC1-0BY71; ; ;")</f>
        <v>Temperature control Module PUM-A, MODEL PUMATCC1-0BY71; ; ;</v>
      </c>
      <c r="C268" s="14" t="str">
        <f>IFERROR(__xludf.DUMMYFUNCTION("""COMPUTED_VALUE"""),"O-15919-00")</f>
        <v>O-15919-00</v>
      </c>
    </row>
    <row r="269">
      <c r="A269" s="14" t="str">
        <f>IFERROR(__xludf.DUMMYFUNCTION("""COMPUTED_VALUE"""),"O-15920-00")</f>
        <v>O-15920-00</v>
      </c>
      <c r="B269" s="14" t="str">
        <f>IFERROR(__xludf.DUMMYFUNCTION("""COMPUTED_VALUE"""),"Digital Event I/O module PUM-E, model PUM ERYY1-0B072; ; ;")</f>
        <v>Digital Event I/O module PUM-E, model PUM ERYY1-0B072; ; ;</v>
      </c>
      <c r="C269" s="14" t="str">
        <f>IFERROR(__xludf.DUMMYFUNCTION("""COMPUTED_VALUE"""),"O-15920-00")</f>
        <v>O-15920-00</v>
      </c>
    </row>
    <row r="270">
      <c r="A270" s="14" t="str">
        <f>IFERROR(__xludf.DUMMYFUNCTION("""COMPUTED_VALUE"""),"O-15921-00")</f>
        <v>O-15921-00</v>
      </c>
      <c r="B270" s="14" t="str">
        <f>IFERROR(__xludf.DUMMYFUNCTION("""COMPUTED_VALUE"""),"Clamp Ferrule 1/2""; SS304; ; ;")</f>
        <v>Clamp Ferrule 1/2"; SS304; ; ;</v>
      </c>
      <c r="C270" s="14" t="str">
        <f>IFERROR(__xludf.DUMMYFUNCTION("""COMPUTED_VALUE"""),"O-15921-00")</f>
        <v>O-15921-00</v>
      </c>
    </row>
    <row r="271">
      <c r="A271" s="14" t="str">
        <f>IFERROR(__xludf.DUMMYFUNCTION("""COMPUTED_VALUE"""),"O-15931-00")</f>
        <v>O-15931-00</v>
      </c>
      <c r="B271" s="14" t="str">
        <f>IFERROR(__xludf.DUMMYFUNCTION("""COMPUTED_VALUE"""),"General - Double Tape 1"" Merah; 3M; -; 1 Pc")</f>
        <v>General - Double Tape 1" Merah; 3M; -; 1 Pc</v>
      </c>
      <c r="C271" s="14" t="str">
        <f>IFERROR(__xludf.DUMMYFUNCTION("""COMPUTED_VALUE"""),"O-15931-00")</f>
        <v>O-15931-00</v>
      </c>
    </row>
    <row r="272">
      <c r="A272" s="14" t="str">
        <f>IFERROR(__xludf.DUMMYFUNCTION("""COMPUTED_VALUE"""),"O-16006-00")</f>
        <v>O-16006-00</v>
      </c>
      <c r="B272" s="14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4" t="str">
        <f>IFERROR(__xludf.DUMMYFUNCTION("""COMPUTED_VALUE"""),"O-16006-00")</f>
        <v>O-16006-00</v>
      </c>
    </row>
    <row r="273">
      <c r="A273" s="14" t="str">
        <f>IFERROR(__xludf.DUMMYFUNCTION("""COMPUTED_VALUE"""),"O-16007-00")</f>
        <v>O-16007-00</v>
      </c>
      <c r="B273" s="14" t="str">
        <f>IFERROR(__xludf.DUMMYFUNCTION("""COMPUTED_VALUE"""),"Silicone Sucker 01.10.10; P/N : 201119; ; ;")</f>
        <v>Silicone Sucker 01.10.10; P/N : 201119; ; ;</v>
      </c>
      <c r="C273" s="14" t="str">
        <f>IFERROR(__xludf.DUMMYFUNCTION("""COMPUTED_VALUE"""),"O-16007-00")</f>
        <v>O-16007-00</v>
      </c>
    </row>
    <row r="274">
      <c r="A274" s="14" t="str">
        <f>IFERROR(__xludf.DUMMYFUNCTION("""COMPUTED_VALUE"""),"O-16030-00")</f>
        <v>O-16030-00</v>
      </c>
      <c r="B274" s="14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4" t="str">
        <f>IFERROR(__xludf.DUMMYFUNCTION("""COMPUTED_VALUE"""),"O-16030-00")</f>
        <v>O-16030-00</v>
      </c>
    </row>
    <row r="275">
      <c r="A275" s="14" t="str">
        <f>IFERROR(__xludf.DUMMYFUNCTION("""COMPUTED_VALUE"""),"O-16031-00")</f>
        <v>O-16031-00</v>
      </c>
      <c r="B275" s="14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4" t="str">
        <f>IFERROR(__xludf.DUMMYFUNCTION("""COMPUTED_VALUE"""),"O-16031-00")</f>
        <v>O-16031-00</v>
      </c>
    </row>
    <row r="276">
      <c r="A276" s="14" t="str">
        <f>IFERROR(__xludf.DUMMYFUNCTION("""COMPUTED_VALUE"""),"O-16032-00")</f>
        <v>O-16032-00</v>
      </c>
      <c r="B276" s="14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4" t="str">
        <f>IFERROR(__xludf.DUMMYFUNCTION("""COMPUTED_VALUE"""),"O-16032-00")</f>
        <v>O-16032-00</v>
      </c>
    </row>
    <row r="277">
      <c r="A277" s="14" t="str">
        <f>IFERROR(__xludf.DUMMYFUNCTION("""COMPUTED_VALUE"""),"O-16032-00")</f>
        <v>O-16032-00</v>
      </c>
      <c r="B277" s="14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4" t="str">
        <f>IFERROR(__xludf.DUMMYFUNCTION("""COMPUTED_VALUE"""),"O-16032-00")</f>
        <v>O-16032-00</v>
      </c>
    </row>
    <row r="278">
      <c r="A278" s="14" t="str">
        <f>IFERROR(__xludf.DUMMYFUNCTION("""COMPUTED_VALUE"""),"O-16033-00")</f>
        <v>O-16033-00</v>
      </c>
      <c r="B278" s="14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4" t="str">
        <f>IFERROR(__xludf.DUMMYFUNCTION("""COMPUTED_VALUE"""),"O-16033-00")</f>
        <v>O-16033-00</v>
      </c>
    </row>
    <row r="279">
      <c r="A279" s="14" t="str">
        <f>IFERROR(__xludf.DUMMYFUNCTION("""COMPUTED_VALUE"""),"O-16033-00")</f>
        <v>O-16033-00</v>
      </c>
      <c r="B279" s="14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4" t="str">
        <f>IFERROR(__xludf.DUMMYFUNCTION("""COMPUTED_VALUE"""),"O-16033-00")</f>
        <v>O-16033-00</v>
      </c>
    </row>
    <row r="280">
      <c r="A280" s="14" t="str">
        <f>IFERROR(__xludf.DUMMYFUNCTION("""COMPUTED_VALUE"""),"O-16077-00")</f>
        <v>O-16077-00</v>
      </c>
      <c r="B280" s="14" t="str">
        <f>IFERROR(__xludf.DUMMYFUNCTION("""COMPUTED_VALUE"""),"Kleenpak Emflon PFR 0.2 um PALL Part No. KA2PFRP1 pc")</f>
        <v>Kleenpak Emflon PFR 0.2 um PALL Part No. KA2PFRP1 pc</v>
      </c>
      <c r="C280" s="14" t="str">
        <f>IFERROR(__xludf.DUMMYFUNCTION("""COMPUTED_VALUE"""),"O-16077-00")</f>
        <v>O-16077-00</v>
      </c>
    </row>
    <row r="281">
      <c r="A281" s="14" t="str">
        <f>IFERROR(__xludf.DUMMYFUNCTION("""COMPUTED_VALUE"""),"O-16097-00")</f>
        <v>O-16097-00</v>
      </c>
      <c r="B281" s="14" t="str">
        <f>IFERROR(__xludf.DUMMYFUNCTION("""COMPUTED_VALUE"""),"FILTER KIT FOR 92XX/94XX MITRA PACK, PT P/N : A40989 pc")</f>
        <v>FILTER KIT FOR 92XX/94XX MITRA PACK, PT P/N : A40989 pc</v>
      </c>
      <c r="C281" s="14" t="str">
        <f>IFERROR(__xludf.DUMMYFUNCTION("""COMPUTED_VALUE"""),"O-16097-00")</f>
        <v>O-16097-00</v>
      </c>
    </row>
    <row r="282">
      <c r="A282" s="14" t="str">
        <f>IFERROR(__xludf.DUMMYFUNCTION("""COMPUTED_VALUE"""),"O-16148-00")</f>
        <v>O-16148-00</v>
      </c>
      <c r="B282" s="14" t="str">
        <f>IFERROR(__xludf.DUMMYFUNCTION("""COMPUTED_VALUE"""),"O-Ring Silicone Red Uk.10.05 x 7.5 x 2.55; ; ;")</f>
        <v>O-Ring Silicone Red Uk.10.05 x 7.5 x 2.55; ; ;</v>
      </c>
      <c r="C282" s="14" t="str">
        <f>IFERROR(__xludf.DUMMYFUNCTION("""COMPUTED_VALUE"""),"O-16148-00")</f>
        <v>O-16148-00</v>
      </c>
    </row>
    <row r="283">
      <c r="A283" s="14" t="str">
        <f>IFERROR(__xludf.DUMMYFUNCTION("""COMPUTED_VALUE"""),"O-16149-00")</f>
        <v>O-16149-00</v>
      </c>
      <c r="B283" s="14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4" t="str">
        <f>IFERROR(__xludf.DUMMYFUNCTION("""COMPUTED_VALUE"""),"O-16149-00")</f>
        <v>O-16149-00</v>
      </c>
    </row>
    <row r="284">
      <c r="A284" s="14" t="str">
        <f>IFERROR(__xludf.DUMMYFUNCTION("""COMPUTED_VALUE"""),"O-16150-00")</f>
        <v>O-16150-00</v>
      </c>
      <c r="B284" s="14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4" t="str">
        <f>IFERROR(__xludf.DUMMYFUNCTION("""COMPUTED_VALUE"""),"O-16150-00")</f>
        <v>O-16150-00</v>
      </c>
    </row>
    <row r="285">
      <c r="A285" s="14" t="str">
        <f>IFERROR(__xludf.DUMMYFUNCTION("""COMPUTED_VALUE"""),"O-16152-00")</f>
        <v>O-16152-00</v>
      </c>
      <c r="B285" s="14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4" t="str">
        <f>IFERROR(__xludf.DUMMYFUNCTION("""COMPUTED_VALUE"""),"O-16152-00")</f>
        <v>O-16152-00</v>
      </c>
    </row>
    <row r="286">
      <c r="A286" s="14" t="str">
        <f>IFERROR(__xludf.DUMMYFUNCTION("""COMPUTED_VALUE"""),"O-16173-00")</f>
        <v>O-16173-00</v>
      </c>
      <c r="B286" s="14" t="str">
        <f>IFERROR(__xludf.DUMMYFUNCTION("""COMPUTED_VALUE"""),"O-RING T=3,53 :OR 4275 MVQ NT80-RED 39269097; Order No : 5022383; ; ;")</f>
        <v>O-RING T=3,53 :OR 4275 MVQ NT80-RED 39269097; Order No : 5022383; ; ;</v>
      </c>
      <c r="C286" s="14" t="str">
        <f>IFERROR(__xludf.DUMMYFUNCTION("""COMPUTED_VALUE"""),"O-16173-00")</f>
        <v>O-16173-00</v>
      </c>
    </row>
    <row r="287">
      <c r="A287" s="14" t="str">
        <f>IFERROR(__xludf.DUMMYFUNCTION("""COMPUTED_VALUE"""),"O-16174-00")</f>
        <v>O-16174-00</v>
      </c>
      <c r="B287" s="14" t="str">
        <f>IFERROR(__xludf.DUMMYFUNCTION("""COMPUTED_VALUE"""),"O-RING T=3,53 :OR 4400 MVQ70SH +M4 40169997 ; Order No : 5025024; ; ;")</f>
        <v>O-RING T=3,53 :OR 4400 MVQ70SH +M4 40169997 ; Order No : 5025024; ; ;</v>
      </c>
      <c r="C287" s="14" t="str">
        <f>IFERROR(__xludf.DUMMYFUNCTION("""COMPUTED_VALUE"""),"O-16174-00")</f>
        <v>O-16174-00</v>
      </c>
    </row>
    <row r="288">
      <c r="A288" s="14" t="str">
        <f>IFERROR(__xludf.DUMMYFUNCTION("""COMPUTED_VALUE"""),"O-16175-00")</f>
        <v>O-16175-00</v>
      </c>
      <c r="B288" s="14" t="str">
        <f>IFERROR(__xludf.DUMMYFUNCTION("""COMPUTED_VALUE"""),"O-RING T=3,53 :OR 4725 MVQ NT70-RED+M4 39269097; Order No : 5025020; ; ;")</f>
        <v>O-RING T=3,53 :OR 4725 MVQ NT70-RED+M4 39269097; Order No : 5025020; ; ;</v>
      </c>
      <c r="C288" s="14" t="str">
        <f>IFERROR(__xludf.DUMMYFUNCTION("""COMPUTED_VALUE"""),"O-16175-00")</f>
        <v>O-16175-00</v>
      </c>
    </row>
    <row r="289">
      <c r="A289" s="14" t="str">
        <f>IFERROR(__xludf.DUMMYFUNCTION("""COMPUTED_VALUE"""),"O-16187-00")</f>
        <v>O-16187-00</v>
      </c>
      <c r="B289" s="14" t="str">
        <f>IFERROR(__xludf.DUMMYFUNCTION("""COMPUTED_VALUE"""),"Timing Belt Lbr. 55mm Pjg Keliling 420mm; ; ;")</f>
        <v>Timing Belt Lbr. 55mm Pjg Keliling 420mm; ; ;</v>
      </c>
      <c r="C289" s="14" t="str">
        <f>IFERROR(__xludf.DUMMYFUNCTION("""COMPUTED_VALUE"""),"O-16187-00")</f>
        <v>O-16187-00</v>
      </c>
    </row>
    <row r="290">
      <c r="A290" s="14" t="str">
        <f>IFERROR(__xludf.DUMMYFUNCTION("""COMPUTED_VALUE"""),"O-16188-00")</f>
        <v>O-16188-00</v>
      </c>
      <c r="B290" s="14" t="str">
        <f>IFERROR(__xludf.DUMMYFUNCTION("""COMPUTED_VALUE"""),"Assembling external washing nozzle P/N 21025; Steriline; ;")</f>
        <v>Assembling external washing nozzle P/N 21025; Steriline; ;</v>
      </c>
      <c r="C290" s="14" t="str">
        <f>IFERROR(__xludf.DUMMYFUNCTION("""COMPUTED_VALUE"""),"O-16188-00")</f>
        <v>O-16188-00</v>
      </c>
    </row>
    <row r="291">
      <c r="A291" s="14" t="str">
        <f>IFERROR(__xludf.DUMMYFUNCTION("""COMPUTED_VALUE"""),"O-16189-00")</f>
        <v>O-16189-00</v>
      </c>
      <c r="B291" s="14" t="str">
        <f>IFERROR(__xludf.DUMMYFUNCTION("""COMPUTED_VALUE"""),"Assembling exernal drying nozzle P/N. 21029; Steriline; ;")</f>
        <v>Assembling exernal drying nozzle P/N. 21029; Steriline; ;</v>
      </c>
      <c r="C291" s="14" t="str">
        <f>IFERROR(__xludf.DUMMYFUNCTION("""COMPUTED_VALUE"""),"O-16189-00")</f>
        <v>O-16189-00</v>
      </c>
    </row>
    <row r="292">
      <c r="A292" s="14" t="str">
        <f>IFERROR(__xludf.DUMMYFUNCTION("""COMPUTED_VALUE"""),"O-16281-00")</f>
        <v>O-16281-00</v>
      </c>
      <c r="B292" s="14" t="str">
        <f>IFERROR(__xludf.DUMMYFUNCTION("""COMPUTED_VALUE"""),"Washing RAR4 - Pusher Guide; ; ;")</f>
        <v>Washing RAR4 - Pusher Guide; ; ;</v>
      </c>
      <c r="C292" s="14" t="str">
        <f>IFERROR(__xludf.DUMMYFUNCTION("""COMPUTED_VALUE"""),"O-16281-00")</f>
        <v>O-16281-00</v>
      </c>
    </row>
    <row r="293">
      <c r="A293" s="14" t="str">
        <f>IFERROR(__xludf.DUMMYFUNCTION("""COMPUTED_VALUE"""),"O-16314-00")</f>
        <v>O-16314-00</v>
      </c>
      <c r="B293" s="14" t="str">
        <f>IFERROR(__xludf.DUMMYFUNCTION("""COMPUTED_VALUE"""),"Membrane Diaphragm Valve EPDM PTFE DN 4-15 p/n: 600 8M 5A-221 Gemu; ; ;")</f>
        <v>Membrane Diaphragm Valve EPDM PTFE DN 4-15 p/n: 600 8M 5A-221 Gemu; ; ;</v>
      </c>
      <c r="C293" s="14" t="str">
        <f>IFERROR(__xludf.DUMMYFUNCTION("""COMPUTED_VALUE"""),"O-16314-00")</f>
        <v>O-16314-00</v>
      </c>
    </row>
    <row r="294">
      <c r="A294" s="14" t="str">
        <f>IFERROR(__xludf.DUMMYFUNCTION("""COMPUTED_VALUE"""),"O-16317-00")</f>
        <v>O-16317-00</v>
      </c>
      <c r="B294" s="14" t="str">
        <f>IFERROR(__xludf.DUMMYFUNCTION("""COMPUTED_VALUE"""),"FD Lyofast 10 - Oli Vaccum Ultragrade 20 Edwards; ; ;")</f>
        <v>FD Lyofast 10 - Oli Vaccum Ultragrade 20 Edwards; ; ;</v>
      </c>
      <c r="C294" s="14" t="str">
        <f>IFERROR(__xludf.DUMMYFUNCTION("""COMPUTED_VALUE"""),"O-16317-00")</f>
        <v>O-16317-00</v>
      </c>
    </row>
    <row r="295">
      <c r="A295" s="14" t="str">
        <f>IFERROR(__xludf.DUMMYFUNCTION("""COMPUTED_VALUE"""),"O-16318-00")</f>
        <v>O-16318-00</v>
      </c>
      <c r="B295" s="14" t="str">
        <f>IFERROR(__xludf.DUMMYFUNCTION("""COMPUTED_VALUE"""),"SED - Diaphragm spare MA8 EPDM/PTFE 00210.190.051.V")</f>
        <v>SED - Diaphragm spare MA8 EPDM/PTFE 00210.190.051.V</v>
      </c>
      <c r="C295" s="14" t="str">
        <f>IFERROR(__xludf.DUMMYFUNCTION("""COMPUTED_VALUE"""),"O-16318-00")</f>
        <v>O-16318-00</v>
      </c>
    </row>
    <row r="296">
      <c r="A296" s="14" t="str">
        <f>IFERROR(__xludf.DUMMYFUNCTION("""COMPUTED_VALUE"""),"O-16319-00")</f>
        <v>O-16319-00</v>
      </c>
      <c r="B296" s="14" t="str">
        <f>IFERROR(__xludf.DUMMYFUNCTION("""COMPUTED_VALUE"""),"SED - Stroke-Seal Adjuster and Manual Override p/n:024.14.025")</f>
        <v>SED - Stroke-Seal Adjuster and Manual Override p/n:024.14.025</v>
      </c>
      <c r="C296" s="14" t="str">
        <f>IFERROR(__xludf.DUMMYFUNCTION("""COMPUTED_VALUE"""),"O-16319-00")</f>
        <v>O-16319-00</v>
      </c>
    </row>
    <row r="297">
      <c r="A297" s="14" t="str">
        <f>IFERROR(__xludf.DUMMYFUNCTION("""COMPUTED_VALUE"""),"O-16321-00")</f>
        <v>O-16321-00</v>
      </c>
      <c r="B297" s="14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4" t="str">
        <f>IFERROR(__xludf.DUMMYFUNCTION("""COMPUTED_VALUE"""),"O-16321-00")</f>
        <v>O-16321-00</v>
      </c>
    </row>
    <row r="298">
      <c r="A298" s="14" t="str">
        <f>IFERROR(__xludf.DUMMYFUNCTION("""COMPUTED_VALUE"""),"O-16334-00")</f>
        <v>O-16334-00</v>
      </c>
      <c r="B298" s="14" t="str">
        <f>IFERROR(__xludf.DUMMYFUNCTION("""COMPUTED_VALUE"""),"Regulator Nitrogen ( N2 )  YAMATO P/N : -  pc")</f>
        <v>Regulator Nitrogen ( N2 )  YAMATO P/N : -  pc</v>
      </c>
      <c r="C298" s="14" t="str">
        <f>IFERROR(__xludf.DUMMYFUNCTION("""COMPUTED_VALUE"""),"O-16334-00")</f>
        <v>O-16334-00</v>
      </c>
    </row>
    <row r="299">
      <c r="A299" s="14" t="str">
        <f>IFERROR(__xludf.DUMMYFUNCTION("""COMPUTED_VALUE"""),"O-16550-00")</f>
        <v>O-16550-00</v>
      </c>
      <c r="B299" s="14" t="str">
        <f>IFERROR(__xludf.DUMMYFUNCTION("""COMPUTED_VALUE"""),"Seidenader MS30 - FS Rotation Axis Lower Part p/n:VK-068000-00")</f>
        <v>Seidenader MS30 - FS Rotation Axis Lower Part p/n:VK-068000-00</v>
      </c>
      <c r="C299" s="14" t="str">
        <f>IFERROR(__xludf.DUMMYFUNCTION("""COMPUTED_VALUE"""),"O-16550-00")</f>
        <v>O-16550-00</v>
      </c>
    </row>
    <row r="300">
      <c r="A300" s="14" t="str">
        <f>IFERROR(__xludf.DUMMYFUNCTION("""COMPUTED_VALUE"""),"O-16551-00")</f>
        <v>O-16551-00</v>
      </c>
      <c r="B300" s="14" t="str">
        <f>IFERROR(__xludf.DUMMYFUNCTION("""COMPUTED_VALUE"""),"Seidenader MS30 - FS Rotation Axis UpperPart p/n:VK-068048-06")</f>
        <v>Seidenader MS30 - FS Rotation Axis UpperPart p/n:VK-068048-06</v>
      </c>
      <c r="C300" s="14" t="str">
        <f>IFERROR(__xludf.DUMMYFUNCTION("""COMPUTED_VALUE"""),"O-16551-00")</f>
        <v>O-16551-00</v>
      </c>
    </row>
    <row r="301">
      <c r="A301" s="14" t="str">
        <f>IFERROR(__xludf.DUMMYFUNCTION("""COMPUTED_VALUE"""),"O-16552-00")</f>
        <v>O-16552-00</v>
      </c>
      <c r="B301" s="14" t="str">
        <f>IFERROR(__xludf.DUMMYFUNCTION("""COMPUTED_VALUE"""),"Seidenader MS30 - Sealing Starwheel p/n:37-029122-22")</f>
        <v>Seidenader MS30 - Sealing Starwheel p/n:37-029122-22</v>
      </c>
      <c r="C301" s="14" t="str">
        <f>IFERROR(__xludf.DUMMYFUNCTION("""COMPUTED_VALUE"""),"O-16552-00")</f>
        <v>O-16552-00</v>
      </c>
    </row>
    <row r="302">
      <c r="A302" s="14" t="str">
        <f>IFERROR(__xludf.DUMMYFUNCTION("""COMPUTED_VALUE"""),"O-16553-00")</f>
        <v>O-16553-00</v>
      </c>
      <c r="B302" s="14" t="str">
        <f>IFERROR(__xludf.DUMMYFUNCTION("""COMPUTED_VALUE"""),"Seidenader MS30 - Sealing Starwheel p/n:37-029122-22")</f>
        <v>Seidenader MS30 - Sealing Starwheel p/n:37-029122-22</v>
      </c>
      <c r="C302" s="14" t="str">
        <f>IFERROR(__xludf.DUMMYFUNCTION("""COMPUTED_VALUE"""),"O-16553-00")</f>
        <v>O-16553-00</v>
      </c>
    </row>
    <row r="303">
      <c r="A303" s="14" t="str">
        <f>IFERROR(__xludf.DUMMYFUNCTION("""COMPUTED_VALUE"""),"O-16554-00")</f>
        <v>O-16554-00</v>
      </c>
      <c r="B303" s="14" t="str">
        <f>IFERROR(__xludf.DUMMYFUNCTION("""COMPUTED_VALUE"""),"Seidenader MS30 - Sealing Starwheel p/n:37-029122-25")</f>
        <v>Seidenader MS30 - Sealing Starwheel p/n:37-029122-25</v>
      </c>
      <c r="C303" s="14" t="str">
        <f>IFERROR(__xludf.DUMMYFUNCTION("""COMPUTED_VALUE"""),"O-16554-00")</f>
        <v>O-16554-00</v>
      </c>
    </row>
    <row r="304">
      <c r="A304" s="14" t="str">
        <f>IFERROR(__xludf.DUMMYFUNCTION("""COMPUTED_VALUE"""),"O-16555-00")</f>
        <v>O-16555-00</v>
      </c>
      <c r="B304" s="14" t="str">
        <f>IFERROR(__xludf.DUMMYFUNCTION("""COMPUTED_VALUE"""),"Seidenader MS30 - Suction Cup Dia:16x19 (Standart) p/n:01-000413-20")</f>
        <v>Seidenader MS30 - Suction Cup Dia:16x19 (Standart) p/n:01-000413-20</v>
      </c>
      <c r="C304" s="14" t="str">
        <f>IFERROR(__xludf.DUMMYFUNCTION("""COMPUTED_VALUE"""),"O-16555-00")</f>
        <v>O-16555-00</v>
      </c>
    </row>
    <row r="305">
      <c r="A305" s="14" t="str">
        <f>IFERROR(__xludf.DUMMYFUNCTION("""COMPUTED_VALUE"""),"O-16556-00")</f>
        <v>O-16556-00</v>
      </c>
      <c r="B305" s="14" t="str">
        <f>IFERROR(__xludf.DUMMYFUNCTION("""COMPUTED_VALUE"""),"Seidenader MS30 - O-ring Black p/n:00-000428-07")</f>
        <v>Seidenader MS30 - O-ring Black p/n:00-000428-07</v>
      </c>
      <c r="C305" s="14" t="str">
        <f>IFERROR(__xludf.DUMMYFUNCTION("""COMPUTED_VALUE"""),"O-16556-00")</f>
        <v>O-16556-00</v>
      </c>
    </row>
    <row r="306">
      <c r="A306" s="14" t="str">
        <f>IFERROR(__xludf.DUMMYFUNCTION("""COMPUTED_VALUE"""),"O-16557-00")</f>
        <v>O-16557-00</v>
      </c>
      <c r="B306" s="14" t="str">
        <f>IFERROR(__xludf.DUMMYFUNCTION("""COMPUTED_VALUE"""),"Seidenader MS30 - O-ring Black Dia:18x2 p/n:00-000428-34")</f>
        <v>Seidenader MS30 - O-ring Black Dia:18x2 p/n:00-000428-34</v>
      </c>
      <c r="C306" s="14" t="str">
        <f>IFERROR(__xludf.DUMMYFUNCTION("""COMPUTED_VALUE"""),"O-16557-00")</f>
        <v>O-16557-00</v>
      </c>
    </row>
    <row r="307">
      <c r="A307" s="14" t="str">
        <f>IFERROR(__xludf.DUMMYFUNCTION("""COMPUTED_VALUE"""),"O-16558-00")</f>
        <v>O-16558-00</v>
      </c>
      <c r="B307" s="14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4" t="str">
        <f>IFERROR(__xludf.DUMMYFUNCTION("""COMPUTED_VALUE"""),"O-16558-00")</f>
        <v>O-16558-00</v>
      </c>
    </row>
    <row r="308">
      <c r="A308" s="14" t="str">
        <f>IFERROR(__xludf.DUMMYFUNCTION("""COMPUTED_VALUE"""),"O-16559-00")</f>
        <v>O-16559-00</v>
      </c>
      <c r="B308" s="14" t="str">
        <f>IFERROR(__xludf.DUMMYFUNCTION("""COMPUTED_VALUE"""),"Seidenader MS30 - Pressure Spring p/n:02-055865-00")</f>
        <v>Seidenader MS30 - Pressure Spring p/n:02-055865-00</v>
      </c>
      <c r="C308" s="14" t="str">
        <f>IFERROR(__xludf.DUMMYFUNCTION("""COMPUTED_VALUE"""),"O-16559-00")</f>
        <v>O-16559-00</v>
      </c>
    </row>
    <row r="309">
      <c r="A309" s="14" t="str">
        <f>IFERROR(__xludf.DUMMYFUNCTION("""COMPUTED_VALUE"""),"O-16560-00")</f>
        <v>O-16560-00</v>
      </c>
      <c r="B309" s="14" t="str">
        <f>IFERROR(__xludf.DUMMYFUNCTION("""COMPUTED_VALUE"""),"Seidenader MS30 - Rubber Band 298X47X1 p/n:37-030151-39")</f>
        <v>Seidenader MS30 - Rubber Band 298X47X1 p/n:37-030151-39</v>
      </c>
      <c r="C309" s="14" t="str">
        <f>IFERROR(__xludf.DUMMYFUNCTION("""COMPUTED_VALUE"""),"O-16560-00")</f>
        <v>O-16560-00</v>
      </c>
    </row>
    <row r="310">
      <c r="A310" s="14" t="str">
        <f>IFERROR(__xludf.DUMMYFUNCTION("""COMPUTED_VALUE"""),"O-16561-00")</f>
        <v>O-16561-00</v>
      </c>
      <c r="B310" s="14" t="str">
        <f>IFERROR(__xludf.DUMMYFUNCTION("""COMPUTED_VALUE"""),"Seidenader MS30 - Rubber Band 2X47X300 p/n:37-030151-38")</f>
        <v>Seidenader MS30 - Rubber Band 2X47X300 p/n:37-030151-38</v>
      </c>
      <c r="C310" s="14" t="str">
        <f>IFERROR(__xludf.DUMMYFUNCTION("""COMPUTED_VALUE"""),"O-16561-00")</f>
        <v>O-16561-00</v>
      </c>
    </row>
    <row r="311">
      <c r="A311" s="14" t="str">
        <f>IFERROR(__xludf.DUMMYFUNCTION("""COMPUTED_VALUE"""),"O-16562-00")</f>
        <v>O-16562-00</v>
      </c>
      <c r="B311" s="14" t="str">
        <f>IFERROR(__xludf.DUMMYFUNCTION("""COMPUTED_VALUE"""),"Seidenader MS30 - Filter cartridge p/n:02.000413-79")</f>
        <v>Seidenader MS30 - Filter cartridge p/n:02.000413-79</v>
      </c>
      <c r="C311" s="14" t="str">
        <f>IFERROR(__xludf.DUMMYFUNCTION("""COMPUTED_VALUE"""),"O-16562-00")</f>
        <v>O-16562-00</v>
      </c>
    </row>
    <row r="312">
      <c r="A312" s="14" t="str">
        <f>IFERROR(__xludf.DUMMYFUNCTION("""COMPUTED_VALUE"""),"O-16563-00")</f>
        <v>O-16563-00</v>
      </c>
      <c r="B312" s="14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4" t="str">
        <f>IFERROR(__xludf.DUMMYFUNCTION("""COMPUTED_VALUE"""),"O-16563-00")</f>
        <v>O-16563-00</v>
      </c>
    </row>
    <row r="313">
      <c r="A313" s="14" t="str">
        <f>IFERROR(__xludf.DUMMYFUNCTION("""COMPUTED_VALUE"""),"O-16564-00")</f>
        <v>O-16564-00</v>
      </c>
      <c r="B313" s="14" t="str">
        <f>IFERROR(__xludf.DUMMYFUNCTION("""COMPUTED_VALUE"""),"Marchesini MA155 - Conveyor Belt FNI-5E ER 1110 X 75 (SIL) p/n:C721411175")</f>
        <v>Marchesini MA155 - Conveyor Belt FNI-5E ER 1110 X 75 (SIL) p/n:C721411175</v>
      </c>
      <c r="C313" s="14" t="str">
        <f>IFERROR(__xludf.DUMMYFUNCTION("""COMPUTED_VALUE"""),"O-16564-00")</f>
        <v>O-16564-00</v>
      </c>
    </row>
    <row r="314">
      <c r="A314" s="14" t="str">
        <f>IFERROR(__xludf.DUMMYFUNCTION("""COMPUTED_VALUE"""),"O-16565-00")</f>
        <v>O-16565-00</v>
      </c>
      <c r="B314" s="14" t="str">
        <f>IFERROR(__xludf.DUMMYFUNCTION("""COMPUTED_VALUE"""),"Marchesini MA155 - Cylinder CQ2B 20-5 SSMC p/n:P115820005")</f>
        <v>Marchesini MA155 - Cylinder CQ2B 20-5 SSMC p/n:P115820005</v>
      </c>
      <c r="C314" s="14" t="str">
        <f>IFERROR(__xludf.DUMMYFUNCTION("""COMPUTED_VALUE"""),"O-16565-00")</f>
        <v>O-16565-00</v>
      </c>
    </row>
    <row r="315">
      <c r="A315" s="14" t="str">
        <f>IFERROR(__xludf.DUMMYFUNCTION("""COMPUTED_VALUE"""),"O-16566-00")</f>
        <v>O-16566-00</v>
      </c>
      <c r="B315" s="14" t="str">
        <f>IFERROR(__xludf.DUMMYFUNCTION("""COMPUTED_VALUE"""),"Marchesini MA155 - Conveyor Belt NB-8E 1850 x 40 p/n:C720718540")</f>
        <v>Marchesini MA155 - Conveyor Belt NB-8E 1850 x 40 p/n:C720718540</v>
      </c>
      <c r="C315" s="14" t="str">
        <f>IFERROR(__xludf.DUMMYFUNCTION("""COMPUTED_VALUE"""),"O-16566-00")</f>
        <v>O-16566-00</v>
      </c>
    </row>
    <row r="316">
      <c r="A316" s="14" t="str">
        <f>IFERROR(__xludf.DUMMYFUNCTION("""COMPUTED_VALUE"""),"O-16567-00")</f>
        <v>O-16567-00</v>
      </c>
      <c r="B316" s="14" t="str">
        <f>IFERROR(__xludf.DUMMYFUNCTION("""COMPUTED_VALUE"""),"Marchesini MA155 - Conveyor Belt 1380 x 40 HA p/n:C720713840")</f>
        <v>Marchesini MA155 - Conveyor Belt 1380 x 40 HA p/n:C720713840</v>
      </c>
      <c r="C316" s="14" t="str">
        <f>IFERROR(__xludf.DUMMYFUNCTION("""COMPUTED_VALUE"""),"O-16567-00")</f>
        <v>O-16567-00</v>
      </c>
    </row>
    <row r="317">
      <c r="A317" s="14" t="str">
        <f>IFERROR(__xludf.DUMMYFUNCTION("""COMPUTED_VALUE"""),"O-16568-00")</f>
        <v>O-16568-00</v>
      </c>
      <c r="B317" s="14" t="str">
        <f>IFERROR(__xludf.DUMMYFUNCTION("""COMPUTED_VALUE"""),"Marchesini MA155 - Toothed Belt 390 H 150 Gomma Nerra p/n:C262390150")</f>
        <v>Marchesini MA155 - Toothed Belt 390 H 150 Gomma Nerra p/n:C262390150</v>
      </c>
      <c r="C317" s="14" t="str">
        <f>IFERROR(__xludf.DUMMYFUNCTION("""COMPUTED_VALUE"""),"O-16568-00")</f>
        <v>O-16568-00</v>
      </c>
    </row>
    <row r="318">
      <c r="A318" s="14" t="str">
        <f>IFERROR(__xludf.DUMMYFUNCTION("""COMPUTED_VALUE"""),"O-16569-00")</f>
        <v>O-16569-00</v>
      </c>
      <c r="B318" s="14" t="str">
        <f>IFERROR(__xludf.DUMMYFUNCTION("""COMPUTED_VALUE"""),"Marchesini MA155 - Toothed Belt 202 L:100 Gomma Nerra p/n:C261202100")</f>
        <v>Marchesini MA155 - Toothed Belt 202 L:100 Gomma Nerra p/n:C261202100</v>
      </c>
      <c r="C318" s="14" t="str">
        <f>IFERROR(__xludf.DUMMYFUNCTION("""COMPUTED_VALUE"""),"O-16569-00")</f>
        <v>O-16569-00</v>
      </c>
    </row>
    <row r="319">
      <c r="A319" s="14" t="str">
        <f>IFERROR(__xludf.DUMMYFUNCTION("""COMPUTED_VALUE"""),"O-16570-00")</f>
        <v>O-16570-00</v>
      </c>
      <c r="B319" s="14" t="str">
        <f>IFERROR(__xludf.DUMMYFUNCTION("""COMPUTED_VALUE"""),"Marchesini MA155 - Conveyor Belt TS10 720 x 40 Habasit p/n:C720007240")</f>
        <v>Marchesini MA155 - Conveyor Belt TS10 720 x 40 Habasit p/n:C720007240</v>
      </c>
      <c r="C319" s="14" t="str">
        <f>IFERROR(__xludf.DUMMYFUNCTION("""COMPUTED_VALUE"""),"O-16570-00")</f>
        <v>O-16570-00</v>
      </c>
    </row>
    <row r="320">
      <c r="A320" s="14" t="str">
        <f>IFERROR(__xludf.DUMMYFUNCTION("""COMPUTED_VALUE"""),"O-16571-00")</f>
        <v>O-16571-00</v>
      </c>
      <c r="B320" s="14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4" t="str">
        <f>IFERROR(__xludf.DUMMYFUNCTION("""COMPUTED_VALUE"""),"O-16571-00")</f>
        <v>O-16571-00</v>
      </c>
    </row>
    <row r="321">
      <c r="A321" s="14" t="str">
        <f>IFERROR(__xludf.DUMMYFUNCTION("""COMPUTED_VALUE"""),"O-16572-00")</f>
        <v>O-16572-00</v>
      </c>
      <c r="B321" s="14" t="str">
        <f>IFERROR(__xludf.DUMMYFUNCTION("""COMPUTED_VALUE"""),"Marchesini MA155 - Conveyor Belt TS10 520 x 40 Habasit p/n:C720005240")</f>
        <v>Marchesini MA155 - Conveyor Belt TS10 520 x 40 Habasit p/n:C720005240</v>
      </c>
      <c r="C321" s="14" t="str">
        <f>IFERROR(__xludf.DUMMYFUNCTION("""COMPUTED_VALUE"""),"O-16572-00")</f>
        <v>O-16572-00</v>
      </c>
    </row>
    <row r="322">
      <c r="A322" s="14" t="str">
        <f>IFERROR(__xludf.DUMMYFUNCTION("""COMPUTED_VALUE"""),"O-16573-00")</f>
        <v>O-16573-00</v>
      </c>
      <c r="B322" s="14" t="str">
        <f>IFERROR(__xludf.DUMMYFUNCTION("""COMPUTED_VALUE"""),"Marchesini MA155 - Conveyor Belt TS10 290 x 40 Habasit p/n:C720002940")</f>
        <v>Marchesini MA155 - Conveyor Belt TS10 290 x 40 Habasit p/n:C720002940</v>
      </c>
      <c r="C322" s="14" t="str">
        <f>IFERROR(__xludf.DUMMYFUNCTION("""COMPUTED_VALUE"""),"O-16573-00")</f>
        <v>O-16573-00</v>
      </c>
    </row>
    <row r="323">
      <c r="A323" s="14" t="str">
        <f>IFERROR(__xludf.DUMMYFUNCTION("""COMPUTED_VALUE"""),"O-16574-00")</f>
        <v>O-16574-00</v>
      </c>
      <c r="B323" s="14" t="str">
        <f>IFERROR(__xludf.DUMMYFUNCTION("""COMPUTED_VALUE"""),"Marchesini MA155 - Toothed Belt 210 L:100 Gomma Nerra p/n:C261405100")</f>
        <v>Marchesini MA155 - Toothed Belt 210 L:100 Gomma Nerra p/n:C261405100</v>
      </c>
      <c r="C323" s="14" t="str">
        <f>IFERROR(__xludf.DUMMYFUNCTION("""COMPUTED_VALUE"""),"O-16574-00")</f>
        <v>O-16574-00</v>
      </c>
    </row>
    <row r="324">
      <c r="A324" s="14" t="str">
        <f>IFERROR(__xludf.DUMMYFUNCTION("""COMPUTED_VALUE"""),"O-16575-00")</f>
        <v>O-16575-00</v>
      </c>
      <c r="B324" s="14" t="str">
        <f>IFERROR(__xludf.DUMMYFUNCTION("""COMPUTED_VALUE"""),"Marchesini MA155 - Toothed Belt 210 L:075 Gomma Nerra p/n:C261210075")</f>
        <v>Marchesini MA155 - Toothed Belt 210 L:075 Gomma Nerra p/n:C261210075</v>
      </c>
      <c r="C324" s="14" t="str">
        <f>IFERROR(__xludf.DUMMYFUNCTION("""COMPUTED_VALUE"""),"O-16575-00")</f>
        <v>O-16575-00</v>
      </c>
    </row>
    <row r="325">
      <c r="A325" s="14" t="str">
        <f>IFERROR(__xludf.DUMMYFUNCTION("""COMPUTED_VALUE"""),"O-16576-00")</f>
        <v>O-16576-00</v>
      </c>
      <c r="B325" s="14" t="str">
        <f>IFERROR(__xludf.DUMMYFUNCTION("""COMPUTED_VALUE"""),"Marchesini MA155 - Assembled Roller p/n:2894R004")</f>
        <v>Marchesini MA155 - Assembled Roller p/n:2894R004</v>
      </c>
      <c r="C325" s="14" t="str">
        <f>IFERROR(__xludf.DUMMYFUNCTION("""COMPUTED_VALUE"""),"O-16576-00")</f>
        <v>O-16576-00</v>
      </c>
    </row>
    <row r="326">
      <c r="A326" s="14" t="str">
        <f>IFERROR(__xludf.DUMMYFUNCTION("""COMPUTED_VALUE"""),"O-16577-00")</f>
        <v>O-16577-00</v>
      </c>
      <c r="B326" s="14" t="str">
        <f>IFERROR(__xludf.DUMMYFUNCTION("""COMPUTED_VALUE"""),"Marchesini MA155 - Wrapper BM2-025 p/n:P312100025")</f>
        <v>Marchesini MA155 - Wrapper BM2-025 p/n:P312100025</v>
      </c>
      <c r="C326" s="14" t="str">
        <f>IFERROR(__xludf.DUMMYFUNCTION("""COMPUTED_VALUE"""),"O-16577-00")</f>
        <v>O-16577-00</v>
      </c>
    </row>
    <row r="327">
      <c r="A327" s="14" t="str">
        <f>IFERROR(__xludf.DUMMYFUNCTION("""COMPUTED_VALUE"""),"O-16578-00")</f>
        <v>O-16578-00</v>
      </c>
      <c r="B327" s="14" t="str">
        <f>IFERROR(__xludf.DUMMYFUNCTION("""COMPUTED_VALUE"""),"Marchesini MA155 - Cylinder D-C73CZ SMC p/n:P312100000")</f>
        <v>Marchesini MA155 - Cylinder D-C73CZ SMC p/n:P312100000</v>
      </c>
      <c r="C327" s="14" t="str">
        <f>IFERROR(__xludf.DUMMYFUNCTION("""COMPUTED_VALUE"""),"O-16578-00")</f>
        <v>O-16578-00</v>
      </c>
    </row>
    <row r="328">
      <c r="A328" s="14" t="str">
        <f>IFERROR(__xludf.DUMMYFUNCTION("""COMPUTED_VALUE"""),"O-16579-00")</f>
        <v>O-16579-00</v>
      </c>
      <c r="B328" s="14" t="str">
        <f>IFERROR(__xludf.DUMMYFUNCTION("""COMPUTED_VALUE"""),"Marchesini MA155 - Bushing D. 6 D. 8 L.6 Glacier p/n:C120060806")</f>
        <v>Marchesini MA155 - Bushing D. 6 D. 8 L.6 Glacier p/n:C120060806</v>
      </c>
      <c r="C328" s="14" t="str">
        <f>IFERROR(__xludf.DUMMYFUNCTION("""COMPUTED_VALUE"""),"O-16579-00")</f>
        <v>O-16579-00</v>
      </c>
    </row>
    <row r="329">
      <c r="A329" s="14" t="str">
        <f>IFERROR(__xludf.DUMMYFUNCTION("""COMPUTED_VALUE"""),"O-16580-00")</f>
        <v>O-16580-00</v>
      </c>
      <c r="B329" s="14" t="str">
        <f>IFERROR(__xludf.DUMMYFUNCTION("""COMPUTED_VALUE"""),"Marchesini MA155 - Bushing 16E7 22X16 p/n:C110162216")</f>
        <v>Marchesini MA155 - Bushing 16E7 22X16 p/n:C110162216</v>
      </c>
      <c r="C329" s="14" t="str">
        <f>IFERROR(__xludf.DUMMYFUNCTION("""COMPUTED_VALUE"""),"O-16580-00")</f>
        <v>O-16580-00</v>
      </c>
    </row>
    <row r="330">
      <c r="A330" s="14" t="str">
        <f>IFERROR(__xludf.DUMMYFUNCTION("""COMPUTED_VALUE"""),"O-16581-00")</f>
        <v>O-16581-00</v>
      </c>
      <c r="B330" s="14" t="str">
        <f>IFERROR(__xludf.DUMMYFUNCTION("""COMPUTED_VALUE"""),"Marchesini MA155 - Rear Bucket p/n:A892216014")</f>
        <v>Marchesini MA155 - Rear Bucket p/n:A892216014</v>
      </c>
      <c r="C330" s="14" t="str">
        <f>IFERROR(__xludf.DUMMYFUNCTION("""COMPUTED_VALUE"""),"O-16581-00")</f>
        <v>O-16581-00</v>
      </c>
    </row>
    <row r="331">
      <c r="A331" s="14" t="str">
        <f>IFERROR(__xludf.DUMMYFUNCTION("""COMPUTED_VALUE"""),"O-16582-00")</f>
        <v>O-16582-00</v>
      </c>
      <c r="B331" s="14" t="str">
        <f>IFERROR(__xludf.DUMMYFUNCTION("""COMPUTED_VALUE"""),"Marchesini MA155 - Front Bucket p/n:A892216012")</f>
        <v>Marchesini MA155 - Front Bucket p/n:A892216012</v>
      </c>
      <c r="C331" s="14" t="str">
        <f>IFERROR(__xludf.DUMMYFUNCTION("""COMPUTED_VALUE"""),"O-16582-00")</f>
        <v>O-16582-00</v>
      </c>
    </row>
    <row r="332">
      <c r="A332" s="14" t="str">
        <f>IFERROR(__xludf.DUMMYFUNCTION("""COMPUTED_VALUE"""),"O-16583-00")</f>
        <v>O-16583-00</v>
      </c>
      <c r="B332" s="14" t="str">
        <f>IFERROR(__xludf.DUMMYFUNCTION("""COMPUTED_VALUE"""),"Marchesini MA155 - Polycord Belt MA150/5 p/n: 20P00192")</f>
        <v>Marchesini MA155 - Polycord Belt MA150/5 p/n: 20P00192</v>
      </c>
      <c r="C332" s="14" t="str">
        <f>IFERROR(__xludf.DUMMYFUNCTION("""COMPUTED_VALUE"""),"O-16583-00")</f>
        <v>O-16583-00</v>
      </c>
    </row>
    <row r="333">
      <c r="A333" s="14" t="str">
        <f>IFERROR(__xludf.DUMMYFUNCTION("""COMPUTED_VALUE"""),"O-16584-00")</f>
        <v>O-16584-00</v>
      </c>
      <c r="B333" s="14" t="str">
        <f>IFERROR(__xludf.DUMMYFUNCTION("""COMPUTED_VALUE"""),"Marchesini MA155 - Cylinder CRB2BW20-270SZ SMC p/n: P121220270")</f>
        <v>Marchesini MA155 - Cylinder CRB2BW20-270SZ SMC p/n: P121220270</v>
      </c>
      <c r="C333" s="14" t="str">
        <f>IFERROR(__xludf.DUMMYFUNCTION("""COMPUTED_VALUE"""),"O-16584-00")</f>
        <v>O-16584-00</v>
      </c>
    </row>
    <row r="334">
      <c r="A334" s="14" t="str">
        <f>IFERROR(__xludf.DUMMYFUNCTION("""COMPUTED_VALUE"""),"O-16585-00")</f>
        <v>O-16585-00</v>
      </c>
      <c r="B334" s="14" t="str">
        <f>IFERROR(__xludf.DUMMYFUNCTION("""COMPUTED_VALUE"""),"Marchesini MA155 - Right Contrast Tooth p/n: 27P00631")</f>
        <v>Marchesini MA155 - Right Contrast Tooth p/n: 27P00631</v>
      </c>
      <c r="C334" s="14" t="str">
        <f>IFERROR(__xludf.DUMMYFUNCTION("""COMPUTED_VALUE"""),"O-16585-00")</f>
        <v>O-16585-00</v>
      </c>
    </row>
    <row r="335">
      <c r="A335" s="14" t="str">
        <f>IFERROR(__xludf.DUMMYFUNCTION("""COMPUTED_VALUE"""),"O-16586-00")</f>
        <v>O-16586-00</v>
      </c>
      <c r="B335" s="14" t="str">
        <f>IFERROR(__xludf.DUMMYFUNCTION("""COMPUTED_VALUE"""),"Marchesini MA155 - Inclined Left Tooth p/n:18990019")</f>
        <v>Marchesini MA155 - Inclined Left Tooth p/n:18990019</v>
      </c>
      <c r="C335" s="14" t="str">
        <f>IFERROR(__xludf.DUMMYFUNCTION("""COMPUTED_VALUE"""),"O-16586-00")</f>
        <v>O-16586-00</v>
      </c>
    </row>
    <row r="336">
      <c r="A336" s="14" t="str">
        <f>IFERROR(__xludf.DUMMYFUNCTION("""COMPUTED_VALUE"""),"O-16587-00")</f>
        <v>O-16587-00</v>
      </c>
      <c r="B336" s="14" t="str">
        <f>IFERROR(__xludf.DUMMYFUNCTION("""COMPUTED_VALUE"""),"Marchesini MA155 - Inclined Right Tooth p/n:18990018")</f>
        <v>Marchesini MA155 - Inclined Right Tooth p/n:18990018</v>
      </c>
      <c r="C336" s="14" t="str">
        <f>IFERROR(__xludf.DUMMYFUNCTION("""COMPUTED_VALUE"""),"O-16587-00")</f>
        <v>O-16587-00</v>
      </c>
    </row>
    <row r="337">
      <c r="A337" s="14" t="str">
        <f>IFERROR(__xludf.DUMMYFUNCTION("""COMPUTED_VALUE"""),"O-16588-00")</f>
        <v>O-16588-00</v>
      </c>
      <c r="B337" s="14" t="str">
        <f>IFERROR(__xludf.DUMMYFUNCTION("""COMPUTED_VALUE"""),"Marchesini MA155 - Leaflet Grippet p/n:A920000005")</f>
        <v>Marchesini MA155 - Leaflet Grippet p/n:A920000005</v>
      </c>
      <c r="C337" s="14" t="str">
        <f>IFERROR(__xludf.DUMMYFUNCTION("""COMPUTED_VALUE"""),"O-16588-00")</f>
        <v>O-16588-00</v>
      </c>
    </row>
    <row r="338">
      <c r="A338" s="14" t="str">
        <f>IFERROR(__xludf.DUMMYFUNCTION("""COMPUTED_VALUE"""),"O-16589-00")</f>
        <v>O-16589-00</v>
      </c>
      <c r="B338" s="14" t="str">
        <f>IFERROR(__xludf.DUMMYFUNCTION("""COMPUTED_VALUE"""),"Carton Sealer - Spring 33 x 32 x 4 p/n:10141")</f>
        <v>Carton Sealer - Spring 33 x 32 x 4 p/n:10141</v>
      </c>
      <c r="C338" s="14" t="str">
        <f>IFERROR(__xludf.DUMMYFUNCTION("""COMPUTED_VALUE"""),"O-16589-00")</f>
        <v>O-16589-00</v>
      </c>
    </row>
    <row r="339">
      <c r="A339" s="14" t="str">
        <f>IFERROR(__xludf.DUMMYFUNCTION("""COMPUTED_VALUE"""),"O-16590-00")</f>
        <v>O-16590-00</v>
      </c>
      <c r="B339" s="14" t="str">
        <f>IFERROR(__xludf.DUMMYFUNCTION("""COMPUTED_VALUE"""),"Carton Sealer - Spring Front Arm Rubber Roller p/n:9510303")</f>
        <v>Carton Sealer - Spring Front Arm Rubber Roller p/n:9510303</v>
      </c>
      <c r="C339" s="14" t="str">
        <f>IFERROR(__xludf.DUMMYFUNCTION("""COMPUTED_VALUE"""),"O-16590-00")</f>
        <v>O-16590-00</v>
      </c>
    </row>
    <row r="340">
      <c r="A340" s="14" t="str">
        <f>IFERROR(__xludf.DUMMYFUNCTION("""COMPUTED_VALUE"""),"O-16591-00")</f>
        <v>O-16591-00</v>
      </c>
      <c r="B340" s="14" t="str">
        <f>IFERROR(__xludf.DUMMYFUNCTION("""COMPUTED_VALUE"""),"Carton Sealer - Spring 2.2 x 20.8 x 89 p/n:10096-2")</f>
        <v>Carton Sealer - Spring 2.2 x 20.8 x 89 p/n:10096-2</v>
      </c>
      <c r="C340" s="14" t="str">
        <f>IFERROR(__xludf.DUMMYFUNCTION("""COMPUTED_VALUE"""),"O-16591-00")</f>
        <v>O-16591-00</v>
      </c>
    </row>
    <row r="341">
      <c r="A341" s="14" t="str">
        <f>IFERROR(__xludf.DUMMYFUNCTION("""COMPUTED_VALUE"""),"O-16592-00")</f>
        <v>O-16592-00</v>
      </c>
      <c r="B341" s="14" t="str">
        <f>IFERROR(__xludf.DUMMYFUNCTION("""COMPUTED_VALUE"""),"Carton Sealer - Spring 2.0 x 20.8 x 89 10096-1")</f>
        <v>Carton Sealer - Spring 2.0 x 20.8 x 89 10096-1</v>
      </c>
      <c r="C341" s="14" t="str">
        <f>IFERROR(__xludf.DUMMYFUNCTION("""COMPUTED_VALUE"""),"O-16592-00")</f>
        <v>O-16592-00</v>
      </c>
    </row>
    <row r="342">
      <c r="A342" s="14" t="str">
        <f>IFERROR(__xludf.DUMMYFUNCTION("""COMPUTED_VALUE"""),"O-16593-00")</f>
        <v>O-16593-00</v>
      </c>
      <c r="B342" s="14" t="str">
        <f>IFERROR(__xludf.DUMMYFUNCTION("""COMPUTED_VALUE"""),"Carton Sealer - Cutter Blade 2inch p/n:10122")</f>
        <v>Carton Sealer - Cutter Blade 2inch p/n:10122</v>
      </c>
      <c r="C342" s="14" t="str">
        <f>IFERROR(__xludf.DUMMYFUNCTION("""COMPUTED_VALUE"""),"O-16593-00")</f>
        <v>O-16593-00</v>
      </c>
    </row>
    <row r="343">
      <c r="A343" s="14" t="str">
        <f>IFERROR(__xludf.DUMMYFUNCTION("""COMPUTED_VALUE"""),"O-16594-00")</f>
        <v>O-16594-00</v>
      </c>
      <c r="B343" s="14" t="str">
        <f>IFERROR(__xludf.DUMMYFUNCTION("""COMPUTED_VALUE"""),"Carton Sealer - Spring 8.5 x 1 x 59 mm p/n:9510300")</f>
        <v>Carton Sealer - Spring 8.5 x 1 x 59 mm p/n:9510300</v>
      </c>
      <c r="C343" s="14" t="str">
        <f>IFERROR(__xludf.DUMMYFUNCTION("""COMPUTED_VALUE"""),"O-16594-00")</f>
        <v>O-16594-00</v>
      </c>
    </row>
    <row r="344">
      <c r="A344" s="14" t="str">
        <f>IFERROR(__xludf.DUMMYFUNCTION("""COMPUTED_VALUE"""),"O-16595-00")</f>
        <v>O-16595-00</v>
      </c>
      <c r="B344" s="14" t="str">
        <f>IFERROR(__xludf.DUMMYFUNCTION("""COMPUTED_VALUE"""),"Carton Sealer - Spring 8.5 x 1 x 59 mm p/n:9510299")</f>
        <v>Carton Sealer - Spring 8.5 x 1 x 59 mm p/n:9510299</v>
      </c>
      <c r="C344" s="14" t="str">
        <f>IFERROR(__xludf.DUMMYFUNCTION("""COMPUTED_VALUE"""),"O-16595-00")</f>
        <v>O-16595-00</v>
      </c>
    </row>
    <row r="345">
      <c r="A345" s="14" t="str">
        <f>IFERROR(__xludf.DUMMYFUNCTION("""COMPUTED_VALUE"""),"O-16596-00")</f>
        <v>O-16596-00</v>
      </c>
      <c r="B345" s="14" t="str">
        <f>IFERROR(__xludf.DUMMYFUNCTION("""COMPUTED_VALUE"""),"Carton Sealer - Spring 0.8 x 6.8 x 32 mm p/n:C4415000")</f>
        <v>Carton Sealer - Spring 0.8 x 6.8 x 32 mm p/n:C4415000</v>
      </c>
      <c r="C345" s="14" t="str">
        <f>IFERROR(__xludf.DUMMYFUNCTION("""COMPUTED_VALUE"""),"O-16596-00")</f>
        <v>O-16596-00</v>
      </c>
    </row>
    <row r="346">
      <c r="A346" s="14" t="str">
        <f>IFERROR(__xludf.DUMMYFUNCTION("""COMPUTED_VALUE"""),"O-16597-00")</f>
        <v>O-16597-00</v>
      </c>
      <c r="B346" s="14" t="str">
        <f>IFERROR(__xludf.DUMMYFUNCTION("""COMPUTED_VALUE"""),"Carton Sealer - Spring 10.2 x 1.2 x 62.5 mm p/n:20009")</f>
        <v>Carton Sealer - Spring 10.2 x 1.2 x 62.5 mm p/n:20009</v>
      </c>
      <c r="C346" s="14" t="str">
        <f>IFERROR(__xludf.DUMMYFUNCTION("""COMPUTED_VALUE"""),"O-16597-00")</f>
        <v>O-16597-00</v>
      </c>
    </row>
    <row r="347">
      <c r="A347" s="14" t="str">
        <f>IFERROR(__xludf.DUMMYFUNCTION("""COMPUTED_VALUE"""),"O-16598-00")</f>
        <v>O-16598-00</v>
      </c>
      <c r="B347" s="14" t="str">
        <f>IFERROR(__xludf.DUMMYFUNCTION("""COMPUTED_VALUE"""),"Carton Sealer - Spring 2 x 25 x 34 mm p/n:8044")</f>
        <v>Carton Sealer - Spring 2 x 25 x 34 mm p/n:8044</v>
      </c>
      <c r="C347" s="14" t="str">
        <f>IFERROR(__xludf.DUMMYFUNCTION("""COMPUTED_VALUE"""),"O-16598-00")</f>
        <v>O-16598-00</v>
      </c>
    </row>
    <row r="348">
      <c r="A348" s="14" t="str">
        <f>IFERROR(__xludf.DUMMYFUNCTION("""COMPUTED_VALUE"""),"O-16608-00")</f>
        <v>O-16608-00</v>
      </c>
      <c r="B348" s="14" t="str">
        <f>IFERROR(__xludf.DUMMYFUNCTION("""COMPUTED_VALUE"""),"Baterai Airsampler Minicapt 100 s/n MC12N014")</f>
        <v>Baterai Airsampler Minicapt 100 s/n MC12N014</v>
      </c>
      <c r="C348" s="14" t="str">
        <f>IFERROR(__xludf.DUMMYFUNCTION("""COMPUTED_VALUE"""),"O-16608-00")</f>
        <v>O-16608-00</v>
      </c>
    </row>
    <row r="349">
      <c r="A349" s="14" t="str">
        <f>IFERROR(__xludf.DUMMYFUNCTION("""COMPUTED_VALUE"""),"O-16646-00")</f>
        <v>O-16646-00</v>
      </c>
      <c r="B349" s="14" t="str">
        <f>IFERROR(__xludf.DUMMYFUNCTION("""COMPUTED_VALUE"""),"Oring NBR OD: 162 mm T: 6.7 mm")</f>
        <v>Oring NBR OD: 162 mm T: 6.7 mm</v>
      </c>
      <c r="C349" s="14" t="str">
        <f>IFERROR(__xludf.DUMMYFUNCTION("""COMPUTED_VALUE"""),"O-16646-00")</f>
        <v>O-16646-00</v>
      </c>
    </row>
    <row r="350">
      <c r="A350" s="14" t="str">
        <f>IFERROR(__xludf.DUMMYFUNCTION("""COMPUTED_VALUE"""),"O-16647-00")</f>
        <v>O-16647-00</v>
      </c>
      <c r="B350" s="14" t="str">
        <f>IFERROR(__xludf.DUMMYFUNCTION("""COMPUTED_VALUE"""),"General - Oring Silicone Merah 23x18x2.5 mm; -; -; 1 Pc")</f>
        <v>General - Oring Silicone Merah 23x18x2.5 mm; -; -; 1 Pc</v>
      </c>
      <c r="C350" s="14" t="str">
        <f>IFERROR(__xludf.DUMMYFUNCTION("""COMPUTED_VALUE"""),"O-16647-00")</f>
        <v>O-16647-00</v>
      </c>
    </row>
    <row r="351">
      <c r="A351" s="14" t="str">
        <f>IFERROR(__xludf.DUMMYFUNCTION("""COMPUTED_VALUE"""),"O-16658-00")</f>
        <v>O-16658-00</v>
      </c>
      <c r="B351" s="14" t="str">
        <f>IFERROR(__xludf.DUMMYFUNCTION("""COMPUTED_VALUE"""),"Cylinder Compact ADNGF-16-15-P-A FESTO P/N : 554214 pc")</f>
        <v>Cylinder Compact ADNGF-16-15-P-A FESTO P/N : 554214 pc</v>
      </c>
      <c r="C351" s="14" t="str">
        <f>IFERROR(__xludf.DUMMYFUNCTION("""COMPUTED_VALUE"""),"O-16658-00")</f>
        <v>O-16658-00</v>
      </c>
    </row>
    <row r="352">
      <c r="A352" s="14" t="str">
        <f>IFERROR(__xludf.DUMMYFUNCTION("""COMPUTED_VALUE"""),"O-16659-00")</f>
        <v>O-16659-00</v>
      </c>
      <c r="B352" s="14" t="str">
        <f>IFERROR(__xludf.DUMMYFUNCTION("""COMPUTED_VALUE"""),"Oring Silicone Merah OD: 352 mm T: 3.3 mm")</f>
        <v>Oring Silicone Merah OD: 352 mm T: 3.3 mm</v>
      </c>
      <c r="C352" s="14" t="str">
        <f>IFERROR(__xludf.DUMMYFUNCTION("""COMPUTED_VALUE"""),"O-16659-00")</f>
        <v>O-16659-00</v>
      </c>
    </row>
    <row r="353">
      <c r="A353" s="14" t="str">
        <f>IFERROR(__xludf.DUMMYFUNCTION("""COMPUTED_VALUE"""),"O-16706-00")</f>
        <v>O-16706-00</v>
      </c>
      <c r="B353" s="14" t="str">
        <f>IFERROR(__xludf.DUMMYFUNCTION("""COMPUTED_VALUE"""),"Capping VCM200 - Coupling for Encoder NBK MST 32 - P/N : -  pc")</f>
        <v>Capping VCM200 - Coupling for Encoder NBK MST 32 - P/N : -  pc</v>
      </c>
      <c r="C353" s="14" t="str">
        <f>IFERROR(__xludf.DUMMYFUNCTION("""COMPUTED_VALUE"""),"O-16706-00")</f>
        <v>O-16706-00</v>
      </c>
    </row>
    <row r="354">
      <c r="A354" s="14" t="str">
        <f>IFERROR(__xludf.DUMMYFUNCTION("""COMPUTED_VALUE"""),"O-16715-00")</f>
        <v>O-16715-00</v>
      </c>
      <c r="B354" s="14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4" t="str">
        <f>IFERROR(__xludf.DUMMYFUNCTION("""COMPUTED_VALUE"""),"O-16715-00")</f>
        <v>O-16715-00</v>
      </c>
    </row>
    <row r="355">
      <c r="A355" s="14" t="str">
        <f>IFERROR(__xludf.DUMMYFUNCTION("""COMPUTED_VALUE"""),"O-16725-00")</f>
        <v>O-16725-00</v>
      </c>
      <c r="B355" s="14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4" t="str">
        <f>IFERROR(__xludf.DUMMYFUNCTION("""COMPUTED_VALUE"""),"O-16725-00")</f>
        <v>O-16725-00</v>
      </c>
    </row>
    <row r="356">
      <c r="A356" s="14" t="str">
        <f>IFERROR(__xludf.DUMMYFUNCTION("""COMPUTED_VALUE"""),"O-16731-00")</f>
        <v>O-16731-00</v>
      </c>
      <c r="B356" s="14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4" t="str">
        <f>IFERROR(__xludf.DUMMYFUNCTION("""COMPUTED_VALUE"""),"O-16731-00")</f>
        <v>O-16731-00</v>
      </c>
    </row>
    <row r="357">
      <c r="A357" s="14" t="str">
        <f>IFERROR(__xludf.DUMMYFUNCTION("""COMPUTED_VALUE"""),"O-16732-00")</f>
        <v>O-16732-00</v>
      </c>
      <c r="B357" s="14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4" t="str">
        <f>IFERROR(__xludf.DUMMYFUNCTION("""COMPUTED_VALUE"""),"O-16732-00")</f>
        <v>O-16732-00</v>
      </c>
    </row>
    <row r="358">
      <c r="A358" s="14" t="str">
        <f>IFERROR(__xludf.DUMMYFUNCTION("""COMPUTED_VALUE"""),"O-16752-00")</f>
        <v>O-16752-00</v>
      </c>
      <c r="B358" s="14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4" t="str">
        <f>IFERROR(__xludf.DUMMYFUNCTION("""COMPUTED_VALUE"""),"O-16752-00")</f>
        <v>O-16752-00</v>
      </c>
    </row>
    <row r="359">
      <c r="A359" s="14" t="str">
        <f>IFERROR(__xludf.DUMMYFUNCTION("""COMPUTED_VALUE"""),"O-16756-00")</f>
        <v>O-16756-00</v>
      </c>
      <c r="B359" s="14" t="str">
        <f>IFERROR(__xludf.DUMMYFUNCTION("""COMPUTED_VALUE"""),"Washing RAR4 - Tamper Resistant Screw IBNP5-10")</f>
        <v>Washing RAR4 - Tamper Resistant Screw IBNP5-10</v>
      </c>
      <c r="C359" s="14" t="str">
        <f>IFERROR(__xludf.DUMMYFUNCTION("""COMPUTED_VALUE"""),"O-16756-00")</f>
        <v>O-16756-00</v>
      </c>
    </row>
    <row r="360">
      <c r="A360" s="14" t="str">
        <f>IFERROR(__xludf.DUMMYFUNCTION("""COMPUTED_VALUE"""),"O-16757-00")</f>
        <v>O-16757-00</v>
      </c>
      <c r="B360" s="14" t="str">
        <f>IFERROR(__xludf.DUMMYFUNCTION("""COMPUTED_VALUE"""),"Capping VCM200 - Coupling CPJ30-BL-10-10")</f>
        <v>Capping VCM200 - Coupling CPJ30-BL-10-10</v>
      </c>
      <c r="C360" s="14" t="str">
        <f>IFERROR(__xludf.DUMMYFUNCTION("""COMPUTED_VALUE"""),"O-16757-00")</f>
        <v>O-16757-00</v>
      </c>
    </row>
    <row r="361">
      <c r="A361" s="14" t="str">
        <f>IFERROR(__xludf.DUMMYFUNCTION("""COMPUTED_VALUE"""),"O-16770-00")</f>
        <v>O-16770-00</v>
      </c>
      <c r="B361" s="14" t="str">
        <f>IFERROR(__xludf.DUMMYFUNCTION("""COMPUTED_VALUE"""),"Oring Silicone Merah 30.3 x 27.2 x 1.75 mm")</f>
        <v>Oring Silicone Merah 30.3 x 27.2 x 1.75 mm</v>
      </c>
      <c r="C361" s="14" t="str">
        <f>IFERROR(__xludf.DUMMYFUNCTION("""COMPUTED_VALUE"""),"O-16770-00")</f>
        <v>O-16770-00</v>
      </c>
    </row>
    <row r="362">
      <c r="A362" s="14" t="str">
        <f>IFERROR(__xludf.DUMMYFUNCTION("""COMPUTED_VALUE"""),"O-16771-00")</f>
        <v>O-16771-00</v>
      </c>
      <c r="B362" s="14" t="str">
        <f>IFERROR(__xludf.DUMMYFUNCTION("""COMPUTED_VALUE"""),"Oring Silicone Merah 19 x 15.5 x 1.75 mm")</f>
        <v>Oring Silicone Merah 19 x 15.5 x 1.75 mm</v>
      </c>
      <c r="C362" s="14" t="str">
        <f>IFERROR(__xludf.DUMMYFUNCTION("""COMPUTED_VALUE"""),"O-16771-00")</f>
        <v>O-16771-00</v>
      </c>
    </row>
    <row r="363">
      <c r="A363" s="14" t="str">
        <f>IFERROR(__xludf.DUMMYFUNCTION("""COMPUTED_VALUE"""),"O-16772-00")</f>
        <v>O-16772-00</v>
      </c>
      <c r="B363" s="14" t="str">
        <f>IFERROR(__xludf.DUMMYFUNCTION("""COMPUTED_VALUE"""),"Oring Silicone Merah 40.5 x 37.5 x 1.5 mm; ; ;")</f>
        <v>Oring Silicone Merah 40.5 x 37.5 x 1.5 mm; ; ;</v>
      </c>
      <c r="C363" s="14" t="str">
        <f>IFERROR(__xludf.DUMMYFUNCTION("""COMPUTED_VALUE"""),"O-16772-00")</f>
        <v>O-16772-00</v>
      </c>
    </row>
    <row r="364">
      <c r="A364" s="14" t="str">
        <f>IFERROR(__xludf.DUMMYFUNCTION("""COMPUTED_VALUE"""),"O-16793-00")</f>
        <v>O-16793-00</v>
      </c>
      <c r="B364" s="14" t="str">
        <f>IFERROR(__xludf.DUMMYFUNCTION("""COMPUTED_VALUE"""),"Capping VCM200 - Gear Material Pom Hitam")</f>
        <v>Capping VCM200 - Gear Material Pom Hitam</v>
      </c>
      <c r="C364" s="14" t="str">
        <f>IFERROR(__xludf.DUMMYFUNCTION("""COMPUTED_VALUE"""),"O-16793-00")</f>
        <v>O-16793-00</v>
      </c>
    </row>
    <row r="365">
      <c r="A365" s="14" t="str">
        <f>IFERROR(__xludf.DUMMYFUNCTION("""COMPUTED_VALUE"""),"O-16798-00")</f>
        <v>O-16798-00</v>
      </c>
      <c r="B365" s="14" t="str">
        <f>IFERROR(__xludf.DUMMYFUNCTION("""COMPUTED_VALUE"""),"SMC - Tubing Anti Static TAU1065B-20")</f>
        <v>SMC - Tubing Anti Static TAU1065B-20</v>
      </c>
      <c r="C365" s="14" t="str">
        <f>IFERROR(__xludf.DUMMYFUNCTION("""COMPUTED_VALUE"""),"O-16798-00")</f>
        <v>O-16798-00</v>
      </c>
    </row>
    <row r="366">
      <c r="A366" s="14" t="str">
        <f>IFERROR(__xludf.DUMMYFUNCTION("""COMPUTED_VALUE"""),"O-16826-00")</f>
        <v>O-16826-00</v>
      </c>
      <c r="B366" s="14" t="str">
        <f>IFERROR(__xludf.DUMMYFUNCTION("""COMPUTED_VALUE"""),"DEMISTER, part number 402; ; ;")</f>
        <v>DEMISTER, part number 402; ; ;</v>
      </c>
      <c r="C366" s="14" t="str">
        <f>IFERROR(__xludf.DUMMYFUNCTION("""COMPUTED_VALUE"""),"O-16826-00")</f>
        <v>O-16826-00</v>
      </c>
    </row>
    <row r="367">
      <c r="A367" s="14" t="str">
        <f>IFERROR(__xludf.DUMMYFUNCTION("""COMPUTED_VALUE"""),"O-16827-00")</f>
        <v>O-16827-00</v>
      </c>
      <c r="B367" s="14" t="str">
        <f>IFERROR(__xludf.DUMMYFUNCTION("""COMPUTED_VALUE"""),"Gasket Oil Separator Part No. 401")</f>
        <v>Gasket Oil Separator Part No. 401</v>
      </c>
      <c r="C367" s="14" t="str">
        <f>IFERROR(__xludf.DUMMYFUNCTION("""COMPUTED_VALUE"""),"O-16827-00")</f>
        <v>O-16827-00</v>
      </c>
    </row>
    <row r="368">
      <c r="A368" s="14" t="str">
        <f>IFERROR(__xludf.DUMMYFUNCTION("""COMPUTED_VALUE"""),"O-16885-00")</f>
        <v>O-16885-00</v>
      </c>
      <c r="B368" s="14" t="str">
        <f>IFERROR(__xludf.DUMMYFUNCTION("""COMPUTED_VALUE"""),"Clamp Hose Alumunium Ferrule 1 inch EN14425-3")</f>
        <v>Clamp Hose Alumunium Ferrule 1 inch EN14425-3</v>
      </c>
      <c r="C368" s="14" t="str">
        <f>IFERROR(__xludf.DUMMYFUNCTION("""COMPUTED_VALUE"""),"O-16885-00")</f>
        <v>O-16885-00</v>
      </c>
    </row>
    <row r="369">
      <c r="A369" s="14" t="str">
        <f>IFERROR(__xludf.DUMMYFUNCTION("""COMPUTED_VALUE"""),"O-16886-00")</f>
        <v>O-16886-00</v>
      </c>
      <c r="B369" s="14" t="str">
        <f>IFERROR(__xludf.DUMMYFUNCTION("""COMPUTED_VALUE"""),"Clamp Hose Alumunium Ferrule 3/4 inch EN14420-3")</f>
        <v>Clamp Hose Alumunium Ferrule 3/4 inch EN14420-3</v>
      </c>
      <c r="C369" s="14" t="str">
        <f>IFERROR(__xludf.DUMMYFUNCTION("""COMPUTED_VALUE"""),"O-16886-00")</f>
        <v>O-16886-00</v>
      </c>
    </row>
    <row r="370">
      <c r="A370" s="14" t="str">
        <f>IFERROR(__xludf.DUMMYFUNCTION("""COMPUTED_VALUE"""),"O-16922-00")</f>
        <v>O-16922-00</v>
      </c>
      <c r="B370" s="14" t="str">
        <f>IFERROR(__xludf.DUMMYFUNCTION("""COMPUTED_VALUE"""),"Marchesini MA155-P/N. 018090090 Shaft; ; ;")</f>
        <v>Marchesini MA155-P/N. 018090090 Shaft; ; ;</v>
      </c>
      <c r="C370" s="14" t="str">
        <f>IFERROR(__xludf.DUMMYFUNCTION("""COMPUTED_VALUE"""),"O-16922-00")</f>
        <v>O-16922-00</v>
      </c>
    </row>
    <row r="371">
      <c r="A371" s="14" t="str">
        <f>IFERROR(__xludf.DUMMYFUNCTION("""COMPUTED_VALUE"""),"O-16943-00")</f>
        <v>O-16943-00</v>
      </c>
      <c r="B371" s="14" t="str">
        <f>IFERROR(__xludf.DUMMYFUNCTION("""COMPUTED_VALUE"""),"Tunnel ST1L - Potentiometer Model 10K 3turns P/n: 3757; ; ;")</f>
        <v>Tunnel ST1L - Potentiometer Model 10K 3turns P/n: 3757; ; ;</v>
      </c>
      <c r="C371" s="14" t="str">
        <f>IFERROR(__xludf.DUMMYFUNCTION("""COMPUTED_VALUE"""),"O-16943-00")</f>
        <v>O-16943-00</v>
      </c>
    </row>
    <row r="372">
      <c r="A372" s="14" t="str">
        <f>IFERROR(__xludf.DUMMYFUNCTION("""COMPUTED_VALUE"""),"O-16949-00")</f>
        <v>O-16949-00</v>
      </c>
      <c r="B372" s="14" t="str">
        <f>IFERROR(__xludf.DUMMYFUNCTION("""COMPUTED_VALUE"""),"Hepa Filter - H14 ( 99.999% ) size: 457x305x150")</f>
        <v>Hepa Filter - H14 ( 99.999% ) size: 457x305x150</v>
      </c>
      <c r="C372" s="14" t="str">
        <f>IFERROR(__xludf.DUMMYFUNCTION("""COMPUTED_VALUE"""),"O-16949-00")</f>
        <v>O-16949-00</v>
      </c>
    </row>
    <row r="373">
      <c r="A373" s="14" t="str">
        <f>IFERROR(__xludf.DUMMYFUNCTION("""COMPUTED_VALUE"""),"O-16958-00")</f>
        <v>O-16958-00</v>
      </c>
      <c r="B373" s="14" t="str">
        <f>IFERROR(__xludf.DUMMYFUNCTION("""COMPUTED_VALUE"""),"Marchesini MA155 - Kit Filter Saturn Melter 100 Mesh P/n: 1028305")</f>
        <v>Marchesini MA155 - Kit Filter Saturn Melter 100 Mesh P/n: 1028305</v>
      </c>
      <c r="C373" s="14" t="str">
        <f>IFERROR(__xludf.DUMMYFUNCTION("""COMPUTED_VALUE"""),"O-16958-00")</f>
        <v>O-16958-00</v>
      </c>
    </row>
    <row r="374">
      <c r="A374" s="14" t="str">
        <f>IFERROR(__xludf.DUMMYFUNCTION("""COMPUTED_VALUE"""),"O-16959-00")</f>
        <v>O-16959-00</v>
      </c>
      <c r="B374" s="14" t="str">
        <f>IFERROR(__xludf.DUMMYFUNCTION("""COMPUTED_VALUE"""),"Marchesini MA155 - Kit Filter 200 Mesh Saturn M14 P/n: 1045520")</f>
        <v>Marchesini MA155 - Kit Filter 200 Mesh Saturn M14 P/n: 1045520</v>
      </c>
      <c r="C374" s="14" t="str">
        <f>IFERROR(__xludf.DUMMYFUNCTION("""COMPUTED_VALUE"""),"O-16959-00")</f>
        <v>O-16959-00</v>
      </c>
    </row>
    <row r="375">
      <c r="A375" s="14" t="str">
        <f>IFERROR(__xludf.DUMMYFUNCTION("""COMPUTED_VALUE"""),"O-16960-00")</f>
        <v>O-16960-00</v>
      </c>
      <c r="B375" s="14" t="str">
        <f>IFERROR(__xludf.DUMMYFUNCTION("""COMPUTED_VALUE"""),"Marchesini MA155 - Green HMP Liquid 5 liter P/n: 90090104")</f>
        <v>Marchesini MA155 - Green HMP Liquid 5 liter P/n: 90090104</v>
      </c>
      <c r="C375" s="14" t="str">
        <f>IFERROR(__xludf.DUMMYFUNCTION("""COMPUTED_VALUE"""),"O-16960-00")</f>
        <v>O-16960-00</v>
      </c>
    </row>
    <row r="376">
      <c r="A376" s="14" t="str">
        <f>IFERROR(__xludf.DUMMYFUNCTION("""COMPUTED_VALUE"""),"O-16961-00")</f>
        <v>O-16961-00</v>
      </c>
      <c r="B376" s="14" t="str">
        <f>IFERROR(__xludf.DUMMYFUNCTION("""COMPUTED_VALUE"""),"FESTO - CRQS-1/8-6 p/n 162862")</f>
        <v>FESTO - CRQS-1/8-6 p/n 162862</v>
      </c>
      <c r="C376" s="14" t="str">
        <f>IFERROR(__xludf.DUMMYFUNCTION("""COMPUTED_VALUE"""),"O-16961-00")</f>
        <v>O-16961-00</v>
      </c>
    </row>
    <row r="377">
      <c r="A377" s="14" t="str">
        <f>IFERROR(__xludf.DUMMYFUNCTION("""COMPUTED_VALUE"""),"O-16979-00")</f>
        <v>O-16979-00</v>
      </c>
      <c r="B377" s="14" t="str">
        <f>IFERROR(__xludf.DUMMYFUNCTION("""COMPUTED_VALUE"""),"Freeze Dryer MBE1207 - Thermostatic Cooling Water AVTA15 Danfoss")</f>
        <v>Freeze Dryer MBE1207 - Thermostatic Cooling Water AVTA15 Danfoss</v>
      </c>
      <c r="C377" s="14" t="str">
        <f>IFERROR(__xludf.DUMMYFUNCTION("""COMPUTED_VALUE"""),"O-16979-00")</f>
        <v>O-16979-00</v>
      </c>
    </row>
    <row r="378">
      <c r="A378" s="14" t="str">
        <f>IFERROR(__xludf.DUMMYFUNCTION("""COMPUTED_VALUE"""),"O-16980-00")</f>
        <v>O-16980-00</v>
      </c>
      <c r="B378" s="14" t="str">
        <f>IFERROR(__xludf.DUMMYFUNCTION("""COMPUTED_VALUE"""),"General - Diaphragm 40 mm ER Grade EPDM; Saunders; DA040ER M4; 1 Pc")</f>
        <v>General - Diaphragm 40 mm ER Grade EPDM; Saunders; DA040ER M4; 1 Pc</v>
      </c>
      <c r="C378" s="14" t="str">
        <f>IFERROR(__xludf.DUMMYFUNCTION("""COMPUTED_VALUE"""),"O-16980-00")</f>
        <v>O-16980-00</v>
      </c>
    </row>
    <row r="379">
      <c r="A379" s="14" t="str">
        <f>IFERROR(__xludf.DUMMYFUNCTION("""COMPUTED_VALUE"""),"O-16980-00")</f>
        <v>O-16980-00</v>
      </c>
      <c r="B379" s="14" t="str">
        <f>IFERROR(__xludf.DUMMYFUNCTION("""COMPUTED_VALUE"""),"General - Diaphragm 40 mm ER Grade EPDM; Saunders; DA040ER M4; 1 Pc")</f>
        <v>General - Diaphragm 40 mm ER Grade EPDM; Saunders; DA040ER M4; 1 Pc</v>
      </c>
      <c r="C379" s="14" t="str">
        <f>IFERROR(__xludf.DUMMYFUNCTION("""COMPUTED_VALUE"""),"O-16980-00")</f>
        <v>O-16980-00</v>
      </c>
    </row>
    <row r="380">
      <c r="A380" s="14" t="str">
        <f>IFERROR(__xludf.DUMMYFUNCTION("""COMPUTED_VALUE"""),"O-16981-00")</f>
        <v>O-16981-00</v>
      </c>
      <c r="B380" s="14" t="str">
        <f>IFERROR(__xludf.DUMMYFUNCTION("""COMPUTED_VALUE"""),"General - Diaphragm 25 mm ER Grade EPDM; Saunders; DA025ER M4; 1 Pc")</f>
        <v>General - Diaphragm 25 mm ER Grade EPDM; Saunders; DA025ER M4; 1 Pc</v>
      </c>
      <c r="C380" s="14" t="str">
        <f>IFERROR(__xludf.DUMMYFUNCTION("""COMPUTED_VALUE"""),"O-16981-00")</f>
        <v>O-16981-00</v>
      </c>
    </row>
    <row r="381">
      <c r="A381" s="14" t="str">
        <f>IFERROR(__xludf.DUMMYFUNCTION("""COMPUTED_VALUE"""),"O-16981-00")</f>
        <v>O-16981-00</v>
      </c>
      <c r="B381" s="14" t="str">
        <f>IFERROR(__xludf.DUMMYFUNCTION("""COMPUTED_VALUE"""),"General - Diaphragm 25 mm ER Grade EPDM; Saunders; DA025ER M4; 1 Pc")</f>
        <v>General - Diaphragm 25 mm ER Grade EPDM; Saunders; DA025ER M4; 1 Pc</v>
      </c>
      <c r="C381" s="14" t="str">
        <f>IFERROR(__xludf.DUMMYFUNCTION("""COMPUTED_VALUE"""),"O-16981-00")</f>
        <v>O-16981-00</v>
      </c>
    </row>
    <row r="382">
      <c r="A382" s="14" t="str">
        <f>IFERROR(__xludf.DUMMYFUNCTION("""COMPUTED_VALUE"""),"O-16982-00")</f>
        <v>O-16982-00</v>
      </c>
      <c r="B382" s="14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4" t="str">
        <f>IFERROR(__xludf.DUMMYFUNCTION("""COMPUTED_VALUE"""),"O-16982-00")</f>
        <v>O-16982-00</v>
      </c>
    </row>
    <row r="383">
      <c r="A383" s="14" t="str">
        <f>IFERROR(__xludf.DUMMYFUNCTION("""COMPUTED_VALUE"""),"O-16984-00")</f>
        <v>O-16984-00</v>
      </c>
      <c r="B383" s="14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4" t="str">
        <f>IFERROR(__xludf.DUMMYFUNCTION("""COMPUTED_VALUE"""),"O-16984-00")</f>
        <v>O-16984-00</v>
      </c>
    </row>
    <row r="384">
      <c r="A384" s="14" t="str">
        <f>IFERROR(__xludf.DUMMYFUNCTION("""COMPUTED_VALUE"""),"O-17011-00")</f>
        <v>O-17011-00</v>
      </c>
      <c r="B384" s="14" t="str">
        <f>IFERROR(__xludf.DUMMYFUNCTION("""COMPUTED_VALUE"""),"Parallel Keys MISUMI P/N : KET3 pc")</f>
        <v>Parallel Keys MISUMI P/N : KET3 pc</v>
      </c>
      <c r="C384" s="14" t="str">
        <f>IFERROR(__xludf.DUMMYFUNCTION("""COMPUTED_VALUE"""),"O-17011-00")</f>
        <v>O-17011-00</v>
      </c>
    </row>
    <row r="385">
      <c r="A385" s="14" t="str">
        <f>IFERROR(__xludf.DUMMYFUNCTION("""COMPUTED_VALUE"""),"O-17030-00")</f>
        <v>O-17030-00</v>
      </c>
      <c r="B385" s="14" t="str">
        <f>IFERROR(__xludf.DUMMYFUNCTION("""COMPUTED_VALUE"""),"cRABS Z064CR -  Treaded Three Port Seat Valve VOBG320 3/4inch G")</f>
        <v>cRABS Z064CR -  Treaded Three Port Seat Valve VOBG320 3/4inch G</v>
      </c>
      <c r="C385" s="14" t="str">
        <f>IFERROR(__xludf.DUMMYFUNCTION("""COMPUTED_VALUE"""),"O-17030-00")</f>
        <v>O-17030-00</v>
      </c>
    </row>
    <row r="386">
      <c r="A386" s="14" t="str">
        <f>IFERROR(__xludf.DUMMYFUNCTION("""COMPUTED_VALUE"""),"O-17067-00")</f>
        <v>O-17067-00</v>
      </c>
      <c r="B386" s="14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4" t="str">
        <f>IFERROR(__xludf.DUMMYFUNCTION("""COMPUTED_VALUE"""),"O-17067-00")</f>
        <v>O-17067-00</v>
      </c>
    </row>
    <row r="387">
      <c r="A387" s="14" t="str">
        <f>IFERROR(__xludf.DUMMYFUNCTION("""COMPUTED_VALUE"""),"O-17068-00")</f>
        <v>O-17068-00</v>
      </c>
      <c r="B387" s="14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4" t="str">
        <f>IFERROR(__xludf.DUMMYFUNCTION("""COMPUTED_VALUE"""),"O-17068-00")</f>
        <v>O-17068-00</v>
      </c>
    </row>
    <row r="388">
      <c r="A388" s="14" t="str">
        <f>IFERROR(__xludf.DUMMYFUNCTION("""COMPUTED_VALUE"""),"O-17069-00")</f>
        <v>O-17069-00</v>
      </c>
      <c r="B388" s="14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4" t="str">
        <f>IFERROR(__xludf.DUMMYFUNCTION("""COMPUTED_VALUE"""),"O-17069-00")</f>
        <v>O-17069-00</v>
      </c>
    </row>
    <row r="389">
      <c r="A389" s="14" t="str">
        <f>IFERROR(__xludf.DUMMYFUNCTION("""COMPUTED_VALUE"""),"O-17070-00")</f>
        <v>O-17070-00</v>
      </c>
      <c r="B389" s="14" t="str">
        <f>IFERROR(__xludf.DUMMYFUNCTION("""COMPUTED_VALUE"""),"Washing RAR4 - Pincers Jaws for Vial 50mL")</f>
        <v>Washing RAR4 - Pincers Jaws for Vial 50mL</v>
      </c>
      <c r="C389" s="14" t="str">
        <f>IFERROR(__xludf.DUMMYFUNCTION("""COMPUTED_VALUE"""),"O-17070-00")</f>
        <v>O-17070-00</v>
      </c>
    </row>
    <row r="390">
      <c r="A390" s="14" t="str">
        <f>IFERROR(__xludf.DUMMYFUNCTION("""COMPUTED_VALUE"""),"O-17071-00")</f>
        <v>O-17071-00</v>
      </c>
      <c r="B390" s="14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4" t="str">
        <f>IFERROR(__xludf.DUMMYFUNCTION("""COMPUTED_VALUE"""),"O-17071-00")</f>
        <v>O-17071-00</v>
      </c>
    </row>
    <row r="391">
      <c r="A391" s="14" t="str">
        <f>IFERROR(__xludf.DUMMYFUNCTION("""COMPUTED_VALUE"""),"O-17072-00")</f>
        <v>O-17072-00</v>
      </c>
      <c r="B391" s="14" t="str">
        <f>IFERROR(__xludf.DUMMYFUNCTION("""COMPUTED_VALUE"""),"Capping VCM200 - Washer for Capping Rotating Plate P/n: 307842; ; ;")</f>
        <v>Capping VCM200 - Washer for Capping Rotating Plate P/n: 307842; ; ;</v>
      </c>
      <c r="C391" s="14" t="str">
        <f>IFERROR(__xludf.DUMMYFUNCTION("""COMPUTED_VALUE"""),"O-17072-00")</f>
        <v>O-17072-00</v>
      </c>
    </row>
    <row r="392">
      <c r="A392" s="14" t="str">
        <f>IFERROR(__xludf.DUMMYFUNCTION("""COMPUTED_VALUE"""),"O-17073-00")</f>
        <v>O-17073-00</v>
      </c>
      <c r="B392" s="14" t="str">
        <f>IFERROR(__xludf.DUMMYFUNCTION("""COMPUTED_VALUE"""),"Capping VCM200 - Plate HARRISA CIPTARINDO ENGINEERING, CV. P/N : 307790 pc")</f>
        <v>Capping VCM200 - Plate HARRISA CIPTARINDO ENGINEERING, CV. P/N : 307790 pc</v>
      </c>
      <c r="C392" s="14" t="str">
        <f>IFERROR(__xludf.DUMMYFUNCTION("""COMPUTED_VALUE"""),"O-17073-00")</f>
        <v>O-17073-00</v>
      </c>
    </row>
    <row r="393">
      <c r="A393" s="14" t="str">
        <f>IFERROR(__xludf.DUMMYFUNCTION("""COMPUTED_VALUE"""),"O-17129-00")</f>
        <v>O-17129-00</v>
      </c>
      <c r="B393" s="14" t="str">
        <f>IFERROR(__xludf.DUMMYFUNCTION("""COMPUTED_VALUE"""),"IMA CLU EK2046  Welded Bellow For Unloading Pusher 316L ST100*65")</f>
        <v>IMA CLU EK2046  Welded Bellow For Unloading Pusher 316L ST100*65</v>
      </c>
      <c r="C393" s="14" t="str">
        <f>IFERROR(__xludf.DUMMYFUNCTION("""COMPUTED_VALUE"""),"O-17129-00")</f>
        <v>O-17129-00</v>
      </c>
    </row>
    <row r="394">
      <c r="A394" s="14" t="str">
        <f>IFERROR(__xludf.DUMMYFUNCTION("""COMPUTED_VALUE"""),"O-17209-00")</f>
        <v>O-17209-00</v>
      </c>
      <c r="B394" s="14" t="str">
        <f>IFERROR(__xludf.DUMMYFUNCTION("""COMPUTED_VALUE"""),"Oring Silicone Merah 20 x 15.5 x 2 mm")</f>
        <v>Oring Silicone Merah 20 x 15.5 x 2 mm</v>
      </c>
      <c r="C394" s="14" t="str">
        <f>IFERROR(__xludf.DUMMYFUNCTION("""COMPUTED_VALUE"""),"O-17209-00")</f>
        <v>O-17209-00</v>
      </c>
    </row>
    <row r="395">
      <c r="A395" s="14" t="str">
        <f>IFERROR(__xludf.DUMMYFUNCTION("""COMPUTED_VALUE"""),"O-17242-00")</f>
        <v>O-17242-00</v>
      </c>
      <c r="B395" s="14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4" t="str">
        <f>IFERROR(__xludf.DUMMYFUNCTION("""COMPUTED_VALUE"""),"O-17242-00")</f>
        <v>O-17242-00</v>
      </c>
    </row>
    <row r="396">
      <c r="A396" s="14" t="str">
        <f>IFERROR(__xludf.DUMMYFUNCTION("""COMPUTED_VALUE"""),"O-17243-00")</f>
        <v>O-17243-00</v>
      </c>
      <c r="B396" s="14" t="str">
        <f>IFERROR(__xludf.DUMMYFUNCTION("""COMPUTED_VALUE"""),"Selang Flexible Vaccum 40 mm")</f>
        <v>Selang Flexible Vaccum 40 mm</v>
      </c>
      <c r="C396" s="14" t="str">
        <f>IFERROR(__xludf.DUMMYFUNCTION("""COMPUTED_VALUE"""),"O-17243-00")</f>
        <v>O-17243-00</v>
      </c>
    </row>
    <row r="397">
      <c r="A397" s="14" t="str">
        <f>IFERROR(__xludf.DUMMYFUNCTION("""COMPUTED_VALUE"""),"O-17279-00")</f>
        <v>O-17279-00</v>
      </c>
      <c r="B397" s="14" t="str">
        <f>IFERROR(__xludf.DUMMYFUNCTION("""COMPUTED_VALUE"""),"Compact Cylinder ADVULQ-20-110-P-A Festo P/n: 156102")</f>
        <v>Compact Cylinder ADVULQ-20-110-P-A Festo P/n: 156102</v>
      </c>
      <c r="C397" s="14" t="str">
        <f>IFERROR(__xludf.DUMMYFUNCTION("""COMPUTED_VALUE"""),"O-17279-00")</f>
        <v>O-17279-00</v>
      </c>
    </row>
    <row r="398">
      <c r="A398" s="14" t="str">
        <f>IFERROR(__xludf.DUMMYFUNCTION("""COMPUTED_VALUE"""),"O-17285-00")</f>
        <v>O-17285-00</v>
      </c>
      <c r="B398" s="14" t="str">
        <f>IFERROR(__xludf.DUMMYFUNCTION("""COMPUTED_VALUE"""),"Freeze Dryer MBE1207 - Main Valve Bellow SUS316L ST105*75; ; ;")</f>
        <v>Freeze Dryer MBE1207 - Main Valve Bellow SUS316L ST105*75; ; ;</v>
      </c>
      <c r="C398" s="14" t="str">
        <f>IFERROR(__xludf.DUMMYFUNCTION("""COMPUTED_VALUE"""),"O-17285-00")</f>
        <v>O-17285-00</v>
      </c>
    </row>
    <row r="399">
      <c r="A399" s="14" t="str">
        <f>IFERROR(__xludf.DUMMYFUNCTION("""COMPUTED_VALUE"""),"O-17287-00")</f>
        <v>O-17287-00</v>
      </c>
      <c r="B399" s="14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4" t="str">
        <f>IFERROR(__xludf.DUMMYFUNCTION("""COMPUTED_VALUE"""),"O-17287-00")</f>
        <v>O-17287-00</v>
      </c>
    </row>
    <row r="400">
      <c r="A400" s="14" t="str">
        <f>IFERROR(__xludf.DUMMYFUNCTION("""COMPUTED_VALUE"""),"O-17313-00")</f>
        <v>O-17313-00</v>
      </c>
      <c r="B400" s="14" t="str">
        <f>IFERROR(__xludf.DUMMYFUNCTION("""COMPUTED_VALUE"""),"Breathing Circuit Filter BB50T PALL")</f>
        <v>Breathing Circuit Filter BB50T PALL</v>
      </c>
      <c r="C400" s="14" t="str">
        <f>IFERROR(__xludf.DUMMYFUNCTION("""COMPUTED_VALUE"""),"O-17313-00")</f>
        <v>O-17313-00</v>
      </c>
    </row>
    <row r="401">
      <c r="A401" s="14" t="str">
        <f>IFERROR(__xludf.DUMMYFUNCTION("""COMPUTED_VALUE"""),"O-17376-00")</f>
        <v>O-17376-00</v>
      </c>
      <c r="B401" s="14" t="str">
        <f>IFERROR(__xludf.DUMMYFUNCTION("""COMPUTED_VALUE"""),"Autoclave Fedegari FOF / 6 AC - Kit DN22 Valve Mod; p/n: KK000310; ; ;")</f>
        <v>Autoclave Fedegari FOF / 6 AC - Kit DN22 Valve Mod; p/n: KK000310; ; ;</v>
      </c>
      <c r="C401" s="14" t="str">
        <f>IFERROR(__xludf.DUMMYFUNCTION("""COMPUTED_VALUE"""),"O-17376-00")</f>
        <v>O-17376-00</v>
      </c>
    </row>
    <row r="402">
      <c r="A402" s="14" t="str">
        <f>IFERROR(__xludf.DUMMYFUNCTION("""COMPUTED_VALUE"""),"O-17393-00")</f>
        <v>O-17393-00</v>
      </c>
      <c r="B402" s="14" t="str">
        <f>IFERROR(__xludf.DUMMYFUNCTION("""COMPUTED_VALUE"""),"Autoclave Fedegari FOF / 6 AC - O-Ring 6.02x2.62; p/n. CC150168; ; ;")</f>
        <v>Autoclave Fedegari FOF / 6 AC - O-Ring 6.02x2.62; p/n. CC150168; ; ;</v>
      </c>
      <c r="C402" s="14" t="str">
        <f>IFERROR(__xludf.DUMMYFUNCTION("""COMPUTED_VALUE"""),"O-17393-00")</f>
        <v>O-17393-00</v>
      </c>
    </row>
    <row r="403">
      <c r="A403" s="14" t="str">
        <f>IFERROR(__xludf.DUMMYFUNCTION("""COMPUTED_VALUE"""),"O-17395-00")</f>
        <v>O-17395-00</v>
      </c>
      <c r="B403" s="14" t="str">
        <f>IFERROR(__xludf.DUMMYFUNCTION("""COMPUTED_VALUE"""),"Autoclave Fedegari FOF / 6 AC - O-Ring 10.78x2.62; p/n. CC150169; ; ;")</f>
        <v>Autoclave Fedegari FOF / 6 AC - O-Ring 10.78x2.62; p/n. CC150169; ; ;</v>
      </c>
      <c r="C403" s="14" t="str">
        <f>IFERROR(__xludf.DUMMYFUNCTION("""COMPUTED_VALUE"""),"O-17395-00")</f>
        <v>O-17395-00</v>
      </c>
    </row>
    <row r="404">
      <c r="A404" s="14" t="str">
        <f>IFERROR(__xludf.DUMMYFUNCTION("""COMPUTED_VALUE"""),"O-17399-00")</f>
        <v>O-17399-00</v>
      </c>
      <c r="B404" s="14" t="str">
        <f>IFERROR(__xludf.DUMMYFUNCTION("""COMPUTED_VALUE"""),"Autoclave Fedegari FOF / 6 AC - O-RING21.82x3.53 ; p/n CC150010; ; ;")</f>
        <v>Autoclave Fedegari FOF / 6 AC - O-RING21.82x3.53 ; p/n CC150010; ; ;</v>
      </c>
      <c r="C404" s="14" t="str">
        <f>IFERROR(__xludf.DUMMYFUNCTION("""COMPUTED_VALUE"""),"O-17399-00")</f>
        <v>O-17399-00</v>
      </c>
    </row>
    <row r="405">
      <c r="A405" s="14" t="str">
        <f>IFERROR(__xludf.DUMMYFUNCTION("""COMPUTED_VALUE"""),"O-17420-00")</f>
        <v>O-17420-00</v>
      </c>
      <c r="B405" s="14" t="str">
        <f>IFERROR(__xludf.DUMMYFUNCTION("""COMPUTED_VALUE"""),"Diaphragm Silicone Platinum Cured NA25/26 NovaSeptic")</f>
        <v>Diaphragm Silicone Platinum Cured NA25/26 NovaSeptic</v>
      </c>
      <c r="C405" s="14" t="str">
        <f>IFERROR(__xludf.DUMMYFUNCTION("""COMPUTED_VALUE"""),"O-17420-00")</f>
        <v>O-17420-00</v>
      </c>
    </row>
    <row r="406">
      <c r="A406" s="14" t="str">
        <f>IFERROR(__xludf.DUMMYFUNCTION("""COMPUTED_VALUE"""),"O-17534-00")</f>
        <v>O-17534-00</v>
      </c>
      <c r="B406" s="14" t="str">
        <f>IFERROR(__xludf.DUMMYFUNCTION("""COMPUTED_VALUE"""),"Oring Viton 234x5.3 mm; ; ;")</f>
        <v>Oring Viton 234x5.3 mm; ; ;</v>
      </c>
      <c r="C406" s="14" t="str">
        <f>IFERROR(__xludf.DUMMYFUNCTION("""COMPUTED_VALUE"""),"O-17534-00")</f>
        <v>O-17534-00</v>
      </c>
    </row>
    <row r="407">
      <c r="A407" s="14" t="str">
        <f>IFERROR(__xludf.DUMMYFUNCTION("""COMPUTED_VALUE"""),"O-17535-00")</f>
        <v>O-17535-00</v>
      </c>
      <c r="B407" s="14" t="str">
        <f>IFERROR(__xludf.DUMMYFUNCTION("""COMPUTED_VALUE"""),"Hepa-Filter, Miele PRIMA INSTRUMENT ANALITIKA, PT P/N : 10083920 pc")</f>
        <v>Hepa-Filter, Miele PRIMA INSTRUMENT ANALITIKA, PT P/N : 10083920 pc</v>
      </c>
      <c r="C407" s="14" t="str">
        <f>IFERROR(__xludf.DUMMYFUNCTION("""COMPUTED_VALUE"""),"O-17535-00")</f>
        <v>O-17535-00</v>
      </c>
    </row>
    <row r="408">
      <c r="A408" s="14" t="str">
        <f>IFERROR(__xludf.DUMMYFUNCTION("""COMPUTED_VALUE"""),"O-17597-00")</f>
        <v>O-17597-00</v>
      </c>
      <c r="B408" s="14" t="str">
        <f>IFERROR(__xludf.DUMMYFUNCTION("""COMPUTED_VALUE"""),"Guide Belt Model : FRB-7701 Hualian")</f>
        <v>Guide Belt Model : FRB-7701 Hualian</v>
      </c>
      <c r="C408" s="14" t="str">
        <f>IFERROR(__xludf.DUMMYFUNCTION("""COMPUTED_VALUE"""),"O-17597-00")</f>
        <v>O-17597-00</v>
      </c>
    </row>
    <row r="409">
      <c r="A409" s="14" t="str">
        <f>IFERROR(__xludf.DUMMYFUNCTION("""COMPUTED_VALUE"""),"O-17640-00")</f>
        <v>O-17640-00</v>
      </c>
      <c r="B409" s="14" t="str">
        <f>IFERROR(__xludf.DUMMYFUNCTION("""COMPUTED_VALUE"""),"Ruber Whell Silicone Model : FRB-770i Hualian")</f>
        <v>Ruber Whell Silicone Model : FRB-770i Hualian</v>
      </c>
      <c r="C409" s="14" t="str">
        <f>IFERROR(__xludf.DUMMYFUNCTION("""COMPUTED_VALUE"""),"O-17640-00")</f>
        <v>O-17640-00</v>
      </c>
    </row>
    <row r="410">
      <c r="A410" s="14" t="str">
        <f>IFERROR(__xludf.DUMMYFUNCTION("""COMPUTED_VALUE"""),"O-17669-00")</f>
        <v>O-17669-00</v>
      </c>
      <c r="B410" s="14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4" t="str">
        <f>IFERROR(__xludf.DUMMYFUNCTION("""COMPUTED_VALUE"""),"O-17669-00")</f>
        <v>O-17669-00</v>
      </c>
    </row>
    <row r="411">
      <c r="A411" s="14" t="str">
        <f>IFERROR(__xludf.DUMMYFUNCTION("""COMPUTED_VALUE"""),"O-17712-00")</f>
        <v>O-17712-00</v>
      </c>
      <c r="B411" s="14" t="str">
        <f>IFERROR(__xludf.DUMMYFUNCTION("""COMPUTED_VALUE"""),"Socket Controller 8 pin - P/N : - pc")</f>
        <v>Socket Controller 8 pin - P/N : - pc</v>
      </c>
      <c r="C411" s="14" t="str">
        <f>IFERROR(__xludf.DUMMYFUNCTION("""COMPUTED_VALUE"""),"O-17712-00")</f>
        <v>O-17712-00</v>
      </c>
    </row>
    <row r="412">
      <c r="A412" s="14" t="str">
        <f>IFERROR(__xludf.DUMMYFUNCTION("""COMPUTED_VALUE"""),"O-17729-00")</f>
        <v>O-17729-00</v>
      </c>
      <c r="B412" s="14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4" t="str">
        <f>IFERROR(__xludf.DUMMYFUNCTION("""COMPUTED_VALUE"""),"O-17729-00")</f>
        <v>O-17729-00</v>
      </c>
    </row>
    <row r="413">
      <c r="A413" s="14" t="str">
        <f>IFERROR(__xludf.DUMMYFUNCTION("""COMPUTED_VALUE"""),"O-17730-00")</f>
        <v>O-17730-00</v>
      </c>
      <c r="B413" s="14" t="str">
        <f>IFERROR(__xludf.DUMMYFUNCTION("""COMPUTED_VALUE"""),"Dry Fog - Inner Gasket; P/N. 43100-106; ; ;")</f>
        <v>Dry Fog - Inner Gasket; P/N. 43100-106; ; ;</v>
      </c>
      <c r="C413" s="14" t="str">
        <f>IFERROR(__xludf.DUMMYFUNCTION("""COMPUTED_VALUE"""),"O-17730-00")</f>
        <v>O-17730-00</v>
      </c>
    </row>
    <row r="414">
      <c r="A414" s="14" t="str">
        <f>IFERROR(__xludf.DUMMYFUNCTION("""COMPUTED_VALUE"""),"O-17732-00")</f>
        <v>O-17732-00</v>
      </c>
      <c r="B414" s="14" t="str">
        <f>IFERROR(__xludf.DUMMYFUNCTION("""COMPUTED_VALUE"""),"Dry Fog - O-ring P4 MULTITRADE GOLDEN SYNERGY, PT P/N : 43100-082 pc")</f>
        <v>Dry Fog - O-ring P4 MULTITRADE GOLDEN SYNERGY, PT P/N : 43100-082 pc</v>
      </c>
      <c r="C414" s="14" t="str">
        <f>IFERROR(__xludf.DUMMYFUNCTION("""COMPUTED_VALUE"""),"O-17732-00")</f>
        <v>O-17732-00</v>
      </c>
    </row>
    <row r="415">
      <c r="A415" s="14" t="str">
        <f>IFERROR(__xludf.DUMMYFUNCTION("""COMPUTED_VALUE"""),"O-17810-00")</f>
        <v>O-17810-00</v>
      </c>
      <c r="B415" s="14" t="str">
        <f>IFERROR(__xludf.DUMMYFUNCTION("""COMPUTED_VALUE"""),"25TC PTFE Diaphragm for Flush Bottom Outlet Valve NA25/25; ; ;")</f>
        <v>25TC PTFE Diaphragm for Flush Bottom Outlet Valve NA25/25; ; ;</v>
      </c>
      <c r="C415" s="14" t="str">
        <f>IFERROR(__xludf.DUMMYFUNCTION("""COMPUTED_VALUE"""),"O-17810-00")</f>
        <v>O-17810-00</v>
      </c>
    </row>
    <row r="416">
      <c r="A416" s="14" t="str">
        <f>IFERROR(__xludf.DUMMYFUNCTION("""COMPUTED_VALUE"""),"O-17812-00")</f>
        <v>O-17812-00</v>
      </c>
      <c r="B416" s="14" t="str">
        <f>IFERROR(__xludf.DUMMYFUNCTION("""COMPUTED_VALUE"""),"Filter LSC Photometer ATI 2i P/N : 5500180-B")</f>
        <v>Filter LSC Photometer ATI 2i P/N : 5500180-B</v>
      </c>
      <c r="C416" s="14" t="str">
        <f>IFERROR(__xludf.DUMMYFUNCTION("""COMPUTED_VALUE"""),"O-17812-00")</f>
        <v>O-17812-00</v>
      </c>
    </row>
    <row r="417">
      <c r="A417" s="14" t="str">
        <f>IFERROR(__xludf.DUMMYFUNCTION("""COMPUTED_VALUE"""),"O-17831-00")</f>
        <v>O-17831-00</v>
      </c>
      <c r="B417" s="14" t="str">
        <f>IFERROR(__xludf.DUMMYFUNCTION("""COMPUTED_VALUE"""),"Gear Door Autoclave, HARRISA CIPTARINDO ENGINEERING, CV P/N : -  pc")</f>
        <v>Gear Door Autoclave, HARRISA CIPTARINDO ENGINEERING, CV P/N : -  pc</v>
      </c>
      <c r="C417" s="14" t="str">
        <f>IFERROR(__xludf.DUMMYFUNCTION("""COMPUTED_VALUE"""),"O-17831-00")</f>
        <v>O-17831-00</v>
      </c>
    </row>
    <row r="418">
      <c r="A418" s="14" t="str">
        <f>IFERROR(__xludf.DUMMYFUNCTION("""COMPUTED_VALUE"""),"O-17832-00")</f>
        <v>O-17832-00</v>
      </c>
      <c r="B418" s="14" t="str">
        <f>IFERROR(__xludf.DUMMYFUNCTION("""COMPUTED_VALUE"""),"Washing RAR4 - Outfeed Teflon Left; ; ;")</f>
        <v>Washing RAR4 - Outfeed Teflon Left; ; ;</v>
      </c>
      <c r="C418" s="14" t="str">
        <f>IFERROR(__xludf.DUMMYFUNCTION("""COMPUTED_VALUE"""),"O-17832-00")</f>
        <v>O-17832-00</v>
      </c>
    </row>
    <row r="419">
      <c r="A419" s="14" t="str">
        <f>IFERROR(__xludf.DUMMYFUNCTION("""COMPUTED_VALUE"""),"O-17833-00")</f>
        <v>O-17833-00</v>
      </c>
      <c r="B419" s="14" t="str">
        <f>IFERROR(__xludf.DUMMYFUNCTION("""COMPUTED_VALUE"""),"Washing RAR4 - Outfeed Teflon Right; ; ;")</f>
        <v>Washing RAR4 - Outfeed Teflon Right; ; ;</v>
      </c>
      <c r="C419" s="14" t="str">
        <f>IFERROR(__xludf.DUMMYFUNCTION("""COMPUTED_VALUE"""),"O-17833-00")</f>
        <v>O-17833-00</v>
      </c>
    </row>
    <row r="420">
      <c r="A420" s="14" t="str">
        <f>IFERROR(__xludf.DUMMYFUNCTION("""COMPUTED_VALUE"""),"O-17836-00")</f>
        <v>O-17836-00</v>
      </c>
      <c r="B420" s="14" t="str">
        <f>IFERROR(__xludf.DUMMYFUNCTION("""COMPUTED_VALUE"""),"Manual Actuator SS316L type: 612 GEMU")</f>
        <v>Manual Actuator SS316L type: 612 GEMU</v>
      </c>
      <c r="C420" s="14" t="str">
        <f>IFERROR(__xludf.DUMMYFUNCTION("""COMPUTED_VALUE"""),"O-17836-00")</f>
        <v>O-17836-00</v>
      </c>
    </row>
    <row r="421">
      <c r="A421" s="14" t="str">
        <f>IFERROR(__xludf.DUMMYFUNCTION("""COMPUTED_VALUE"""),"O-17842-00")</f>
        <v>O-17842-00</v>
      </c>
      <c r="B421" s="14" t="str">
        <f>IFERROR(__xludf.DUMMYFUNCTION("""COMPUTED_VALUE"""),"Membrane Diaphragm Valve EPDM DN 25 p/n: 600 25M 17 Gemu")</f>
        <v>Membrane Diaphragm Valve EPDM DN 25 p/n: 600 25M 17 Gemu</v>
      </c>
      <c r="C421" s="14" t="str">
        <f>IFERROR(__xludf.DUMMYFUNCTION("""COMPUTED_VALUE"""),"O-17842-00")</f>
        <v>O-17842-00</v>
      </c>
    </row>
    <row r="422">
      <c r="A422" s="14" t="str">
        <f>IFERROR(__xludf.DUMMYFUNCTION("""COMPUTED_VALUE"""),"O-17938-00")</f>
        <v>O-17938-00</v>
      </c>
      <c r="B422" s="14" t="str">
        <f>IFERROR(__xludf.DUMMYFUNCTION("""COMPUTED_VALUE"""),"Misumi - Casters CGAN65-M")</f>
        <v>Misumi - Casters CGAN65-M</v>
      </c>
      <c r="C422" s="14" t="str">
        <f>IFERROR(__xludf.DUMMYFUNCTION("""COMPUTED_VALUE"""),"O-17938-00")</f>
        <v>O-17938-00</v>
      </c>
    </row>
    <row r="423">
      <c r="A423" s="14" t="str">
        <f>IFERROR(__xludf.DUMMYFUNCTION("""COMPUTED_VALUE"""),"O-17960-00")</f>
        <v>O-17960-00</v>
      </c>
      <c r="B423" s="14" t="str">
        <f>IFERROR(__xludf.DUMMYFUNCTION("""COMPUTED_VALUE"""),"Mixer Male Bearing, GMP, pH Range: pH1  pH14, 1/pack; NovAseptic; ;")</f>
        <v>Mixer Male Bearing, GMP, pH Range: pH1  pH14, 1/pack; NovAseptic; ;</v>
      </c>
      <c r="C423" s="14" t="str">
        <f>IFERROR(__xludf.DUMMYFUNCTION("""COMPUTED_VALUE"""),"O-17960-00")</f>
        <v>O-17960-00</v>
      </c>
    </row>
    <row r="424">
      <c r="A424" s="14" t="str">
        <f>IFERROR(__xludf.DUMMYFUNCTION("""COMPUTED_VALUE"""),"O-17988-00")</f>
        <v>O-17988-00</v>
      </c>
      <c r="B424" s="14" t="str">
        <f>IFERROR(__xludf.DUMMYFUNCTION("""COMPUTED_VALUE"""),"Cam Follow (Idle Pin); INA; KR16-X-PP-A; pc")</f>
        <v>Cam Follow (Idle Pin); INA; KR16-X-PP-A; pc</v>
      </c>
      <c r="C424" s="14" t="str">
        <f>IFERROR(__xludf.DUMMYFUNCTION("""COMPUTED_VALUE"""),"O-17988-00")</f>
        <v>O-17988-00</v>
      </c>
    </row>
    <row r="425">
      <c r="A425" s="14" t="str">
        <f>IFERROR(__xludf.DUMMYFUNCTION("""COMPUTED_VALUE"""),"O-17995-00")</f>
        <v>O-17995-00</v>
      </c>
      <c r="B425" s="14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4" t="str">
        <f>IFERROR(__xludf.DUMMYFUNCTION("""COMPUTED_VALUE"""),"O-17995-00")</f>
        <v>O-17995-00</v>
      </c>
    </row>
    <row r="426">
      <c r="A426" s="14" t="str">
        <f>IFERROR(__xludf.DUMMYFUNCTION("""COMPUTED_VALUE"""),"O-17996-00")</f>
        <v>O-17996-00</v>
      </c>
      <c r="B426" s="14" t="str">
        <f>IFERROR(__xludf.DUMMYFUNCTION("""COMPUTED_VALUE"""),"Freeze Dryer MBE1207 - Slot Door Pressure Gasket P/N : EDF01-02008; ; ;")</f>
        <v>Freeze Dryer MBE1207 - Slot Door Pressure Gasket P/N : EDF01-02008; ; ;</v>
      </c>
      <c r="C426" s="14" t="str">
        <f>IFERROR(__xludf.DUMMYFUNCTION("""COMPUTED_VALUE"""),"O-17996-00")</f>
        <v>O-17996-00</v>
      </c>
    </row>
    <row r="427">
      <c r="A427" s="14" t="str">
        <f>IFERROR(__xludf.DUMMYFUNCTION("""COMPUTED_VALUE"""),"O-17997-00")</f>
        <v>O-17997-00</v>
      </c>
      <c r="B427" s="14" t="str">
        <f>IFERROR(__xludf.DUMMYFUNCTION("""COMPUTED_VALUE"""),"Freeze Dryer MBE1207 - Mushroom Seal P/N : EBSF0005AR0; ; ;")</f>
        <v>Freeze Dryer MBE1207 - Mushroom Seal P/N : EBSF0005AR0; ; ;</v>
      </c>
      <c r="C427" s="14" t="str">
        <f>IFERROR(__xludf.DUMMYFUNCTION("""COMPUTED_VALUE"""),"O-17997-00")</f>
        <v>O-17997-00</v>
      </c>
    </row>
    <row r="428">
      <c r="A428" s="14" t="str">
        <f>IFERROR(__xludf.DUMMYFUNCTION("""COMPUTED_VALUE"""),"O-17998-00")</f>
        <v>O-17998-00</v>
      </c>
      <c r="B428" s="14" t="str">
        <f>IFERROR(__xludf.DUMMYFUNCTION("""COMPUTED_VALUE"""),"Freeze Dryer MBE1207 - Main Door Gasket P/N : EB41-00568; ; ;")</f>
        <v>Freeze Dryer MBE1207 - Main Door Gasket P/N : EB41-00568; ; ;</v>
      </c>
      <c r="C428" s="14" t="str">
        <f>IFERROR(__xludf.DUMMYFUNCTION("""COMPUTED_VALUE"""),"O-17998-00")</f>
        <v>O-17998-00</v>
      </c>
    </row>
    <row r="429">
      <c r="A429" s="14" t="str">
        <f>IFERROR(__xludf.DUMMYFUNCTION("""COMPUTED_VALUE"""),"O-18009-00")</f>
        <v>O-18009-00</v>
      </c>
      <c r="B429" s="14" t="str">
        <f>IFERROR(__xludf.DUMMYFUNCTION("""COMPUTED_VALUE"""),"Silincer SMC P/N : AN30-03")</f>
        <v>Silincer SMC P/N : AN30-03</v>
      </c>
      <c r="C429" s="14" t="str">
        <f>IFERROR(__xludf.DUMMYFUNCTION("""COMPUTED_VALUE"""),"O-18009-00")</f>
        <v>O-18009-00</v>
      </c>
    </row>
    <row r="430">
      <c r="A430" s="14" t="str">
        <f>IFERROR(__xludf.DUMMYFUNCTION("""COMPUTED_VALUE"""),"O-18010-00")</f>
        <v>O-18010-00</v>
      </c>
      <c r="B430" s="14" t="str">
        <f>IFERROR(__xludf.DUMMYFUNCTION("""COMPUTED_VALUE"""),"Fitting SMC P/N : KQ2H08-03AS")</f>
        <v>Fitting SMC P/N : KQ2H08-03AS</v>
      </c>
      <c r="C430" s="14" t="str">
        <f>IFERROR(__xludf.DUMMYFUNCTION("""COMPUTED_VALUE"""),"O-18010-00")</f>
        <v>O-18010-00</v>
      </c>
    </row>
    <row r="431">
      <c r="A431" s="14" t="str">
        <f>IFERROR(__xludf.DUMMYFUNCTION("""COMPUTED_VALUE"""),"O-18011-00")</f>
        <v>O-18011-00</v>
      </c>
      <c r="B431" s="14" t="str">
        <f>IFERROR(__xludf.DUMMYFUNCTION("""COMPUTED_VALUE"""),"Air Filter SMC P/N : AF40-04-A")</f>
        <v>Air Filter SMC P/N : AF40-04-A</v>
      </c>
      <c r="C431" s="14" t="str">
        <f>IFERROR(__xludf.DUMMYFUNCTION("""COMPUTED_VALUE"""),"O-18011-00")</f>
        <v>O-18011-00</v>
      </c>
    </row>
    <row r="432">
      <c r="A432" s="14" t="str">
        <f>IFERROR(__xludf.DUMMYFUNCTION("""COMPUTED_VALUE"""),"O-18041-00")</f>
        <v>O-18041-00</v>
      </c>
      <c r="B432" s="14" t="str">
        <f>IFERROR(__xludf.DUMMYFUNCTION("""COMPUTED_VALUE"""),"Bearing 624 ZZ; SKF; ;")</f>
        <v>Bearing 624 ZZ; SKF; ;</v>
      </c>
      <c r="C432" s="14" t="str">
        <f>IFERROR(__xludf.DUMMYFUNCTION("""COMPUTED_VALUE"""),"O-18041-00")</f>
        <v>O-18041-00</v>
      </c>
    </row>
    <row r="433">
      <c r="A433" s="14" t="str">
        <f>IFERROR(__xludf.DUMMYFUNCTION("""COMPUTED_VALUE"""),"O-18043-00")</f>
        <v>O-18043-00</v>
      </c>
      <c r="B433" s="14" t="str">
        <f>IFERROR(__xludf.DUMMYFUNCTION("""COMPUTED_VALUE"""),"Name Plate For Sampling Point Material SS304 25x70x0.3mm")</f>
        <v>Name Plate For Sampling Point Material SS304 25x70x0.3mm</v>
      </c>
      <c r="C433" s="14" t="str">
        <f>IFERROR(__xludf.DUMMYFUNCTION("""COMPUTED_VALUE"""),"O-18043-00")</f>
        <v>O-18043-00</v>
      </c>
    </row>
    <row r="434">
      <c r="A434" s="14" t="str">
        <f>IFERROR(__xludf.DUMMYFUNCTION("""COMPUTED_VALUE"""),"O-18055-00")</f>
        <v>O-18055-00</v>
      </c>
      <c r="B434" s="14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4" t="str">
        <f>IFERROR(__xludf.DUMMYFUNCTION("""COMPUTED_VALUE"""),"O-18055-00")</f>
        <v>O-18055-00</v>
      </c>
    </row>
    <row r="435">
      <c r="A435" s="14" t="str">
        <f>IFERROR(__xludf.DUMMYFUNCTION("""COMPUTED_VALUE"""),"O-18094-00")</f>
        <v>O-18094-00</v>
      </c>
      <c r="B435" s="14" t="str">
        <f>IFERROR(__xludf.DUMMYFUNCTION("""COMPUTED_VALUE"""),"Freeze Dryer MBE1207 - Orifice 0,3 Danfoss; ; ;")</f>
        <v>Freeze Dryer MBE1207 - Orifice 0,3 Danfoss; ; ;</v>
      </c>
      <c r="C435" s="14" t="str">
        <f>IFERROR(__xludf.DUMMYFUNCTION("""COMPUTED_VALUE"""),"O-18094-00")</f>
        <v>O-18094-00</v>
      </c>
    </row>
    <row r="436">
      <c r="A436" s="14" t="str">
        <f>IFERROR(__xludf.DUMMYFUNCTION("""COMPUTED_VALUE"""),"O-18108-00")</f>
        <v>O-18108-00</v>
      </c>
      <c r="B436" s="14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4" t="str">
        <f>IFERROR(__xludf.DUMMYFUNCTION("""COMPUTED_VALUE"""),"O-18108-00")</f>
        <v>O-18108-00</v>
      </c>
    </row>
    <row r="437">
      <c r="A437" s="14" t="str">
        <f>IFERROR(__xludf.DUMMYFUNCTION("""COMPUTED_VALUE"""),"O-18120-00")</f>
        <v>O-18120-00</v>
      </c>
      <c r="B437" s="14" t="str">
        <f>IFERROR(__xludf.DUMMYFUNCTION("""COMPUTED_VALUE"""),"Capping VCM200 - Lock Nut Cramping; ; ;")</f>
        <v>Capping VCM200 - Lock Nut Cramping; ; ;</v>
      </c>
      <c r="C437" s="14" t="str">
        <f>IFERROR(__xludf.DUMMYFUNCTION("""COMPUTED_VALUE"""),"O-18120-00")</f>
        <v>O-18120-00</v>
      </c>
    </row>
    <row r="438">
      <c r="A438" s="14" t="str">
        <f>IFERROR(__xludf.DUMMYFUNCTION("""COMPUTED_VALUE"""),"O-18124-00")</f>
        <v>O-18124-00</v>
      </c>
      <c r="B438" s="14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4" t="str">
        <f>IFERROR(__xludf.DUMMYFUNCTION("""COMPUTED_VALUE"""),"O-18124-00")</f>
        <v>O-18124-00</v>
      </c>
    </row>
    <row r="439">
      <c r="A439" s="14" t="str">
        <f>IFERROR(__xludf.DUMMYFUNCTION("""COMPUTED_VALUE"""),"O-18125-00")</f>
        <v>O-18125-00</v>
      </c>
      <c r="B439" s="14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4" t="str">
        <f>IFERROR(__xludf.DUMMYFUNCTION("""COMPUTED_VALUE"""),"O-18125-00")</f>
        <v>O-18125-00</v>
      </c>
    </row>
    <row r="440">
      <c r="A440" s="14" t="str">
        <f>IFERROR(__xludf.DUMMYFUNCTION("""COMPUTED_VALUE"""),"O-18165-00")</f>
        <v>O-18165-00</v>
      </c>
      <c r="B440" s="14" t="str">
        <f>IFERROR(__xludf.DUMMYFUNCTION("""COMPUTED_VALUE"""),"Water Spray Gun (1/4"") SG-1-01; PARKER; ;")</f>
        <v>Water Spray Gun (1/4") SG-1-01; PARKER; ;</v>
      </c>
      <c r="C440" s="14" t="str">
        <f>IFERROR(__xludf.DUMMYFUNCTION("""COMPUTED_VALUE"""),"O-18165-00")</f>
        <v>O-18165-00</v>
      </c>
    </row>
    <row r="441">
      <c r="A441" s="14" t="str">
        <f>IFERROR(__xludf.DUMMYFUNCTION("""COMPUTED_VALUE"""),"O-18166-00")</f>
        <v>O-18166-00</v>
      </c>
      <c r="B441" s="14" t="str">
        <f>IFERROR(__xludf.DUMMYFUNCTION("""COMPUTED_VALUE"""),"Flow Meter 1-10 CMH LZQ-7")</f>
        <v>Flow Meter 1-10 CMH LZQ-7</v>
      </c>
      <c r="C441" s="14" t="str">
        <f>IFERROR(__xludf.DUMMYFUNCTION("""COMPUTED_VALUE"""),"O-18166-00")</f>
        <v>O-18166-00</v>
      </c>
    </row>
    <row r="442">
      <c r="A442" s="14" t="str">
        <f>IFERROR(__xludf.DUMMYFUNCTION("""COMPUTED_VALUE"""),"O-18175-00")</f>
        <v>O-18175-00</v>
      </c>
      <c r="B442" s="14" t="str">
        <f>IFERROR(__xludf.DUMMYFUNCTION("""COMPUTED_VALUE"""),"Freeze Dryer MBE1207 - Tefflon Self")</f>
        <v>Freeze Dryer MBE1207 - Tefflon Self</v>
      </c>
      <c r="C442" s="14" t="str">
        <f>IFERROR(__xludf.DUMMYFUNCTION("""COMPUTED_VALUE"""),"O-18175-00")</f>
        <v>O-18175-00</v>
      </c>
    </row>
    <row r="443">
      <c r="A443" s="14" t="str">
        <f>IFERROR(__xludf.DUMMYFUNCTION("""COMPUTED_VALUE"""),"O-18192-00")</f>
        <v>O-18192-00</v>
      </c>
      <c r="B443" s="14" t="str">
        <f>IFERROR(__xludf.DUMMYFUNCTION("""COMPUTED_VALUE"""),"SMC - Tubing Anti Static TAS1208B-20")</f>
        <v>SMC - Tubing Anti Static TAS1208B-20</v>
      </c>
      <c r="C443" s="14" t="str">
        <f>IFERROR(__xludf.DUMMYFUNCTION("""COMPUTED_VALUE"""),"O-18192-00")</f>
        <v>O-18192-00</v>
      </c>
    </row>
    <row r="444">
      <c r="A444" s="14" t="str">
        <f>IFERROR(__xludf.DUMMYFUNCTION("""COMPUTED_VALUE"""),"O-18209-00")</f>
        <v>O-18209-00</v>
      </c>
      <c r="B444" s="14" t="str">
        <f>IFERROR(__xludf.DUMMYFUNCTION("""COMPUTED_VALUE"""),"Oring Viton Dia. 170 x 6,99mm; ; ;")</f>
        <v>Oring Viton Dia. 170 x 6,99mm; ; ;</v>
      </c>
      <c r="C444" s="14" t="str">
        <f>IFERROR(__xludf.DUMMYFUNCTION("""COMPUTED_VALUE"""),"O-18209-00")</f>
        <v>O-18209-00</v>
      </c>
    </row>
    <row r="445">
      <c r="A445" s="14" t="str">
        <f>IFERROR(__xludf.DUMMYFUNCTION("""COMPUTED_VALUE"""),"O-18218-00")</f>
        <v>O-18218-00</v>
      </c>
      <c r="B445" s="14" t="str">
        <f>IFERROR(__xludf.DUMMYFUNCTION("""COMPUTED_VALUE"""),"Mata Reject Station Material Pom")</f>
        <v>Mata Reject Station Material Pom</v>
      </c>
      <c r="C445" s="14" t="str">
        <f>IFERROR(__xludf.DUMMYFUNCTION("""COMPUTED_VALUE"""),"O-18218-00")</f>
        <v>O-18218-00</v>
      </c>
    </row>
    <row r="446">
      <c r="A446" s="14" t="str">
        <f>IFERROR(__xludf.DUMMYFUNCTION("""COMPUTED_VALUE"""),"O-18229-00")</f>
        <v>O-18229-00</v>
      </c>
      <c r="B446" s="14" t="str">
        <f>IFERROR(__xludf.DUMMYFUNCTION("""COMPUTED_VALUE"""),"Assy Reject Station Material Pom")</f>
        <v>Assy Reject Station Material Pom</v>
      </c>
      <c r="C446" s="14" t="str">
        <f>IFERROR(__xludf.DUMMYFUNCTION("""COMPUTED_VALUE"""),"O-18229-00")</f>
        <v>O-18229-00</v>
      </c>
    </row>
    <row r="447">
      <c r="A447" s="14" t="str">
        <f>IFERROR(__xludf.DUMMYFUNCTION("""COMPUTED_VALUE"""),"O-18344-00")</f>
        <v>O-18344-00</v>
      </c>
      <c r="B447" s="14" t="str">
        <f>IFERROR(__xludf.DUMMYFUNCTION("""COMPUTED_VALUE"""),"Capping VCM200 - Roller trimmer D=48X18 inclination=7 for alucap D=20; ; ;")</f>
        <v>Capping VCM200 - Roller trimmer D=48X18 inclination=7 for alucap D=20; ; ;</v>
      </c>
      <c r="C447" s="14" t="str">
        <f>IFERROR(__xludf.DUMMYFUNCTION("""COMPUTED_VALUE"""),"O-18344-00")</f>
        <v>O-18344-00</v>
      </c>
    </row>
    <row r="448">
      <c r="A448" s="14" t="str">
        <f>IFERROR(__xludf.DUMMYFUNCTION("""COMPUTED_VALUE"""),"O-18345-00")</f>
        <v>O-18345-00</v>
      </c>
      <c r="B448" s="14" t="str">
        <f>IFERROR(__xludf.DUMMYFUNCTION("""COMPUTED_VALUE"""),"Silicon suction cup 01.11.16 PN: 202082; ; ;")</f>
        <v>Silicon suction cup 01.11.16 PN: 202082; ; ;</v>
      </c>
      <c r="C448" s="14" t="str">
        <f>IFERROR(__xludf.DUMMYFUNCTION("""COMPUTED_VALUE"""),"O-18345-00")</f>
        <v>O-18345-00</v>
      </c>
    </row>
    <row r="449">
      <c r="A449" s="14" t="str">
        <f>IFERROR(__xludf.DUMMYFUNCTION("""COMPUTED_VALUE"""),"O-18345-00")</f>
        <v>O-18345-00</v>
      </c>
      <c r="B449" s="14" t="str">
        <f>IFERROR(__xludf.DUMMYFUNCTION("""COMPUTED_VALUE"""),"Silicon suction cup 01.11.16 PN: 202082; ; ;")</f>
        <v>Silicon suction cup 01.11.16 PN: 202082; ; ;</v>
      </c>
      <c r="C449" s="14" t="str">
        <f>IFERROR(__xludf.DUMMYFUNCTION("""COMPUTED_VALUE"""),"O-18345-00")</f>
        <v>O-18345-00</v>
      </c>
    </row>
    <row r="450">
      <c r="A450" s="14" t="str">
        <f>IFERROR(__xludf.DUMMYFUNCTION("""COMPUTED_VALUE"""),"O-18346-00")</f>
        <v>O-18346-00</v>
      </c>
      <c r="B450" s="14" t="str">
        <f>IFERROR(__xludf.DUMMYFUNCTION("""COMPUTED_VALUE"""),"Tunnel ST1L - Junction (15x15mm L=23,5mm) CA system Tight Door; ; ;")</f>
        <v>Tunnel ST1L - Junction (15x15mm L=23,5mm) CA system Tight Door; ; ;</v>
      </c>
      <c r="C450" s="14" t="str">
        <f>IFERROR(__xludf.DUMMYFUNCTION("""COMPUTED_VALUE"""),"O-18346-00")</f>
        <v>O-18346-00</v>
      </c>
    </row>
    <row r="451">
      <c r="A451" s="14" t="str">
        <f>IFERROR(__xludf.DUMMYFUNCTION("""COMPUTED_VALUE"""),"O-18347-00")</f>
        <v>O-18347-00</v>
      </c>
      <c r="B451" s="14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4" t="str">
        <f>IFERROR(__xludf.DUMMYFUNCTION("""COMPUTED_VALUE"""),"O-18347-00")</f>
        <v>O-18347-00</v>
      </c>
    </row>
    <row r="452">
      <c r="A452" s="14" t="str">
        <f>IFERROR(__xludf.DUMMYFUNCTION("""COMPUTED_VALUE"""),"O-18348-00")</f>
        <v>O-18348-00</v>
      </c>
      <c r="B452" s="14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4" t="str">
        <f>IFERROR(__xludf.DUMMYFUNCTION("""COMPUTED_VALUE"""),"O-18348-00")</f>
        <v>O-18348-00</v>
      </c>
    </row>
    <row r="453">
      <c r="A453" s="14" t="str">
        <f>IFERROR(__xludf.DUMMYFUNCTION("""COMPUTED_VALUE"""),"O-18349-00")</f>
        <v>O-18349-00</v>
      </c>
      <c r="B453" s="14" t="str">
        <f>IFERROR(__xludf.DUMMYFUNCTION("""COMPUTED_VALUE"""),"Gas Spring Stabilus Lift-o-mat 065641 0500N; ; ;")</f>
        <v>Gas Spring Stabilus Lift-o-mat 065641 0500N; ; ;</v>
      </c>
      <c r="C453" s="14" t="str">
        <f>IFERROR(__xludf.DUMMYFUNCTION("""COMPUTED_VALUE"""),"O-18349-00")</f>
        <v>O-18349-00</v>
      </c>
    </row>
    <row r="454">
      <c r="A454" s="14" t="str">
        <f>IFERROR(__xludf.DUMMYFUNCTION("""COMPUTED_VALUE"""),"O-18350-00")</f>
        <v>O-18350-00</v>
      </c>
      <c r="B454" s="14" t="str">
        <f>IFERROR(__xludf.DUMMYFUNCTION("""COMPUTED_VALUE"""),"Oring EDM 100x105x2.5 mm")</f>
        <v>Oring EDM 100x105x2.5 mm</v>
      </c>
      <c r="C454" s="14" t="str">
        <f>IFERROR(__xludf.DUMMYFUNCTION("""COMPUTED_VALUE"""),"O-18350-00")</f>
        <v>O-18350-00</v>
      </c>
    </row>
    <row r="455">
      <c r="A455" s="14" t="str">
        <f>IFERROR(__xludf.DUMMYFUNCTION("""COMPUTED_VALUE"""),"O-18351-00")</f>
        <v>O-18351-00</v>
      </c>
      <c r="B455" s="14" t="str">
        <f>IFERROR(__xludf.DUMMYFUNCTION("""COMPUTED_VALUE"""),"Oring Silicone 3.1x19.4x25.6 mm")</f>
        <v>Oring Silicone 3.1x19.4x25.6 mm</v>
      </c>
      <c r="C455" s="14" t="str">
        <f>IFERROR(__xludf.DUMMYFUNCTION("""COMPUTED_VALUE"""),"O-18351-00")</f>
        <v>O-18351-00</v>
      </c>
    </row>
    <row r="456">
      <c r="A456" s="14" t="str">
        <f>IFERROR(__xludf.DUMMYFUNCTION("""COMPUTED_VALUE"""),"O-18356-00")</f>
        <v>O-18356-00</v>
      </c>
      <c r="B456" s="14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4" t="str">
        <f>IFERROR(__xludf.DUMMYFUNCTION("""COMPUTED_VALUE"""),"O-18356-00")</f>
        <v>O-18356-00</v>
      </c>
    </row>
    <row r="457">
      <c r="A457" s="14" t="str">
        <f>IFERROR(__xludf.DUMMYFUNCTION("""COMPUTED_VALUE"""),"O-18388-00")</f>
        <v>O-18388-00</v>
      </c>
      <c r="B457" s="14" t="str">
        <f>IFERROR(__xludf.DUMMYFUNCTION("""COMPUTED_VALUE"""),"Membrane Valve PTFE/EPDM DN15 type 612 GEMU; ; ;")</f>
        <v>Membrane Valve PTFE/EPDM DN15 type 612 GEMU; ; ;</v>
      </c>
      <c r="C457" s="14" t="str">
        <f>IFERROR(__xludf.DUMMYFUNCTION("""COMPUTED_VALUE"""),"O-18388-00")</f>
        <v>O-18388-00</v>
      </c>
    </row>
    <row r="458">
      <c r="A458" s="14" t="str">
        <f>IFERROR(__xludf.DUMMYFUNCTION("""COMPUTED_VALUE"""),"O-18428-00")</f>
        <v>O-18428-00</v>
      </c>
      <c r="B458" s="14" t="str">
        <f>IFERROR(__xludf.DUMMYFUNCTION("""COMPUTED_VALUE"""),"Roda Vertikal Blind Runner and Spacer dan Cor d Driver Runner")</f>
        <v>Roda Vertikal Blind Runner and Spacer dan Cor d Driver Runner</v>
      </c>
      <c r="C458" s="14" t="str">
        <f>IFERROR(__xludf.DUMMYFUNCTION("""COMPUTED_VALUE"""),"O-18428-00")</f>
        <v>O-18428-00</v>
      </c>
    </row>
    <row r="459">
      <c r="A459" s="14" t="str">
        <f>IFERROR(__xludf.DUMMYFUNCTION("""COMPUTED_VALUE"""),"O-18445-00")</f>
        <v>O-18445-00</v>
      </c>
      <c r="B459" s="14" t="str">
        <f>IFERROR(__xludf.DUMMYFUNCTION("""COMPUTED_VALUE"""),"Tunnel ST1L - Oufeed Guide POM White")</f>
        <v>Tunnel ST1L - Oufeed Guide POM White</v>
      </c>
      <c r="C459" s="14" t="str">
        <f>IFERROR(__xludf.DUMMYFUNCTION("""COMPUTED_VALUE"""),"O-18445-00")</f>
        <v>O-18445-00</v>
      </c>
    </row>
    <row r="460">
      <c r="A460" s="14" t="str">
        <f>IFERROR(__xludf.DUMMYFUNCTION("""COMPUTED_VALUE"""),"O-18446-00")</f>
        <v>O-18446-00</v>
      </c>
      <c r="B460" s="14" t="str">
        <f>IFERROR(__xludf.DUMMYFUNCTION("""COMPUTED_VALUE"""),"General - Silicone Guide Infeed; Custom/Lokal; -; 1 Pc")</f>
        <v>General - Silicone Guide Infeed; Custom/Lokal; -; 1 Pc</v>
      </c>
      <c r="C460" s="14" t="str">
        <f>IFERROR(__xludf.DUMMYFUNCTION("""COMPUTED_VALUE"""),"O-18446-00")</f>
        <v>O-18446-00</v>
      </c>
    </row>
    <row r="461">
      <c r="A461" s="14" t="str">
        <f>IFERROR(__xludf.DUMMYFUNCTION("""COMPUTED_VALUE"""),"O-18447-00")</f>
        <v>O-18447-00</v>
      </c>
      <c r="B461" s="14" t="str">
        <f>IFERROR(__xludf.DUMMYFUNCTION("""COMPUTED_VALUE"""),"General - Silicone Guide Outfeed; Custom/Lokal; -; 1 Pc")</f>
        <v>General - Silicone Guide Outfeed; Custom/Lokal; -; 1 Pc</v>
      </c>
      <c r="C461" s="14" t="str">
        <f>IFERROR(__xludf.DUMMYFUNCTION("""COMPUTED_VALUE"""),"O-18447-00")</f>
        <v>O-18447-00</v>
      </c>
    </row>
    <row r="462">
      <c r="A462" s="14" t="str">
        <f>IFERROR(__xludf.DUMMYFUNCTION("""COMPUTED_VALUE"""),"O-18455-00")</f>
        <v>O-18455-00</v>
      </c>
      <c r="B462" s="14" t="str">
        <f>IFERROR(__xludf.DUMMYFUNCTION("""COMPUTED_VALUE"""),"Clamp Selang SS304 7/8"" (8-22mm); ; ;")</f>
        <v>Clamp Selang SS304 7/8" (8-22mm); ; ;</v>
      </c>
      <c r="C462" s="14" t="str">
        <f>IFERROR(__xludf.DUMMYFUNCTION("""COMPUTED_VALUE"""),"O-18455-00")</f>
        <v>O-18455-00</v>
      </c>
    </row>
    <row r="463">
      <c r="A463" s="14" t="str">
        <f>IFERROR(__xludf.DUMMYFUNCTION("""COMPUTED_VALUE"""),"O-18456-00")</f>
        <v>O-18456-00</v>
      </c>
      <c r="B463" s="14" t="str">
        <f>IFERROR(__xludf.DUMMYFUNCTION("""COMPUTED_VALUE"""),"Oring Material Viton Dia. 170 x 6.99 mm")</f>
        <v>Oring Material Viton Dia. 170 x 6.99 mm</v>
      </c>
      <c r="C463" s="14" t="str">
        <f>IFERROR(__xludf.DUMMYFUNCTION("""COMPUTED_VALUE"""),"O-18456-00")</f>
        <v>O-18456-00</v>
      </c>
    </row>
    <row r="464">
      <c r="A464" s="14" t="str">
        <f>IFERROR(__xludf.DUMMYFUNCTION("""COMPUTED_VALUE"""),"O-18504-00")</f>
        <v>O-18504-00</v>
      </c>
      <c r="B464" s="14" t="str">
        <f>IFERROR(__xludf.DUMMYFUNCTION("""COMPUTED_VALUE"""),"Baut hexagonal ss M6x15mm+Mur+Ring; ; ;")</f>
        <v>Baut hexagonal ss M6x15mm+Mur+Ring; ; ;</v>
      </c>
      <c r="C464" s="14" t="str">
        <f>IFERROR(__xludf.DUMMYFUNCTION("""COMPUTED_VALUE"""),"O-18504-00")</f>
        <v>O-18504-00</v>
      </c>
    </row>
    <row r="465">
      <c r="A465" s="14" t="str">
        <f>IFERROR(__xludf.DUMMYFUNCTION("""COMPUTED_VALUE"""),"O-18559-00")</f>
        <v>O-18559-00</v>
      </c>
      <c r="B465" s="14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4" t="str">
        <f>IFERROR(__xludf.DUMMYFUNCTION("""COMPUTED_VALUE"""),"O-18559-00")</f>
        <v>O-18559-00</v>
      </c>
    </row>
    <row r="466">
      <c r="A466" s="14" t="str">
        <f>IFERROR(__xludf.DUMMYFUNCTION("""COMPUTED_VALUE"""),"O-18560-00")</f>
        <v>O-18560-00</v>
      </c>
      <c r="B466" s="14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4" t="str">
        <f>IFERROR(__xludf.DUMMYFUNCTION("""COMPUTED_VALUE"""),"O-18560-00")</f>
        <v>O-18560-00</v>
      </c>
    </row>
    <row r="467">
      <c r="A467" s="14" t="str">
        <f>IFERROR(__xludf.DUMMYFUNCTION("""COMPUTED_VALUE"""),"O-18686-00")</f>
        <v>O-18686-00</v>
      </c>
      <c r="B467" s="14" t="str">
        <f>IFERROR(__xludf.DUMMYFUNCTION("""COMPUTED_VALUE"""),"Autoclave Fedegari FVA2/A1 NB2963AT - DN6-8 CLAMP P/N: GM100029; ; ;")</f>
        <v>Autoclave Fedegari FVA2/A1 NB2963AT - DN6-8 CLAMP P/N: GM100029; ; ;</v>
      </c>
      <c r="C467" s="14" t="str">
        <f>IFERROR(__xludf.DUMMYFUNCTION("""COMPUTED_VALUE"""),"O-18686-00")</f>
        <v>O-18686-00</v>
      </c>
    </row>
    <row r="468">
      <c r="A468" s="14" t="str">
        <f>IFERROR(__xludf.DUMMYFUNCTION("""COMPUTED_VALUE"""),"O-18687-00")</f>
        <v>O-18687-00</v>
      </c>
      <c r="B468" s="14" t="str">
        <f>IFERROR(__xludf.DUMMYFUNCTION("""COMPUTED_VALUE"""),"Autoclave Fedegari FVA2/A1 NB2963AT - DN10/DN16 CLAMP P/N: GM100017; ; ;")</f>
        <v>Autoclave Fedegari FVA2/A1 NB2963AT - DN10/DN16 CLAMP P/N: GM100017; ; ;</v>
      </c>
      <c r="C468" s="14" t="str">
        <f>IFERROR(__xludf.DUMMYFUNCTION("""COMPUTED_VALUE"""),"O-18687-00")</f>
        <v>O-18687-00</v>
      </c>
    </row>
    <row r="469">
      <c r="A469" s="14" t="str">
        <f>IFERROR(__xludf.DUMMYFUNCTION("""COMPUTED_VALUE"""),"O-18688-00")</f>
        <v>O-18688-00</v>
      </c>
      <c r="B469" s="14" t="str">
        <f>IFERROR(__xludf.DUMMYFUNCTION("""COMPUTED_VALUE"""),"Autoclave Fedegari FVA2/A1 NB2963AT - DN20/DN22 CLAMP P/N: GM100067; ; ;")</f>
        <v>Autoclave Fedegari FVA2/A1 NB2963AT - DN20/DN22 CLAMP P/N: GM100067; ; ;</v>
      </c>
      <c r="C469" s="14" t="str">
        <f>IFERROR(__xludf.DUMMYFUNCTION("""COMPUTED_VALUE"""),"O-18688-00")</f>
        <v>O-18688-00</v>
      </c>
    </row>
    <row r="470">
      <c r="A470" s="14" t="str">
        <f>IFERROR(__xludf.DUMMYFUNCTION("""COMPUTED_VALUE"""),"O-18690-00")</f>
        <v>O-18690-00</v>
      </c>
      <c r="B470" s="14" t="str">
        <f>IFERROR(__xludf.DUMMYFUNCTION("""COMPUTED_VALUE"""),"Autoclave Fedegari FVA2/A1 NB2963AT - DN48/DN50 CLAMP P/N: GM100049; ; ;")</f>
        <v>Autoclave Fedegari FVA2/A1 NB2963AT - DN48/DN50 CLAMP P/N: GM100049; ; ;</v>
      </c>
      <c r="C470" s="14" t="str">
        <f>IFERROR(__xludf.DUMMYFUNCTION("""COMPUTED_VALUE"""),"O-18690-00")</f>
        <v>O-18690-00</v>
      </c>
    </row>
    <row r="471">
      <c r="A471" s="14" t="str">
        <f>IFERROR(__xludf.DUMMYFUNCTION("""COMPUTED_VALUE"""),"O-18691-00")</f>
        <v>O-18691-00</v>
      </c>
      <c r="B471" s="14" t="str">
        <f>IFERROR(__xludf.DUMMYFUNCTION("""COMPUTED_VALUE"""),"Autoclave Fedegari FVA2/A1 NB2963AT - DN6 Blind CAP P/N: PM101233; ; ;")</f>
        <v>Autoclave Fedegari FVA2/A1 NB2963AT - DN6 Blind CAP P/N: PM101233; ; ;</v>
      </c>
      <c r="C471" s="14" t="str">
        <f>IFERROR(__xludf.DUMMYFUNCTION("""COMPUTED_VALUE"""),"O-18691-00")</f>
        <v>O-18691-00</v>
      </c>
    </row>
    <row r="472">
      <c r="A472" s="14" t="str">
        <f>IFERROR(__xludf.DUMMYFUNCTION("""COMPUTED_VALUE"""),"O-18692-00")</f>
        <v>O-18692-00</v>
      </c>
      <c r="B472" s="14" t="str">
        <f>IFERROR(__xludf.DUMMYFUNCTION("""COMPUTED_VALUE"""),"Autoclave Fedegari FVA2/A1 NB2963AT - DN10 Blind CAP P/N: PM102746; ; ;")</f>
        <v>Autoclave Fedegari FVA2/A1 NB2963AT - DN10 Blind CAP P/N: PM102746; ; ;</v>
      </c>
      <c r="C472" s="14" t="str">
        <f>IFERROR(__xludf.DUMMYFUNCTION("""COMPUTED_VALUE"""),"O-18692-00")</f>
        <v>O-18692-00</v>
      </c>
    </row>
    <row r="473">
      <c r="A473" s="14" t="str">
        <f>IFERROR(__xludf.DUMMYFUNCTION("""COMPUTED_VALUE"""),"O-18693-00")</f>
        <v>O-18693-00</v>
      </c>
      <c r="B473" s="14" t="str">
        <f>IFERROR(__xludf.DUMMYFUNCTION("""COMPUTED_VALUE"""),"Autoclave Fedegari FVA2/A1 NB2963AT - DN16 Blind CAP P/N:PM102747; ; ;")</f>
        <v>Autoclave Fedegari FVA2/A1 NB2963AT - DN16 Blind CAP P/N:PM102747; ; ;</v>
      </c>
      <c r="C473" s="14" t="str">
        <f>IFERROR(__xludf.DUMMYFUNCTION("""COMPUTED_VALUE"""),"O-18693-00")</f>
        <v>O-18693-00</v>
      </c>
    </row>
    <row r="474">
      <c r="A474" s="14" t="str">
        <f>IFERROR(__xludf.DUMMYFUNCTION("""COMPUTED_VALUE"""),"O-18694-00")</f>
        <v>O-18694-00</v>
      </c>
      <c r="B474" s="14" t="str">
        <f>IFERROR(__xludf.DUMMYFUNCTION("""COMPUTED_VALUE"""),"Autoclave Fedegari FVA2/A1 NB2963AT - DN22 Blind CAP P/N: PM102748; ; ;")</f>
        <v>Autoclave Fedegari FVA2/A1 NB2963AT - DN22 Blind CAP P/N: PM102748; ; ;</v>
      </c>
      <c r="C474" s="14" t="str">
        <f>IFERROR(__xludf.DUMMYFUNCTION("""COMPUTED_VALUE"""),"O-18694-00")</f>
        <v>O-18694-00</v>
      </c>
    </row>
    <row r="475">
      <c r="A475" s="14" t="str">
        <f>IFERROR(__xludf.DUMMYFUNCTION("""COMPUTED_VALUE"""),"O-18775-00")</f>
        <v>O-18775-00</v>
      </c>
      <c r="B475" s="14" t="str">
        <f>IFERROR(__xludf.DUMMYFUNCTION("""COMPUTED_VALUE"""),"General - Round Bar SS 8 MM; ; ;; -; -; 1 Pc")</f>
        <v>General - Round Bar SS 8 MM; ; ;; -; -; 1 Pc</v>
      </c>
      <c r="C475" s="14" t="str">
        <f>IFERROR(__xludf.DUMMYFUNCTION("""COMPUTED_VALUE"""),"O-18775-00")</f>
        <v>O-18775-00</v>
      </c>
    </row>
    <row r="476">
      <c r="A476" s="14" t="str">
        <f>IFERROR(__xludf.DUMMYFUNCTION("""COMPUTED_VALUE"""),"O-18827-00")</f>
        <v>O-18827-00</v>
      </c>
      <c r="B476" s="14" t="str">
        <f>IFERROR(__xludf.DUMMYFUNCTION("""COMPUTED_VALUE"""),"Side Arms kit; Sanco; P/N : EPT012551;")</f>
        <v>Side Arms kit; Sanco; P/N : EPT012551;</v>
      </c>
      <c r="C476" s="14" t="str">
        <f>IFERROR(__xludf.DUMMYFUNCTION("""COMPUTED_VALUE"""),"O-18827-00")</f>
        <v>O-18827-00</v>
      </c>
    </row>
    <row r="477">
      <c r="A477" s="14" t="str">
        <f>IFERROR(__xludf.DUMMYFUNCTION("""COMPUTED_VALUE"""),"O-18870-00")</f>
        <v>O-18870-00</v>
      </c>
      <c r="B477" s="14" t="str">
        <f>IFERROR(__xludf.DUMMYFUNCTION("""COMPUTED_VALUE"""),"Oring Silicone Merah 18.4x13x2.7 mm; ; ;")</f>
        <v>Oring Silicone Merah 18.4x13x2.7 mm; ; ;</v>
      </c>
      <c r="C477" s="14" t="str">
        <f>IFERROR(__xludf.DUMMYFUNCTION("""COMPUTED_VALUE"""),"O-18870-00")</f>
        <v>O-18870-00</v>
      </c>
    </row>
    <row r="478">
      <c r="A478" s="14" t="str">
        <f>IFERROR(__xludf.DUMMYFUNCTION("""COMPUTED_VALUE"""),"O-18876-00")</f>
        <v>O-18876-00</v>
      </c>
      <c r="B478" s="14" t="str">
        <f>IFERROR(__xludf.DUMMYFUNCTION("""COMPUTED_VALUE"""),"Oring Silicone Merah 40.6x37x1.8 mm; ; ;")</f>
        <v>Oring Silicone Merah 40.6x37x1.8 mm; ; ;</v>
      </c>
      <c r="C478" s="14" t="str">
        <f>IFERROR(__xludf.DUMMYFUNCTION("""COMPUTED_VALUE"""),"O-18876-00")</f>
        <v>O-18876-00</v>
      </c>
    </row>
    <row r="479">
      <c r="A479" s="14" t="str">
        <f>IFERROR(__xludf.DUMMYFUNCTION("""COMPUTED_VALUE"""),"O-18878-00")</f>
        <v>O-18878-00</v>
      </c>
      <c r="B479" s="14" t="str">
        <f>IFERROR(__xludf.DUMMYFUNCTION("""COMPUTED_VALUE"""),"Filling VFM100 - Load Cell Bridge Holder; ; ;")</f>
        <v>Filling VFM100 - Load Cell Bridge Holder; ; ;</v>
      </c>
      <c r="C479" s="14" t="str">
        <f>IFERROR(__xludf.DUMMYFUNCTION("""COMPUTED_VALUE"""),"O-18878-00")</f>
        <v>O-18878-00</v>
      </c>
    </row>
    <row r="480">
      <c r="A480" s="14" t="str">
        <f>IFERROR(__xludf.DUMMYFUNCTION("""COMPUTED_VALUE"""),"O-18890-00")</f>
        <v>O-18890-00</v>
      </c>
      <c r="B480" s="14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4" t="str">
        <f>IFERROR(__xludf.DUMMYFUNCTION("""COMPUTED_VALUE"""),"O-18890-00")</f>
        <v>O-18890-00</v>
      </c>
    </row>
    <row r="481">
      <c r="A481" s="14" t="str">
        <f>IFERROR(__xludf.DUMMYFUNCTION("""COMPUTED_VALUE"""),"O-18891-00")</f>
        <v>O-18891-00</v>
      </c>
      <c r="B481" s="14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4" t="str">
        <f>IFERROR(__xludf.DUMMYFUNCTION("""COMPUTED_VALUE"""),"O-18891-00")</f>
        <v>O-18891-00</v>
      </c>
    </row>
    <row r="482">
      <c r="A482" s="14" t="str">
        <f>IFERROR(__xludf.DUMMYFUNCTION("""COMPUTED_VALUE"""),"O-18892-00")</f>
        <v>O-18892-00</v>
      </c>
      <c r="B482" s="14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4" t="str">
        <f>IFERROR(__xludf.DUMMYFUNCTION("""COMPUTED_VALUE"""),"O-18892-00")</f>
        <v>O-18892-00</v>
      </c>
    </row>
    <row r="483">
      <c r="A483" s="14" t="str">
        <f>IFERROR(__xludf.DUMMYFUNCTION("""COMPUTED_VALUE"""),"O-18893-00")</f>
        <v>O-18893-00</v>
      </c>
      <c r="B483" s="14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4" t="str">
        <f>IFERROR(__xludf.DUMMYFUNCTION("""COMPUTED_VALUE"""),"O-18893-00")</f>
        <v>O-18893-00</v>
      </c>
    </row>
    <row r="484">
      <c r="A484" s="14" t="str">
        <f>IFERROR(__xludf.DUMMYFUNCTION("""COMPUTED_VALUE"""),"O-18897-00")</f>
        <v>O-18897-00</v>
      </c>
      <c r="B484" s="14" t="str">
        <f>IFERROR(__xludf.DUMMYFUNCTION("""COMPUTED_VALUE"""),"Oring Silicone 50x39.4x5.3 mm; ; ;")</f>
        <v>Oring Silicone 50x39.4x5.3 mm; ; ;</v>
      </c>
      <c r="C484" s="14" t="str">
        <f>IFERROR(__xludf.DUMMYFUNCTION("""COMPUTED_VALUE"""),"O-18897-00")</f>
        <v>O-18897-00</v>
      </c>
    </row>
    <row r="485">
      <c r="A485" s="14" t="str">
        <f>IFERROR(__xludf.DUMMYFUNCTION("""COMPUTED_VALUE"""),"O-18912-00")</f>
        <v>O-18912-00</v>
      </c>
      <c r="B485" s="14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4" t="str">
        <f>IFERROR(__xludf.DUMMYFUNCTION("""COMPUTED_VALUE"""),"O-18912-00")</f>
        <v>O-18912-00</v>
      </c>
    </row>
    <row r="486">
      <c r="A486" s="14" t="str">
        <f>IFERROR(__xludf.DUMMYFUNCTION("""COMPUTED_VALUE"""),"O-18913-00")</f>
        <v>O-18913-00</v>
      </c>
      <c r="B486" s="14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4" t="str">
        <f>IFERROR(__xludf.DUMMYFUNCTION("""COMPUTED_VALUE"""),"O-18913-00")</f>
        <v>O-18913-00</v>
      </c>
    </row>
    <row r="487">
      <c r="A487" s="14" t="str">
        <f>IFERROR(__xludf.DUMMYFUNCTION("""COMPUTED_VALUE"""),"O-18914-00")</f>
        <v>O-18914-00</v>
      </c>
      <c r="B487" s="14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4" t="str">
        <f>IFERROR(__xludf.DUMMYFUNCTION("""COMPUTED_VALUE"""),"O-18914-00")</f>
        <v>O-18914-00</v>
      </c>
    </row>
    <row r="488">
      <c r="A488" s="14" t="str">
        <f>IFERROR(__xludf.DUMMYFUNCTION("""COMPUTED_VALUE"""),"O-18915-00")</f>
        <v>O-18915-00</v>
      </c>
      <c r="B488" s="14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4" t="str">
        <f>IFERROR(__xludf.DUMMYFUNCTION("""COMPUTED_VALUE"""),"O-18915-00")</f>
        <v>O-18915-00</v>
      </c>
    </row>
    <row r="489">
      <c r="A489" s="14" t="str">
        <f>IFERROR(__xludf.DUMMYFUNCTION("""COMPUTED_VALUE"""),"O-18916-00")</f>
        <v>O-18916-00</v>
      </c>
      <c r="B489" s="14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4" t="str">
        <f>IFERROR(__xludf.DUMMYFUNCTION("""COMPUTED_VALUE"""),"O-18916-00")</f>
        <v>O-18916-00</v>
      </c>
    </row>
    <row r="490">
      <c r="A490" s="14" t="str">
        <f>IFERROR(__xludf.DUMMYFUNCTION("""COMPUTED_VALUE"""),"O-18917-00")</f>
        <v>O-18917-00</v>
      </c>
      <c r="B490" s="14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4" t="str">
        <f>IFERROR(__xludf.DUMMYFUNCTION("""COMPUTED_VALUE"""),"O-18917-00")</f>
        <v>O-18917-00</v>
      </c>
    </row>
    <row r="491">
      <c r="A491" s="14" t="str">
        <f>IFERROR(__xludf.DUMMYFUNCTION("""COMPUTED_VALUE"""),"O-18918-00")</f>
        <v>O-18918-00</v>
      </c>
      <c r="B491" s="14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4" t="str">
        <f>IFERROR(__xludf.DUMMYFUNCTION("""COMPUTED_VALUE"""),"O-18918-00")</f>
        <v>O-18918-00</v>
      </c>
    </row>
    <row r="492">
      <c r="A492" s="14" t="str">
        <f>IFERROR(__xludf.DUMMYFUNCTION("""COMPUTED_VALUE"""),"O-18929-00")</f>
        <v>O-18929-00</v>
      </c>
      <c r="B492" s="14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4" t="str">
        <f>IFERROR(__xludf.DUMMYFUNCTION("""COMPUTED_VALUE"""),"O-18929-00")</f>
        <v>O-18929-00</v>
      </c>
    </row>
    <row r="493">
      <c r="A493" s="14" t="str">
        <f>IFERROR(__xludf.DUMMYFUNCTION("""COMPUTED_VALUE"""),"O-18961-00")</f>
        <v>O-18961-00</v>
      </c>
      <c r="B493" s="14" t="str">
        <f>IFERROR(__xludf.DUMMYFUNCTION("""COMPUTED_VALUE"""),"Capping VCM200 - Blade; ; ;")</f>
        <v>Capping VCM200 - Blade; ; ;</v>
      </c>
      <c r="C493" s="14" t="str">
        <f>IFERROR(__xludf.DUMMYFUNCTION("""COMPUTED_VALUE"""),"O-18961-00")</f>
        <v>O-18961-00</v>
      </c>
    </row>
    <row r="494">
      <c r="A494" s="14" t="str">
        <f>IFERROR(__xludf.DUMMYFUNCTION("""COMPUTED_VALUE"""),"O-18962-00")</f>
        <v>O-18962-00</v>
      </c>
      <c r="B494" s="14" t="str">
        <f>IFERROR(__xludf.DUMMYFUNCTION("""COMPUTED_VALUE"""),"Capping VCM200 - Adjuster Screw Blade; ; ;")</f>
        <v>Capping VCM200 - Adjuster Screw Blade; ; ;</v>
      </c>
      <c r="C494" s="14" t="str">
        <f>IFERROR(__xludf.DUMMYFUNCTION("""COMPUTED_VALUE"""),"O-18962-00")</f>
        <v>O-18962-00</v>
      </c>
    </row>
    <row r="495">
      <c r="A495" s="14" t="str">
        <f>IFERROR(__xludf.DUMMYFUNCTION("""COMPUTED_VALUE"""),"O-18963-00")</f>
        <v>O-18963-00</v>
      </c>
      <c r="B495" s="14" t="str">
        <f>IFERROR(__xludf.DUMMYFUNCTION("""COMPUTED_VALUE"""),"Capping VCM200 - Clamp Holder; ; ;")</f>
        <v>Capping VCM200 - Clamp Holder; ; ;</v>
      </c>
      <c r="C495" s="14" t="str">
        <f>IFERROR(__xludf.DUMMYFUNCTION("""COMPUTED_VALUE"""),"O-18963-00")</f>
        <v>O-18963-00</v>
      </c>
    </row>
    <row r="496">
      <c r="A496" s="14" t="str">
        <f>IFERROR(__xludf.DUMMYFUNCTION("""COMPUTED_VALUE"""),"O-18964-00")</f>
        <v>O-18964-00</v>
      </c>
      <c r="B496" s="14" t="str">
        <f>IFERROR(__xludf.DUMMYFUNCTION("""COMPUTED_VALUE"""),"Capping VCM200 - Holder; ; ;")</f>
        <v>Capping VCM200 - Holder; ; ;</v>
      </c>
      <c r="C496" s="14" t="str">
        <f>IFERROR(__xludf.DUMMYFUNCTION("""COMPUTED_VALUE"""),"O-18964-00")</f>
        <v>O-18964-00</v>
      </c>
    </row>
    <row r="497">
      <c r="A497" s="14" t="str">
        <f>IFERROR(__xludf.DUMMYFUNCTION("""COMPUTED_VALUE"""),"O-18965-00")</f>
        <v>O-18965-00</v>
      </c>
      <c r="B497" s="14" t="str">
        <f>IFERROR(__xludf.DUMMYFUNCTION("""COMPUTED_VALUE"""),"Capping VCM200 - Spring Head; ; ;")</f>
        <v>Capping VCM200 - Spring Head; ; ;</v>
      </c>
      <c r="C497" s="14" t="str">
        <f>IFERROR(__xludf.DUMMYFUNCTION("""COMPUTED_VALUE"""),"O-18965-00")</f>
        <v>O-18965-00</v>
      </c>
    </row>
    <row r="498">
      <c r="A498" s="14" t="str">
        <f>IFERROR(__xludf.DUMMYFUNCTION("""COMPUTED_VALUE"""),"O-18966-00")</f>
        <v>O-18966-00</v>
      </c>
      <c r="B498" s="14" t="str">
        <f>IFERROR(__xludf.DUMMYFUNCTION("""COMPUTED_VALUE"""),"Capping VCM200 -  Ring Washer; ; ;")</f>
        <v>Capping VCM200 -  Ring Washer; ; ;</v>
      </c>
      <c r="C498" s="14" t="str">
        <f>IFERROR(__xludf.DUMMYFUNCTION("""COMPUTED_VALUE"""),"O-18966-00")</f>
        <v>O-18966-00</v>
      </c>
    </row>
    <row r="499">
      <c r="A499" s="14" t="str">
        <f>IFERROR(__xludf.DUMMYFUNCTION("""COMPUTED_VALUE"""),"O-18967-00")</f>
        <v>O-18967-00</v>
      </c>
      <c r="B499" s="14" t="str">
        <f>IFERROR(__xludf.DUMMYFUNCTION("""COMPUTED_VALUE"""),"Capping VCM200 - Washer A; ; ;")</f>
        <v>Capping VCM200 - Washer A; ; ;</v>
      </c>
      <c r="C499" s="14" t="str">
        <f>IFERROR(__xludf.DUMMYFUNCTION("""COMPUTED_VALUE"""),"O-18967-00")</f>
        <v>O-18967-00</v>
      </c>
    </row>
    <row r="500">
      <c r="A500" s="14" t="str">
        <f>IFERROR(__xludf.DUMMYFUNCTION("""COMPUTED_VALUE"""),"O-18968-00")</f>
        <v>O-18968-00</v>
      </c>
      <c r="B500" s="14" t="str">
        <f>IFERROR(__xludf.DUMMYFUNCTION("""COMPUTED_VALUE"""),"Capping VCM200 - Washer B; ; ;")</f>
        <v>Capping VCM200 - Washer B; ; ;</v>
      </c>
      <c r="C500" s="14" t="str">
        <f>IFERROR(__xludf.DUMMYFUNCTION("""COMPUTED_VALUE"""),"O-18968-00")</f>
        <v>O-18968-00</v>
      </c>
    </row>
    <row r="501">
      <c r="A501" s="14" t="str">
        <f>IFERROR(__xludf.DUMMYFUNCTION("""COMPUTED_VALUE"""),"O-18987-00")</f>
        <v>O-18987-00</v>
      </c>
      <c r="B501" s="14" t="str">
        <f>IFERROR(__xludf.DUMMYFUNCTION("""COMPUTED_VALUE"""),"Freeze Dryer MBE1207 - Oil Compressor RL 46H @5 Liter; EMKARATE; ;")</f>
        <v>Freeze Dryer MBE1207 - Oil Compressor RL 46H @5 Liter; EMKARATE; ;</v>
      </c>
      <c r="C501" s="14" t="str">
        <f>IFERROR(__xludf.DUMMYFUNCTION("""COMPUTED_VALUE"""),"O-18987-00")</f>
        <v>O-18987-00</v>
      </c>
    </row>
    <row r="502">
      <c r="A502" s="14" t="str">
        <f>IFERROR(__xludf.DUMMYFUNCTION("""COMPUTED_VALUE"""),"O-19003-00")</f>
        <v>O-19003-00</v>
      </c>
      <c r="B502" s="14" t="str">
        <f>IFERROR(__xludf.DUMMYFUNCTION("""COMPUTED_VALUE"""),"Misumi - Oil Free Bush JZF8-6; ; ;")</f>
        <v>Misumi - Oil Free Bush JZF8-6; ; ;</v>
      </c>
      <c r="C502" s="14" t="str">
        <f>IFERROR(__xludf.DUMMYFUNCTION("""COMPUTED_VALUE"""),"O-19003-00")</f>
        <v>O-19003-00</v>
      </c>
    </row>
    <row r="503">
      <c r="A503" s="14" t="str">
        <f>IFERROR(__xludf.DUMMYFUNCTION("""COMPUTED_VALUE"""),"O-19005-00")</f>
        <v>O-19005-00</v>
      </c>
      <c r="B503" s="14" t="str">
        <f>IFERROR(__xludf.DUMMYFUNCTION("""COMPUTED_VALUE"""),"Misumi - Linear Shaft PSFAA8-46-F11-P6-M3-N3; ; ;")</f>
        <v>Misumi - Linear Shaft PSFAA8-46-F11-P6-M3-N3; ; ;</v>
      </c>
      <c r="C503" s="14" t="str">
        <f>IFERROR(__xludf.DUMMYFUNCTION("""COMPUTED_VALUE"""),"O-19005-00")</f>
        <v>O-19005-00</v>
      </c>
    </row>
    <row r="504">
      <c r="A504" s="14" t="str">
        <f>IFERROR(__xludf.DUMMYFUNCTION("""COMPUTED_VALUE"""),"O-19039-00")</f>
        <v>O-19039-00</v>
      </c>
      <c r="B504" s="14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4" t="str">
        <f>IFERROR(__xludf.DUMMYFUNCTION("""COMPUTED_VALUE"""),"O-19039-00")</f>
        <v>O-19039-00</v>
      </c>
    </row>
    <row r="505">
      <c r="A505" s="14" t="str">
        <f>IFERROR(__xludf.DUMMYFUNCTION("""COMPUTED_VALUE"""),"O-19072-00")</f>
        <v>O-19072-00</v>
      </c>
      <c r="B505" s="14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4" t="str">
        <f>IFERROR(__xludf.DUMMYFUNCTION("""COMPUTED_VALUE"""),"O-19072-00")</f>
        <v>O-19072-00</v>
      </c>
    </row>
    <row r="506">
      <c r="A506" s="14" t="str">
        <f>IFERROR(__xludf.DUMMYFUNCTION("""COMPUTED_VALUE"""),"O-19073-00")</f>
        <v>O-19073-00</v>
      </c>
      <c r="B506" s="14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4" t="str">
        <f>IFERROR(__xludf.DUMMYFUNCTION("""COMPUTED_VALUE"""),"O-19073-00")</f>
        <v>O-19073-00</v>
      </c>
    </row>
    <row r="507">
      <c r="A507" s="14" t="str">
        <f>IFERROR(__xludf.DUMMYFUNCTION("""COMPUTED_VALUE"""),"O-19074-00")</f>
        <v>O-19074-00</v>
      </c>
      <c r="B507" s="14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4" t="str">
        <f>IFERROR(__xludf.DUMMYFUNCTION("""COMPUTED_VALUE"""),"O-19074-00")</f>
        <v>O-19074-00</v>
      </c>
    </row>
    <row r="508">
      <c r="A508" s="14" t="str">
        <f>IFERROR(__xludf.DUMMYFUNCTION("""COMPUTED_VALUE"""),"O-19075-00")</f>
        <v>O-19075-00</v>
      </c>
      <c r="B508" s="14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4" t="str">
        <f>IFERROR(__xludf.DUMMYFUNCTION("""COMPUTED_VALUE"""),"O-19075-00")</f>
        <v>O-19075-00</v>
      </c>
    </row>
    <row r="509">
      <c r="A509" s="14" t="str">
        <f>IFERROR(__xludf.DUMMYFUNCTION("""COMPUTED_VALUE"""),"O-19076-00")</f>
        <v>O-19076-00</v>
      </c>
      <c r="B509" s="14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4" t="str">
        <f>IFERROR(__xludf.DUMMYFUNCTION("""COMPUTED_VALUE"""),"O-19076-00")</f>
        <v>O-19076-00</v>
      </c>
    </row>
    <row r="510">
      <c r="A510" s="14" t="str">
        <f>IFERROR(__xludf.DUMMYFUNCTION("""COMPUTED_VALUE"""),"O-19077-00")</f>
        <v>O-19077-00</v>
      </c>
      <c r="B510" s="14" t="str">
        <f>IFERROR(__xludf.DUMMYFUNCTION("""COMPUTED_VALUE"""),"Autoclave Fedegari FVA2/A1 NB2963AT - Gasket Safety Valve; ; ;")</f>
        <v>Autoclave Fedegari FVA2/A1 NB2963AT - Gasket Safety Valve; ; ;</v>
      </c>
      <c r="C510" s="14" t="str">
        <f>IFERROR(__xludf.DUMMYFUNCTION("""COMPUTED_VALUE"""),"O-19077-00")</f>
        <v>O-19077-00</v>
      </c>
    </row>
    <row r="511">
      <c r="A511" s="14" t="str">
        <f>IFERROR(__xludf.DUMMYFUNCTION("""COMPUTED_VALUE"""),"O-19141-00")</f>
        <v>O-19141-00</v>
      </c>
      <c r="B511" s="14" t="str">
        <f>IFERROR(__xludf.DUMMYFUNCTION("""COMPUTED_VALUE"""),"Fitting Pneumatic QS 6mm x 1/8 inch Female; ; ;")</f>
        <v>Fitting Pneumatic QS 6mm x 1/8 inch Female; ; ;</v>
      </c>
      <c r="C511" s="14" t="str">
        <f>IFERROR(__xludf.DUMMYFUNCTION("""COMPUTED_VALUE"""),"O-19141-00")</f>
        <v>O-19141-00</v>
      </c>
    </row>
    <row r="512">
      <c r="A512" s="14" t="str">
        <f>IFERROR(__xludf.DUMMYFUNCTION("""COMPUTED_VALUE"""),"O-19145-00")</f>
        <v>O-19145-00</v>
      </c>
      <c r="B512" s="14" t="str">
        <f>IFERROR(__xludf.DUMMYFUNCTION("""COMPUTED_VALUE"""),"UPS Riello - Type Sentinel Pro SEP2200 Capacity : 2.2 KVA; ; ;")</f>
        <v>UPS Riello - Type Sentinel Pro SEP2200 Capacity : 2.2 KVA; ; ;</v>
      </c>
      <c r="C512" s="14" t="str">
        <f>IFERROR(__xludf.DUMMYFUNCTION("""COMPUTED_VALUE"""),"O-19145-00")</f>
        <v>O-19145-00</v>
      </c>
    </row>
    <row r="513">
      <c r="A513" s="14" t="str">
        <f>IFERROR(__xludf.DUMMYFUNCTION("""COMPUTED_VALUE"""),"O-19162-00")</f>
        <v>O-19162-00</v>
      </c>
      <c r="B513" s="14" t="str">
        <f>IFERROR(__xludf.DUMMYFUNCTION("""COMPUTED_VALUE"""),"Shaft Pengunci AlphaPort; Lokal; ;")</f>
        <v>Shaft Pengunci AlphaPort; Lokal; ;</v>
      </c>
      <c r="C513" s="14" t="str">
        <f>IFERROR(__xludf.DUMMYFUNCTION("""COMPUTED_VALUE"""),"O-19162-00")</f>
        <v>O-19162-00</v>
      </c>
    </row>
    <row r="514">
      <c r="A514" s="14" t="str">
        <f>IFERROR(__xludf.DUMMYFUNCTION("""COMPUTED_VALUE"""),"O-19164-00")</f>
        <v>O-19164-00</v>
      </c>
      <c r="B514" s="14" t="str">
        <f>IFERROR(__xludf.DUMMYFUNCTION("""COMPUTED_VALUE"""),"LINEAR SHAFT PSSFG12-306; Misumi; ;")</f>
        <v>LINEAR SHAFT PSSFG12-306; Misumi; ;</v>
      </c>
      <c r="C514" s="14" t="str">
        <f>IFERROR(__xludf.DUMMYFUNCTION("""COMPUTED_VALUE"""),"O-19164-00")</f>
        <v>O-19164-00</v>
      </c>
    </row>
    <row r="515">
      <c r="A515" s="14" t="str">
        <f>IFERROR(__xludf.DUMMYFUNCTION("""COMPUTED_VALUE"""),"O-19211-00")</f>
        <v>O-19211-00</v>
      </c>
      <c r="B515" s="14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4" t="str">
        <f>IFERROR(__xludf.DUMMYFUNCTION("""COMPUTED_VALUE"""),"O-19211-00")</f>
        <v>O-19211-00</v>
      </c>
    </row>
    <row r="516">
      <c r="A516" s="14" t="str">
        <f>IFERROR(__xludf.DUMMYFUNCTION("""COMPUTED_VALUE"""),"O-19212-00")</f>
        <v>O-19212-00</v>
      </c>
      <c r="B516" s="14" t="str">
        <f>IFERROR(__xludf.DUMMYFUNCTION("""COMPUTED_VALUE"""),"Freeze Dryer MBE1207 -  Orifice No. 03 068-2006; Danfoss; ;")</f>
        <v>Freeze Dryer MBE1207 -  Orifice No. 03 068-2006; Danfoss; ;</v>
      </c>
      <c r="C516" s="14" t="str">
        <f>IFERROR(__xludf.DUMMYFUNCTION("""COMPUTED_VALUE"""),"O-19212-00")</f>
        <v>O-19212-00</v>
      </c>
    </row>
    <row r="517">
      <c r="A517" s="14" t="str">
        <f>IFERROR(__xludf.DUMMYFUNCTION("""COMPUTED_VALUE"""),"O-19213-00")</f>
        <v>O-19213-00</v>
      </c>
      <c r="B517" s="14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4" t="str">
        <f>IFERROR(__xludf.DUMMYFUNCTION("""COMPUTED_VALUE"""),"O-19213-00")</f>
        <v>O-19213-00</v>
      </c>
    </row>
    <row r="518">
      <c r="A518" s="14" t="str">
        <f>IFERROR(__xludf.DUMMYFUNCTION("""COMPUTED_VALUE"""),"O-19214-00")</f>
        <v>O-19214-00</v>
      </c>
      <c r="B518" s="14" t="str">
        <f>IFERROR(__xludf.DUMMYFUNCTION("""COMPUTED_VALUE"""),"Freeze Dryer MBE1207 - Expansi Valve TE 5 067B3343 R404A/R507; Danfoss; ;")</f>
        <v>Freeze Dryer MBE1207 - Expansi Valve TE 5 067B3343 R404A/R507; Danfoss; ;</v>
      </c>
      <c r="C518" s="14" t="str">
        <f>IFERROR(__xludf.DUMMYFUNCTION("""COMPUTED_VALUE"""),"O-19214-00")</f>
        <v>O-19214-00</v>
      </c>
    </row>
    <row r="519">
      <c r="A519" s="14" t="str">
        <f>IFERROR(__xludf.DUMMYFUNCTION("""COMPUTED_VALUE"""),"O-19255-00")</f>
        <v>O-19255-00</v>
      </c>
      <c r="B519" s="14" t="str">
        <f>IFERROR(__xludf.DUMMYFUNCTION("""COMPUTED_VALUE"""),"Spring Tekan SS304 ID 10mm, OD 16mm, Tebal 3mm, Panjang 71.35mm; ; ;")</f>
        <v>Spring Tekan SS304 ID 10mm, OD 16mm, Tebal 3mm, Panjang 71.35mm; ; ;</v>
      </c>
      <c r="C519" s="14" t="str">
        <f>IFERROR(__xludf.DUMMYFUNCTION("""COMPUTED_VALUE"""),"O-19255-00")</f>
        <v>O-19255-00</v>
      </c>
    </row>
    <row r="520">
      <c r="A520" s="14" t="str">
        <f>IFERROR(__xludf.DUMMYFUNCTION("""COMPUTED_VALUE"""),"O-19256-00")</f>
        <v>O-19256-00</v>
      </c>
      <c r="B520" s="14" t="str">
        <f>IFERROR(__xludf.DUMMYFUNCTION("""COMPUTED_VALUE"""),"Grendel Pintu Sliding Stanless Steel; ; ;")</f>
        <v>Grendel Pintu Sliding Stanless Steel; ; ;</v>
      </c>
      <c r="C520" s="14" t="str">
        <f>IFERROR(__xludf.DUMMYFUNCTION("""COMPUTED_VALUE"""),"O-19256-00")</f>
        <v>O-19256-00</v>
      </c>
    </row>
    <row r="521">
      <c r="A521" s="14" t="str">
        <f>IFERROR(__xludf.DUMMYFUNCTION("""COMPUTED_VALUE"""),"O-19287-00")</f>
        <v>O-19287-00</v>
      </c>
      <c r="B521" s="14" t="str">
        <f>IFERROR(__xludf.DUMMYFUNCTION("""COMPUTED_VALUE"""),"Minihelic Differensial Pressure Gauge Model 2-5000-2KPA; Dwyer; ;")</f>
        <v>Minihelic Differensial Pressure Gauge Model 2-5000-2KPA; Dwyer; ;</v>
      </c>
      <c r="C521" s="14" t="str">
        <f>IFERROR(__xludf.DUMMYFUNCTION("""COMPUTED_VALUE"""),"O-19287-00")</f>
        <v>O-19287-00</v>
      </c>
    </row>
    <row r="522">
      <c r="A522" s="14" t="str">
        <f>IFERROR(__xludf.DUMMYFUNCTION("""COMPUTED_VALUE"""),"O-19288-00")</f>
        <v>O-19288-00</v>
      </c>
      <c r="B522" s="14" t="str">
        <f>IFERROR(__xludf.DUMMYFUNCTION("""COMPUTED_VALUE"""),"Gasket Gloves Leak Tester Port Mixing; GEMA; ;")</f>
        <v>Gasket Gloves Leak Tester Port Mixing; GEMA; ;</v>
      </c>
      <c r="C522" s="14" t="str">
        <f>IFERROR(__xludf.DUMMYFUNCTION("""COMPUTED_VALUE"""),"O-19288-00")</f>
        <v>O-19288-00</v>
      </c>
    </row>
    <row r="523">
      <c r="A523" s="14" t="str">
        <f>IFERROR(__xludf.DUMMYFUNCTION("""COMPUTED_VALUE"""),"O-19339-00")</f>
        <v>O-19339-00</v>
      </c>
      <c r="B523" s="14" t="str">
        <f>IFERROR(__xludf.DUMMYFUNCTION("""COMPUTED_VALUE"""),"Oring 2,5x6x11 mm, Material EPDM; ; ;")</f>
        <v>Oring 2,5x6x11 mm, Material EPDM; ; ;</v>
      </c>
      <c r="C523" s="14" t="str">
        <f>IFERROR(__xludf.DUMMYFUNCTION("""COMPUTED_VALUE"""),"O-19339-00")</f>
        <v>O-19339-00</v>
      </c>
    </row>
    <row r="524">
      <c r="A524" s="14" t="str">
        <f>IFERROR(__xludf.DUMMYFUNCTION("""COMPUTED_VALUE"""),"O-19340-00")</f>
        <v>O-19340-00</v>
      </c>
      <c r="B524" s="14" t="str">
        <f>IFERROR(__xludf.DUMMYFUNCTION("""COMPUTED_VALUE"""),"Washing RAR4 - Guide Rell Outfeed, Machining Plate Material Pom Putih; ; ;")</f>
        <v>Washing RAR4 - Guide Rell Outfeed, Machining Plate Material Pom Putih; ; ;</v>
      </c>
      <c r="C524" s="14" t="str">
        <f>IFERROR(__xludf.DUMMYFUNCTION("""COMPUTED_VALUE"""),"O-19340-00")</f>
        <v>O-19340-00</v>
      </c>
    </row>
    <row r="525">
      <c r="A525" s="14" t="str">
        <f>IFERROR(__xludf.DUMMYFUNCTION("""COMPUTED_VALUE"""),"O-19341-00")</f>
        <v>O-19341-00</v>
      </c>
      <c r="B525" s="14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4" t="str">
        <f>IFERROR(__xludf.DUMMYFUNCTION("""COMPUTED_VALUE"""),"O-19341-00")</f>
        <v>O-19341-00</v>
      </c>
    </row>
    <row r="526">
      <c r="A526" s="14" t="str">
        <f>IFERROR(__xludf.DUMMYFUNCTION("""COMPUTED_VALUE"""),"O-19342-00")</f>
        <v>O-19342-00</v>
      </c>
      <c r="B526" s="14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4" t="str">
        <f>IFERROR(__xludf.DUMMYFUNCTION("""COMPUTED_VALUE"""),"O-19342-00")</f>
        <v>O-19342-00</v>
      </c>
    </row>
    <row r="527">
      <c r="A527" s="14" t="str">
        <f>IFERROR(__xludf.DUMMYFUNCTION("""COMPUTED_VALUE"""),"O-19343-00")</f>
        <v>O-19343-00</v>
      </c>
      <c r="B527" s="14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4" t="str">
        <f>IFERROR(__xludf.DUMMYFUNCTION("""COMPUTED_VALUE"""),"O-19343-00")</f>
        <v>O-19343-00</v>
      </c>
    </row>
    <row r="528">
      <c r="A528" s="14" t="str">
        <f>IFERROR(__xludf.DUMMYFUNCTION("""COMPUTED_VALUE"""),"O-19344-00")</f>
        <v>O-19344-00</v>
      </c>
      <c r="B528" s="14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4" t="str">
        <f>IFERROR(__xludf.DUMMYFUNCTION("""COMPUTED_VALUE"""),"O-19344-00")</f>
        <v>O-19344-00</v>
      </c>
    </row>
    <row r="529">
      <c r="A529" s="14" t="str">
        <f>IFERROR(__xludf.DUMMYFUNCTION("""COMPUTED_VALUE"""),"O-19345-00")</f>
        <v>O-19345-00</v>
      </c>
      <c r="B529" s="14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4" t="str">
        <f>IFERROR(__xludf.DUMMYFUNCTION("""COMPUTED_VALUE"""),"O-19345-00")</f>
        <v>O-19345-00</v>
      </c>
    </row>
    <row r="530">
      <c r="A530" s="14" t="str">
        <f>IFERROR(__xludf.DUMMYFUNCTION("""COMPUTED_VALUE"""),"O-19346-00")</f>
        <v>O-19346-00</v>
      </c>
      <c r="B530" s="14" t="str">
        <f>IFERROR(__xludf.DUMMYFUNCTION("""COMPUTED_VALUE"""),"HEPA filter minipleat, size: 1220X610X93 H14; ; ;")</f>
        <v>HEPA filter minipleat, size: 1220X610X93 H14; ; ;</v>
      </c>
      <c r="C530" s="14" t="str">
        <f>IFERROR(__xludf.DUMMYFUNCTION("""COMPUTED_VALUE"""),"O-19346-00")</f>
        <v>O-19346-00</v>
      </c>
    </row>
    <row r="531">
      <c r="A531" s="14" t="str">
        <f>IFERROR(__xludf.DUMMYFUNCTION("""COMPUTED_VALUE"""),"O-19347-00")</f>
        <v>O-19347-00</v>
      </c>
      <c r="B531" s="14" t="str">
        <f>IFERROR(__xludf.DUMMYFUNCTION("""COMPUTED_VALUE"""),"HEPA filter minipleat, size: 1220X610X93 H13; ; ;")</f>
        <v>HEPA filter minipleat, size: 1220X610X93 H13; ; ;</v>
      </c>
      <c r="C531" s="14" t="str">
        <f>IFERROR(__xludf.DUMMYFUNCTION("""COMPUTED_VALUE"""),"O-19347-00")</f>
        <v>O-19347-00</v>
      </c>
    </row>
    <row r="532">
      <c r="A532" s="14" t="str">
        <f>IFERROR(__xludf.DUMMYFUNCTION("""COMPUTED_VALUE"""),"O-19348-00")</f>
        <v>O-19348-00</v>
      </c>
      <c r="B532" s="14" t="str">
        <f>IFERROR(__xludf.DUMMYFUNCTION("""COMPUTED_VALUE"""),"Flow Sensor for Aerosol Photometer ATI 2i PN: 5300167; ; ;")</f>
        <v>Flow Sensor for Aerosol Photometer ATI 2i PN: 5300167; ; ;</v>
      </c>
      <c r="C532" s="14" t="str">
        <f>IFERROR(__xludf.DUMMYFUNCTION("""COMPUTED_VALUE"""),"O-19348-00")</f>
        <v>O-19348-00</v>
      </c>
    </row>
    <row r="533">
      <c r="A533" s="14" t="str">
        <f>IFERROR(__xludf.DUMMYFUNCTION("""COMPUTED_VALUE"""),"O-19350-00")</f>
        <v>O-19350-00</v>
      </c>
      <c r="B533" s="14" t="str">
        <f>IFERROR(__xludf.DUMMYFUNCTION("""COMPUTED_VALUE"""),"Filter LSC For Aerosol Photometer ATI 2i PN: 5500180; ; ;")</f>
        <v>Filter LSC For Aerosol Photometer ATI 2i PN: 5500180; ; ;</v>
      </c>
      <c r="C533" s="14" t="str">
        <f>IFERROR(__xludf.DUMMYFUNCTION("""COMPUTED_VALUE"""),"O-19350-00")</f>
        <v>O-19350-00</v>
      </c>
    </row>
    <row r="534">
      <c r="A534" s="14" t="str">
        <f>IFERROR(__xludf.DUMMYFUNCTION("""COMPUTED_VALUE"""),"O-19372-00")</f>
        <v>O-19372-00</v>
      </c>
      <c r="B534" s="14" t="str">
        <f>IFERROR(__xludf.DUMMYFUNCTION("""COMPUTED_VALUE"""),"Washing RAR4 - Needle PW, OD.15mmx123mm, Material SS 319; ; ;")</f>
        <v>Washing RAR4 - Needle PW, OD.15mmx123mm, Material SS 319; ; ;</v>
      </c>
      <c r="C534" s="14" t="str">
        <f>IFERROR(__xludf.DUMMYFUNCTION("""COMPUTED_VALUE"""),"O-19372-00")</f>
        <v>O-19372-00</v>
      </c>
    </row>
    <row r="535">
      <c r="A535" s="14" t="str">
        <f>IFERROR(__xludf.DUMMYFUNCTION("""COMPUTED_VALUE"""),"O-19372-00")</f>
        <v>O-19372-00</v>
      </c>
      <c r="B535" s="14" t="str">
        <f>IFERROR(__xludf.DUMMYFUNCTION("""COMPUTED_VALUE"""),"Washing RAR4 - Needle PW, OD.15mmx123mm, Material SS 319; ; ;")</f>
        <v>Washing RAR4 - Needle PW, OD.15mmx123mm, Material SS 319; ; ;</v>
      </c>
      <c r="C535" s="14" t="str">
        <f>IFERROR(__xludf.DUMMYFUNCTION("""COMPUTED_VALUE"""),"O-19372-00")</f>
        <v>O-19372-00</v>
      </c>
    </row>
    <row r="536">
      <c r="A536" s="14" t="str">
        <f>IFERROR(__xludf.DUMMYFUNCTION("""COMPUTED_VALUE"""),"O-19373-00")</f>
        <v>O-19373-00</v>
      </c>
      <c r="B536" s="14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4" t="str">
        <f>IFERROR(__xludf.DUMMYFUNCTION("""COMPUTED_VALUE"""),"O-19373-00")</f>
        <v>O-19373-00</v>
      </c>
    </row>
    <row r="537">
      <c r="A537" s="14" t="str">
        <f>IFERROR(__xludf.DUMMYFUNCTION("""COMPUTED_VALUE"""),"O-19379-00")</f>
        <v>O-19379-00</v>
      </c>
      <c r="B537" s="14" t="str">
        <f>IFERROR(__xludf.DUMMYFUNCTION("""COMPUTED_VALUE"""),"Oli Refrigeration; Xaerus; XR 534-46;")</f>
        <v>Oli Refrigeration; Xaerus; XR 534-46;</v>
      </c>
      <c r="C537" s="14" t="str">
        <f>IFERROR(__xludf.DUMMYFUNCTION("""COMPUTED_VALUE"""),"O-19379-00")</f>
        <v>O-19379-00</v>
      </c>
    </row>
    <row r="538">
      <c r="A538" s="14" t="str">
        <f>IFERROR(__xludf.DUMMYFUNCTION("""COMPUTED_VALUE"""),"O-19380-00")</f>
        <v>O-19380-00</v>
      </c>
      <c r="B538" s="14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4" t="str">
        <f>IFERROR(__xludf.DUMMYFUNCTION("""COMPUTED_VALUE"""),"O-19380-00")</f>
        <v>O-19380-00</v>
      </c>
    </row>
    <row r="539">
      <c r="A539" s="14" t="str">
        <f>IFERROR(__xludf.DUMMYFUNCTION("""COMPUTED_VALUE"""),"O-19381-00")</f>
        <v>O-19381-00</v>
      </c>
      <c r="B539" s="14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4" t="str">
        <f>IFERROR(__xludf.DUMMYFUNCTION("""COMPUTED_VALUE"""),"O-19381-00")</f>
        <v>O-19381-00</v>
      </c>
    </row>
    <row r="540">
      <c r="A540" s="14" t="str">
        <f>IFERROR(__xludf.DUMMYFUNCTION("""COMPUTED_VALUE"""),"O-19382-00")</f>
        <v>O-19382-00</v>
      </c>
      <c r="B540" s="14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4" t="str">
        <f>IFERROR(__xludf.DUMMYFUNCTION("""COMPUTED_VALUE"""),"O-19382-00")</f>
        <v>O-19382-00</v>
      </c>
    </row>
    <row r="541">
      <c r="A541" s="14" t="str">
        <f>IFERROR(__xludf.DUMMYFUNCTION("""COMPUTED_VALUE"""),"O-19383-00")</f>
        <v>O-19383-00</v>
      </c>
      <c r="B541" s="14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4" t="str">
        <f>IFERROR(__xludf.DUMMYFUNCTION("""COMPUTED_VALUE"""),"O-19383-00")</f>
        <v>O-19383-00</v>
      </c>
    </row>
    <row r="542">
      <c r="A542" s="14" t="str">
        <f>IFERROR(__xludf.DUMMYFUNCTION("""COMPUTED_VALUE"""),"O-19384-00")</f>
        <v>O-19384-00</v>
      </c>
      <c r="B542" s="14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4" t="str">
        <f>IFERROR(__xludf.DUMMYFUNCTION("""COMPUTED_VALUE"""),"O-19384-00")</f>
        <v>O-19384-00</v>
      </c>
    </row>
    <row r="543">
      <c r="A543" s="14" t="str">
        <f>IFERROR(__xludf.DUMMYFUNCTION("""COMPUTED_VALUE"""),"O-19385-00")</f>
        <v>O-19385-00</v>
      </c>
      <c r="B543" s="14" t="str">
        <f>IFERROR(__xludf.DUMMYFUNCTION("""COMPUTED_VALUE"""),"HEPA FILTER 610 x 610 x 305 Class: F9 - 90-95%; Hencolin; ;")</f>
        <v>HEPA FILTER 610 x 610 x 305 Class: F9 - 90-95%; Hencolin; ;</v>
      </c>
      <c r="C543" s="14" t="str">
        <f>IFERROR(__xludf.DUMMYFUNCTION("""COMPUTED_VALUE"""),"O-19385-00")</f>
        <v>O-19385-00</v>
      </c>
    </row>
    <row r="544">
      <c r="A544" s="14" t="str">
        <f>IFERROR(__xludf.DUMMYFUNCTION("""COMPUTED_VALUE"""),"O-19386-00")</f>
        <v>O-19386-00</v>
      </c>
      <c r="B544" s="14" t="str">
        <f>IFERROR(__xludf.DUMMYFUNCTION("""COMPUTED_VALUE"""),"HEPA FILTER 610 x 610 x 305 Class: H14 - 99,999%; Hencolin; ;")</f>
        <v>HEPA FILTER 610 x 610 x 305 Class: H14 - 99,999%; Hencolin; ;</v>
      </c>
      <c r="C544" s="14" t="str">
        <f>IFERROR(__xludf.DUMMYFUNCTION("""COMPUTED_VALUE"""),"O-19386-00")</f>
        <v>O-19386-00</v>
      </c>
    </row>
    <row r="545">
      <c r="A545" s="14" t="str">
        <f>IFERROR(__xludf.DUMMYFUNCTION("""COMPUTED_VALUE"""),"O-19387-00")</f>
        <v>O-19387-00</v>
      </c>
      <c r="B545" s="14" t="str">
        <f>IFERROR(__xludf.DUMMYFUNCTION("""COMPUTED_VALUE"""),"HEPA filter minipleat, size: 610X610X69 H14; Hencolin; ;")</f>
        <v>HEPA filter minipleat, size: 610X610X69 H14; Hencolin; ;</v>
      </c>
      <c r="C545" s="14" t="str">
        <f>IFERROR(__xludf.DUMMYFUNCTION("""COMPUTED_VALUE"""),"O-19387-00")</f>
        <v>O-19387-00</v>
      </c>
    </row>
    <row r="546">
      <c r="A546" s="14" t="str">
        <f>IFERROR(__xludf.DUMMYFUNCTION("""COMPUTED_VALUE"""),"O-19388-00")</f>
        <v>O-19388-00</v>
      </c>
      <c r="B546" s="14" t="str">
        <f>IFERROR(__xludf.DUMMYFUNCTION("""COMPUTED_VALUE"""),"HEPA filter minipleat, size: 610X610X93 H14; Hencolin; ;")</f>
        <v>HEPA filter minipleat, size: 610X610X93 H14; Hencolin; ;</v>
      </c>
      <c r="C546" s="14" t="str">
        <f>IFERROR(__xludf.DUMMYFUNCTION("""COMPUTED_VALUE"""),"O-19388-00")</f>
        <v>O-19388-00</v>
      </c>
    </row>
    <row r="547">
      <c r="A547" s="14" t="str">
        <f>IFERROR(__xludf.DUMMYFUNCTION("""COMPUTED_VALUE"""),"O-19389-00")</f>
        <v>O-19389-00</v>
      </c>
      <c r="B547" s="14" t="str">
        <f>IFERROR(__xludf.DUMMYFUNCTION("""COMPUTED_VALUE"""),"HEPA filter minipleat, size: 610X305X93 H14; Hencolin; ;")</f>
        <v>HEPA filter minipleat, size: 610X305X93 H14; Hencolin; ;</v>
      </c>
      <c r="C547" s="14" t="str">
        <f>IFERROR(__xludf.DUMMYFUNCTION("""COMPUTED_VALUE"""),"O-19389-00")</f>
        <v>O-19389-00</v>
      </c>
    </row>
    <row r="548">
      <c r="A548" s="14" t="str">
        <f>IFERROR(__xludf.DUMMYFUNCTION("""COMPUTED_VALUE"""),"O-19390-00")</f>
        <v>O-19390-00</v>
      </c>
      <c r="B548" s="14" t="str">
        <f>IFERROR(__xludf.DUMMYFUNCTION("""COMPUTED_VALUE"""),"HEPA filter minipleat, size: 610X610X93 H13; Hencolin; ;")</f>
        <v>HEPA filter minipleat, size: 610X610X93 H13; Hencolin; ;</v>
      </c>
      <c r="C548" s="14" t="str">
        <f>IFERROR(__xludf.DUMMYFUNCTION("""COMPUTED_VALUE"""),"O-19390-00")</f>
        <v>O-19390-00</v>
      </c>
    </row>
    <row r="549">
      <c r="A549" s="14" t="str">
        <f>IFERROR(__xludf.DUMMYFUNCTION("""COMPUTED_VALUE"""),"O-19391-00")</f>
        <v>O-19391-00</v>
      </c>
      <c r="B549" s="14" t="str">
        <f>IFERROR(__xludf.DUMMYFUNCTION("""COMPUTED_VALUE"""),"HEPA filter minipleat, size: 610X305X93 H13; Hencolin; ;")</f>
        <v>HEPA filter minipleat, size: 610X305X93 H13; Hencolin; ;</v>
      </c>
      <c r="C549" s="14" t="str">
        <f>IFERROR(__xludf.DUMMYFUNCTION("""COMPUTED_VALUE"""),"O-19391-00")</f>
        <v>O-19391-00</v>
      </c>
    </row>
    <row r="550">
      <c r="A550" s="14" t="str">
        <f>IFERROR(__xludf.DUMMYFUNCTION("""COMPUTED_VALUE"""),"O-19392-00")</f>
        <v>O-19392-00</v>
      </c>
      <c r="B550" s="14" t="str">
        <f>IFERROR(__xludf.DUMMYFUNCTION("""COMPUTED_VALUE"""),"HEPA filter minipleat, size: 305X305X93 H13; Hencolin; ;")</f>
        <v>HEPA filter minipleat, size: 305X305X93 H13; Hencolin; ;</v>
      </c>
      <c r="C550" s="14" t="str">
        <f>IFERROR(__xludf.DUMMYFUNCTION("""COMPUTED_VALUE"""),"O-19392-00")</f>
        <v>O-19392-00</v>
      </c>
    </row>
    <row r="551">
      <c r="A551" s="14" t="str">
        <f>IFERROR(__xludf.DUMMYFUNCTION("""COMPUTED_VALUE"""),"O-19393-00")</f>
        <v>O-19393-00</v>
      </c>
      <c r="B551" s="14" t="str">
        <f>IFERROR(__xludf.DUMMYFUNCTION("""COMPUTED_VALUE"""),"Marchesini MA155 - BOCC. Scorrim. Antirotaz. D. 12 Bushing; ; A108121820;")</f>
        <v>Marchesini MA155 - BOCC. Scorrim. Antirotaz. D. 12 Bushing; ; A108121820;</v>
      </c>
      <c r="C551" s="14" t="str">
        <f>IFERROR(__xludf.DUMMYFUNCTION("""COMPUTED_VALUE"""),"O-19393-00")</f>
        <v>O-19393-00</v>
      </c>
    </row>
    <row r="552">
      <c r="A552" s="14" t="str">
        <f>IFERROR(__xludf.DUMMYFUNCTION("""COMPUTED_VALUE"""),"O-19394-00")</f>
        <v>O-19394-00</v>
      </c>
      <c r="B552" s="14" t="str">
        <f>IFERROR(__xludf.DUMMYFUNCTION("""COMPUTED_VALUE"""),"Marchesini MA155 - Testina Spingitore Head at Size; ; 3M0YI010003;")</f>
        <v>Marchesini MA155 - Testina Spingitore Head at Size; ; 3M0YI010003;</v>
      </c>
      <c r="C552" s="14" t="str">
        <f>IFERROR(__xludf.DUMMYFUNCTION("""COMPUTED_VALUE"""),"O-19394-00")</f>
        <v>O-19394-00</v>
      </c>
    </row>
    <row r="553">
      <c r="A553" s="14" t="str">
        <f>IFERROR(__xludf.DUMMYFUNCTION("""COMPUTED_VALUE"""),"O-19395-00")</f>
        <v>O-19395-00</v>
      </c>
      <c r="B553" s="14" t="str">
        <f>IFERROR(__xludf.DUMMYFUNCTION("""COMPUTED_VALUE"""),"Marchesini MA155 - STGM. Lama-Portalama Pusher Blade; ; 3M0YI040010;")</f>
        <v>Marchesini MA155 - STGM. Lama-Portalama Pusher Blade; ; 3M0YI040010;</v>
      </c>
      <c r="C553" s="14" t="str">
        <f>IFERROR(__xludf.DUMMYFUNCTION("""COMPUTED_VALUE"""),"O-19395-00")</f>
        <v>O-19395-00</v>
      </c>
    </row>
    <row r="554">
      <c r="A554" s="14" t="str">
        <f>IFERROR(__xludf.DUMMYFUNCTION("""COMPUTED_VALUE"""),"O-19396-00")</f>
        <v>O-19396-00</v>
      </c>
      <c r="B554" s="14" t="str">
        <f>IFERROR(__xludf.DUMMYFUNCTION("""COMPUTED_VALUE"""),"Capping VCM200 - Bracket Dudukan Sensor; ; ;")</f>
        <v>Capping VCM200 - Bracket Dudukan Sensor; ; ;</v>
      </c>
      <c r="C554" s="14" t="str">
        <f>IFERROR(__xludf.DUMMYFUNCTION("""COMPUTED_VALUE"""),"O-19396-00")</f>
        <v>O-19396-00</v>
      </c>
    </row>
    <row r="555">
      <c r="A555" s="14" t="str">
        <f>IFERROR(__xludf.DUMMYFUNCTION("""COMPUTED_VALUE"""),"O-19419-00")</f>
        <v>O-19419-00</v>
      </c>
      <c r="B555" s="14" t="str">
        <f>IFERROR(__xludf.DUMMYFUNCTION("""COMPUTED_VALUE"""),"Oli Vacuum Pump 330ml; Value; ;")</f>
        <v>Oli Vacuum Pump 330ml; Value; ;</v>
      </c>
      <c r="C555" s="14" t="str">
        <f>IFERROR(__xludf.DUMMYFUNCTION("""COMPUTED_VALUE"""),"O-19419-00")</f>
        <v>O-19419-00</v>
      </c>
    </row>
    <row r="556">
      <c r="A556" s="14" t="str">
        <f>IFERROR(__xludf.DUMMYFUNCTION("""COMPUTED_VALUE"""),"O-19422-00")</f>
        <v>O-19422-00</v>
      </c>
      <c r="B556" s="14" t="str">
        <f>IFERROR(__xludf.DUMMYFUNCTION("""COMPUTED_VALUE"""),"Baut Hexagonal SS304 M4 X 30mm+Mur+Ring; ; ;")</f>
        <v>Baut Hexagonal SS304 M4 X 30mm+Mur+Ring; ; ;</v>
      </c>
      <c r="C556" s="14" t="str">
        <f>IFERROR(__xludf.DUMMYFUNCTION("""COMPUTED_VALUE"""),"O-19422-00")</f>
        <v>O-19422-00</v>
      </c>
    </row>
    <row r="557">
      <c r="A557" s="14" t="str">
        <f>IFERROR(__xludf.DUMMYFUNCTION("""COMPUTED_VALUE"""),"O-19423-00")</f>
        <v>O-19423-00</v>
      </c>
      <c r="B557" s="14" t="str">
        <f>IFERROR(__xludf.DUMMYFUNCTION("""COMPUTED_VALUE"""),"Baut Hexagonal SS304 M6 X 30mm+Mur+Ring; ; ;; ; ;")</f>
        <v>Baut Hexagonal SS304 M6 X 30mm+Mur+Ring; ; ;; ; ;</v>
      </c>
      <c r="C557" s="14" t="str">
        <f>IFERROR(__xludf.DUMMYFUNCTION("""COMPUTED_VALUE"""),"O-19423-00")</f>
        <v>O-19423-00</v>
      </c>
    </row>
    <row r="558">
      <c r="A558" s="14" t="str">
        <f>IFERROR(__xludf.DUMMYFUNCTION("""COMPUTED_VALUE"""),"O-19424-00")</f>
        <v>O-19424-00</v>
      </c>
      <c r="B558" s="14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4" t="str">
        <f>IFERROR(__xludf.DUMMYFUNCTION("""COMPUTED_VALUE"""),"O-19424-00")</f>
        <v>O-19424-00</v>
      </c>
    </row>
    <row r="559">
      <c r="A559" s="14" t="str">
        <f>IFERROR(__xludf.DUMMYFUNCTION("""COMPUTED_VALUE"""),"O-19425-00")</f>
        <v>O-19425-00</v>
      </c>
      <c r="B559" s="14" t="str">
        <f>IFERROR(__xludf.DUMMYFUNCTION("""COMPUTED_VALUE"""),"Baut SS L M6 x 30 mm + Mur + Ring; ; ;; ; ;")</f>
        <v>Baut SS L M6 x 30 mm + Mur + Ring; ; ;; ; ;</v>
      </c>
      <c r="C559" s="14" t="str">
        <f>IFERROR(__xludf.DUMMYFUNCTION("""COMPUTED_VALUE"""),"O-19425-00")</f>
        <v>O-19425-00</v>
      </c>
    </row>
    <row r="560">
      <c r="A560" s="14" t="str">
        <f>IFERROR(__xludf.DUMMYFUNCTION("""COMPUTED_VALUE"""),"O-19426-00")</f>
        <v>O-19426-00</v>
      </c>
      <c r="B560" s="14" t="str">
        <f>IFERROR(__xludf.DUMMYFUNCTION("""COMPUTED_VALUE"""),"Baut SS L M3 x 20 mm + Mur + Ring; ; ;; ; ;")</f>
        <v>Baut SS L M3 x 20 mm + Mur + Ring; ; ;; ; ;</v>
      </c>
      <c r="C560" s="14" t="str">
        <f>IFERROR(__xludf.DUMMYFUNCTION("""COMPUTED_VALUE"""),"O-19426-00")</f>
        <v>O-19426-00</v>
      </c>
    </row>
    <row r="561">
      <c r="A561" s="14" t="str">
        <f>IFERROR(__xludf.DUMMYFUNCTION("""COMPUTED_VALUE"""),"O-19427-00")</f>
        <v>O-19427-00</v>
      </c>
      <c r="B561" s="14" t="str">
        <f>IFERROR(__xludf.DUMMYFUNCTION("""COMPUTED_VALUE"""),"General - Baut L, SS, M3 x 30 mm + Mur + Ring; No Brand; -; 1 pcs")</f>
        <v>General - Baut L, SS, M3 x 30 mm + Mur + Ring; No Brand; -; 1 pcs</v>
      </c>
      <c r="C561" s="14" t="str">
        <f>IFERROR(__xludf.DUMMYFUNCTION("""COMPUTED_VALUE"""),"O-19427-00")</f>
        <v>O-19427-00</v>
      </c>
    </row>
    <row r="562">
      <c r="A562" s="14" t="str">
        <f>IFERROR(__xludf.DUMMYFUNCTION("""COMPUTED_VALUE"""),"O-19428-00")</f>
        <v>O-19428-00</v>
      </c>
      <c r="B562" s="14" t="str">
        <f>IFERROR(__xludf.DUMMYFUNCTION("""COMPUTED_VALUE"""),"Baut SS L M4 x 20 mm + Mur + Ring; ; ;; ; ;; ; ;")</f>
        <v>Baut SS L M4 x 20 mm + Mur + Ring; ; ;; ; ;; ; ;</v>
      </c>
      <c r="C562" s="14" t="str">
        <f>IFERROR(__xludf.DUMMYFUNCTION("""COMPUTED_VALUE"""),"O-19428-00")</f>
        <v>O-19428-00</v>
      </c>
    </row>
    <row r="563">
      <c r="A563" s="14" t="str">
        <f>IFERROR(__xludf.DUMMYFUNCTION("""COMPUTED_VALUE"""),"O-19429-00")</f>
        <v>O-19429-00</v>
      </c>
      <c r="B563" s="14" t="str">
        <f>IFERROR(__xludf.DUMMYFUNCTION("""COMPUTED_VALUE"""),"General - Baut L, SS, M4 x 10 mm + Mur + Ring; No Brand; -; 1 pcs")</f>
        <v>General - Baut L, SS, M4 x 10 mm + Mur + Ring; No Brand; -; 1 pcs</v>
      </c>
      <c r="C563" s="14" t="str">
        <f>IFERROR(__xludf.DUMMYFUNCTION("""COMPUTED_VALUE"""),"O-19429-00")</f>
        <v>O-19429-00</v>
      </c>
    </row>
    <row r="564">
      <c r="A564" s="14" t="str">
        <f>IFERROR(__xludf.DUMMYFUNCTION("""COMPUTED_VALUE"""),"O-19430-00")</f>
        <v>O-19430-00</v>
      </c>
      <c r="B564" s="14" t="str">
        <f>IFERROR(__xludf.DUMMYFUNCTION("""COMPUTED_VALUE"""),"General - Baut L, SS, M5 x 20 mm + Mur + Ring; No Brand; -; 1 pcs")</f>
        <v>General - Baut L, SS, M5 x 20 mm + Mur + Ring; No Brand; -; 1 pcs</v>
      </c>
      <c r="C564" s="14" t="str">
        <f>IFERROR(__xludf.DUMMYFUNCTION("""COMPUTED_VALUE"""),"O-19430-00")</f>
        <v>O-19430-00</v>
      </c>
    </row>
    <row r="565">
      <c r="A565" s="14" t="str">
        <f>IFERROR(__xludf.DUMMYFUNCTION("""COMPUTED_VALUE"""),"O-19431-00")</f>
        <v>O-19431-00</v>
      </c>
      <c r="B565" s="14" t="str">
        <f>IFERROR(__xludf.DUMMYFUNCTION("""COMPUTED_VALUE"""),"General - Baut L, SS, M8 x 30 mm + Mur + Ring; No Brand; -; 1 pcs")</f>
        <v>General - Baut L, SS, M8 x 30 mm + Mur + Ring; No Brand; -; 1 pcs</v>
      </c>
      <c r="C565" s="14" t="str">
        <f>IFERROR(__xludf.DUMMYFUNCTION("""COMPUTED_VALUE"""),"O-19431-00")</f>
        <v>O-19431-00</v>
      </c>
    </row>
    <row r="566">
      <c r="A566" s="14" t="str">
        <f>IFERROR(__xludf.DUMMYFUNCTION("""COMPUTED_VALUE"""),"O-19432-00")</f>
        <v>O-19432-00</v>
      </c>
      <c r="B566" s="14" t="str">
        <f>IFERROR(__xludf.DUMMYFUNCTION("""COMPUTED_VALUE"""),"Baut SS L M8 x 20 mm + Mur + Ring; ; ;; ; ;; ; ;")</f>
        <v>Baut SS L M8 x 20 mm + Mur + Ring; ; ;; ; ;; ; ;</v>
      </c>
      <c r="C566" s="14" t="str">
        <f>IFERROR(__xludf.DUMMYFUNCTION("""COMPUTED_VALUE"""),"O-19432-00")</f>
        <v>O-19432-00</v>
      </c>
    </row>
    <row r="567">
      <c r="A567" s="14" t="str">
        <f>IFERROR(__xludf.DUMMYFUNCTION("""COMPUTED_VALUE"""),"O-19510-00")</f>
        <v>O-19510-00</v>
      </c>
      <c r="B567" s="14" t="str">
        <f>IFERROR(__xludf.DUMMYFUNCTION("""COMPUTED_VALUE"""),"Reducer Tembaga 1 5/8 Inch x 1 3/8 Inch; Lokal; ; 1 Pcs")</f>
        <v>Reducer Tembaga 1 5/8 Inch x 1 3/8 Inch; Lokal; ; 1 Pcs</v>
      </c>
      <c r="C567" s="14" t="str">
        <f>IFERROR(__xludf.DUMMYFUNCTION("""COMPUTED_VALUE"""),"O-19510-00")</f>
        <v>O-19510-00</v>
      </c>
    </row>
    <row r="568">
      <c r="A568" s="14" t="str">
        <f>IFERROR(__xludf.DUMMYFUNCTION("""COMPUTED_VALUE"""),"O-19511-00")</f>
        <v>O-19511-00</v>
      </c>
      <c r="B568" s="14" t="str">
        <f>IFERROR(__xludf.DUMMYFUNCTION("""COMPUTED_VALUE"""),"Reducer Tembaga 1 3/8 Inch x 7/8 Inch; Lokal; ; 1 Pcs")</f>
        <v>Reducer Tembaga 1 3/8 Inch x 7/8 Inch; Lokal; ; 1 Pcs</v>
      </c>
      <c r="C568" s="14" t="str">
        <f>IFERROR(__xludf.DUMMYFUNCTION("""COMPUTED_VALUE"""),"O-19511-00")</f>
        <v>O-19511-00</v>
      </c>
    </row>
    <row r="569">
      <c r="A569" s="14" t="str">
        <f>IFERROR(__xludf.DUMMYFUNCTION("""COMPUTED_VALUE"""),"O-19512-00")</f>
        <v>O-19512-00</v>
      </c>
      <c r="B569" s="14" t="str">
        <f>IFERROR(__xludf.DUMMYFUNCTION("""COMPUTED_VALUE"""),"Gasket Uk. 1,5 mm x 100 cm x 100 cm; Klingersil; C-4400;")</f>
        <v>Gasket Uk. 1,5 mm x 100 cm x 100 cm; Klingersil; C-4400;</v>
      </c>
      <c r="C569" s="14" t="str">
        <f>IFERROR(__xludf.DUMMYFUNCTION("""COMPUTED_VALUE"""),"O-19512-00")</f>
        <v>O-19512-00</v>
      </c>
    </row>
    <row r="570">
      <c r="A570" s="14" t="str">
        <f>IFERROR(__xludf.DUMMYFUNCTION("""COMPUTED_VALUE"""),"O-19521-00")</f>
        <v>O-19521-00</v>
      </c>
      <c r="B570" s="14" t="str">
        <f>IFERROR(__xludf.DUMMYFUNCTION("""COMPUTED_VALUE"""),"Ball Valve 7/8 inch; Castel; ;")</f>
        <v>Ball Valve 7/8 inch; Castel; ;</v>
      </c>
      <c r="C570" s="14" t="str">
        <f>IFERROR(__xludf.DUMMYFUNCTION("""COMPUTED_VALUE"""),"O-19521-00")</f>
        <v>O-19521-00</v>
      </c>
    </row>
    <row r="571">
      <c r="A571" s="14" t="str">
        <f>IFERROR(__xludf.DUMMYFUNCTION("""COMPUTED_VALUE"""),"O-19588-00")</f>
        <v>O-19588-00</v>
      </c>
      <c r="B571" s="14" t="str">
        <f>IFERROR(__xludf.DUMMYFUNCTION("""COMPUTED_VALUE"""),"Press Gauge 0-250 psi, Dia 2,5 inch, Drat 1/4 inch; No Brand; ;")</f>
        <v>Press Gauge 0-250 psi, Dia 2,5 inch, Drat 1/4 inch; No Brand; ;</v>
      </c>
      <c r="C571" s="14" t="str">
        <f>IFERROR(__xludf.DUMMYFUNCTION("""COMPUTED_VALUE"""),"O-19588-00")</f>
        <v>O-19588-00</v>
      </c>
    </row>
    <row r="572">
      <c r="A572" s="14" t="str">
        <f>IFERROR(__xludf.DUMMYFUNCTION("""COMPUTED_VALUE"""),"O-19589-00")</f>
        <v>O-19589-00</v>
      </c>
      <c r="B572" s="14" t="str">
        <f>IFERROR(__xludf.DUMMYFUNCTION("""COMPUTED_VALUE"""),"Press Gauge 0-500 Psi, Dia 2.5 Inch, Drat 1/4 Inch; No Brand; ;")</f>
        <v>Press Gauge 0-500 Psi, Dia 2.5 Inch, Drat 1/4 Inch; No Brand; ;</v>
      </c>
      <c r="C572" s="14" t="str">
        <f>IFERROR(__xludf.DUMMYFUNCTION("""COMPUTED_VALUE"""),"O-19589-00")</f>
        <v>O-19589-00</v>
      </c>
    </row>
    <row r="573">
      <c r="A573" s="14" t="str">
        <f>IFERROR(__xludf.DUMMYFUNCTION("""COMPUTED_VALUE"""),"O-19590-00")</f>
        <v>O-19590-00</v>
      </c>
      <c r="B573" s="14" t="str">
        <f>IFERROR(__xludf.DUMMYFUNCTION("""COMPUTED_VALUE"""),"Manifold Gauge, Hose 1.5 mtr; Tasco; ;")</f>
        <v>Manifold Gauge, Hose 1.5 mtr; Tasco; ;</v>
      </c>
      <c r="C573" s="14" t="str">
        <f>IFERROR(__xludf.DUMMYFUNCTION("""COMPUTED_VALUE"""),"O-19590-00")</f>
        <v>O-19590-00</v>
      </c>
    </row>
    <row r="574">
      <c r="A574" s="14" t="str">
        <f>IFERROR(__xludf.DUMMYFUNCTION("""COMPUTED_VALUE"""),"O-19591-00")</f>
        <v>O-19591-00</v>
      </c>
      <c r="B574" s="14" t="str">
        <f>IFERROR(__xludf.DUMMYFUNCTION("""COMPUTED_VALUE"""),"Grease for High Vacuum GR AR555; Kluber; ;")</f>
        <v>Grease for High Vacuum GR AR555; Kluber; ;</v>
      </c>
      <c r="C574" s="14" t="str">
        <f>IFERROR(__xludf.DUMMYFUNCTION("""COMPUTED_VALUE"""),"O-19591-00")</f>
        <v>O-19591-00</v>
      </c>
    </row>
    <row r="575">
      <c r="A575" s="14" t="str">
        <f>IFERROR(__xludf.DUMMYFUNCTION("""COMPUTED_VALUE"""),"O-19678-00")</f>
        <v>O-19678-00</v>
      </c>
      <c r="B575" s="14" t="str">
        <f>IFERROR(__xludf.DUMMYFUNCTION("""COMPUTED_VALUE"""),"Printhead Engine 60 Micron; ; P/N : 399-422;")</f>
        <v>Printhead Engine 60 Micron; ; P/N : 399-422;</v>
      </c>
      <c r="C575" s="14" t="str">
        <f>IFERROR(__xludf.DUMMYFUNCTION("""COMPUTED_VALUE"""),"O-19678-00")</f>
        <v>O-19678-00</v>
      </c>
    </row>
    <row r="576">
      <c r="A576" s="14" t="str">
        <f>IFERROR(__xludf.DUMMYFUNCTION("""COMPUTED_VALUE"""),"O-19679-00")</f>
        <v>O-19679-00</v>
      </c>
      <c r="B576" s="14" t="str">
        <f>IFERROR(__xludf.DUMMYFUNCTION("""COMPUTED_VALUE"""),"Part Lock Autoclave OD dia 12, p 55, material kuningan; Custom; ;")</f>
        <v>Part Lock Autoclave OD dia 12, p 55, material kuningan; Custom; ;</v>
      </c>
      <c r="C576" s="14" t="str">
        <f>IFERROR(__xludf.DUMMYFUNCTION("""COMPUTED_VALUE"""),"O-19679-00")</f>
        <v>O-19679-00</v>
      </c>
    </row>
    <row r="577">
      <c r="A577" s="14" t="str">
        <f>IFERROR(__xludf.DUMMYFUNCTION("""COMPUTED_VALUE"""),"O-19680-00")</f>
        <v>O-19680-00</v>
      </c>
      <c r="B577" s="14" t="str">
        <f>IFERROR(__xludf.DUMMYFUNCTION("""COMPUTED_VALUE"""),"Oring EPDM 5,02 x 19,58 x 29,51 mm; Custom; ;")</f>
        <v>Oring EPDM 5,02 x 19,58 x 29,51 mm; Custom; ;</v>
      </c>
      <c r="C577" s="14" t="str">
        <f>IFERROR(__xludf.DUMMYFUNCTION("""COMPUTED_VALUE"""),"O-19680-00")</f>
        <v>O-19680-00</v>
      </c>
    </row>
    <row r="578">
      <c r="A578" s="14" t="str">
        <f>IFERROR(__xludf.DUMMYFUNCTION("""COMPUTED_VALUE"""),"O-19685-00")</f>
        <v>O-19685-00</v>
      </c>
      <c r="B578" s="14" t="str">
        <f>IFERROR(__xludf.DUMMYFUNCTION("""COMPUTED_VALUE"""),"Coupling HRC Complete; STARKZ; 090FF;")</f>
        <v>Coupling HRC Complete; STARKZ; 090FF;</v>
      </c>
      <c r="C578" s="14" t="str">
        <f>IFERROR(__xludf.DUMMYFUNCTION("""COMPUTED_VALUE"""),"O-19685-00")</f>
        <v>O-19685-00</v>
      </c>
    </row>
    <row r="579">
      <c r="A579" s="14" t="str">
        <f>IFERROR(__xludf.DUMMYFUNCTION("""COMPUTED_VALUE"""),"O-19686-00")</f>
        <v>O-19686-00</v>
      </c>
      <c r="B579" s="14" t="str">
        <f>IFERROR(__xludf.DUMMYFUNCTION("""COMPUTED_VALUE"""),"Rubber Coupling HRC; Lokal; ;")</f>
        <v>Rubber Coupling HRC; Lokal; ;</v>
      </c>
      <c r="C579" s="14" t="str">
        <f>IFERROR(__xludf.DUMMYFUNCTION("""COMPUTED_VALUE"""),"O-19686-00")</f>
        <v>O-19686-00</v>
      </c>
    </row>
    <row r="580">
      <c r="A580" s="14" t="str">
        <f>IFERROR(__xludf.DUMMYFUNCTION("""COMPUTED_VALUE"""),"O-19687-00")</f>
        <v>O-19687-00</v>
      </c>
      <c r="B580" s="14" t="str">
        <f>IFERROR(__xludf.DUMMYFUNCTION("""COMPUTED_VALUE"""),"Tapper Bush Uk. 1108x16 mm; Lokal; ;")</f>
        <v>Tapper Bush Uk. 1108x16 mm; Lokal; ;</v>
      </c>
      <c r="C580" s="14" t="str">
        <f>IFERROR(__xludf.DUMMYFUNCTION("""COMPUTED_VALUE"""),"O-19687-00")</f>
        <v>O-19687-00</v>
      </c>
    </row>
    <row r="581">
      <c r="A581" s="14" t="str">
        <f>IFERROR(__xludf.DUMMYFUNCTION("""COMPUTED_VALUE"""),"O-19688-00")</f>
        <v>O-19688-00</v>
      </c>
      <c r="B581" s="14" t="str">
        <f>IFERROR(__xludf.DUMMYFUNCTION("""COMPUTED_VALUE"""),"Spares Kit Motor Replacement GV80; Edwards; P/N : A70212805;")</f>
        <v>Spares Kit Motor Replacement GV80; Edwards; P/N : A70212805;</v>
      </c>
      <c r="C581" s="14" t="str">
        <f>IFERROR(__xludf.DUMMYFUNCTION("""COMPUTED_VALUE"""),"O-19688-00")</f>
        <v>O-19688-00</v>
      </c>
    </row>
    <row r="582">
      <c r="A582" s="14" t="str">
        <f>IFERROR(__xludf.DUMMYFUNCTION("""COMPUTED_VALUE"""),"O-19689-00")</f>
        <v>O-19689-00</v>
      </c>
      <c r="B582" s="14" t="str">
        <f>IFERROR(__xludf.DUMMYFUNCTION("""COMPUTED_VALUE"""),"Routine Maintenance Kit GV80; Edwards; P/N : A70212825;")</f>
        <v>Routine Maintenance Kit GV80; Edwards; P/N : A70212825;</v>
      </c>
      <c r="C582" s="14" t="str">
        <f>IFERROR(__xludf.DUMMYFUNCTION("""COMPUTED_VALUE"""),"O-19689-00")</f>
        <v>O-19689-00</v>
      </c>
    </row>
    <row r="583">
      <c r="A583" s="14" t="str">
        <f>IFERROR(__xludf.DUMMYFUNCTION("""COMPUTED_VALUE"""),"O-19690-00")</f>
        <v>O-19690-00</v>
      </c>
      <c r="B583" s="14" t="str">
        <f>IFERROR(__xludf.DUMMYFUNCTION("""COMPUTED_VALUE"""),"Per Tekan SS304 ID 3,5 x OD 4,5 x P 53,5 mm; Lokal; ;")</f>
        <v>Per Tekan SS304 ID 3,5 x OD 4,5 x P 53,5 mm; Lokal; ;</v>
      </c>
      <c r="C583" s="14" t="str">
        <f>IFERROR(__xludf.DUMMYFUNCTION("""COMPUTED_VALUE"""),"O-19690-00")</f>
        <v>O-19690-00</v>
      </c>
    </row>
    <row r="584">
      <c r="A584" s="14" t="str">
        <f>IFERROR(__xludf.DUMMYFUNCTION("""COMPUTED_VALUE"""),"O-19691-00")</f>
        <v>O-19691-00</v>
      </c>
      <c r="B584" s="14" t="str">
        <f>IFERROR(__xludf.DUMMYFUNCTION("""COMPUTED_VALUE"""),"Capping VCM200 - Dudukan Sensor Counter 105 x 85 x 20 mm; Custom; ;")</f>
        <v>Capping VCM200 - Dudukan Sensor Counter 105 x 85 x 20 mm; Custom; ;</v>
      </c>
      <c r="C584" s="14" t="str">
        <f>IFERROR(__xludf.DUMMYFUNCTION("""COMPUTED_VALUE"""),"O-19691-00")</f>
        <v>O-19691-00</v>
      </c>
    </row>
    <row r="585">
      <c r="A585" s="14" t="str">
        <f>IFERROR(__xludf.DUMMYFUNCTION("""COMPUTED_VALUE"""),"O-19692-00")</f>
        <v>O-19692-00</v>
      </c>
      <c r="B585" s="14" t="str">
        <f>IFERROR(__xludf.DUMMYFUNCTION("""COMPUTED_VALUE"""),"Capping VCM200 - Box Counter SS 304 130 x 150 x 165 mm; Custom; ;")</f>
        <v>Capping VCM200 - Box Counter SS 304 130 x 150 x 165 mm; Custom; ;</v>
      </c>
      <c r="C585" s="14" t="str">
        <f>IFERROR(__xludf.DUMMYFUNCTION("""COMPUTED_VALUE"""),"O-19692-00")</f>
        <v>O-19692-00</v>
      </c>
    </row>
    <row r="586">
      <c r="A586" s="14" t="str">
        <f>IFERROR(__xludf.DUMMYFUNCTION("""COMPUTED_VALUE"""),"O-19693-00")</f>
        <v>O-19693-00</v>
      </c>
      <c r="B586" s="14" t="str">
        <f>IFERROR(__xludf.DUMMYFUNCTION("""COMPUTED_VALUE"""),"Bracket Dudukan Sensor Zometa 20 x 20 x 42 mm; Custom; ;")</f>
        <v>Bracket Dudukan Sensor Zometa 20 x 20 x 42 mm; Custom; ;</v>
      </c>
      <c r="C586" s="14" t="str">
        <f>IFERROR(__xludf.DUMMYFUNCTION("""COMPUTED_VALUE"""),"O-19693-00")</f>
        <v>O-19693-00</v>
      </c>
    </row>
    <row r="587">
      <c r="A587" s="14" t="str">
        <f>IFERROR(__xludf.DUMMYFUNCTION("""COMPUTED_VALUE"""),"O-19740-00")</f>
        <v>O-19740-00</v>
      </c>
      <c r="B587" s="14" t="str">
        <f>IFERROR(__xludf.DUMMYFUNCTION("""COMPUTED_VALUE"""),"HB Series H13 99,99%, on 0.3 Micron, Size 592 x 592 x 292 mm; IAF; ;")</f>
        <v>HB Series H13 99,99%, on 0.3 Micron, Size 592 x 592 x 292 mm; IAF; ;</v>
      </c>
      <c r="C587" s="14" t="str">
        <f>IFERROR(__xludf.DUMMYFUNCTION("""COMPUTED_VALUE"""),"O-19740-00")</f>
        <v>O-19740-00</v>
      </c>
    </row>
    <row r="588">
      <c r="A588" s="14" t="str">
        <f>IFERROR(__xludf.DUMMYFUNCTION("""COMPUTED_VALUE"""),"O-19777-00")</f>
        <v>O-19777-00</v>
      </c>
      <c r="B588" s="14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4" t="str">
        <f>IFERROR(__xludf.DUMMYFUNCTION("""COMPUTED_VALUE"""),"O-19777-00")</f>
        <v>O-19777-00</v>
      </c>
    </row>
    <row r="589">
      <c r="A589" s="14" t="str">
        <f>IFERROR(__xludf.DUMMYFUNCTION("""COMPUTED_VALUE"""),"O-19779-00")</f>
        <v>O-19779-00</v>
      </c>
      <c r="B589" s="14" t="str">
        <f>IFERROR(__xludf.DUMMYFUNCTION("""COMPUTED_VALUE"""),"Part Tunnel Qualifikasi Uk. 735x 450x 245, Material SUS 304; Custom; ;")</f>
        <v>Part Tunnel Qualifikasi Uk. 735x 450x 245, Material SUS 304; Custom; ;</v>
      </c>
      <c r="C589" s="14" t="str">
        <f>IFERROR(__xludf.DUMMYFUNCTION("""COMPUTED_VALUE"""),"O-19779-00")</f>
        <v>O-19779-00</v>
      </c>
    </row>
    <row r="590">
      <c r="A590" s="14" t="str">
        <f>IFERROR(__xludf.DUMMYFUNCTION("""COMPUTED_VALUE"""),"O-19780-00")</f>
        <v>O-19780-00</v>
      </c>
      <c r="B590" s="14" t="str">
        <f>IFERROR(__xludf.DUMMYFUNCTION("""COMPUTED_VALUE"""),"Stand Print Head Video Jet Uk. 1248 x 1165 mm Material SUS 304; Custom; ;")</f>
        <v>Stand Print Head Video Jet Uk. 1248 x 1165 mm Material SUS 304; Custom; ;</v>
      </c>
      <c r="C590" s="14" t="str">
        <f>IFERROR(__xludf.DUMMYFUNCTION("""COMPUTED_VALUE"""),"O-19780-00")</f>
        <v>O-19780-00</v>
      </c>
    </row>
    <row r="591">
      <c r="A591" s="14" t="str">
        <f>IFERROR(__xludf.DUMMYFUNCTION("""COMPUTED_VALUE"""),"O-19781-00")</f>
        <v>O-19781-00</v>
      </c>
      <c r="B591" s="14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4" t="str">
        <f>IFERROR(__xludf.DUMMYFUNCTION("""COMPUTED_VALUE"""),"O-19781-00")</f>
        <v>O-19781-00</v>
      </c>
    </row>
    <row r="592">
      <c r="A592" s="14" t="str">
        <f>IFERROR(__xludf.DUMMYFUNCTION("""COMPUTED_VALUE"""),"O-19782-00")</f>
        <v>O-19782-00</v>
      </c>
      <c r="B592" s="14" t="str">
        <f>IFERROR(__xludf.DUMMYFUNCTION("""COMPUTED_VALUE"""),"Shaft Pusher Cartoning Marchesini Uk. 16 x 530; Custom; ;")</f>
        <v>Shaft Pusher Cartoning Marchesini Uk. 16 x 530; Custom; ;</v>
      </c>
      <c r="C592" s="14" t="str">
        <f>IFERROR(__xludf.DUMMYFUNCTION("""COMPUTED_VALUE"""),"O-19782-00")</f>
        <v>O-19782-00</v>
      </c>
    </row>
    <row r="593">
      <c r="A593" s="14" t="str">
        <f>IFERROR(__xludf.DUMMYFUNCTION("""COMPUTED_VALUE"""),"O-19783-00")</f>
        <v>O-19783-00</v>
      </c>
      <c r="B593" s="14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4" t="str">
        <f>IFERROR(__xludf.DUMMYFUNCTION("""COMPUTED_VALUE"""),"O-19783-00")</f>
        <v>O-19783-00</v>
      </c>
    </row>
    <row r="594">
      <c r="A594" s="14" t="str">
        <f>IFERROR(__xludf.DUMMYFUNCTION("""COMPUTED_VALUE"""),"O-19784-00")</f>
        <v>O-19784-00</v>
      </c>
      <c r="B594" s="14" t="str">
        <f>IFERROR(__xludf.DUMMYFUNCTION("""COMPUTED_VALUE"""),"Wadah Vial 6 R Uk. 48x 115x 285 Material Akrilik; Custom; ;")</f>
        <v>Wadah Vial 6 R Uk. 48x 115x 285 Material Akrilik; Custom; ;</v>
      </c>
      <c r="C594" s="14" t="str">
        <f>IFERROR(__xludf.DUMMYFUNCTION("""COMPUTED_VALUE"""),"O-19784-00")</f>
        <v>O-19784-00</v>
      </c>
    </row>
    <row r="595">
      <c r="A595" s="14" t="str">
        <f>IFERROR(__xludf.DUMMYFUNCTION("""COMPUTED_VALUE"""),"O-19785-00")</f>
        <v>O-19785-00</v>
      </c>
      <c r="B595" s="14" t="str">
        <f>IFERROR(__xludf.DUMMYFUNCTION("""COMPUTED_VALUE"""),"Roda Trolley Autoclave Uk. 152,2 x 30 mm; Custom; ;")</f>
        <v>Roda Trolley Autoclave Uk. 152,2 x 30 mm; Custom; ;</v>
      </c>
      <c r="C595" s="14" t="str">
        <f>IFERROR(__xludf.DUMMYFUNCTION("""COMPUTED_VALUE"""),"O-19785-00")</f>
        <v>O-19785-00</v>
      </c>
    </row>
    <row r="596">
      <c r="A596" s="14" t="str">
        <f>IFERROR(__xludf.DUMMYFUNCTION("""COMPUTED_VALUE"""),"O-19786-00")</f>
        <v>O-19786-00</v>
      </c>
      <c r="B596" s="14" t="str">
        <f>IFERROR(__xludf.DUMMYFUNCTION("""COMPUTED_VALUE"""),"Head Pusher Cartoning Uk. 15x 22x 51 mm Material SUS 304; Custom; ;")</f>
        <v>Head Pusher Cartoning Uk. 15x 22x 51 mm Material SUS 304; Custom; ;</v>
      </c>
      <c r="C596" s="14" t="str">
        <f>IFERROR(__xludf.DUMMYFUNCTION("""COMPUTED_VALUE"""),"O-19786-00")</f>
        <v>O-19786-00</v>
      </c>
    </row>
    <row r="597">
      <c r="A597" s="14" t="str">
        <f>IFERROR(__xludf.DUMMYFUNCTION("""COMPUTED_VALUE"""),"O-19796-00")</f>
        <v>O-19796-00</v>
      </c>
      <c r="B597" s="14" t="str">
        <f>IFERROR(__xludf.DUMMYFUNCTION("""COMPUTED_VALUE"""),"Blind Plate for Clamp KF16 SS304; ; ;")</f>
        <v>Blind Plate for Clamp KF16 SS304; ; ;</v>
      </c>
      <c r="C597" s="14" t="str">
        <f>IFERROR(__xludf.DUMMYFUNCTION("""COMPUTED_VALUE"""),"O-19796-00")</f>
        <v>O-19796-00</v>
      </c>
    </row>
    <row r="598">
      <c r="A598" s="14" t="str">
        <f>IFERROR(__xludf.DUMMYFUNCTION("""COMPUTED_VALUE"""),"O-19797-00")</f>
        <v>O-19797-00</v>
      </c>
      <c r="B598" s="14" t="str">
        <f>IFERROR(__xludf.DUMMYFUNCTION("""COMPUTED_VALUE"""),"Dudukan Sensor Autoclave Material SUS 316L; Custom; ;")</f>
        <v>Dudukan Sensor Autoclave Material SUS 316L; Custom; ;</v>
      </c>
      <c r="C598" s="14" t="str">
        <f>IFERROR(__xludf.DUMMYFUNCTION("""COMPUTED_VALUE"""),"O-19797-00")</f>
        <v>O-19797-00</v>
      </c>
    </row>
    <row r="599">
      <c r="A599" s="14" t="str">
        <f>IFERROR(__xludf.DUMMYFUNCTION("""COMPUTED_VALUE"""),"O-19798-00")</f>
        <v>O-19798-00</v>
      </c>
      <c r="B599" s="14" t="str">
        <f>IFERROR(__xludf.DUMMYFUNCTION("""COMPUTED_VALUE"""),"Clamp Vacuum KF16 Alumunium; ; ;")</f>
        <v>Clamp Vacuum KF16 Alumunium; ; ;</v>
      </c>
      <c r="C599" s="14" t="str">
        <f>IFERROR(__xludf.DUMMYFUNCTION("""COMPUTED_VALUE"""),"O-19798-00")</f>
        <v>O-19798-00</v>
      </c>
    </row>
    <row r="600">
      <c r="A600" s="14" t="str">
        <f>IFERROR(__xludf.DUMMYFUNCTION("""COMPUTED_VALUE"""),"O-19810-00")</f>
        <v>O-19810-00</v>
      </c>
      <c r="B600" s="14" t="str">
        <f>IFERROR(__xludf.DUMMYFUNCTION("""COMPUTED_VALUE"""),"Freeze Dryer MBE1207 - Gasket Teflon Uk. 45x41x1.5; Custom; ;")</f>
        <v>Freeze Dryer MBE1207 - Gasket Teflon Uk. 45x41x1.5; Custom; ;</v>
      </c>
      <c r="C600" s="14" t="str">
        <f>IFERROR(__xludf.DUMMYFUNCTION("""COMPUTED_VALUE"""),"O-19810-00")</f>
        <v>O-19810-00</v>
      </c>
    </row>
    <row r="601">
      <c r="A601" s="14" t="str">
        <f>IFERROR(__xludf.DUMMYFUNCTION("""COMPUTED_VALUE"""),"O-19822-00")</f>
        <v>O-19822-00</v>
      </c>
      <c r="B601" s="14" t="str">
        <f>IFERROR(__xludf.DUMMYFUNCTION("""COMPUTED_VALUE"""),"Flexible Front End 916 - (125.0 - 125.0)")</f>
        <v>Flexible Front End 916 - (125.0 - 125.0)</v>
      </c>
      <c r="C601" s="14" t="str">
        <f>IFERROR(__xludf.DUMMYFUNCTION("""COMPUTED_VALUE"""),"O-19822-00")</f>
        <v>O-19822-00</v>
      </c>
    </row>
    <row r="602">
      <c r="A602" s="14" t="str">
        <f>IFERROR(__xludf.DUMMYFUNCTION("""COMPUTED_VALUE"""),"O-19829-00")</f>
        <v>O-19829-00</v>
      </c>
      <c r="B602" s="14" t="str">
        <f>IFERROR(__xludf.DUMMYFUNCTION("""COMPUTED_VALUE"""),"Pusher 50 H Cartoning")</f>
        <v>Pusher 50 H Cartoning</v>
      </c>
      <c r="C602" s="14" t="str">
        <f>IFERROR(__xludf.DUMMYFUNCTION("""COMPUTED_VALUE"""),"O-19829-00")</f>
        <v>O-19829-00</v>
      </c>
    </row>
    <row r="603">
      <c r="A603" s="14" t="str">
        <f>IFERROR(__xludf.DUMMYFUNCTION("""COMPUTED_VALUE"""),"O-19848-00")</f>
        <v>O-19848-00</v>
      </c>
      <c r="B603" s="14" t="str">
        <f>IFERROR(__xludf.DUMMYFUNCTION("""COMPUTED_VALUE"""),"Pneumatic ball valve_1 inch weldedWORCESTEREDF50-00196")</f>
        <v>Pneumatic ball valve_1 inch weldedWORCESTEREDF50-00196</v>
      </c>
      <c r="C603" s="14" t="str">
        <f>IFERROR(__xludf.DUMMYFUNCTION("""COMPUTED_VALUE"""),"O-19848-00")</f>
        <v>O-19848-00</v>
      </c>
    </row>
    <row r="604">
      <c r="A604" s="14" t="str">
        <f>IFERROR(__xludf.DUMMYFUNCTION("""COMPUTED_VALUE"""),"O-19849-00")</f>
        <v>O-19849-00</v>
      </c>
      <c r="B604" s="14" t="str">
        <f>IFERROR(__xludf.DUMMYFUNCTION("""COMPUTED_VALUE"""),"Sabuk Tangki MixingCustom")</f>
        <v>Sabuk Tangki MixingCustom</v>
      </c>
      <c r="C604" s="14" t="str">
        <f>IFERROR(__xludf.DUMMYFUNCTION("""COMPUTED_VALUE"""),"O-19849-00")</f>
        <v>O-19849-00</v>
      </c>
    </row>
    <row r="605">
      <c r="A605" s="14" t="str">
        <f>IFERROR(__xludf.DUMMYFUNCTION("""COMPUTED_VALUE"""),"O-19861-00")</f>
        <v>O-19861-00</v>
      </c>
      <c r="B605" s="14" t="str">
        <f>IFERROR(__xludf.DUMMYFUNCTION("""COMPUTED_VALUE"""),"Bearing Cam Follower KR16-PP-AINA")</f>
        <v>Bearing Cam Follower KR16-PP-AINA</v>
      </c>
      <c r="C605" s="14" t="str">
        <f>IFERROR(__xludf.DUMMYFUNCTION("""COMPUTED_VALUE"""),"O-19861-00")</f>
        <v>O-19861-00</v>
      </c>
    </row>
    <row r="606">
      <c r="A606" s="14" t="str">
        <f>IFERROR(__xludf.DUMMYFUNCTION("""COMPUTED_VALUE"""),"O-19862-00")</f>
        <v>O-19862-00</v>
      </c>
      <c r="B606" s="14" t="str">
        <f>IFERROR(__xludf.DUMMYFUNCTION("""COMPUTED_VALUE"""),"Capping VCM200 - Transfer Plate material SS304Custom")</f>
        <v>Capping VCM200 - Transfer Plate material SS304Custom</v>
      </c>
      <c r="C606" s="14" t="str">
        <f>IFERROR(__xludf.DUMMYFUNCTION("""COMPUTED_VALUE"""),"O-19862-00")</f>
        <v>O-19862-00</v>
      </c>
    </row>
    <row r="607">
      <c r="A607" s="14" t="str">
        <f>IFERROR(__xludf.DUMMYFUNCTION("""COMPUTED_VALUE"""),"O-19866-00")</f>
        <v>O-19866-00</v>
      </c>
      <c r="B607" s="14" t="str">
        <f>IFERROR(__xludf.DUMMYFUNCTION("""COMPUTED_VALUE"""),"Grill Fan (cover kipas) 12x12 cm")</f>
        <v>Grill Fan (cover kipas) 12x12 cm</v>
      </c>
      <c r="C607" s="14" t="str">
        <f>IFERROR(__xludf.DUMMYFUNCTION("""COMPUTED_VALUE"""),"O-19866-00")</f>
        <v>O-19866-00</v>
      </c>
    </row>
    <row r="608">
      <c r="A608" s="14" t="str">
        <f>IFERROR(__xludf.DUMMYFUNCTION("""COMPUTED_VALUE"""),"O-19894-00")</f>
        <v>O-19894-00</v>
      </c>
      <c r="B608" s="14" t="str">
        <f>IFERROR(__xludf.DUMMYFUNCTION("""COMPUTED_VALUE"""),"Capping VCM200 - Guide Starwheel Vial Pom hitam 319x329x17 mm; Custom; ;")</f>
        <v>Capping VCM200 - Guide Starwheel Vial Pom hitam 319x329x17 mm; Custom; ;</v>
      </c>
      <c r="C608" s="14" t="str">
        <f>IFERROR(__xludf.DUMMYFUNCTION("""COMPUTED_VALUE"""),"O-19894-00")</f>
        <v>O-19894-00</v>
      </c>
    </row>
    <row r="609">
      <c r="A609" s="14" t="str">
        <f>IFERROR(__xludf.DUMMYFUNCTION("""COMPUTED_VALUE"""),"O-19901-00")</f>
        <v>O-19901-00</v>
      </c>
      <c r="B609" s="14" t="str">
        <f>IFERROR(__xludf.DUMMYFUNCTION("""COMPUTED_VALUE"""),"Freeze Dryer MBE1207 - New Seat Valve Dia 36x22x7; Custom/Lokal; -; 1 pc")</f>
        <v>Freeze Dryer MBE1207 - New Seat Valve Dia 36x22x7; Custom/Lokal; -; 1 pc</v>
      </c>
      <c r="C609" s="14" t="str">
        <f>IFERROR(__xludf.DUMMYFUNCTION("""COMPUTED_VALUE"""),"O-19901-00")</f>
        <v>O-19901-00</v>
      </c>
    </row>
    <row r="610">
      <c r="A610" s="14" t="str">
        <f>IFERROR(__xludf.DUMMYFUNCTION("""COMPUTED_VALUE"""),"O-19911-00")</f>
        <v>O-19911-00</v>
      </c>
      <c r="B610" s="14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4" t="str">
        <f>IFERROR(__xludf.DUMMYFUNCTION("""COMPUTED_VALUE"""),"O-19911-00")</f>
        <v>O-19911-00</v>
      </c>
    </row>
    <row r="611">
      <c r="A611" s="14" t="str">
        <f>IFERROR(__xludf.DUMMYFUNCTION("""COMPUTED_VALUE"""),"O-19912-00")</f>
        <v>O-19912-00</v>
      </c>
      <c r="B611" s="14" t="str">
        <f>IFERROR(__xludf.DUMMYFUNCTION("""COMPUTED_VALUE"""),"Pipa N2 Mixing SUS 316 dia 1/2 &amp; 1 inch, uk 248x50 mm; Custom; ;")</f>
        <v>Pipa N2 Mixing SUS 316 dia 1/2 &amp; 1 inch, uk 248x50 mm; Custom; ;</v>
      </c>
      <c r="C611" s="14" t="str">
        <f>IFERROR(__xludf.DUMMYFUNCTION("""COMPUTED_VALUE"""),"O-19912-00")</f>
        <v>O-19912-00</v>
      </c>
    </row>
    <row r="612">
      <c r="A612" s="14" t="str">
        <f>IFERROR(__xludf.DUMMYFUNCTION("""COMPUTED_VALUE"""),"O-19953-00")</f>
        <v>O-19953-00</v>
      </c>
      <c r="B612" s="14" t="str">
        <f>IFERROR(__xludf.DUMMYFUNCTION("""COMPUTED_VALUE"""),"Dudukan Cover Motor 243x320x550 mm, Mat SUS 304; Custom; ;")</f>
        <v>Dudukan Cover Motor 243x320x550 mm, Mat SUS 304; Custom; ;</v>
      </c>
      <c r="C612" s="14" t="str">
        <f>IFERROR(__xludf.DUMMYFUNCTION("""COMPUTED_VALUE"""),"O-19953-00")</f>
        <v>O-19953-00</v>
      </c>
    </row>
    <row r="613">
      <c r="A613" s="14" t="str">
        <f>IFERROR(__xludf.DUMMYFUNCTION("""COMPUTED_VALUE"""),"O-19954-00")</f>
        <v>O-19954-00</v>
      </c>
      <c r="B613" s="14" t="str">
        <f>IFERROR(__xludf.DUMMYFUNCTION("""COMPUTED_VALUE"""),"Dudukan Sensor Counter 2x100x100 mm, Mat. SUS 304; Custom; ;")</f>
        <v>Dudukan Sensor Counter 2x100x100 mm, Mat. SUS 304; Custom; ;</v>
      </c>
      <c r="C613" s="14" t="str">
        <f>IFERROR(__xludf.DUMMYFUNCTION("""COMPUTED_VALUE"""),"O-19954-00")</f>
        <v>O-19954-00</v>
      </c>
    </row>
    <row r="614">
      <c r="A614" s="14" t="str">
        <f>IFERROR(__xludf.DUMMYFUNCTION("""COMPUTED_VALUE"""),"O-19981-00")</f>
        <v>O-19981-00</v>
      </c>
      <c r="B614" s="14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4" t="str">
        <f>IFERROR(__xludf.DUMMYFUNCTION("""COMPUTED_VALUE"""),"O-19981-00")</f>
        <v>O-19981-00</v>
      </c>
    </row>
    <row r="615">
      <c r="A615" s="14" t="str">
        <f>IFERROR(__xludf.DUMMYFUNCTION("""COMPUTED_VALUE"""),"O-19982-00")</f>
        <v>O-19982-00</v>
      </c>
      <c r="B615" s="14" t="str">
        <f>IFERROR(__xludf.DUMMYFUNCTION("""COMPUTED_VALUE"""),"FD S/N MBE1207 - Directional Valve XDC3C03N1FS42; Aron; ;")</f>
        <v>FD S/N MBE1207 - Directional Valve XDC3C03N1FS42; Aron; ;</v>
      </c>
      <c r="C615" s="14" t="str">
        <f>IFERROR(__xludf.DUMMYFUNCTION("""COMPUTED_VALUE"""),"O-19982-00")</f>
        <v>O-19982-00</v>
      </c>
    </row>
    <row r="616">
      <c r="A616" s="14" t="str">
        <f>IFERROR(__xludf.DUMMYFUNCTION("""COMPUTED_VALUE"""),"O-19983-00")</f>
        <v>O-19983-00</v>
      </c>
      <c r="B616" s="14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4" t="str">
        <f>IFERROR(__xludf.DUMMYFUNCTION("""COMPUTED_VALUE"""),"O-19983-00")</f>
        <v>O-19983-00</v>
      </c>
    </row>
    <row r="617">
      <c r="A617" s="14" t="str">
        <f>IFERROR(__xludf.DUMMYFUNCTION("""COMPUTED_VALUE"""),"O-20026-00")</f>
        <v>O-20026-00</v>
      </c>
      <c r="B617" s="14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4" t="str">
        <f>IFERROR(__xludf.DUMMYFUNCTION("""COMPUTED_VALUE"""),"O-20026-00")</f>
        <v>O-20026-00</v>
      </c>
    </row>
    <row r="618">
      <c r="A618" s="14" t="str">
        <f>IFERROR(__xludf.DUMMYFUNCTION("""COMPUTED_VALUE"""),"O-20040-00")</f>
        <v>O-20040-00</v>
      </c>
      <c r="B618" s="14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4" t="str">
        <f>IFERROR(__xludf.DUMMYFUNCTION("""COMPUTED_VALUE"""),"O-20040-00")</f>
        <v>O-20040-00</v>
      </c>
    </row>
    <row r="619">
      <c r="A619" s="14" t="str">
        <f>IFERROR(__xludf.DUMMYFUNCTION("""COMPUTED_VALUE"""),"O-20041-00")</f>
        <v>O-20041-00</v>
      </c>
      <c r="B619" s="14" t="str">
        <f>IFERROR(__xludf.DUMMYFUNCTION("""COMPUTED_VALUE"""),"Capping VCM200 - Bearing NKIA5902; INA; ;")</f>
        <v>Capping VCM200 - Bearing NKIA5902; INA; ;</v>
      </c>
      <c r="C619" s="14" t="str">
        <f>IFERROR(__xludf.DUMMYFUNCTION("""COMPUTED_VALUE"""),"O-20041-00")</f>
        <v>O-20041-00</v>
      </c>
    </row>
    <row r="620">
      <c r="A620" s="14" t="str">
        <f>IFERROR(__xludf.DUMMYFUNCTION("""COMPUTED_VALUE"""),"O-20093-00")</f>
        <v>O-20093-00</v>
      </c>
      <c r="B620" s="14" t="str">
        <f>IFERROR(__xludf.DUMMYFUNCTION("""COMPUTED_VALUE"""),"Washing RAR4 - Dudukan Selang WFI Washing 20x45x35; Custom/Lokal; ; 1 Pc")</f>
        <v>Washing RAR4 - Dudukan Selang WFI Washing 20x45x35; Custom/Lokal; ; 1 Pc</v>
      </c>
      <c r="C620" s="14" t="str">
        <f>IFERROR(__xludf.DUMMYFUNCTION("""COMPUTED_VALUE"""),"O-20093-00")</f>
        <v>O-20093-00</v>
      </c>
    </row>
    <row r="621">
      <c r="A621" s="14" t="str">
        <f>IFERROR(__xludf.DUMMYFUNCTION("""COMPUTED_VALUE"""),"O-20094-00")</f>
        <v>O-20094-00</v>
      </c>
      <c r="B621" s="14" t="str">
        <f>IFERROR(__xludf.DUMMYFUNCTION("""COMPUTED_VALUE"""),"Washing RAR4 - Plate Washing Spraying 166x20mm,; Custom/Lokal; ; 1 Pc")</f>
        <v>Washing RAR4 - Plate Washing Spraying 166x20mm,; Custom/Lokal; ; 1 Pc</v>
      </c>
      <c r="C621" s="14" t="str">
        <f>IFERROR(__xludf.DUMMYFUNCTION("""COMPUTED_VALUE"""),"O-20094-00")</f>
        <v>O-20094-00</v>
      </c>
    </row>
    <row r="622">
      <c r="A622" s="14" t="str">
        <f>IFERROR(__xludf.DUMMYFUNCTION("""COMPUTED_VALUE"""),"O-20104-00")</f>
        <v>O-20104-00</v>
      </c>
      <c r="B622" s="14" t="str">
        <f>IFERROR(__xludf.DUMMYFUNCTION("""COMPUTED_VALUE"""),"General - Bearing 61926; SKF; ; 1 Pc")</f>
        <v>General - Bearing 61926; SKF; ; 1 Pc</v>
      </c>
      <c r="C622" s="14" t="str">
        <f>IFERROR(__xludf.DUMMYFUNCTION("""COMPUTED_VALUE"""),"O-20104-00")</f>
        <v>O-20104-00</v>
      </c>
    </row>
    <row r="623">
      <c r="A623" s="14" t="str">
        <f>IFERROR(__xludf.DUMMYFUNCTION("""COMPUTED_VALUE"""),"O-20105-00")</f>
        <v>O-20105-00</v>
      </c>
      <c r="B623" s="14" t="str">
        <f>IFERROR(__xludf.DUMMYFUNCTION("""COMPUTED_VALUE"""),"General - Bearing 51104; SKF; ; 1 Pc")</f>
        <v>General - Bearing 51104; SKF; ; 1 Pc</v>
      </c>
      <c r="C623" s="14" t="str">
        <f>IFERROR(__xludf.DUMMYFUNCTION("""COMPUTED_VALUE"""),"O-20105-00")</f>
        <v>O-20105-00</v>
      </c>
    </row>
    <row r="624">
      <c r="A624" s="14" t="str">
        <f>IFERROR(__xludf.DUMMYFUNCTION("""COMPUTED_VALUE"""),"O-20106-00")</f>
        <v>O-20106-00</v>
      </c>
      <c r="B624" s="14" t="str">
        <f>IFERROR(__xludf.DUMMYFUNCTION("""COMPUTED_VALUE"""),"General - Bearing 32011 X; SKF; ; 1 Pc")</f>
        <v>General - Bearing 32011 X; SKF; ; 1 Pc</v>
      </c>
      <c r="C624" s="14" t="str">
        <f>IFERROR(__xludf.DUMMYFUNCTION("""COMPUTED_VALUE"""),"O-20106-00")</f>
        <v>O-20106-00</v>
      </c>
    </row>
    <row r="625">
      <c r="A625" s="14" t="str">
        <f>IFERROR(__xludf.DUMMYFUNCTION("""COMPUTED_VALUE"""),"O-20117-00")</f>
        <v>O-20117-00</v>
      </c>
      <c r="B625" s="14" t="str">
        <f>IFERROR(__xludf.DUMMYFUNCTION("""COMPUTED_VALUE"""),"General - Oil Seal TC 140x170x12; No Brand; ; 1 Pc")</f>
        <v>General - Oil Seal TC 140x170x12; No Brand; ; 1 Pc</v>
      </c>
      <c r="C625" s="14" t="str">
        <f>IFERROR(__xludf.DUMMYFUNCTION("""COMPUTED_VALUE"""),"O-20117-00")</f>
        <v>O-20117-00</v>
      </c>
    </row>
    <row r="626">
      <c r="A626" s="14" t="str">
        <f>IFERROR(__xludf.DUMMYFUNCTION("""COMPUTED_VALUE"""),"O-20118-00")</f>
        <v>O-20118-00</v>
      </c>
      <c r="B626" s="14" t="str">
        <f>IFERROR(__xludf.DUMMYFUNCTION("""COMPUTED_VALUE"""),"General - Oil Seal TC 150x180x12; No Brand; ; 1 Pc")</f>
        <v>General - Oil Seal TC 150x180x12; No Brand; ; 1 Pc</v>
      </c>
      <c r="C626" s="14" t="str">
        <f>IFERROR(__xludf.DUMMYFUNCTION("""COMPUTED_VALUE"""),"O-20118-00")</f>
        <v>O-20118-00</v>
      </c>
    </row>
    <row r="627">
      <c r="A627" s="14" t="str">
        <f>IFERROR(__xludf.DUMMYFUNCTION("""COMPUTED_VALUE"""),"O-20119-00")</f>
        <v>O-20119-00</v>
      </c>
      <c r="B627" s="14" t="str">
        <f>IFERROR(__xludf.DUMMYFUNCTION("""COMPUTED_VALUE"""),"General - Oil Seal TC 70x90x10; No Brand; ; 1 Pc")</f>
        <v>General - Oil Seal TC 70x90x10; No Brand; ; 1 Pc</v>
      </c>
      <c r="C627" s="14" t="str">
        <f>IFERROR(__xludf.DUMMYFUNCTION("""COMPUTED_VALUE"""),"O-20119-00")</f>
        <v>O-20119-00</v>
      </c>
    </row>
    <row r="628">
      <c r="A628" s="14" t="str">
        <f>IFERROR(__xludf.DUMMYFUNCTION("""COMPUTED_VALUE"""),"O-20120-00")</f>
        <v>O-20120-00</v>
      </c>
      <c r="B628" s="14" t="str">
        <f>IFERROR(__xludf.DUMMYFUNCTION("""COMPUTED_VALUE"""),"General - Belt T10 840 25 MM; Optibelt; ; 1 Pc")</f>
        <v>General - Belt T10 840 25 MM; Optibelt; ; 1 Pc</v>
      </c>
      <c r="C628" s="14" t="str">
        <f>IFERROR(__xludf.DUMMYFUNCTION("""COMPUTED_VALUE"""),"O-20120-00")</f>
        <v>O-20120-00</v>
      </c>
    </row>
    <row r="629">
      <c r="A629" s="14" t="str">
        <f>IFERROR(__xludf.DUMMYFUNCTION("""COMPUTED_VALUE"""),"O-20211-00")</f>
        <v>O-20211-00</v>
      </c>
      <c r="B629" s="14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4" t="str">
        <f>IFERROR(__xludf.DUMMYFUNCTION("""COMPUTED_VALUE"""),"O-20211-00")</f>
        <v>O-20211-00</v>
      </c>
    </row>
    <row r="630">
      <c r="A630" s="14" t="str">
        <f>IFERROR(__xludf.DUMMYFUNCTION("""COMPUTED_VALUE"""),"O-20230-00")</f>
        <v>O-20230-00</v>
      </c>
      <c r="B630" s="14" t="str">
        <f>IFERROR(__xludf.DUMMYFUNCTION("""COMPUTED_VALUE"""),"Washing RAV4 - Black Arm Mat. SUS 304; Custom/Lokal; -; 1 Pc")</f>
        <v>Washing RAV4 - Black Arm Mat. SUS 304; Custom/Lokal; -; 1 Pc</v>
      </c>
      <c r="C630" s="14" t="str">
        <f>IFERROR(__xludf.DUMMYFUNCTION("""COMPUTED_VALUE"""),"O-20230-00")</f>
        <v>O-20230-00</v>
      </c>
    </row>
    <row r="631">
      <c r="A631" s="14" t="str">
        <f>IFERROR(__xludf.DUMMYFUNCTION("""COMPUTED_VALUE"""),"O-20231-00")</f>
        <v>O-20231-00</v>
      </c>
      <c r="B631" s="14" t="str">
        <f>IFERROR(__xludf.DUMMYFUNCTION("""COMPUTED_VALUE"""),"Washing RAV4 - Base Black Arm Mat. VCN; Custom/Lokal; -; 1 Pc")</f>
        <v>Washing RAV4 - Base Black Arm Mat. VCN; Custom/Lokal; -; 1 Pc</v>
      </c>
      <c r="C631" s="14" t="str">
        <f>IFERROR(__xludf.DUMMYFUNCTION("""COMPUTED_VALUE"""),"O-20231-00")</f>
        <v>O-20231-00</v>
      </c>
    </row>
    <row r="632">
      <c r="A632" s="14" t="str">
        <f>IFERROR(__xludf.DUMMYFUNCTION("""COMPUTED_VALUE"""),"O-20289-00")</f>
        <v>O-20289-00</v>
      </c>
      <c r="B632" s="14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4" t="str">
        <f>IFERROR(__xludf.DUMMYFUNCTION("""COMPUTED_VALUE"""),"O-20289-00")</f>
        <v>O-20289-00</v>
      </c>
    </row>
    <row r="633">
      <c r="A633" s="14" t="str">
        <f>IFERROR(__xludf.DUMMYFUNCTION("""COMPUTED_VALUE"""),"O-20292-00")</f>
        <v>O-20292-00</v>
      </c>
      <c r="B633" s="14" t="str">
        <f>IFERROR(__xludf.DUMMYFUNCTION("""COMPUTED_VALUE"""),"Strainer Machine - Strainer Crabs CR4 Capping 18X20 mm Custom/Lokal")</f>
        <v>Strainer Machine - Strainer Crabs CR4 Capping 18X20 mm Custom/Lokal</v>
      </c>
      <c r="C633" s="14" t="str">
        <f>IFERROR(__xludf.DUMMYFUNCTION("""COMPUTED_VALUE"""),"O-20292-00")</f>
        <v>O-20292-00</v>
      </c>
    </row>
    <row r="634">
      <c r="A634" s="14" t="str">
        <f>IFERROR(__xludf.DUMMYFUNCTION("""COMPUTED_VALUE"""),"O-20294-00")</f>
        <v>O-20294-00</v>
      </c>
      <c r="B634" s="14" t="str">
        <f>IFERROR(__xludf.DUMMYFUNCTION("""COMPUTED_VALUE"""),"Autoclave - Oring 70 x 59 x 5.5 mm Viton Custom/Lokal  -")</f>
        <v>Autoclave - Oring 70 x 59 x 5.5 mm Viton Custom/Lokal  -</v>
      </c>
      <c r="C634" s="14" t="str">
        <f>IFERROR(__xludf.DUMMYFUNCTION("""COMPUTED_VALUE"""),"O-20294-00")</f>
        <v>O-20294-00</v>
      </c>
    </row>
    <row r="635">
      <c r="A635" s="14" t="str">
        <f>IFERROR(__xludf.DUMMYFUNCTION("""COMPUTED_VALUE"""),"O-20296-00")</f>
        <v>O-20296-00</v>
      </c>
      <c r="B635" s="14" t="str">
        <f>IFERROR(__xludf.DUMMYFUNCTION("""COMPUTED_VALUE"""),"General - Rotating Pincer Pneumatik  SMC MRHQ20D-180S-DIN00358")</f>
        <v>General - Rotating Pincer Pneumatik  SMC MRHQ20D-180S-DIN00358</v>
      </c>
      <c r="C635" s="14" t="str">
        <f>IFERROR(__xludf.DUMMYFUNCTION("""COMPUTED_VALUE"""),"O-20296-00")</f>
        <v>O-20296-00</v>
      </c>
    </row>
    <row r="636">
      <c r="A636" s="14" t="str">
        <f>IFERROR(__xludf.DUMMYFUNCTION("""COMPUTED_VALUE"""),"O-20297-00")</f>
        <v>O-20297-00</v>
      </c>
      <c r="B636" s="14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4" t="str">
        <f>IFERROR(__xludf.DUMMYFUNCTION("""COMPUTED_VALUE"""),"O-20297-00")</f>
        <v>O-20297-00</v>
      </c>
    </row>
    <row r="637">
      <c r="A637" s="14" t="str">
        <f>IFERROR(__xludf.DUMMYFUNCTION("""COMPUTED_VALUE"""),"O-20298-00")</f>
        <v>O-20298-00</v>
      </c>
      <c r="B637" s="14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4" t="str">
        <f>IFERROR(__xludf.DUMMYFUNCTION("""COMPUTED_VALUE"""),"O-20298-00")</f>
        <v>O-20298-00</v>
      </c>
    </row>
    <row r="638">
      <c r="A638" s="14" t="str">
        <f>IFERROR(__xludf.DUMMYFUNCTION("""COMPUTED_VALUE"""),"O-20299-00")</f>
        <v>O-20299-00</v>
      </c>
      <c r="B638" s="14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4" t="str">
        <f>IFERROR(__xludf.DUMMYFUNCTION("""COMPUTED_VALUE"""),"O-20299-00")</f>
        <v>O-20299-00</v>
      </c>
    </row>
    <row r="639">
      <c r="A639" s="14" t="str">
        <f>IFERROR(__xludf.DUMMYFUNCTION("""COMPUTED_VALUE"""),"O-20300-00")</f>
        <v>O-20300-00</v>
      </c>
      <c r="B639" s="14" t="str">
        <f>IFERROR(__xludf.DUMMYFUNCTION("""COMPUTED_VALUE"""),"Mixing Tank - Tatakan Sampling Duran 200 70 x 110 x 40 mm Custom/Lokal  -")</f>
        <v>Mixing Tank - Tatakan Sampling Duran 200 70 x 110 x 40 mm Custom/Lokal  -</v>
      </c>
      <c r="C639" s="14" t="str">
        <f>IFERROR(__xludf.DUMMYFUNCTION("""COMPUTED_VALUE"""),"O-20300-00")</f>
        <v>O-20300-00</v>
      </c>
    </row>
    <row r="640">
      <c r="A640" s="14" t="str">
        <f>IFERROR(__xludf.DUMMYFUNCTION("""COMPUTED_VALUE"""),"O-20357-00")</f>
        <v>O-20357-00</v>
      </c>
      <c r="B640" s="14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4" t="str">
        <f>IFERROR(__xludf.DUMMYFUNCTION("""COMPUTED_VALUE"""),"O-20357-00")</f>
        <v>O-20357-00</v>
      </c>
    </row>
    <row r="641">
      <c r="A641" s="14" t="str">
        <f>IFERROR(__xludf.DUMMYFUNCTION("""COMPUTED_VALUE"""),"O-20396-00")</f>
        <v>O-20396-00</v>
      </c>
      <c r="B641" s="14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4" t="str">
        <f>IFERROR(__xludf.DUMMYFUNCTION("""COMPUTED_VALUE"""),"O-20396-00")</f>
        <v>O-20396-00</v>
      </c>
    </row>
    <row r="642">
      <c r="A642" s="14" t="str">
        <f>IFERROR(__xludf.DUMMYFUNCTION("""COMPUTED_VALUE"""),"O-20475-00")</f>
        <v>O-20475-00</v>
      </c>
      <c r="B642" s="14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4" t="str">
        <f>IFERROR(__xludf.DUMMYFUNCTION("""COMPUTED_VALUE"""),"O-20475-00")</f>
        <v>O-20475-00</v>
      </c>
    </row>
    <row r="643">
      <c r="A643" s="14" t="str">
        <f>IFERROR(__xludf.DUMMYFUNCTION("""COMPUTED_VALUE"""),"O-20484-00")</f>
        <v>O-20484-00</v>
      </c>
      <c r="B643" s="14" t="str">
        <f>IFERROR(__xludf.DUMMYFUNCTION("""COMPUTED_VALUE"""),"Mixing Tank Adam - Tray Kabel 30x50x1000 mm; Custom/Lokal; -; 1 Pc")</f>
        <v>Mixing Tank Adam - Tray Kabel 30x50x1000 mm; Custom/Lokal; -; 1 Pc</v>
      </c>
      <c r="C643" s="14" t="str">
        <f>IFERROR(__xludf.DUMMYFUNCTION("""COMPUTED_VALUE"""),"O-20484-00")</f>
        <v>O-20484-00</v>
      </c>
    </row>
    <row r="644">
      <c r="A644" s="14" t="str">
        <f>IFERROR(__xludf.DUMMYFUNCTION("""COMPUTED_VALUE"""),"O-20487-00")</f>
        <v>O-20487-00</v>
      </c>
      <c r="B644" s="14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4" t="str">
        <f>IFERROR(__xludf.DUMMYFUNCTION("""COMPUTED_VALUE"""),"O-20487-00")</f>
        <v>O-20487-00</v>
      </c>
    </row>
    <row r="645">
      <c r="A645" s="14" t="str">
        <f>IFERROR(__xludf.DUMMYFUNCTION("""COMPUTED_VALUE"""),"O-20489-00")</f>
        <v>O-20489-00</v>
      </c>
      <c r="B645" s="14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4" t="str">
        <f>IFERROR(__xludf.DUMMYFUNCTION("""COMPUTED_VALUE"""),"O-20489-00")</f>
        <v>O-20489-00</v>
      </c>
    </row>
    <row r="646">
      <c r="A646" s="14" t="str">
        <f>IFERROR(__xludf.DUMMYFUNCTION("""COMPUTED_VALUE"""),"O-20496-00")</f>
        <v>O-20496-00</v>
      </c>
      <c r="B646" s="14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4" t="str">
        <f>IFERROR(__xludf.DUMMYFUNCTION("""COMPUTED_VALUE"""),"O-20496-00")</f>
        <v>O-20496-00</v>
      </c>
    </row>
    <row r="647">
      <c r="A647" s="14" t="str">
        <f>IFERROR(__xludf.DUMMYFUNCTION("""COMPUTED_VALUE"""),"O-20498-00")</f>
        <v>O-20498-00</v>
      </c>
      <c r="B647" s="14" t="str">
        <f>IFERROR(__xludf.DUMMYFUNCTION("""COMPUTED_VALUE"""),"General - Gearbox Naik Turun Turet; Bonfiglioli; VF30 P 7 B3; 1 Pc")</f>
        <v>General - Gearbox Naik Turun Turet; Bonfiglioli; VF30 P 7 B3; 1 Pc</v>
      </c>
      <c r="C647" s="14" t="str">
        <f>IFERROR(__xludf.DUMMYFUNCTION("""COMPUTED_VALUE"""),"O-20498-00")</f>
        <v>O-20498-00</v>
      </c>
    </row>
    <row r="648">
      <c r="A648" s="14" t="str">
        <f>IFERROR(__xludf.DUMMYFUNCTION("""COMPUTED_VALUE"""),"O-20499-00")</f>
        <v>O-20499-00</v>
      </c>
      <c r="B648" s="14" t="str">
        <f>IFERROR(__xludf.DUMMYFUNCTION("""COMPUTED_VALUE"""),"General - Gearbox Caps Chute; Bonfiglioli; VF44 P 7 B3; 1 Pc")</f>
        <v>General - Gearbox Caps Chute; Bonfiglioli; VF44 P 7 B3; 1 Pc</v>
      </c>
      <c r="C648" s="14" t="str">
        <f>IFERROR(__xludf.DUMMYFUNCTION("""COMPUTED_VALUE"""),"O-20499-00")</f>
        <v>O-20499-00</v>
      </c>
    </row>
    <row r="649">
      <c r="A649" s="14" t="str">
        <f>IFERROR(__xludf.DUMMYFUNCTION("""COMPUTED_VALUE"""),"O-20500-00")</f>
        <v>O-20500-00</v>
      </c>
      <c r="B649" s="14" t="str">
        <f>IFERROR(__xludf.DUMMYFUNCTION("""COMPUTED_VALUE"""),"General - Main Motor Caping; Bonfiglioli; BE80B4; 1 Unit")</f>
        <v>General - Main Motor Caping; Bonfiglioli; BE80B4; 1 Unit</v>
      </c>
      <c r="C649" s="14" t="str">
        <f>IFERROR(__xludf.DUMMYFUNCTION("""COMPUTED_VALUE"""),"O-20500-00")</f>
        <v>O-20500-00</v>
      </c>
    </row>
    <row r="650">
      <c r="A650" s="14" t="str">
        <f>IFERROR(__xludf.DUMMYFUNCTION("""COMPUTED_VALUE"""),"O-20501-00")</f>
        <v>O-20501-00</v>
      </c>
      <c r="B650" s="14" t="str">
        <f>IFERROR(__xludf.DUMMYFUNCTION("""COMPUTED_VALUE"""),"General - Gearbox Washing; Bonfiglioli; VF44 A 60 B5 B3; 1 Unit")</f>
        <v>General - Gearbox Washing; Bonfiglioli; VF44 A 60 B5 B3; 1 Unit</v>
      </c>
      <c r="C650" s="14" t="str">
        <f>IFERROR(__xludf.DUMMYFUNCTION("""COMPUTED_VALUE"""),"O-20501-00")</f>
        <v>O-20501-00</v>
      </c>
    </row>
    <row r="651">
      <c r="A651" s="14" t="str">
        <f>IFERROR(__xludf.DUMMYFUNCTION("""COMPUTED_VALUE"""),"O-20502-00")</f>
        <v>O-20502-00</v>
      </c>
      <c r="B651" s="14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4" t="str">
        <f>IFERROR(__xludf.DUMMYFUNCTION("""COMPUTED_VALUE"""),"O-20502-00")</f>
        <v>O-20502-00</v>
      </c>
    </row>
    <row r="652">
      <c r="A652" s="14" t="str">
        <f>IFERROR(__xludf.DUMMYFUNCTION("""COMPUTED_VALUE"""),"O-20503-00")</f>
        <v>O-20503-00</v>
      </c>
      <c r="B652" s="14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4" t="str">
        <f>IFERROR(__xludf.DUMMYFUNCTION("""COMPUTED_VALUE"""),"O-20503-00")</f>
        <v>O-20503-00</v>
      </c>
    </row>
    <row r="653">
      <c r="A653" s="14" t="str">
        <f>IFERROR(__xludf.DUMMYFUNCTION("""COMPUTED_VALUE"""),"O-20504-00")</f>
        <v>O-20504-00</v>
      </c>
      <c r="B653" s="14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4" t="str">
        <f>IFERROR(__xludf.DUMMYFUNCTION("""COMPUTED_VALUE"""),"O-20504-00")</f>
        <v>O-20504-00</v>
      </c>
    </row>
    <row r="654">
      <c r="A654" s="14" t="str">
        <f>IFERROR(__xludf.DUMMYFUNCTION("""COMPUTED_VALUE"""),"O-20505-00")</f>
        <v>O-20505-00</v>
      </c>
      <c r="B654" s="14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4" t="str">
        <f>IFERROR(__xludf.DUMMYFUNCTION("""COMPUTED_VALUE"""),"O-20505-00")</f>
        <v>O-20505-00</v>
      </c>
    </row>
    <row r="655">
      <c r="A655" s="14" t="str">
        <f>IFERROR(__xludf.DUMMYFUNCTION("""COMPUTED_VALUE"""),"O-20506-00")</f>
        <v>O-20506-00</v>
      </c>
      <c r="B655" s="14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4" t="str">
        <f>IFERROR(__xludf.DUMMYFUNCTION("""COMPUTED_VALUE"""),"O-20506-00")</f>
        <v>O-20506-00</v>
      </c>
    </row>
    <row r="656">
      <c r="A656" s="14" t="str">
        <f>IFERROR(__xludf.DUMMYFUNCTION("""COMPUTED_VALUE"""),"O-20552-00")</f>
        <v>O-20552-00</v>
      </c>
      <c r="B656" s="14" t="str">
        <f>IFERROR(__xludf.DUMMYFUNCTION("""COMPUTED_VALUE"""),"Marchesini MA155 - Toothed Belt 240 L 075 GUK; -; M660010218; 1 Pc")</f>
        <v>Marchesini MA155 - Toothed Belt 240 L 075 GUK; -; M660010218; 1 Pc</v>
      </c>
      <c r="C656" s="14" t="str">
        <f>IFERROR(__xludf.DUMMYFUNCTION("""COMPUTED_VALUE"""),"O-20552-00")</f>
        <v>O-20552-00</v>
      </c>
    </row>
    <row r="657">
      <c r="A657" s="14" t="str">
        <f>IFERROR(__xludf.DUMMYFUNCTION("""COMPUTED_VALUE"""),"O-20553-00")</f>
        <v>O-20553-00</v>
      </c>
      <c r="B657" s="14" t="str">
        <f>IFERROR(__xludf.DUMMYFUNCTION("""COMPUTED_VALUE"""),"Marchesini MA155 - Toothed Belt 390 L 050; -; C261390050; 1 Pc")</f>
        <v>Marchesini MA155 - Toothed Belt 390 L 050; -; C261390050; 1 Pc</v>
      </c>
      <c r="C657" s="14" t="str">
        <f>IFERROR(__xludf.DUMMYFUNCTION("""COMPUTED_VALUE"""),"O-20553-00")</f>
        <v>O-20553-00</v>
      </c>
    </row>
    <row r="658">
      <c r="A658" s="14" t="str">
        <f>IFERROR(__xludf.DUMMYFUNCTION("""COMPUTED_VALUE"""),"O-20554-00")</f>
        <v>O-20554-00</v>
      </c>
      <c r="B658" s="14" t="str">
        <f>IFERROR(__xludf.DUMMYFUNCTION("""COMPUTED_VALUE"""),"Marchesini MA155 - Spring Plate 21.4.0.1/0.368; -; M660010070; 1 Pc")</f>
        <v>Marchesini MA155 - Spring Plate 21.4.0.1/0.368; -; M660010070; 1 Pc</v>
      </c>
      <c r="C658" s="14" t="str">
        <f>IFERROR(__xludf.DUMMYFUNCTION("""COMPUTED_VALUE"""),"O-20554-00")</f>
        <v>O-20554-00</v>
      </c>
    </row>
    <row r="659">
      <c r="A659" s="14" t="str">
        <f>IFERROR(__xludf.DUMMYFUNCTION("""COMPUTED_VALUE"""),"O-20555-00")</f>
        <v>O-20555-00</v>
      </c>
      <c r="B659" s="14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4" t="str">
        <f>IFERROR(__xludf.DUMMYFUNCTION("""COMPUTED_VALUE"""),"O-20555-00")</f>
        <v>O-20555-00</v>
      </c>
    </row>
    <row r="660">
      <c r="A660" s="14" t="str">
        <f>IFERROR(__xludf.DUMMYFUNCTION("""COMPUTED_VALUE"""),"O-20556-00")</f>
        <v>O-20556-00</v>
      </c>
      <c r="B660" s="14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4" t="str">
        <f>IFERROR(__xludf.DUMMYFUNCTION("""COMPUTED_VALUE"""),"O-20556-00")</f>
        <v>O-20556-00</v>
      </c>
    </row>
    <row r="661">
      <c r="A661" s="14" t="str">
        <f>IFERROR(__xludf.DUMMYFUNCTION("""COMPUTED_VALUE"""),"O-20557-00")</f>
        <v>O-20557-00</v>
      </c>
      <c r="B661" s="14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4" t="str">
        <f>IFERROR(__xludf.DUMMYFUNCTION("""COMPUTED_VALUE"""),"O-20557-00")</f>
        <v>O-20557-00</v>
      </c>
    </row>
    <row r="662">
      <c r="A662" s="14" t="str">
        <f>IFERROR(__xludf.DUMMYFUNCTION("""COMPUTED_VALUE"""),"O-20558-00")</f>
        <v>O-20558-00</v>
      </c>
      <c r="B662" s="14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4" t="str">
        <f>IFERROR(__xludf.DUMMYFUNCTION("""COMPUTED_VALUE"""),"O-20558-00")</f>
        <v>O-20558-00</v>
      </c>
    </row>
    <row r="663">
      <c r="A663" s="14" t="str">
        <f>IFERROR(__xludf.DUMMYFUNCTION("""COMPUTED_VALUE"""),"O-20559-00")</f>
        <v>O-20559-00</v>
      </c>
      <c r="B663" s="14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4" t="str">
        <f>IFERROR(__xludf.DUMMYFUNCTION("""COMPUTED_VALUE"""),"O-20559-00")</f>
        <v>O-20559-00</v>
      </c>
    </row>
    <row r="664">
      <c r="A664" s="14" t="str">
        <f>IFERROR(__xludf.DUMMYFUNCTION("""COMPUTED_VALUE"""),"O-20624-00")</f>
        <v>O-20624-00</v>
      </c>
      <c r="B664" s="14" t="str">
        <f>IFERROR(__xludf.DUMMYFUNCTION("""COMPUTED_VALUE"""),"Baut L SS304 M6x10mm + Nut; ; ;")</f>
        <v>Baut L SS304 M6x10mm + Nut; ; ;</v>
      </c>
      <c r="C664" s="14" t="str">
        <f>IFERROR(__xludf.DUMMYFUNCTION("""COMPUTED_VALUE"""),"O-20624-00")</f>
        <v>O-20624-00</v>
      </c>
    </row>
    <row r="665">
      <c r="A665" s="14" t="str">
        <f>IFERROR(__xludf.DUMMYFUNCTION("""COMPUTED_VALUE"""),"O-20626-00")</f>
        <v>O-20626-00</v>
      </c>
      <c r="B665" s="14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4" t="str">
        <f>IFERROR(__xludf.DUMMYFUNCTION("""COMPUTED_VALUE"""),"O-20626-00")</f>
        <v>O-20626-00</v>
      </c>
    </row>
    <row r="666">
      <c r="A666" s="14" t="str">
        <f>IFERROR(__xludf.DUMMYFUNCTION("""COMPUTED_VALUE"""),"O-20645-00")</f>
        <v>O-20645-00</v>
      </c>
      <c r="B666" s="14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4" t="str">
        <f>IFERROR(__xludf.DUMMYFUNCTION("""COMPUTED_VALUE"""),"O-20645-00")</f>
        <v>O-20645-00</v>
      </c>
    </row>
    <row r="667">
      <c r="A667" s="14" t="str">
        <f>IFERROR(__xludf.DUMMYFUNCTION("""COMPUTED_VALUE"""),"O-20646-00")</f>
        <v>O-20646-00</v>
      </c>
      <c r="B667" s="14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4" t="str">
        <f>IFERROR(__xludf.DUMMYFUNCTION("""COMPUTED_VALUE"""),"O-20646-00")</f>
        <v>O-20646-00</v>
      </c>
    </row>
    <row r="668">
      <c r="A668" s="14" t="str">
        <f>IFERROR(__xludf.DUMMYFUNCTION("""COMPUTED_VALUE"""),"O-20647-00")</f>
        <v>O-20647-00</v>
      </c>
      <c r="B668" s="14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4" t="str">
        <f>IFERROR(__xludf.DUMMYFUNCTION("""COMPUTED_VALUE"""),"O-20647-00")</f>
        <v>O-20647-00</v>
      </c>
    </row>
    <row r="669">
      <c r="A669" s="14" t="str">
        <f>IFERROR(__xludf.DUMMYFUNCTION("""COMPUTED_VALUE"""),"O-20648-00")</f>
        <v>O-20648-00</v>
      </c>
      <c r="B669" s="14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4" t="str">
        <f>IFERROR(__xludf.DUMMYFUNCTION("""COMPUTED_VALUE"""),"O-20648-00")</f>
        <v>O-20648-00</v>
      </c>
    </row>
    <row r="670">
      <c r="A670" s="14" t="str">
        <f>IFERROR(__xludf.DUMMYFUNCTION("""COMPUTED_VALUE"""),"O-20649-00")</f>
        <v>O-20649-00</v>
      </c>
      <c r="B670" s="14" t="str">
        <f>IFERROR(__xludf.DUMMYFUNCTION("""COMPUTED_VALUE"""),"Integrated Granulation Line - Housing Seal MC DN 100")</f>
        <v>Integrated Granulation Line - Housing Seal MC DN 100</v>
      </c>
      <c r="C670" s="14" t="str">
        <f>IFERROR(__xludf.DUMMYFUNCTION("""COMPUTED_VALUE"""),"O-20649-00")</f>
        <v>O-20649-00</v>
      </c>
    </row>
    <row r="671">
      <c r="A671" s="14" t="str">
        <f>IFERROR(__xludf.DUMMYFUNCTION("""COMPUTED_VALUE"""),"O-20650-00")</f>
        <v>O-20650-00</v>
      </c>
      <c r="B671" s="14" t="str">
        <f>IFERROR(__xludf.DUMMYFUNCTION("""COMPUTED_VALUE"""),"Integrated Granulation Line - Flap Disc Seal MC DN100 (2.M10.0110X)")</f>
        <v>Integrated Granulation Line - Flap Disc Seal MC DN100 (2.M10.0110X)</v>
      </c>
      <c r="C671" s="14" t="str">
        <f>IFERROR(__xludf.DUMMYFUNCTION("""COMPUTED_VALUE"""),"O-20650-00")</f>
        <v>O-20650-00</v>
      </c>
    </row>
    <row r="672">
      <c r="A672" s="14" t="str">
        <f>IFERROR(__xludf.DUMMYFUNCTION("""COMPUTED_VALUE"""),"O-20651-00")</f>
        <v>O-20651-00</v>
      </c>
      <c r="B672" s="14" t="str">
        <f>IFERROR(__xludf.DUMMYFUNCTION("""COMPUTED_VALUE"""),"Integrated Granulation Line - Collar HC100")</f>
        <v>Integrated Granulation Line - Collar HC100</v>
      </c>
      <c r="C672" s="14" t="str">
        <f>IFERROR(__xludf.DUMMYFUNCTION("""COMPUTED_VALUE"""),"O-20651-00")</f>
        <v>O-20651-00</v>
      </c>
    </row>
    <row r="673">
      <c r="A673" s="14" t="str">
        <f>IFERROR(__xludf.DUMMYFUNCTION("""COMPUTED_VALUE"""),"O-20652-00")</f>
        <v>O-20652-00</v>
      </c>
      <c r="B673" s="14" t="str">
        <f>IFERROR(__xludf.DUMMYFUNCTION("""COMPUTED_VALUE"""),"Integrated Granulation Line - Blowback Cone Seal PTFE")</f>
        <v>Integrated Granulation Line - Blowback Cone Seal PTFE</v>
      </c>
      <c r="C673" s="14" t="str">
        <f>IFERROR(__xludf.DUMMYFUNCTION("""COMPUTED_VALUE"""),"O-20652-00")</f>
        <v>O-20652-00</v>
      </c>
    </row>
    <row r="674">
      <c r="A674" s="14" t="str">
        <f>IFERROR(__xludf.DUMMYFUNCTION("""COMPUTED_VALUE"""),"O-20726-00")</f>
        <v>O-20726-00</v>
      </c>
      <c r="B674" s="14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4" t="str">
        <f>IFERROR(__xludf.DUMMYFUNCTION("""COMPUTED_VALUE"""),"O-20726-00")</f>
        <v>O-20726-00</v>
      </c>
    </row>
    <row r="675">
      <c r="A675" s="14" t="str">
        <f>IFERROR(__xludf.DUMMYFUNCTION("""COMPUTED_VALUE"""),"O-20727-00")</f>
        <v>O-20727-00</v>
      </c>
      <c r="B675" s="14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4" t="str">
        <f>IFERROR(__xludf.DUMMYFUNCTION("""COMPUTED_VALUE"""),"O-20727-00")</f>
        <v>O-20727-00</v>
      </c>
    </row>
    <row r="676">
      <c r="A676" s="14" t="str">
        <f>IFERROR(__xludf.DUMMYFUNCTION("""COMPUTED_VALUE"""),"O-20728-00")</f>
        <v>O-20728-00</v>
      </c>
      <c r="B676" s="14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4" t="str">
        <f>IFERROR(__xludf.DUMMYFUNCTION("""COMPUTED_VALUE"""),"O-20728-00")</f>
        <v>O-20728-00</v>
      </c>
    </row>
    <row r="677">
      <c r="A677" s="14" t="str">
        <f>IFERROR(__xludf.DUMMYFUNCTION("""COMPUTED_VALUE"""),"O-20746-00")</f>
        <v>O-20746-00</v>
      </c>
      <c r="B677" s="14" t="str">
        <f>IFERROR(__xludf.DUMMYFUNCTION("""COMPUTED_VALUE"""),"Autoclave FOF5/9A - Oring Silicone 1.7x11x15 mm; Custom/Lokal; -; 1 Pc")</f>
        <v>Autoclave FOF5/9A - Oring Silicone 1.7x11x15 mm; Custom/Lokal; -; 1 Pc</v>
      </c>
      <c r="C677" s="14" t="str">
        <f>IFERROR(__xludf.DUMMYFUNCTION("""COMPUTED_VALUE"""),"O-20746-00")</f>
        <v>O-20746-00</v>
      </c>
    </row>
    <row r="678">
      <c r="A678" s="14" t="str">
        <f>IFERROR(__xludf.DUMMYFUNCTION("""COMPUTED_VALUE"""),"O-20747-00")</f>
        <v>O-20747-00</v>
      </c>
      <c r="B678" s="14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4" t="str">
        <f>IFERROR(__xludf.DUMMYFUNCTION("""COMPUTED_VALUE"""),"O-20747-00")</f>
        <v>O-20747-00</v>
      </c>
    </row>
    <row r="679">
      <c r="A679" s="14" t="str">
        <f>IFERROR(__xludf.DUMMYFUNCTION("""COMPUTED_VALUE"""),"O-20748-00")</f>
        <v>O-20748-00</v>
      </c>
      <c r="B679" s="14" t="str">
        <f>IFERROR(__xludf.DUMMYFUNCTION("""COMPUTED_VALUE"""),"cRABS Z064CR - Cabinet Handle ENUX RAL 9005; Steriline; 1135571; 1 Pc")</f>
        <v>cRABS Z064CR - Cabinet Handle ENUX RAL 9005; Steriline; 1135571; 1 Pc</v>
      </c>
      <c r="C679" s="14" t="str">
        <f>IFERROR(__xludf.DUMMYFUNCTION("""COMPUTED_VALUE"""),"O-20748-00")</f>
        <v>O-20748-00</v>
      </c>
    </row>
    <row r="680">
      <c r="A680" s="14" t="str">
        <f>IFERROR(__xludf.DUMMYFUNCTION("""COMPUTED_VALUE"""),"O-20749-00")</f>
        <v>O-20749-00</v>
      </c>
      <c r="B680" s="14" t="str">
        <f>IFERROR(__xludf.DUMMYFUNCTION("""COMPUTED_VALUE"""),"General - Grease EP2 16 KG; Mobilux; -; 1 Pail = 16 Kg")</f>
        <v>General - Grease EP2 16 KG; Mobilux; -; 1 Pail = 16 Kg</v>
      </c>
      <c r="C680" s="14" t="str">
        <f>IFERROR(__xludf.DUMMYFUNCTION("""COMPUTED_VALUE"""),"O-20749-00")</f>
        <v>O-20749-00</v>
      </c>
    </row>
    <row r="681">
      <c r="A681" s="14" t="str">
        <f>IFERROR(__xludf.DUMMYFUNCTION("""COMPUTED_VALUE"""),"O-20750-00")</f>
        <v>O-20750-00</v>
      </c>
      <c r="B681" s="14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4" t="str">
        <f>IFERROR(__xludf.DUMMYFUNCTION("""COMPUTED_VALUE"""),"O-20750-00")</f>
        <v>O-20750-00</v>
      </c>
    </row>
    <row r="682">
      <c r="A682" s="14" t="str">
        <f>IFERROR(__xludf.DUMMYFUNCTION("""COMPUTED_VALUE"""),"O-20751-00")</f>
        <v>O-20751-00</v>
      </c>
      <c r="B682" s="14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4" t="str">
        <f>IFERROR(__xludf.DUMMYFUNCTION("""COMPUTED_VALUE"""),"O-20751-00")</f>
        <v>O-20751-00</v>
      </c>
    </row>
    <row r="683">
      <c r="A683" s="14" t="str">
        <f>IFERROR(__xludf.DUMMYFUNCTION("""COMPUTED_VALUE"""),"O-20814-00")</f>
        <v>O-20814-00</v>
      </c>
      <c r="B683" s="14" t="str">
        <f>IFERROR(__xludf.DUMMYFUNCTION("""COMPUTED_VALUE"""),"General - Spring Tekan Dia 2.5 x 15.5 x 71.3 mm, Mat. Steel; -; -; 1 Pc")</f>
        <v>General - Spring Tekan Dia 2.5 x 15.5 x 71.3 mm, Mat. Steel; -; -; 1 Pc</v>
      </c>
      <c r="C683" s="14" t="str">
        <f>IFERROR(__xludf.DUMMYFUNCTION("""COMPUTED_VALUE"""),"O-20814-00")</f>
        <v>O-20814-00</v>
      </c>
    </row>
    <row r="684">
      <c r="A684" s="14" t="str">
        <f>IFERROR(__xludf.DUMMYFUNCTION("""COMPUTED_VALUE"""),"O-20841-00")</f>
        <v>O-20841-00</v>
      </c>
      <c r="B684" s="14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4" t="str">
        <f>IFERROR(__xludf.DUMMYFUNCTION("""COMPUTED_VALUE"""),"O-20841-00")</f>
        <v>O-20841-00</v>
      </c>
    </row>
    <row r="685">
      <c r="A685" s="14" t="str">
        <f>IFERROR(__xludf.DUMMYFUNCTION("""COMPUTED_VALUE"""),"O-20842-00")</f>
        <v>O-20842-00</v>
      </c>
      <c r="B685" s="14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4" t="str">
        <f>IFERROR(__xludf.DUMMYFUNCTION("""COMPUTED_VALUE"""),"O-20842-00")</f>
        <v>O-20842-00</v>
      </c>
    </row>
    <row r="686">
      <c r="A686" s="14" t="str">
        <f>IFERROR(__xludf.DUMMYFUNCTION("""COMPUTED_VALUE"""),"O-20843-00")</f>
        <v>O-20843-00</v>
      </c>
      <c r="B686" s="14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4" t="str">
        <f>IFERROR(__xludf.DUMMYFUNCTION("""COMPUTED_VALUE"""),"O-20843-00")</f>
        <v>O-20843-00</v>
      </c>
    </row>
    <row r="687">
      <c r="A687" s="14" t="str">
        <f>IFERROR(__xludf.DUMMYFUNCTION("""COMPUTED_VALUE"""),"O-20857-00")</f>
        <v>O-20857-00</v>
      </c>
      <c r="B687" s="14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4" t="str">
        <f>IFERROR(__xludf.DUMMYFUNCTION("""COMPUTED_VALUE"""),"O-20857-00")</f>
        <v>O-20857-00</v>
      </c>
    </row>
    <row r="688">
      <c r="A688" s="14" t="str">
        <f>IFERROR(__xludf.DUMMYFUNCTION("""COMPUTED_VALUE"""),"O-20859-00")</f>
        <v>O-20859-00</v>
      </c>
      <c r="B688" s="14" t="str">
        <f>IFERROR(__xludf.DUMMYFUNCTION("""COMPUTED_VALUE"""),"Marchesini MA155 - Leaflet Gripper; Marchesini; A920000005; 1 Pc")</f>
        <v>Marchesini MA155 - Leaflet Gripper; Marchesini; A920000005; 1 Pc</v>
      </c>
      <c r="C688" s="14" t="str">
        <f>IFERROR(__xludf.DUMMYFUNCTION("""COMPUTED_VALUE"""),"O-20859-00")</f>
        <v>O-20859-00</v>
      </c>
    </row>
    <row r="689">
      <c r="A689" s="14" t="str">
        <f>IFERROR(__xludf.DUMMYFUNCTION("""COMPUTED_VALUE"""),"O-20895-00")</f>
        <v>O-20895-00</v>
      </c>
      <c r="B689" s="14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4" t="str">
        <f>IFERROR(__xludf.DUMMYFUNCTION("""COMPUTED_VALUE"""),"O-20895-00")</f>
        <v>O-20895-00</v>
      </c>
    </row>
    <row r="690">
      <c r="A690" s="14" t="str">
        <f>IFERROR(__xludf.DUMMYFUNCTION("""COMPUTED_VALUE"""),"O-20896-00")</f>
        <v>O-20896-00</v>
      </c>
      <c r="B690" s="14" t="str">
        <f>IFERROR(__xludf.DUMMYFUNCTION("""COMPUTED_VALUE"""),"Isolator - Silicon Tube Pump 913.A016.016; SKAN; 1002902; 1 Pc")</f>
        <v>Isolator - Silicon Tube Pump 913.A016.016; SKAN; 1002902; 1 Pc</v>
      </c>
      <c r="C690" s="14" t="str">
        <f>IFERROR(__xludf.DUMMYFUNCTION("""COMPUTED_VALUE"""),"O-20896-00")</f>
        <v>O-20896-00</v>
      </c>
    </row>
    <row r="691">
      <c r="A691" s="14" t="str">
        <f>IFERROR(__xludf.DUMMYFUNCTION("""COMPUTED_VALUE"""),"O-20897-00")</f>
        <v>O-20897-00</v>
      </c>
      <c r="B691" s="14" t="str">
        <f>IFERROR(__xludf.DUMMYFUNCTION("""COMPUTED_VALUE"""),"Capping VCM200 - Oring Silicone 2.5 x 30.50 x 30.50; Custom/Lokal; -; 1 Pc")</f>
        <v>Capping VCM200 - Oring Silicone 2.5 x 30.50 x 30.50; Custom/Lokal; -; 1 Pc</v>
      </c>
      <c r="C691" s="14" t="str">
        <f>IFERROR(__xludf.DUMMYFUNCTION("""COMPUTED_VALUE"""),"O-20897-00")</f>
        <v>O-20897-00</v>
      </c>
    </row>
    <row r="692">
      <c r="A692" s="14" t="str">
        <f>IFERROR(__xludf.DUMMYFUNCTION("""COMPUTED_VALUE"""),"O-20903-00")</f>
        <v>O-20903-00</v>
      </c>
      <c r="B692" s="14" t="str">
        <f>IFERROR(__xludf.DUMMYFUNCTION("""COMPUTED_VALUE"""),"Filling VFM100 - Base Plate Loadcell 163.5x28x4mm; Custom/Lokal; -; 1 Pc")</f>
        <v>Filling VFM100 - Base Plate Loadcell 163.5x28x4mm; Custom/Lokal; -; 1 Pc</v>
      </c>
      <c r="C692" s="14" t="str">
        <f>IFERROR(__xludf.DUMMYFUNCTION("""COMPUTED_VALUE"""),"O-20903-00")</f>
        <v>O-20903-00</v>
      </c>
    </row>
    <row r="693">
      <c r="A693" s="14" t="str">
        <f>IFERROR(__xludf.DUMMYFUNCTION("""COMPUTED_VALUE"""),"O-20904-00")</f>
        <v>O-20904-00</v>
      </c>
      <c r="B693" s="14" t="str">
        <f>IFERROR(__xludf.DUMMYFUNCTION("""COMPUTED_VALUE"""),"Filling VFM100 - Adapter Loadcell 30x30x4mm; Custom/Lokal; -; 1 Pc")</f>
        <v>Filling VFM100 - Adapter Loadcell 30x30x4mm; Custom/Lokal; -; 1 Pc</v>
      </c>
      <c r="C693" s="14" t="str">
        <f>IFERROR(__xludf.DUMMYFUNCTION("""COMPUTED_VALUE"""),"O-20904-00")</f>
        <v>O-20904-00</v>
      </c>
    </row>
    <row r="694">
      <c r="A694" s="14" t="str">
        <f>IFERROR(__xludf.DUMMYFUNCTION("""COMPUTED_VALUE"""),"O-20905-00")</f>
        <v>O-20905-00</v>
      </c>
      <c r="B694" s="14" t="str">
        <f>IFERROR(__xludf.DUMMYFUNCTION("""COMPUTED_VALUE"""),"Filling VFM100 - Dudukan Piringan 30x14x9mm; Custom/Lokal; -; 1 Pc")</f>
        <v>Filling VFM100 - Dudukan Piringan 30x14x9mm; Custom/Lokal; -; 1 Pc</v>
      </c>
      <c r="C694" s="14" t="str">
        <f>IFERROR(__xludf.DUMMYFUNCTION("""COMPUTED_VALUE"""),"O-20905-00")</f>
        <v>O-20905-00</v>
      </c>
    </row>
    <row r="695">
      <c r="A695" s="14" t="str">
        <f>IFERROR(__xludf.DUMMYFUNCTION("""COMPUTED_VALUE"""),"O-20910-00")</f>
        <v>O-20910-00</v>
      </c>
      <c r="B695" s="14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4" t="str">
        <f>IFERROR(__xludf.DUMMYFUNCTION("""COMPUTED_VALUE"""),"O-20910-00")</f>
        <v>O-20910-00</v>
      </c>
    </row>
    <row r="696">
      <c r="A696" s="14" t="str">
        <f>IFERROR(__xludf.DUMMYFUNCTION("""COMPUTED_VALUE"""),"O-20911-00")</f>
        <v>O-20911-00</v>
      </c>
      <c r="B696" s="14" t="str">
        <f>IFERROR(__xludf.DUMMYFUNCTION("""COMPUTED_VALUE"""),"Capping VCM200 - Format Part 6R Uk 15x275x478; Custom/Lokal; -; 1 Pc")</f>
        <v>Capping VCM200 - Format Part 6R Uk 15x275x478; Custom/Lokal; -; 1 Pc</v>
      </c>
      <c r="C696" s="14" t="str">
        <f>IFERROR(__xludf.DUMMYFUNCTION("""COMPUTED_VALUE"""),"O-20911-00")</f>
        <v>O-20911-00</v>
      </c>
    </row>
    <row r="697">
      <c r="A697" s="14" t="str">
        <f>IFERROR(__xludf.DUMMYFUNCTION("""COMPUTED_VALUE"""),"O-20912-00")</f>
        <v>O-20912-00</v>
      </c>
      <c r="B697" s="14" t="str">
        <f>IFERROR(__xludf.DUMMYFUNCTION("""COMPUTED_VALUE"""),"Capping VCM200 - Format Part 10R Uk 20x275x478; Custom/Lokal; -; 1 Pc")</f>
        <v>Capping VCM200 - Format Part 10R Uk 20x275x478; Custom/Lokal; -; 1 Pc</v>
      </c>
      <c r="C697" s="14" t="str">
        <f>IFERROR(__xludf.DUMMYFUNCTION("""COMPUTED_VALUE"""),"O-20912-00")</f>
        <v>O-20912-00</v>
      </c>
    </row>
    <row r="698">
      <c r="A698" s="14" t="str">
        <f>IFERROR(__xludf.DUMMYFUNCTION("""COMPUTED_VALUE"""),"O-20913-00")</f>
        <v>O-20913-00</v>
      </c>
      <c r="B698" s="14" t="str">
        <f>IFERROR(__xludf.DUMMYFUNCTION("""COMPUTED_VALUE"""),"General - Air Gripper; SMC; MHZJ2 20DS X43 X81B; 1 Pc")</f>
        <v>General - Air Gripper; SMC; MHZJ2 20DS X43 X81B; 1 Pc</v>
      </c>
      <c r="C698" s="14" t="str">
        <f>IFERROR(__xludf.DUMMYFUNCTION("""COMPUTED_VALUE"""),"O-20913-00")</f>
        <v>O-20913-00</v>
      </c>
    </row>
    <row r="699">
      <c r="A699" s="14" t="str">
        <f>IFERROR(__xludf.DUMMYFUNCTION("""COMPUTED_VALUE"""),"O-20918-00")</f>
        <v>O-20918-00</v>
      </c>
      <c r="B699" s="14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4" t="str">
        <f>IFERROR(__xludf.DUMMYFUNCTION("""COMPUTED_VALUE"""),"O-20918-00")</f>
        <v>O-20918-00</v>
      </c>
    </row>
    <row r="700">
      <c r="A700" s="14" t="str">
        <f>IFERROR(__xludf.DUMMYFUNCTION("""COMPUTED_VALUE"""),"O-20950-00")</f>
        <v>O-20950-00</v>
      </c>
      <c r="B700" s="14" t="str">
        <f>IFERROR(__xludf.DUMMYFUNCTION("""COMPUTED_VALUE"""),"Capping VCM200 - Silicone Sucker 01.10.10; Steriline; 201119; 1 Pc")</f>
        <v>Capping VCM200 - Silicone Sucker 01.10.10; Steriline; 201119; 1 Pc</v>
      </c>
      <c r="C700" s="14" t="str">
        <f>IFERROR(__xludf.DUMMYFUNCTION("""COMPUTED_VALUE"""),"O-20950-00")</f>
        <v>O-20950-00</v>
      </c>
    </row>
    <row r="701">
      <c r="A701" s="14" t="str">
        <f>IFERROR(__xludf.DUMMYFUNCTION("""COMPUTED_VALUE"""),"O-20951-00")</f>
        <v>O-20951-00</v>
      </c>
      <c r="B701" s="14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4" t="str">
        <f>IFERROR(__xludf.DUMMYFUNCTION("""COMPUTED_VALUE"""),"O-20951-00")</f>
        <v>O-20951-00</v>
      </c>
    </row>
    <row r="702">
      <c r="A702" s="14" t="str">
        <f>IFERROR(__xludf.DUMMYFUNCTION("""COMPUTED_VALUE"""),"O-20952-00")</f>
        <v>O-20952-00</v>
      </c>
      <c r="B702" s="14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4" t="str">
        <f>IFERROR(__xludf.DUMMYFUNCTION("""COMPUTED_VALUE"""),"O-20952-00")</f>
        <v>O-20952-00</v>
      </c>
    </row>
    <row r="703">
      <c r="A703" s="14" t="str">
        <f>IFERROR(__xludf.DUMMYFUNCTION("""COMPUTED_VALUE"""),"O-20953-00")</f>
        <v>O-20953-00</v>
      </c>
      <c r="B703" s="14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4" t="str">
        <f>IFERROR(__xludf.DUMMYFUNCTION("""COMPUTED_VALUE"""),"O-20953-00")</f>
        <v>O-20953-00</v>
      </c>
    </row>
    <row r="704">
      <c r="A704" s="14" t="str">
        <f>IFERROR(__xludf.DUMMYFUNCTION("""COMPUTED_VALUE"""),"O-20982-00")</f>
        <v>O-20982-00</v>
      </c>
      <c r="B704" s="14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4" t="str">
        <f>IFERROR(__xludf.DUMMYFUNCTION("""COMPUTED_VALUE"""),"O-20982-00")</f>
        <v>O-20982-00</v>
      </c>
    </row>
    <row r="705">
      <c r="A705" s="14" t="str">
        <f>IFERROR(__xludf.DUMMYFUNCTION("""COMPUTED_VALUE"""),"O-20983-00")</f>
        <v>O-20983-00</v>
      </c>
      <c r="B705" s="14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4" t="str">
        <f>IFERROR(__xludf.DUMMYFUNCTION("""COMPUTED_VALUE"""),"O-20983-00")</f>
        <v>O-20983-00</v>
      </c>
    </row>
    <row r="706">
      <c r="A706" s="14" t="str">
        <f>IFERROR(__xludf.DUMMYFUNCTION("""COMPUTED_VALUE"""),"O-20992-00")</f>
        <v>O-20992-00</v>
      </c>
      <c r="B706" s="14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4" t="str">
        <f>IFERROR(__xludf.DUMMYFUNCTION("""COMPUTED_VALUE"""),"O-20992-00")</f>
        <v>O-20992-00</v>
      </c>
    </row>
    <row r="707">
      <c r="A707" s="14" t="str">
        <f>IFERROR(__xludf.DUMMYFUNCTION("""COMPUTED_VALUE"""),"O-20993-00")</f>
        <v>O-20993-00</v>
      </c>
      <c r="B707" s="14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4" t="str">
        <f>IFERROR(__xludf.DUMMYFUNCTION("""COMPUTED_VALUE"""),"O-20993-00")</f>
        <v>O-20993-00</v>
      </c>
    </row>
    <row r="708">
      <c r="A708" s="14" t="str">
        <f>IFERROR(__xludf.DUMMYFUNCTION("""COMPUTED_VALUE"""),"O-21007-00")</f>
        <v>O-21007-00</v>
      </c>
      <c r="B708" s="14" t="str">
        <f>IFERROR(__xludf.DUMMYFUNCTION("""COMPUTED_VALUE"""),"Filling VFM100 - Handle Manual Valve Hexagon 60x27; Custom/Lokal; -; 1 Pc")</f>
        <v>Filling VFM100 - Handle Manual Valve Hexagon 60x27; Custom/Lokal; -; 1 Pc</v>
      </c>
      <c r="C708" s="14" t="str">
        <f>IFERROR(__xludf.DUMMYFUNCTION("""COMPUTED_VALUE"""),"O-21007-00")</f>
        <v>O-21007-00</v>
      </c>
    </row>
    <row r="709">
      <c r="A709" s="14" t="str">
        <f>IFERROR(__xludf.DUMMYFUNCTION("""COMPUTED_VALUE"""),"O-21031-00")</f>
        <v>O-21031-00</v>
      </c>
      <c r="B709" s="14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4" t="str">
        <f>IFERROR(__xludf.DUMMYFUNCTION("""COMPUTED_VALUE"""),"O-21031-00")</f>
        <v>O-21031-00</v>
      </c>
    </row>
    <row r="710">
      <c r="A710" s="14" t="str">
        <f>IFERROR(__xludf.DUMMYFUNCTION("""COMPUTED_VALUE"""),"O-21032-00")</f>
        <v>O-21032-00</v>
      </c>
      <c r="B710" s="14" t="str">
        <f>IFERROR(__xludf.DUMMYFUNCTION("""COMPUTED_VALUE"""),"Washing RAR4 - Steel Ball / Gotri 2.5mm; -; -; 1 pck = 100pc")</f>
        <v>Washing RAR4 - Steel Ball / Gotri 2.5mm; -; -; 1 pck = 100pc</v>
      </c>
      <c r="C710" s="14" t="str">
        <f>IFERROR(__xludf.DUMMYFUNCTION("""COMPUTED_VALUE"""),"O-21032-00")</f>
        <v>O-21032-00</v>
      </c>
    </row>
    <row r="711">
      <c r="A711" s="14" t="str">
        <f>IFERROR(__xludf.DUMMYFUNCTION("""COMPUTED_VALUE"""),"O-21063-00")</f>
        <v>O-21063-00</v>
      </c>
      <c r="B711" s="14" t="str">
        <f>IFERROR(__xludf.DUMMYFUNCTION("""COMPUTED_VALUE"""),"General - POS10 Rod End Bearing Ulir kanan; -; -; 1 Pc")</f>
        <v>General - POS10 Rod End Bearing Ulir kanan; -; -; 1 Pc</v>
      </c>
      <c r="C711" s="14" t="str">
        <f>IFERROR(__xludf.DUMMYFUNCTION("""COMPUTED_VALUE"""),"O-21063-00")</f>
        <v>O-21063-00</v>
      </c>
    </row>
    <row r="712">
      <c r="A712" s="14" t="str">
        <f>IFERROR(__xludf.DUMMYFUNCTION("""COMPUTED_VALUE"""),"O-21064-00")</f>
        <v>O-21064-00</v>
      </c>
      <c r="B712" s="14" t="str">
        <f>IFERROR(__xludf.DUMMYFUNCTION("""COMPUTED_VALUE"""),"General - POS10 Rod End Bearing Ulir kiri; -; -; 1 Pc")</f>
        <v>General - POS10 Rod End Bearing Ulir kiri; -; -; 1 Pc</v>
      </c>
      <c r="C712" s="14" t="str">
        <f>IFERROR(__xludf.DUMMYFUNCTION("""COMPUTED_VALUE"""),"O-21064-00")</f>
        <v>O-21064-00</v>
      </c>
    </row>
    <row r="713">
      <c r="A713" s="14" t="str">
        <f>IFERROR(__xludf.DUMMYFUNCTION("""COMPUTED_VALUE"""),"O-21067-00")</f>
        <v>O-21067-00</v>
      </c>
      <c r="B713" s="14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4" t="str">
        <f>IFERROR(__xludf.DUMMYFUNCTION("""COMPUTED_VALUE"""),"O-21067-00")</f>
        <v>O-21067-00</v>
      </c>
    </row>
    <row r="714">
      <c r="A714" s="14" t="str">
        <f>IFERROR(__xludf.DUMMYFUNCTION("""COMPUTED_VALUE"""),"O-21068-00")</f>
        <v>O-21068-00</v>
      </c>
      <c r="B714" s="14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4" t="str">
        <f>IFERROR(__xludf.DUMMYFUNCTION("""COMPUTED_VALUE"""),"O-21068-00")</f>
        <v>O-21068-00</v>
      </c>
    </row>
    <row r="715">
      <c r="A715" s="14" t="str">
        <f>IFERROR(__xludf.DUMMYFUNCTION("""COMPUTED_VALUE"""),"O-21089-00")</f>
        <v>O-21089-00</v>
      </c>
      <c r="B715" s="14" t="str">
        <f>IFERROR(__xludf.DUMMYFUNCTION("""COMPUTED_VALUE"""),"Capping VCM200 - Oil Seal 20x28x4mm; NBR; -; 1 Pc")</f>
        <v>Capping VCM200 - Oil Seal 20x28x4mm; NBR; -; 1 Pc</v>
      </c>
      <c r="C715" s="14" t="str">
        <f>IFERROR(__xludf.DUMMYFUNCTION("""COMPUTED_VALUE"""),"O-21089-00")</f>
        <v>O-21089-00</v>
      </c>
    </row>
    <row r="716">
      <c r="A716" s="14" t="str">
        <f>IFERROR(__xludf.DUMMYFUNCTION("""COMPUTED_VALUE"""),"O-21092-00")</f>
        <v>O-21092-00</v>
      </c>
      <c r="B716" s="14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4" t="str">
        <f>IFERROR(__xludf.DUMMYFUNCTION("""COMPUTED_VALUE"""),"O-21092-00")</f>
        <v>O-21092-00</v>
      </c>
    </row>
    <row r="717">
      <c r="A717" s="14" t="str">
        <f>IFERROR(__xludf.DUMMYFUNCTION("""COMPUTED_VALUE"""),"O-21124-00")</f>
        <v>O-21124-00</v>
      </c>
      <c r="B717" s="14" t="str">
        <f>IFERROR(__xludf.DUMMYFUNCTION("""COMPUTED_VALUE"""),"Autoclave Service NA2247AU - O ring 15.47x3.53; Fedegari; CC150170; 1 Pc")</f>
        <v>Autoclave Service NA2247AU - O ring 15.47x3.53; Fedegari; CC150170; 1 Pc</v>
      </c>
      <c r="C717" s="14" t="str">
        <f>IFERROR(__xludf.DUMMYFUNCTION("""COMPUTED_VALUE"""),"O-21124-00")</f>
        <v>O-21124-00</v>
      </c>
    </row>
    <row r="718">
      <c r="A718" s="14" t="str">
        <f>IFERROR(__xludf.DUMMYFUNCTION("""COMPUTED_VALUE"""),"O-21125-00")</f>
        <v>O-21125-00</v>
      </c>
      <c r="B718" s="14" t="str">
        <f>IFERROR(__xludf.DUMMYFUNCTION("""COMPUTED_VALUE"""),"Autoclave Service NA2247AU - O ring 34.52x3.53; Fedegari; CC150171; 1 Pc")</f>
        <v>Autoclave Service NA2247AU - O ring 34.52x3.53; Fedegari; CC150171; 1 Pc</v>
      </c>
      <c r="C718" s="14" t="str">
        <f>IFERROR(__xludf.DUMMYFUNCTION("""COMPUTED_VALUE"""),"O-21125-00")</f>
        <v>O-21125-00</v>
      </c>
    </row>
    <row r="719">
      <c r="A719" s="14" t="str">
        <f>IFERROR(__xludf.DUMMYFUNCTION("""COMPUTED_VALUE"""),"O-21126-00")</f>
        <v>O-21126-00</v>
      </c>
      <c r="B719" s="14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4" t="str">
        <f>IFERROR(__xludf.DUMMYFUNCTION("""COMPUTED_VALUE"""),"O-21126-00")</f>
        <v>O-21126-00</v>
      </c>
    </row>
    <row r="720">
      <c r="A720" s="14" t="str">
        <f>IFERROR(__xludf.DUMMYFUNCTION("""COMPUTED_VALUE"""),"O-21127-00")</f>
        <v>O-21127-00</v>
      </c>
      <c r="B720" s="14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4" t="str">
        <f>IFERROR(__xludf.DUMMYFUNCTION("""COMPUTED_VALUE"""),"O-21127-00")</f>
        <v>O-21127-00</v>
      </c>
    </row>
    <row r="721">
      <c r="A721" s="14" t="str">
        <f>IFERROR(__xludf.DUMMYFUNCTION("""COMPUTED_VALUE"""),"O-21151-00")</f>
        <v>O-21151-00</v>
      </c>
      <c r="B721" s="14" t="str">
        <f>IFERROR(__xludf.DUMMYFUNCTION("""COMPUTED_VALUE"""),"Washing RAR4 - Compact Cylinder ADN-20-25-I-P-A; Festo; 536246; 1 Pc")</f>
        <v>Washing RAR4 - Compact Cylinder ADN-20-25-I-P-A; Festo; 536246; 1 Pc</v>
      </c>
      <c r="C721" s="14" t="str">
        <f>IFERROR(__xludf.DUMMYFUNCTION("""COMPUTED_VALUE"""),"O-21151-00")</f>
        <v>O-21151-00</v>
      </c>
    </row>
    <row r="722">
      <c r="A722" s="14" t="str">
        <f>IFERROR(__xludf.DUMMYFUNCTION("""COMPUTED_VALUE"""),"O-21152-00")</f>
        <v>O-21152-00</v>
      </c>
      <c r="B722" s="14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4" t="str">
        <f>IFERROR(__xludf.DUMMYFUNCTION("""COMPUTED_VALUE"""),"O-21152-00")</f>
        <v>O-21152-00</v>
      </c>
    </row>
    <row r="723">
      <c r="A723" s="14" t="str">
        <f>IFERROR(__xludf.DUMMYFUNCTION("""COMPUTED_VALUE"""),"O-21153-00")</f>
        <v>O-21153-00</v>
      </c>
      <c r="B723" s="14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4" t="str">
        <f>IFERROR(__xludf.DUMMYFUNCTION("""COMPUTED_VALUE"""),"O-21153-00")</f>
        <v>O-21153-00</v>
      </c>
    </row>
    <row r="724">
      <c r="A724" s="14" t="str">
        <f>IFERROR(__xludf.DUMMYFUNCTION("""COMPUTED_VALUE"""),"O-21154-00")</f>
        <v>O-21154-00</v>
      </c>
      <c r="B724" s="14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4" t="str">
        <f>IFERROR(__xludf.DUMMYFUNCTION("""COMPUTED_VALUE"""),"O-21154-00")</f>
        <v>O-21154-00</v>
      </c>
    </row>
    <row r="725">
      <c r="A725" s="14" t="str">
        <f>IFERROR(__xludf.DUMMYFUNCTION("""COMPUTED_VALUE"""),"O-21155-00")</f>
        <v>O-21155-00</v>
      </c>
      <c r="B725" s="14" t="str">
        <f>IFERROR(__xludf.DUMMYFUNCTION("""COMPUTED_VALUE"""),"Videojet - Gutter Pump; Videojet; 399-171; 1 Pc")</f>
        <v>Videojet - Gutter Pump; Videojet; 399-171; 1 Pc</v>
      </c>
      <c r="C725" s="14" t="str">
        <f>IFERROR(__xludf.DUMMYFUNCTION("""COMPUTED_VALUE"""),"O-21155-00")</f>
        <v>O-21155-00</v>
      </c>
    </row>
    <row r="726">
      <c r="A726" s="14" t="str">
        <f>IFERROR(__xludf.DUMMYFUNCTION("""COMPUTED_VALUE"""),"O-21157-00")</f>
        <v>O-21157-00</v>
      </c>
      <c r="B726" s="14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4" t="str">
        <f>IFERROR(__xludf.DUMMYFUNCTION("""COMPUTED_VALUE"""),"O-21157-00")</f>
        <v>O-21157-00</v>
      </c>
    </row>
    <row r="727">
      <c r="A727" s="14" t="str">
        <f>IFERROR(__xludf.DUMMYFUNCTION("""COMPUTED_VALUE"""),"O-21265-00")</f>
        <v>O-21265-00</v>
      </c>
      <c r="B727" s="14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4" t="str">
        <f>IFERROR(__xludf.DUMMYFUNCTION("""COMPUTED_VALUE"""),"O-21265-00")</f>
        <v>O-21265-00</v>
      </c>
    </row>
    <row r="728">
      <c r="A728" s="14" t="str">
        <f>IFERROR(__xludf.DUMMYFUNCTION("""COMPUTED_VALUE"""),"O-21275-00")</f>
        <v>O-21275-00</v>
      </c>
      <c r="B728" s="14" t="str">
        <f>IFERROR(__xludf.DUMMYFUNCTION("""COMPUTED_VALUE"""),"General - Tray Kabel Isolator Ukuran 35x35x700; Custom/Lokal; -; 1 Pc")</f>
        <v>General - Tray Kabel Isolator Ukuran 35x35x700; Custom/Lokal; -; 1 Pc</v>
      </c>
      <c r="C728" s="14" t="str">
        <f>IFERROR(__xludf.DUMMYFUNCTION("""COMPUTED_VALUE"""),"O-21275-00")</f>
        <v>O-21275-00</v>
      </c>
    </row>
    <row r="729">
      <c r="A729" s="14" t="str">
        <f>IFERROR(__xludf.DUMMYFUNCTION("""COMPUTED_VALUE"""),"O-21284-00")</f>
        <v>O-21284-00</v>
      </c>
      <c r="B729" s="14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4" t="str">
        <f>IFERROR(__xludf.DUMMYFUNCTION("""COMPUTED_VALUE"""),"O-21284-00")</f>
        <v>O-21284-00</v>
      </c>
    </row>
    <row r="730">
      <c r="A730" s="14" t="str">
        <f>IFERROR(__xludf.DUMMYFUNCTION("""COMPUTED_VALUE"""),"O-21300-00")</f>
        <v>O-21300-00</v>
      </c>
      <c r="B730" s="14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4" t="str">
        <f>IFERROR(__xludf.DUMMYFUNCTION("""COMPUTED_VALUE"""),"O-21300-00")</f>
        <v>O-21300-00</v>
      </c>
    </row>
    <row r="731">
      <c r="A731" s="14" t="str">
        <f>IFERROR(__xludf.DUMMYFUNCTION("""COMPUTED_VALUE"""),"O-21304-00")</f>
        <v>O-21304-00</v>
      </c>
      <c r="B731" s="14" t="str">
        <f>IFERROR(__xludf.DUMMYFUNCTION("""COMPUTED_VALUE"""),"Coating PLAB - Inflatable Silicone Sealing Ring; ; GDA040193; 1 Pc")</f>
        <v>Coating PLAB - Inflatable Silicone Sealing Ring; ; GDA040193; 1 Pc</v>
      </c>
      <c r="C731" s="14" t="str">
        <f>IFERROR(__xludf.DUMMYFUNCTION("""COMPUTED_VALUE"""),"O-21304-00")</f>
        <v>O-21304-00</v>
      </c>
    </row>
    <row r="732">
      <c r="A732" s="14" t="str">
        <f>IFERROR(__xludf.DUMMYFUNCTION("""COMPUTED_VALUE"""),"O-21305-00")</f>
        <v>O-21305-00</v>
      </c>
      <c r="B732" s="14" t="str">
        <f>IFERROR(__xludf.DUMMYFUNCTION("""COMPUTED_VALUE"""),"Coating PLAB - Directional Control Valve; SMC; VNA101A-F6A; 1 Pc")</f>
        <v>Coating PLAB - Directional Control Valve; SMC; VNA101A-F6A; 1 Pc</v>
      </c>
      <c r="C732" s="14" t="str">
        <f>IFERROR(__xludf.DUMMYFUNCTION("""COMPUTED_VALUE"""),"O-21305-00")</f>
        <v>O-21305-00</v>
      </c>
    </row>
    <row r="733">
      <c r="A733" s="14" t="str">
        <f>IFERROR(__xludf.DUMMYFUNCTION("""COMPUTED_VALUE"""),"O-21306-00")</f>
        <v>O-21306-00</v>
      </c>
      <c r="B733" s="14" t="str">
        <f>IFERROR(__xludf.DUMMYFUNCTION("""COMPUTED_VALUE"""),"Coating PLAB - Spare Kit; SMC; VN1-A3AA; ; ; 1 Pc")</f>
        <v>Coating PLAB - Spare Kit; SMC; VN1-A3AA; ; ; 1 Pc</v>
      </c>
      <c r="C733" s="14" t="str">
        <f>IFERROR(__xludf.DUMMYFUNCTION("""COMPUTED_VALUE"""),"O-21306-00")</f>
        <v>O-21306-00</v>
      </c>
    </row>
    <row r="734">
      <c r="A734" s="14" t="str">
        <f>IFERROR(__xludf.DUMMYFUNCTION("""COMPUTED_VALUE"""),"O-21307-00")</f>
        <v>O-21307-00</v>
      </c>
      <c r="B734" s="14" t="str">
        <f>IFERROR(__xludf.DUMMYFUNCTION("""COMPUTED_VALUE"""),"Coating PLAB - Spare Kit; SMC; VN1-4AA; ; ; 1 Pc")</f>
        <v>Coating PLAB - Spare Kit; SMC; VN1-4AA; ; ; 1 Pc</v>
      </c>
      <c r="C734" s="14" t="str">
        <f>IFERROR(__xludf.DUMMYFUNCTION("""COMPUTED_VALUE"""),"O-21307-00")</f>
        <v>O-21307-00</v>
      </c>
    </row>
    <row r="735">
      <c r="A735" s="14" t="str">
        <f>IFERROR(__xludf.DUMMYFUNCTION("""COMPUTED_VALUE"""),"O-21308-00")</f>
        <v>O-21308-00</v>
      </c>
      <c r="B735" s="14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4" t="str">
        <f>IFERROR(__xludf.DUMMYFUNCTION("""COMPUTED_VALUE"""),"O-21308-00")</f>
        <v>O-21308-00</v>
      </c>
    </row>
    <row r="736">
      <c r="A736" s="14" t="str">
        <f>IFERROR(__xludf.DUMMYFUNCTION("""COMPUTED_VALUE"""),"O-21327-00")</f>
        <v>O-21327-00</v>
      </c>
      <c r="B736" s="14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4" t="str">
        <f>IFERROR(__xludf.DUMMYFUNCTION("""COMPUTED_VALUE"""),"O-21327-00")</f>
        <v>O-21327-00</v>
      </c>
    </row>
    <row r="737">
      <c r="A737" s="14" t="str">
        <f>IFERROR(__xludf.DUMMYFUNCTION("""COMPUTED_VALUE"""),"O-21372-00")</f>
        <v>O-21372-00</v>
      </c>
      <c r="B737" s="14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4" t="str">
        <f>IFERROR(__xludf.DUMMYFUNCTION("""COMPUTED_VALUE"""),"O-21372-00")</f>
        <v>O-21372-00</v>
      </c>
    </row>
    <row r="738">
      <c r="A738" s="14" t="str">
        <f>IFERROR(__xludf.DUMMYFUNCTION("""COMPUTED_VALUE"""),"O-21374-00")</f>
        <v>O-21374-00</v>
      </c>
      <c r="B738" s="14" t="str">
        <f>IFERROR(__xludf.DUMMYFUNCTION("""COMPUTED_VALUE"""),"Tunnel ST1L - Socket Star Aktuator 14x11; -; -;")</f>
        <v>Tunnel ST1L - Socket Star Aktuator 14x11; -; -;</v>
      </c>
      <c r="C738" s="14" t="str">
        <f>IFERROR(__xludf.DUMMYFUNCTION("""COMPUTED_VALUE"""),"O-21374-00")</f>
        <v>O-21374-00</v>
      </c>
    </row>
    <row r="739">
      <c r="A739" s="14" t="str">
        <f>IFERROR(__xludf.DUMMYFUNCTION("""COMPUTED_VALUE"""),"O-21378-00")</f>
        <v>O-21378-00</v>
      </c>
      <c r="B739" s="14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4" t="str">
        <f>IFERROR(__xludf.DUMMYFUNCTION("""COMPUTED_VALUE"""),"O-21378-00")</f>
        <v>O-21378-00</v>
      </c>
    </row>
    <row r="740">
      <c r="A740" s="14" t="str">
        <f>IFERROR(__xludf.DUMMYFUNCTION("""COMPUTED_VALUE"""),"O-21404-00")</f>
        <v>O-21404-00</v>
      </c>
      <c r="B740" s="14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4" t="str">
        <f>IFERROR(__xludf.DUMMYFUNCTION("""COMPUTED_VALUE"""),"O-21404-00")</f>
        <v>O-21404-00</v>
      </c>
    </row>
    <row r="741">
      <c r="A741" s="14" t="str">
        <f>IFERROR(__xludf.DUMMYFUNCTION("""COMPUTED_VALUE"""),"O-21428-00")</f>
        <v>O-21428-00</v>
      </c>
      <c r="B741" s="14" t="str">
        <f>IFERROR(__xludf.DUMMYFUNCTION("""COMPUTED_VALUE"""),"PLAB Coating - Oring ID 51 OD 56 Tebal 2,5 EPDM; Custom/Lokal; -; 1 Pc")</f>
        <v>PLAB Coating - Oring ID 51 OD 56 Tebal 2,5 EPDM; Custom/Lokal; -; 1 Pc</v>
      </c>
      <c r="C741" s="14" t="str">
        <f>IFERROR(__xludf.DUMMYFUNCTION("""COMPUTED_VALUE"""),"O-21428-00")</f>
        <v>O-21428-00</v>
      </c>
    </row>
    <row r="742">
      <c r="A742" s="14" t="str">
        <f>IFERROR(__xludf.DUMMYFUNCTION("""COMPUTED_VALUE"""),"O-21429-00")</f>
        <v>O-21429-00</v>
      </c>
      <c r="B742" s="14" t="str">
        <f>IFERROR(__xludf.DUMMYFUNCTION("""COMPUTED_VALUE"""),"Blister TR100LT - Teflon Forming 5689 ukuran 9.5x19; Custom/Lokal; -; 1 Pc")</f>
        <v>Blister TR100LT - Teflon Forming 5689 ukuran 9.5x19; Custom/Lokal; -; 1 Pc</v>
      </c>
      <c r="C742" s="14" t="str">
        <f>IFERROR(__xludf.DUMMYFUNCTION("""COMPUTED_VALUE"""),"O-21429-00")</f>
        <v>O-21429-00</v>
      </c>
    </row>
    <row r="743">
      <c r="A743" s="14" t="str">
        <f>IFERROR(__xludf.DUMMYFUNCTION("""COMPUTED_VALUE"""),"O-21430-00")</f>
        <v>O-21430-00</v>
      </c>
      <c r="B743" s="14" t="str">
        <f>IFERROR(__xludf.DUMMYFUNCTION("""COMPUTED_VALUE"""),"Blister TR100LT - Teflon Forming 568 ukuran 11.5x19; Custom/Lokal; ; 1 Pc")</f>
        <v>Blister TR100LT - Teflon Forming 568 ukuran 11.5x19; Custom/Lokal; ; 1 Pc</v>
      </c>
      <c r="C743" s="14" t="str">
        <f>IFERROR(__xludf.DUMMYFUNCTION("""COMPUTED_VALUE"""),"O-21430-00")</f>
        <v>O-21430-00</v>
      </c>
    </row>
    <row r="744">
      <c r="A744" s="14" t="str">
        <f>IFERROR(__xludf.DUMMYFUNCTION("""COMPUTED_VALUE"""),"O-21433-00")</f>
        <v>O-21433-00</v>
      </c>
      <c r="B744" s="14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4" t="str">
        <f>IFERROR(__xludf.DUMMYFUNCTION("""COMPUTED_VALUE"""),"O-21433-00")</f>
        <v>O-21433-00</v>
      </c>
    </row>
    <row r="745">
      <c r="A745" s="14" t="str">
        <f>IFERROR(__xludf.DUMMYFUNCTION("""COMPUTED_VALUE"""),"O-21434-00")</f>
        <v>O-21434-00</v>
      </c>
      <c r="B745" s="14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4" t="str">
        <f>IFERROR(__xludf.DUMMYFUNCTION("""COMPUTED_VALUE"""),"O-21434-00")</f>
        <v>O-21434-00</v>
      </c>
    </row>
    <row r="746">
      <c r="A746" s="14" t="str">
        <f>IFERROR(__xludf.DUMMYFUNCTION("""COMPUTED_VALUE"""),"O-21435-00")</f>
        <v>O-21435-00</v>
      </c>
      <c r="B746" s="14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4" t="str">
        <f>IFERROR(__xludf.DUMMYFUNCTION("""COMPUTED_VALUE"""),"O-21435-00")</f>
        <v>O-21435-00</v>
      </c>
    </row>
    <row r="747">
      <c r="A747" s="14" t="str">
        <f>IFERROR(__xludf.DUMMYFUNCTION("""COMPUTED_VALUE"""),"O-21436-00")</f>
        <v>O-21436-00</v>
      </c>
      <c r="B747" s="14" t="str">
        <f>IFERROR(__xludf.DUMMYFUNCTION("""COMPUTED_VALUE"""),"General - Roller Chain RS35-1 (Single) 3 meter; -; 0; 1 Pc")</f>
        <v>General - Roller Chain RS35-1 (Single) 3 meter; -; 0; 1 Pc</v>
      </c>
      <c r="C747" s="14" t="str">
        <f>IFERROR(__xludf.DUMMYFUNCTION("""COMPUTED_VALUE"""),"O-21436-00")</f>
        <v>O-21436-00</v>
      </c>
    </row>
    <row r="748">
      <c r="A748" s="14" t="str">
        <f>IFERROR(__xludf.DUMMYFUNCTION("""COMPUTED_VALUE"""),"O-21437-00")</f>
        <v>O-21437-00</v>
      </c>
      <c r="B748" s="14" t="str">
        <f>IFERROR(__xludf.DUMMYFUNCTION("""COMPUTED_VALUE"""),"Marchesini MA155 - Gas Spring; Misumi; FGSS15050B; 1 Pc")</f>
        <v>Marchesini MA155 - Gas Spring; Misumi; FGSS15050B; 1 Pc</v>
      </c>
      <c r="C748" s="14" t="str">
        <f>IFERROR(__xludf.DUMMYFUNCTION("""COMPUTED_VALUE"""),"O-21437-00")</f>
        <v>O-21437-00</v>
      </c>
    </row>
    <row r="749">
      <c r="A749" s="14" t="str">
        <f>IFERROR(__xludf.DUMMYFUNCTION("""COMPUTED_VALUE"""),"O-21438-00")</f>
        <v>O-21438-00</v>
      </c>
      <c r="B749" s="14" t="str">
        <f>IFERROR(__xludf.DUMMYFUNCTION("""COMPUTED_VALUE"""),"Blister TR100LT - Filter Regulator; SMC; AW30-03G-D; 1 Pc")</f>
        <v>Blister TR100LT - Filter Regulator; SMC; AW30-03G-D; 1 Pc</v>
      </c>
      <c r="C749" s="14" t="str">
        <f>IFERROR(__xludf.DUMMYFUNCTION("""COMPUTED_VALUE"""),"O-21438-00")</f>
        <v>O-21438-00</v>
      </c>
    </row>
    <row r="750">
      <c r="A750" s="14" t="str">
        <f>IFERROR(__xludf.DUMMYFUNCTION("""COMPUTED_VALUE"""),"O-21443-00")</f>
        <v>O-21443-00</v>
      </c>
      <c r="B750" s="14" t="str">
        <f>IFERROR(__xludf.DUMMYFUNCTION("""COMPUTED_VALUE"""),"Washing RAR4 - Ball Valve SS304 Ferrule End Size 1 Inch; -; -; 1 Pc")</f>
        <v>Washing RAR4 - Ball Valve SS304 Ferrule End Size 1 Inch; -; -; 1 Pc</v>
      </c>
      <c r="C750" s="14" t="str">
        <f>IFERROR(__xludf.DUMMYFUNCTION("""COMPUTED_VALUE"""),"O-21443-00")</f>
        <v>O-21443-00</v>
      </c>
    </row>
    <row r="751">
      <c r="A751" s="14" t="str">
        <f>IFERROR(__xludf.DUMMYFUNCTION("""COMPUTED_VALUE"""),"O-21455-00")</f>
        <v>O-21455-00</v>
      </c>
      <c r="B751" s="14" t="str">
        <f>IFERROR(__xludf.DUMMYFUNCTION("""COMPUTED_VALUE"""),"Washing RAR4 - Ball Valve SS304 Ferrule End Size 3/4 Inch; -; -; 1 Pc")</f>
        <v>Washing RAR4 - Ball Valve SS304 Ferrule End Size 3/4 Inch; -; -; 1 Pc</v>
      </c>
      <c r="C751" s="14" t="str">
        <f>IFERROR(__xludf.DUMMYFUNCTION("""COMPUTED_VALUE"""),"O-21455-00")</f>
        <v>O-21455-00</v>
      </c>
    </row>
    <row r="752">
      <c r="A752" s="14" t="str">
        <f>IFERROR(__xludf.DUMMYFUNCTION("""COMPUTED_VALUE"""),"O-21458-00")</f>
        <v>O-21458-00</v>
      </c>
      <c r="B752" s="14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4" t="str">
        <f>IFERROR(__xludf.DUMMYFUNCTION("""COMPUTED_VALUE"""),"O-21458-00")</f>
        <v>O-21458-00</v>
      </c>
    </row>
    <row r="753">
      <c r="A753" s="14" t="str">
        <f>IFERROR(__xludf.DUMMYFUNCTION("""COMPUTED_VALUE"""),"O-21471-00")</f>
        <v>O-21471-00</v>
      </c>
      <c r="B753" s="14" t="str">
        <f>IFERROR(__xludf.DUMMYFUNCTION("""COMPUTED_VALUE"""),"Colamark - Spares Full Mechanism EAS00 1023SP; Domino; SP-0078; 1 Pc")</f>
        <v>Colamark - Spares Full Mechanism EAS00 1023SP; Domino; SP-0078; 1 Pc</v>
      </c>
      <c r="C753" s="14" t="str">
        <f>IFERROR(__xludf.DUMMYFUNCTION("""COMPUTED_VALUE"""),"O-21471-00")</f>
        <v>O-21471-00</v>
      </c>
    </row>
    <row r="754">
      <c r="A754" s="14" t="str">
        <f>IFERROR(__xludf.DUMMYFUNCTION("""COMPUTED_VALUE"""),"O-21473-00")</f>
        <v>O-21473-00</v>
      </c>
      <c r="B754" s="14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4" t="str">
        <f>IFERROR(__xludf.DUMMYFUNCTION("""COMPUTED_VALUE"""),"O-21473-00")</f>
        <v>O-21473-00</v>
      </c>
    </row>
    <row r="755">
      <c r="A755" s="14" t="str">
        <f>IFERROR(__xludf.DUMMYFUNCTION("""COMPUTED_VALUE"""),"O-21475-00")</f>
        <v>O-21475-00</v>
      </c>
      <c r="B755" s="14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4" t="str">
        <f>IFERROR(__xludf.DUMMYFUNCTION("""COMPUTED_VALUE"""),"O-21475-00")</f>
        <v>O-21475-00</v>
      </c>
    </row>
    <row r="756">
      <c r="A756" s="14" t="str">
        <f>IFERROR(__xludf.DUMMYFUNCTION("""COMPUTED_VALUE"""),"O-21484-00")</f>
        <v>O-21484-00</v>
      </c>
      <c r="B756" s="14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4" t="str">
        <f>IFERROR(__xludf.DUMMYFUNCTION("""COMPUTED_VALUE"""),"O-21484-00")</f>
        <v>O-21484-00</v>
      </c>
    </row>
    <row r="757">
      <c r="A757" s="14" t="str">
        <f>IFERROR(__xludf.DUMMYFUNCTION("""COMPUTED_VALUE"""),"O-21485-00")</f>
        <v>O-21485-00</v>
      </c>
      <c r="B757" s="14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4" t="str">
        <f>IFERROR(__xludf.DUMMYFUNCTION("""COMPUTED_VALUE"""),"O-21485-00")</f>
        <v>O-21485-00</v>
      </c>
    </row>
    <row r="758">
      <c r="A758" s="14" t="str">
        <f>IFERROR(__xludf.DUMMYFUNCTION("""COMPUTED_VALUE"""),"O-21486-00")</f>
        <v>O-21486-00</v>
      </c>
      <c r="B758" s="14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4" t="str">
        <f>IFERROR(__xludf.DUMMYFUNCTION("""COMPUTED_VALUE"""),"O-21486-00")</f>
        <v>O-21486-00</v>
      </c>
    </row>
    <row r="759">
      <c r="A759" s="14" t="str">
        <f>IFERROR(__xludf.DUMMYFUNCTION("""COMPUTED_VALUE"""),"O-21487-00")</f>
        <v>O-21487-00</v>
      </c>
      <c r="B759" s="14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4" t="str">
        <f>IFERROR(__xludf.DUMMYFUNCTION("""COMPUTED_VALUE"""),"O-21487-00")</f>
        <v>O-21487-00</v>
      </c>
    </row>
    <row r="760">
      <c r="A760" s="14" t="str">
        <f>IFERROR(__xludf.DUMMYFUNCTION("""COMPUTED_VALUE"""),"O-21488-00")</f>
        <v>O-21488-00</v>
      </c>
      <c r="B760" s="14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4" t="str">
        <f>IFERROR(__xludf.DUMMYFUNCTION("""COMPUTED_VALUE"""),"O-21488-00")</f>
        <v>O-21488-00</v>
      </c>
    </row>
    <row r="761">
      <c r="A761" s="14" t="str">
        <f>IFERROR(__xludf.DUMMYFUNCTION("""COMPUTED_VALUE"""),"O-21592-00")</f>
        <v>O-21592-00</v>
      </c>
      <c r="B761" s="14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4" t="str">
        <f>IFERROR(__xludf.DUMMYFUNCTION("""COMPUTED_VALUE"""),"O-21592-00")</f>
        <v>O-21592-00</v>
      </c>
    </row>
    <row r="762">
      <c r="A762" s="14" t="str">
        <f>IFERROR(__xludf.DUMMYFUNCTION("""COMPUTED_VALUE"""),"O-21611-00")</f>
        <v>O-21611-00</v>
      </c>
      <c r="B762" s="14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4" t="str">
        <f>IFERROR(__xludf.DUMMYFUNCTION("""COMPUTED_VALUE"""),"O-21611-00")</f>
        <v>O-21611-00</v>
      </c>
    </row>
    <row r="763">
      <c r="A763" s="14" t="str">
        <f>IFERROR(__xludf.DUMMYFUNCTION("""COMPUTED_VALUE"""),"O-21648-00")</f>
        <v>O-21648-00</v>
      </c>
      <c r="B763" s="14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4" t="str">
        <f>IFERROR(__xludf.DUMMYFUNCTION("""COMPUTED_VALUE"""),"O-21648-00")</f>
        <v>O-21648-00</v>
      </c>
    </row>
    <row r="764">
      <c r="A764" s="14" t="str">
        <f>IFERROR(__xludf.DUMMYFUNCTION("""COMPUTED_VALUE"""),"O-21649-00")</f>
        <v>O-21649-00</v>
      </c>
      <c r="B764" s="14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4" t="str">
        <f>IFERROR(__xludf.DUMMYFUNCTION("""COMPUTED_VALUE"""),"O-21649-00")</f>
        <v>O-21649-00</v>
      </c>
    </row>
    <row r="765">
      <c r="A765" s="14" t="str">
        <f>IFERROR(__xludf.DUMMYFUNCTION("""COMPUTED_VALUE"""),"O-21650-00")</f>
        <v>O-21650-00</v>
      </c>
      <c r="B765" s="14" t="str">
        <f>IFERROR(__xludf.DUMMYFUNCTION("""COMPUTED_VALUE"""),"Mixing Tank Adam - Oring EPDM OD 25,4mm Tebal 3mm; Custom/Lokal; -; 1 Pc")</f>
        <v>Mixing Tank Adam - Oring EPDM OD 25,4mm Tebal 3mm; Custom/Lokal; -; 1 Pc</v>
      </c>
      <c r="C765" s="14" t="str">
        <f>IFERROR(__xludf.DUMMYFUNCTION("""COMPUTED_VALUE"""),"O-21650-00")</f>
        <v>O-21650-00</v>
      </c>
    </row>
    <row r="766">
      <c r="A766" s="14" t="str">
        <f>IFERROR(__xludf.DUMMYFUNCTION("""COMPUTED_VALUE"""),"O-21703-00")</f>
        <v>O-21703-00</v>
      </c>
      <c r="B766" s="14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4" t="str">
        <f>IFERROR(__xludf.DUMMYFUNCTION("""COMPUTED_VALUE"""),"O-21703-00")</f>
        <v>O-21703-00</v>
      </c>
    </row>
    <row r="767">
      <c r="A767" s="14" t="str">
        <f>IFERROR(__xludf.DUMMYFUNCTION("""COMPUTED_VALUE"""),"O-21720-00")</f>
        <v>O-21720-00</v>
      </c>
      <c r="B767" s="14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4" t="str">
        <f>IFERROR(__xludf.DUMMYFUNCTION("""COMPUTED_VALUE"""),"O-21720-00")</f>
        <v>O-21720-00</v>
      </c>
    </row>
    <row r="768">
      <c r="A768" s="14" t="str">
        <f>IFERROR(__xludf.DUMMYFUNCTION("""COMPUTED_VALUE"""),"O-50000-00")</f>
        <v>O-50000-00</v>
      </c>
      <c r="B768" s="14" t="str">
        <f>IFERROR(__xludf.DUMMYFUNCTION("""COMPUTED_VALUE"""),"Lampu G4 20W 12 V Warm White Philips")</f>
        <v>Lampu G4 20W 12 V Warm White Philips</v>
      </c>
      <c r="C768" s="14" t="str">
        <f>IFERROR(__xludf.DUMMYFUNCTION("""COMPUTED_VALUE"""),"O-50000-00")</f>
        <v>O-50000-00</v>
      </c>
    </row>
    <row r="769">
      <c r="A769" s="14" t="str">
        <f>IFERROR(__xludf.DUMMYFUNCTION("""COMPUTED_VALUE"""),"O-50578-00")</f>
        <v>O-50578-00</v>
      </c>
      <c r="B769" s="14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4" t="str">
        <f>IFERROR(__xludf.DUMMYFUNCTION("""COMPUTED_VALUE"""),"O-50578-00")</f>
        <v>O-50578-00</v>
      </c>
    </row>
    <row r="770">
      <c r="A770" s="14" t="str">
        <f>IFERROR(__xludf.DUMMYFUNCTION("""COMPUTED_VALUE"""),"O-50697-00")</f>
        <v>O-50697-00</v>
      </c>
      <c r="B770" s="14" t="str">
        <f>IFERROR(__xludf.DUMMYFUNCTION("""COMPUTED_VALUE"""),"Autoclave Fedegari FOF / 6 AC - P/N. KK000304-KIT RICAMBI VALV.DN16 ON-OFF")</f>
        <v>Autoclave Fedegari FOF / 6 AC - P/N. KK000304-KIT RICAMBI VALV.DN16 ON-OFF</v>
      </c>
      <c r="C770" s="14" t="str">
        <f>IFERROR(__xludf.DUMMYFUNCTION("""COMPUTED_VALUE"""),"O-50697-00")</f>
        <v>O-50697-00</v>
      </c>
    </row>
    <row r="771">
      <c r="A771" s="14" t="str">
        <f>IFERROR(__xludf.DUMMYFUNCTION("""COMPUTED_VALUE"""),"O-50698-00")</f>
        <v>O-50698-00</v>
      </c>
      <c r="B771" s="14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4" t="str">
        <f>IFERROR(__xludf.DUMMYFUNCTION("""COMPUTED_VALUE"""),"O-50698-00")</f>
        <v>O-50698-00</v>
      </c>
    </row>
    <row r="772">
      <c r="A772" s="14" t="str">
        <f>IFERROR(__xludf.DUMMYFUNCTION("""COMPUTED_VALUE"""),"O-50710-00")</f>
        <v>O-50710-00</v>
      </c>
      <c r="B772" s="14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4" t="str">
        <f>IFERROR(__xludf.DUMMYFUNCTION("""COMPUTED_VALUE"""),"O-50710-00")</f>
        <v>O-50710-00</v>
      </c>
    </row>
    <row r="773">
      <c r="A773" s="14" t="str">
        <f>IFERROR(__xludf.DUMMYFUNCTION("""COMPUTED_VALUE"""),"O-50826-00")</f>
        <v>O-50826-00</v>
      </c>
      <c r="B773" s="14" t="str">
        <f>IFERROR(__xludf.DUMMYFUNCTION("""COMPUTED_VALUE"""),"PCB, R, Detector, Airnet II P/N : 1000013676; ; ;")</f>
        <v>PCB, R, Detector, Airnet II P/N : 1000013676; ; ;</v>
      </c>
      <c r="C773" s="14" t="str">
        <f>IFERROR(__xludf.DUMMYFUNCTION("""COMPUTED_VALUE"""),"O-50826-00")</f>
        <v>O-50826-00</v>
      </c>
    </row>
    <row r="774">
      <c r="A774" s="14" t="str">
        <f>IFERROR(__xludf.DUMMYFUNCTION("""COMPUTED_VALUE"""),"O-50827-00")</f>
        <v>O-50827-00</v>
      </c>
      <c r="B774" s="14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4" t="str">
        <f>IFERROR(__xludf.DUMMYFUNCTION("""COMPUTED_VALUE"""),"O-50827-00")</f>
        <v>O-50827-00</v>
      </c>
    </row>
    <row r="775">
      <c r="A775" s="14" t="str">
        <f>IFERROR(__xludf.DUMMYFUNCTION("""COMPUTED_VALUE"""),"O-50831-00")</f>
        <v>O-50831-00</v>
      </c>
      <c r="B775" s="14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4" t="str">
        <f>IFERROR(__xludf.DUMMYFUNCTION("""COMPUTED_VALUE"""),"O-50831-00")</f>
        <v>O-50831-00</v>
      </c>
    </row>
    <row r="776">
      <c r="A776" s="14" t="str">
        <f>IFERROR(__xludf.DUMMYFUNCTION("""COMPUTED_VALUE"""),"O-50834-00")</f>
        <v>O-50834-00</v>
      </c>
      <c r="B776" s="14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4" t="str">
        <f>IFERROR(__xludf.DUMMYFUNCTION("""COMPUTED_VALUE"""),"O-50834-00")</f>
        <v>O-50834-00</v>
      </c>
    </row>
    <row r="777">
      <c r="A777" s="14" t="str">
        <f>IFERROR(__xludf.DUMMYFUNCTION("""COMPUTED_VALUE"""),"O-50854-00")</f>
        <v>O-50854-00</v>
      </c>
      <c r="B777" s="14" t="str">
        <f>IFERROR(__xludf.DUMMYFUNCTION("""COMPUTED_VALUE"""),"Overload Relay / LRD10 / 4-6A/Schneider; ; ;")</f>
        <v>Overload Relay / LRD10 / 4-6A/Schneider; ; ;</v>
      </c>
      <c r="C777" s="14" t="str">
        <f>IFERROR(__xludf.DUMMYFUNCTION("""COMPUTED_VALUE"""),"O-50854-00")</f>
        <v>O-50854-00</v>
      </c>
    </row>
    <row r="778">
      <c r="A778" s="14" t="str">
        <f>IFERROR(__xludf.DUMMYFUNCTION("""COMPUTED_VALUE"""),"O-50863-00")</f>
        <v>O-50863-00</v>
      </c>
      <c r="B778" s="14" t="str">
        <f>IFERROR(__xludf.DUMMYFUNCTION("""COMPUTED_VALUE"""),"General - Relay 220-240 VAC; Omron; MY4N; 1 Pc")</f>
        <v>General - Relay 220-240 VAC; Omron; MY4N; 1 Pc</v>
      </c>
      <c r="C778" s="14" t="str">
        <f>IFERROR(__xludf.DUMMYFUNCTION("""COMPUTED_VALUE"""),"O-50863-00")</f>
        <v>O-50863-00</v>
      </c>
    </row>
    <row r="779">
      <c r="A779" s="14" t="str">
        <f>IFERROR(__xludf.DUMMYFUNCTION("""COMPUTED_VALUE"""),"O-50964-00")</f>
        <v>O-50964-00</v>
      </c>
      <c r="B779" s="14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4" t="str">
        <f>IFERROR(__xludf.DUMMYFUNCTION("""COMPUTED_VALUE"""),"O-50964-00")</f>
        <v>O-50964-00</v>
      </c>
    </row>
    <row r="780">
      <c r="A780" s="14" t="str">
        <f>IFERROR(__xludf.DUMMYFUNCTION("""COMPUTED_VALUE"""),"O-50994-00")</f>
        <v>O-50994-00</v>
      </c>
      <c r="B780" s="14" t="str">
        <f>IFERROR(__xludf.DUMMYFUNCTION("""COMPUTED_VALUE"""),"Battery kering 12V 7,2AH; ; ;")</f>
        <v>Battery kering 12V 7,2AH; ; ;</v>
      </c>
      <c r="C780" s="14" t="str">
        <f>IFERROR(__xludf.DUMMYFUNCTION("""COMPUTED_VALUE"""),"O-50994-00")</f>
        <v>O-50994-00</v>
      </c>
    </row>
    <row r="781">
      <c r="A781" s="14" t="str">
        <f>IFERROR(__xludf.DUMMYFUNCTION("""COMPUTED_VALUE"""),"O-51000-00")</f>
        <v>O-51000-00</v>
      </c>
      <c r="B781" s="14" t="str">
        <f>IFERROR(__xludf.DUMMYFUNCTION("""COMPUTED_VALUE"""),"Colamark - Print Head; Domino; EPP001359 SP; 1 Pc")</f>
        <v>Colamark - Print Head; Domino; EPP001359 SP; 1 Pc</v>
      </c>
      <c r="C781" s="14" t="str">
        <f>IFERROR(__xludf.DUMMYFUNCTION("""COMPUTED_VALUE"""),"O-51000-00")</f>
        <v>O-51000-00</v>
      </c>
    </row>
    <row r="782">
      <c r="A782" s="14" t="str">
        <f>IFERROR(__xludf.DUMMYFUNCTION("""COMPUTED_VALUE"""),"O-51071-00")</f>
        <v>O-51071-00</v>
      </c>
      <c r="B782" s="14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4" t="str">
        <f>IFERROR(__xludf.DUMMYFUNCTION("""COMPUTED_VALUE"""),"O-51071-00")</f>
        <v>O-51071-00</v>
      </c>
    </row>
    <row r="783">
      <c r="A783" s="14" t="str">
        <f>IFERROR(__xludf.DUMMYFUNCTION("""COMPUTED_VALUE"""),"O-51157-00")</f>
        <v>O-51157-00</v>
      </c>
      <c r="B783" s="14" t="str">
        <f>IFERROR(__xludf.DUMMYFUNCTION("""COMPUTED_VALUE"""),"Fuse Keramik 6A 10x38; ; ;")</f>
        <v>Fuse Keramik 6A 10x38; ; ;</v>
      </c>
      <c r="C783" s="14" t="str">
        <f>IFERROR(__xludf.DUMMYFUNCTION("""COMPUTED_VALUE"""),"O-51157-00")</f>
        <v>O-51157-00</v>
      </c>
    </row>
    <row r="784">
      <c r="A784" s="14" t="str">
        <f>IFERROR(__xludf.DUMMYFUNCTION("""COMPUTED_VALUE"""),"O-51177-00")</f>
        <v>O-51177-00</v>
      </c>
      <c r="B784" s="14" t="str">
        <f>IFERROR(__xludf.DUMMYFUNCTION("""COMPUTED_VALUE"""),"General - Pressure Switch type KP35 G1/4; Danfoss; -; 1 Pc")</f>
        <v>General - Pressure Switch type KP35 G1/4; Danfoss; -; 1 Pc</v>
      </c>
      <c r="C784" s="14" t="str">
        <f>IFERROR(__xludf.DUMMYFUNCTION("""COMPUTED_VALUE"""),"O-51177-00")</f>
        <v>O-51177-00</v>
      </c>
    </row>
    <row r="785">
      <c r="A785" s="14" t="str">
        <f>IFERROR(__xludf.DUMMYFUNCTION("""COMPUTED_VALUE"""),"O-51307-00")</f>
        <v>O-51307-00</v>
      </c>
      <c r="B785" s="14" t="str">
        <f>IFERROR(__xludf.DUMMYFUNCTION("""COMPUTED_VALUE"""),"Selector Switch 22mm On-Off XPB22-22A Fort; ; ;")</f>
        <v>Selector Switch 22mm On-Off XPB22-22A Fort; ; ;</v>
      </c>
      <c r="C785" s="14" t="str">
        <f>IFERROR(__xludf.DUMMYFUNCTION("""COMPUTED_VALUE"""),"O-51307-00")</f>
        <v>O-51307-00</v>
      </c>
    </row>
    <row r="786">
      <c r="A786" s="14" t="str">
        <f>IFERROR(__xludf.DUMMYFUNCTION("""COMPUTED_VALUE"""),"O-51308-00")</f>
        <v>O-51308-00</v>
      </c>
      <c r="B786" s="14" t="str">
        <f>IFERROR(__xludf.DUMMYFUNCTION("""COMPUTED_VALUE"""),"Push Button 22mm Green ABW111EP Fort; ; ;")</f>
        <v>Push Button 22mm Green ABW111EP Fort; ; ;</v>
      </c>
      <c r="C786" s="14" t="str">
        <f>IFERROR(__xludf.DUMMYFUNCTION("""COMPUTED_VALUE"""),"O-51308-00")</f>
        <v>O-51308-00</v>
      </c>
    </row>
    <row r="787">
      <c r="A787" s="14" t="str">
        <f>IFERROR(__xludf.DUMMYFUNCTION("""COMPUTED_VALUE"""),"O-51309-00")</f>
        <v>O-51309-00</v>
      </c>
      <c r="B787" s="14" t="str">
        <f>IFERROR(__xludf.DUMMYFUNCTION("""COMPUTED_VALUE"""),"WAGO 750-333 I/O SYSTEM PROFIBUS DP/FMS-12 MBAUD-DPV1-COUPL")</f>
        <v>WAGO 750-333 I/O SYSTEM PROFIBUS DP/FMS-12 MBAUD-DPV1-COUPL</v>
      </c>
      <c r="C787" s="14" t="str">
        <f>IFERROR(__xludf.DUMMYFUNCTION("""COMPUTED_VALUE"""),"O-51309-00")</f>
        <v>O-51309-00</v>
      </c>
    </row>
    <row r="788">
      <c r="A788" s="14" t="str">
        <f>IFERROR(__xludf.DUMMYFUNCTION("""COMPUTED_VALUE"""),"O-51652-00")</f>
        <v>O-51652-00</v>
      </c>
      <c r="B788" s="14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4" t="str">
        <f>IFERROR(__xludf.DUMMYFUNCTION("""COMPUTED_VALUE"""),"O-51652-00")</f>
        <v>O-51652-00</v>
      </c>
    </row>
    <row r="789">
      <c r="A789" s="14" t="str">
        <f>IFERROR(__xludf.DUMMYFUNCTION("""COMPUTED_VALUE"""),"O-51653-00")</f>
        <v>O-51653-00</v>
      </c>
      <c r="B789" s="14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4" t="str">
        <f>IFERROR(__xludf.DUMMYFUNCTION("""COMPUTED_VALUE"""),"O-51653-00")</f>
        <v>O-51653-00</v>
      </c>
    </row>
    <row r="790">
      <c r="A790" s="14" t="str">
        <f>IFERROR(__xludf.DUMMYFUNCTION("""COMPUTED_VALUE"""),"O-51675-00")</f>
        <v>O-51675-00</v>
      </c>
      <c r="B790" s="14" t="str">
        <f>IFERROR(__xludf.DUMMYFUNCTION("""COMPUTED_VALUE"""),"General - Pilz PNOZ X2.1 24 VAC/DC 2 n/o; Pilz; ID774306; 1 pc")</f>
        <v>General - Pilz PNOZ X2.1 24 VAC/DC 2 n/o; Pilz; ID774306; 1 pc</v>
      </c>
      <c r="C790" s="14" t="str">
        <f>IFERROR(__xludf.DUMMYFUNCTION("""COMPUTED_VALUE"""),"O-51675-00")</f>
        <v>O-51675-00</v>
      </c>
    </row>
    <row r="791">
      <c r="A791" s="14" t="str">
        <f>IFERROR(__xludf.DUMMYFUNCTION("""COMPUTED_VALUE"""),"O-51677-00")</f>
        <v>O-51677-00</v>
      </c>
      <c r="B791" s="14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4" t="str">
        <f>IFERROR(__xludf.DUMMYFUNCTION("""COMPUTED_VALUE"""),"O-51677-00")</f>
        <v>O-51677-00</v>
      </c>
    </row>
    <row r="792">
      <c r="A792" s="14" t="str">
        <f>IFERROR(__xludf.DUMMYFUNCTION("""COMPUTED_VALUE"""),"O-51678-00")</f>
        <v>O-51678-00</v>
      </c>
      <c r="B792" s="14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4" t="str">
        <f>IFERROR(__xludf.DUMMYFUNCTION("""COMPUTED_VALUE"""),"O-51678-00")</f>
        <v>O-51678-00</v>
      </c>
    </row>
    <row r="793">
      <c r="A793" s="14" t="str">
        <f>IFERROR(__xludf.DUMMYFUNCTION("""COMPUTED_VALUE"""),"O-51687-00")</f>
        <v>O-51687-00</v>
      </c>
      <c r="B793" s="14" t="str">
        <f>IFERROR(__xludf.DUMMYFUNCTION("""COMPUTED_VALUE"""),"Relay OMRON G2A-432A-N DC + socket Omron")</f>
        <v>Relay OMRON G2A-432A-N DC + socket Omron</v>
      </c>
      <c r="C793" s="14" t="str">
        <f>IFERROR(__xludf.DUMMYFUNCTION("""COMPUTED_VALUE"""),"O-51687-00")</f>
        <v>O-51687-00</v>
      </c>
    </row>
    <row r="794">
      <c r="A794" s="14" t="str">
        <f>IFERROR(__xludf.DUMMYFUNCTION("""COMPUTED_VALUE"""),"O-51698-00")</f>
        <v>O-51698-00</v>
      </c>
      <c r="B794" s="14" t="str">
        <f>IFERROR(__xludf.DUMMYFUNCTION("""COMPUTED_VALUE"""),"OMRON - Relay MY4Z 24VDC; ; ;")</f>
        <v>OMRON - Relay MY4Z 24VDC; ; ;</v>
      </c>
      <c r="C794" s="14" t="str">
        <f>IFERROR(__xludf.DUMMYFUNCTION("""COMPUTED_VALUE"""),"O-51698-00")</f>
        <v>O-51698-00</v>
      </c>
    </row>
    <row r="795">
      <c r="A795" s="14" t="str">
        <f>IFERROR(__xludf.DUMMYFUNCTION("""COMPUTED_VALUE"""),"O-51700-00")</f>
        <v>O-51700-00</v>
      </c>
      <c r="B795" s="14" t="str">
        <f>IFERROR(__xludf.DUMMYFUNCTION("""COMPUTED_VALUE"""),"KEYENCE AMPLIFIER SENSOR OPTICAL FIBER PNP, OUTPUT CONNECTOR M8")</f>
        <v>KEYENCE AMPLIFIER SENSOR OPTICAL FIBER PNP, OUTPUT CONNECTOR M8</v>
      </c>
      <c r="C795" s="14" t="str">
        <f>IFERROR(__xludf.DUMMYFUNCTION("""COMPUTED_VALUE"""),"O-51700-00")</f>
        <v>O-51700-00</v>
      </c>
    </row>
    <row r="796">
      <c r="A796" s="14" t="str">
        <f>IFERROR(__xludf.DUMMYFUNCTION("""COMPUTED_VALUE"""),"O-51701-00")</f>
        <v>O-51701-00</v>
      </c>
      <c r="B796" s="14" t="str">
        <f>IFERROR(__xludf.DUMMYFUNCTION("""COMPUTED_VALUE"""),"COIL FOR REFRIGERATION SOLENOID VALVES(DC24V)")</f>
        <v>COIL FOR REFRIGERATION SOLENOID VALVES(DC24V)</v>
      </c>
      <c r="C796" s="14" t="str">
        <f>IFERROR(__xludf.DUMMYFUNCTION("""COMPUTED_VALUE"""),"O-51701-00")</f>
        <v>O-51701-00</v>
      </c>
    </row>
    <row r="797">
      <c r="A797" s="14" t="str">
        <f>IFERROR(__xludf.DUMMYFUNCTION("""COMPUTED_VALUE"""),"O-51702-00")</f>
        <v>O-51702-00</v>
      </c>
      <c r="B797" s="14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4" t="str">
        <f>IFERROR(__xludf.DUMMYFUNCTION("""COMPUTED_VALUE"""),"O-51702-00")</f>
        <v>O-51702-00</v>
      </c>
    </row>
    <row r="798">
      <c r="A798" s="14" t="str">
        <f>IFERROR(__xludf.DUMMYFUNCTION("""COMPUTED_VALUE"""),"O-51703-00")</f>
        <v>O-51703-00</v>
      </c>
      <c r="B798" s="14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4" t="str">
        <f>IFERROR(__xludf.DUMMYFUNCTION("""COMPUTED_VALUE"""),"O-51703-00")</f>
        <v>O-51703-00</v>
      </c>
    </row>
    <row r="799">
      <c r="A799" s="14" t="str">
        <f>IFERROR(__xludf.DUMMYFUNCTION("""COMPUTED_VALUE"""),"O-51704-00")</f>
        <v>O-51704-00</v>
      </c>
      <c r="B799" s="14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4" t="str">
        <f>IFERROR(__xludf.DUMMYFUNCTION("""COMPUTED_VALUE"""),"O-51704-00")</f>
        <v>O-51704-00</v>
      </c>
    </row>
    <row r="800">
      <c r="A800" s="14" t="str">
        <f>IFERROR(__xludf.DUMMYFUNCTION("""COMPUTED_VALUE"""),"O-51705-00")</f>
        <v>O-51705-00</v>
      </c>
      <c r="B800" s="14" t="str">
        <f>IFERROR(__xludf.DUMMYFUNCTION("""COMPUTED_VALUE"""),"DOOR CLOSED MICROSWITCH SIDE 1; F2.1 ;")</f>
        <v>DOOR CLOSED MICROSWITCH SIDE 1; F2.1 ;</v>
      </c>
      <c r="C800" s="14" t="str">
        <f>IFERROR(__xludf.DUMMYFUNCTION("""COMPUTED_VALUE"""),"O-51705-00")</f>
        <v>O-51705-00</v>
      </c>
    </row>
    <row r="801">
      <c r="A801" s="14" t="str">
        <f>IFERROR(__xludf.DUMMYFUNCTION("""COMPUTED_VALUE"""),"O-51706-00")</f>
        <v>O-51706-00</v>
      </c>
      <c r="B801" s="14" t="str">
        <f>IFERROR(__xludf.DUMMYFUNCTION("""COMPUTED_VALUE"""),"DRAIN TEMPERATURE PROBE ; TE1/TE1R ;")</f>
        <v>DRAIN TEMPERATURE PROBE ; TE1/TE1R ;</v>
      </c>
      <c r="C801" s="14" t="str">
        <f>IFERROR(__xludf.DUMMYFUNCTION("""COMPUTED_VALUE"""),"O-51706-00")</f>
        <v>O-51706-00</v>
      </c>
    </row>
    <row r="802">
      <c r="A802" s="14" t="str">
        <f>IFERROR(__xludf.DUMMYFUNCTION("""COMPUTED_VALUE"""),"O-51707-00")</f>
        <v>O-51707-00</v>
      </c>
      <c r="B802" s="14" t="str">
        <f>IFERROR(__xludf.DUMMYFUNCTION("""COMPUTED_VALUE"""),"ELECTROPNEUMATIC PRESSURE CONVERTER; COP")</f>
        <v>ELECTROPNEUMATIC PRESSURE CONVERTER; COP</v>
      </c>
      <c r="C802" s="14" t="str">
        <f>IFERROR(__xludf.DUMMYFUNCTION("""COMPUTED_VALUE"""),"O-51707-00")</f>
        <v>O-51707-00</v>
      </c>
    </row>
    <row r="803">
      <c r="A803" s="14" t="str">
        <f>IFERROR(__xludf.DUMMYFUNCTION("""COMPUTED_VALUE"""),"O-51708-00")</f>
        <v>O-51708-00</v>
      </c>
      <c r="B803" s="14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4" t="str">
        <f>IFERROR(__xludf.DUMMYFUNCTION("""COMPUTED_VALUE"""),"O-51708-00")</f>
        <v>O-51708-00</v>
      </c>
    </row>
    <row r="804">
      <c r="A804" s="14" t="str">
        <f>IFERROR(__xludf.DUMMYFUNCTION("""COMPUTED_VALUE"""),"O-51709-00")</f>
        <v>O-51709-00</v>
      </c>
      <c r="B804" s="14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4" t="str">
        <f>IFERROR(__xludf.DUMMYFUNCTION("""COMPUTED_VALUE"""),"O-51709-00")</f>
        <v>O-51709-00</v>
      </c>
    </row>
    <row r="805">
      <c r="A805" s="14" t="str">
        <f>IFERROR(__xludf.DUMMYFUNCTION("""COMPUTED_VALUE"""),"O-51710-00")</f>
        <v>O-51710-00</v>
      </c>
      <c r="B805" s="14" t="str">
        <f>IFERROR(__xludf.DUMMYFUNCTION("""COMPUTED_VALUE"""),"ELECTRO-VALVE FOR DOOR LOCK/UNLOCK SIDE 1; EV30 ;")</f>
        <v>ELECTRO-VALVE FOR DOOR LOCK/UNLOCK SIDE 1; EV30 ;</v>
      </c>
      <c r="C805" s="14" t="str">
        <f>IFERROR(__xludf.DUMMYFUNCTION("""COMPUTED_VALUE"""),"O-51710-00")</f>
        <v>O-51710-00</v>
      </c>
    </row>
    <row r="806">
      <c r="A806" s="14" t="str">
        <f>IFERROR(__xludf.DUMMYFUNCTION("""COMPUTED_VALUE"""),"O-51711-00")</f>
        <v>O-51711-00</v>
      </c>
      <c r="B806" s="14" t="str">
        <f>IFERROR(__xludf.DUMMYFUNCTION("""COMPUTED_VALUE"""),"ELECTRO-VALVE FOR PV WATER ; E21 ;")</f>
        <v>ELECTRO-VALVE FOR PV WATER ; E21 ;</v>
      </c>
      <c r="C806" s="14" t="str">
        <f>IFERROR(__xludf.DUMMYFUNCTION("""COMPUTED_VALUE"""),"O-51711-00")</f>
        <v>O-51711-00</v>
      </c>
    </row>
    <row r="807">
      <c r="A807" s="14" t="str">
        <f>IFERROR(__xludf.DUMMYFUNCTION("""COMPUTED_VALUE"""),"O-51712-00")</f>
        <v>O-51712-00</v>
      </c>
      <c r="B807" s="14" t="str">
        <f>IFERROR(__xludf.DUMMYFUNCTION("""COMPUTED_VALUE"""),"ELECTRO-VALVE FOR VP1 ; E1 ;")</f>
        <v>ELECTRO-VALVE FOR VP1 ; E1 ;</v>
      </c>
      <c r="C807" s="14" t="str">
        <f>IFERROR(__xludf.DUMMYFUNCTION("""COMPUTED_VALUE"""),"O-51712-00")</f>
        <v>O-51712-00</v>
      </c>
    </row>
    <row r="808">
      <c r="A808" s="14" t="str">
        <f>IFERROR(__xludf.DUMMYFUNCTION("""COMPUTED_VALUE"""),"O-51713-00")</f>
        <v>O-51713-00</v>
      </c>
      <c r="B808" s="14" t="str">
        <f>IFERROR(__xludf.DUMMYFUNCTION("""COMPUTED_VALUE"""),"ELECTRO-VALVE FOR VP10 ; E10 ;")</f>
        <v>ELECTRO-VALVE FOR VP10 ; E10 ;</v>
      </c>
      <c r="C808" s="14" t="str">
        <f>IFERROR(__xludf.DUMMYFUNCTION("""COMPUTED_VALUE"""),"O-51713-00")</f>
        <v>O-51713-00</v>
      </c>
    </row>
    <row r="809">
      <c r="A809" s="14" t="str">
        <f>IFERROR(__xludf.DUMMYFUNCTION("""COMPUTED_VALUE"""),"O-51714-00")</f>
        <v>O-51714-00</v>
      </c>
      <c r="B809" s="14" t="str">
        <f>IFERROR(__xludf.DUMMYFUNCTION("""COMPUTED_VALUE"""),"ELECTRO-VALVE FOR VPX; EX ;")</f>
        <v>ELECTRO-VALVE FOR VPX; EX ;</v>
      </c>
      <c r="C809" s="14" t="str">
        <f>IFERROR(__xludf.DUMMYFUNCTION("""COMPUTED_VALUE"""),"O-51714-00")</f>
        <v>O-51714-00</v>
      </c>
    </row>
    <row r="810">
      <c r="A810" s="14" t="str">
        <f>IFERROR(__xludf.DUMMYFUNCTION("""COMPUTED_VALUE"""),"O-51715-00")</f>
        <v>O-51715-00</v>
      </c>
      <c r="B810" s="14" t="str">
        <f>IFERROR(__xludf.DUMMYFUNCTION("""COMPUTED_VALUE"""),"ELECTRO-VALVE FOR VPZ; EZ ;")</f>
        <v>ELECTRO-VALVE FOR VPZ; EZ ;</v>
      </c>
      <c r="C810" s="14" t="str">
        <f>IFERROR(__xludf.DUMMYFUNCTION("""COMPUTED_VALUE"""),"O-51715-00")</f>
        <v>O-51715-00</v>
      </c>
    </row>
    <row r="811">
      <c r="A811" s="14" t="str">
        <f>IFERROR(__xludf.DUMMYFUNCTION("""COMPUTED_VALUE"""),"O-51716-00")</f>
        <v>O-51716-00</v>
      </c>
      <c r="B811" s="14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4" t="str">
        <f>IFERROR(__xludf.DUMMYFUNCTION("""COMPUTED_VALUE"""),"O-51716-00")</f>
        <v>O-51716-00</v>
      </c>
    </row>
    <row r="812">
      <c r="A812" s="14" t="str">
        <f>IFERROR(__xludf.DUMMYFUNCTION("""COMPUTED_VALUE"""),"O-51717-00")</f>
        <v>O-51717-00</v>
      </c>
      <c r="B812" s="14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4" t="str">
        <f>IFERROR(__xludf.DUMMYFUNCTION("""COMPUTED_VALUE"""),"O-51717-00")</f>
        <v>O-51717-00</v>
      </c>
    </row>
    <row r="813">
      <c r="A813" s="14" t="str">
        <f>IFERROR(__xludf.DUMMYFUNCTION("""COMPUTED_VALUE"""),"O-51718-00")</f>
        <v>O-51718-00</v>
      </c>
      <c r="B813" s="14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4" t="str">
        <f>IFERROR(__xludf.DUMMYFUNCTION("""COMPUTED_VALUE"""),"O-51718-00")</f>
        <v>O-51718-00</v>
      </c>
    </row>
    <row r="814">
      <c r="A814" s="14" t="str">
        <f>IFERROR(__xludf.DUMMYFUNCTION("""COMPUTED_VALUE"""),"O-51719-00")</f>
        <v>O-51719-00</v>
      </c>
      <c r="B814" s="14" t="str">
        <f>IFERROR(__xludf.DUMMYFUNCTION("""COMPUTED_VALUE"""),"FUSES(250V,2A,VDE CERTIFICATE)")</f>
        <v>FUSES(250V,2A,VDE CERTIFICATE)</v>
      </c>
      <c r="C814" s="14" t="str">
        <f>IFERROR(__xludf.DUMMYFUNCTION("""COMPUTED_VALUE"""),"O-51719-00")</f>
        <v>O-51719-00</v>
      </c>
    </row>
    <row r="815">
      <c r="A815" s="14" t="str">
        <f>IFERROR(__xludf.DUMMYFUNCTION("""COMPUTED_VALUE"""),"O-51720-00")</f>
        <v>O-51720-00</v>
      </c>
      <c r="B815" s="14" t="str">
        <f>IFERROR(__xludf.DUMMYFUNCTION("""COMPUTED_VALUE"""),"I/P CONVERTER TYPE 6126; PART NO :CJ030010")</f>
        <v>I/P CONVERTER TYPE 6126; PART NO :CJ030010</v>
      </c>
      <c r="C815" s="14" t="str">
        <f>IFERROR(__xludf.DUMMYFUNCTION("""COMPUTED_VALUE"""),"O-51720-00")</f>
        <v>O-51720-00</v>
      </c>
    </row>
    <row r="816">
      <c r="A816" s="14" t="str">
        <f>IFERROR(__xludf.DUMMYFUNCTION("""COMPUTED_VALUE"""),"O-51721-00")</f>
        <v>O-51721-00</v>
      </c>
      <c r="B816" s="14" t="str">
        <f>IFERROR(__xludf.DUMMYFUNCTION("""COMPUTED_VALUE"""),"PROXIMITY SENSOR, DATALOGIC M8 FLUSH 2X PNP NC IS-08-G2-S1")</f>
        <v>PROXIMITY SENSOR, DATALOGIC M8 FLUSH 2X PNP NC IS-08-G2-S1</v>
      </c>
      <c r="C816" s="14" t="str">
        <f>IFERROR(__xludf.DUMMYFUNCTION("""COMPUTED_VALUE"""),"O-51721-00")</f>
        <v>O-51721-00</v>
      </c>
    </row>
    <row r="817">
      <c r="A817" s="14" t="str">
        <f>IFERROR(__xludf.DUMMYFUNCTION("""COMPUTED_VALUE"""),"O-51722-00")</f>
        <v>O-51722-00</v>
      </c>
      <c r="B817" s="14" t="str">
        <f>IFERROR(__xludf.DUMMYFUNCTION("""COMPUTED_VALUE"""),"PROXIMITY SENSOR, DATALOGIC M12 NON FLUSH SHORT PNP NO IS-12-D1-S2")</f>
        <v>PROXIMITY SENSOR, DATALOGIC M12 NON FLUSH SHORT PNP NO IS-12-D1-S2</v>
      </c>
      <c r="C817" s="14" t="str">
        <f>IFERROR(__xludf.DUMMYFUNCTION("""COMPUTED_VALUE"""),"O-51722-00")</f>
        <v>O-51722-00</v>
      </c>
    </row>
    <row r="818">
      <c r="A818" s="14" t="str">
        <f>IFERROR(__xludf.DUMMYFUNCTION("""COMPUTED_VALUE"""),"O-51723-00")</f>
        <v>O-51723-00</v>
      </c>
      <c r="B818" s="14" t="str">
        <f>IFERROR(__xludf.DUMMYFUNCTION("""COMPUTED_VALUE"""),"PROXIMITY SENSOR, DATALOGIC M12 FLUSH SHORT 2X PNP NO IS-12-G1-S2")</f>
        <v>PROXIMITY SENSOR, DATALOGIC M12 FLUSH SHORT 2X PNP NO IS-12-G1-S2</v>
      </c>
      <c r="C818" s="14" t="str">
        <f>IFERROR(__xludf.DUMMYFUNCTION("""COMPUTED_VALUE"""),"O-51723-00")</f>
        <v>O-51723-00</v>
      </c>
    </row>
    <row r="819">
      <c r="A819" s="14" t="str">
        <f>IFERROR(__xludf.DUMMYFUNCTION("""COMPUTED_VALUE"""),"O-51724-00")</f>
        <v>O-51724-00</v>
      </c>
      <c r="B819" s="14" t="str">
        <f>IFERROR(__xludf.DUMMYFUNCTION("""COMPUTED_VALUE"""),"PROXIMITY SENSOR, DATALOGIC M12 NON FLUSH SHORT")</f>
        <v>PROXIMITY SENSOR, DATALOGIC M12 NON FLUSH SHORT</v>
      </c>
      <c r="C819" s="14" t="str">
        <f>IFERROR(__xludf.DUMMYFUNCTION("""COMPUTED_VALUE"""),"O-51724-00")</f>
        <v>O-51724-00</v>
      </c>
    </row>
    <row r="820">
      <c r="A820" s="14" t="str">
        <f>IFERROR(__xludf.DUMMYFUNCTION("""COMPUTED_VALUE"""),"O-51725-00")</f>
        <v>O-51725-00</v>
      </c>
      <c r="B820" s="14" t="str">
        <f>IFERROR(__xludf.DUMMYFUNCTION("""COMPUTED_VALUE"""),"INVERTER MICROMASTER 3 PHASE PART NO :6008")</f>
        <v>INVERTER MICROMASTER 3 PHASE PART NO :6008</v>
      </c>
      <c r="C820" s="14" t="str">
        <f>IFERROR(__xludf.DUMMYFUNCTION("""COMPUTED_VALUE"""),"O-51725-00")</f>
        <v>O-51725-00</v>
      </c>
    </row>
    <row r="821">
      <c r="A821" s="14" t="str">
        <f>IFERROR(__xludf.DUMMYFUNCTION("""COMPUTED_VALUE"""),"O-51726-00")</f>
        <v>O-51726-00</v>
      </c>
      <c r="B821" s="14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4" t="str">
        <f>IFERROR(__xludf.DUMMYFUNCTION("""COMPUTED_VALUE"""),"O-51726-00")</f>
        <v>O-51726-00</v>
      </c>
    </row>
    <row r="822">
      <c r="A822" s="14" t="str">
        <f>IFERROR(__xludf.DUMMYFUNCTION("""COMPUTED_VALUE"""),"O-51727-00")</f>
        <v>O-51727-00</v>
      </c>
      <c r="B822" s="14" t="str">
        <f>IFERROR(__xludf.DUMMYFUNCTION("""COMPUTED_VALUE"""),"MINIATUR RELAY 24VDC : PHOENIX (24VDC : PHOENIX)")</f>
        <v>MINIATUR RELAY 24VDC : PHOENIX (24VDC : PHOENIX)</v>
      </c>
      <c r="C822" s="14" t="str">
        <f>IFERROR(__xludf.DUMMYFUNCTION("""COMPUTED_VALUE"""),"O-51727-00")</f>
        <v>O-51727-00</v>
      </c>
    </row>
    <row r="823">
      <c r="A823" s="14" t="str">
        <f>IFERROR(__xludf.DUMMYFUNCTION("""COMPUTED_VALUE"""),"O-51728-00")</f>
        <v>O-51728-00</v>
      </c>
      <c r="B823" s="14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4" t="str">
        <f>IFERROR(__xludf.DUMMYFUNCTION("""COMPUTED_VALUE"""),"O-51728-00")</f>
        <v>O-51728-00</v>
      </c>
    </row>
    <row r="824">
      <c r="A824" s="14" t="str">
        <f>IFERROR(__xludf.DUMMYFUNCTION("""COMPUTED_VALUE"""),"O-51729-00")</f>
        <v>O-51729-00</v>
      </c>
      <c r="B824" s="14" t="str">
        <f>IFERROR(__xludf.DUMMYFUNCTION("""COMPUTED_VALUE"""),"PHOTOCELL SIDE 1; FCE1 ;")</f>
        <v>PHOTOCELL SIDE 1; FCE1 ;</v>
      </c>
      <c r="C824" s="14" t="str">
        <f>IFERROR(__xludf.DUMMYFUNCTION("""COMPUTED_VALUE"""),"O-51729-00")</f>
        <v>O-51729-00</v>
      </c>
    </row>
    <row r="825">
      <c r="A825" s="14" t="str">
        <f>IFERROR(__xludf.DUMMYFUNCTION("""COMPUTED_VALUE"""),"O-51730-00")</f>
        <v>O-51730-00</v>
      </c>
      <c r="B825" s="14" t="str">
        <f>IFERROR(__xludf.DUMMYFUNCTION("""COMPUTED_VALUE"""),"POWER SUPPLY MODULE BASE X20BM01(100-240 AC/24DC)")</f>
        <v>POWER SUPPLY MODULE BASE X20BM01(100-240 AC/24DC)</v>
      </c>
      <c r="C825" s="14" t="str">
        <f>IFERROR(__xludf.DUMMYFUNCTION("""COMPUTED_VALUE"""),"O-51730-00")</f>
        <v>O-51730-00</v>
      </c>
    </row>
    <row r="826">
      <c r="A826" s="14" t="str">
        <f>IFERROR(__xludf.DUMMYFUNCTION("""COMPUTED_VALUE"""),"O-51731-00")</f>
        <v>O-51731-00</v>
      </c>
      <c r="B826" s="14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4" t="str">
        <f>IFERROR(__xludf.DUMMYFUNCTION("""COMPUTED_VALUE"""),"O-51731-00")</f>
        <v>O-51731-00</v>
      </c>
    </row>
    <row r="827">
      <c r="A827" s="14" t="str">
        <f>IFERROR(__xludf.DUMMYFUNCTION("""COMPUTED_VALUE"""),"O-51732-00")</f>
        <v>O-51732-00</v>
      </c>
      <c r="B827" s="14" t="str">
        <f>IFERROR(__xludf.DUMMYFUNCTION("""COMPUTED_VALUE"""),"PROXIMITY SENSOR OMRON TYPE: E2E-X5F1-M1")</f>
        <v>PROXIMITY SENSOR OMRON TYPE: E2E-X5F1-M1</v>
      </c>
      <c r="C827" s="14" t="str">
        <f>IFERROR(__xludf.DUMMYFUNCTION("""COMPUTED_VALUE"""),"O-51732-00")</f>
        <v>O-51732-00</v>
      </c>
    </row>
    <row r="828">
      <c r="A828" s="14" t="str">
        <f>IFERROR(__xludf.DUMMYFUNCTION("""COMPUTED_VALUE"""),"O-51733-00")</f>
        <v>O-51733-00</v>
      </c>
      <c r="B828" s="14" t="str">
        <f>IFERROR(__xludf.DUMMYFUNCTION("""COMPUTED_VALUE"""),"PROXIMITY SENSOR; DATALOGIC M8 FLUSH 2X PNP NC;")</f>
        <v>PROXIMITY SENSOR; DATALOGIC M8 FLUSH 2X PNP NC;</v>
      </c>
      <c r="C828" s="14" t="str">
        <f>IFERROR(__xludf.DUMMYFUNCTION("""COMPUTED_VALUE"""),"O-51733-00")</f>
        <v>O-51733-00</v>
      </c>
    </row>
    <row r="829">
      <c r="A829" s="14" t="str">
        <f>IFERROR(__xludf.DUMMYFUNCTION("""COMPUTED_VALUE"""),"O-51734-00")</f>
        <v>O-51734-00</v>
      </c>
      <c r="B829" s="14" t="str">
        <f>IFERROR(__xludf.DUMMYFUNCTION("""COMPUTED_VALUE"""),"PROXIMITY SENSOR, DATALOGIC M12 FLUSH SHORT 2X PNP")</f>
        <v>PROXIMITY SENSOR, DATALOGIC M12 FLUSH SHORT 2X PNP</v>
      </c>
      <c r="C829" s="14" t="str">
        <f>IFERROR(__xludf.DUMMYFUNCTION("""COMPUTED_VALUE"""),"O-51734-00")</f>
        <v>O-51734-00</v>
      </c>
    </row>
    <row r="830">
      <c r="A830" s="14" t="str">
        <f>IFERROR(__xludf.DUMMYFUNCTION("""COMPUTED_VALUE"""),"O-51735-00")</f>
        <v>O-51735-00</v>
      </c>
      <c r="B830" s="14" t="str">
        <f>IFERROR(__xludf.DUMMYFUNCTION("""COMPUTED_VALUE"""),"SENSOR OPTICAL FIBER, KEYENCE PNP OUTPUT CONNECTOR M8 FS-V31CP AMPLIFIER ;")</f>
        <v>SENSOR OPTICAL FIBER, KEYENCE PNP OUTPUT CONNECTOR M8 FS-V31CP AMPLIFIER ;</v>
      </c>
      <c r="C830" s="14" t="str">
        <f>IFERROR(__xludf.DUMMYFUNCTION("""COMPUTED_VALUE"""),"O-51735-00")</f>
        <v>O-51735-00</v>
      </c>
    </row>
    <row r="831">
      <c r="A831" s="14" t="str">
        <f>IFERROR(__xludf.DUMMYFUNCTION("""COMPUTED_VALUE"""),"O-51736-00")</f>
        <v>O-51736-00</v>
      </c>
      <c r="B831" s="14" t="str">
        <f>IFERROR(__xludf.DUMMYFUNCTION("""COMPUTED_VALUE"""),"SENSOR PROXIMITY M12 FLUSH SHORT PNP")</f>
        <v>SENSOR PROXIMITY M12 FLUSH SHORT PNP</v>
      </c>
      <c r="C831" s="14" t="str">
        <f>IFERROR(__xludf.DUMMYFUNCTION("""COMPUTED_VALUE"""),"O-51736-00")</f>
        <v>O-51736-00</v>
      </c>
    </row>
    <row r="832">
      <c r="A832" s="14" t="str">
        <f>IFERROR(__xludf.DUMMYFUNCTION("""COMPUTED_VALUE"""),"O-51737-00")</f>
        <v>O-51737-00</v>
      </c>
      <c r="B832" s="14" t="str">
        <f>IFERROR(__xludf.DUMMYFUNCTION("""COMPUTED_VALUE"""),"SENSOR PROXIMITY M12 FLUSH SHORT PNP NO ; DATA LOGIC")</f>
        <v>SENSOR PROXIMITY M12 FLUSH SHORT PNP NO ; DATA LOGIC</v>
      </c>
      <c r="C832" s="14" t="str">
        <f>IFERROR(__xludf.DUMMYFUNCTION("""COMPUTED_VALUE"""),"O-51737-00")</f>
        <v>O-51737-00</v>
      </c>
    </row>
    <row r="833">
      <c r="A833" s="14" t="str">
        <f>IFERROR(__xludf.DUMMYFUNCTION("""COMPUTED_VALUE"""),"O-51738-00")</f>
        <v>O-51738-00</v>
      </c>
      <c r="B833" s="14" t="str">
        <f>IFERROR(__xludf.DUMMYFUNCTION("""COMPUTED_VALUE"""),"SENSOR PROXIMITY ,SCHMERSAL ; BNS-260 FOR DOOR PART NO 14056")</f>
        <v>SENSOR PROXIMITY ,SCHMERSAL ; BNS-260 FOR DOOR PART NO 14056</v>
      </c>
      <c r="C833" s="14" t="str">
        <f>IFERROR(__xludf.DUMMYFUNCTION("""COMPUTED_VALUE"""),"O-51738-00")</f>
        <v>O-51738-00</v>
      </c>
    </row>
    <row r="834">
      <c r="A834" s="14" t="str">
        <f>IFERROR(__xludf.DUMMYFUNCTION("""COMPUTED_VALUE"""),"O-51739-00")</f>
        <v>O-51739-00</v>
      </c>
      <c r="B834" s="14" t="str">
        <f>IFERROR(__xludf.DUMMYFUNCTION("""COMPUTED_VALUE"""),"SENSOR PROXIMITY M12 NON FLUSH SHORT PNP")</f>
        <v>SENSOR PROXIMITY M12 NON FLUSH SHORT PNP</v>
      </c>
      <c r="C834" s="14" t="str">
        <f>IFERROR(__xludf.DUMMYFUNCTION("""COMPUTED_VALUE"""),"O-51739-00")</f>
        <v>O-51739-00</v>
      </c>
    </row>
    <row r="835">
      <c r="A835" s="14" t="str">
        <f>IFERROR(__xludf.DUMMYFUNCTION("""COMPUTED_VALUE"""),"O-51740-00")</f>
        <v>O-51740-00</v>
      </c>
      <c r="B835" s="14" t="str">
        <f>IFERROR(__xludf.DUMMYFUNCTION("""COMPUTED_VALUE"""),"SENSOR PROXIMITY M12 NON FLUSH SHORT PNP NO ; DATA LOGIC")</f>
        <v>SENSOR PROXIMITY M12 NON FLUSH SHORT PNP NO ; DATA LOGIC</v>
      </c>
      <c r="C835" s="14" t="str">
        <f>IFERROR(__xludf.DUMMYFUNCTION("""COMPUTED_VALUE"""),"O-51740-00")</f>
        <v>O-51740-00</v>
      </c>
    </row>
    <row r="836">
      <c r="A836" s="14" t="str">
        <f>IFERROR(__xludf.DUMMYFUNCTION("""COMPUTED_VALUE"""),"O-51741-00")</f>
        <v>O-51741-00</v>
      </c>
      <c r="B836" s="14" t="str">
        <f>IFERROR(__xludf.DUMMYFUNCTION("""COMPUTED_VALUE"""),"SENSOR SUHU PT100 4 M")</f>
        <v>SENSOR SUHU PT100 4 M</v>
      </c>
      <c r="C836" s="14" t="str">
        <f>IFERROR(__xludf.DUMMYFUNCTION("""COMPUTED_VALUE"""),"O-51741-00")</f>
        <v>O-51741-00</v>
      </c>
    </row>
    <row r="837">
      <c r="A837" s="14" t="str">
        <f>IFERROR(__xludf.DUMMYFUNCTION("""COMPUTED_VALUE"""),"O-51742-00")</f>
        <v>O-51742-00</v>
      </c>
      <c r="B837" s="14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4" t="str">
        <f>IFERROR(__xludf.DUMMYFUNCTION("""COMPUTED_VALUE"""),"O-51742-00")</f>
        <v>O-51742-00</v>
      </c>
    </row>
    <row r="838">
      <c r="A838" s="14" t="str">
        <f>IFERROR(__xludf.DUMMYFUNCTION("""COMPUTED_VALUE"""),"O-51743-00")</f>
        <v>O-51743-00</v>
      </c>
      <c r="B838" s="14" t="str">
        <f>IFERROR(__xludf.DUMMYFUNCTION("""COMPUTED_VALUE"""),"SENSOR TEMPERATUR PT100 7 METER 4 WIRE PART NO :PM600083")</f>
        <v>SENSOR TEMPERATUR PT100 7 METER 4 WIRE PART NO :PM600083</v>
      </c>
      <c r="C838" s="14" t="str">
        <f>IFERROR(__xludf.DUMMYFUNCTION("""COMPUTED_VALUE"""),"O-51743-00")</f>
        <v>O-51743-00</v>
      </c>
    </row>
    <row r="839">
      <c r="A839" s="14" t="str">
        <f>IFERROR(__xludf.DUMMYFUNCTION("""COMPUTED_VALUE"""),"O-51744-00")</f>
        <v>O-51744-00</v>
      </c>
      <c r="B839" s="14" t="str">
        <f>IFERROR(__xludf.DUMMYFUNCTION("""COMPUTED_VALUE"""),"SENSOR TEMPERATUR PT100 7 METER 8 WIRE; PART NO :PM600084")</f>
        <v>SENSOR TEMPERATUR PT100 7 METER 8 WIRE; PART NO :PM600084</v>
      </c>
      <c r="C839" s="14" t="str">
        <f>IFERROR(__xludf.DUMMYFUNCTION("""COMPUTED_VALUE"""),"O-51744-00")</f>
        <v>O-51744-00</v>
      </c>
    </row>
    <row r="840">
      <c r="A840" s="14" t="str">
        <f>IFERROR(__xludf.DUMMYFUNCTION("""COMPUTED_VALUE"""),"O-51746-00")</f>
        <v>O-51746-00</v>
      </c>
      <c r="B840" s="14" t="str">
        <f>IFERROR(__xludf.DUMMYFUNCTION("""COMPUTED_VALUE"""),"SENSOR NO 10-30 VDC, 200MA; NITROGEN POST-GAS FLOW CHECK SENSOR ;")</f>
        <v>SENSOR NO 10-30 VDC, 200MA; NITROGEN POST-GAS FLOW CHECK SENSOR ;</v>
      </c>
      <c r="C840" s="14" t="str">
        <f>IFERROR(__xludf.DUMMYFUNCTION("""COMPUTED_VALUE"""),"O-51746-00")</f>
        <v>O-51746-00</v>
      </c>
    </row>
    <row r="841">
      <c r="A841" s="14" t="str">
        <f>IFERROR(__xludf.DUMMYFUNCTION("""COMPUTED_VALUE"""),"O-51747-00")</f>
        <v>O-51747-00</v>
      </c>
      <c r="B841" s="14" t="str">
        <f>IFERROR(__xludf.DUMMYFUNCTION("""COMPUTED_VALUE"""),"TEMPERATURE PROBE ;PRODUCT ; TE2/TE2R ;")</f>
        <v>TEMPERATURE PROBE ;PRODUCT ; TE2/TE2R ;</v>
      </c>
      <c r="C841" s="14" t="str">
        <f>IFERROR(__xludf.DUMMYFUNCTION("""COMPUTED_VALUE"""),"O-51747-00")</f>
        <v>O-51747-00</v>
      </c>
    </row>
    <row r="842">
      <c r="A842" s="14" t="str">
        <f>IFERROR(__xludf.DUMMYFUNCTION("""COMPUTED_VALUE"""),"O-51748-00")</f>
        <v>O-51748-00</v>
      </c>
      <c r="B842" s="14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4" t="str">
        <f>IFERROR(__xludf.DUMMYFUNCTION("""COMPUTED_VALUE"""),"O-51748-00")</f>
        <v>O-51748-00</v>
      </c>
    </row>
    <row r="843">
      <c r="A843" s="14" t="str">
        <f>IFERROR(__xludf.DUMMYFUNCTION("""COMPUTED_VALUE"""),"O-51749-00")</f>
        <v>O-51749-00</v>
      </c>
      <c r="B843" s="14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4" t="str">
        <f>IFERROR(__xludf.DUMMYFUNCTION("""COMPUTED_VALUE"""),"O-51749-00")</f>
        <v>O-51749-00</v>
      </c>
    </row>
    <row r="844">
      <c r="A844" s="14" t="str">
        <f>IFERROR(__xludf.DUMMYFUNCTION("""COMPUTED_VALUE"""),"O-51750-00")</f>
        <v>O-51750-00</v>
      </c>
      <c r="B844" s="14" t="str">
        <f>IFERROR(__xludf.DUMMYFUNCTION("""COMPUTED_VALUE"""),"PHOTOCELL SENSOR WITH REFLECTOR PZ-G62CP WITH R-5 Code: PZ-G62CP+R-5")</f>
        <v>PHOTOCELL SENSOR WITH REFLECTOR PZ-G62CP WITH R-5 Code: PZ-G62CP+R-5</v>
      </c>
      <c r="C844" s="14" t="str">
        <f>IFERROR(__xludf.DUMMYFUNCTION("""COMPUTED_VALUE"""),"O-51750-00")</f>
        <v>O-51750-00</v>
      </c>
    </row>
    <row r="845">
      <c r="A845" s="14" t="str">
        <f>IFERROR(__xludf.DUMMYFUNCTION("""COMPUTED_VALUE"""),"O-51755-00")</f>
        <v>O-51755-00</v>
      </c>
      <c r="B845" s="14" t="str">
        <f>IFERROR(__xludf.DUMMYFUNCTION("""COMPUTED_VALUE"""),"Connector VGA male plug breakout terminal connector 15 Pin Socket VGA; ; ;")</f>
        <v>Connector VGA male plug breakout terminal connector 15 Pin Socket VGA; ; ;</v>
      </c>
      <c r="C845" s="14" t="str">
        <f>IFERROR(__xludf.DUMMYFUNCTION("""COMPUTED_VALUE"""),"O-51755-00")</f>
        <v>O-51755-00</v>
      </c>
    </row>
    <row r="846">
      <c r="A846" s="14" t="str">
        <f>IFERROR(__xludf.DUMMYFUNCTION("""COMPUTED_VALUE"""),"O-51767-00")</f>
        <v>O-51767-00</v>
      </c>
      <c r="B846" s="14" t="str">
        <f>IFERROR(__xludf.DUMMYFUNCTION("""COMPUTED_VALUE"""),"WAGO 750-530 8-CHANNEL DIGITAL OUTPUT MODULE STD PACK; ; ;")</f>
        <v>WAGO 750-530 8-CHANNEL DIGITAL OUTPUT MODULE STD PACK; ; ;</v>
      </c>
      <c r="C846" s="14" t="str">
        <f>IFERROR(__xludf.DUMMYFUNCTION("""COMPUTED_VALUE"""),"O-51767-00")</f>
        <v>O-51767-00</v>
      </c>
    </row>
    <row r="847">
      <c r="A847" s="14" t="str">
        <f>IFERROR(__xludf.DUMMYFUNCTION("""COMPUTED_VALUE"""),"O-51768-00")</f>
        <v>O-51768-00</v>
      </c>
      <c r="B847" s="14" t="str">
        <f>IFERROR(__xludf.DUMMYFUNCTION("""COMPUTED_VALUE"""),"WAGO 750-513 2-CHANNEL RELAY OUTPUT MODULE STD PACK; ; ;")</f>
        <v>WAGO 750-513 2-CHANNEL RELAY OUTPUT MODULE STD PACK; ; ;</v>
      </c>
      <c r="C847" s="14" t="str">
        <f>IFERROR(__xludf.DUMMYFUNCTION("""COMPUTED_VALUE"""),"O-51768-00")</f>
        <v>O-51768-00</v>
      </c>
    </row>
    <row r="848">
      <c r="A848" s="14" t="str">
        <f>IFERROR(__xludf.DUMMYFUNCTION("""COMPUTED_VALUE"""),"O-51769-00")</f>
        <v>O-51769-00</v>
      </c>
      <c r="B848" s="14" t="str">
        <f>IFERROR(__xludf.DUMMYFUNCTION("""COMPUTED_VALUE"""),"WAGO 750-430 8-CHANNEL DIGITAL INPUT MODULE STD PACK; ; ;")</f>
        <v>WAGO 750-430 8-CHANNEL DIGITAL INPUT MODULE STD PACK; ; ;</v>
      </c>
      <c r="C848" s="14" t="str">
        <f>IFERROR(__xludf.DUMMYFUNCTION("""COMPUTED_VALUE"""),"O-51769-00")</f>
        <v>O-51769-00</v>
      </c>
    </row>
    <row r="849">
      <c r="A849" s="14" t="str">
        <f>IFERROR(__xludf.DUMMYFUNCTION("""COMPUTED_VALUE"""),"O-51770-00")</f>
        <v>O-51770-00</v>
      </c>
      <c r="B849" s="14" t="str">
        <f>IFERROR(__xludf.DUMMYFUNCTION("""COMPUTED_VALUE"""),"WAGO 750-602 SUPPLY MODULE STD PACK; ; ;")</f>
        <v>WAGO 750-602 SUPPLY MODULE STD PACK; ; ;</v>
      </c>
      <c r="C849" s="14" t="str">
        <f>IFERROR(__xludf.DUMMYFUNCTION("""COMPUTED_VALUE"""),"O-51770-00")</f>
        <v>O-51770-00</v>
      </c>
    </row>
    <row r="850">
      <c r="A850" s="14" t="str">
        <f>IFERROR(__xludf.DUMMYFUNCTION("""COMPUTED_VALUE"""),"O-51771-00")</f>
        <v>O-51771-00</v>
      </c>
      <c r="B850" s="14" t="str">
        <f>IFERROR(__xludf.DUMMYFUNCTION("""COMPUTED_VALUE"""),"WAGO 750-501 2-CHANNEL DIGITAL OUTPUT MODULE STD PACK")</f>
        <v>WAGO 750-501 2-CHANNEL DIGITAL OUTPUT MODULE STD PACK</v>
      </c>
      <c r="C850" s="14" t="str">
        <f>IFERROR(__xludf.DUMMYFUNCTION("""COMPUTED_VALUE"""),"O-51771-00")</f>
        <v>O-51771-00</v>
      </c>
    </row>
    <row r="851">
      <c r="A851" s="14" t="str">
        <f>IFERROR(__xludf.DUMMYFUNCTION("""COMPUTED_VALUE"""),"O-51772-00")</f>
        <v>O-51772-00</v>
      </c>
      <c r="B851" s="14" t="str">
        <f>IFERROR(__xludf.DUMMYFUNCTION("""COMPUTED_VALUE"""),"WAGO 750-402 4-CHANNEL DIGITAL INPUT MODULE STD PACK")</f>
        <v>WAGO 750-402 4-CHANNEL DIGITAL INPUT MODULE STD PACK</v>
      </c>
      <c r="C851" s="14" t="str">
        <f>IFERROR(__xludf.DUMMYFUNCTION("""COMPUTED_VALUE"""),"O-51772-00")</f>
        <v>O-51772-00</v>
      </c>
    </row>
    <row r="852">
      <c r="A852" s="14" t="str">
        <f>IFERROR(__xludf.DUMMYFUNCTION("""COMPUTED_VALUE"""),"O-51773-00")</f>
        <v>O-51773-00</v>
      </c>
      <c r="B852" s="14" t="str">
        <f>IFERROR(__xludf.DUMMYFUNCTION("""COMPUTED_VALUE"""),"WAGO 750-550 2-CHANNEL ANALOG OUTPUT MODULE STD PACK; ; ;")</f>
        <v>WAGO 750-550 2-CHANNEL ANALOG OUTPUT MODULE STD PACK; ; ;</v>
      </c>
      <c r="C852" s="14" t="str">
        <f>IFERROR(__xludf.DUMMYFUNCTION("""COMPUTED_VALUE"""),"O-51773-00")</f>
        <v>O-51773-00</v>
      </c>
    </row>
    <row r="853">
      <c r="A853" s="14" t="str">
        <f>IFERROR(__xludf.DUMMYFUNCTION("""COMPUTED_VALUE"""),"O-51774-00")</f>
        <v>O-51774-00</v>
      </c>
      <c r="B853" s="14" t="str">
        <f>IFERROR(__xludf.DUMMYFUNCTION("""COMPUTED_VALUE"""),"WAGO 750-472 2-CHANNEL ANALOG INPUT MODULE STD PACK")</f>
        <v>WAGO 750-472 2-CHANNEL ANALOG INPUT MODULE STD PACK</v>
      </c>
      <c r="C853" s="14" t="str">
        <f>IFERROR(__xludf.DUMMYFUNCTION("""COMPUTED_VALUE"""),"O-51774-00")</f>
        <v>O-51774-00</v>
      </c>
    </row>
    <row r="854">
      <c r="A854" s="14" t="str">
        <f>IFERROR(__xludf.DUMMYFUNCTION("""COMPUTED_VALUE"""),"O-51775-00")</f>
        <v>O-51775-00</v>
      </c>
      <c r="B854" s="14" t="str">
        <f>IFERROR(__xludf.DUMMYFUNCTION("""COMPUTED_VALUE"""),"WAGO 750-461 2-CHANNEL ANALOG INPUT MODULE STD PACK: 1EA; ; ;")</f>
        <v>WAGO 750-461 2-CHANNEL ANALOG INPUT MODULE STD PACK: 1EA; ; ;</v>
      </c>
      <c r="C854" s="14" t="str">
        <f>IFERROR(__xludf.DUMMYFUNCTION("""COMPUTED_VALUE"""),"O-51775-00")</f>
        <v>O-51775-00</v>
      </c>
    </row>
    <row r="855">
      <c r="A855" s="14" t="str">
        <f>IFERROR(__xludf.DUMMYFUNCTION("""COMPUTED_VALUE"""),"O-51777-00")</f>
        <v>O-51777-00</v>
      </c>
      <c r="B855" s="14" t="str">
        <f>IFERROR(__xludf.DUMMYFUNCTION("""COMPUTED_VALUE"""),"Isoloator glove code: M200/90 Y 550 E4; ; ;")</f>
        <v>Isoloator glove code: M200/90 Y 550 E4; ; ;</v>
      </c>
      <c r="C855" s="14" t="str">
        <f>IFERROR(__xludf.DUMMYFUNCTION("""COMPUTED_VALUE"""),"O-51777-00")</f>
        <v>O-51777-00</v>
      </c>
    </row>
    <row r="856">
      <c r="A856" s="14" t="str">
        <f>IFERROR(__xludf.DUMMYFUNCTION("""COMPUTED_VALUE"""),"O-51793-00")</f>
        <v>O-51793-00</v>
      </c>
      <c r="B856" s="14" t="str">
        <f>IFERROR(__xludf.DUMMYFUNCTION("""COMPUTED_VALUE"""),"Pneumatic Actuator Double Acting-063 Festork; ; ;")</f>
        <v>Pneumatic Actuator Double Acting-063 Festork; ; ;</v>
      </c>
      <c r="C856" s="14" t="str">
        <f>IFERROR(__xludf.DUMMYFUNCTION("""COMPUTED_VALUE"""),"O-51793-00")</f>
        <v>O-51793-00</v>
      </c>
    </row>
    <row r="857">
      <c r="A857" s="14" t="str">
        <f>IFERROR(__xludf.DUMMYFUNCTION("""COMPUTED_VALUE"""),"O-51793-00")</f>
        <v>O-51793-00</v>
      </c>
      <c r="B857" s="14" t="str">
        <f>IFERROR(__xludf.DUMMYFUNCTION("""COMPUTED_VALUE"""),"Pneumatic Actuator Double Acting-063 Festork; ; ;")</f>
        <v>Pneumatic Actuator Double Acting-063 Festork; ; ;</v>
      </c>
      <c r="C857" s="14" t="str">
        <f>IFERROR(__xludf.DUMMYFUNCTION("""COMPUTED_VALUE"""),"O-51793-00")</f>
        <v>O-51793-00</v>
      </c>
    </row>
    <row r="858">
      <c r="A858" s="14" t="str">
        <f>IFERROR(__xludf.DUMMYFUNCTION("""COMPUTED_VALUE"""),"O-51794-00")</f>
        <v>O-51794-00</v>
      </c>
      <c r="B858" s="14" t="str">
        <f>IFERROR(__xludf.DUMMYFUNCTION("""COMPUTED_VALUE"""),"Recorder Type KRN1000-0801-0S Autonics; ; ;")</f>
        <v>Recorder Type KRN1000-0801-0S Autonics; ; ;</v>
      </c>
      <c r="C858" s="14" t="str">
        <f>IFERROR(__xludf.DUMMYFUNCTION("""COMPUTED_VALUE"""),"O-51794-00")</f>
        <v>O-51794-00</v>
      </c>
    </row>
    <row r="859">
      <c r="A859" s="14" t="str">
        <f>IFERROR(__xludf.DUMMYFUNCTION("""COMPUTED_VALUE"""),"O-51813-00")</f>
        <v>O-51813-00</v>
      </c>
      <c r="B859" s="14" t="str">
        <f>IFERROR(__xludf.DUMMYFUNCTION("""COMPUTED_VALUE"""),"Digital Timer Switch Simplexa 601 Theben Germany; ; ;")</f>
        <v>Digital Timer Switch Simplexa 601 Theben Germany; ; ;</v>
      </c>
      <c r="C859" s="14" t="str">
        <f>IFERROR(__xludf.DUMMYFUNCTION("""COMPUTED_VALUE"""),"O-51813-00")</f>
        <v>O-51813-00</v>
      </c>
    </row>
    <row r="860">
      <c r="A860" s="14" t="str">
        <f>IFERROR(__xludf.DUMMYFUNCTION("""COMPUTED_VALUE"""),"O-51814-00")</f>
        <v>O-51814-00</v>
      </c>
      <c r="B860" s="14" t="str">
        <f>IFERROR(__xludf.DUMMYFUNCTION("""COMPUTED_VALUE"""),"Cable gland for temperature probe with D15mm; 64940; ; ;")</f>
        <v>Cable gland for temperature probe with D15mm; 64940; ; ;</v>
      </c>
      <c r="C860" s="14" t="str">
        <f>IFERROR(__xludf.DUMMYFUNCTION("""COMPUTED_VALUE"""),"O-51814-00")</f>
        <v>O-51814-00</v>
      </c>
    </row>
    <row r="861">
      <c r="A861" s="14" t="str">
        <f>IFERROR(__xludf.DUMMYFUNCTION("""COMPUTED_VALUE"""),"O-51815-00")</f>
        <v>O-51815-00</v>
      </c>
      <c r="B861" s="14" t="str">
        <f>IFERROR(__xludf.DUMMYFUNCTION("""COMPUTED_VALUE"""),"Digital probe for humidity and temperature; 64939; ; ;")</f>
        <v>Digital probe for humidity and temperature; 64939; ; ;</v>
      </c>
      <c r="C861" s="14" t="str">
        <f>IFERROR(__xludf.DUMMYFUNCTION("""COMPUTED_VALUE"""),"O-51815-00")</f>
        <v>O-51815-00</v>
      </c>
    </row>
    <row r="862">
      <c r="A862" s="14" t="str">
        <f>IFERROR(__xludf.DUMMYFUNCTION("""COMPUTED_VALUE"""),"O-51816-00")</f>
        <v>O-51816-00</v>
      </c>
      <c r="B862" s="14" t="str">
        <f>IFERROR(__xludf.DUMMYFUNCTION("""COMPUTED_VALUE"""),"Trasmitter for temperature probe HC2-xxx-EX; 64938; ; ;")</f>
        <v>Trasmitter for temperature probe HC2-xxx-EX; 64938; ; ;</v>
      </c>
      <c r="C862" s="14" t="str">
        <f>IFERROR(__xludf.DUMMYFUNCTION("""COMPUTED_VALUE"""),"O-51816-00")</f>
        <v>O-51816-00</v>
      </c>
    </row>
    <row r="863">
      <c r="A863" s="14" t="str">
        <f>IFERROR(__xludf.DUMMYFUNCTION("""COMPUTED_VALUE"""),"O-51817-00")</f>
        <v>O-51817-00</v>
      </c>
      <c r="B863" s="14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4" t="str">
        <f>IFERROR(__xludf.DUMMYFUNCTION("""COMPUTED_VALUE"""),"O-51817-00")</f>
        <v>O-51817-00</v>
      </c>
    </row>
    <row r="864">
      <c r="A864" s="14" t="str">
        <f>IFERROR(__xludf.DUMMYFUNCTION("""COMPUTED_VALUE"""),"O-51818-00")</f>
        <v>O-51818-00</v>
      </c>
      <c r="B864" s="14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4" t="str">
        <f>IFERROR(__xludf.DUMMYFUNCTION("""COMPUTED_VALUE"""),"O-51818-00")</f>
        <v>O-51818-00</v>
      </c>
    </row>
    <row r="865">
      <c r="A865" s="14" t="str">
        <f>IFERROR(__xludf.DUMMYFUNCTION("""COMPUTED_VALUE"""),"O-51819-00")</f>
        <v>O-51819-00</v>
      </c>
      <c r="B865" s="14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4" t="str">
        <f>IFERROR(__xludf.DUMMYFUNCTION("""COMPUTED_VALUE"""),"O-51819-00")</f>
        <v>O-51819-00</v>
      </c>
    </row>
    <row r="866">
      <c r="A866" s="14" t="str">
        <f>IFERROR(__xludf.DUMMYFUNCTION("""COMPUTED_VALUE"""),"O-51820-00")</f>
        <v>O-51820-00</v>
      </c>
      <c r="B866" s="14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4" t="str">
        <f>IFERROR(__xludf.DUMMYFUNCTION("""COMPUTED_VALUE"""),"O-51820-00")</f>
        <v>O-51820-00</v>
      </c>
    </row>
    <row r="867">
      <c r="A867" s="14" t="str">
        <f>IFERROR(__xludf.DUMMYFUNCTION("""COMPUTED_VALUE"""),"O-51821-00")</f>
        <v>O-51821-00</v>
      </c>
      <c r="B867" s="14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4" t="str">
        <f>IFERROR(__xludf.DUMMYFUNCTION("""COMPUTED_VALUE"""),"O-51821-00")</f>
        <v>O-51821-00</v>
      </c>
    </row>
    <row r="868">
      <c r="A868" s="14" t="str">
        <f>IFERROR(__xludf.DUMMYFUNCTION("""COMPUTED_VALUE"""),"O-51822-00")</f>
        <v>O-51822-00</v>
      </c>
      <c r="B868" s="14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4" t="str">
        <f>IFERROR(__xludf.DUMMYFUNCTION("""COMPUTED_VALUE"""),"O-51822-00")</f>
        <v>O-51822-00</v>
      </c>
    </row>
    <row r="869">
      <c r="A869" s="14" t="str">
        <f>IFERROR(__xludf.DUMMYFUNCTION("""COMPUTED_VALUE"""),"O-51827-00")</f>
        <v>O-51827-00</v>
      </c>
      <c r="B869" s="14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4" t="str">
        <f>IFERROR(__xludf.DUMMYFUNCTION("""COMPUTED_VALUE"""),"O-51827-00")</f>
        <v>O-51827-00</v>
      </c>
    </row>
    <row r="870">
      <c r="A870" s="14" t="str">
        <f>IFERROR(__xludf.DUMMYFUNCTION("""COMPUTED_VALUE"""),"O-51837-00")</f>
        <v>O-51837-00</v>
      </c>
      <c r="B870" s="14" t="str">
        <f>IFERROR(__xludf.DUMMYFUNCTION("""COMPUTED_VALUE"""),"REED SWITCH WITH CONNECTOR M08; UNIVER; TYPE : DF 220 M08; ; ;")</f>
        <v>REED SWITCH WITH CONNECTOR M08; UNIVER; TYPE : DF 220 M08; ; ;</v>
      </c>
      <c r="C870" s="14" t="str">
        <f>IFERROR(__xludf.DUMMYFUNCTION("""COMPUTED_VALUE"""),"O-51837-00")</f>
        <v>O-51837-00</v>
      </c>
    </row>
    <row r="871">
      <c r="A871" s="14" t="str">
        <f>IFERROR(__xludf.DUMMYFUNCTION("""COMPUTED_VALUE"""),"O-51838-00")</f>
        <v>O-51838-00</v>
      </c>
      <c r="B871" s="14" t="str">
        <f>IFERROR(__xludf.DUMMYFUNCTION("""COMPUTED_VALUE"""),"Compact Cylinder (w/o Non Rotating); TYPE : RP 200 016 0015; ; ;")</f>
        <v>Compact Cylinder (w/o Non Rotating); TYPE : RP 200 016 0015; ; ;</v>
      </c>
      <c r="C871" s="14" t="str">
        <f>IFERROR(__xludf.DUMMYFUNCTION("""COMPUTED_VALUE"""),"O-51838-00")</f>
        <v>O-51838-00</v>
      </c>
    </row>
    <row r="872">
      <c r="A872" s="14" t="str">
        <f>IFERROR(__xludf.DUMMYFUNCTION("""COMPUTED_VALUE"""),"O-51850-00")</f>
        <v>O-51850-00</v>
      </c>
      <c r="B872" s="14" t="str">
        <f>IFERROR(__xludf.DUMMYFUNCTION("""COMPUTED_VALUE"""),"General - Power Supply 220 VAC 12 VDC, 3 Ampere; -; -; 1 Pc")</f>
        <v>General - Power Supply 220 VAC 12 VDC, 3 Ampere; -; -; 1 Pc</v>
      </c>
      <c r="C872" s="14" t="str">
        <f>IFERROR(__xludf.DUMMYFUNCTION("""COMPUTED_VALUE"""),"O-51850-00")</f>
        <v>O-51850-00</v>
      </c>
    </row>
    <row r="873">
      <c r="A873" s="14" t="str">
        <f>IFERROR(__xludf.DUMMYFUNCTION("""COMPUTED_VALUE"""),"O-51851-00")</f>
        <v>O-51851-00</v>
      </c>
      <c r="B873" s="14" t="str">
        <f>IFERROR(__xludf.DUMMYFUNCTION("""COMPUTED_VALUE"""),"Proximity Sensor Omron Type: E2E-X5F1-M1; ; ;")</f>
        <v>Proximity Sensor Omron Type: E2E-X5F1-M1; ; ;</v>
      </c>
      <c r="C873" s="14" t="str">
        <f>IFERROR(__xludf.DUMMYFUNCTION("""COMPUTED_VALUE"""),"O-51851-00")</f>
        <v>O-51851-00</v>
      </c>
    </row>
    <row r="874">
      <c r="A874" s="14" t="str">
        <f>IFERROR(__xludf.DUMMYFUNCTION("""COMPUTED_VALUE"""),"O-51871-00")</f>
        <v>O-51871-00</v>
      </c>
      <c r="B874" s="14" t="str">
        <f>IFERROR(__xludf.DUMMYFUNCTION("""COMPUTED_VALUE"""),"Zenner Barier Pepperl + Fuchs Type Z788.H P/N : 71972; ; ;")</f>
        <v>Zenner Barier Pepperl + Fuchs Type Z788.H P/N : 71972; ; ;</v>
      </c>
      <c r="C874" s="14" t="str">
        <f>IFERROR(__xludf.DUMMYFUNCTION("""COMPUTED_VALUE"""),"O-51871-00")</f>
        <v>O-51871-00</v>
      </c>
    </row>
    <row r="875">
      <c r="A875" s="14" t="str">
        <f>IFERROR(__xludf.DUMMYFUNCTION("""COMPUTED_VALUE"""),"O-51873-00")</f>
        <v>O-51873-00</v>
      </c>
      <c r="B875" s="14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4" t="str">
        <f>IFERROR(__xludf.DUMMYFUNCTION("""COMPUTED_VALUE"""),"O-51873-00")</f>
        <v>O-51873-00</v>
      </c>
    </row>
    <row r="876">
      <c r="A876" s="14" t="str">
        <f>IFERROR(__xludf.DUMMYFUNCTION("""COMPUTED_VALUE"""),"O-51874-00")</f>
        <v>O-51874-00</v>
      </c>
      <c r="B876" s="14" t="str">
        <f>IFERROR(__xludf.DUMMYFUNCTION("""COMPUTED_VALUE"""),"Wall Mount Probe With 140 mm Probe Length, Model : HC2-SM-EX; ; ;")</f>
        <v>Wall Mount Probe With 140 mm Probe Length, Model : HC2-SM-EX; ; ;</v>
      </c>
      <c r="C876" s="14" t="str">
        <f>IFERROR(__xludf.DUMMYFUNCTION("""COMPUTED_VALUE"""),"O-51874-00")</f>
        <v>O-51874-00</v>
      </c>
    </row>
    <row r="877">
      <c r="A877" s="14" t="str">
        <f>IFERROR(__xludf.DUMMYFUNCTION("""COMPUTED_VALUE"""),"O-51875-00")</f>
        <v>O-51875-00</v>
      </c>
      <c r="B877" s="14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4" t="str">
        <f>IFERROR(__xludf.DUMMYFUNCTION("""COMPUTED_VALUE"""),"O-51875-00")</f>
        <v>O-51875-00</v>
      </c>
    </row>
    <row r="878">
      <c r="A878" s="14" t="str">
        <f>IFERROR(__xludf.DUMMYFUNCTION("""COMPUTED_VALUE"""),"O-51904-00")</f>
        <v>O-51904-00</v>
      </c>
      <c r="B878" s="14" t="str">
        <f>IFERROR(__xludf.DUMMYFUNCTION("""COMPUTED_VALUE"""),"Capasitor 50 mf 400 V; ; ;")</f>
        <v>Capasitor 50 mf 400 V; ; ;</v>
      </c>
      <c r="C878" s="14" t="str">
        <f>IFERROR(__xludf.DUMMYFUNCTION("""COMPUTED_VALUE"""),"O-51904-00")</f>
        <v>O-51904-00</v>
      </c>
    </row>
    <row r="879">
      <c r="A879" s="14" t="str">
        <f>IFERROR(__xludf.DUMMYFUNCTION("""COMPUTED_VALUE"""),"O-51911-00")</f>
        <v>O-51911-00</v>
      </c>
      <c r="B879" s="14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4" t="str">
        <f>IFERROR(__xludf.DUMMYFUNCTION("""COMPUTED_VALUE"""),"O-51911-00")</f>
        <v>O-51911-00</v>
      </c>
    </row>
    <row r="880">
      <c r="A880" s="14" t="str">
        <f>IFERROR(__xludf.DUMMYFUNCTION("""COMPUTED_VALUE"""),"O-51912-00")</f>
        <v>O-51912-00</v>
      </c>
      <c r="B880" s="14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4" t="str">
        <f>IFERROR(__xludf.DUMMYFUNCTION("""COMPUTED_VALUE"""),"O-51912-00")</f>
        <v>O-51912-00</v>
      </c>
    </row>
    <row r="881">
      <c r="A881" s="14" t="str">
        <f>IFERROR(__xludf.DUMMYFUNCTION("""COMPUTED_VALUE"""),"O-51920-00")</f>
        <v>O-51920-00</v>
      </c>
      <c r="B881" s="14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4" t="str">
        <f>IFERROR(__xludf.DUMMYFUNCTION("""COMPUTED_VALUE"""),"O-51920-00")</f>
        <v>O-51920-00</v>
      </c>
    </row>
    <row r="882">
      <c r="A882" s="14" t="str">
        <f>IFERROR(__xludf.DUMMYFUNCTION("""COMPUTED_VALUE"""),"O-51942-00")</f>
        <v>O-51942-00</v>
      </c>
      <c r="B882" s="14" t="str">
        <f>IFERROR(__xludf.DUMMYFUNCTION("""COMPUTED_VALUE"""),"Inverter Sinamics 1,1 kw 6SL3224-0BE21-1UA0; Siemens; ;")</f>
        <v>Inverter Sinamics 1,1 kw 6SL3224-0BE21-1UA0; Siemens; ;</v>
      </c>
      <c r="C882" s="14" t="str">
        <f>IFERROR(__xludf.DUMMYFUNCTION("""COMPUTED_VALUE"""),"O-51942-00")</f>
        <v>O-51942-00</v>
      </c>
    </row>
    <row r="883">
      <c r="A883" s="14" t="str">
        <f>IFERROR(__xludf.DUMMYFUNCTION("""COMPUTED_VALUE"""),"O-51943-00")</f>
        <v>O-51943-00</v>
      </c>
      <c r="B883" s="14" t="str">
        <f>IFERROR(__xludf.DUMMYFUNCTION("""COMPUTED_VALUE"""),"Inverter Sinamics 1,5 kw 6SL3210-1PE16-1UL1; Siemens; ;")</f>
        <v>Inverter Sinamics 1,5 kw 6SL3210-1PE16-1UL1; Siemens; ;</v>
      </c>
      <c r="C883" s="14" t="str">
        <f>IFERROR(__xludf.DUMMYFUNCTION("""COMPUTED_VALUE"""),"O-51943-00")</f>
        <v>O-51943-00</v>
      </c>
    </row>
    <row r="884">
      <c r="A884" s="14" t="str">
        <f>IFERROR(__xludf.DUMMYFUNCTION("""COMPUTED_VALUE"""),"O-51944-00")</f>
        <v>O-51944-00</v>
      </c>
      <c r="B884" s="14" t="str">
        <f>IFERROR(__xludf.DUMMYFUNCTION("""COMPUTED_VALUE"""),"Connector Plug for Profibus,Simatic DP 6ES7972-0BB12-0XA0; Siemens; ;")</f>
        <v>Connector Plug for Profibus,Simatic DP 6ES7972-0BB12-0XA0; Siemens; ;</v>
      </c>
      <c r="C884" s="14" t="str">
        <f>IFERROR(__xludf.DUMMYFUNCTION("""COMPUTED_VALUE"""),"O-51944-00")</f>
        <v>O-51944-00</v>
      </c>
    </row>
    <row r="885">
      <c r="A885" s="14" t="str">
        <f>IFERROR(__xludf.DUMMYFUNCTION("""COMPUTED_VALUE"""),"O-51945-00")</f>
        <v>O-51945-00</v>
      </c>
      <c r="B885" s="14" t="str">
        <f>IFERROR(__xludf.DUMMYFUNCTION("""COMPUTED_VALUE"""),"Photo Sensor BRP3M-MDT Autonics")</f>
        <v>Photo Sensor BRP3M-MDT Autonics</v>
      </c>
      <c r="C885" s="14" t="str">
        <f>IFERROR(__xludf.DUMMYFUNCTION("""COMPUTED_VALUE"""),"O-51945-00")</f>
        <v>O-51945-00</v>
      </c>
    </row>
    <row r="886">
      <c r="A886" s="14" t="str">
        <f>IFERROR(__xludf.DUMMYFUNCTION("""COMPUTED_VALUE"""),"O-51946-00")</f>
        <v>O-51946-00</v>
      </c>
      <c r="B886" s="14" t="str">
        <f>IFERROR(__xludf.DUMMYFUNCTION("""COMPUTED_VALUE"""),"Pressure Sensor Autonics Model PSAN-V01CPV-RC1/8 1unit")</f>
        <v>Pressure Sensor Autonics Model PSAN-V01CPV-RC1/8 1unit</v>
      </c>
      <c r="C886" s="14" t="str">
        <f>IFERROR(__xludf.DUMMYFUNCTION("""COMPUTED_VALUE"""),"O-51946-00")</f>
        <v>O-51946-00</v>
      </c>
    </row>
    <row r="887">
      <c r="A887" s="14" t="str">
        <f>IFERROR(__xludf.DUMMYFUNCTION("""COMPUTED_VALUE"""),"O-51965-00")</f>
        <v>O-51965-00</v>
      </c>
      <c r="B887" s="14" t="str">
        <f>IFERROR(__xludf.DUMMYFUNCTION("""COMPUTED_VALUE"""),"IMA CLU EK2046 - Module MOXA IO Logic-E1214 p/n:6822921")</f>
        <v>IMA CLU EK2046 - Module MOXA IO Logic-E1214 p/n:6822921</v>
      </c>
      <c r="C887" s="14" t="str">
        <f>IFERROR(__xludf.DUMMYFUNCTION("""COMPUTED_VALUE"""),"O-51965-00")</f>
        <v>O-51965-00</v>
      </c>
    </row>
    <row r="888">
      <c r="A888" s="14" t="str">
        <f>IFERROR(__xludf.DUMMYFUNCTION("""COMPUTED_VALUE"""),"O-51966-00")</f>
        <v>O-51966-00</v>
      </c>
      <c r="B888" s="14" t="str">
        <f>IFERROR(__xludf.DUMMYFUNCTION("""COMPUTED_VALUE"""),"Memory Card Compact Flash 16GB")</f>
        <v>Memory Card Compact Flash 16GB</v>
      </c>
      <c r="C888" s="14" t="str">
        <f>IFERROR(__xludf.DUMMYFUNCTION("""COMPUTED_VALUE"""),"O-51966-00")</f>
        <v>O-51966-00</v>
      </c>
    </row>
    <row r="889">
      <c r="A889" s="14" t="str">
        <f>IFERROR(__xludf.DUMMYFUNCTION("""COMPUTED_VALUE"""),"O-51967-00")</f>
        <v>O-51967-00</v>
      </c>
      <c r="B889" s="14" t="str">
        <f>IFERROR(__xludf.DUMMYFUNCTION("""COMPUTED_VALUE"""),"General - Solid State Relay 3-32 VDC - 330 VAC 25 A; Fotek; SSR 3-32; 1 Pc")</f>
        <v>General - Solid State Relay 3-32 VDC - 330 VAC 25 A; Fotek; SSR 3-32; 1 Pc</v>
      </c>
      <c r="C889" s="14" t="str">
        <f>IFERROR(__xludf.DUMMYFUNCTION("""COMPUTED_VALUE"""),"O-51967-00")</f>
        <v>O-51967-00</v>
      </c>
    </row>
    <row r="890">
      <c r="A890" s="14" t="str">
        <f>IFERROR(__xludf.DUMMYFUNCTION("""COMPUTED_VALUE"""),"O-51986-00")</f>
        <v>O-51986-00</v>
      </c>
      <c r="B890" s="14" t="str">
        <f>IFERROR(__xludf.DUMMYFUNCTION("""COMPUTED_VALUE"""),"Flow Switch 1inch 220V; ; ;")</f>
        <v>Flow Switch 1inch 220V; ; ;</v>
      </c>
      <c r="C890" s="14" t="str">
        <f>IFERROR(__xludf.DUMMYFUNCTION("""COMPUTED_VALUE"""),"O-51986-00")</f>
        <v>O-51986-00</v>
      </c>
    </row>
    <row r="891">
      <c r="A891" s="14" t="str">
        <f>IFERROR(__xludf.DUMMYFUNCTION("""COMPUTED_VALUE"""),"O-51996-00")</f>
        <v>O-51996-00</v>
      </c>
      <c r="B891" s="14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4" t="str">
        <f>IFERROR(__xludf.DUMMYFUNCTION("""COMPUTED_VALUE"""),"O-51996-00")</f>
        <v>O-51996-00</v>
      </c>
    </row>
    <row r="892">
      <c r="A892" s="14" t="str">
        <f>IFERROR(__xludf.DUMMYFUNCTION("""COMPUTED_VALUE"""),"O-51996-00")</f>
        <v>O-51996-00</v>
      </c>
      <c r="B892" s="14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4" t="str">
        <f>IFERROR(__xludf.DUMMYFUNCTION("""COMPUTED_VALUE"""),"O-51996-00")</f>
        <v>O-51996-00</v>
      </c>
    </row>
    <row r="893">
      <c r="A893" s="14" t="str">
        <f>IFERROR(__xludf.DUMMYFUNCTION("""COMPUTED_VALUE"""),"O-52001-00")</f>
        <v>O-52001-00</v>
      </c>
      <c r="B893" s="14" t="str">
        <f>IFERROR(__xludf.DUMMYFUNCTION("""COMPUTED_VALUE"""),"Contactor Merk. Schneider LC1D40A 220 V")</f>
        <v>Contactor Merk. Schneider LC1D40A 220 V</v>
      </c>
      <c r="C893" s="14" t="str">
        <f>IFERROR(__xludf.DUMMYFUNCTION("""COMPUTED_VALUE"""),"O-52001-00")</f>
        <v>O-52001-00</v>
      </c>
    </row>
    <row r="894">
      <c r="A894" s="14" t="str">
        <f>IFERROR(__xludf.DUMMYFUNCTION("""COMPUTED_VALUE"""),"O-52050-00")</f>
        <v>O-52050-00</v>
      </c>
      <c r="B894" s="14" t="str">
        <f>IFERROR(__xludf.DUMMYFUNCTION("""COMPUTED_VALUE"""),"Seidenader MS30 - Reflection Light Scanner p/n:41-057703-00")</f>
        <v>Seidenader MS30 - Reflection Light Scanner p/n:41-057703-00</v>
      </c>
      <c r="C894" s="14" t="str">
        <f>IFERROR(__xludf.DUMMYFUNCTION("""COMPUTED_VALUE"""),"O-52050-00")</f>
        <v>O-52050-00</v>
      </c>
    </row>
    <row r="895">
      <c r="A895" s="14" t="str">
        <f>IFERROR(__xludf.DUMMYFUNCTION("""COMPUTED_VALUE"""),"O-52051-00")</f>
        <v>O-52051-00</v>
      </c>
      <c r="B895" s="14" t="str">
        <f>IFERROR(__xludf.DUMMYFUNCTION("""COMPUTED_VALUE"""),"Seidenader MS30 - Inductive Proximity Switch p/n:41-060180-00")</f>
        <v>Seidenader MS30 - Inductive Proximity Switch p/n:41-060180-00</v>
      </c>
      <c r="C895" s="14" t="str">
        <f>IFERROR(__xludf.DUMMYFUNCTION("""COMPUTED_VALUE"""),"O-52051-00")</f>
        <v>O-52051-00</v>
      </c>
    </row>
    <row r="896">
      <c r="A896" s="14" t="str">
        <f>IFERROR(__xludf.DUMMYFUNCTION("""COMPUTED_VALUE"""),"O-52052-00")</f>
        <v>O-52052-00</v>
      </c>
      <c r="B896" s="14" t="str">
        <f>IFERROR(__xludf.DUMMYFUNCTION("""COMPUTED_VALUE"""),"Seidenader MS30 - Fiber Unit p/n:41-029961-00")</f>
        <v>Seidenader MS30 - Fiber Unit p/n:41-029961-00</v>
      </c>
      <c r="C896" s="14" t="str">
        <f>IFERROR(__xludf.DUMMYFUNCTION("""COMPUTED_VALUE"""),"O-52052-00")</f>
        <v>O-52052-00</v>
      </c>
    </row>
    <row r="897">
      <c r="A897" s="14" t="str">
        <f>IFERROR(__xludf.DUMMYFUNCTION("""COMPUTED_VALUE"""),"O-52053-00")</f>
        <v>O-52053-00</v>
      </c>
      <c r="B897" s="14" t="str">
        <f>IFERROR(__xludf.DUMMYFUNCTION("""COMPUTED_VALUE"""),"Seidenader MS30 - Fiber Optic Receiver p/n:41-049166-00")</f>
        <v>Seidenader MS30 - Fiber Optic Receiver p/n:41-049166-00</v>
      </c>
      <c r="C897" s="14" t="str">
        <f>IFERROR(__xludf.DUMMYFUNCTION("""COMPUTED_VALUE"""),"O-52053-00")</f>
        <v>O-52053-00</v>
      </c>
    </row>
    <row r="898">
      <c r="A898" s="14" t="str">
        <f>IFERROR(__xludf.DUMMYFUNCTION("""COMPUTED_VALUE"""),"O-52054-00")</f>
        <v>O-52054-00</v>
      </c>
      <c r="B898" s="14" t="str">
        <f>IFERROR(__xludf.DUMMYFUNCTION("""COMPUTED_VALUE"""),"Seidenader MS30 - Vwrm 8.8A p/n:41-062095-00")</f>
        <v>Seidenader MS30 - Vwrm 8.8A p/n:41-062095-00</v>
      </c>
      <c r="C898" s="14" t="str">
        <f>IFERROR(__xludf.DUMMYFUNCTION("""COMPUTED_VALUE"""),"O-52054-00")</f>
        <v>O-52054-00</v>
      </c>
    </row>
    <row r="899">
      <c r="A899" s="14" t="str">
        <f>IFERROR(__xludf.DUMMYFUNCTION("""COMPUTED_VALUE"""),"O-52055-00")</f>
        <v>O-52055-00</v>
      </c>
      <c r="B899" s="14" t="str">
        <f>IFERROR(__xludf.DUMMYFUNCTION("""COMPUTED_VALUE"""),"Seidenader MS30 - Laser Sensor p/n:41-044188-00")</f>
        <v>Seidenader MS30 - Laser Sensor p/n:41-044188-00</v>
      </c>
      <c r="C899" s="14" t="str">
        <f>IFERROR(__xludf.DUMMYFUNCTION("""COMPUTED_VALUE"""),"O-52055-00")</f>
        <v>O-52055-00</v>
      </c>
    </row>
    <row r="900">
      <c r="A900" s="14" t="str">
        <f>IFERROR(__xludf.DUMMYFUNCTION("""COMPUTED_VALUE"""),"O-52056-00")</f>
        <v>O-52056-00</v>
      </c>
      <c r="B900" s="14" t="str">
        <f>IFERROR(__xludf.DUMMYFUNCTION("""COMPUTED_VALUE"""),"Seidenader MS30 - Laser Receiver p/n:41-052633-00")</f>
        <v>Seidenader MS30 - Laser Receiver p/n:41-052633-00</v>
      </c>
      <c r="C900" s="14" t="str">
        <f>IFERROR(__xludf.DUMMYFUNCTION("""COMPUTED_VALUE"""),"O-52056-00")</f>
        <v>O-52056-00</v>
      </c>
    </row>
    <row r="901">
      <c r="A901" s="14" t="str">
        <f>IFERROR(__xludf.DUMMYFUNCTION("""COMPUTED_VALUE"""),"O-52057-00")</f>
        <v>O-52057-00</v>
      </c>
      <c r="B901" s="14" t="str">
        <f>IFERROR(__xludf.DUMMYFUNCTION("""COMPUTED_VALUE"""),"Seidenader MS30 - Vwrm 6.5A p/n:41-053926-00")</f>
        <v>Seidenader MS30 - Vwrm 6.5A p/n:41-053926-00</v>
      </c>
      <c r="C901" s="14" t="str">
        <f>IFERROR(__xludf.DUMMYFUNCTION("""COMPUTED_VALUE"""),"O-52057-00")</f>
        <v>O-52057-00</v>
      </c>
    </row>
    <row r="902">
      <c r="A902" s="14" t="str">
        <f>IFERROR(__xludf.DUMMYFUNCTION("""COMPUTED_VALUE"""),"O-52058-00")</f>
        <v>O-52058-00</v>
      </c>
      <c r="B902" s="14" t="str">
        <f>IFERROR(__xludf.DUMMYFUNCTION("""COMPUTED_VALUE"""),"Seidenader MS30 - Filter Pad p/n:41-027751-00")</f>
        <v>Seidenader MS30 - Filter Pad p/n:41-027751-00</v>
      </c>
      <c r="C902" s="14" t="str">
        <f>IFERROR(__xludf.DUMMYFUNCTION("""COMPUTED_VALUE"""),"O-52058-00")</f>
        <v>O-52058-00</v>
      </c>
    </row>
    <row r="903">
      <c r="A903" s="14" t="str">
        <f>IFERROR(__xludf.DUMMYFUNCTION("""COMPUTED_VALUE"""),"O-52059-00")</f>
        <v>O-52059-00</v>
      </c>
      <c r="B903" s="14" t="str">
        <f>IFERROR(__xludf.DUMMYFUNCTION("""COMPUTED_VALUE"""),"Seidenader MS30 - Servo Amplifier p/n:41-055670-00")</f>
        <v>Seidenader MS30 - Servo Amplifier p/n:41-055670-00</v>
      </c>
      <c r="C903" s="14" t="str">
        <f>IFERROR(__xludf.DUMMYFUNCTION("""COMPUTED_VALUE"""),"O-52059-00")</f>
        <v>O-52059-00</v>
      </c>
    </row>
    <row r="904">
      <c r="A904" s="14" t="str">
        <f>IFERROR(__xludf.DUMMYFUNCTION("""COMPUTED_VALUE"""),"O-52060-00")</f>
        <v>O-52060-00</v>
      </c>
      <c r="B904" s="14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4" t="str">
        <f>IFERROR(__xludf.DUMMYFUNCTION("""COMPUTED_VALUE"""),"O-52060-00")</f>
        <v>O-52060-00</v>
      </c>
    </row>
    <row r="905">
      <c r="A905" s="14" t="str">
        <f>IFERROR(__xludf.DUMMYFUNCTION("""COMPUTED_VALUE"""),"O-52061-00")</f>
        <v>O-52061-00</v>
      </c>
      <c r="B905" s="14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4" t="str">
        <f>IFERROR(__xludf.DUMMYFUNCTION("""COMPUTED_VALUE"""),"O-52061-00")</f>
        <v>O-52061-00</v>
      </c>
    </row>
    <row r="906">
      <c r="A906" s="14" t="str">
        <f>IFERROR(__xludf.DUMMYFUNCTION("""COMPUTED_VALUE"""),"O-52062-00")</f>
        <v>O-52062-00</v>
      </c>
      <c r="B906" s="14" t="str">
        <f>IFERROR(__xludf.DUMMYFUNCTION("""COMPUTED_VALUE"""),"Seidenader MS30 - Vaccumfilter 02-000418-28 VAF-PK-4 Festo")</f>
        <v>Seidenader MS30 - Vaccumfilter 02-000418-28 VAF-PK-4 Festo</v>
      </c>
      <c r="C906" s="14" t="str">
        <f>IFERROR(__xludf.DUMMYFUNCTION("""COMPUTED_VALUE"""),"O-52062-00")</f>
        <v>O-52062-00</v>
      </c>
    </row>
    <row r="907">
      <c r="A907" s="14" t="str">
        <f>IFERROR(__xludf.DUMMYFUNCTION("""COMPUTED_VALUE"""),"O-52063-00")</f>
        <v>O-52063-00</v>
      </c>
      <c r="B907" s="14" t="str">
        <f>IFERROR(__xludf.DUMMYFUNCTION("""COMPUTED_VALUE"""),"Marchesini MA155 - Complete Remote Control Push Button p/n:E679519246")</f>
        <v>Marchesini MA155 - Complete Remote Control Push Button p/n:E679519246</v>
      </c>
      <c r="C907" s="14" t="str">
        <f>IFERROR(__xludf.DUMMYFUNCTION("""COMPUTED_VALUE"""),"O-52063-00")</f>
        <v>O-52063-00</v>
      </c>
    </row>
    <row r="908">
      <c r="A908" s="14" t="str">
        <f>IFERROR(__xludf.DUMMYFUNCTION("""COMPUTED_VALUE"""),"O-52064-00")</f>
        <v>O-52064-00</v>
      </c>
      <c r="B908" s="14" t="str">
        <f>IFERROR(__xludf.DUMMYFUNCTION("""COMPUTED_VALUE"""),"Marchesini MA155 - Contac Block for Open Contac ZB4 BZ101 Schneider")</f>
        <v>Marchesini MA155 - Contac Block for Open Contac ZB4 BZ101 Schneider</v>
      </c>
      <c r="C908" s="14" t="str">
        <f>IFERROR(__xludf.DUMMYFUNCTION("""COMPUTED_VALUE"""),"O-52064-00")</f>
        <v>O-52064-00</v>
      </c>
    </row>
    <row r="909">
      <c r="A909" s="14" t="str">
        <f>IFERROR(__xludf.DUMMYFUNCTION("""COMPUTED_VALUE"""),"O-52065-00")</f>
        <v>O-52065-00</v>
      </c>
      <c r="B909" s="14" t="str">
        <f>IFERROR(__xludf.DUMMYFUNCTION("""COMPUTED_VALUE"""),"Marchesini MA155 - Microswitch AZ 16-02 ZVK-M20-1762+B1 Schimersal")</f>
        <v>Marchesini MA155 - Microswitch AZ 16-02 ZVK-M20-1762+B1 Schimersal</v>
      </c>
      <c r="C909" s="14" t="str">
        <f>IFERROR(__xludf.DUMMYFUNCTION("""COMPUTED_VALUE"""),"O-52065-00")</f>
        <v>O-52065-00</v>
      </c>
    </row>
    <row r="910">
      <c r="A910" s="14" t="str">
        <f>IFERROR(__xludf.DUMMYFUNCTION("""COMPUTED_VALUE"""),"O-52066-00")</f>
        <v>O-52066-00</v>
      </c>
      <c r="B910" s="14" t="str">
        <f>IFERROR(__xludf.DUMMYFUNCTION("""COMPUTED_VALUE"""),"Marchesini MA155 - Close Contact ZBE102 Schneider")</f>
        <v>Marchesini MA155 - Close Contact ZBE102 Schneider</v>
      </c>
      <c r="C910" s="14" t="str">
        <f>IFERROR(__xludf.DUMMYFUNCTION("""COMPUTED_VALUE"""),"O-52066-00")</f>
        <v>O-52066-00</v>
      </c>
    </row>
    <row r="911">
      <c r="A911" s="14" t="str">
        <f>IFERROR(__xludf.DUMMYFUNCTION("""COMPUTED_VALUE"""),"O-52067-00")</f>
        <v>O-52067-00</v>
      </c>
      <c r="B911" s="14" t="str">
        <f>IFERROR(__xludf.DUMMYFUNCTION("""COMPUTED_VALUE"""),"Marchesini MA155 - Contac Block for Closed Contac ZB4 BZ102 Schneider")</f>
        <v>Marchesini MA155 - Contac Block for Closed Contac ZB4 BZ102 Schneider</v>
      </c>
      <c r="C911" s="14" t="str">
        <f>IFERROR(__xludf.DUMMYFUNCTION("""COMPUTED_VALUE"""),"O-52067-00")</f>
        <v>O-52067-00</v>
      </c>
    </row>
    <row r="912">
      <c r="A912" s="14" t="str">
        <f>IFERROR(__xludf.DUMMYFUNCTION("""COMPUTED_VALUE"""),"O-52068-00")</f>
        <v>O-52068-00</v>
      </c>
      <c r="B912" s="14" t="str">
        <f>IFERROR(__xludf.DUMMYFUNCTION("""COMPUTED_VALUE"""),"Marchesini MA155 - Additive Contact 3RV 2901-1E Siemens")</f>
        <v>Marchesini MA155 - Additive Contact 3RV 2901-1E Siemens</v>
      </c>
      <c r="C912" s="14" t="str">
        <f>IFERROR(__xludf.DUMMYFUNCTION("""COMPUTED_VALUE"""),"O-52068-00")</f>
        <v>O-52068-00</v>
      </c>
    </row>
    <row r="913">
      <c r="A913" s="14" t="str">
        <f>IFERROR(__xludf.DUMMYFUNCTION("""COMPUTED_VALUE"""),"O-52069-00")</f>
        <v>O-52069-00</v>
      </c>
      <c r="B913" s="14" t="str">
        <f>IFERROR(__xludf.DUMMYFUNCTION("""COMPUTED_VALUE"""),"Marchesini MA155 - Magnet Thermal Switch 3RV20 11-1JA10 (7-10A) Siemens")</f>
        <v>Marchesini MA155 - Magnet Thermal Switch 3RV20 11-1JA10 (7-10A) Siemens</v>
      </c>
      <c r="C913" s="14" t="str">
        <f>IFERROR(__xludf.DUMMYFUNCTION("""COMPUTED_VALUE"""),"O-52069-00")</f>
        <v>O-52069-00</v>
      </c>
    </row>
    <row r="914">
      <c r="A914" s="14" t="str">
        <f>IFERROR(__xludf.DUMMYFUNCTION("""COMPUTED_VALUE"""),"O-52070-00")</f>
        <v>O-52070-00</v>
      </c>
      <c r="B914" s="14" t="str">
        <f>IFERROR(__xludf.DUMMYFUNCTION("""COMPUTED_VALUE"""),"Marchesini MA155 - General Switch 3LD2 203-1TL51 32A Siemens")</f>
        <v>Marchesini MA155 - General Switch 3LD2 203-1TL51 32A Siemens</v>
      </c>
      <c r="C914" s="14" t="str">
        <f>IFERROR(__xludf.DUMMYFUNCTION("""COMPUTED_VALUE"""),"O-52070-00")</f>
        <v>O-52070-00</v>
      </c>
    </row>
    <row r="915">
      <c r="A915" s="14" t="str">
        <f>IFERROR(__xludf.DUMMYFUNCTION("""COMPUTED_VALUE"""),"O-52071-00")</f>
        <v>O-52071-00</v>
      </c>
      <c r="B915" s="14" t="str">
        <f>IFERROR(__xludf.DUMMYFUNCTION("""COMPUTED_VALUE"""),"Marchesini MA155 - DIioda 3RT2926-1ER00 Siemens")</f>
        <v>Marchesini MA155 - DIioda 3RT2926-1ER00 Siemens</v>
      </c>
      <c r="C915" s="14" t="str">
        <f>IFERROR(__xludf.DUMMYFUNCTION("""COMPUTED_VALUE"""),"O-52071-00")</f>
        <v>O-52071-00</v>
      </c>
    </row>
    <row r="916">
      <c r="A916" s="14" t="str">
        <f>IFERROR(__xludf.DUMMYFUNCTION("""COMPUTED_VALUE"""),"O-52072-00")</f>
        <v>O-52072-00</v>
      </c>
      <c r="B916" s="14" t="str">
        <f>IFERROR(__xludf.DUMMYFUNCTION("""COMPUTED_VALUE"""),"Marchesini MA155 - Contactor 3RT 2326-1BB40 Siemens")</f>
        <v>Marchesini MA155 - Contactor 3RT 2326-1BB40 Siemens</v>
      </c>
      <c r="C916" s="14" t="str">
        <f>IFERROR(__xludf.DUMMYFUNCTION("""COMPUTED_VALUE"""),"O-52072-00")</f>
        <v>O-52072-00</v>
      </c>
    </row>
    <row r="917">
      <c r="A917" s="14" t="str">
        <f>IFERROR(__xludf.DUMMYFUNCTION("""COMPUTED_VALUE"""),"O-52073-00")</f>
        <v>O-52073-00</v>
      </c>
      <c r="B917" s="14" t="str">
        <f>IFERROR(__xludf.DUMMYFUNCTION("""COMPUTED_VALUE"""),"Marchesini MA155 - Relay MY2N-D2 Omron")</f>
        <v>Marchesini MA155 - Relay MY2N-D2 Omron</v>
      </c>
      <c r="C917" s="14" t="str">
        <f>IFERROR(__xludf.DUMMYFUNCTION("""COMPUTED_VALUE"""),"O-52073-00")</f>
        <v>O-52073-00</v>
      </c>
    </row>
    <row r="918">
      <c r="A918" s="14" t="str">
        <f>IFERROR(__xludf.DUMMYFUNCTION("""COMPUTED_VALUE"""),"O-52074-00")</f>
        <v>O-52074-00</v>
      </c>
      <c r="B918" s="14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4" t="str">
        <f>IFERROR(__xludf.DUMMYFUNCTION("""COMPUTED_VALUE"""),"O-52074-00")</f>
        <v>O-52074-00</v>
      </c>
    </row>
    <row r="919">
      <c r="A919" s="14" t="str">
        <f>IFERROR(__xludf.DUMMYFUNCTION("""COMPUTED_VALUE"""),"O-52075-00")</f>
        <v>O-52075-00</v>
      </c>
      <c r="B919" s="14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4" t="str">
        <f>IFERROR(__xludf.DUMMYFUNCTION("""COMPUTED_VALUE"""),"O-52075-00")</f>
        <v>O-52075-00</v>
      </c>
    </row>
    <row r="920">
      <c r="A920" s="14" t="str">
        <f>IFERROR(__xludf.DUMMYFUNCTION("""COMPUTED_VALUE"""),"O-52076-00")</f>
        <v>O-52076-00</v>
      </c>
      <c r="B920" s="14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4" t="str">
        <f>IFERROR(__xludf.DUMMYFUNCTION("""COMPUTED_VALUE"""),"O-52076-00")</f>
        <v>O-52076-00</v>
      </c>
    </row>
    <row r="921">
      <c r="A921" s="14" t="str">
        <f>IFERROR(__xludf.DUMMYFUNCTION("""COMPUTED_VALUE"""),"O-52077-00")</f>
        <v>O-52077-00</v>
      </c>
      <c r="B921" s="14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4" t="str">
        <f>IFERROR(__xludf.DUMMYFUNCTION("""COMPUTED_VALUE"""),"O-52077-00")</f>
        <v>O-52077-00</v>
      </c>
    </row>
    <row r="922">
      <c r="A922" s="14" t="str">
        <f>IFERROR(__xludf.DUMMYFUNCTION("""COMPUTED_VALUE"""),"O-52078-00")</f>
        <v>O-52078-00</v>
      </c>
      <c r="B922" s="14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4" t="str">
        <f>IFERROR(__xludf.DUMMYFUNCTION("""COMPUTED_VALUE"""),"O-52078-00")</f>
        <v>O-52078-00</v>
      </c>
    </row>
    <row r="923">
      <c r="A923" s="14" t="str">
        <f>IFERROR(__xludf.DUMMYFUNCTION("""COMPUTED_VALUE"""),"O-52079-00")</f>
        <v>O-52079-00</v>
      </c>
      <c r="B923" s="14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4" t="str">
        <f>IFERROR(__xludf.DUMMYFUNCTION("""COMPUTED_VALUE"""),"O-52079-00")</f>
        <v>O-52079-00</v>
      </c>
    </row>
    <row r="924">
      <c r="A924" s="14" t="str">
        <f>IFERROR(__xludf.DUMMYFUNCTION("""COMPUTED_VALUE"""),"O-52080-00")</f>
        <v>O-52080-00</v>
      </c>
      <c r="B924" s="14" t="str">
        <f>IFERROR(__xludf.DUMMYFUNCTION("""COMPUTED_VALUE"""),"Marchesini MA155 - Module 4 out EL1904-0000 Beckhoff p/n:E500Z0704000")</f>
        <v>Marchesini MA155 - Module 4 out EL1904-0000 Beckhoff p/n:E500Z0704000</v>
      </c>
      <c r="C924" s="14" t="str">
        <f>IFERROR(__xludf.DUMMYFUNCTION("""COMPUTED_VALUE"""),"O-52080-00")</f>
        <v>O-52080-00</v>
      </c>
    </row>
    <row r="925">
      <c r="A925" s="14" t="str">
        <f>IFERROR(__xludf.DUMMYFUNCTION("""COMPUTED_VALUE"""),"O-52081-00")</f>
        <v>O-52081-00</v>
      </c>
      <c r="B925" s="14" t="str">
        <f>IFERROR(__xludf.DUMMYFUNCTION("""COMPUTED_VALUE"""),"Marchesini MA155 - Module 4 In EL1904-0000 Beckhoff p/n:E500Z0703001")</f>
        <v>Marchesini MA155 - Module 4 In EL1904-0000 Beckhoff p/n:E500Z0703001</v>
      </c>
      <c r="C925" s="14" t="str">
        <f>IFERROR(__xludf.DUMMYFUNCTION("""COMPUTED_VALUE"""),"O-52081-00")</f>
        <v>O-52081-00</v>
      </c>
    </row>
    <row r="926">
      <c r="A926" s="14" t="str">
        <f>IFERROR(__xludf.DUMMYFUNCTION("""COMPUTED_VALUE"""),"O-52082-00")</f>
        <v>O-52082-00</v>
      </c>
      <c r="B926" s="14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4" t="str">
        <f>IFERROR(__xludf.DUMMYFUNCTION("""COMPUTED_VALUE"""),"O-52082-00")</f>
        <v>O-52082-00</v>
      </c>
    </row>
    <row r="927">
      <c r="A927" s="14" t="str">
        <f>IFERROR(__xludf.DUMMYFUNCTION("""COMPUTED_VALUE"""),"O-52083-00")</f>
        <v>O-52083-00</v>
      </c>
      <c r="B927" s="14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4" t="str">
        <f>IFERROR(__xludf.DUMMYFUNCTION("""COMPUTED_VALUE"""),"O-52083-00")</f>
        <v>O-52083-00</v>
      </c>
    </row>
    <row r="928">
      <c r="A928" s="14" t="str">
        <f>IFERROR(__xludf.DUMMYFUNCTION("""COMPUTED_VALUE"""),"O-52084-00")</f>
        <v>O-52084-00</v>
      </c>
      <c r="B928" s="14" t="str">
        <f>IFERROR(__xludf.DUMMYFUNCTION("""COMPUTED_VALUE"""),"Marchesini MA155 - Photocel YM22PA2 PNP Wenglor p/n:E32099824230")</f>
        <v>Marchesini MA155 - Photocel YM22PA2 PNP Wenglor p/n:E32099824230</v>
      </c>
      <c r="C928" s="14" t="str">
        <f>IFERROR(__xludf.DUMMYFUNCTION("""COMPUTED_VALUE"""),"O-52084-00")</f>
        <v>O-52084-00</v>
      </c>
    </row>
    <row r="929">
      <c r="A929" s="14" t="str">
        <f>IFERROR(__xludf.DUMMYFUNCTION("""COMPUTED_VALUE"""),"O-52085-00")</f>
        <v>O-52085-00</v>
      </c>
      <c r="B929" s="14" t="str">
        <f>IFERROR(__xludf.DUMMYFUNCTION("""COMPUTED_VALUE"""),"Marchesini MA155 - Optical Fibre CF/CB1-10 Diell p/n:E32982000003")</f>
        <v>Marchesini MA155 - Optical Fibre CF/CB1-10 Diell p/n:E32982000003</v>
      </c>
      <c r="C929" s="14" t="str">
        <f>IFERROR(__xludf.DUMMYFUNCTION("""COMPUTED_VALUE"""),"O-52085-00")</f>
        <v>O-52085-00</v>
      </c>
    </row>
    <row r="930">
      <c r="A930" s="14" t="str">
        <f>IFERROR(__xludf.DUMMYFUNCTION("""COMPUTED_VALUE"""),"O-52086-00")</f>
        <v>O-52086-00</v>
      </c>
      <c r="B930" s="14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4" t="str">
        <f>IFERROR(__xludf.DUMMYFUNCTION("""COMPUTED_VALUE"""),"O-52086-00")</f>
        <v>O-52086-00</v>
      </c>
    </row>
    <row r="931">
      <c r="A931" s="14" t="str">
        <f>IFERROR(__xludf.DUMMYFUNCTION("""COMPUTED_VALUE"""),"O-52087-00")</f>
        <v>O-52087-00</v>
      </c>
      <c r="B931" s="14" t="str">
        <f>IFERROR(__xludf.DUMMYFUNCTION("""COMPUTED_VALUE"""),"Marchesini MA155 - Photocell SS2/AP/1H Diell p/n:E32022022230")</f>
        <v>Marchesini MA155 - Photocell SS2/AP/1H Diell p/n:E32022022230</v>
      </c>
      <c r="C931" s="14" t="str">
        <f>IFERROR(__xludf.DUMMYFUNCTION("""COMPUTED_VALUE"""),"O-52087-00")</f>
        <v>O-52087-00</v>
      </c>
    </row>
    <row r="932">
      <c r="A932" s="14" t="str">
        <f>IFERROR(__xludf.DUMMYFUNCTION("""COMPUTED_VALUE"""),"O-52088-00")</f>
        <v>O-52088-00</v>
      </c>
      <c r="B932" s="14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4" t="str">
        <f>IFERROR(__xludf.DUMMYFUNCTION("""COMPUTED_VALUE"""),"O-52088-00")</f>
        <v>O-52088-00</v>
      </c>
    </row>
    <row r="933">
      <c r="A933" s="14" t="str">
        <f>IFERROR(__xludf.DUMMYFUNCTION("""COMPUTED_VALUE"""),"O-52089-00")</f>
        <v>O-52089-00</v>
      </c>
      <c r="B933" s="14" t="str">
        <f>IFERROR(__xludf.DUMMYFUNCTION("""COMPUTED_VALUE"""),"Marchesini MA155 - Photocell SSP/AP 1H NO Diell p/n:32022021230")</f>
        <v>Marchesini MA155 - Photocell SSP/AP 1H NO Diell p/n:32022021230</v>
      </c>
      <c r="C933" s="14" t="str">
        <f>IFERROR(__xludf.DUMMYFUNCTION("""COMPUTED_VALUE"""),"O-52089-00")</f>
        <v>O-52089-00</v>
      </c>
    </row>
    <row r="934">
      <c r="A934" s="14" t="str">
        <f>IFERROR(__xludf.DUMMYFUNCTION("""COMPUTED_VALUE"""),"O-52090-00")</f>
        <v>O-52090-00</v>
      </c>
      <c r="B934" s="14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4" t="str">
        <f>IFERROR(__xludf.DUMMYFUNCTION("""COMPUTED_VALUE"""),"O-52090-00")</f>
        <v>O-52090-00</v>
      </c>
    </row>
    <row r="935">
      <c r="A935" s="14" t="str">
        <f>IFERROR(__xludf.DUMMYFUNCTION("""COMPUTED_VALUE"""),"O-52091-00")</f>
        <v>O-52091-00</v>
      </c>
      <c r="B935" s="14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4" t="str">
        <f>IFERROR(__xludf.DUMMYFUNCTION("""COMPUTED_VALUE"""),"O-52091-00")</f>
        <v>O-52091-00</v>
      </c>
    </row>
    <row r="936">
      <c r="A936" s="14" t="str">
        <f>IFERROR(__xludf.DUMMYFUNCTION("""COMPUTED_VALUE"""),"O-52092-00")</f>
        <v>O-52092-00</v>
      </c>
      <c r="B936" s="14" t="str">
        <f>IFERROR(__xludf.DUMMYFUNCTION("""COMPUTED_VALUE"""),"Marchesini MA155 - Proximity B60122POC5 B12 PNP-UL Selet p/n:E66075212523")</f>
        <v>Marchesini MA155 - Proximity B60122POC5 B12 PNP-UL Selet p/n:E66075212523</v>
      </c>
      <c r="C936" s="14" t="str">
        <f>IFERROR(__xludf.DUMMYFUNCTION("""COMPUTED_VALUE"""),"O-52092-00")</f>
        <v>O-52092-00</v>
      </c>
    </row>
    <row r="937">
      <c r="A937" s="14" t="str">
        <f>IFERROR(__xludf.DUMMYFUNCTION("""COMPUTED_VALUE"""),"O-52093-00")</f>
        <v>O-52093-00</v>
      </c>
      <c r="B937" s="14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4" t="str">
        <f>IFERROR(__xludf.DUMMYFUNCTION("""COMPUTED_VALUE"""),"O-52093-00")</f>
        <v>O-52093-00</v>
      </c>
    </row>
    <row r="938">
      <c r="A938" s="14" t="str">
        <f>IFERROR(__xludf.DUMMYFUNCTION("""COMPUTED_VALUE"""),"O-52094-00")</f>
        <v>O-52094-00</v>
      </c>
      <c r="B938" s="14" t="str">
        <f>IFERROR(__xludf.DUMMYFUNCTION("""COMPUTED_VALUE"""),"Marchesini MA155 - Driving Board SPD8NSE5 Ulethercat SBC p/n:E79667262931")</f>
        <v>Marchesini MA155 - Driving Board SPD8NSE5 Ulethercat SBC p/n:E79667262931</v>
      </c>
      <c r="C938" s="14" t="str">
        <f>IFERROR(__xludf.DUMMYFUNCTION("""COMPUTED_VALUE"""),"O-52094-00")</f>
        <v>O-52094-00</v>
      </c>
    </row>
    <row r="939">
      <c r="A939" s="14" t="str">
        <f>IFERROR(__xludf.DUMMYFUNCTION("""COMPUTED_VALUE"""),"O-52095-00")</f>
        <v>O-52095-00</v>
      </c>
      <c r="B939" s="14" t="str">
        <f>IFERROR(__xludf.DUMMYFUNCTION("""COMPUTED_VALUE"""),"Marchesini MA155 - Feeder Module EL9410-0000 Beckhoff p/n:E500Z0201000")</f>
        <v>Marchesini MA155 - Feeder Module EL9410-0000 Beckhoff p/n:E500Z0201000</v>
      </c>
      <c r="C939" s="14" t="str">
        <f>IFERROR(__xludf.DUMMYFUNCTION("""COMPUTED_VALUE"""),"O-52095-00")</f>
        <v>O-52095-00</v>
      </c>
    </row>
    <row r="940">
      <c r="A940" s="14" t="str">
        <f>IFERROR(__xludf.DUMMYFUNCTION("""COMPUTED_VALUE"""),"O-52096-00")</f>
        <v>O-52096-00</v>
      </c>
      <c r="B940" s="14" t="str">
        <f>IFERROR(__xludf.DUMMYFUNCTION("""COMPUTED_VALUE"""),"Marchesini MA155 - Expansion Module EK1122-0000 Beckhoff p/n:E500Z0208002")</f>
        <v>Marchesini MA155 - Expansion Module EK1122-0000 Beckhoff p/n:E500Z0208002</v>
      </c>
      <c r="C940" s="14" t="str">
        <f>IFERROR(__xludf.DUMMYFUNCTION("""COMPUTED_VALUE"""),"O-52096-00")</f>
        <v>O-52096-00</v>
      </c>
    </row>
    <row r="941">
      <c r="A941" s="14" t="str">
        <f>IFERROR(__xludf.DUMMYFUNCTION("""COMPUTED_VALUE"""),"O-52097-00")</f>
        <v>O-52097-00</v>
      </c>
      <c r="B941" s="14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4" t="str">
        <f>IFERROR(__xludf.DUMMYFUNCTION("""COMPUTED_VALUE"""),"O-52097-00")</f>
        <v>O-52097-00</v>
      </c>
    </row>
    <row r="942">
      <c r="A942" s="14" t="str">
        <f>IFERROR(__xludf.DUMMYFUNCTION("""COMPUTED_VALUE"""),"O-52098-00")</f>
        <v>O-52098-00</v>
      </c>
      <c r="B942" s="14" t="str">
        <f>IFERROR(__xludf.DUMMYFUNCTION("""COMPUTED_VALUE"""),"Marchesini MA155 - Bus Module EK1100-0000 Beckhoff p/n:E500Z0208000")</f>
        <v>Marchesini MA155 - Bus Module EK1100-0000 Beckhoff p/n:E500Z0208000</v>
      </c>
      <c r="C942" s="14" t="str">
        <f>IFERROR(__xludf.DUMMYFUNCTION("""COMPUTED_VALUE"""),"O-52098-00")</f>
        <v>O-52098-00</v>
      </c>
    </row>
    <row r="943">
      <c r="A943" s="14" t="str">
        <f>IFERROR(__xludf.DUMMYFUNCTION("""COMPUTED_VALUE"""),"O-52099-00")</f>
        <v>O-52099-00</v>
      </c>
      <c r="B943" s="14" t="str">
        <f>IFERROR(__xludf.DUMMYFUNCTION("""COMPUTED_VALUE"""),"Seidenader MS30 - X2X Bus Transmitter B&amp;R p/n:X20BT9400")</f>
        <v>Seidenader MS30 - X2X Bus Transmitter B&amp;R p/n:X20BT9400</v>
      </c>
      <c r="C943" s="14" t="str">
        <f>IFERROR(__xludf.DUMMYFUNCTION("""COMPUTED_VALUE"""),"O-52099-00")</f>
        <v>O-52099-00</v>
      </c>
    </row>
    <row r="944">
      <c r="A944" s="14" t="str">
        <f>IFERROR(__xludf.DUMMYFUNCTION("""COMPUTED_VALUE"""),"O-52100-00")</f>
        <v>O-52100-00</v>
      </c>
      <c r="B944" s="14" t="str">
        <f>IFERROR(__xludf.DUMMYFUNCTION("""COMPUTED_VALUE"""),"Seidenader MS30 - Digital I/O Module B&amp;R; X20DM9324")</f>
        <v>Seidenader MS30 - Digital I/O Module B&amp;R; X20DM9324</v>
      </c>
      <c r="C944" s="14" t="str">
        <f>IFERROR(__xludf.DUMMYFUNCTION("""COMPUTED_VALUE"""),"O-52100-00")</f>
        <v>O-52100-00</v>
      </c>
    </row>
    <row r="945">
      <c r="A945" s="14" t="str">
        <f>IFERROR(__xludf.DUMMYFUNCTION("""COMPUTED_VALUE"""),"O-52101-00")</f>
        <v>O-52101-00</v>
      </c>
      <c r="B945" s="14" t="str">
        <f>IFERROR(__xludf.DUMMYFUNCTION("""COMPUTED_VALUE"""),"Seidenader MS30 - Power Supply Module B&amp;R p/n:X20PS2100")</f>
        <v>Seidenader MS30 - Power Supply Module B&amp;R p/n:X20PS2100</v>
      </c>
      <c r="C945" s="14" t="str">
        <f>IFERROR(__xludf.DUMMYFUNCTION("""COMPUTED_VALUE"""),"O-52101-00")</f>
        <v>O-52101-00</v>
      </c>
    </row>
    <row r="946">
      <c r="A946" s="14" t="str">
        <f>IFERROR(__xludf.DUMMYFUNCTION("""COMPUTED_VALUE"""),"O-52102-00")</f>
        <v>O-52102-00</v>
      </c>
      <c r="B946" s="14" t="str">
        <f>IFERROR(__xludf.DUMMYFUNCTION("""COMPUTED_VALUE"""),"Seidenader MS30 - Power Supply Module B&amp;R p/n:X20PS9400")</f>
        <v>Seidenader MS30 - Power Supply Module B&amp;R p/n:X20PS9400</v>
      </c>
      <c r="C946" s="14" t="str">
        <f>IFERROR(__xludf.DUMMYFUNCTION("""COMPUTED_VALUE"""),"O-52102-00")</f>
        <v>O-52102-00</v>
      </c>
    </row>
    <row r="947">
      <c r="A947" s="14" t="str">
        <f>IFERROR(__xludf.DUMMYFUNCTION("""COMPUTED_VALUE"""),"O-52103-00")</f>
        <v>O-52103-00</v>
      </c>
      <c r="B947" s="14" t="str">
        <f>IFERROR(__xludf.DUMMYFUNCTION("""COMPUTED_VALUE"""),"Seidenader MS30 - X20 Bus Controller B&amp;R p/n:X20BC0083")</f>
        <v>Seidenader MS30 - X20 Bus Controller B&amp;R p/n:X20BC0083</v>
      </c>
      <c r="C947" s="14" t="str">
        <f>IFERROR(__xludf.DUMMYFUNCTION("""COMPUTED_VALUE"""),"O-52103-00")</f>
        <v>O-52103-00</v>
      </c>
    </row>
    <row r="948">
      <c r="A948" s="14" t="str">
        <f>IFERROR(__xludf.DUMMYFUNCTION("""COMPUTED_VALUE"""),"O-52104-00")</f>
        <v>O-52104-00</v>
      </c>
      <c r="B948" s="14" t="str">
        <f>IFERROR(__xludf.DUMMYFUNCTION("""COMPUTED_VALUE"""),"Seidenader MS30 - Valve Terminal B&amp;R p/n:7XV116.50-51")</f>
        <v>Seidenader MS30 - Valve Terminal B&amp;R p/n:7XV116.50-51</v>
      </c>
      <c r="C948" s="14" t="str">
        <f>IFERROR(__xludf.DUMMYFUNCTION("""COMPUTED_VALUE"""),"O-52104-00")</f>
        <v>O-52104-00</v>
      </c>
    </row>
    <row r="949">
      <c r="A949" s="14" t="str">
        <f>IFERROR(__xludf.DUMMYFUNCTION("""COMPUTED_VALUE"""),"O-52105-00")</f>
        <v>O-52105-00</v>
      </c>
      <c r="B949" s="14" t="str">
        <f>IFERROR(__xludf.DUMMYFUNCTION("""COMPUTED_VALUE"""),"Seidenader MS30 - Analog Input Module B&amp;R p/n:X20AI4632")</f>
        <v>Seidenader MS30 - Analog Input Module B&amp;R p/n:X20AI4632</v>
      </c>
      <c r="C949" s="14" t="str">
        <f>IFERROR(__xludf.DUMMYFUNCTION("""COMPUTED_VALUE"""),"O-52105-00")</f>
        <v>O-52105-00</v>
      </c>
    </row>
    <row r="950">
      <c r="A950" s="14" t="str">
        <f>IFERROR(__xludf.DUMMYFUNCTION("""COMPUTED_VALUE"""),"O-52106-00")</f>
        <v>O-52106-00</v>
      </c>
      <c r="B950" s="14" t="str">
        <f>IFERROR(__xludf.DUMMYFUNCTION("""COMPUTED_VALUE"""),"Seidenader MS30 - Digital Output Module B&amp;R p/n:X20DO9322")</f>
        <v>Seidenader MS30 - Digital Output Module B&amp;R p/n:X20DO9322</v>
      </c>
      <c r="C950" s="14" t="str">
        <f>IFERROR(__xludf.DUMMYFUNCTION("""COMPUTED_VALUE"""),"O-52106-00")</f>
        <v>O-52106-00</v>
      </c>
    </row>
    <row r="951">
      <c r="A951" s="14" t="str">
        <f>IFERROR(__xludf.DUMMYFUNCTION("""COMPUTED_VALUE"""),"O-52107-00")</f>
        <v>O-52107-00</v>
      </c>
      <c r="B951" s="14" t="str">
        <f>IFERROR(__xludf.DUMMYFUNCTION("""COMPUTED_VALUE"""),"Seidenader MS30 - Digital Input Module B&amp;R p/n:X20DI9371")</f>
        <v>Seidenader MS30 - Digital Input Module B&amp;R p/n:X20DI9371</v>
      </c>
      <c r="C951" s="14" t="str">
        <f>IFERROR(__xludf.DUMMYFUNCTION("""COMPUTED_VALUE"""),"O-52107-00")</f>
        <v>O-52107-00</v>
      </c>
    </row>
    <row r="952">
      <c r="A952" s="14" t="str">
        <f>IFERROR(__xludf.DUMMYFUNCTION("""COMPUTED_VALUE"""),"O-52108-00")</f>
        <v>O-52108-00</v>
      </c>
      <c r="B952" s="14" t="str">
        <f>IFERROR(__xludf.DUMMYFUNCTION("""COMPUTED_VALUE"""),"Seidenader MS30 - Safety Output Module B&amp;R p/n:X20SO2110")</f>
        <v>Seidenader MS30 - Safety Output Module B&amp;R p/n:X20SO2110</v>
      </c>
      <c r="C952" s="14" t="str">
        <f>IFERROR(__xludf.DUMMYFUNCTION("""COMPUTED_VALUE"""),"O-52108-00")</f>
        <v>O-52108-00</v>
      </c>
    </row>
    <row r="953">
      <c r="A953" s="14" t="str">
        <f>IFERROR(__xludf.DUMMYFUNCTION("""COMPUTED_VALUE"""),"O-52109-00")</f>
        <v>O-52109-00</v>
      </c>
      <c r="B953" s="14" t="str">
        <f>IFERROR(__xludf.DUMMYFUNCTION("""COMPUTED_VALUE"""),"Seidenader MS30 - Acopos Multi 65 B&amp;R p/n:8CVI088E1HCS0.00-1")</f>
        <v>Seidenader MS30 - Acopos Multi 65 B&amp;R p/n:8CVI088E1HCS0.00-1</v>
      </c>
      <c r="C953" s="14" t="str">
        <f>IFERROR(__xludf.DUMMYFUNCTION("""COMPUTED_VALUE"""),"O-52109-00")</f>
        <v>O-52109-00</v>
      </c>
    </row>
    <row r="954">
      <c r="A954" s="14" t="str">
        <f>IFERROR(__xludf.DUMMYFUNCTION("""COMPUTED_VALUE"""),"O-52110-00")</f>
        <v>O-52110-00</v>
      </c>
      <c r="B954" s="14" t="str">
        <f>IFERROR(__xludf.DUMMYFUNCTION("""COMPUTED_VALUE"""),"Seidenader MS30 - Acopos Multi 65 B&amp;R p/n:8CVI045E1HCS0.00-1")</f>
        <v>Seidenader MS30 - Acopos Multi 65 B&amp;R p/n:8CVI045E1HCS0.00-1</v>
      </c>
      <c r="C954" s="14" t="str">
        <f>IFERROR(__xludf.DUMMYFUNCTION("""COMPUTED_VALUE"""),"O-52110-00")</f>
        <v>O-52110-00</v>
      </c>
    </row>
    <row r="955">
      <c r="A955" s="14" t="str">
        <f>IFERROR(__xludf.DUMMYFUNCTION("""COMPUTED_VALUE"""),"O-52111-00")</f>
        <v>O-52111-00</v>
      </c>
      <c r="B955" s="14" t="str">
        <f>IFERROR(__xludf.DUMMYFUNCTION("""COMPUTED_VALUE"""),"Seidenader MS30 - Connection Box B&amp;R p/n:8CVE28000HC00.00-1")</f>
        <v>Seidenader MS30 - Connection Box B&amp;R p/n:8CVE28000HC00.00-1</v>
      </c>
      <c r="C955" s="14" t="str">
        <f>IFERROR(__xludf.DUMMYFUNCTION("""COMPUTED_VALUE"""),"O-52111-00")</f>
        <v>O-52111-00</v>
      </c>
    </row>
    <row r="956">
      <c r="A956" s="14" t="str">
        <f>IFERROR(__xludf.DUMMYFUNCTION("""COMPUTED_VALUE"""),"O-52112-00")</f>
        <v>O-52112-00</v>
      </c>
      <c r="B956" s="14" t="str">
        <f>IFERROR(__xludf.DUMMYFUNCTION("""COMPUTED_VALUE"""),"Seidenader MS30 - Power Ink V1/V2 Bus Controller B&amp;R p/n:X67BC8321.L12")</f>
        <v>Seidenader MS30 - Power Ink V1/V2 Bus Controller B&amp;R p/n:X67BC8321.L12</v>
      </c>
      <c r="C956" s="14" t="str">
        <f>IFERROR(__xludf.DUMMYFUNCTION("""COMPUTED_VALUE"""),"O-52112-00")</f>
        <v>O-52112-00</v>
      </c>
    </row>
    <row r="957">
      <c r="A957" s="14" t="str">
        <f>IFERROR(__xludf.DUMMYFUNCTION("""COMPUTED_VALUE"""),"O-52113-00")</f>
        <v>O-52113-00</v>
      </c>
      <c r="B957" s="14" t="str">
        <f>IFERROR(__xludf.DUMMYFUNCTION("""COMPUTED_VALUE"""),"Seidenader MS30 - Safe Digital Mixed Module B&amp;R p/n:X67SI8103")</f>
        <v>Seidenader MS30 - Safe Digital Mixed Module B&amp;R p/n:X67SI8103</v>
      </c>
      <c r="C957" s="14" t="str">
        <f>IFERROR(__xludf.DUMMYFUNCTION("""COMPUTED_VALUE"""),"O-52113-00")</f>
        <v>O-52113-00</v>
      </c>
    </row>
    <row r="958">
      <c r="A958" s="14" t="str">
        <f>IFERROR(__xludf.DUMMYFUNCTION("""COMPUTED_VALUE"""),"O-52114-00")</f>
        <v>O-52114-00</v>
      </c>
      <c r="B958" s="14" t="str">
        <f>IFERROR(__xludf.DUMMYFUNCTION("""COMPUTED_VALUE"""),"Seidenader MS30 - X20 Potential Distributor GND B&amp;R p/n:X20PD0011")</f>
        <v>Seidenader MS30 - X20 Potential Distributor GND B&amp;R p/n:X20PD0011</v>
      </c>
      <c r="C958" s="14" t="str">
        <f>IFERROR(__xludf.DUMMYFUNCTION("""COMPUTED_VALUE"""),"O-52114-00")</f>
        <v>O-52114-00</v>
      </c>
    </row>
    <row r="959">
      <c r="A959" s="14" t="str">
        <f>IFERROR(__xludf.DUMMYFUNCTION("""COMPUTED_VALUE"""),"O-52115-00")</f>
        <v>O-52115-00</v>
      </c>
      <c r="B959" s="14" t="str">
        <f>IFERROR(__xludf.DUMMYFUNCTION("""COMPUTED_VALUE"""),"Seidenader MS30 - X20 Potential Distributor 24VDC B&amp;R p/n:X20PD0012")</f>
        <v>Seidenader MS30 - X20 Potential Distributor 24VDC B&amp;R p/n:X20PD0012</v>
      </c>
      <c r="C959" s="14" t="str">
        <f>IFERROR(__xludf.DUMMYFUNCTION("""COMPUTED_VALUE"""),"O-52115-00")</f>
        <v>O-52115-00</v>
      </c>
    </row>
    <row r="960">
      <c r="A960" s="14" t="str">
        <f>IFERROR(__xludf.DUMMYFUNCTION("""COMPUTED_VALUE"""),"O-52116-00")</f>
        <v>O-52116-00</v>
      </c>
      <c r="B960" s="14" t="str">
        <f>IFERROR(__xludf.DUMMYFUNCTION("""COMPUTED_VALUE"""),"Seidenader MS30 - Safety Input Module B&amp;R p/n: X20SI9100")</f>
        <v>Seidenader MS30 - Safety Input Module B&amp;R p/n: X20SI9100</v>
      </c>
      <c r="C960" s="14" t="str">
        <f>IFERROR(__xludf.DUMMYFUNCTION("""COMPUTED_VALUE"""),"O-52116-00")</f>
        <v>O-52116-00</v>
      </c>
    </row>
    <row r="961">
      <c r="A961" s="14" t="str">
        <f>IFERROR(__xludf.DUMMYFUNCTION("""COMPUTED_VALUE"""),"O-52117-00")</f>
        <v>O-52117-00</v>
      </c>
      <c r="B961" s="14" t="str">
        <f>IFERROR(__xludf.DUMMYFUNCTION("""COMPUTED_VALUE"""),"Seidenader MS30 - Acopos Multi 65 B&amp;R p/n:80VD100PD.C000-01")</f>
        <v>Seidenader MS30 - Acopos Multi 65 B&amp;R p/n:80VD100PD.C000-01</v>
      </c>
      <c r="C961" s="14" t="str">
        <f>IFERROR(__xludf.DUMMYFUNCTION("""COMPUTED_VALUE"""),"O-52117-00")</f>
        <v>O-52117-00</v>
      </c>
    </row>
    <row r="962">
      <c r="A962" s="14" t="str">
        <f>IFERROR(__xludf.DUMMYFUNCTION("""COMPUTED_VALUE"""),"O-52118-00")</f>
        <v>O-52118-00</v>
      </c>
      <c r="B962" s="14" t="str">
        <f>IFERROR(__xludf.DUMMYFUNCTION("""COMPUTED_VALUE"""),"Seidenader MS30 - Servo Amplifier B&amp;R p/n:80VD100PD.C000-0")</f>
        <v>Seidenader MS30 - Servo Amplifier B&amp;R p/n:80VD100PD.C000-0</v>
      </c>
      <c r="C962" s="14" t="str">
        <f>IFERROR(__xludf.DUMMYFUNCTION("""COMPUTED_VALUE"""),"O-52118-00")</f>
        <v>O-52118-00</v>
      </c>
    </row>
    <row r="963">
      <c r="A963" s="14" t="str">
        <f>IFERROR(__xludf.DUMMYFUNCTION("""COMPUTED_VALUE"""),"O-52119-00")</f>
        <v>O-52119-00</v>
      </c>
      <c r="B963" s="14" t="str">
        <f>IFERROR(__xludf.DUMMYFUNCTION("""COMPUTED_VALUE"""),"Seidenader MS30 - Digital Input Module B&amp;R p/n:X20DI8371")</f>
        <v>Seidenader MS30 - Digital Input Module B&amp;R p/n:X20DI8371</v>
      </c>
      <c r="C963" s="14" t="str">
        <f>IFERROR(__xludf.DUMMYFUNCTION("""COMPUTED_VALUE"""),"O-52119-00")</f>
        <v>O-52119-00</v>
      </c>
    </row>
    <row r="964">
      <c r="A964" s="14" t="str">
        <f>IFERROR(__xludf.DUMMYFUNCTION("""COMPUTED_VALUE"""),"O-52120-00")</f>
        <v>O-52120-00</v>
      </c>
      <c r="B964" s="14" t="str">
        <f>IFERROR(__xludf.DUMMYFUNCTION("""COMPUTED_VALUE"""),"Seidenader MS30 - Digital Signal Module B&amp;R p/n:X20DS4389")</f>
        <v>Seidenader MS30 - Digital Signal Module B&amp;R p/n:X20DS4389</v>
      </c>
      <c r="C964" s="14" t="str">
        <f>IFERROR(__xludf.DUMMYFUNCTION("""COMPUTED_VALUE"""),"O-52120-00")</f>
        <v>O-52120-00</v>
      </c>
    </row>
    <row r="965">
      <c r="A965" s="14" t="str">
        <f>IFERROR(__xludf.DUMMYFUNCTION("""COMPUTED_VALUE"""),"O-52121-00")</f>
        <v>O-52121-00</v>
      </c>
      <c r="B965" s="14" t="str">
        <f>IFERROR(__xludf.DUMMYFUNCTION("""COMPUTED_VALUE"""),"Seidenader MS30 - Adder View Catx Switch 8 Port ADDER p/n:AVX1008IP")</f>
        <v>Seidenader MS30 - Adder View Catx Switch 8 Port ADDER p/n:AVX1008IP</v>
      </c>
      <c r="C965" s="14" t="str">
        <f>IFERROR(__xludf.DUMMYFUNCTION("""COMPUTED_VALUE"""),"O-52121-00")</f>
        <v>O-52121-00</v>
      </c>
    </row>
    <row r="966">
      <c r="A966" s="14" t="str">
        <f>IFERROR(__xludf.DUMMYFUNCTION("""COMPUTED_VALUE"""),"O-52122-00")</f>
        <v>O-52122-00</v>
      </c>
      <c r="B966" s="14" t="str">
        <f>IFERROR(__xludf.DUMMYFUNCTION("""COMPUTED_VALUE"""),"Seidenader MS30 - Industrial Router 4 Port Switch MBConnect Line MDH816")</f>
        <v>Seidenader MS30 - Industrial Router 4 Port Switch MBConnect Line MDH816</v>
      </c>
      <c r="C966" s="14" t="str">
        <f>IFERROR(__xludf.DUMMYFUNCTION("""COMPUTED_VALUE"""),"O-52122-00")</f>
        <v>O-52122-00</v>
      </c>
    </row>
    <row r="967">
      <c r="A967" s="14" t="str">
        <f>IFERROR(__xludf.DUMMYFUNCTION("""COMPUTED_VALUE"""),"O-52123-00")</f>
        <v>O-52123-00</v>
      </c>
      <c r="B967" s="14" t="str">
        <f>IFERROR(__xludf.DUMMYFUNCTION("""COMPUTED_VALUE"""),"Seidenader MS30 - Ethernet Swicht Etherwan p/n:EX95160-00B")</f>
        <v>Seidenader MS30 - Ethernet Swicht Etherwan p/n:EX95160-00B</v>
      </c>
      <c r="C967" s="14" t="str">
        <f>IFERROR(__xludf.DUMMYFUNCTION("""COMPUTED_VALUE"""),"O-52123-00")</f>
        <v>O-52123-00</v>
      </c>
    </row>
    <row r="968">
      <c r="A968" s="14" t="str">
        <f>IFERROR(__xludf.DUMMYFUNCTION("""COMPUTED_VALUE"""),"O-52124-00")</f>
        <v>O-52124-00</v>
      </c>
      <c r="B968" s="14" t="str">
        <f>IFERROR(__xludf.DUMMYFUNCTION("""COMPUTED_VALUE"""),"Seidenader MS30 - X2X Bus Transmitter B&amp;R X20BT9100")</f>
        <v>Seidenader MS30 - X2X Bus Transmitter B&amp;R X20BT9100</v>
      </c>
      <c r="C968" s="14" t="str">
        <f>IFERROR(__xludf.DUMMYFUNCTION("""COMPUTED_VALUE"""),"O-52124-00")</f>
        <v>O-52124-00</v>
      </c>
    </row>
    <row r="969">
      <c r="A969" s="14" t="str">
        <f>IFERROR(__xludf.DUMMYFUNCTION("""COMPUTED_VALUE"""),"O-52125-00")</f>
        <v>O-52125-00</v>
      </c>
      <c r="B969" s="14" t="str">
        <f>IFERROR(__xludf.DUMMYFUNCTION("""COMPUTED_VALUE"""),"Seidenader MS30 - Temperature Input Module B&amp;R X20AT222")</f>
        <v>Seidenader MS30 - Temperature Input Module B&amp;R X20AT222</v>
      </c>
      <c r="C969" s="14" t="str">
        <f>IFERROR(__xludf.DUMMYFUNCTION("""COMPUTED_VALUE"""),"O-52125-00")</f>
        <v>O-52125-00</v>
      </c>
    </row>
    <row r="970">
      <c r="A970" s="14" t="str">
        <f>IFERROR(__xludf.DUMMYFUNCTION("""COMPUTED_VALUE"""),"O-52126-00")</f>
        <v>O-52126-00</v>
      </c>
      <c r="B970" s="14" t="str">
        <f>IFERROR(__xludf.DUMMYFUNCTION("""COMPUTED_VALUE"""),"Seidenader MS30 - Safe Digital Mixed Module B&amp;R X20SC2432;")</f>
        <v>Seidenader MS30 - Safe Digital Mixed Module B&amp;R X20SC2432;</v>
      </c>
      <c r="C970" s="14" t="str">
        <f>IFERROR(__xludf.DUMMYFUNCTION("""COMPUTED_VALUE"""),"O-52126-00")</f>
        <v>O-52126-00</v>
      </c>
    </row>
    <row r="971">
      <c r="A971" s="14" t="str">
        <f>IFERROR(__xludf.DUMMYFUNCTION("""COMPUTED_VALUE"""),"O-52127-00")</f>
        <v>O-52127-00</v>
      </c>
      <c r="B971" s="14" t="str">
        <f>IFERROR(__xludf.DUMMYFUNCTION("""COMPUTED_VALUE"""),"Seidenader MS30 - X20 Bus Contrroller B&amp;R X20HB2880")</f>
        <v>Seidenader MS30 - X20 Bus Contrroller B&amp;R X20HB2880</v>
      </c>
      <c r="C971" s="14" t="str">
        <f>IFERROR(__xludf.DUMMYFUNCTION("""COMPUTED_VALUE"""),"O-52127-00")</f>
        <v>O-52127-00</v>
      </c>
    </row>
    <row r="972">
      <c r="A972" s="14" t="str">
        <f>IFERROR(__xludf.DUMMYFUNCTION("""COMPUTED_VALUE"""),"O-52128-00")</f>
        <v>O-52128-00</v>
      </c>
      <c r="B972" s="14" t="str">
        <f>IFERROR(__xludf.DUMMYFUNCTION("""COMPUTED_VALUE"""),"Seidenader MS30 - Industrial PC B&amp;R 5P91 p/n:401671.002-01")</f>
        <v>Seidenader MS30 - Industrial PC B&amp;R 5P91 p/n:401671.002-01</v>
      </c>
      <c r="C972" s="14" t="str">
        <f>IFERROR(__xludf.DUMMYFUNCTION("""COMPUTED_VALUE"""),"O-52128-00")</f>
        <v>O-52128-00</v>
      </c>
    </row>
    <row r="973">
      <c r="A973" s="14" t="str">
        <f>IFERROR(__xludf.DUMMYFUNCTION("""COMPUTED_VALUE"""),"O-52129-00")</f>
        <v>O-52129-00</v>
      </c>
      <c r="B973" s="14" t="str">
        <f>IFERROR(__xludf.DUMMYFUNCTION("""COMPUTED_VALUE"""),"Seidenader MS30 - Power Supply B&amp;R p/n:0PS080X3.10-01")</f>
        <v>Seidenader MS30 - Power Supply B&amp;R p/n:0PS080X3.10-01</v>
      </c>
      <c r="C973" s="14" t="str">
        <f>IFERROR(__xludf.DUMMYFUNCTION("""COMPUTED_VALUE"""),"O-52129-00")</f>
        <v>O-52129-00</v>
      </c>
    </row>
    <row r="974">
      <c r="A974" s="14" t="str">
        <f>IFERROR(__xludf.DUMMYFUNCTION("""COMPUTED_VALUE"""),"O-52130-00")</f>
        <v>O-52130-00</v>
      </c>
      <c r="B974" s="14" t="str">
        <f>IFERROR(__xludf.DUMMYFUNCTION("""COMPUTED_VALUE"""),"Seidenader MS30 - Expansion Module B&amp;R p/n:8BVE0500HW00.000-1")</f>
        <v>Seidenader MS30 - Expansion Module B&amp;R p/n:8BVE0500HW00.000-1</v>
      </c>
      <c r="C974" s="14" t="str">
        <f>IFERROR(__xludf.DUMMYFUNCTION("""COMPUTED_VALUE"""),"O-52130-00")</f>
        <v>O-52130-00</v>
      </c>
    </row>
    <row r="975">
      <c r="A975" s="14" t="str">
        <f>IFERROR(__xludf.DUMMYFUNCTION("""COMPUTED_VALUE"""),"O-52131-00")</f>
        <v>O-52131-00</v>
      </c>
      <c r="B975" s="14" t="str">
        <f>IFERROR(__xludf.DUMMYFUNCTION("""COMPUTED_VALUE"""),"Seidenader MS30 - Power Supply Module B&amp;R p/n:8B0C0320HW00.002-1")</f>
        <v>Seidenader MS30 - Power Supply Module B&amp;R p/n:8B0C0320HW00.002-1</v>
      </c>
      <c r="C975" s="14" t="str">
        <f>IFERROR(__xludf.DUMMYFUNCTION("""COMPUTED_VALUE"""),"O-52131-00")</f>
        <v>O-52131-00</v>
      </c>
    </row>
    <row r="976">
      <c r="A976" s="14" t="str">
        <f>IFERROR(__xludf.DUMMYFUNCTION("""COMPUTED_VALUE"""),"O-52132-00")</f>
        <v>O-52132-00</v>
      </c>
      <c r="B976" s="14" t="str">
        <f>IFERROR(__xludf.DUMMYFUNCTION("""COMPUTED_VALUE"""),"Seidenader MS30 - Power Supply Module B&amp;R p/n:8BVP0220HW00.000-1")</f>
        <v>Seidenader MS30 - Power Supply Module B&amp;R p/n:8BVP0220HW00.000-1</v>
      </c>
      <c r="C976" s="14" t="str">
        <f>IFERROR(__xludf.DUMMYFUNCTION("""COMPUTED_VALUE"""),"O-52132-00")</f>
        <v>O-52132-00</v>
      </c>
    </row>
    <row r="977">
      <c r="A977" s="14" t="str">
        <f>IFERROR(__xludf.DUMMYFUNCTION("""COMPUTED_VALUE"""),"O-52133-00")</f>
        <v>O-52133-00</v>
      </c>
      <c r="B977" s="14" t="str">
        <f>IFERROR(__xludf.DUMMYFUNCTION("""COMPUTED_VALUE"""),"Seidenader MS30 - Back Feeding Throttle B&amp;R p/n:8BVR0220H000.100-1")</f>
        <v>Seidenader MS30 - Back Feeding Throttle B&amp;R p/n:8BVR0220H000.100-1</v>
      </c>
      <c r="C977" s="14" t="str">
        <f>IFERROR(__xludf.DUMMYFUNCTION("""COMPUTED_VALUE"""),"O-52133-00")</f>
        <v>O-52133-00</v>
      </c>
    </row>
    <row r="978">
      <c r="A978" s="14" t="str">
        <f>IFERROR(__xludf.DUMMYFUNCTION("""COMPUTED_VALUE"""),"O-52134-00")</f>
        <v>O-52134-00</v>
      </c>
      <c r="B978" s="14" t="str">
        <f>IFERROR(__xludf.DUMMYFUNCTION("""COMPUTED_VALUE"""),"Seidenader MS30 - Hum Eliminator B&amp;R p/n:8BVF0220H000.000-1")</f>
        <v>Seidenader MS30 - Hum Eliminator B&amp;R p/n:8BVF0220H000.000-1</v>
      </c>
      <c r="C978" s="14" t="str">
        <f>IFERROR(__xludf.DUMMYFUNCTION("""COMPUTED_VALUE"""),"O-52134-00")</f>
        <v>O-52134-00</v>
      </c>
    </row>
    <row r="979">
      <c r="A979" s="14" t="str">
        <f>IFERROR(__xludf.DUMMYFUNCTION("""COMPUTED_VALUE"""),"O-52135-00")</f>
        <v>O-52135-00</v>
      </c>
      <c r="B979" s="14" t="str">
        <f>IFERROR(__xludf.DUMMYFUNCTION("""COMPUTED_VALUE"""),"GMP Washer - Buzzer 24 VAC/DC 80 DB IP65 Werma p/n:10701075;013489")</f>
        <v>GMP Washer - Buzzer 24 VAC/DC 80 DB IP65 Werma p/n:10701075;013489</v>
      </c>
      <c r="C979" s="14" t="str">
        <f>IFERROR(__xludf.DUMMYFUNCTION("""COMPUTED_VALUE"""),"O-52135-00")</f>
        <v>O-52135-00</v>
      </c>
    </row>
    <row r="980">
      <c r="A980" s="14" t="str">
        <f>IFERROR(__xludf.DUMMYFUNCTION("""COMPUTED_VALUE"""),"O-52136-00")</f>
        <v>O-52136-00</v>
      </c>
      <c r="B980" s="14" t="str">
        <f>IFERROR(__xludf.DUMMYFUNCTION("""COMPUTED_VALUE"""),"GMP Washer - Linear Actuator 24 VDC 50MM, AO-01/MR p/n:010458")</f>
        <v>GMP Washer - Linear Actuator 24 VDC 50MM, AO-01/MR p/n:010458</v>
      </c>
      <c r="C980" s="14" t="str">
        <f>IFERROR(__xludf.DUMMYFUNCTION("""COMPUTED_VALUE"""),"O-52136-00")</f>
        <v>O-52136-00</v>
      </c>
    </row>
    <row r="981">
      <c r="A981" s="14" t="str">
        <f>IFERROR(__xludf.DUMMYFUNCTION("""COMPUTED_VALUE"""),"O-52137-00")</f>
        <v>O-52137-00</v>
      </c>
      <c r="B981" s="14" t="str">
        <f>IFERROR(__xludf.DUMMYFUNCTION("""COMPUTED_VALUE"""),"GMP Washer - Limit Switch 1NO+1NC KME3S11 Lovato Electric p/n:010540")</f>
        <v>GMP Washer - Limit Switch 1NO+1NC KME3S11 Lovato Electric p/n:010540</v>
      </c>
      <c r="C981" s="14" t="str">
        <f>IFERROR(__xludf.DUMMYFUNCTION("""COMPUTED_VALUE"""),"O-52137-00")</f>
        <v>O-52137-00</v>
      </c>
    </row>
    <row r="982">
      <c r="A982" s="14" t="str">
        <f>IFERROR(__xludf.DUMMYFUNCTION("""COMPUTED_VALUE"""),"O-52138-00")</f>
        <v>O-52138-00</v>
      </c>
      <c r="B982" s="14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4" t="str">
        <f>IFERROR(__xludf.DUMMYFUNCTION("""COMPUTED_VALUE"""),"O-52138-00")</f>
        <v>O-52138-00</v>
      </c>
    </row>
    <row r="983">
      <c r="A983" s="14" t="str">
        <f>IFERROR(__xludf.DUMMYFUNCTION("""COMPUTED_VALUE"""),"O-52139-00")</f>
        <v>O-52139-00</v>
      </c>
      <c r="B983" s="14" t="str">
        <f>IFERROR(__xludf.DUMMYFUNCTION("""COMPUTED_VALUE"""),"GMP Washer - Adjustable Themostat IMIT 70/210? C TR2540140/B p/n:012099")</f>
        <v>GMP Washer - Adjustable Themostat IMIT 70/210? C TR2540140/B p/n:012099</v>
      </c>
      <c r="C983" s="14" t="str">
        <f>IFERROR(__xludf.DUMMYFUNCTION("""COMPUTED_VALUE"""),"O-52139-00")</f>
        <v>O-52139-00</v>
      </c>
    </row>
    <row r="984">
      <c r="A984" s="14" t="str">
        <f>IFERROR(__xludf.DUMMYFUNCTION("""COMPUTED_VALUE"""),"O-52140-00")</f>
        <v>O-52140-00</v>
      </c>
      <c r="B984" s="14" t="str">
        <f>IFERROR(__xludf.DUMMYFUNCTION("""COMPUTED_VALUE"""),"GMP Washer - Magnetic Sensor STEM S.R.L DIAM. 6, A0611AUEZ197L p/n:010297")</f>
        <v>GMP Washer - Magnetic Sensor STEM S.R.L DIAM. 6, A0611AUEZ197L p/n:010297</v>
      </c>
      <c r="C984" s="14" t="str">
        <f>IFERROR(__xludf.DUMMYFUNCTION("""COMPUTED_VALUE"""),"O-52140-00")</f>
        <v>O-52140-00</v>
      </c>
    </row>
    <row r="985">
      <c r="A985" s="14" t="str">
        <f>IFERROR(__xludf.DUMMYFUNCTION("""COMPUTED_VALUE"""),"O-52141-00")</f>
        <v>O-52141-00</v>
      </c>
      <c r="B985" s="14" t="str">
        <f>IFERROR(__xludf.DUMMYFUNCTION("""COMPUTED_VALUE"""),"GMP Washer - Pressure Switch MA-TER GP6-- +3/+5MB, SP7PY631.005 p/n:011371")</f>
        <v>GMP Washer - Pressure Switch MA-TER GP6-- +3/+5MB, SP7PY631.005 p/n:011371</v>
      </c>
      <c r="C985" s="14" t="str">
        <f>IFERROR(__xludf.DUMMYFUNCTION("""COMPUTED_VALUE"""),"O-52141-00")</f>
        <v>O-52141-00</v>
      </c>
    </row>
    <row r="986">
      <c r="A986" s="14" t="str">
        <f>IFERROR(__xludf.DUMMYFUNCTION("""COMPUTED_VALUE"""),"O-52142-00")</f>
        <v>O-52142-00</v>
      </c>
      <c r="B986" s="14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4" t="str">
        <f>IFERROR(__xludf.DUMMYFUNCTION("""COMPUTED_VALUE"""),"O-52142-00")</f>
        <v>O-52142-00</v>
      </c>
    </row>
    <row r="987">
      <c r="A987" s="14" t="str">
        <f>IFERROR(__xludf.DUMMYFUNCTION("""COMPUTED_VALUE"""),"O-52143-00")</f>
        <v>O-52143-00</v>
      </c>
      <c r="B987" s="14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4" t="str">
        <f>IFERROR(__xludf.DUMMYFUNCTION("""COMPUTED_VALUE"""),"O-52143-00")</f>
        <v>O-52143-00</v>
      </c>
    </row>
    <row r="988">
      <c r="A988" s="14" t="str">
        <f>IFERROR(__xludf.DUMMYFUNCTION("""COMPUTED_VALUE"""),"O-52144-00")</f>
        <v>O-52144-00</v>
      </c>
      <c r="B988" s="14" t="str">
        <f>IFERROR(__xludf.DUMMYFUNCTION("""COMPUTED_VALUE"""),"GMP Washer - Proximity Switch PNP M8 N.OSS3N203-G GIMATIC p/n:045006")</f>
        <v>GMP Washer - Proximity Switch PNP M8 N.OSS3N203-G GIMATIC p/n:045006</v>
      </c>
      <c r="C988" s="14" t="str">
        <f>IFERROR(__xludf.DUMMYFUNCTION("""COMPUTED_VALUE"""),"O-52144-00")</f>
        <v>O-52144-00</v>
      </c>
    </row>
    <row r="989">
      <c r="A989" s="14" t="str">
        <f>IFERROR(__xludf.DUMMYFUNCTION("""COMPUTED_VALUE"""),"O-52145-00")</f>
        <v>O-52145-00</v>
      </c>
      <c r="B989" s="14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4" t="str">
        <f>IFERROR(__xludf.DUMMYFUNCTION("""COMPUTED_VALUE"""),"O-52145-00")</f>
        <v>O-52145-00</v>
      </c>
    </row>
    <row r="990">
      <c r="A990" s="14" t="str">
        <f>IFERROR(__xludf.DUMMYFUNCTION("""COMPUTED_VALUE"""),"O-52146-00")</f>
        <v>O-52146-00</v>
      </c>
      <c r="B990" s="14" t="str">
        <f>IFERROR(__xludf.DUMMYFUNCTION("""COMPUTED_VALUE"""),"GMP Washer - Magnetic Sensor M12 D12PMPTB196LA STEMS.R.L p/n:011830")</f>
        <v>GMP Washer - Magnetic Sensor M12 D12PMPTB196LA STEMS.R.L p/n:011830</v>
      </c>
      <c r="C990" s="14" t="str">
        <f>IFERROR(__xludf.DUMMYFUNCTION("""COMPUTED_VALUE"""),"O-52146-00")</f>
        <v>O-52146-00</v>
      </c>
    </row>
    <row r="991">
      <c r="A991" s="14" t="str">
        <f>IFERROR(__xludf.DUMMYFUNCTION("""COMPUTED_VALUE"""),"O-52147-00")</f>
        <v>O-52147-00</v>
      </c>
      <c r="B991" s="14" t="str">
        <f>IFERROR(__xludf.DUMMYFUNCTION("""COMPUTED_VALUE"""),"GMP Washer - Differential Pressure Transmitter MS-111-LCD Dwyer p/n:012732")</f>
        <v>GMP Washer - Differential Pressure Transmitter MS-111-LCD Dwyer p/n:012732</v>
      </c>
      <c r="C991" s="14" t="str">
        <f>IFERROR(__xludf.DUMMYFUNCTION("""COMPUTED_VALUE"""),"O-52147-00")</f>
        <v>O-52147-00</v>
      </c>
    </row>
    <row r="992">
      <c r="A992" s="14" t="str">
        <f>IFERROR(__xludf.DUMMYFUNCTION("""COMPUTED_VALUE"""),"O-52148-00")</f>
        <v>O-52148-00</v>
      </c>
      <c r="B992" s="14" t="str">
        <f>IFERROR(__xludf.DUMMYFUNCTION("""COMPUTED_VALUE"""),"GMP Washer - Conductivity Sensor CLS54-ACS1022 E+H p/n:011983")</f>
        <v>GMP Washer - Conductivity Sensor CLS54-ACS1022 E+H p/n:011983</v>
      </c>
      <c r="C992" s="14" t="str">
        <f>IFERROR(__xludf.DUMMYFUNCTION("""COMPUTED_VALUE"""),"O-52148-00")</f>
        <v>O-52148-00</v>
      </c>
    </row>
    <row r="993">
      <c r="A993" s="14" t="str">
        <f>IFERROR(__xludf.DUMMYFUNCTION("""COMPUTED_VALUE"""),"O-52149-00")</f>
        <v>O-52149-00</v>
      </c>
      <c r="B993" s="14" t="str">
        <f>IFERROR(__xludf.DUMMYFUNCTION("""COMPUTED_VALUE"""),"GMP Washer - Conductivity Sensor CLS16-4C3A1R E+H p/n:010580")</f>
        <v>GMP Washer - Conductivity Sensor CLS16-4C3A1R E+H p/n:010580</v>
      </c>
      <c r="C993" s="14" t="str">
        <f>IFERROR(__xludf.DUMMYFUNCTION("""COMPUTED_VALUE"""),"O-52149-00")</f>
        <v>O-52149-00</v>
      </c>
    </row>
    <row r="994">
      <c r="A994" s="14" t="str">
        <f>IFERROR(__xludf.DUMMYFUNCTION("""COMPUTED_VALUE"""),"O-52150-00")</f>
        <v>O-52150-00</v>
      </c>
      <c r="B994" s="14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4" t="str">
        <f>IFERROR(__xludf.DUMMYFUNCTION("""COMPUTED_VALUE"""),"O-52150-00")</f>
        <v>O-52150-00</v>
      </c>
    </row>
    <row r="995">
      <c r="A995" s="14" t="str">
        <f>IFERROR(__xludf.DUMMYFUNCTION("""COMPUTED_VALUE"""),"O-52151-00")</f>
        <v>O-52151-00</v>
      </c>
      <c r="B995" s="14" t="str">
        <f>IFERROR(__xludf.DUMMYFUNCTION("""COMPUTED_VALUE"""),"GMP Washer - Pressure Transmitter 0-0.25 Bar SA-11 Wika p/n:010849")</f>
        <v>GMP Washer - Pressure Transmitter 0-0.25 Bar SA-11 Wika p/n:010849</v>
      </c>
      <c r="C995" s="14" t="str">
        <f>IFERROR(__xludf.DUMMYFUNCTION("""COMPUTED_VALUE"""),"O-52151-00")</f>
        <v>O-52151-00</v>
      </c>
    </row>
    <row r="996">
      <c r="A996" s="14" t="str">
        <f>IFERROR(__xludf.DUMMYFUNCTION("""COMPUTED_VALUE"""),"O-52152-00")</f>
        <v>O-52152-00</v>
      </c>
      <c r="B996" s="14" t="str">
        <f>IFERROR(__xludf.DUMMYFUNCTION("""COMPUTED_VALUE"""),"GMP Washer - Pressure Transmitter 0-6 Bar SA-11 Wika p/n: 012226")</f>
        <v>GMP Washer - Pressure Transmitter 0-6 Bar SA-11 Wika p/n: 012226</v>
      </c>
      <c r="C996" s="14" t="str">
        <f>IFERROR(__xludf.DUMMYFUNCTION("""COMPUTED_VALUE"""),"O-52152-00")</f>
        <v>O-52152-00</v>
      </c>
    </row>
    <row r="997">
      <c r="A997" s="14" t="str">
        <f>IFERROR(__xludf.DUMMYFUNCTION("""COMPUTED_VALUE"""),"O-52153-00")</f>
        <v>O-52153-00</v>
      </c>
      <c r="B997" s="14" t="str">
        <f>IFERROR(__xludf.DUMMYFUNCTION("""COMPUTED_VALUE"""),"GMP Washer - Temperatur sensor TM411-1F2H4/125 E+H p/n:0110762")</f>
        <v>GMP Washer - Temperatur sensor TM411-1F2H4/125 E+H p/n:0110762</v>
      </c>
      <c r="C997" s="14" t="str">
        <f>IFERROR(__xludf.DUMMYFUNCTION("""COMPUTED_VALUE"""),"O-52153-00")</f>
        <v>O-52153-00</v>
      </c>
    </row>
    <row r="998">
      <c r="A998" s="14" t="str">
        <f>IFERROR(__xludf.DUMMYFUNCTION("""COMPUTED_VALUE"""),"O-52154-00")</f>
        <v>O-52154-00</v>
      </c>
      <c r="B998" s="14" t="str">
        <f>IFERROR(__xludf.DUMMYFUNCTION("""COMPUTED_VALUE"""),"GMP Washer - I/O Module Intergratio PCD2.K520 Saia Burgess p/n:010762")</f>
        <v>GMP Washer - I/O Module Intergratio PCD2.K520 Saia Burgess p/n:010762</v>
      </c>
      <c r="C998" s="14" t="str">
        <f>IFERROR(__xludf.DUMMYFUNCTION("""COMPUTED_VALUE"""),"O-52154-00")</f>
        <v>O-52154-00</v>
      </c>
    </row>
    <row r="999">
      <c r="A999" s="14" t="str">
        <f>IFERROR(__xludf.DUMMYFUNCTION("""COMPUTED_VALUE"""),"O-52155-00")</f>
        <v>O-52155-00</v>
      </c>
      <c r="B999" s="14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4" t="str">
        <f>IFERROR(__xludf.DUMMYFUNCTION("""COMPUTED_VALUE"""),"O-52155-00")</f>
        <v>O-52155-00</v>
      </c>
    </row>
    <row r="1000">
      <c r="A1000" s="14" t="str">
        <f>IFERROR(__xludf.DUMMYFUNCTION("""COMPUTED_VALUE"""),"O-52156-00")</f>
        <v>O-52156-00</v>
      </c>
      <c r="B1000" s="14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4" t="str">
        <f>IFERROR(__xludf.DUMMYFUNCTION("""COMPUTED_VALUE"""),"O-52156-00")</f>
        <v>O-52156-00</v>
      </c>
    </row>
    <row r="1001">
      <c r="A1001" s="14" t="str">
        <f>IFERROR(__xludf.DUMMYFUNCTION("""COMPUTED_VALUE"""),"O-52157-00")</f>
        <v>O-52157-00</v>
      </c>
      <c r="B1001" s="14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4" t="str">
        <f>IFERROR(__xludf.DUMMYFUNCTION("""COMPUTED_VALUE"""),"O-52157-00")</f>
        <v>O-52157-00</v>
      </c>
    </row>
    <row r="1002">
      <c r="A1002" s="14" t="str">
        <f>IFERROR(__xludf.DUMMYFUNCTION("""COMPUTED_VALUE"""),"O-52158-00")</f>
        <v>O-52158-00</v>
      </c>
      <c r="B1002" s="14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4" t="str">
        <f>IFERROR(__xludf.DUMMYFUNCTION("""COMPUTED_VALUE"""),"O-52158-00")</f>
        <v>O-52158-00</v>
      </c>
    </row>
    <row r="1003">
      <c r="A1003" s="14" t="str">
        <f>IFERROR(__xludf.DUMMYFUNCTION("""COMPUTED_VALUE"""),"O-52159-00")</f>
        <v>O-52159-00</v>
      </c>
      <c r="B1003" s="14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4" t="str">
        <f>IFERROR(__xludf.DUMMYFUNCTION("""COMPUTED_VALUE"""),"O-52159-00")</f>
        <v>O-52159-00</v>
      </c>
    </row>
    <row r="1004">
      <c r="A1004" s="14" t="str">
        <f>IFERROR(__xludf.DUMMYFUNCTION("""COMPUTED_VALUE"""),"O-52160-00")</f>
        <v>O-52160-00</v>
      </c>
      <c r="B1004" s="14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4" t="str">
        <f>IFERROR(__xludf.DUMMYFUNCTION("""COMPUTED_VALUE"""),"O-52160-00")</f>
        <v>O-52160-00</v>
      </c>
    </row>
    <row r="1005">
      <c r="A1005" s="14" t="str">
        <f>IFERROR(__xludf.DUMMYFUNCTION("""COMPUTED_VALUE"""),"O-52161-00")</f>
        <v>O-52161-00</v>
      </c>
      <c r="B1005" s="14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4" t="str">
        <f>IFERROR(__xludf.DUMMYFUNCTION("""COMPUTED_VALUE"""),"O-52161-00")</f>
        <v>O-52161-00</v>
      </c>
    </row>
    <row r="1006">
      <c r="A1006" s="14" t="str">
        <f>IFERROR(__xludf.DUMMYFUNCTION("""COMPUTED_VALUE"""),"O-52162-00")</f>
        <v>O-52162-00</v>
      </c>
      <c r="B1006" s="14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4" t="str">
        <f>IFERROR(__xludf.DUMMYFUNCTION("""COMPUTED_VALUE"""),"O-52162-00")</f>
        <v>O-52162-00</v>
      </c>
    </row>
    <row r="1007">
      <c r="A1007" s="14" t="str">
        <f>IFERROR(__xludf.DUMMYFUNCTION("""COMPUTED_VALUE"""),"O-52163-00")</f>
        <v>O-52163-00</v>
      </c>
      <c r="B1007" s="14" t="str">
        <f>IFERROR(__xludf.DUMMYFUNCTION("""COMPUTED_VALUE"""),"GMP Washer - Thermostat 168? C 1NT08L-4288 KLIXON p/n:010144")</f>
        <v>GMP Washer - Thermostat 168? C 1NT08L-4288 KLIXON p/n:010144</v>
      </c>
      <c r="C1007" s="14" t="str">
        <f>IFERROR(__xludf.DUMMYFUNCTION("""COMPUTED_VALUE"""),"O-52163-00")</f>
        <v>O-52163-00</v>
      </c>
    </row>
    <row r="1008">
      <c r="A1008" s="14" t="str">
        <f>IFERROR(__xludf.DUMMYFUNCTION("""COMPUTED_VALUE"""),"O-52164-00")</f>
        <v>O-52164-00</v>
      </c>
      <c r="B1008" s="14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4" t="str">
        <f>IFERROR(__xludf.DUMMYFUNCTION("""COMPUTED_VALUE"""),"O-52164-00")</f>
        <v>O-52164-00</v>
      </c>
    </row>
    <row r="1009">
      <c r="A1009" s="14" t="str">
        <f>IFERROR(__xludf.DUMMYFUNCTION("""COMPUTED_VALUE"""),"O-52165-00")</f>
        <v>O-52165-00</v>
      </c>
      <c r="B1009" s="14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4" t="str">
        <f>IFERROR(__xludf.DUMMYFUNCTION("""COMPUTED_VALUE"""),"O-52165-00")</f>
        <v>O-52165-00</v>
      </c>
    </row>
    <row r="1010">
      <c r="A1010" s="14" t="str">
        <f>IFERROR(__xludf.DUMMYFUNCTION("""COMPUTED_VALUE"""),"O-52166-00")</f>
        <v>O-52166-00</v>
      </c>
      <c r="B1010" s="14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4" t="str">
        <f>IFERROR(__xludf.DUMMYFUNCTION("""COMPUTED_VALUE"""),"O-52166-00")</f>
        <v>O-52166-00</v>
      </c>
    </row>
    <row r="1011">
      <c r="A1011" s="14" t="str">
        <f>IFERROR(__xludf.DUMMYFUNCTION("""COMPUTED_VALUE"""),"O-52167-00")</f>
        <v>O-52167-00</v>
      </c>
      <c r="B1011" s="14" t="str">
        <f>IFERROR(__xludf.DUMMYFUNCTION("""COMPUTED_VALUE"""),"GMP Washer - Air Heating Element 230V 1300W DHEp/n:010459")</f>
        <v>GMP Washer - Air Heating Element 230V 1300W DHEp/n:010459</v>
      </c>
      <c r="C1011" s="14" t="str">
        <f>IFERROR(__xludf.DUMMYFUNCTION("""COMPUTED_VALUE"""),"O-52167-00")</f>
        <v>O-52167-00</v>
      </c>
    </row>
    <row r="1012">
      <c r="A1012" s="14" t="str">
        <f>IFERROR(__xludf.DUMMYFUNCTION("""COMPUTED_VALUE"""),"O-52168-00")</f>
        <v>O-52168-00</v>
      </c>
      <c r="B1012" s="14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4" t="str">
        <f>IFERROR(__xludf.DUMMYFUNCTION("""COMPUTED_VALUE"""),"O-52168-00")</f>
        <v>O-52168-00</v>
      </c>
    </row>
    <row r="1013">
      <c r="A1013" s="14" t="str">
        <f>IFERROR(__xludf.DUMMYFUNCTION("""COMPUTED_VALUE"""),"O-52169-00")</f>
        <v>O-52169-00</v>
      </c>
      <c r="B1013" s="14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4" t="str">
        <f>IFERROR(__xludf.DUMMYFUNCTION("""COMPUTED_VALUE"""),"O-52169-00")</f>
        <v>O-52169-00</v>
      </c>
    </row>
    <row r="1014">
      <c r="A1014" s="14" t="str">
        <f>IFERROR(__xludf.DUMMYFUNCTION("""COMPUTED_VALUE"""),"O-52170-00")</f>
        <v>O-52170-00</v>
      </c>
      <c r="B1014" s="14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4" t="str">
        <f>IFERROR(__xludf.DUMMYFUNCTION("""COMPUTED_VALUE"""),"O-52170-00")</f>
        <v>O-52170-00</v>
      </c>
    </row>
    <row r="1015">
      <c r="A1015" s="14" t="str">
        <f>IFERROR(__xludf.DUMMYFUNCTION("""COMPUTED_VALUE"""),"O-52171-00")</f>
        <v>O-52171-00</v>
      </c>
      <c r="B1015" s="14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4" t="str">
        <f>IFERROR(__xludf.DUMMYFUNCTION("""COMPUTED_VALUE"""),"O-52171-00")</f>
        <v>O-52171-00</v>
      </c>
    </row>
    <row r="1016">
      <c r="A1016" s="14" t="str">
        <f>IFERROR(__xludf.DUMMYFUNCTION("""COMPUTED_VALUE"""),"O-52172-00")</f>
        <v>O-52172-00</v>
      </c>
      <c r="B1016" s="14" t="str">
        <f>IFERROR(__xludf.DUMMYFUNCTION("""COMPUTED_VALUE"""),"GMP Washer - Frontal Auxilari Contact 1NO/1NC GVAE1 Schneider p/n:010268")</f>
        <v>GMP Washer - Frontal Auxilari Contact 1NO/1NC GVAE1 Schneider p/n:010268</v>
      </c>
      <c r="C1016" s="14" t="str">
        <f>IFERROR(__xludf.DUMMYFUNCTION("""COMPUTED_VALUE"""),"O-52172-00")</f>
        <v>O-52172-00</v>
      </c>
    </row>
    <row r="1017">
      <c r="A1017" s="14" t="str">
        <f>IFERROR(__xludf.DUMMYFUNCTION("""COMPUTED_VALUE"""),"O-52173-00")</f>
        <v>O-52173-00</v>
      </c>
      <c r="B1017" s="14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4" t="str">
        <f>IFERROR(__xludf.DUMMYFUNCTION("""COMPUTED_VALUE"""),"O-52173-00")</f>
        <v>O-52173-00</v>
      </c>
    </row>
    <row r="1018">
      <c r="A1018" s="14" t="str">
        <f>IFERROR(__xludf.DUMMYFUNCTION("""COMPUTED_VALUE"""),"O-52174-00")</f>
        <v>O-52174-00</v>
      </c>
      <c r="B1018" s="14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4" t="str">
        <f>IFERROR(__xludf.DUMMYFUNCTION("""COMPUTED_VALUE"""),"O-52174-00")</f>
        <v>O-52174-00</v>
      </c>
    </row>
    <row r="1019">
      <c r="A1019" s="14" t="str">
        <f>IFERROR(__xludf.DUMMYFUNCTION("""COMPUTED_VALUE"""),"O-52175-00")</f>
        <v>O-52175-00</v>
      </c>
      <c r="B1019" s="14" t="str">
        <f>IFERROR(__xludf.DUMMYFUNCTION("""COMPUTED_VALUE"""),"GMP Washer - Adjustable Thermostat; 0/+60?C 1-NO KTS011 STEGO p/n:013565")</f>
        <v>GMP Washer - Adjustable Thermostat; 0/+60?C 1-NO KTS011 STEGO p/n:013565</v>
      </c>
      <c r="C1019" s="14" t="str">
        <f>IFERROR(__xludf.DUMMYFUNCTION("""COMPUTED_VALUE"""),"O-52175-00")</f>
        <v>O-52175-00</v>
      </c>
    </row>
    <row r="1020">
      <c r="A1020" s="14" t="str">
        <f>IFERROR(__xludf.DUMMYFUNCTION("""COMPUTED_VALUE"""),"O-52176-00")</f>
        <v>O-52176-00</v>
      </c>
      <c r="B1020" s="14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4" t="str">
        <f>IFERROR(__xludf.DUMMYFUNCTION("""COMPUTED_VALUE"""),"O-52176-00")</f>
        <v>O-52176-00</v>
      </c>
    </row>
    <row r="1021">
      <c r="A1021" s="14" t="str">
        <f>IFERROR(__xludf.DUMMYFUNCTION("""COMPUTED_VALUE"""),"O-52177-00")</f>
        <v>O-52177-00</v>
      </c>
      <c r="B1021" s="14" t="str">
        <f>IFERROR(__xludf.DUMMYFUNCTION("""COMPUTED_VALUE"""),"GMP Washer - Relay 208/480V PMV10A440 Lavato Electic SPA p/n:011152")</f>
        <v>GMP Washer - Relay 208/480V PMV10A440 Lavato Electic SPA p/n:011152</v>
      </c>
      <c r="C1021" s="14" t="str">
        <f>IFERROR(__xludf.DUMMYFUNCTION("""COMPUTED_VALUE"""),"O-52177-00")</f>
        <v>O-52177-00</v>
      </c>
    </row>
    <row r="1022">
      <c r="A1022" s="14" t="str">
        <f>IFERROR(__xludf.DUMMYFUNCTION("""COMPUTED_VALUE"""),"O-52178-00")</f>
        <v>O-52178-00</v>
      </c>
      <c r="B1022" s="14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4" t="str">
        <f>IFERROR(__xludf.DUMMYFUNCTION("""COMPUTED_VALUE"""),"O-52178-00")</f>
        <v>O-52178-00</v>
      </c>
    </row>
    <row r="1023">
      <c r="A1023" s="14" t="str">
        <f>IFERROR(__xludf.DUMMYFUNCTION("""COMPUTED_VALUE"""),"O-52179-00")</f>
        <v>O-52179-00</v>
      </c>
      <c r="B1023" s="14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4" t="str">
        <f>IFERROR(__xludf.DUMMYFUNCTION("""COMPUTED_VALUE"""),"O-52179-00")</f>
        <v>O-52179-00</v>
      </c>
    </row>
    <row r="1024">
      <c r="A1024" s="14" t="str">
        <f>IFERROR(__xludf.DUMMYFUNCTION("""COMPUTED_VALUE"""),"O-52180-00")</f>
        <v>O-52180-00</v>
      </c>
      <c r="B1024" s="14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4" t="str">
        <f>IFERROR(__xludf.DUMMYFUNCTION("""COMPUTED_VALUE"""),"O-52180-00")</f>
        <v>O-52180-00</v>
      </c>
    </row>
    <row r="1025">
      <c r="A1025" s="14" t="str">
        <f>IFERROR(__xludf.DUMMYFUNCTION("""COMPUTED_VALUE"""),"O-52181-00")</f>
        <v>O-52181-00</v>
      </c>
      <c r="B1025" s="14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4" t="str">
        <f>IFERROR(__xludf.DUMMYFUNCTION("""COMPUTED_VALUE"""),"O-52181-00")</f>
        <v>O-52181-00</v>
      </c>
    </row>
    <row r="1026">
      <c r="A1026" s="14" t="str">
        <f>IFERROR(__xludf.DUMMYFUNCTION("""COMPUTED_VALUE"""),"O-52182-00")</f>
        <v>O-52182-00</v>
      </c>
      <c r="B1026" s="14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4" t="str">
        <f>IFERROR(__xludf.DUMMYFUNCTION("""COMPUTED_VALUE"""),"O-52182-00")</f>
        <v>O-52182-00</v>
      </c>
    </row>
    <row r="1027">
      <c r="A1027" s="14" t="str">
        <f>IFERROR(__xludf.DUMMYFUNCTION("""COMPUTED_VALUE"""),"O-52183-00")</f>
        <v>O-52183-00</v>
      </c>
      <c r="B1027" s="14" t="str">
        <f>IFERROR(__xludf.DUMMYFUNCTION("""COMPUTED_VALUE"""),"Carton Sealer - Fuse 10A p/n:2890043")</f>
        <v>Carton Sealer - Fuse 10A p/n:2890043</v>
      </c>
      <c r="C1027" s="14" t="str">
        <f>IFERROR(__xludf.DUMMYFUNCTION("""COMPUTED_VALUE"""),"O-52183-00")</f>
        <v>O-52183-00</v>
      </c>
    </row>
    <row r="1028">
      <c r="A1028" s="14" t="str">
        <f>IFERROR(__xludf.DUMMYFUNCTION("""COMPUTED_VALUE"""),"O-52184-00")</f>
        <v>O-52184-00</v>
      </c>
      <c r="B1028" s="14" t="str">
        <f>IFERROR(__xludf.DUMMYFUNCTION("""COMPUTED_VALUE"""),"Conveyor System - Hub Switch TP-LINK TL-SF-1008D")</f>
        <v>Conveyor System - Hub Switch TP-LINK TL-SF-1008D</v>
      </c>
      <c r="C1028" s="14" t="str">
        <f>IFERROR(__xludf.DUMMYFUNCTION("""COMPUTED_VALUE"""),"O-52184-00")</f>
        <v>O-52184-00</v>
      </c>
    </row>
    <row r="1029">
      <c r="A1029" s="14" t="str">
        <f>IFERROR(__xludf.DUMMYFUNCTION("""COMPUTED_VALUE"""),"O-52185-00")</f>
        <v>O-52185-00</v>
      </c>
      <c r="B1029" s="14" t="str">
        <f>IFERROR(__xludf.DUMMYFUNCTION("""COMPUTED_VALUE"""),"Conveyor System - Inverter ATV12H075M2 0.75KW 220V Scheider")</f>
        <v>Conveyor System - Inverter ATV12H075M2 0.75KW 220V Scheider</v>
      </c>
      <c r="C1029" s="14" t="str">
        <f>IFERROR(__xludf.DUMMYFUNCTION("""COMPUTED_VALUE"""),"O-52185-00")</f>
        <v>O-52185-00</v>
      </c>
    </row>
    <row r="1030">
      <c r="A1030" s="14" t="str">
        <f>IFERROR(__xludf.DUMMYFUNCTION("""COMPUTED_VALUE"""),"O-52186-00")</f>
        <v>O-52186-00</v>
      </c>
      <c r="B1030" s="14" t="str">
        <f>IFERROR(__xludf.DUMMYFUNCTION("""COMPUTED_VALUE"""),"Conveyor System - Photoelectric Sensor E3FA-DN12 Omron")</f>
        <v>Conveyor System - Photoelectric Sensor E3FA-DN12 Omron</v>
      </c>
      <c r="C1030" s="14" t="str">
        <f>IFERROR(__xludf.DUMMYFUNCTION("""COMPUTED_VALUE"""),"O-52186-00")</f>
        <v>O-52186-00</v>
      </c>
    </row>
    <row r="1031">
      <c r="A1031" s="14" t="str">
        <f>IFERROR(__xludf.DUMMYFUNCTION("""COMPUTED_VALUE"""),"O-52187-00")</f>
        <v>O-52187-00</v>
      </c>
      <c r="B1031" s="14" t="str">
        <f>IFERROR(__xludf.DUMMYFUNCTION("""COMPUTED_VALUE"""),"Conveyor System - Amplifier E3X-HD11 Omron")</f>
        <v>Conveyor System - Amplifier E3X-HD11 Omron</v>
      </c>
      <c r="C1031" s="14" t="str">
        <f>IFERROR(__xludf.DUMMYFUNCTION("""COMPUTED_VALUE"""),"O-52187-00")</f>
        <v>O-52187-00</v>
      </c>
    </row>
    <row r="1032">
      <c r="A1032" s="14" t="str">
        <f>IFERROR(__xludf.DUMMYFUNCTION("""COMPUTED_VALUE"""),"O-52188-00")</f>
        <v>O-52188-00</v>
      </c>
      <c r="B1032" s="14" t="str">
        <f>IFERROR(__xludf.DUMMYFUNCTION("""COMPUTED_VALUE"""),"Conveyor System - Optical Sensor E32-CC200 Omron")</f>
        <v>Conveyor System - Optical Sensor E32-CC200 Omron</v>
      </c>
      <c r="C1032" s="14" t="str">
        <f>IFERROR(__xludf.DUMMYFUNCTION("""COMPUTED_VALUE"""),"O-52188-00")</f>
        <v>O-52188-00</v>
      </c>
    </row>
    <row r="1033">
      <c r="A1033" s="14" t="str">
        <f>IFERROR(__xludf.DUMMYFUNCTION("""COMPUTED_VALUE"""),"O-52189-00")</f>
        <v>O-52189-00</v>
      </c>
      <c r="B1033" s="14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4" t="str">
        <f>IFERROR(__xludf.DUMMYFUNCTION("""COMPUTED_VALUE"""),"O-52189-00")</f>
        <v>O-52189-00</v>
      </c>
    </row>
    <row r="1034">
      <c r="A1034" s="14" t="str">
        <f>IFERROR(__xludf.DUMMYFUNCTION("""COMPUTED_VALUE"""),"O-52199-00")</f>
        <v>O-52199-00</v>
      </c>
      <c r="B1034" s="14" t="str">
        <f>IFERROR(__xludf.DUMMYFUNCTION("""COMPUTED_VALUE"""),"AC Semiconductor Controller RSC-AAM60 Carlo Gavazzi")</f>
        <v>AC Semiconductor Controller RSC-AAM60 Carlo Gavazzi</v>
      </c>
      <c r="C1034" s="14" t="str">
        <f>IFERROR(__xludf.DUMMYFUNCTION("""COMPUTED_VALUE"""),"O-52199-00")</f>
        <v>O-52199-00</v>
      </c>
    </row>
    <row r="1035">
      <c r="A1035" s="14" t="str">
        <f>IFERROR(__xludf.DUMMYFUNCTION("""COMPUTED_VALUE"""),"O-52200-00")</f>
        <v>O-52200-00</v>
      </c>
      <c r="B1035" s="14" t="str">
        <f>IFERROR(__xludf.DUMMYFUNCTION("""COMPUTED_VALUE"""),"FESTO -  Proximity Sensor SME-8M-DS-24V-K-0,3-M8D p/n: 543861; ; ;")</f>
        <v>FESTO -  Proximity Sensor SME-8M-DS-24V-K-0,3-M8D p/n: 543861; ; ;</v>
      </c>
      <c r="C1035" s="14" t="str">
        <f>IFERROR(__xludf.DUMMYFUNCTION("""COMPUTED_VALUE"""),"O-52200-00")</f>
        <v>O-52200-00</v>
      </c>
    </row>
    <row r="1036">
      <c r="A1036" s="14" t="str">
        <f>IFERROR(__xludf.DUMMYFUNCTION("""COMPUTED_VALUE"""),"O-52207-00")</f>
        <v>O-52207-00</v>
      </c>
      <c r="B1036" s="14" t="str">
        <f>IFERROR(__xludf.DUMMYFUNCTION("""COMPUTED_VALUE"""),"Filling VFM100 - Laser Photoelectric Sensor Head LV-S62 Keyence; ; ;")</f>
        <v>Filling VFM100 - Laser Photoelectric Sensor Head LV-S62 Keyence; ; ;</v>
      </c>
      <c r="C1036" s="14" t="str">
        <f>IFERROR(__xludf.DUMMYFUNCTION("""COMPUTED_VALUE"""),"O-52207-00")</f>
        <v>O-52207-00</v>
      </c>
    </row>
    <row r="1037">
      <c r="A1037" s="14" t="str">
        <f>IFERROR(__xludf.DUMMYFUNCTION("""COMPUTED_VALUE"""),"O-52208-00")</f>
        <v>O-52208-00</v>
      </c>
      <c r="B1037" s="14" t="str">
        <f>IFERROR(__xludf.DUMMYFUNCTION("""COMPUTED_VALUE"""),"Filling VFM100 - Laser Photoelectric Sensor (Amplifier) LV-N11CP Keyence")</f>
        <v>Filling VFM100 - Laser Photoelectric Sensor (Amplifier) LV-N11CP Keyence</v>
      </c>
      <c r="C1037" s="14" t="str">
        <f>IFERROR(__xludf.DUMMYFUNCTION("""COMPUTED_VALUE"""),"O-52208-00")</f>
        <v>O-52208-00</v>
      </c>
    </row>
    <row r="1038">
      <c r="A1038" s="14" t="str">
        <f>IFERROR(__xludf.DUMMYFUNCTION("""COMPUTED_VALUE"""),"O-52209-00")</f>
        <v>O-52209-00</v>
      </c>
      <c r="B1038" s="14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4" t="str">
        <f>IFERROR(__xludf.DUMMYFUNCTION("""COMPUTED_VALUE"""),"O-52209-00")</f>
        <v>O-52209-00</v>
      </c>
    </row>
    <row r="1039">
      <c r="A1039" s="14" t="str">
        <f>IFERROR(__xludf.DUMMYFUNCTION("""COMPUTED_VALUE"""),"O-52210-00")</f>
        <v>O-52210-00</v>
      </c>
      <c r="B1039" s="14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4" t="str">
        <f>IFERROR(__xludf.DUMMYFUNCTION("""COMPUTED_VALUE"""),"O-52210-00")</f>
        <v>O-52210-00</v>
      </c>
    </row>
    <row r="1040">
      <c r="A1040" s="14" t="str">
        <f>IFERROR(__xludf.DUMMYFUNCTION("""COMPUTED_VALUE"""),"O-52211-00")</f>
        <v>O-52211-00</v>
      </c>
      <c r="B1040" s="14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4" t="str">
        <f>IFERROR(__xludf.DUMMYFUNCTION("""COMPUTED_VALUE"""),"O-52211-00")</f>
        <v>O-52211-00</v>
      </c>
    </row>
    <row r="1041">
      <c r="A1041" s="14" t="str">
        <f>IFERROR(__xludf.DUMMYFUNCTION("""COMPUTED_VALUE"""),"O-52213-00")</f>
        <v>O-52213-00</v>
      </c>
      <c r="B1041" s="14" t="str">
        <f>IFERROR(__xludf.DUMMYFUNCTION("""COMPUTED_VALUE"""),"Speed Controller GUA-C-90-A 220-240VAC CGM GUA SERIES")</f>
        <v>Speed Controller GUA-C-90-A 220-240VAC CGM GUA SERIES</v>
      </c>
      <c r="C1041" s="14" t="str">
        <f>IFERROR(__xludf.DUMMYFUNCTION("""COMPUTED_VALUE"""),"O-52213-00")</f>
        <v>O-52213-00</v>
      </c>
    </row>
    <row r="1042">
      <c r="A1042" s="14" t="str">
        <f>IFERROR(__xludf.DUMMYFUNCTION("""COMPUTED_VALUE"""),"O-52224-00")</f>
        <v>O-52224-00</v>
      </c>
      <c r="B1042" s="14" t="str">
        <f>IFERROR(__xludf.DUMMYFUNCTION("""COMPUTED_VALUE"""),"Tunnel ST1L - Fuse Keramik 22x58 40A 200kA; ; ;")</f>
        <v>Tunnel ST1L - Fuse Keramik 22x58 40A 200kA; ; ;</v>
      </c>
      <c r="C1042" s="14" t="str">
        <f>IFERROR(__xludf.DUMMYFUNCTION("""COMPUTED_VALUE"""),"O-52224-00")</f>
        <v>O-52224-00</v>
      </c>
    </row>
    <row r="1043">
      <c r="A1043" s="14" t="str">
        <f>IFERROR(__xludf.DUMMYFUNCTION("""COMPUTED_VALUE"""),"O-52225-00")</f>
        <v>O-52225-00</v>
      </c>
      <c r="B1043" s="14" t="str">
        <f>IFERROR(__xludf.DUMMYFUNCTION("""COMPUTED_VALUE"""),"Tunnel ST1L - Fuse Keramik 25A")</f>
        <v>Tunnel ST1L - Fuse Keramik 25A</v>
      </c>
      <c r="C1043" s="14" t="str">
        <f>IFERROR(__xludf.DUMMYFUNCTION("""COMPUTED_VALUE"""),"O-52225-00")</f>
        <v>O-52225-00</v>
      </c>
    </row>
    <row r="1044">
      <c r="A1044" s="14" t="str">
        <f>IFERROR(__xludf.DUMMYFUNCTION("""COMPUTED_VALUE"""),"O-52229-00")</f>
        <v>O-52229-00</v>
      </c>
      <c r="B1044" s="14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4" t="str">
        <f>IFERROR(__xludf.DUMMYFUNCTION("""COMPUTED_VALUE"""),"O-52229-00")</f>
        <v>O-52229-00</v>
      </c>
    </row>
    <row r="1045">
      <c r="A1045" s="14" t="str">
        <f>IFERROR(__xludf.DUMMYFUNCTION("""COMPUTED_VALUE"""),"O-52234-00")</f>
        <v>O-52234-00</v>
      </c>
      <c r="B1045" s="14" t="str">
        <f>IFERROR(__xludf.DUMMYFUNCTION("""COMPUTED_VALUE"""),"Sensor Amplifier OBF502 IFM")</f>
        <v>Sensor Amplifier OBF502 IFM</v>
      </c>
      <c r="C1045" s="14" t="str">
        <f>IFERROR(__xludf.DUMMYFUNCTION("""COMPUTED_VALUE"""),"O-52234-00")</f>
        <v>O-52234-00</v>
      </c>
    </row>
    <row r="1046">
      <c r="A1046" s="14" t="str">
        <f>IFERROR(__xludf.DUMMYFUNCTION("""COMPUTED_VALUE"""),"O-52240-00")</f>
        <v>O-52240-00</v>
      </c>
      <c r="B1046" s="14" t="str">
        <f>IFERROR(__xludf.DUMMYFUNCTION("""COMPUTED_VALUE"""),"WAGO 750-623 Supply Modul Input 5-15 V")</f>
        <v>WAGO 750-623 Supply Modul Input 5-15 V</v>
      </c>
      <c r="C1046" s="14" t="str">
        <f>IFERROR(__xludf.DUMMYFUNCTION("""COMPUTED_VALUE"""),"O-52240-00")</f>
        <v>O-52240-00</v>
      </c>
    </row>
    <row r="1047">
      <c r="A1047" s="14" t="str">
        <f>IFERROR(__xludf.DUMMYFUNCTION("""COMPUTED_VALUE"""),"O-52241-00")</f>
        <v>O-52241-00</v>
      </c>
      <c r="B1047" s="14" t="str">
        <f>IFERROR(__xludf.DUMMYFUNCTION("""COMPUTED_VALUE"""),"Tunnel ST1L - Potensio 10K; ; ;")</f>
        <v>Tunnel ST1L - Potensio 10K; ; ;</v>
      </c>
      <c r="C1047" s="14" t="str">
        <f>IFERROR(__xludf.DUMMYFUNCTION("""COMPUTED_VALUE"""),"O-52241-00")</f>
        <v>O-52241-00</v>
      </c>
    </row>
    <row r="1048">
      <c r="A1048" s="14" t="str">
        <f>IFERROR(__xludf.DUMMYFUNCTION("""COMPUTED_VALUE"""),"O-52250-00")</f>
        <v>O-52250-00</v>
      </c>
      <c r="B1048" s="14" t="str">
        <f>IFERROR(__xludf.DUMMYFUNCTION("""COMPUTED_VALUE"""),"Tunnel ST1L - END Module 750-600 Wago")</f>
        <v>Tunnel ST1L - END Module 750-600 Wago</v>
      </c>
      <c r="C1048" s="14" t="str">
        <f>IFERROR(__xludf.DUMMYFUNCTION("""COMPUTED_VALUE"""),"O-52250-00")</f>
        <v>O-52250-00</v>
      </c>
    </row>
    <row r="1049">
      <c r="A1049" s="14" t="str">
        <f>IFERROR(__xludf.DUMMYFUNCTION("""COMPUTED_VALUE"""),"O-52263-00")</f>
        <v>O-52263-00</v>
      </c>
      <c r="B1049" s="14" t="str">
        <f>IFERROR(__xludf.DUMMYFUNCTION("""COMPUTED_VALUE"""),"Thermostate Analog 30-110C 220VAC")</f>
        <v>Thermostate Analog 30-110C 220VAC</v>
      </c>
      <c r="C1049" s="14" t="str">
        <f>IFERROR(__xludf.DUMMYFUNCTION("""COMPUTED_VALUE"""),"O-52263-00")</f>
        <v>O-52263-00</v>
      </c>
    </row>
    <row r="1050">
      <c r="A1050" s="14" t="str">
        <f>IFERROR(__xludf.DUMMYFUNCTION("""COMPUTED_VALUE"""),"O-52268-00")</f>
        <v>O-52268-00</v>
      </c>
      <c r="B1050" s="14" t="str">
        <f>IFERROR(__xludf.DUMMYFUNCTION("""COMPUTED_VALUE"""),"cRABS Z064CR - Proximity Sensor BNS260-11ZG-ST-L Schmersal")</f>
        <v>cRABS Z064CR - Proximity Sensor BNS260-11ZG-ST-L Schmersal</v>
      </c>
      <c r="C1050" s="14" t="str">
        <f>IFERROR(__xludf.DUMMYFUNCTION("""COMPUTED_VALUE"""),"O-52268-00")</f>
        <v>O-52268-00</v>
      </c>
    </row>
    <row r="1051">
      <c r="A1051" s="14" t="str">
        <f>IFERROR(__xludf.DUMMYFUNCTION("""COMPUTED_VALUE"""),"O-52269-00")</f>
        <v>O-52269-00</v>
      </c>
      <c r="B1051" s="14" t="str">
        <f>IFERROR(__xludf.DUMMYFUNCTION("""COMPUTED_VALUE"""),"Selenoid Valve 2 Way Brass, 24VDC, 1/2 inch; ; ;")</f>
        <v>Selenoid Valve 2 Way Brass, 24VDC, 1/2 inch; ; ;</v>
      </c>
      <c r="C1051" s="14" t="str">
        <f>IFERROR(__xludf.DUMMYFUNCTION("""COMPUTED_VALUE"""),"O-52269-00")</f>
        <v>O-52269-00</v>
      </c>
    </row>
    <row r="1052">
      <c r="A1052" s="14" t="str">
        <f>IFERROR(__xludf.DUMMYFUNCTION("""COMPUTED_VALUE"""),"O-52271-00")</f>
        <v>O-52271-00</v>
      </c>
      <c r="B1052" s="14" t="str">
        <f>IFERROR(__xludf.DUMMYFUNCTION("""COMPUTED_VALUE"""),"Freeze Dryer MBE1207 - Flow Switch SMC Part No. IFW550-N04-00")</f>
        <v>Freeze Dryer MBE1207 - Flow Switch SMC Part No. IFW550-N04-00</v>
      </c>
      <c r="C1052" s="14" t="str">
        <f>IFERROR(__xludf.DUMMYFUNCTION("""COMPUTED_VALUE"""),"O-52271-00")</f>
        <v>O-52271-00</v>
      </c>
    </row>
    <row r="1053">
      <c r="A1053" s="14" t="str">
        <f>IFERROR(__xludf.DUMMYFUNCTION("""COMPUTED_VALUE"""),"O-52277-00")</f>
        <v>O-52277-00</v>
      </c>
      <c r="B1053" s="14" t="str">
        <f>IFERROR(__xludf.DUMMYFUNCTION("""COMPUTED_VALUE"""),"Chin Yen CY-1300S-N - Label Sensor; SICK; Part No. WF2-40B410;")</f>
        <v>Chin Yen CY-1300S-N - Label Sensor; SICK; Part No. WF2-40B410;</v>
      </c>
      <c r="C1053" s="14" t="str">
        <f>IFERROR(__xludf.DUMMYFUNCTION("""COMPUTED_VALUE"""),"O-52277-00")</f>
        <v>O-52277-00</v>
      </c>
    </row>
    <row r="1054">
      <c r="A1054" s="14" t="str">
        <f>IFERROR(__xludf.DUMMYFUNCTION("""COMPUTED_VALUE"""),"O-52278-00")</f>
        <v>O-52278-00</v>
      </c>
      <c r="B1054" s="14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4" t="str">
        <f>IFERROR(__xludf.DUMMYFUNCTION("""COMPUTED_VALUE"""),"O-52278-00")</f>
        <v>O-52278-00</v>
      </c>
    </row>
    <row r="1055">
      <c r="A1055" s="14" t="str">
        <f>IFERROR(__xludf.DUMMYFUNCTION("""COMPUTED_VALUE"""),"O-52313-00")</f>
        <v>O-52313-00</v>
      </c>
      <c r="B1055" s="14" t="str">
        <f>IFERROR(__xludf.DUMMYFUNCTION("""COMPUTED_VALUE"""),"Selenoid Valve VZWD-L-M22C-M-G14-10-V-1P4-50 Festo P/n: 1491828")</f>
        <v>Selenoid Valve VZWD-L-M22C-M-G14-10-V-1P4-50 Festo P/n: 1491828</v>
      </c>
      <c r="C1055" s="14" t="str">
        <f>IFERROR(__xludf.DUMMYFUNCTION("""COMPUTED_VALUE"""),"O-52313-00")</f>
        <v>O-52313-00</v>
      </c>
    </row>
    <row r="1056">
      <c r="A1056" s="14" t="str">
        <f>IFERROR(__xludf.DUMMYFUNCTION("""COMPUTED_VALUE"""),"O-52314-00")</f>
        <v>O-52314-00</v>
      </c>
      <c r="B1056" s="14" t="str">
        <f>IFERROR(__xludf.DUMMYFUNCTION("""COMPUTED_VALUE"""),"Selenoid Valve VSNC-FC-M52-MD-G14-F8-1B2; Festo; P/n: 577295;")</f>
        <v>Selenoid Valve VSNC-FC-M52-MD-G14-F8-1B2; Festo; P/n: 577295;</v>
      </c>
      <c r="C1056" s="14" t="str">
        <f>IFERROR(__xludf.DUMMYFUNCTION("""COMPUTED_VALUE"""),"O-52314-00")</f>
        <v>O-52314-00</v>
      </c>
    </row>
    <row r="1057">
      <c r="A1057" s="14" t="str">
        <f>IFERROR(__xludf.DUMMYFUNCTION("""COMPUTED_VALUE"""),"O-52316-00")</f>
        <v>O-52316-00</v>
      </c>
      <c r="B1057" s="14" t="str">
        <f>IFERROR(__xludf.DUMMYFUNCTION("""COMPUTED_VALUE"""),"Socket Sensor 4 Pin Drat M8 DOS-0804-G; Sick; ;")</f>
        <v>Socket Sensor 4 Pin Drat M8 DOS-0804-G; Sick; ;</v>
      </c>
      <c r="C1057" s="14" t="str">
        <f>IFERROR(__xludf.DUMMYFUNCTION("""COMPUTED_VALUE"""),"O-52316-00")</f>
        <v>O-52316-00</v>
      </c>
    </row>
    <row r="1058">
      <c r="A1058" s="14" t="str">
        <f>IFERROR(__xludf.DUMMYFUNCTION("""COMPUTED_VALUE"""),"O-52317-00")</f>
        <v>O-52317-00</v>
      </c>
      <c r="B1058" s="14" t="str">
        <f>IFERROR(__xludf.DUMMYFUNCTION("""COMPUTED_VALUE"""),"Safety Relay F3SP-U3P-TGR; Omron; ;")</f>
        <v>Safety Relay F3SP-U3P-TGR; Omron; ;</v>
      </c>
      <c r="C1058" s="14" t="str">
        <f>IFERROR(__xludf.DUMMYFUNCTION("""COMPUTED_VALUE"""),"O-52317-00")</f>
        <v>O-52317-00</v>
      </c>
    </row>
    <row r="1059">
      <c r="A1059" s="14" t="str">
        <f>IFERROR(__xludf.DUMMYFUNCTION("""COMPUTED_VALUE"""),"O-52318-00")</f>
        <v>O-52318-00</v>
      </c>
      <c r="B1059" s="14" t="str">
        <f>IFERROR(__xludf.DUMMYFUNCTION("""COMPUTED_VALUE"""),"Kabel pelangi 10 pin + socket")</f>
        <v>Kabel pelangi 10 pin + socket</v>
      </c>
      <c r="C1059" s="14" t="str">
        <f>IFERROR(__xludf.DUMMYFUNCTION("""COMPUTED_VALUE"""),"O-52318-00")</f>
        <v>O-52318-00</v>
      </c>
    </row>
    <row r="1060">
      <c r="A1060" s="14" t="str">
        <f>IFERROR(__xludf.DUMMYFUNCTION("""COMPUTED_VALUE"""),"O-52323-00")</f>
        <v>O-52323-00</v>
      </c>
      <c r="B1060" s="14" t="str">
        <f>IFERROR(__xludf.DUMMYFUNCTION("""COMPUTED_VALUE"""),"Blower 12VDC P/n: 119494-00 AMETEK")</f>
        <v>Blower 12VDC P/n: 119494-00 AMETEK</v>
      </c>
      <c r="C1060" s="14" t="str">
        <f>IFERROR(__xludf.DUMMYFUNCTION("""COMPUTED_VALUE"""),"O-52323-00")</f>
        <v>O-52323-00</v>
      </c>
    </row>
    <row r="1061">
      <c r="A1061" s="14" t="str">
        <f>IFERROR(__xludf.DUMMYFUNCTION("""COMPUTED_VALUE"""),"O-52326-00")</f>
        <v>O-52326-00</v>
      </c>
      <c r="B1061" s="14" t="str">
        <f>IFERROR(__xludf.DUMMYFUNCTION("""COMPUTED_VALUE"""),"Marchesini MA155 - Power Supply cV5_DC A5E30947477-H3 Siemens")</f>
        <v>Marchesini MA155 - Power Supply cV5_DC A5E30947477-H3 Siemens</v>
      </c>
      <c r="C1061" s="14" t="str">
        <f>IFERROR(__xludf.DUMMYFUNCTION("""COMPUTED_VALUE"""),"O-52326-00")</f>
        <v>O-52326-00</v>
      </c>
    </row>
    <row r="1062">
      <c r="A1062" s="14" t="str">
        <f>IFERROR(__xludf.DUMMYFUNCTION("""COMPUTED_VALUE"""),"O-52336-00")</f>
        <v>O-52336-00</v>
      </c>
      <c r="B1062" s="14" t="str">
        <f>IFERROR(__xludf.DUMMYFUNCTION("""COMPUTED_VALUE"""),"Capping VCM200 - Encoder ARS60-A4A08192 10-32 VDC SICK")</f>
        <v>Capping VCM200 - Encoder ARS60-A4A08192 10-32 VDC SICK</v>
      </c>
      <c r="C1062" s="14" t="str">
        <f>IFERROR(__xludf.DUMMYFUNCTION("""COMPUTED_VALUE"""),"O-52336-00")</f>
        <v>O-52336-00</v>
      </c>
    </row>
    <row r="1063">
      <c r="A1063" s="14" t="str">
        <f>IFERROR(__xludf.DUMMYFUNCTION("""COMPUTED_VALUE"""),"O-52355-00")</f>
        <v>O-52355-00</v>
      </c>
      <c r="B1063" s="14" t="str">
        <f>IFERROR(__xludf.DUMMYFUNCTION("""COMPUTED_VALUE"""),"Solenoid Valve type 55B-24-PE-611JB MAC")</f>
        <v>Solenoid Valve type 55B-24-PE-611JB MAC</v>
      </c>
      <c r="C1063" s="14" t="str">
        <f>IFERROR(__xludf.DUMMYFUNCTION("""COMPUTED_VALUE"""),"O-52355-00")</f>
        <v>O-52355-00</v>
      </c>
    </row>
    <row r="1064">
      <c r="A1064" s="14" t="str">
        <f>IFERROR(__xludf.DUMMYFUNCTION("""COMPUTED_VALUE"""),"O-52381-00")</f>
        <v>O-52381-00</v>
      </c>
      <c r="B1064" s="14" t="str">
        <f>IFERROR(__xludf.DUMMYFUNCTION("""COMPUTED_VALUE"""),"Flowmeter P/n: 9193142 Miele")</f>
        <v>Flowmeter P/n: 9193142 Miele</v>
      </c>
      <c r="C1064" s="14" t="str">
        <f>IFERROR(__xludf.DUMMYFUNCTION("""COMPUTED_VALUE"""),"O-52381-00")</f>
        <v>O-52381-00</v>
      </c>
    </row>
    <row r="1065">
      <c r="A1065" s="14" t="str">
        <f>IFERROR(__xludf.DUMMYFUNCTION("""COMPUTED_VALUE"""),"O-52387-00")</f>
        <v>O-52387-00</v>
      </c>
      <c r="B1065" s="14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4" t="str">
        <f>IFERROR(__xludf.DUMMYFUNCTION("""COMPUTED_VALUE"""),"O-52387-00")</f>
        <v>O-52387-00</v>
      </c>
    </row>
    <row r="1066">
      <c r="A1066" s="14" t="str">
        <f>IFERROR(__xludf.DUMMYFUNCTION("""COMPUTED_VALUE"""),"O-52398-00")</f>
        <v>O-52398-00</v>
      </c>
      <c r="B1066" s="14" t="str">
        <f>IFERROR(__xludf.DUMMYFUNCTION("""COMPUTED_VALUE"""),"Kabel Fiber Optic FD-620-10; Autonics; ;")</f>
        <v>Kabel Fiber Optic FD-620-10; Autonics; ;</v>
      </c>
      <c r="C1066" s="14" t="str">
        <f>IFERROR(__xludf.DUMMYFUNCTION("""COMPUTED_VALUE"""),"O-52398-00")</f>
        <v>O-52398-00</v>
      </c>
    </row>
    <row r="1067">
      <c r="A1067" s="14" t="str">
        <f>IFERROR(__xludf.DUMMYFUNCTION("""COMPUTED_VALUE"""),"O-52430-00")</f>
        <v>O-52430-00</v>
      </c>
      <c r="B1067" s="14" t="str">
        <f>IFERROR(__xludf.DUMMYFUNCTION("""COMPUTED_VALUE"""),"Fan KDE2405PFB1-8; SUNON; ;")</f>
        <v>Fan KDE2405PFB1-8; SUNON; ;</v>
      </c>
      <c r="C1067" s="14" t="str">
        <f>IFERROR(__xludf.DUMMYFUNCTION("""COMPUTED_VALUE"""),"O-52430-00")</f>
        <v>O-52430-00</v>
      </c>
    </row>
    <row r="1068">
      <c r="A1068" s="14" t="str">
        <f>IFERROR(__xludf.DUMMYFUNCTION("""COMPUTED_VALUE"""),"O-52431-00")</f>
        <v>O-52431-00</v>
      </c>
      <c r="B1068" s="14" t="str">
        <f>IFERROR(__xludf.DUMMYFUNCTION("""COMPUTED_VALUE"""),"Sensor Alcohol PIR 7000 Type:334 M25 HART Drager")</f>
        <v>Sensor Alcohol PIR 7000 Type:334 M25 HART Drager</v>
      </c>
      <c r="C1068" s="14" t="str">
        <f>IFERROR(__xludf.DUMMYFUNCTION("""COMPUTED_VALUE"""),"O-52431-00")</f>
        <v>O-52431-00</v>
      </c>
    </row>
    <row r="1069">
      <c r="A1069" s="14" t="str">
        <f>IFERROR(__xludf.DUMMYFUNCTION("""COMPUTED_VALUE"""),"O-52443-00")</f>
        <v>O-52443-00</v>
      </c>
      <c r="B1069" s="14" t="str">
        <f>IFERROR(__xludf.DUMMYFUNCTION("""COMPUTED_VALUE"""),"Analog Input 8 Channel 331-7KF02-0AB0; Siemens; ;")</f>
        <v>Analog Input 8 Channel 331-7KF02-0AB0; Siemens; ;</v>
      </c>
      <c r="C1069" s="14" t="str">
        <f>IFERROR(__xludf.DUMMYFUNCTION("""COMPUTED_VALUE"""),"O-52443-00")</f>
        <v>O-52443-00</v>
      </c>
    </row>
    <row r="1070">
      <c r="A1070" s="14" t="str">
        <f>IFERROR(__xludf.DUMMYFUNCTION("""COMPUTED_VALUE"""),"O-52467-00")</f>
        <v>O-52467-00</v>
      </c>
      <c r="B1070" s="14" t="str">
        <f>IFERROR(__xludf.DUMMYFUNCTION("""COMPUTED_VALUE"""),"PMS Airnet - P/N. 1000013870 FRU,R,ANII,PROCESSOR PCB; ; ;")</f>
        <v>PMS Airnet - P/N. 1000013870 FRU,R,ANII,PROCESSOR PCB; ; ;</v>
      </c>
      <c r="C1070" s="14" t="str">
        <f>IFERROR(__xludf.DUMMYFUNCTION("""COMPUTED_VALUE"""),"O-52467-00")</f>
        <v>O-52467-00</v>
      </c>
    </row>
    <row r="1071">
      <c r="A1071" s="14" t="str">
        <f>IFERROR(__xludf.DUMMYFUNCTION("""COMPUTED_VALUE"""),"O-52478-00")</f>
        <v>O-52478-00</v>
      </c>
      <c r="B1071" s="14" t="str">
        <f>IFERROR(__xludf.DUMMYFUNCTION("""COMPUTED_VALUE"""),"General - Proximity Sensor; Schmersal; BNS260-11ZG-ST-R; 1 Pc")</f>
        <v>General - Proximity Sensor; Schmersal; BNS260-11ZG-ST-R; 1 Pc</v>
      </c>
      <c r="C1071" s="14" t="str">
        <f>IFERROR(__xludf.DUMMYFUNCTION("""COMPUTED_VALUE"""),"O-52478-00")</f>
        <v>O-52478-00</v>
      </c>
    </row>
    <row r="1072">
      <c r="A1072" s="14" t="str">
        <f>IFERROR(__xludf.DUMMYFUNCTION("""COMPUTED_VALUE"""),"O-52496-00")</f>
        <v>O-52496-00</v>
      </c>
      <c r="B1072" s="14" t="str">
        <f>IFERROR(__xludf.DUMMYFUNCTION("""COMPUTED_VALUE"""),"Selenoid Valve SMC P/N : VF5220-5DZ1-03")</f>
        <v>Selenoid Valve SMC P/N : VF5220-5DZ1-03</v>
      </c>
      <c r="C1072" s="14" t="str">
        <f>IFERROR(__xludf.DUMMYFUNCTION("""COMPUTED_VALUE"""),"O-52496-00")</f>
        <v>O-52496-00</v>
      </c>
    </row>
    <row r="1073">
      <c r="A1073" s="14" t="str">
        <f>IFERROR(__xludf.DUMMYFUNCTION("""COMPUTED_VALUE"""),"O-52497-00")</f>
        <v>O-52497-00</v>
      </c>
      <c r="B1073" s="14" t="str">
        <f>IFERROR(__xludf.DUMMYFUNCTION("""COMPUTED_VALUE"""),"UV Lamp SUEZ P/N: CARK 35010-01")</f>
        <v>UV Lamp SUEZ P/N: CARK 35010-01</v>
      </c>
      <c r="C1073" s="14" t="str">
        <f>IFERROR(__xludf.DUMMYFUNCTION("""COMPUTED_VALUE"""),"O-52497-00")</f>
        <v>O-52497-00</v>
      </c>
    </row>
    <row r="1074">
      <c r="A1074" s="14" t="str">
        <f>IFERROR(__xludf.DUMMYFUNCTION("""COMPUTED_VALUE"""),"O-52530-00")</f>
        <v>O-52530-00</v>
      </c>
      <c r="B1074" s="14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4" t="str">
        <f>IFERROR(__xludf.DUMMYFUNCTION("""COMPUTED_VALUE"""),"O-52530-00")</f>
        <v>O-52530-00</v>
      </c>
    </row>
    <row r="1075">
      <c r="A1075" s="14" t="str">
        <f>IFERROR(__xludf.DUMMYFUNCTION("""COMPUTED_VALUE"""),"O-52561-00")</f>
        <v>O-52561-00</v>
      </c>
      <c r="B1075" s="14" t="str">
        <f>IFERROR(__xludf.DUMMYFUNCTION("""COMPUTED_VALUE"""),"UPS Type I Plug IPG800, Capacity 800 VA; Riello; ;")</f>
        <v>UPS Type I Plug IPG800, Capacity 800 VA; Riello; ;</v>
      </c>
      <c r="C1075" s="14" t="str">
        <f>IFERROR(__xludf.DUMMYFUNCTION("""COMPUTED_VALUE"""),"O-52561-00")</f>
        <v>O-52561-00</v>
      </c>
    </row>
    <row r="1076">
      <c r="A1076" s="14" t="str">
        <f>IFERROR(__xludf.DUMMYFUNCTION("""COMPUTED_VALUE"""),"O-52596-00")</f>
        <v>O-52596-00</v>
      </c>
      <c r="B1076" s="14" t="str">
        <f>IFERROR(__xludf.DUMMYFUNCTION("""COMPUTED_VALUE"""),"Autoclave Fedegari FVA2/A1 NB2966AT - Proface Printer GP401355")</f>
        <v>Autoclave Fedegari FVA2/A1 NB2966AT - Proface Printer GP401355</v>
      </c>
      <c r="C1076" s="14" t="str">
        <f>IFERROR(__xludf.DUMMYFUNCTION("""COMPUTED_VALUE"""),"O-52596-00")</f>
        <v>O-52596-00</v>
      </c>
    </row>
    <row r="1077">
      <c r="A1077" s="14" t="str">
        <f>IFERROR(__xludf.DUMMYFUNCTION("""COMPUTED_VALUE"""),"O-52597-00")</f>
        <v>O-52597-00</v>
      </c>
      <c r="B1077" s="14" t="str">
        <f>IFERROR(__xludf.DUMMYFUNCTION("""COMPUTED_VALUE"""),"Selenoid Valve VZWD-L-M22C-M-G12-135-1P4-10 Festo")</f>
        <v>Selenoid Valve VZWD-L-M22C-M-G12-135-1P4-10 Festo</v>
      </c>
      <c r="C1077" s="14" t="str">
        <f>IFERROR(__xludf.DUMMYFUNCTION("""COMPUTED_VALUE"""),"O-52597-00")</f>
        <v>O-52597-00</v>
      </c>
    </row>
    <row r="1078">
      <c r="A1078" s="14" t="str">
        <f>IFERROR(__xludf.DUMMYFUNCTION("""COMPUTED_VALUE"""),"O-52621-00")</f>
        <v>O-52621-00</v>
      </c>
      <c r="B1078" s="14" t="str">
        <f>IFERROR(__xludf.DUMMYFUNCTION("""COMPUTED_VALUE"""),"Printing Mechanism MT2460 CUT+HORIS SUPP p/n : 917EF051700000 CUSTOM")</f>
        <v>Printing Mechanism MT2460 CUT+HORIS SUPP p/n : 917EF051700000 CUSTOM</v>
      </c>
      <c r="C1078" s="14" t="str">
        <f>IFERROR(__xludf.DUMMYFUNCTION("""COMPUTED_VALUE"""),"O-52621-00")</f>
        <v>O-52621-00</v>
      </c>
    </row>
    <row r="1079">
      <c r="A1079" s="14" t="str">
        <f>IFERROR(__xludf.DUMMYFUNCTION("""COMPUTED_VALUE"""),"O-52635-00")</f>
        <v>O-52635-00</v>
      </c>
      <c r="B1079" s="14" t="str">
        <f>IFERROR(__xludf.DUMMYFUNCTION("""COMPUTED_VALUE"""),"Danube 45587 - Electrovalvula 230V AC")</f>
        <v>Danube 45587 - Electrovalvula 230V AC</v>
      </c>
      <c r="C1079" s="14" t="str">
        <f>IFERROR(__xludf.DUMMYFUNCTION("""COMPUTED_VALUE"""),"O-52635-00")</f>
        <v>O-52635-00</v>
      </c>
    </row>
    <row r="1080">
      <c r="A1080" s="14" t="str">
        <f>IFERROR(__xludf.DUMMYFUNCTION("""COMPUTED_VALUE"""),"O-52656-00")</f>
        <v>O-52656-00</v>
      </c>
      <c r="B1080" s="14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4" t="str">
        <f>IFERROR(__xludf.DUMMYFUNCTION("""COMPUTED_VALUE"""),"O-52656-00")</f>
        <v>O-52656-00</v>
      </c>
    </row>
    <row r="1081">
      <c r="A1081" s="14" t="str">
        <f>IFERROR(__xludf.DUMMYFUNCTION("""COMPUTED_VALUE"""),"O-52701-00")</f>
        <v>O-52701-00</v>
      </c>
      <c r="B1081" s="14" t="str">
        <f>IFERROR(__xludf.DUMMYFUNCTION("""COMPUTED_VALUE"""),"IMA CLU EK2046 - Router VPN Secomea P/n: 84229090; ; ;")</f>
        <v>IMA CLU EK2046 - Router VPN Secomea P/n: 84229090; ; ;</v>
      </c>
      <c r="C1081" s="14" t="str">
        <f>IFERROR(__xludf.DUMMYFUNCTION("""COMPUTED_VALUE"""),"O-52701-00")</f>
        <v>O-52701-00</v>
      </c>
    </row>
    <row r="1082">
      <c r="A1082" s="14" t="str">
        <f>IFERROR(__xludf.DUMMYFUNCTION("""COMPUTED_VALUE"""),"O-52702-00")</f>
        <v>O-52702-00</v>
      </c>
      <c r="B1082" s="14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4" t="str">
        <f>IFERROR(__xludf.DUMMYFUNCTION("""COMPUTED_VALUE"""),"O-52702-00")</f>
        <v>O-52702-00</v>
      </c>
    </row>
    <row r="1083">
      <c r="A1083" s="14" t="str">
        <f>IFERROR(__xludf.DUMMYFUNCTION("""COMPUTED_VALUE"""),"O-52820-00")</f>
        <v>O-52820-00</v>
      </c>
      <c r="B1083" s="14" t="str">
        <f>IFERROR(__xludf.DUMMYFUNCTION("""COMPUTED_VALUE"""),"Basic Operation Panel SINAMICS G120 6SL3255-0AA00-4CA1; Siemens; ;")</f>
        <v>Basic Operation Panel SINAMICS G120 6SL3255-0AA00-4CA1; Siemens; ;</v>
      </c>
      <c r="C1083" s="14" t="str">
        <f>IFERROR(__xludf.DUMMYFUNCTION("""COMPUTED_VALUE"""),"O-52820-00")</f>
        <v>O-52820-00</v>
      </c>
    </row>
    <row r="1084">
      <c r="A1084" s="14" t="str">
        <f>IFERROR(__xludf.DUMMYFUNCTION("""COMPUTED_VALUE"""),"O-52825-00")</f>
        <v>O-52825-00</v>
      </c>
      <c r="B1084" s="14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4" t="str">
        <f>IFERROR(__xludf.DUMMYFUNCTION("""COMPUTED_VALUE"""),"O-52825-00")</f>
        <v>O-52825-00</v>
      </c>
    </row>
    <row r="1085">
      <c r="A1085" s="14" t="str">
        <f>IFERROR(__xludf.DUMMYFUNCTION("""COMPUTED_VALUE"""),"O-52826-00")</f>
        <v>O-52826-00</v>
      </c>
      <c r="B1085" s="14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4" t="str">
        <f>IFERROR(__xludf.DUMMYFUNCTION("""COMPUTED_VALUE"""),"O-52826-00")</f>
        <v>O-52826-00</v>
      </c>
    </row>
    <row r="1086">
      <c r="A1086" s="14" t="str">
        <f>IFERROR(__xludf.DUMMYFUNCTION("""COMPUTED_VALUE"""),"O-52830-00")</f>
        <v>O-52830-00</v>
      </c>
      <c r="B1086" s="14" t="str">
        <f>IFERROR(__xludf.DUMMYFUNCTION("""COMPUTED_VALUE"""),"GMP Washer - Chemical Flowmeter 932-9301/P2 FHKSC DIGMESA; ; ;")</f>
        <v>GMP Washer - Chemical Flowmeter 932-9301/P2 FHKSC DIGMESA; ; ;</v>
      </c>
      <c r="C1086" s="14" t="str">
        <f>IFERROR(__xludf.DUMMYFUNCTION("""COMPUTED_VALUE"""),"O-52830-00")</f>
        <v>O-52830-00</v>
      </c>
    </row>
    <row r="1087">
      <c r="A1087" s="14" t="str">
        <f>IFERROR(__xludf.DUMMYFUNCTION("""COMPUTED_VALUE"""),"O-52831-00")</f>
        <v>O-52831-00</v>
      </c>
      <c r="B1087" s="14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4" t="str">
        <f>IFERROR(__xludf.DUMMYFUNCTION("""COMPUTED_VALUE"""),"O-52831-00")</f>
        <v>O-52831-00</v>
      </c>
    </row>
    <row r="1088">
      <c r="A1088" s="14" t="str">
        <f>IFERROR(__xludf.DUMMYFUNCTION("""COMPUTED_VALUE"""),"O-52841-00")</f>
        <v>O-52841-00</v>
      </c>
      <c r="B1088" s="14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4" t="str">
        <f>IFERROR(__xludf.DUMMYFUNCTION("""COMPUTED_VALUE"""),"O-52841-00")</f>
        <v>O-52841-00</v>
      </c>
    </row>
    <row r="1089">
      <c r="A1089" s="14" t="str">
        <f>IFERROR(__xludf.DUMMYFUNCTION("""COMPUTED_VALUE"""),"O-52841-00")</f>
        <v>O-52841-00</v>
      </c>
      <c r="B1089" s="14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4" t="str">
        <f>IFERROR(__xludf.DUMMYFUNCTION("""COMPUTED_VALUE"""),"O-52841-00")</f>
        <v>O-52841-00</v>
      </c>
    </row>
    <row r="1090">
      <c r="A1090" s="14" t="str">
        <f>IFERROR(__xludf.DUMMYFUNCTION("""COMPUTED_VALUE"""),"O-52845-00")</f>
        <v>O-52845-00</v>
      </c>
      <c r="B1090" s="14" t="str">
        <f>IFERROR(__xludf.DUMMYFUNCTION("""COMPUTED_VALUE"""),"Freeze Dryer MBE1207 - SV169 Coil MKC-1 AC220V P/n: EB15-00507; MYCOM; ;")</f>
        <v>Freeze Dryer MBE1207 - SV169 Coil MKC-1 AC220V P/n: EB15-00507; MYCOM; ;</v>
      </c>
      <c r="C1090" s="14" t="str">
        <f>IFERROR(__xludf.DUMMYFUNCTION("""COMPUTED_VALUE"""),"O-52845-00")</f>
        <v>O-52845-00</v>
      </c>
    </row>
    <row r="1091">
      <c r="A1091" s="14" t="str">
        <f>IFERROR(__xludf.DUMMYFUNCTION("""COMPUTED_VALUE"""),"O-52854-00")</f>
        <v>O-52854-00</v>
      </c>
      <c r="B1091" s="14" t="str">
        <f>IFERROR(__xludf.DUMMYFUNCTION("""COMPUTED_VALUE"""),"Safety Sensor GG505S GIGA-4015-US; IFM; ;")</f>
        <v>Safety Sensor GG505S GIGA-4015-US; IFM; ;</v>
      </c>
      <c r="C1091" s="14" t="str">
        <f>IFERROR(__xludf.DUMMYFUNCTION("""COMPUTED_VALUE"""),"O-52854-00")</f>
        <v>O-52854-00</v>
      </c>
    </row>
    <row r="1092">
      <c r="A1092" s="14" t="str">
        <f>IFERROR(__xludf.DUMMYFUNCTION("""COMPUTED_VALUE"""),"O-52859-00")</f>
        <v>O-52859-00</v>
      </c>
      <c r="B1092" s="14" t="str">
        <f>IFERROR(__xludf.DUMMYFUNCTION("""COMPUTED_VALUE"""),"Temperature Controller - TK4S- 24RN 100-240 VAC AUTONICS; ; ;")</f>
        <v>Temperature Controller - TK4S- 24RN 100-240 VAC AUTONICS; ; ;</v>
      </c>
      <c r="C1092" s="14" t="str">
        <f>IFERROR(__xludf.DUMMYFUNCTION("""COMPUTED_VALUE"""),"O-52859-00")</f>
        <v>O-52859-00</v>
      </c>
    </row>
    <row r="1093">
      <c r="A1093" s="14" t="str">
        <f>IFERROR(__xludf.DUMMYFUNCTION("""COMPUTED_VALUE"""),"O-52868-00")</f>
        <v>O-52868-00</v>
      </c>
      <c r="B1093" s="14" t="str">
        <f>IFERROR(__xludf.DUMMYFUNCTION("""COMPUTED_VALUE"""),"Auto Switch D-A93L SMC; ; ;")</f>
        <v>Auto Switch D-A93L SMC; ; ;</v>
      </c>
      <c r="C1093" s="14" t="str">
        <f>IFERROR(__xludf.DUMMYFUNCTION("""COMPUTED_VALUE"""),"O-52868-00")</f>
        <v>O-52868-00</v>
      </c>
    </row>
    <row r="1094">
      <c r="A1094" s="14" t="str">
        <f>IFERROR(__xludf.DUMMYFUNCTION("""COMPUTED_VALUE"""),"O-52869-00")</f>
        <v>O-52869-00</v>
      </c>
      <c r="B1094" s="14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4" t="str">
        <f>IFERROR(__xludf.DUMMYFUNCTION("""COMPUTED_VALUE"""),"O-52869-00")</f>
        <v>O-52869-00</v>
      </c>
    </row>
    <row r="1095">
      <c r="A1095" s="14" t="str">
        <f>IFERROR(__xludf.DUMMYFUNCTION("""COMPUTED_VALUE"""),"O-52878-00")</f>
        <v>O-52878-00</v>
      </c>
      <c r="B1095" s="14" t="str">
        <f>IFERROR(__xludf.DUMMYFUNCTION("""COMPUTED_VALUE"""),"General - Heat Sink untuk SSR; Fotex; -; 1 Pc")</f>
        <v>General - Heat Sink untuk SSR; Fotex; -; 1 Pc</v>
      </c>
      <c r="C1095" s="14" t="str">
        <f>IFERROR(__xludf.DUMMYFUNCTION("""COMPUTED_VALUE"""),"O-52878-00")</f>
        <v>O-52878-00</v>
      </c>
    </row>
    <row r="1096">
      <c r="A1096" s="14" t="str">
        <f>IFERROR(__xludf.DUMMYFUNCTION("""COMPUTED_VALUE"""),"O-52882-00")</f>
        <v>O-52882-00</v>
      </c>
      <c r="B1096" s="14" t="str">
        <f>IFERROR(__xludf.DUMMYFUNCTION("""COMPUTED_VALUE"""),"Video Jet - Sensor C2DM-11N; ; ;")</f>
        <v>Video Jet - Sensor C2DM-11N; ; ;</v>
      </c>
      <c r="C1096" s="14" t="str">
        <f>IFERROR(__xludf.DUMMYFUNCTION("""COMPUTED_VALUE"""),"O-52882-00")</f>
        <v>O-52882-00</v>
      </c>
    </row>
    <row r="1097">
      <c r="A1097" s="14" t="str">
        <f>IFERROR(__xludf.DUMMYFUNCTION("""COMPUTED_VALUE"""),"O-52884-00")</f>
        <v>O-52884-00</v>
      </c>
      <c r="B1097" s="14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4" t="str">
        <f>IFERROR(__xludf.DUMMYFUNCTION("""COMPUTED_VALUE"""),"O-52884-00")</f>
        <v>O-52884-00</v>
      </c>
    </row>
    <row r="1098">
      <c r="A1098" s="14" t="str">
        <f>IFERROR(__xludf.DUMMYFUNCTION("""COMPUTED_VALUE"""),"O-52888-00")</f>
        <v>O-52888-00</v>
      </c>
      <c r="B1098" s="14" t="str">
        <f>IFERROR(__xludf.DUMMYFUNCTION("""COMPUTED_VALUE"""),"AUTONICS - Sensor Capacitive NPN CR18-8DN; ; ;")</f>
        <v>AUTONICS - Sensor Capacitive NPN CR18-8DN; ; ;</v>
      </c>
      <c r="C1098" s="14" t="str">
        <f>IFERROR(__xludf.DUMMYFUNCTION("""COMPUTED_VALUE"""),"O-52888-00")</f>
        <v>O-52888-00</v>
      </c>
    </row>
    <row r="1099">
      <c r="A1099" s="14" t="str">
        <f>IFERROR(__xludf.DUMMYFUNCTION("""COMPUTED_VALUE"""),"O-52920-00")</f>
        <v>O-52920-00</v>
      </c>
      <c r="B1099" s="14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4" t="str">
        <f>IFERROR(__xludf.DUMMYFUNCTION("""COMPUTED_VALUE"""),"O-52920-00")</f>
        <v>O-52920-00</v>
      </c>
    </row>
    <row r="1100">
      <c r="A1100" s="14" t="str">
        <f>IFERROR(__xludf.DUMMYFUNCTION("""COMPUTED_VALUE"""),"O-52941-00")</f>
        <v>O-52941-00</v>
      </c>
      <c r="B1100" s="14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4" t="str">
        <f>IFERROR(__xludf.DUMMYFUNCTION("""COMPUTED_VALUE"""),"O-52941-00")</f>
        <v>O-52941-00</v>
      </c>
    </row>
    <row r="1101">
      <c r="A1101" s="14" t="str">
        <f>IFERROR(__xludf.DUMMYFUNCTION("""COMPUTED_VALUE"""),"O-52942-00")</f>
        <v>O-52942-00</v>
      </c>
      <c r="B1101" s="14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4" t="str">
        <f>IFERROR(__xludf.DUMMYFUNCTION("""COMPUTED_VALUE"""),"O-52942-00")</f>
        <v>O-52942-00</v>
      </c>
    </row>
    <row r="1102">
      <c r="A1102" s="14" t="str">
        <f>IFERROR(__xludf.DUMMYFUNCTION("""COMPUTED_VALUE"""),"O-52983-00")</f>
        <v>O-52983-00</v>
      </c>
      <c r="B1102" s="14" t="str">
        <f>IFERROR(__xludf.DUMMYFUNCTION("""COMPUTED_VALUE"""),"Inverter Power Module PM240-2 0,37KW Sinamic; Siemens; ;")</f>
        <v>Inverter Power Module PM240-2 0,37KW Sinamic; Siemens; ;</v>
      </c>
      <c r="C1102" s="14" t="str">
        <f>IFERROR(__xludf.DUMMYFUNCTION("""COMPUTED_VALUE"""),"O-52983-00")</f>
        <v>O-52983-00</v>
      </c>
    </row>
    <row r="1103">
      <c r="A1103" s="14" t="str">
        <f>IFERROR(__xludf.DUMMYFUNCTION("""COMPUTED_VALUE"""),"O-52984-00")</f>
        <v>O-52984-00</v>
      </c>
      <c r="B1103" s="14" t="str">
        <f>IFERROR(__xludf.DUMMYFUNCTION("""COMPUTED_VALUE"""),"Inverter Power Module PM240-2 2,2KW Sinamic; Siemens; ;")</f>
        <v>Inverter Power Module PM240-2 2,2KW Sinamic; Siemens; ;</v>
      </c>
      <c r="C1103" s="14" t="str">
        <f>IFERROR(__xludf.DUMMYFUNCTION("""COMPUTED_VALUE"""),"O-52984-00")</f>
        <v>O-52984-00</v>
      </c>
    </row>
    <row r="1104">
      <c r="A1104" s="14" t="str">
        <f>IFERROR(__xludf.DUMMYFUNCTION("""COMPUTED_VALUE"""),"O-52985-00")</f>
        <v>O-52985-00</v>
      </c>
      <c r="B1104" s="14" t="str">
        <f>IFERROR(__xludf.DUMMYFUNCTION("""COMPUTED_VALUE"""),"Inverter Power Module PM240-2 7,5KW Sinamic; Siemens; ;")</f>
        <v>Inverter Power Module PM240-2 7,5KW Sinamic; Siemens; ;</v>
      </c>
      <c r="C1104" s="14" t="str">
        <f>IFERROR(__xludf.DUMMYFUNCTION("""COMPUTED_VALUE"""),"O-52985-00")</f>
        <v>O-52985-00</v>
      </c>
    </row>
    <row r="1105">
      <c r="A1105" s="14" t="str">
        <f>IFERROR(__xludf.DUMMYFUNCTION("""COMPUTED_VALUE"""),"O-53011-00")</f>
        <v>O-53011-00</v>
      </c>
      <c r="B1105" s="14" t="str">
        <f>IFERROR(__xludf.DUMMYFUNCTION("""COMPUTED_VALUE"""),"General - Timer Digital LE8B-BF; Autonics; A01761; 1 Pc")</f>
        <v>General - Timer Digital LE8B-BF; Autonics; A01761; 1 Pc</v>
      </c>
      <c r="C1105" s="14" t="str">
        <f>IFERROR(__xludf.DUMMYFUNCTION("""COMPUTED_VALUE"""),"O-53011-00")</f>
        <v>O-53011-00</v>
      </c>
    </row>
    <row r="1106">
      <c r="A1106" s="14" t="str">
        <f>IFERROR(__xludf.DUMMYFUNCTION("""COMPUTED_VALUE"""),"O-53013-00")</f>
        <v>O-53013-00</v>
      </c>
      <c r="B1106" s="14" t="str">
        <f>IFERROR(__xludf.DUMMYFUNCTION("""COMPUTED_VALUE"""),"Heavy Duty Connector 4Pin (Male + Female); Lokal; ;")</f>
        <v>Heavy Duty Connector 4Pin (Male + Female); Lokal; ;</v>
      </c>
      <c r="C1106" s="14" t="str">
        <f>IFERROR(__xludf.DUMMYFUNCTION("""COMPUTED_VALUE"""),"O-53013-00")</f>
        <v>O-53013-00</v>
      </c>
    </row>
    <row r="1107">
      <c r="A1107" s="14" t="str">
        <f>IFERROR(__xludf.DUMMYFUNCTION("""COMPUTED_VALUE"""),"O-53022-00")</f>
        <v>O-53022-00</v>
      </c>
      <c r="B1107" s="14" t="str">
        <f>IFERROR(__xludf.DUMMYFUNCTION("""COMPUTED_VALUE"""),"Thermocouple Type K Model Ring Dia 5mm Panjang 1 Meter0621043003")</f>
        <v>Thermocouple Type K Model Ring Dia 5mm Panjang 1 Meter0621043003</v>
      </c>
      <c r="C1107" s="14" t="str">
        <f>IFERROR(__xludf.DUMMYFUNCTION("""COMPUTED_VALUE"""),"O-53022-00")</f>
        <v>O-53022-00</v>
      </c>
    </row>
    <row r="1108">
      <c r="A1108" s="14" t="str">
        <f>IFERROR(__xludf.DUMMYFUNCTION("""COMPUTED_VALUE"""),"O-53026-00")</f>
        <v>O-53026-00</v>
      </c>
      <c r="B1108" s="14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4" t="str">
        <f>IFERROR(__xludf.DUMMYFUNCTION("""COMPUTED_VALUE"""),"O-53026-00")</f>
        <v>O-53026-00</v>
      </c>
    </row>
    <row r="1109">
      <c r="A1109" s="14" t="str">
        <f>IFERROR(__xludf.DUMMYFUNCTION("""COMPUTED_VALUE"""),"O-53032-00")</f>
        <v>O-53032-00</v>
      </c>
      <c r="B1109" s="14" t="str">
        <f>IFERROR(__xludf.DUMMYFUNCTION("""COMPUTED_VALUE"""),"Cable Temperature Sensor Silicone 1,5m PT1000 QAP2012.150")</f>
        <v>Cable Temperature Sensor Silicone 1,5m PT1000 QAP2012.150</v>
      </c>
      <c r="C1109" s="14" t="str">
        <f>IFERROR(__xludf.DUMMYFUNCTION("""COMPUTED_VALUE"""),"O-53032-00")</f>
        <v>O-53032-00</v>
      </c>
    </row>
    <row r="1110">
      <c r="A1110" s="14" t="str">
        <f>IFERROR(__xludf.DUMMYFUNCTION("""COMPUTED_VALUE"""),"O-53033-00")</f>
        <v>O-53033-00</v>
      </c>
      <c r="B1110" s="14" t="str">
        <f>IFERROR(__xludf.DUMMYFUNCTION("""COMPUTED_VALUE"""),"Saklar Switch Lampu ZN On Off Kaki 4 Kaki Pin 15-20ALokal")</f>
        <v>Saklar Switch Lampu ZN On Off Kaki 4 Kaki Pin 15-20ALokal</v>
      </c>
      <c r="C1110" s="14" t="str">
        <f>IFERROR(__xludf.DUMMYFUNCTION("""COMPUTED_VALUE"""),"O-53033-00")</f>
        <v>O-53033-00</v>
      </c>
    </row>
    <row r="1111">
      <c r="A1111" s="14" t="str">
        <f>IFERROR(__xludf.DUMMYFUNCTION("""COMPUTED_VALUE"""),"O-53037-00")</f>
        <v>O-53037-00</v>
      </c>
      <c r="B1111" s="14" t="str">
        <f>IFERROR(__xludf.DUMMYFUNCTION("""COMPUTED_VALUE"""),"Flow Transmitter 100Pa; 1/2 - 10Vac; 0-4-20mAMicatrone")</f>
        <v>Flow Transmitter 100Pa; 1/2 - 10Vac; 0-4-20mAMicatrone</v>
      </c>
      <c r="C1111" s="14" t="str">
        <f>IFERROR(__xludf.DUMMYFUNCTION("""COMPUTED_VALUE"""),"O-53037-00")</f>
        <v>O-53037-00</v>
      </c>
    </row>
    <row r="1112">
      <c r="A1112" s="14" t="str">
        <f>IFERROR(__xludf.DUMMYFUNCTION("""COMPUTED_VALUE"""),"O-53041-00")</f>
        <v>O-53041-00</v>
      </c>
      <c r="B1112" s="14" t="str">
        <f>IFERROR(__xludf.DUMMYFUNCTION("""COMPUTED_VALUE"""),"Bola Lampu 24-30v 5-10W 16x28mm")</f>
        <v>Bola Lampu 24-30v 5-10W 16x28mm</v>
      </c>
      <c r="C1112" s="14" t="str">
        <f>IFERROR(__xludf.DUMMYFUNCTION("""COMPUTED_VALUE"""),"O-53041-00")</f>
        <v>O-53041-00</v>
      </c>
    </row>
    <row r="1113">
      <c r="A1113" s="14" t="str">
        <f>IFERROR(__xludf.DUMMYFUNCTION("""COMPUTED_VALUE"""),"O-53045-00")</f>
        <v>O-53045-00</v>
      </c>
      <c r="B1113" s="14" t="str">
        <f>IFERROR(__xludf.DUMMYFUNCTION("""COMPUTED_VALUE"""),"Saklar Switch On Off DC 12V Lampu MerahLokal")</f>
        <v>Saklar Switch On Off DC 12V Lampu MerahLokal</v>
      </c>
      <c r="C1113" s="14" t="str">
        <f>IFERROR(__xludf.DUMMYFUNCTION("""COMPUTED_VALUE"""),"O-53045-00")</f>
        <v>O-53045-00</v>
      </c>
    </row>
    <row r="1114">
      <c r="A1114" s="14" t="str">
        <f>IFERROR(__xludf.DUMMYFUNCTION("""COMPUTED_VALUE"""),"O-53047-00")</f>
        <v>O-53047-00</v>
      </c>
      <c r="B1114" s="14" t="str">
        <f>IFERROR(__xludf.DUMMYFUNCTION("""COMPUTED_VALUE"""),"MCB 400V 10kA 3Pole; Siemens; 5SL4304-7CC;")</f>
        <v>MCB 400V 10kA 3Pole; Siemens; 5SL4304-7CC;</v>
      </c>
      <c r="C1114" s="14" t="str">
        <f>IFERROR(__xludf.DUMMYFUNCTION("""COMPUTED_VALUE"""),"O-53047-00")</f>
        <v>O-53047-00</v>
      </c>
    </row>
    <row r="1115">
      <c r="A1115" s="14" t="str">
        <f>IFERROR(__xludf.DUMMYFUNCTION("""COMPUTED_VALUE"""),"O-53093-00")</f>
        <v>O-53093-00</v>
      </c>
      <c r="B1115" s="14" t="str">
        <f>IFERROR(__xludf.DUMMYFUNCTION("""COMPUTED_VALUE"""),"FD S/N MBE1207 - Amplifier SE3AN21RS1603; Aron; ;")</f>
        <v>FD S/N MBE1207 - Amplifier SE3AN21RS1603; Aron; ;</v>
      </c>
      <c r="C1115" s="14" t="str">
        <f>IFERROR(__xludf.DUMMYFUNCTION("""COMPUTED_VALUE"""),"O-53093-00")</f>
        <v>O-53093-00</v>
      </c>
    </row>
    <row r="1116">
      <c r="A1116" s="14" t="str">
        <f>IFERROR(__xludf.DUMMYFUNCTION("""COMPUTED_VALUE"""),"O-53094-00")</f>
        <v>O-53094-00</v>
      </c>
      <c r="B1116" s="14" t="str">
        <f>IFERROR(__xludf.DUMMYFUNCTION("""COMPUTED_VALUE"""),"FD S/N MBE1207 - Pressure Switch IPN-350 ISO; ; EB02-00063;")</f>
        <v>FD S/N MBE1207 - Pressure Switch IPN-350 ISO; ; EB02-00063;</v>
      </c>
      <c r="C1116" s="14" t="str">
        <f>IFERROR(__xludf.DUMMYFUNCTION("""COMPUTED_VALUE"""),"O-53094-00")</f>
        <v>O-53094-00</v>
      </c>
    </row>
    <row r="1117">
      <c r="A1117" s="14" t="str">
        <f>IFERROR(__xludf.DUMMYFUNCTION("""COMPUTED_VALUE"""),"O-53095-00")</f>
        <v>O-53095-00</v>
      </c>
      <c r="B1117" s="14" t="str">
        <f>IFERROR(__xludf.DUMMYFUNCTION("""COMPUTED_VALUE"""),"FD S/N MBE1207 - Electric Control Lock DTDF MCN224; SUN; EB02-00535;")</f>
        <v>FD S/N MBE1207 - Electric Control Lock DTDF MCN224; SUN; EB02-00535;</v>
      </c>
      <c r="C1117" s="14" t="str">
        <f>IFERROR(__xludf.DUMMYFUNCTION("""COMPUTED_VALUE"""),"O-53095-00")</f>
        <v>O-53095-00</v>
      </c>
    </row>
    <row r="1118">
      <c r="A1118" s="14" t="str">
        <f>IFERROR(__xludf.DUMMYFUNCTION("""COMPUTED_VALUE"""),"O-53096-00")</f>
        <v>O-53096-00</v>
      </c>
      <c r="B1118" s="14" t="str">
        <f>IFERROR(__xludf.DUMMYFUNCTION("""COMPUTED_VALUE"""),"FD S/N MBE1207 - Proximity Switch E2E-XB1D12 2M; Omron; EB22-00837;")</f>
        <v>FD S/N MBE1207 - Proximity Switch E2E-XB1D12 2M; Omron; EB22-00837;</v>
      </c>
      <c r="C1118" s="14" t="str">
        <f>IFERROR(__xludf.DUMMYFUNCTION("""COMPUTED_VALUE"""),"O-53096-00")</f>
        <v>O-53096-00</v>
      </c>
    </row>
    <row r="1119">
      <c r="A1119" s="14" t="str">
        <f>IFERROR(__xludf.DUMMYFUNCTION("""COMPUTED_VALUE"""),"O-53133-00")</f>
        <v>O-53133-00</v>
      </c>
      <c r="B1119" s="14" t="str">
        <f>IFERROR(__xludf.DUMMYFUNCTION("""COMPUTED_VALUE"""),"Washing RAR4 - Cable; Steriline; EC RD1A M12F8; 1 Pc")</f>
        <v>Washing RAR4 - Cable; Steriline; EC RD1A M12F8; 1 Pc</v>
      </c>
      <c r="C1119" s="14" t="str">
        <f>IFERROR(__xludf.DUMMYFUNCTION("""COMPUTED_VALUE"""),"O-53133-00")</f>
        <v>O-53133-00</v>
      </c>
    </row>
    <row r="1120">
      <c r="A1120" s="14" t="str">
        <f>IFERROR(__xludf.DUMMYFUNCTION("""COMPUTED_VALUE"""),"O-53134-00")</f>
        <v>O-53134-00</v>
      </c>
      <c r="B1120" s="14" t="str">
        <f>IFERROR(__xludf.DUMMYFUNCTION("""COMPUTED_VALUE"""),"Washing RAR4 - IF92 Programing box with USB connection; Steriline; ; 1 Pc")</f>
        <v>Washing RAR4 - IF92 Programing box with USB connection; Steriline; ; 1 Pc</v>
      </c>
      <c r="C1120" s="14" t="str">
        <f>IFERROR(__xludf.DUMMYFUNCTION("""COMPUTED_VALUE"""),"O-53134-00")</f>
        <v>O-53134-00</v>
      </c>
    </row>
    <row r="1121">
      <c r="A1121" s="14" t="str">
        <f>IFERROR(__xludf.DUMMYFUNCTION("""COMPUTED_VALUE"""),"O-53144-00")</f>
        <v>O-53144-00</v>
      </c>
      <c r="B1121" s="14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4" t="str">
        <f>IFERROR(__xludf.DUMMYFUNCTION("""COMPUTED_VALUE"""),"O-53144-00")</f>
        <v>O-53144-00</v>
      </c>
    </row>
    <row r="1122">
      <c r="A1122" s="14" t="str">
        <f>IFERROR(__xludf.DUMMYFUNCTION("""COMPUTED_VALUE"""),"O-53145-00")</f>
        <v>O-53145-00</v>
      </c>
      <c r="B1122" s="14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4" t="str">
        <f>IFERROR(__xludf.DUMMYFUNCTION("""COMPUTED_VALUE"""),"O-53145-00")</f>
        <v>O-53145-00</v>
      </c>
    </row>
    <row r="1123">
      <c r="A1123" s="14" t="str">
        <f>IFERROR(__xludf.DUMMYFUNCTION("""COMPUTED_VALUE"""),"O-53146-00")</f>
        <v>O-53146-00</v>
      </c>
      <c r="B1123" s="14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4" t="str">
        <f>IFERROR(__xludf.DUMMYFUNCTION("""COMPUTED_VALUE"""),"O-53146-00")</f>
        <v>O-53146-00</v>
      </c>
    </row>
    <row r="1124">
      <c r="A1124" s="14" t="str">
        <f>IFERROR(__xludf.DUMMYFUNCTION("""COMPUTED_VALUE"""),"O-53147-00")</f>
        <v>O-53147-00</v>
      </c>
      <c r="B1124" s="14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4" t="str">
        <f>IFERROR(__xludf.DUMMYFUNCTION("""COMPUTED_VALUE"""),"O-53147-00")</f>
        <v>O-53147-00</v>
      </c>
    </row>
    <row r="1125">
      <c r="A1125" s="14" t="str">
        <f>IFERROR(__xludf.DUMMYFUNCTION("""COMPUTED_VALUE"""),"O-53150-00")</f>
        <v>O-53150-00</v>
      </c>
      <c r="B1125" s="14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4" t="str">
        <f>IFERROR(__xludf.DUMMYFUNCTION("""COMPUTED_VALUE"""),"O-53150-00")</f>
        <v>O-53150-00</v>
      </c>
    </row>
    <row r="1126">
      <c r="A1126" s="14" t="str">
        <f>IFERROR(__xludf.DUMMYFUNCTION("""COMPUTED_VALUE"""),"O-53151-00")</f>
        <v>O-53151-00</v>
      </c>
      <c r="B1126" s="14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4" t="str">
        <f>IFERROR(__xludf.DUMMYFUNCTION("""COMPUTED_VALUE"""),"O-53151-00")</f>
        <v>O-53151-00</v>
      </c>
    </row>
    <row r="1127">
      <c r="A1127" s="14" t="str">
        <f>IFERROR(__xludf.DUMMYFUNCTION("""COMPUTED_VALUE"""),"O-53155-00")</f>
        <v>O-53155-00</v>
      </c>
      <c r="B1127" s="14" t="str">
        <f>IFERROR(__xludf.DUMMYFUNCTION("""COMPUTED_VALUE"""),"General - Logoscreen 601; JUMO; 706521/08-114-23/000; 1 Pc")</f>
        <v>General - Logoscreen 601; JUMO; 706521/08-114-23/000; 1 Pc</v>
      </c>
      <c r="C1127" s="14" t="str">
        <f>IFERROR(__xludf.DUMMYFUNCTION("""COMPUTED_VALUE"""),"O-53155-00")</f>
        <v>O-53155-00</v>
      </c>
    </row>
    <row r="1128">
      <c r="A1128" s="14" t="str">
        <f>IFERROR(__xludf.DUMMYFUNCTION("""COMPUTED_VALUE"""),"O-53165-00")</f>
        <v>O-53165-00</v>
      </c>
      <c r="B1128" s="14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4" t="str">
        <f>IFERROR(__xludf.DUMMYFUNCTION("""COMPUTED_VALUE"""),"O-53165-00")</f>
        <v>O-53165-00</v>
      </c>
    </row>
    <row r="1129">
      <c r="A1129" s="14" t="str">
        <f>IFERROR(__xludf.DUMMYFUNCTION("""COMPUTED_VALUE"""),"O-53166-00")</f>
        <v>O-53166-00</v>
      </c>
      <c r="B1129" s="14" t="str">
        <f>IFERROR(__xludf.DUMMYFUNCTION("""COMPUTED_VALUE"""),"General - Contactor AX 12-30-10 220-230 Vac 50Hz ABB 1SBL911074R8010")</f>
        <v>General - Contactor AX 12-30-10 220-230 Vac 50Hz ABB 1SBL911074R8010</v>
      </c>
      <c r="C1129" s="14" t="str">
        <f>IFERROR(__xludf.DUMMYFUNCTION("""COMPUTED_VALUE"""),"O-53166-00")</f>
        <v>O-53166-00</v>
      </c>
    </row>
    <row r="1130">
      <c r="A1130" s="14" t="str">
        <f>IFERROR(__xludf.DUMMYFUNCTION("""COMPUTED_VALUE"""),"O-53167-00")</f>
        <v>O-53167-00</v>
      </c>
      <c r="B1130" s="14" t="str">
        <f>IFERROR(__xludf.DUMMYFUNCTION("""COMPUTED_VALUE"""),"General - Manual Motor Starter 100 Ka MS 132-10 ABB 1SAM350000R1010")</f>
        <v>General - Manual Motor Starter 100 Ka MS 132-10 ABB 1SAM350000R1010</v>
      </c>
      <c r="C1130" s="14" t="str">
        <f>IFERROR(__xludf.DUMMYFUNCTION("""COMPUTED_VALUE"""),"O-53167-00")</f>
        <v>O-53167-00</v>
      </c>
    </row>
    <row r="1131">
      <c r="A1131" s="14" t="str">
        <f>IFERROR(__xludf.DUMMYFUNCTION("""COMPUTED_VALUE"""),"O-53168-00")</f>
        <v>O-53168-00</v>
      </c>
      <c r="B1131" s="14" t="str">
        <f>IFERROR(__xludf.DUMMYFUNCTION("""COMPUTED_VALUE"""),"General - Manual Motor Starter 100 Ka MS 132-4.0 ABB 1SAM350000R1008")</f>
        <v>General - Manual Motor Starter 100 Ka MS 132-4.0 ABB 1SAM350000R1008</v>
      </c>
      <c r="C1131" s="14" t="str">
        <f>IFERROR(__xludf.DUMMYFUNCTION("""COMPUTED_VALUE"""),"O-53168-00")</f>
        <v>O-53168-00</v>
      </c>
    </row>
    <row r="1132">
      <c r="A1132" s="14" t="str">
        <f>IFERROR(__xludf.DUMMYFUNCTION("""COMPUTED_VALUE"""),"O-53169-00")</f>
        <v>O-53169-00</v>
      </c>
      <c r="B1132" s="14" t="str">
        <f>IFERROR(__xludf.DUMMYFUNCTION("""COMPUTED_VALUE"""),"General - Manual Motor Starter 50 Ka MS 132-20 ABB 1SAM350000R1003")</f>
        <v>General - Manual Motor Starter 50 Ka MS 132-20 ABB 1SAM350000R1003</v>
      </c>
      <c r="C1132" s="14" t="str">
        <f>IFERROR(__xludf.DUMMYFUNCTION("""COMPUTED_VALUE"""),"O-53169-00")</f>
        <v>O-53169-00</v>
      </c>
    </row>
    <row r="1133">
      <c r="A1133" s="14" t="str">
        <f>IFERROR(__xludf.DUMMYFUNCTION("""COMPUTED_VALUE"""),"O-53170-00")</f>
        <v>O-53170-00</v>
      </c>
      <c r="B1133" s="14" t="str">
        <f>IFERROR(__xludf.DUMMYFUNCTION("""COMPUTED_VALUE"""),"General - Mini Contactor B6-30-10-80 220...240 Vac ABB GJL1211001R8100")</f>
        <v>General - Mini Contactor B6-30-10-80 220...240 Vac ABB GJL1211001R8100</v>
      </c>
      <c r="C1133" s="14" t="str">
        <f>IFERROR(__xludf.DUMMYFUNCTION("""COMPUTED_VALUE"""),"O-53170-00")</f>
        <v>O-53170-00</v>
      </c>
    </row>
    <row r="1134">
      <c r="A1134" s="14" t="str">
        <f>IFERROR(__xludf.DUMMYFUNCTION("""COMPUTED_VALUE"""),"O-53171-00")</f>
        <v>O-53171-00</v>
      </c>
      <c r="B1134" s="14" t="str">
        <f>IFERROR(__xludf.DUMMYFUNCTION("""COMPUTED_VALUE"""),"General - Three Phase Monitoring Cm-Pfs.S. ABB 1SVR730824R9300")</f>
        <v>General - Three Phase Monitoring Cm-Pfs.S. ABB 1SVR730824R9300</v>
      </c>
      <c r="C1134" s="14" t="str">
        <f>IFERROR(__xludf.DUMMYFUNCTION("""COMPUTED_VALUE"""),"O-53171-00")</f>
        <v>O-53171-00</v>
      </c>
    </row>
    <row r="1135">
      <c r="A1135" s="14" t="str">
        <f>IFERROR(__xludf.DUMMYFUNCTION("""COMPUTED_VALUE"""),"O-53194-00")</f>
        <v>O-53194-00</v>
      </c>
      <c r="B1135" s="14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4" t="str">
        <f>IFERROR(__xludf.DUMMYFUNCTION("""COMPUTED_VALUE"""),"O-53194-00")</f>
        <v>O-53194-00</v>
      </c>
    </row>
    <row r="1136">
      <c r="A1136" s="14" t="str">
        <f>IFERROR(__xludf.DUMMYFUNCTION("""COMPUTED_VALUE"""),"O-53195-00")</f>
        <v>O-53195-00</v>
      </c>
      <c r="B1136" s="14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4" t="str">
        <f>IFERROR(__xludf.DUMMYFUNCTION("""COMPUTED_VALUE"""),"O-53195-00")</f>
        <v>O-53195-00</v>
      </c>
    </row>
    <row r="1137">
      <c r="A1137" s="14" t="str">
        <f>IFERROR(__xludf.DUMMYFUNCTION("""COMPUTED_VALUE"""),"O-53196-00")</f>
        <v>O-53196-00</v>
      </c>
      <c r="B1137" s="14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4" t="str">
        <f>IFERROR(__xludf.DUMMYFUNCTION("""COMPUTED_VALUE"""),"O-53196-00")</f>
        <v>O-53196-00</v>
      </c>
    </row>
    <row r="1138">
      <c r="A1138" s="14" t="str">
        <f>IFERROR(__xludf.DUMMYFUNCTION("""COMPUTED_VALUE"""),"O-53197-00")</f>
        <v>O-53197-00</v>
      </c>
      <c r="B1138" s="14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4" t="str">
        <f>IFERROR(__xludf.DUMMYFUNCTION("""COMPUTED_VALUE"""),"O-53197-00")</f>
        <v>O-53197-00</v>
      </c>
    </row>
    <row r="1139">
      <c r="A1139" s="14" t="str">
        <f>IFERROR(__xludf.DUMMYFUNCTION("""COMPUTED_VALUE"""),"O-53198-00")</f>
        <v>O-53198-00</v>
      </c>
      <c r="B1139" s="14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4" t="str">
        <f>IFERROR(__xludf.DUMMYFUNCTION("""COMPUTED_VALUE"""),"O-53198-00")</f>
        <v>O-53198-00</v>
      </c>
    </row>
    <row r="1140">
      <c r="A1140" s="14" t="str">
        <f>IFERROR(__xludf.DUMMYFUNCTION("""COMPUTED_VALUE"""),"O-53199-00")</f>
        <v>O-53199-00</v>
      </c>
      <c r="B1140" s="14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4" t="str">
        <f>IFERROR(__xludf.DUMMYFUNCTION("""COMPUTED_VALUE"""),"O-53199-00")</f>
        <v>O-53199-00</v>
      </c>
    </row>
    <row r="1141">
      <c r="A1141" s="14" t="str">
        <f>IFERROR(__xludf.DUMMYFUNCTION("""COMPUTED_VALUE"""),"O-53200-00")</f>
        <v>O-53200-00</v>
      </c>
      <c r="B1141" s="14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4" t="str">
        <f>IFERROR(__xludf.DUMMYFUNCTION("""COMPUTED_VALUE"""),"O-53200-00")</f>
        <v>O-53200-00</v>
      </c>
    </row>
    <row r="1142">
      <c r="A1142" s="14" t="str">
        <f>IFERROR(__xludf.DUMMYFUNCTION("""COMPUTED_VALUE"""),"O-53208-00")</f>
        <v>O-53208-00</v>
      </c>
      <c r="B1142" s="14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4" t="str">
        <f>IFERROR(__xludf.DUMMYFUNCTION("""COMPUTED_VALUE"""),"O-53208-00")</f>
        <v>O-53208-00</v>
      </c>
    </row>
    <row r="1143">
      <c r="A1143" s="14" t="str">
        <f>IFERROR(__xludf.DUMMYFUNCTION("""COMPUTED_VALUE"""),"O-53209-00")</f>
        <v>O-53209-00</v>
      </c>
      <c r="B1143" s="14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4" t="str">
        <f>IFERROR(__xludf.DUMMYFUNCTION("""COMPUTED_VALUE"""),"O-53209-00")</f>
        <v>O-53209-00</v>
      </c>
    </row>
    <row r="1144">
      <c r="A1144" s="14" t="str">
        <f>IFERROR(__xludf.DUMMYFUNCTION("""COMPUTED_VALUE"""),"O-53210-00")</f>
        <v>O-53210-00</v>
      </c>
      <c r="B1144" s="14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4" t="str">
        <f>IFERROR(__xludf.DUMMYFUNCTION("""COMPUTED_VALUE"""),"O-53210-00")</f>
        <v>O-53210-00</v>
      </c>
    </row>
    <row r="1145">
      <c r="A1145" s="14" t="str">
        <f>IFERROR(__xludf.DUMMYFUNCTION("""COMPUTED_VALUE"""),"O-53211-00")</f>
        <v>O-53211-00</v>
      </c>
      <c r="B1145" s="14" t="str">
        <f>IFERROR(__xludf.DUMMYFUNCTION("""COMPUTED_VALUE"""),"Filling VFM100 - Flow meter 40-500 NL/H (201787);INOX;Model 1900;")</f>
        <v>Filling VFM100 - Flow meter 40-500 NL/H (201787);INOX;Model 1900;</v>
      </c>
      <c r="C1145" s="14" t="str">
        <f>IFERROR(__xludf.DUMMYFUNCTION("""COMPUTED_VALUE"""),"O-53211-00")</f>
        <v>O-53211-00</v>
      </c>
    </row>
    <row r="1146">
      <c r="A1146" s="14" t="str">
        <f>IFERROR(__xludf.DUMMYFUNCTION("""COMPUTED_VALUE"""),"O-53215-00")</f>
        <v>O-53215-00</v>
      </c>
      <c r="B1146" s="14" t="str">
        <f>IFERROR(__xludf.DUMMYFUNCTION("""COMPUTED_VALUE"""),"General - Exhaust Fan;Ebm-Papst;R3G190-RC05-03;")</f>
        <v>General - Exhaust Fan;Ebm-Papst;R3G190-RC05-03;</v>
      </c>
      <c r="C1146" s="14" t="str">
        <f>IFERROR(__xludf.DUMMYFUNCTION("""COMPUTED_VALUE"""),"O-53215-00")</f>
        <v>O-53215-00</v>
      </c>
    </row>
    <row r="1147">
      <c r="A1147" s="14" t="str">
        <f>IFERROR(__xludf.DUMMYFUNCTION("""COMPUTED_VALUE"""),"O-53218-00")</f>
        <v>O-53218-00</v>
      </c>
      <c r="B1147" s="14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4" t="str">
        <f>IFERROR(__xludf.DUMMYFUNCTION("""COMPUTED_VALUE"""),"O-53218-00")</f>
        <v>O-53218-00</v>
      </c>
    </row>
    <row r="1148">
      <c r="A1148" s="14" t="str">
        <f>IFERROR(__xludf.DUMMYFUNCTION("""COMPUTED_VALUE"""),"O-53236-00")</f>
        <v>O-53236-00</v>
      </c>
      <c r="B1148" s="14" t="str">
        <f>IFERROR(__xludf.DUMMYFUNCTION("""COMPUTED_VALUE"""),"General - Advanced Control Unit 24VDC 1.25-5A; Schneider; LUCB05BL; 1 Pc")</f>
        <v>General - Advanced Control Unit 24VDC 1.25-5A; Schneider; LUCB05BL; 1 Pc</v>
      </c>
      <c r="C1148" s="14" t="str">
        <f>IFERROR(__xludf.DUMMYFUNCTION("""COMPUTED_VALUE"""),"O-53236-00")</f>
        <v>O-53236-00</v>
      </c>
    </row>
    <row r="1149">
      <c r="A1149" s="14" t="str">
        <f>IFERROR(__xludf.DUMMYFUNCTION("""COMPUTED_VALUE"""),"O-53237-00")</f>
        <v>O-53237-00</v>
      </c>
      <c r="B1149" s="14" t="str">
        <f>IFERROR(__xludf.DUMMYFUNCTION("""COMPUTED_VALUE"""),"General - Power Base TeSys 32A; Schneider; LUB32; 1 Pc")</f>
        <v>General - Power Base TeSys 32A; Schneider; LUB32; 1 Pc</v>
      </c>
      <c r="C1149" s="14" t="str">
        <f>IFERROR(__xludf.DUMMYFUNCTION("""COMPUTED_VALUE"""),"O-53237-00")</f>
        <v>O-53237-00</v>
      </c>
    </row>
    <row r="1150">
      <c r="A1150" s="14" t="str">
        <f>IFERROR(__xludf.DUMMYFUNCTION("""COMPUTED_VALUE"""),"O-53238-00")</f>
        <v>O-53238-00</v>
      </c>
      <c r="B1150" s="14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4" t="str">
        <f>IFERROR(__xludf.DUMMYFUNCTION("""COMPUTED_VALUE"""),"O-53238-00")</f>
        <v>O-53238-00</v>
      </c>
    </row>
    <row r="1151">
      <c r="A1151" s="14" t="str">
        <f>IFERROR(__xludf.DUMMYFUNCTION("""COMPUTED_VALUE"""),"O-53263-00")</f>
        <v>O-53263-00</v>
      </c>
      <c r="B1151" s="14" t="str">
        <f>IFERROR(__xludf.DUMMYFUNCTION("""COMPUTED_VALUE"""),"General - Kabel Sensor; Sick; YF8U14-020VA3XLEAX; 1 Pc")</f>
        <v>General - Kabel Sensor; Sick; YF8U14-020VA3XLEAX; 1 Pc</v>
      </c>
      <c r="C1151" s="14" t="str">
        <f>IFERROR(__xludf.DUMMYFUNCTION("""COMPUTED_VALUE"""),"O-53263-00")</f>
        <v>O-53263-00</v>
      </c>
    </row>
    <row r="1152">
      <c r="A1152" s="14" t="str">
        <f>IFERROR(__xludf.DUMMYFUNCTION("""COMPUTED_VALUE"""),"O-53272-00")</f>
        <v>O-53272-00</v>
      </c>
      <c r="B1152" s="14" t="str">
        <f>IFERROR(__xludf.DUMMYFUNCTION("""COMPUTED_VALUE"""),"Integrated Granulation Line - Temperature Probe CIP 60mm MK3: 3 Wire")</f>
        <v>Integrated Granulation Line - Temperature Probe CIP 60mm MK3: 3 Wire</v>
      </c>
      <c r="C1152" s="14" t="str">
        <f>IFERROR(__xludf.DUMMYFUNCTION("""COMPUTED_VALUE"""),"O-53272-00")</f>
        <v>O-53272-00</v>
      </c>
    </row>
    <row r="1153">
      <c r="A1153" s="14" t="str">
        <f>IFERROR(__xludf.DUMMYFUNCTION("""COMPUTED_VALUE"""),"O-53273-00")</f>
        <v>O-53273-00</v>
      </c>
      <c r="B1153" s="14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4" t="str">
        <f>IFERROR(__xludf.DUMMYFUNCTION("""COMPUTED_VALUE"""),"O-53273-00")</f>
        <v>O-53273-00</v>
      </c>
    </row>
    <row r="1154">
      <c r="A1154" s="14" t="str">
        <f>IFERROR(__xludf.DUMMYFUNCTION("""COMPUTED_VALUE"""),"O-53274-00")</f>
        <v>O-53274-00</v>
      </c>
      <c r="B1154" s="14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4" t="str">
        <f>IFERROR(__xludf.DUMMYFUNCTION("""COMPUTED_VALUE"""),"O-53274-00")</f>
        <v>O-53274-00</v>
      </c>
    </row>
    <row r="1155">
      <c r="A1155" s="14" t="str">
        <f>IFERROR(__xludf.DUMMYFUNCTION("""COMPUTED_VALUE"""),"O-53275-00")</f>
        <v>O-53275-00</v>
      </c>
      <c r="B1155" s="14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4" t="str">
        <f>IFERROR(__xludf.DUMMYFUNCTION("""COMPUTED_VALUE"""),"O-53275-00")</f>
        <v>O-53275-00</v>
      </c>
    </row>
    <row r="1156">
      <c r="A1156" s="14" t="str">
        <f>IFERROR(__xludf.DUMMYFUNCTION("""COMPUTED_VALUE"""),"O-53319-00")</f>
        <v>O-53319-00</v>
      </c>
      <c r="B1156" s="14" t="str">
        <f>IFERROR(__xludf.DUMMYFUNCTION("""COMPUTED_VALUE"""),"Filling VFM100 - Cable 3g 1.5mq JZ-500; Steriline; 1111907; 1 Pc")</f>
        <v>Filling VFM100 - Cable 3g 1.5mq JZ-500; Steriline; 1111907; 1 Pc</v>
      </c>
      <c r="C1156" s="14" t="str">
        <f>IFERROR(__xludf.DUMMYFUNCTION("""COMPUTED_VALUE"""),"O-53319-00")</f>
        <v>O-53319-00</v>
      </c>
    </row>
    <row r="1157">
      <c r="A1157" s="14" t="str">
        <f>IFERROR(__xludf.DUMMYFUNCTION("""COMPUTED_VALUE"""),"O-53331-00")</f>
        <v>O-53331-00</v>
      </c>
      <c r="B1157" s="14" t="str">
        <f>IFERROR(__xludf.DUMMYFUNCTION("""COMPUTED_VALUE"""),"General - Electrovalve Bloc MS M; Markem Imaje; ENM46408; 1 Pc")</f>
        <v>General - Electrovalve Bloc MS M; Markem Imaje; ENM46408; 1 Pc</v>
      </c>
      <c r="C1157" s="14" t="str">
        <f>IFERROR(__xludf.DUMMYFUNCTION("""COMPUTED_VALUE"""),"O-53331-00")</f>
        <v>O-53331-00</v>
      </c>
    </row>
    <row r="1158">
      <c r="A1158" s="14" t="str">
        <f>IFERROR(__xludf.DUMMYFUNCTION("""COMPUTED_VALUE"""),"O-53332-00")</f>
        <v>O-53332-00</v>
      </c>
      <c r="B1158" s="14" t="str">
        <f>IFERROR(__xludf.DUMMYFUNCTION("""COMPUTED_VALUE"""),"General - Electrovalve 9232 Assy; Markem Imaje; ENM37928; 1 Pc")</f>
        <v>General - Electrovalve 9232 Assy; Markem Imaje; ENM37928; 1 Pc</v>
      </c>
      <c r="C1158" s="14" t="str">
        <f>IFERROR(__xludf.DUMMYFUNCTION("""COMPUTED_VALUE"""),"O-53332-00")</f>
        <v>O-53332-00</v>
      </c>
    </row>
    <row r="1159">
      <c r="A1159" s="14" t="str">
        <f>IFERROR(__xludf.DUMMYFUNCTION("""COMPUTED_VALUE"""),"O-53333-00")</f>
        <v>O-53333-00</v>
      </c>
      <c r="B1159" s="14" t="str">
        <f>IFERROR(__xludf.DUMMYFUNCTION("""COMPUTED_VALUE"""),"General - Transfer Pump 9450 Spare; Markem Imaje; ENM54436; 1 Pc")</f>
        <v>General - Transfer Pump 9450 Spare; Markem Imaje; ENM54436; 1 Pc</v>
      </c>
      <c r="C1159" s="14" t="str">
        <f>IFERROR(__xludf.DUMMYFUNCTION("""COMPUTED_VALUE"""),"O-53333-00")</f>
        <v>O-53333-00</v>
      </c>
    </row>
    <row r="1160">
      <c r="A1160" s="14" t="str">
        <f>IFERROR(__xludf.DUMMYFUNCTION("""COMPUTED_VALUE"""),"O-53334-00")</f>
        <v>O-53334-00</v>
      </c>
      <c r="B1160" s="14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4" t="str">
        <f>IFERROR(__xludf.DUMMYFUNCTION("""COMPUTED_VALUE"""),"O-53334-00")</f>
        <v>O-53334-00</v>
      </c>
    </row>
    <row r="1161">
      <c r="A1161" s="14" t="str">
        <f>IFERROR(__xludf.DUMMYFUNCTION("""COMPUTED_VALUE"""),"O-53335-00")</f>
        <v>O-53335-00</v>
      </c>
      <c r="B1161" s="14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4" t="str">
        <f>IFERROR(__xludf.DUMMYFUNCTION("""COMPUTED_VALUE"""),"O-53335-00")</f>
        <v>O-53335-00</v>
      </c>
    </row>
    <row r="1162">
      <c r="A1162" s="14" t="str">
        <f>IFERROR(__xludf.DUMMYFUNCTION("""COMPUTED_VALUE"""),"O-53336-00")</f>
        <v>O-53336-00</v>
      </c>
      <c r="B1162" s="14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4" t="str">
        <f>IFERROR(__xludf.DUMMYFUNCTION("""COMPUTED_VALUE"""),"O-53336-00")</f>
        <v>O-53336-00</v>
      </c>
    </row>
    <row r="1163">
      <c r="A1163" s="14" t="str">
        <f>IFERROR(__xludf.DUMMYFUNCTION("""COMPUTED_VALUE"""),"O-53337-00")</f>
        <v>O-53337-00</v>
      </c>
      <c r="B1163" s="14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4" t="str">
        <f>IFERROR(__xludf.DUMMYFUNCTION("""COMPUTED_VALUE"""),"O-53337-00")</f>
        <v>O-53337-00</v>
      </c>
    </row>
    <row r="1164">
      <c r="A1164" s="14" t="str">
        <f>IFERROR(__xludf.DUMMYFUNCTION("""COMPUTED_VALUE"""),"O-53374-00")</f>
        <v>O-53374-00</v>
      </c>
      <c r="B1164" s="14" t="str">
        <f>IFERROR(__xludf.DUMMYFUNCTION("""COMPUTED_VALUE"""),"Isolator - Intake Air Fan G3G146AB540.1; SKAN; 1338289; 1 Pc")</f>
        <v>Isolator - Intake Air Fan G3G146AB540.1; SKAN; 1338289; 1 Pc</v>
      </c>
      <c r="C1164" s="14" t="str">
        <f>IFERROR(__xludf.DUMMYFUNCTION("""COMPUTED_VALUE"""),"O-53374-00")</f>
        <v>O-53374-00</v>
      </c>
    </row>
    <row r="1165">
      <c r="A1165" s="14" t="str">
        <f>IFERROR(__xludf.DUMMYFUNCTION("""COMPUTED_VALUE"""),"O-53375-00")</f>
        <v>O-53375-00</v>
      </c>
      <c r="B1165" s="14" t="str">
        <f>IFERROR(__xludf.DUMMYFUNCTION("""COMPUTED_VALUE"""),"Isolator - Recirculation Air Fan R3G 355-AI56-01; SKAN; 1015729; 1 Pc")</f>
        <v>Isolator - Recirculation Air Fan R3G 355-AI56-01; SKAN; 1015729; 1 Pc</v>
      </c>
      <c r="C1165" s="14" t="str">
        <f>IFERROR(__xludf.DUMMYFUNCTION("""COMPUTED_VALUE"""),"O-53375-00")</f>
        <v>O-53375-00</v>
      </c>
    </row>
    <row r="1166">
      <c r="A1166" s="14" t="str">
        <f>IFERROR(__xludf.DUMMYFUNCTION("""COMPUTED_VALUE"""),"O-53376-00")</f>
        <v>O-53376-00</v>
      </c>
      <c r="B1166" s="14" t="str">
        <f>IFERROR(__xludf.DUMMYFUNCTION("""COMPUTED_VALUE"""),"Isolator - Exhaust Air Fan G3G200-GN18-01; SKAN; 1016201; 1 Pc")</f>
        <v>Isolator - Exhaust Air Fan G3G200-GN18-01; SKAN; 1016201; 1 Pc</v>
      </c>
      <c r="C1166" s="14" t="str">
        <f>IFERROR(__xludf.DUMMYFUNCTION("""COMPUTED_VALUE"""),"O-53376-00")</f>
        <v>O-53376-00</v>
      </c>
    </row>
    <row r="1167">
      <c r="A1167" s="14" t="str">
        <f>IFERROR(__xludf.DUMMYFUNCTION("""COMPUTED_VALUE"""),"O-53377-00")</f>
        <v>O-53377-00</v>
      </c>
      <c r="B1167" s="14" t="str">
        <f>IFERROR(__xludf.DUMMYFUNCTION("""COMPUTED_VALUE"""),"Isolator - Temperature Sensor R2106; SKAN; 1014964; 1 Pc")</f>
        <v>Isolator - Temperature Sensor R2106; SKAN; 1014964; 1 Pc</v>
      </c>
      <c r="C1167" s="14" t="str">
        <f>IFERROR(__xludf.DUMMYFUNCTION("""COMPUTED_VALUE"""),"O-53377-00")</f>
        <v>O-53377-00</v>
      </c>
    </row>
    <row r="1168">
      <c r="A1168" s="14" t="str">
        <f>IFERROR(__xludf.DUMMYFUNCTION("""COMPUTED_VALUE"""),"O-53378-00")</f>
        <v>O-53378-00</v>
      </c>
      <c r="B1168" s="14" t="str">
        <f>IFERROR(__xludf.DUMMYFUNCTION("""COMPUTED_VALUE"""),"Isolator - Temperature Sensor TR11 kz-MU; SKAN; 1008546; 1 Pc")</f>
        <v>Isolator - Temperature Sensor TR11 kz-MU; SKAN; 1008546; 1 Pc</v>
      </c>
      <c r="C1168" s="14" t="str">
        <f>IFERROR(__xludf.DUMMYFUNCTION("""COMPUTED_VALUE"""),"O-53378-00")</f>
        <v>O-53378-00</v>
      </c>
    </row>
    <row r="1169">
      <c r="A1169" s="14" t="str">
        <f>IFERROR(__xludf.DUMMYFUNCTION("""COMPUTED_VALUE"""),"O-53379-00")</f>
        <v>O-53379-00</v>
      </c>
      <c r="B1169" s="14" t="str">
        <f>IFERROR(__xludf.DUMMYFUNCTION("""COMPUTED_VALUE"""),"Isolator - Humidity Sensor HMT335; SKAN; 1008547; 1 Pc")</f>
        <v>Isolator - Humidity Sensor HMT335; SKAN; 1008547; 1 Pc</v>
      </c>
      <c r="C1169" s="14" t="str">
        <f>IFERROR(__xludf.DUMMYFUNCTION("""COMPUTED_VALUE"""),"O-53379-00")</f>
        <v>O-53379-00</v>
      </c>
    </row>
    <row r="1170">
      <c r="A1170" s="14" t="str">
        <f>IFERROR(__xludf.DUMMYFUNCTION("""COMPUTED_VALUE"""),"O-53391-00")</f>
        <v>O-53391-00</v>
      </c>
      <c r="B1170" s="14" t="str">
        <f>IFERROR(__xludf.DUMMYFUNCTION("""COMPUTED_VALUE"""),"General - Profibus Connector Simatic; SIEMENS; 6ES7972-0BA52-0XA0; 1 Pc")</f>
        <v>General - Profibus Connector Simatic; SIEMENS; 6ES7972-0BA52-0XA0; 1 Pc</v>
      </c>
      <c r="C1170" s="14" t="str">
        <f>IFERROR(__xludf.DUMMYFUNCTION("""COMPUTED_VALUE"""),"O-53391-00")</f>
        <v>O-53391-00</v>
      </c>
    </row>
    <row r="1171">
      <c r="A1171" s="14" t="str">
        <f>IFERROR(__xludf.DUMMYFUNCTION("""COMPUTED_VALUE"""),"O-53392-00")</f>
        <v>O-53392-00</v>
      </c>
      <c r="B1171" s="14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4" t="str">
        <f>IFERROR(__xludf.DUMMYFUNCTION("""COMPUTED_VALUE"""),"O-53392-00")</f>
        <v>O-53392-00</v>
      </c>
    </row>
    <row r="1172">
      <c r="A1172" s="14" t="str">
        <f>IFERROR(__xludf.DUMMYFUNCTION("""COMPUTED_VALUE"""),"O-53398-00")</f>
        <v>O-53398-00</v>
      </c>
      <c r="B1172" s="14" t="str">
        <f>IFERROR(__xludf.DUMMYFUNCTION("""COMPUTED_VALUE"""),"Mixing Tank Adam - Cable VP8-ST/35m; Mettler Toledo; 52300359; 1 Pc")</f>
        <v>Mixing Tank Adam - Cable VP8-ST/35m; Mettler Toledo; 52300359; 1 Pc</v>
      </c>
      <c r="C1172" s="14" t="str">
        <f>IFERROR(__xludf.DUMMYFUNCTION("""COMPUTED_VALUE"""),"O-53398-00")</f>
        <v>O-53398-00</v>
      </c>
    </row>
    <row r="1173">
      <c r="A1173" s="14" t="str">
        <f>IFERROR(__xludf.DUMMYFUNCTION("""COMPUTED_VALUE"""),"O-53414-00")</f>
        <v>O-53414-00</v>
      </c>
      <c r="B1173" s="14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4" t="str">
        <f>IFERROR(__xludf.DUMMYFUNCTION("""COMPUTED_VALUE"""),"O-53414-00")</f>
        <v>O-53414-00</v>
      </c>
    </row>
    <row r="1174">
      <c r="A1174" s="14" t="str">
        <f>IFERROR(__xludf.DUMMYFUNCTION("""COMPUTED_VALUE"""),"O-53421-00")</f>
        <v>O-53421-00</v>
      </c>
      <c r="B1174" s="14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4" t="str">
        <f>IFERROR(__xludf.DUMMYFUNCTION("""COMPUTED_VALUE"""),"O-53421-00")</f>
        <v>O-53421-00</v>
      </c>
    </row>
    <row r="1175">
      <c r="A1175" s="14" t="str">
        <f>IFERROR(__xludf.DUMMYFUNCTION("""COMPUTED_VALUE"""),"O-53422-00")</f>
        <v>O-53422-00</v>
      </c>
      <c r="B1175" s="14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4" t="str">
        <f>IFERROR(__xludf.DUMMYFUNCTION("""COMPUTED_VALUE"""),"O-53422-00")</f>
        <v>O-53422-00</v>
      </c>
    </row>
    <row r="1176">
      <c r="A1176" s="14" t="str">
        <f>IFERROR(__xludf.DUMMYFUNCTION("""COMPUTED_VALUE"""),"O-53423-00")</f>
        <v>O-53423-00</v>
      </c>
      <c r="B1176" s="14" t="str">
        <f>IFERROR(__xludf.DUMMYFUNCTION("""COMPUTED_VALUE"""),"General - Fiber Optic Sensor BF3RX; Autonics; A00291; 1 Pc")</f>
        <v>General - Fiber Optic Sensor BF3RX; Autonics; A00291; 1 Pc</v>
      </c>
      <c r="C1176" s="14" t="str">
        <f>IFERROR(__xludf.DUMMYFUNCTION("""COMPUTED_VALUE"""),"O-53423-00")</f>
        <v>O-53423-00</v>
      </c>
    </row>
    <row r="1177">
      <c r="A1177" s="14" t="str">
        <f>IFERROR(__xludf.DUMMYFUNCTION("""COMPUTED_VALUE"""),"O-53439-00")</f>
        <v>O-53439-00</v>
      </c>
      <c r="B1177" s="14" t="str">
        <f>IFERROR(__xludf.DUMMYFUNCTION("""COMPUTED_VALUE"""),"General - Photoelectric Fiber Sensor Head; Keyence; FU-7F; 1 Pc")</f>
        <v>General - Photoelectric Fiber Sensor Head; Keyence; FU-7F; 1 Pc</v>
      </c>
      <c r="C1177" s="14" t="str">
        <f>IFERROR(__xludf.DUMMYFUNCTION("""COMPUTED_VALUE"""),"O-53439-00")</f>
        <v>O-53439-00</v>
      </c>
    </row>
    <row r="1178">
      <c r="A1178" s="14" t="str">
        <f>IFERROR(__xludf.DUMMYFUNCTION("""COMPUTED_VALUE"""),"O-53441-00")</f>
        <v>O-53441-00</v>
      </c>
      <c r="B1178" s="14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4" t="str">
        <f>IFERROR(__xludf.DUMMYFUNCTION("""COMPUTED_VALUE"""),"O-53441-00")</f>
        <v>O-53441-00</v>
      </c>
    </row>
    <row r="1179">
      <c r="A1179" s="14" t="str">
        <f>IFERROR(__xludf.DUMMYFUNCTION("""COMPUTED_VALUE"""),"O-53442-00")</f>
        <v>O-53442-00</v>
      </c>
      <c r="B1179" s="14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4" t="str">
        <f>IFERROR(__xludf.DUMMYFUNCTION("""COMPUTED_VALUE"""),"O-53442-00")</f>
        <v>O-53442-00</v>
      </c>
    </row>
    <row r="1180">
      <c r="A1180" s="14" t="str">
        <f>IFERROR(__xludf.DUMMYFUNCTION("""COMPUTED_VALUE"""),"O-53447-00")</f>
        <v>O-53447-00</v>
      </c>
      <c r="B1180" s="14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4" t="str">
        <f>IFERROR(__xludf.DUMMYFUNCTION("""COMPUTED_VALUE"""),"O-53447-00")</f>
        <v>O-53447-00</v>
      </c>
    </row>
    <row r="1181">
      <c r="A1181" s="14" t="str">
        <f>IFERROR(__xludf.DUMMYFUNCTION("""COMPUTED_VALUE"""),"O-53449-00")</f>
        <v>O-53449-00</v>
      </c>
      <c r="B1181" s="14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4" t="str">
        <f>IFERROR(__xludf.DUMMYFUNCTION("""COMPUTED_VALUE"""),"O-53449-00")</f>
        <v>O-53449-00</v>
      </c>
    </row>
    <row r="1182">
      <c r="A1182" s="14" t="str">
        <f>IFERROR(__xludf.DUMMYFUNCTION("""COMPUTED_VALUE"""),"O-53451-00")</f>
        <v>O-53451-00</v>
      </c>
      <c r="B1182" s="14" t="str">
        <f>IFERROR(__xludf.DUMMYFUNCTION("""COMPUTED_VALUE"""),"Capping VCM200 - Eco Position Indicators; Misumi; E-DSNR1-14; 1 Pc")</f>
        <v>Capping VCM200 - Eco Position Indicators; Misumi; E-DSNR1-14; 1 Pc</v>
      </c>
      <c r="C1182" s="14" t="str">
        <f>IFERROR(__xludf.DUMMYFUNCTION("""COMPUTED_VALUE"""),"O-53451-00")</f>
        <v>O-53451-00</v>
      </c>
    </row>
    <row r="1183">
      <c r="A1183" s="14" t="str">
        <f>IFERROR(__xludf.DUMMYFUNCTION("""COMPUTED_VALUE"""),"O-53454-00")</f>
        <v>O-53454-00</v>
      </c>
      <c r="B1183" s="14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4" t="str">
        <f>IFERROR(__xludf.DUMMYFUNCTION("""COMPUTED_VALUE"""),"O-53454-00")</f>
        <v>O-53454-00</v>
      </c>
    </row>
    <row r="1184">
      <c r="A1184" s="14" t="str">
        <f>IFERROR(__xludf.DUMMYFUNCTION("""COMPUTED_VALUE"""),"O-53455-00")</f>
        <v>O-53455-00</v>
      </c>
      <c r="B1184" s="14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4" t="str">
        <f>IFERROR(__xludf.DUMMYFUNCTION("""COMPUTED_VALUE"""),"O-53455-00")</f>
        <v>O-53455-00</v>
      </c>
    </row>
    <row r="1185">
      <c r="A1185" s="14" t="str">
        <f>IFERROR(__xludf.DUMMYFUNCTION("""COMPUTED_VALUE"""),"O-53456-00")</f>
        <v>O-53456-00</v>
      </c>
      <c r="B1185" s="14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4" t="str">
        <f>IFERROR(__xludf.DUMMYFUNCTION("""COMPUTED_VALUE"""),"O-53456-00")</f>
        <v>O-53456-00</v>
      </c>
    </row>
    <row r="1186">
      <c r="A1186" s="14" t="str">
        <f>IFERROR(__xludf.DUMMYFUNCTION("""COMPUTED_VALUE"""),"O-53457-00")</f>
        <v>O-53457-00</v>
      </c>
      <c r="B1186" s="14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4" t="str">
        <f>IFERROR(__xludf.DUMMYFUNCTION("""COMPUTED_VALUE"""),"O-53457-00")</f>
        <v>O-53457-00</v>
      </c>
    </row>
    <row r="1187">
      <c r="A1187" s="14" t="str">
        <f>IFERROR(__xludf.DUMMYFUNCTION("""COMPUTED_VALUE"""),"O-53460-00")</f>
        <v>O-53460-00</v>
      </c>
      <c r="B1187" s="14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4" t="str">
        <f>IFERROR(__xludf.DUMMYFUNCTION("""COMPUTED_VALUE"""),"O-53460-00")</f>
        <v>O-53460-00</v>
      </c>
    </row>
    <row r="1188">
      <c r="A1188" s="14" t="str">
        <f>IFERROR(__xludf.DUMMYFUNCTION("""COMPUTED_VALUE"""),"O-53461-00")</f>
        <v>O-53461-00</v>
      </c>
      <c r="B1188" s="14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4" t="str">
        <f>IFERROR(__xludf.DUMMYFUNCTION("""COMPUTED_VALUE"""),"O-53461-00")</f>
        <v>O-53461-00</v>
      </c>
    </row>
    <row r="1189">
      <c r="A1189" s="14" t="str">
        <f>IFERROR(__xludf.DUMMYFUNCTION("""COMPUTED_VALUE"""),"O-53462-00")</f>
        <v>O-53462-00</v>
      </c>
      <c r="B1189" s="14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4" t="str">
        <f>IFERROR(__xludf.DUMMYFUNCTION("""COMPUTED_VALUE"""),"O-53462-00")</f>
        <v>O-53462-00</v>
      </c>
    </row>
    <row r="1190">
      <c r="A1190" s="14" t="str">
        <f>IFERROR(__xludf.DUMMYFUNCTION("""COMPUTED_VALUE"""),"O-53463-00")</f>
        <v>O-53463-00</v>
      </c>
      <c r="B1190" s="14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4" t="str">
        <f>IFERROR(__xludf.DUMMYFUNCTION("""COMPUTED_VALUE"""),"O-53463-00")</f>
        <v>O-53463-00</v>
      </c>
    </row>
    <row r="1191">
      <c r="A1191" s="14" t="str">
        <f>IFERROR(__xludf.DUMMYFUNCTION("""COMPUTED_VALUE"""),"O-53464-00")</f>
        <v>O-53464-00</v>
      </c>
      <c r="B1191" s="14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4" t="str">
        <f>IFERROR(__xludf.DUMMYFUNCTION("""COMPUTED_VALUE"""),"O-53464-00")</f>
        <v>O-53464-00</v>
      </c>
    </row>
    <row r="1192">
      <c r="A1192" s="14" t="str">
        <f>IFERROR(__xludf.DUMMYFUNCTION("""COMPUTED_VALUE"""),"O-53465-00")</f>
        <v>O-53465-00</v>
      </c>
      <c r="B1192" s="14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4" t="str">
        <f>IFERROR(__xludf.DUMMYFUNCTION("""COMPUTED_VALUE"""),"O-53465-00")</f>
        <v>O-53465-00</v>
      </c>
    </row>
    <row r="1193">
      <c r="A1193" s="14" t="str">
        <f>IFERROR(__xludf.DUMMYFUNCTION("""COMPUTED_VALUE"""),"O-53466-00")</f>
        <v>O-53466-00</v>
      </c>
      <c r="B1193" s="14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4" t="str">
        <f>IFERROR(__xludf.DUMMYFUNCTION("""COMPUTED_VALUE"""),"O-53466-00")</f>
        <v>O-53466-00</v>
      </c>
    </row>
    <row r="1194">
      <c r="A1194" s="14" t="str">
        <f>IFERROR(__xludf.DUMMYFUNCTION("""COMPUTED_VALUE"""),"O-53467-00")</f>
        <v>O-53467-00</v>
      </c>
      <c r="B1194" s="14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4" t="str">
        <f>IFERROR(__xludf.DUMMYFUNCTION("""COMPUTED_VALUE"""),"O-53467-00")</f>
        <v>O-53467-00</v>
      </c>
    </row>
    <row r="1195">
      <c r="A1195" s="14" t="str">
        <f>IFERROR(__xludf.DUMMYFUNCTION("""COMPUTED_VALUE"""),"O-53473-00")</f>
        <v>O-53473-00</v>
      </c>
      <c r="B1195" s="14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4" t="str">
        <f>IFERROR(__xludf.DUMMYFUNCTION("""COMPUTED_VALUE"""),"O-53473-00")</f>
        <v>O-53473-00</v>
      </c>
    </row>
    <row r="1196">
      <c r="A1196" s="14" t="str">
        <f>IFERROR(__xludf.DUMMYFUNCTION("""COMPUTED_VALUE"""),"O-53474-00")</f>
        <v>O-53474-00</v>
      </c>
      <c r="B1196" s="14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4" t="str">
        <f>IFERROR(__xludf.DUMMYFUNCTION("""COMPUTED_VALUE"""),"O-53474-00")</f>
        <v>O-53474-00</v>
      </c>
    </row>
    <row r="1197">
      <c r="A1197" s="14" t="str">
        <f>IFERROR(__xludf.DUMMYFUNCTION("""COMPUTED_VALUE"""),"O-53475-00")</f>
        <v>O-53475-00</v>
      </c>
      <c r="B1197" s="14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4" t="str">
        <f>IFERROR(__xludf.DUMMYFUNCTION("""COMPUTED_VALUE"""),"O-53475-00")</f>
        <v>O-53475-00</v>
      </c>
    </row>
    <row r="1198">
      <c r="A1198" s="14" t="str">
        <f>IFERROR(__xludf.DUMMYFUNCTION("""COMPUTED_VALUE"""),"O-53476-00")</f>
        <v>O-53476-00</v>
      </c>
      <c r="B1198" s="14" t="str">
        <f>IFERROR(__xludf.DUMMYFUNCTION("""COMPUTED_VALUE"""),"Tunnel ST1L - High Precision Optical Fiber; Omron; E32T61S5M; ; ; 1 Pc")</f>
        <v>Tunnel ST1L - High Precision Optical Fiber; Omron; E32T61S5M; ; ; 1 Pc</v>
      </c>
      <c r="C1198" s="14" t="str">
        <f>IFERROR(__xludf.DUMMYFUNCTION("""COMPUTED_VALUE"""),"O-53476-00")</f>
        <v>O-53476-00</v>
      </c>
    </row>
    <row r="1199">
      <c r="A1199" s="14" t="str">
        <f>IFERROR(__xludf.DUMMYFUNCTION("""COMPUTED_VALUE"""),"O-53477-00")</f>
        <v>O-53477-00</v>
      </c>
      <c r="B1199" s="14" t="str">
        <f>IFERROR(__xludf.DUMMYFUNCTION("""COMPUTED_VALUE"""),"Tunnel ST1L - Lens For Optic Fibers; Omron; E39F1; ; ; 1 Pc")</f>
        <v>Tunnel ST1L - Lens For Optic Fibers; Omron; E39F1; ; ; 1 Pc</v>
      </c>
      <c r="C1199" s="14" t="str">
        <f>IFERROR(__xludf.DUMMYFUNCTION("""COMPUTED_VALUE"""),"O-53477-00")</f>
        <v>O-53477-00</v>
      </c>
    </row>
    <row r="1200">
      <c r="A1200" s="14" t="str">
        <f>IFERROR(__xludf.DUMMYFUNCTION("""COMPUTED_VALUE"""),"O-53478-00")</f>
        <v>O-53478-00</v>
      </c>
      <c r="B1200" s="14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4" t="str">
        <f>IFERROR(__xludf.DUMMYFUNCTION("""COMPUTED_VALUE"""),"O-53478-00")</f>
        <v>O-53478-00</v>
      </c>
    </row>
    <row r="1201">
      <c r="A1201" s="14" t="str">
        <f>IFERROR(__xludf.DUMMYFUNCTION("""COMPUTED_VALUE"""),"O-53480-00")</f>
        <v>O-53480-00</v>
      </c>
      <c r="B1201" s="14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4" t="str">
        <f>IFERROR(__xludf.DUMMYFUNCTION("""COMPUTED_VALUE"""),"O-53480-00")</f>
        <v>O-53480-00</v>
      </c>
    </row>
    <row r="1202">
      <c r="A1202" s="14" t="str">
        <f>IFERROR(__xludf.DUMMYFUNCTION("""COMPUTED_VALUE"""),"O-53481-00")</f>
        <v>O-53481-00</v>
      </c>
      <c r="B1202" s="14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4" t="str">
        <f>IFERROR(__xludf.DUMMYFUNCTION("""COMPUTED_VALUE"""),"O-53481-00")</f>
        <v>O-53481-00</v>
      </c>
    </row>
    <row r="1203">
      <c r="A1203" s="14" t="str">
        <f>IFERROR(__xludf.DUMMYFUNCTION("""COMPUTED_VALUE"""),"O-53482-00")</f>
        <v>O-53482-00</v>
      </c>
      <c r="B1203" s="14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4" t="str">
        <f>IFERROR(__xludf.DUMMYFUNCTION("""COMPUTED_VALUE"""),"O-53482-00")</f>
        <v>O-53482-00</v>
      </c>
    </row>
    <row r="1204">
      <c r="A1204" s="14" t="str">
        <f>IFERROR(__xludf.DUMMYFUNCTION("""COMPUTED_VALUE"""),"O-53484-00")</f>
        <v>O-53484-00</v>
      </c>
      <c r="B1204" s="14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4" t="str">
        <f>IFERROR(__xludf.DUMMYFUNCTION("""COMPUTED_VALUE"""),"O-53484-00")</f>
        <v>O-53484-00</v>
      </c>
    </row>
    <row r="1205">
      <c r="A1205" s="14" t="str">
        <f>IFERROR(__xludf.DUMMYFUNCTION("""COMPUTED_VALUE"""),"O-53487-00")</f>
        <v>O-53487-00</v>
      </c>
      <c r="B1205" s="14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4" t="str">
        <f>IFERROR(__xludf.DUMMYFUNCTION("""COMPUTED_VALUE"""),"O-53487-00")</f>
        <v>O-53487-00</v>
      </c>
    </row>
    <row r="1206">
      <c r="A1206" s="14" t="str">
        <f>IFERROR(__xludf.DUMMYFUNCTION("""COMPUTED_VALUE"""),"O-53510-00")</f>
        <v>O-53510-00</v>
      </c>
      <c r="B1206" s="14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4" t="str">
        <f>IFERROR(__xludf.DUMMYFUNCTION("""COMPUTED_VALUE"""),"O-53510-00")</f>
        <v>O-53510-00</v>
      </c>
    </row>
    <row r="1207">
      <c r="A1207" s="14" t="str">
        <f>IFERROR(__xludf.DUMMYFUNCTION("""COMPUTED_VALUE"""),"O-53516-00")</f>
        <v>O-53516-00</v>
      </c>
      <c r="B1207" s="14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4" t="str">
        <f>IFERROR(__xludf.DUMMYFUNCTION("""COMPUTED_VALUE"""),"O-53516-00")</f>
        <v>O-53516-00</v>
      </c>
    </row>
    <row r="1208">
      <c r="A1208" s="14" t="str">
        <f>IFERROR(__xludf.DUMMYFUNCTION("""COMPUTED_VALUE"""),"O-53517-00")</f>
        <v>O-53517-00</v>
      </c>
      <c r="B1208" s="14" t="str">
        <f>IFERROR(__xludf.DUMMYFUNCTION("""COMPUTED_VALUE"""),"Blistering TRL100LT - Probe NTC Rubber Capsule; Novus; 8830000002; 1 Pc")</f>
        <v>Blistering TRL100LT - Probe NTC Rubber Capsule; Novus; 8830000002; 1 Pc</v>
      </c>
      <c r="C1208" s="14" t="str">
        <f>IFERROR(__xludf.DUMMYFUNCTION("""COMPUTED_VALUE"""),"O-53517-00")</f>
        <v>O-53517-00</v>
      </c>
    </row>
    <row r="1209">
      <c r="A1209" s="14" t="str">
        <f>IFERROR(__xludf.DUMMYFUNCTION("""COMPUTED_VALUE"""),"O-53522-00")</f>
        <v>O-53522-00</v>
      </c>
      <c r="B1209" s="14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4" t="str">
        <f>IFERROR(__xludf.DUMMYFUNCTION("""COMPUTED_VALUE"""),"O-53522-00")</f>
        <v>O-53522-00</v>
      </c>
    </row>
    <row r="1210">
      <c r="A1210" s="14" t="str">
        <f>IFERROR(__xludf.DUMMYFUNCTION("""COMPUTED_VALUE"""),"O-53523-00")</f>
        <v>O-53523-00</v>
      </c>
      <c r="B1210" s="14" t="str">
        <f>IFERROR(__xludf.DUMMYFUNCTION("""COMPUTED_VALUE"""),"cRABS Z064CR - Transmitter for Temperature Probe HC2-xxx; -; 64938; 1 Pc")</f>
        <v>cRABS Z064CR - Transmitter for Temperature Probe HC2-xxx; -; 64938; 1 Pc</v>
      </c>
      <c r="C1210" s="14" t="str">
        <f>IFERROR(__xludf.DUMMYFUNCTION("""COMPUTED_VALUE"""),"O-53523-00")</f>
        <v>O-53523-00</v>
      </c>
    </row>
    <row r="1211">
      <c r="A1211" s="14" t="str">
        <f>IFERROR(__xludf.DUMMYFUNCTION("""COMPUTED_VALUE"""),"O-53524-00")</f>
        <v>O-53524-00</v>
      </c>
      <c r="B1211" s="14" t="str">
        <f>IFERROR(__xludf.DUMMYFUNCTION("""COMPUTED_VALUE"""),"cRABS Z064CR - Digital Probe for Humidity and Temperature; -; 64939; 1 Pc")</f>
        <v>cRABS Z064CR - Digital Probe for Humidity and Temperature; -; 64939; 1 Pc</v>
      </c>
      <c r="C1211" s="14" t="str">
        <f>IFERROR(__xludf.DUMMYFUNCTION("""COMPUTED_VALUE"""),"O-53524-00")</f>
        <v>O-53524-00</v>
      </c>
    </row>
    <row r="1212">
      <c r="A1212" s="14" t="str">
        <f>IFERROR(__xludf.DUMMYFUNCTION("""COMPUTED_VALUE"""),"O-53525-00")</f>
        <v>O-53525-00</v>
      </c>
      <c r="B1212" s="14" t="str">
        <f>IFERROR(__xludf.DUMMYFUNCTION("""COMPUTED_VALUE"""),"cRABS Z064CR - Cable Gland for Temperature Probe; -; 64940; 1 Pc")</f>
        <v>cRABS Z064CR - Cable Gland for Temperature Probe; -; 64940; 1 Pc</v>
      </c>
      <c r="C1212" s="14" t="str">
        <f>IFERROR(__xludf.DUMMYFUNCTION("""COMPUTED_VALUE"""),"O-53525-00")</f>
        <v>O-53525-00</v>
      </c>
    </row>
    <row r="1213">
      <c r="A1213" s="14" t="str">
        <f>IFERROR(__xludf.DUMMYFUNCTION("""COMPUTED_VALUE"""),"O-53566-00")</f>
        <v>O-53566-00</v>
      </c>
      <c r="B1213" s="14" t="str">
        <f>IFERROR(__xludf.DUMMYFUNCTION("""COMPUTED_VALUE"""),"Integrated Granulation Line - K-Adp-Usb Programmer; Pepperl+Fuchs; ;")</f>
        <v>Integrated Granulation Line - K-Adp-Usb Programmer; Pepperl+Fuchs; ;</v>
      </c>
      <c r="C1213" s="14" t="str">
        <f>IFERROR(__xludf.DUMMYFUNCTION("""COMPUTED_VALUE"""),"O-53566-00")</f>
        <v>O-53566-00</v>
      </c>
    </row>
    <row r="1214">
      <c r="A1214" s="14" t="str">
        <f>IFERROR(__xludf.DUMMYFUNCTION("""COMPUTED_VALUE"""),"O-53568-00")</f>
        <v>O-53568-00</v>
      </c>
      <c r="B1214" s="14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4" t="str">
        <f>IFERROR(__xludf.DUMMYFUNCTION("""COMPUTED_VALUE"""),"O-53568-00")</f>
        <v>O-53568-00</v>
      </c>
    </row>
    <row r="1215">
      <c r="A1215" s="14" t="str">
        <f>IFERROR(__xludf.DUMMYFUNCTION("""COMPUTED_VALUE"""),"O-53590-00")</f>
        <v>O-53590-00</v>
      </c>
      <c r="B1215" s="14" t="str">
        <f>IFERROR(__xludf.DUMMYFUNCTION("""COMPUTED_VALUE"""),"Filling VFM100 - Hyperion Medium Range Bar; Meech; A945IPS-0400; 1 Pc")</f>
        <v>Filling VFM100 - Hyperion Medium Range Bar; Meech; A945IPS-0400; 1 Pc</v>
      </c>
      <c r="C1215" s="14" t="str">
        <f>IFERROR(__xludf.DUMMYFUNCTION("""COMPUTED_VALUE"""),"O-53590-00")</f>
        <v>O-53590-00</v>
      </c>
    </row>
    <row r="1216">
      <c r="A1216" s="14" t="str">
        <f>IFERROR(__xludf.DUMMYFUNCTION("""COMPUTED_VALUE"""),"O-53591-00")</f>
        <v>O-53591-00</v>
      </c>
      <c r="B1216" s="14" t="str">
        <f>IFERROR(__xludf.DUMMYFUNCTION("""COMPUTED_VALUE"""),"Filling VFM100 - M8-4 Pin Power Cable; Meech; A900IPS-PCS10; 1 Pc")</f>
        <v>Filling VFM100 - M8-4 Pin Power Cable; Meech; A900IPS-PCS10; 1 Pc</v>
      </c>
      <c r="C1216" s="14" t="str">
        <f>IFERROR(__xludf.DUMMYFUNCTION("""COMPUTED_VALUE"""),"O-53591-00")</f>
        <v>O-53591-00</v>
      </c>
    </row>
    <row r="1217">
      <c r="A1217" s="14" t="str">
        <f>IFERROR(__xludf.DUMMYFUNCTION("""COMPUTED_VALUE"""),"O-53604-00")</f>
        <v>O-53604-00</v>
      </c>
      <c r="B1217" s="14" t="str">
        <f>IFERROR(__xludf.DUMMYFUNCTION("""COMPUTED_VALUE"""),"Freeze Dryer MBE1207 -  Flow Switch; SMC; IFW510-04-00; 1 pc")</f>
        <v>Freeze Dryer MBE1207 -  Flow Switch; SMC; IFW510-04-00; 1 pc</v>
      </c>
      <c r="C1217" s="14" t="str">
        <f>IFERROR(__xludf.DUMMYFUNCTION("""COMPUTED_VALUE"""),"O-53604-00")</f>
        <v>O-53604-00</v>
      </c>
    </row>
    <row r="1218">
      <c r="A1218" s="14" t="str">
        <f>IFERROR(__xludf.DUMMYFUNCTION("""COMPUTED_VALUE"""),"O-53605-00")</f>
        <v>O-53605-00</v>
      </c>
      <c r="B1218" s="14" t="str">
        <f>IFERROR(__xludf.DUMMYFUNCTION("""COMPUTED_VALUE"""),"Autoclave Fedegari FVA2/A1 - Proface Printer; Fedegari; GP400736; 1 pc")</f>
        <v>Autoclave Fedegari FVA2/A1 - Proface Printer; Fedegari; GP400736; 1 pc</v>
      </c>
      <c r="C1218" s="14" t="str">
        <f>IFERROR(__xludf.DUMMYFUNCTION("""COMPUTED_VALUE"""),"O-53605-00")</f>
        <v>O-53605-00</v>
      </c>
    </row>
    <row r="1219">
      <c r="A1219" s="14" t="str">
        <f>IFERROR(__xludf.DUMMYFUNCTION("""COMPUTED_VALUE"""),"O-53620-00")</f>
        <v>O-53620-00</v>
      </c>
      <c r="B1219" s="14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4" t="str">
        <f>IFERROR(__xludf.DUMMYFUNCTION("""COMPUTED_VALUE"""),"O-53620-00")</f>
        <v>O-53620-00</v>
      </c>
    </row>
    <row r="1220">
      <c r="A1220" s="14" t="str">
        <f>IFERROR(__xludf.DUMMYFUNCTION("""COMPUTED_VALUE"""),"O-53635-00")</f>
        <v>O-53635-00</v>
      </c>
      <c r="B1220" s="14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4" t="str">
        <f>IFERROR(__xludf.DUMMYFUNCTION("""COMPUTED_VALUE"""),"O-53635-00")</f>
        <v>O-53635-00</v>
      </c>
    </row>
    <row r="1221">
      <c r="A1221" s="14" t="str">
        <f>IFERROR(__xludf.DUMMYFUNCTION("""COMPUTED_VALUE"""),"O-53640-00")</f>
        <v>O-53640-00</v>
      </c>
      <c r="B1221" s="14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4" t="str">
        <f>IFERROR(__xludf.DUMMYFUNCTION("""COMPUTED_VALUE"""),"O-53640-00")</f>
        <v>O-53640-00</v>
      </c>
    </row>
    <row r="1222">
      <c r="A1222" s="14" t="str">
        <f>IFERROR(__xludf.DUMMYFUNCTION("""COMPUTED_VALUE"""),"O-53641-00")</f>
        <v>O-53641-00</v>
      </c>
      <c r="B1222" s="14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4" t="str">
        <f>IFERROR(__xludf.DUMMYFUNCTION("""COMPUTED_VALUE"""),"O-53641-00")</f>
        <v>O-53641-00</v>
      </c>
    </row>
    <row r="1223">
      <c r="A1223" s="14" t="str">
        <f>IFERROR(__xludf.DUMMYFUNCTION("""COMPUTED_VALUE"""),"O-53642-00")</f>
        <v>O-53642-00</v>
      </c>
      <c r="B1223" s="14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4" t="str">
        <f>IFERROR(__xludf.DUMMYFUNCTION("""COMPUTED_VALUE"""),"O-53642-00")</f>
        <v>O-53642-00</v>
      </c>
    </row>
    <row r="1224">
      <c r="A1224" s="14" t="str">
        <f>IFERROR(__xludf.DUMMYFUNCTION("""COMPUTED_VALUE"""),"O-53643-00")</f>
        <v>O-53643-00</v>
      </c>
      <c r="B1224" s="14" t="str">
        <f>IFERROR(__xludf.DUMMYFUNCTION("""COMPUTED_VALUE"""),"Freeze Dryer MBE1207 - Solenoid 180-4E1-PLL 24VDC; Koganei; -; 1 Pc")</f>
        <v>Freeze Dryer MBE1207 - Solenoid 180-4E1-PLL 24VDC; Koganei; -; 1 Pc</v>
      </c>
      <c r="C1224" s="14" t="str">
        <f>IFERROR(__xludf.DUMMYFUNCTION("""COMPUTED_VALUE"""),"O-53643-00")</f>
        <v>O-53643-00</v>
      </c>
    </row>
    <row r="1225">
      <c r="A1225" s="14" t="str">
        <f>IFERROR(__xludf.DUMMYFUNCTION("""COMPUTED_VALUE"""),"O-53645-00")</f>
        <v>O-53645-00</v>
      </c>
      <c r="B1225" s="14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4" t="str">
        <f>IFERROR(__xludf.DUMMYFUNCTION("""COMPUTED_VALUE"""),"O-53645-00")</f>
        <v>O-53645-00</v>
      </c>
    </row>
    <row r="1226">
      <c r="A1226" s="14" t="str">
        <f>IFERROR(__xludf.DUMMYFUNCTION("""COMPUTED_VALUE"""),"O-54000-00")</f>
        <v>O-54000-00</v>
      </c>
      <c r="B1226" s="14" t="str">
        <f>IFERROR(__xludf.DUMMYFUNCTION("""COMPUTED_VALUE"""),"MOTOR FOR AIR RETURN VALVE?VAV), TROX")</f>
        <v>MOTOR FOR AIR RETURN VALVE?VAV), TROX</v>
      </c>
      <c r="C1226" s="14" t="str">
        <f>IFERROR(__xludf.DUMMYFUNCTION("""COMPUTED_VALUE"""),"O-54000-00")</f>
        <v>O-54000-00</v>
      </c>
    </row>
    <row r="1227">
      <c r="A1227" s="14" t="str">
        <f>IFERROR(__xludf.DUMMYFUNCTION("""COMPUTED_VALUE"""),"O-54001-00")</f>
        <v>O-54001-00</v>
      </c>
      <c r="B1227" s="14" t="str">
        <f>IFERROR(__xludf.DUMMYFUNCTION("""COMPUTED_VALUE"""),"AUXILUARY CONTACT NC SIEMENS")</f>
        <v>AUXILUARY CONTACT NC SIEMENS</v>
      </c>
      <c r="C1227" s="14" t="str">
        <f>IFERROR(__xludf.DUMMYFUNCTION("""COMPUTED_VALUE"""),"O-54001-00")</f>
        <v>O-54001-00</v>
      </c>
    </row>
    <row r="1228">
      <c r="A1228" s="14" t="str">
        <f>IFERROR(__xludf.DUMMYFUNCTION("""COMPUTED_VALUE"""),"O-54002-00")</f>
        <v>O-54002-00</v>
      </c>
      <c r="B1228" s="14" t="str">
        <f>IFERROR(__xludf.DUMMYFUNCTION("""COMPUTED_VALUE"""),"BALLAST ELECTRONIC , PHILIPS, EB-C 110 TLD, 1X10W")</f>
        <v>BALLAST ELECTRONIC , PHILIPS, EB-C 110 TLD, 1X10W</v>
      </c>
      <c r="C1228" s="14" t="str">
        <f>IFERROR(__xludf.DUMMYFUNCTION("""COMPUTED_VALUE"""),"O-54002-00")</f>
        <v>O-54002-00</v>
      </c>
    </row>
    <row r="1229">
      <c r="A1229" s="14" t="str">
        <f>IFERROR(__xludf.DUMMYFUNCTION("""COMPUTED_VALUE"""),"O-54003-00")</f>
        <v>O-54003-00</v>
      </c>
      <c r="B1229" s="14" t="str">
        <f>IFERROR(__xludf.DUMMYFUNCTION("""COMPUTED_VALUE"""),"LAMPU PL-S 2P 11W/865, PHILIPS")</f>
        <v>LAMPU PL-S 2P 11W/865, PHILIPS</v>
      </c>
      <c r="C1229" s="14" t="str">
        <f>IFERROR(__xludf.DUMMYFUNCTION("""COMPUTED_VALUE"""),"O-54003-00")</f>
        <v>O-54003-00</v>
      </c>
    </row>
    <row r="1230">
      <c r="A1230" s="14" t="str">
        <f>IFERROR(__xludf.DUMMYFUNCTION("""COMPUTED_VALUE"""),"O-54004-00")</f>
        <v>O-54004-00</v>
      </c>
      <c r="B1230" s="14" t="str">
        <f>IFERROR(__xludf.DUMMYFUNCTION("""COMPUTED_VALUE"""),"LAMPU SL 24 W  / 220-240 V / SPIRAL, PHILIPS")</f>
        <v>LAMPU SL 24 W  / 220-240 V / SPIRAL, PHILIPS</v>
      </c>
      <c r="C1230" s="14" t="str">
        <f>IFERROR(__xludf.DUMMYFUNCTION("""COMPUTED_VALUE"""),"O-54004-00")</f>
        <v>O-54004-00</v>
      </c>
    </row>
    <row r="1231">
      <c r="A1231" s="14" t="str">
        <f>IFERROR(__xludf.DUMMYFUNCTION("""COMPUTED_VALUE"""),"O-54005-00")</f>
        <v>O-54005-00</v>
      </c>
      <c r="B1231" s="14" t="str">
        <f>IFERROR(__xludf.DUMMYFUNCTION("""COMPUTED_VALUE"""),"LAMPU UV 15 WATT, OSRAM")</f>
        <v>LAMPU UV 15 WATT, OSRAM</v>
      </c>
      <c r="C1231" s="14" t="str">
        <f>IFERROR(__xludf.DUMMYFUNCTION("""COMPUTED_VALUE"""),"O-54005-00")</f>
        <v>O-54005-00</v>
      </c>
    </row>
    <row r="1232">
      <c r="A1232" s="14" t="str">
        <f>IFERROR(__xludf.DUMMYFUNCTION("""COMPUTED_VALUE"""),"O-54006-00")</f>
        <v>O-54006-00</v>
      </c>
      <c r="B1232" s="14" t="str">
        <f>IFERROR(__xludf.DUMMYFUNCTION("""COMPUTED_VALUE"""),"General - MCB 1 PHASE 10 AMPERE; Schneider; -; 1 Pc")</f>
        <v>General - MCB 1 PHASE 10 AMPERE; Schneider; -; 1 Pc</v>
      </c>
      <c r="C1232" s="14" t="str">
        <f>IFERROR(__xludf.DUMMYFUNCTION("""COMPUTED_VALUE"""),"O-54006-00")</f>
        <v>O-54006-00</v>
      </c>
    </row>
    <row r="1233">
      <c r="A1233" s="14" t="str">
        <f>IFERROR(__xludf.DUMMYFUNCTION("""COMPUTED_VALUE"""),"O-54007-00")</f>
        <v>O-54007-00</v>
      </c>
      <c r="B1233" s="14" t="str">
        <f>IFERROR(__xludf.DUMMYFUNCTION("""COMPUTED_VALUE"""),"MCB 1 PHASE, SCHNEIDER ELECTRIC, IC60H 10Ka 16 AMPERE")</f>
        <v>MCB 1 PHASE, SCHNEIDER ELECTRIC, IC60H 10Ka 16 AMPERE</v>
      </c>
      <c r="C1233" s="14" t="str">
        <f>IFERROR(__xludf.DUMMYFUNCTION("""COMPUTED_VALUE"""),"O-54007-00")</f>
        <v>O-54007-00</v>
      </c>
    </row>
    <row r="1234">
      <c r="A1234" s="14" t="str">
        <f>IFERROR(__xludf.DUMMYFUNCTION("""COMPUTED_VALUE"""),"O-54008-00")</f>
        <v>O-54008-00</v>
      </c>
      <c r="B1234" s="14" t="str">
        <f>IFERROR(__xludf.DUMMYFUNCTION("""COMPUTED_VALUE"""),"General - MCB 1 PHASE 25 AMPERE; Schneider; -; 1 Pc")</f>
        <v>General - MCB 1 PHASE 25 AMPERE; Schneider; -; 1 Pc</v>
      </c>
      <c r="C1234" s="14" t="str">
        <f>IFERROR(__xludf.DUMMYFUNCTION("""COMPUTED_VALUE"""),"O-54008-00")</f>
        <v>O-54008-00</v>
      </c>
    </row>
    <row r="1235">
      <c r="A1235" s="14" t="str">
        <f>IFERROR(__xludf.DUMMYFUNCTION("""COMPUTED_VALUE"""),"O-54009-00")</f>
        <v>O-54009-00</v>
      </c>
      <c r="B1235" s="14" t="str">
        <f>IFERROR(__xludf.DUMMYFUNCTION("""COMPUTED_VALUE"""),"MCB 1 PHASE, SIEMENS, 2 POLE 2 AMPERE")</f>
        <v>MCB 1 PHASE, SIEMENS, 2 POLE 2 AMPERE</v>
      </c>
      <c r="C1235" s="14" t="str">
        <f>IFERROR(__xludf.DUMMYFUNCTION("""COMPUTED_VALUE"""),"O-54009-00")</f>
        <v>O-54009-00</v>
      </c>
    </row>
    <row r="1236">
      <c r="A1236" s="14" t="str">
        <f>IFERROR(__xludf.DUMMYFUNCTION("""COMPUTED_VALUE"""),"O-54010-00")</f>
        <v>O-54010-00</v>
      </c>
      <c r="B1236" s="14" t="str">
        <f>IFERROR(__xludf.DUMMYFUNCTION("""COMPUTED_VALUE"""),"MCB 1 PHASE, SIEMENS, 2 POLE 4 AMPERE")</f>
        <v>MCB 1 PHASE, SIEMENS, 2 POLE 4 AMPERE</v>
      </c>
      <c r="C1236" s="14" t="str">
        <f>IFERROR(__xludf.DUMMYFUNCTION("""COMPUTED_VALUE"""),"O-54010-00")</f>
        <v>O-54010-00</v>
      </c>
    </row>
    <row r="1237">
      <c r="A1237" s="14" t="str">
        <f>IFERROR(__xludf.DUMMYFUNCTION("""COMPUTED_VALUE"""),"O-54011-00")</f>
        <v>O-54011-00</v>
      </c>
      <c r="B1237" s="14" t="str">
        <f>IFERROR(__xludf.DUMMYFUNCTION("""COMPUTED_VALUE"""),"MCB 3 PHASE, SIEMENS, 2 AMPERE")</f>
        <v>MCB 3 PHASE, SIEMENS, 2 AMPERE</v>
      </c>
      <c r="C1237" s="14" t="str">
        <f>IFERROR(__xludf.DUMMYFUNCTION("""COMPUTED_VALUE"""),"O-54011-00")</f>
        <v>O-54011-00</v>
      </c>
    </row>
    <row r="1238">
      <c r="A1238" s="14" t="str">
        <f>IFERROR(__xludf.DUMMYFUNCTION("""COMPUTED_VALUE"""),"O-54012-00")</f>
        <v>O-54012-00</v>
      </c>
      <c r="B1238" s="14" t="str">
        <f>IFERROR(__xludf.DUMMYFUNCTION("""COMPUTED_VALUE"""),"SELECTOR SWITCH, HANYOUNG, CR253-3 ON-OFF-ON")</f>
        <v>SELECTOR SWITCH, HANYOUNG, CR253-3 ON-OFF-ON</v>
      </c>
      <c r="C1238" s="14" t="str">
        <f>IFERROR(__xludf.DUMMYFUNCTION("""COMPUTED_VALUE"""),"O-54012-00")</f>
        <v>O-54012-00</v>
      </c>
    </row>
    <row r="1239">
      <c r="A1239" s="14" t="str">
        <f>IFERROR(__xludf.DUMMYFUNCTION("""COMPUTED_VALUE"""),"O-54013-00")</f>
        <v>O-54013-00</v>
      </c>
      <c r="B1239" s="14" t="str">
        <f>IFERROR(__xludf.DUMMYFUNCTION("""COMPUTED_VALUE"""),"SOCKET RJ 45 CAT 5")</f>
        <v>SOCKET RJ 45 CAT 5</v>
      </c>
      <c r="C1239" s="14" t="str">
        <f>IFERROR(__xludf.DUMMYFUNCTION("""COMPUTED_VALUE"""),"O-54013-00")</f>
        <v>O-54013-00</v>
      </c>
    </row>
    <row r="1240">
      <c r="A1240" s="14" t="str">
        <f>IFERROR(__xludf.DUMMYFUNCTION("""COMPUTED_VALUE"""),"O-54014-00")</f>
        <v>O-54014-00</v>
      </c>
      <c r="B1240" s="14" t="str">
        <f>IFERROR(__xludf.DUMMYFUNCTION("""COMPUTED_VALUE"""),"STEKER 1 PHASE, BROCO")</f>
        <v>STEKER 1 PHASE, BROCO</v>
      </c>
      <c r="C1240" s="14" t="str">
        <f>IFERROR(__xludf.DUMMYFUNCTION("""COMPUTED_VALUE"""),"O-54014-00")</f>
        <v>O-54014-00</v>
      </c>
    </row>
    <row r="1241">
      <c r="A1241" s="14" t="str">
        <f>IFERROR(__xludf.DUMMYFUNCTION("""COMPUTED_VALUE"""),"O-54015-00")</f>
        <v>O-54015-00</v>
      </c>
      <c r="B1241" s="14" t="str">
        <f>IFERROR(__xludf.DUMMYFUNCTION("""COMPUTED_VALUE"""),"STOP KONTAK LUBANG 4, BROCO")</f>
        <v>STOP KONTAK LUBANG 4, BROCO</v>
      </c>
      <c r="C1241" s="14" t="str">
        <f>IFERROR(__xludf.DUMMYFUNCTION("""COMPUTED_VALUE"""),"O-54015-00")</f>
        <v>O-54015-00</v>
      </c>
    </row>
    <row r="1242">
      <c r="A1242" s="14" t="str">
        <f>IFERROR(__xludf.DUMMYFUNCTION("""COMPUTED_VALUE"""),"O-54016-00")</f>
        <v>O-54016-00</v>
      </c>
      <c r="B1242" s="14" t="str">
        <f>IFERROR(__xludf.DUMMYFUNCTION("""COMPUTED_VALUE"""),"TEMPERATURE SENSOR ; JUMO, 1XPT 100, TEMP 0-150C")</f>
        <v>TEMPERATURE SENSOR ; JUMO, 1XPT 100, TEMP 0-150C</v>
      </c>
      <c r="C1242" s="14" t="str">
        <f>IFERROR(__xludf.DUMMYFUNCTION("""COMPUTED_VALUE"""),"O-54016-00")</f>
        <v>O-54016-00</v>
      </c>
    </row>
    <row r="1243">
      <c r="A1243" s="14" t="str">
        <f>IFERROR(__xludf.DUMMYFUNCTION("""COMPUTED_VALUE"""),"O-54018-00")</f>
        <v>O-54018-00</v>
      </c>
      <c r="B1243" s="14" t="str">
        <f>IFERROR(__xludf.DUMMYFUNCTION("""COMPUTED_VALUE"""),"UV DEVICE ; REMOVAL OF OZONE; HANOVIA UV; Pharma Line SD55; ID : S203-001")</f>
        <v>UV DEVICE ; REMOVAL OF OZONE; HANOVIA UV; Pharma Line SD55; ID : S203-001</v>
      </c>
      <c r="C1243" s="14" t="str">
        <f>IFERROR(__xludf.DUMMYFUNCTION("""COMPUTED_VALUE"""),"O-54018-00")</f>
        <v>O-54018-00</v>
      </c>
    </row>
    <row r="1244">
      <c r="A1244" s="14" t="str">
        <f>IFERROR(__xludf.DUMMYFUNCTION("""COMPUTED_VALUE"""),"O-54031-00")</f>
        <v>O-54031-00</v>
      </c>
      <c r="B1244" s="14" t="str">
        <f>IFERROR(__xludf.DUMMYFUNCTION("""COMPUTED_VALUE"""),"Profibus Connector SIEMENS, Simatic DP 6ES7972-0BA52-0XA0; ; ;")</f>
        <v>Profibus Connector SIEMENS, Simatic DP 6ES7972-0BA52-0XA0; ; ;</v>
      </c>
      <c r="C1244" s="14" t="str">
        <f>IFERROR(__xludf.DUMMYFUNCTION("""COMPUTED_VALUE"""),"O-54031-00")</f>
        <v>O-54031-00</v>
      </c>
    </row>
    <row r="1245">
      <c r="A1245" s="14" t="str">
        <f>IFERROR(__xludf.DUMMYFUNCTION("""COMPUTED_VALUE"""),"O-54032-00")</f>
        <v>O-54032-00</v>
      </c>
      <c r="B1245" s="14" t="str">
        <f>IFERROR(__xludf.DUMMYFUNCTION("""COMPUTED_VALUE"""),"Photoelectric Distance Sensor OGD592 IFM")</f>
        <v>Photoelectric Distance Sensor OGD592 IFM</v>
      </c>
      <c r="C1245" s="14" t="str">
        <f>IFERROR(__xludf.DUMMYFUNCTION("""COMPUTED_VALUE"""),"O-54032-00")</f>
        <v>O-54032-00</v>
      </c>
    </row>
    <row r="1246">
      <c r="A1246" s="14" t="str">
        <f>IFERROR(__xludf.DUMMYFUNCTION("""COMPUTED_VALUE"""),"O-54033-00")</f>
        <v>O-54033-00</v>
      </c>
      <c r="B1246" s="14" t="str">
        <f>IFERROR(__xludf.DUMMYFUNCTION("""COMPUTED_VALUE"""),"Mounting Adapter Connector 5M IFM")</f>
        <v>Mounting Adapter Connector 5M IFM</v>
      </c>
      <c r="C1246" s="14" t="str">
        <f>IFERROR(__xludf.DUMMYFUNCTION("""COMPUTED_VALUE"""),"O-54033-00")</f>
        <v>O-54033-00</v>
      </c>
    </row>
    <row r="1247">
      <c r="A1247" s="14" t="str">
        <f>IFERROR(__xludf.DUMMYFUNCTION("""COMPUTED_VALUE"""),"O-54036-00")</f>
        <v>O-54036-00</v>
      </c>
      <c r="B1247" s="14" t="str">
        <f>IFERROR(__xludf.DUMMYFUNCTION("""COMPUTED_VALUE"""),"UHI catridge heater dia.12x100mm, 220V-300W; ; ;")</f>
        <v>UHI catridge heater dia.12x100mm, 220V-300W; ; ;</v>
      </c>
      <c r="C1247" s="14" t="str">
        <f>IFERROR(__xludf.DUMMYFUNCTION("""COMPUTED_VALUE"""),"O-54036-00")</f>
        <v>O-54036-00</v>
      </c>
    </row>
    <row r="1248">
      <c r="A1248" s="14" t="str">
        <f>IFERROR(__xludf.DUMMYFUNCTION("""COMPUTED_VALUE"""),"O-54103-00")</f>
        <v>O-54103-00</v>
      </c>
      <c r="B1248" s="14" t="str">
        <f>IFERROR(__xludf.DUMMYFUNCTION("""COMPUTED_VALUE"""),"Zelio Electromechanical Relays;RXM2AB2BD;Schneider")</f>
        <v>Zelio Electromechanical Relays;RXM2AB2BD;Schneider</v>
      </c>
      <c r="C1248" s="14" t="str">
        <f>IFERROR(__xludf.DUMMYFUNCTION("""COMPUTED_VALUE"""),"O-54103-00")</f>
        <v>O-54103-00</v>
      </c>
    </row>
    <row r="1249">
      <c r="A1249" s="14" t="str">
        <f>IFERROR(__xludf.DUMMYFUNCTION("""COMPUTED_VALUE"""),"O-54109-00")</f>
        <v>O-54109-00</v>
      </c>
      <c r="B1249" s="14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4" t="str">
        <f>IFERROR(__xludf.DUMMYFUNCTION("""COMPUTED_VALUE"""),"O-54109-00")</f>
        <v>O-54109-00</v>
      </c>
    </row>
    <row r="1250">
      <c r="A1250" s="14" t="str">
        <f>IFERROR(__xludf.DUMMYFUNCTION("""COMPUTED_VALUE"""),"O-54112-00")</f>
        <v>O-54112-00</v>
      </c>
      <c r="B1250" s="14" t="str">
        <f>IFERROR(__xludf.DUMMYFUNCTION("""COMPUTED_VALUE"""),"Circulator Pump UPS 32-80 N 180 1x230V 50Hz 9H GRUNDFOS p/n 95906448")</f>
        <v>Circulator Pump UPS 32-80 N 180 1x230V 50Hz 9H GRUNDFOS p/n 95906448</v>
      </c>
      <c r="C1250" s="14" t="str">
        <f>IFERROR(__xludf.DUMMYFUNCTION("""COMPUTED_VALUE"""),"O-54112-00")</f>
        <v>O-54112-00</v>
      </c>
    </row>
    <row r="1251">
      <c r="A1251" s="14" t="str">
        <f>IFERROR(__xludf.DUMMYFUNCTION("""COMPUTED_VALUE"""),"O-54115-00")</f>
        <v>O-54115-00</v>
      </c>
      <c r="B1251" s="14" t="str">
        <f>IFERROR(__xludf.DUMMYFUNCTION("""COMPUTED_VALUE"""),"Fiber Amplifier -; KEYENCE; FS-V31CP;")</f>
        <v>Fiber Amplifier -; KEYENCE; FS-V31CP;</v>
      </c>
      <c r="C1251" s="14" t="str">
        <f>IFERROR(__xludf.DUMMYFUNCTION("""COMPUTED_VALUE"""),"O-54115-00")</f>
        <v>O-54115-00</v>
      </c>
    </row>
    <row r="1252">
      <c r="A1252" s="14" t="str">
        <f>IFERROR(__xludf.DUMMYFUNCTION("""COMPUTED_VALUE"""),"O-54116-00")</f>
        <v>O-54116-00</v>
      </c>
      <c r="B1252" s="14" t="str">
        <f>IFERROR(__xludf.DUMMYFUNCTION("""COMPUTED_VALUE"""),"Fiber Reflective -; KEYENCE; FU-67V;")</f>
        <v>Fiber Reflective -; KEYENCE; FU-67V;</v>
      </c>
      <c r="C1252" s="14" t="str">
        <f>IFERROR(__xludf.DUMMYFUNCTION("""COMPUTED_VALUE"""),"O-54116-00")</f>
        <v>O-54116-00</v>
      </c>
    </row>
    <row r="1253">
      <c r="A1253" s="14" t="str">
        <f>IFERROR(__xludf.DUMMYFUNCTION("""COMPUTED_VALUE"""),"O-54119-00")</f>
        <v>O-54119-00</v>
      </c>
      <c r="B1253" s="14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4" t="str">
        <f>IFERROR(__xludf.DUMMYFUNCTION("""COMPUTED_VALUE"""),"O-54119-00")</f>
        <v>O-54119-00</v>
      </c>
    </row>
    <row r="1254">
      <c r="A1254" s="14" t="str">
        <f>IFERROR(__xludf.DUMMYFUNCTION("""COMPUTED_VALUE"""),"O-54120-00")</f>
        <v>O-54120-00</v>
      </c>
      <c r="B1254" s="14" t="str">
        <f>IFERROR(__xludf.DUMMYFUNCTION("""COMPUTED_VALUE"""),"O-RING 8X1.8; Freeze Dryer MBE1207; P/N EB41-00336; pack size per pc")</f>
        <v>O-RING 8X1.8; Freeze Dryer MBE1207; P/N EB41-00336; pack size per pc</v>
      </c>
      <c r="C1254" s="14" t="str">
        <f>IFERROR(__xludf.DUMMYFUNCTION("""COMPUTED_VALUE"""),"O-54120-00")</f>
        <v>O-54120-00</v>
      </c>
    </row>
    <row r="1255">
      <c r="A1255" s="14" t="str">
        <f>IFERROR(__xludf.DUMMYFUNCTION("""COMPUTED_VALUE"""),"O-54121-00")</f>
        <v>O-54121-00</v>
      </c>
      <c r="B1255" s="14" t="str">
        <f>IFERROR(__xludf.DUMMYFUNCTION("""COMPUTED_VALUE"""),"O-RING 180X3.55; Freeze Dryer MBE1207; P/N EB41-00357; pack size per pc")</f>
        <v>O-RING 180X3.55; Freeze Dryer MBE1207; P/N EB41-00357; pack size per pc</v>
      </c>
      <c r="C1255" s="14" t="str">
        <f>IFERROR(__xludf.DUMMYFUNCTION("""COMPUTED_VALUE"""),"O-54121-00")</f>
        <v>O-54121-00</v>
      </c>
    </row>
    <row r="1256">
      <c r="A1256" s="14" t="str">
        <f>IFERROR(__xludf.DUMMYFUNCTION("""COMPUTED_VALUE"""),"O-54122-00")</f>
        <v>O-54122-00</v>
      </c>
      <c r="B1256" s="14" t="str">
        <f>IFERROR(__xludf.DUMMYFUNCTION("""COMPUTED_VALUE"""),"O-RING 106X5.30; Freeze Dryer MBE1207; P/N EB41-00292; pack size per pc")</f>
        <v>O-RING 106X5.30; Freeze Dryer MBE1207; P/N EB41-00292; pack size per pc</v>
      </c>
      <c r="C1256" s="14" t="str">
        <f>IFERROR(__xludf.DUMMYFUNCTION("""COMPUTED_VALUE"""),"O-54122-00")</f>
        <v>O-54122-00</v>
      </c>
    </row>
    <row r="1257">
      <c r="A1257" s="14" t="str">
        <f>IFERROR(__xludf.DUMMYFUNCTION("""COMPUTED_VALUE"""),"O-54123-00")</f>
        <v>O-54123-00</v>
      </c>
      <c r="B1257" s="14" t="str">
        <f>IFERROR(__xludf.DUMMYFUNCTION("""COMPUTED_VALUE"""),"O-RING 132X5.30; Freeze Dryer MBE1207; P/N EB41-00298; pack size per pc")</f>
        <v>O-RING 132X5.30; Freeze Dryer MBE1207; P/N EB41-00298; pack size per pc</v>
      </c>
      <c r="C1257" s="14" t="str">
        <f>IFERROR(__xludf.DUMMYFUNCTION("""COMPUTED_VALUE"""),"O-54123-00")</f>
        <v>O-54123-00</v>
      </c>
    </row>
    <row r="1258">
      <c r="A1258" s="14" t="str">
        <f>IFERROR(__xludf.DUMMYFUNCTION("""COMPUTED_VALUE"""),"O-54124-00")</f>
        <v>O-54124-00</v>
      </c>
      <c r="B1258" s="14" t="str">
        <f>IFERROR(__xludf.DUMMYFUNCTION("""COMPUTED_VALUE"""),"O-RING 345X5.30; Freeze Dryer MBE1207; P/N EB41-00320; pack size per pc")</f>
        <v>O-RING 345X5.30; Freeze Dryer MBE1207; P/N EB41-00320; pack size per pc</v>
      </c>
      <c r="C1258" s="14" t="str">
        <f>IFERROR(__xludf.DUMMYFUNCTION("""COMPUTED_VALUE"""),"O-54124-00")</f>
        <v>O-54124-00</v>
      </c>
    </row>
    <row r="1259">
      <c r="A1259" s="14" t="str">
        <f>IFERROR(__xludf.DUMMYFUNCTION("""COMPUTED_VALUE"""),"O-54127-00")</f>
        <v>O-54127-00</v>
      </c>
      <c r="B1259" s="14" t="str">
        <f>IFERROR(__xludf.DUMMYFUNCTION("""COMPUTED_VALUE"""),"Control Unit G120 CU240E-2 DP E-type safety, Sinamics; Siemens; ;")</f>
        <v>Control Unit G120 CU240E-2 DP E-type safety, Sinamics; Siemens; ;</v>
      </c>
      <c r="C1259" s="14" t="str">
        <f>IFERROR(__xludf.DUMMYFUNCTION("""COMPUTED_VALUE"""),"O-54127-00")</f>
        <v>O-54127-00</v>
      </c>
    </row>
    <row r="1260">
      <c r="A1260" s="14" t="str">
        <f>IFERROR(__xludf.DUMMYFUNCTION("""COMPUTED_VALUE"""),"O-54128-00")</f>
        <v>O-54128-00</v>
      </c>
      <c r="B1260" s="14" t="str">
        <f>IFERROR(__xludf.DUMMYFUNCTION("""COMPUTED_VALUE"""),"Thermocouple 4 Channel 4 HTI HT-9815; Lokal; ;")</f>
        <v>Thermocouple 4 Channel 4 HTI HT-9815; Lokal; ;</v>
      </c>
      <c r="C1260" s="14" t="str">
        <f>IFERROR(__xludf.DUMMYFUNCTION("""COMPUTED_VALUE"""),"O-54128-00")</f>
        <v>O-54128-00</v>
      </c>
    </row>
    <row r="1261">
      <c r="A1261" s="14" t="str">
        <f>IFERROR(__xludf.DUMMYFUNCTION("""COMPUTED_VALUE"""),"O-54129-00")</f>
        <v>O-54129-00</v>
      </c>
      <c r="B1261" s="14" t="str">
        <f>IFERROR(__xludf.DUMMYFUNCTION("""COMPUTED_VALUE"""),"Digital Vacuum Gauge VMV-1 0 - 75000 Microns; VALUE; ;")</f>
        <v>Digital Vacuum Gauge VMV-1 0 - 75000 Microns; VALUE; ;</v>
      </c>
      <c r="C1261" s="14" t="str">
        <f>IFERROR(__xludf.DUMMYFUNCTION("""COMPUTED_VALUE"""),"O-54129-00")</f>
        <v>O-54129-00</v>
      </c>
    </row>
    <row r="1262">
      <c r="A1262" s="14" t="str">
        <f>IFERROR(__xludf.DUMMYFUNCTION("""COMPUTED_VALUE"""),"O-54130-00")</f>
        <v>O-54130-00</v>
      </c>
      <c r="B1262" s="14" t="str">
        <f>IFERROR(__xludf.DUMMYFUNCTION("""COMPUTED_VALUE"""),"Circuit Breake For Motor Protection 3RV1011-1HA10 5.5 - 8 A; SIEMENS; ;")</f>
        <v>Circuit Breake For Motor Protection 3RV1011-1HA10 5.5 - 8 A; SIEMENS; ;</v>
      </c>
      <c r="C1262" s="14" t="str">
        <f>IFERROR(__xludf.DUMMYFUNCTION("""COMPUTED_VALUE"""),"O-54130-00")</f>
        <v>O-54130-00</v>
      </c>
    </row>
    <row r="1263">
      <c r="A1263" s="14" t="str">
        <f>IFERROR(__xludf.DUMMYFUNCTION("""COMPUTED_VALUE"""),"O-54137-00")</f>
        <v>O-54137-00</v>
      </c>
      <c r="B1263" s="14" t="str">
        <f>IFERROR(__xludf.DUMMYFUNCTION("""COMPUTED_VALUE"""),"General - Terminal Block, 6 mm; Fort; -; 1 pcs")</f>
        <v>General - Terminal Block, 6 mm; Fort; -; 1 pcs</v>
      </c>
      <c r="C1263" s="14" t="str">
        <f>IFERROR(__xludf.DUMMYFUNCTION("""COMPUTED_VALUE"""),"O-54137-00")</f>
        <v>O-54137-00</v>
      </c>
    </row>
    <row r="1264">
      <c r="A1264" s="14" t="str">
        <f>IFERROR(__xludf.DUMMYFUNCTION("""COMPUTED_VALUE"""),"O-54138-00")</f>
        <v>O-54138-00</v>
      </c>
      <c r="B1264" s="14" t="str">
        <f>IFERROR(__xludf.DUMMYFUNCTION("""COMPUTED_VALUE"""),"General - Terminal Block, 10 mm; Fort; -; 1 pcs")</f>
        <v>General - Terminal Block, 10 mm; Fort; -; 1 pcs</v>
      </c>
      <c r="C1264" s="14" t="str">
        <f>IFERROR(__xludf.DUMMYFUNCTION("""COMPUTED_VALUE"""),"O-54138-00")</f>
        <v>O-54138-00</v>
      </c>
    </row>
    <row r="1265">
      <c r="A1265" s="14" t="str">
        <f>IFERROR(__xludf.DUMMYFUNCTION("""COMPUTED_VALUE"""),"O-54139-00")</f>
        <v>O-54139-00</v>
      </c>
      <c r="B1265" s="14" t="str">
        <f>IFERROR(__xludf.DUMMYFUNCTION("""COMPUTED_VALUE"""),"Lampu PLC 4U 45W; Hannochs; ;")</f>
        <v>Lampu PLC 4U 45W; Hannochs; ;</v>
      </c>
      <c r="C1265" s="14" t="str">
        <f>IFERROR(__xludf.DUMMYFUNCTION("""COMPUTED_VALUE"""),"O-54139-00")</f>
        <v>O-54139-00</v>
      </c>
    </row>
    <row r="1266">
      <c r="A1266" s="14" t="str">
        <f>IFERROR(__xludf.DUMMYFUNCTION("""COMPUTED_VALUE"""),"O-54159-00")</f>
        <v>O-54159-00</v>
      </c>
      <c r="B1266" s="14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4" t="str">
        <f>IFERROR(__xludf.DUMMYFUNCTION("""COMPUTED_VALUE"""),"O-54159-00")</f>
        <v>O-54159-00</v>
      </c>
    </row>
    <row r="1267">
      <c r="A1267" s="14" t="str">
        <f>IFERROR(__xludf.DUMMYFUNCTION("""COMPUTED_VALUE"""),"O-54161-00")</f>
        <v>O-54161-00</v>
      </c>
      <c r="B1267" s="14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4" t="str">
        <f>IFERROR(__xludf.DUMMYFUNCTION("""COMPUTED_VALUE"""),"O-54161-00")</f>
        <v>O-54161-00</v>
      </c>
    </row>
    <row r="1268">
      <c r="A1268" s="14" t="str">
        <f>IFERROR(__xludf.DUMMYFUNCTION("""COMPUTED_VALUE"""),"O-54163-00")</f>
        <v>O-54163-00</v>
      </c>
      <c r="B1268" s="14" t="str">
        <f>IFERROR(__xludf.DUMMYFUNCTION("""COMPUTED_VALUE"""),"Capping VCM200 - Fieldline Modular Bus Coupler; Steriline; P/N 201798;")</f>
        <v>Capping VCM200 - Fieldline Modular Bus Coupler; Steriline; P/N 201798;</v>
      </c>
      <c r="C1268" s="14" t="str">
        <f>IFERROR(__xludf.DUMMYFUNCTION("""COMPUTED_VALUE"""),"O-54163-00")</f>
        <v>O-54163-00</v>
      </c>
    </row>
    <row r="1269">
      <c r="A1269" s="14" t="str">
        <f>IFERROR(__xludf.DUMMYFUNCTION("""COMPUTED_VALUE"""),"O-54164-00")</f>
        <v>O-54164-00</v>
      </c>
      <c r="B1269" s="14" t="str">
        <f>IFERROR(__xludf.DUMMYFUNCTION("""COMPUTED_VALUE"""),"Capping VCM200 - Fieldline Modular Device; Steriline; P/N 202024;")</f>
        <v>Capping VCM200 - Fieldline Modular Device; Steriline; P/N 202024;</v>
      </c>
      <c r="C1269" s="14" t="str">
        <f>IFERROR(__xludf.DUMMYFUNCTION("""COMPUTED_VALUE"""),"O-54164-00")</f>
        <v>O-54164-00</v>
      </c>
    </row>
    <row r="1270">
      <c r="A1270" s="14" t="str">
        <f>IFERROR(__xludf.DUMMYFUNCTION("""COMPUTED_VALUE"""),"O-54165-00")</f>
        <v>O-54165-00</v>
      </c>
      <c r="B1270" s="14" t="str">
        <f>IFERROR(__xludf.DUMMYFUNCTION("""COMPUTED_VALUE"""),"Electronic Expansion Valve ESS2U; Parker; ;")</f>
        <v>Electronic Expansion Valve ESS2U; Parker; ;</v>
      </c>
      <c r="C1270" s="14" t="str">
        <f>IFERROR(__xludf.DUMMYFUNCTION("""COMPUTED_VALUE"""),"O-54165-00")</f>
        <v>O-54165-00</v>
      </c>
    </row>
    <row r="1271">
      <c r="A1271" s="14" t="str">
        <f>IFERROR(__xludf.DUMMYFUNCTION("""COMPUTED_VALUE"""),"O-54166-00")</f>
        <v>O-54166-00</v>
      </c>
      <c r="B1271" s="14" t="str">
        <f>IFERROR(__xludf.DUMMYFUNCTION("""COMPUTED_VALUE"""),"Coil Magnet 018F0091; Danfoss; ;")</f>
        <v>Coil Magnet 018F0091; Danfoss; ;</v>
      </c>
      <c r="C1271" s="14" t="str">
        <f>IFERROR(__xludf.DUMMYFUNCTION("""COMPUTED_VALUE"""),"O-54166-00")</f>
        <v>O-54166-00</v>
      </c>
    </row>
    <row r="1272">
      <c r="A1272" s="14" t="str">
        <f>IFERROR(__xludf.DUMMYFUNCTION("""COMPUTED_VALUE"""),"O-54167-00")</f>
        <v>O-54167-00</v>
      </c>
      <c r="B1272" s="14" t="str">
        <f>IFERROR(__xludf.DUMMYFUNCTION("""COMPUTED_VALUE"""),"Connector Cable CLD408-5; Autonics; H7950000609;")</f>
        <v>Connector Cable CLD408-5; Autonics; H7950000609;</v>
      </c>
      <c r="C1272" s="14" t="str">
        <f>IFERROR(__xludf.DUMMYFUNCTION("""COMPUTED_VALUE"""),"O-54167-00")</f>
        <v>O-54167-00</v>
      </c>
    </row>
    <row r="1273">
      <c r="A1273" s="14" t="str">
        <f>IFERROR(__xludf.DUMMYFUNCTION("""COMPUTED_VALUE"""),"O-54168-00")</f>
        <v>O-54168-00</v>
      </c>
      <c r="B1273" s="14" t="str">
        <f>IFERROR(__xludf.DUMMYFUNCTION("""COMPUTED_VALUE"""),"Connector Cable CID408-5; Autonics; H7950000607;")</f>
        <v>Connector Cable CID408-5; Autonics; H7950000607;</v>
      </c>
      <c r="C1273" s="14" t="str">
        <f>IFERROR(__xludf.DUMMYFUNCTION("""COMPUTED_VALUE"""),"O-54168-00")</f>
        <v>O-54168-00</v>
      </c>
    </row>
    <row r="1274">
      <c r="A1274" s="14" t="str">
        <f>IFERROR(__xludf.DUMMYFUNCTION("""COMPUTED_VALUE"""),"O-54169-00")</f>
        <v>O-54169-00</v>
      </c>
      <c r="B1274" s="14" t="str">
        <f>IFERROR(__xludf.DUMMYFUNCTION("""COMPUTED_VALUE"""),"Control Unit G120 CU250S-2 DP Integriert Sinamics; Siemens; ;")</f>
        <v>Control Unit G120 CU250S-2 DP Integriert Sinamics; Siemens; ;</v>
      </c>
      <c r="C1274" s="14" t="str">
        <f>IFERROR(__xludf.DUMMYFUNCTION("""COMPUTED_VALUE"""),"O-54169-00")</f>
        <v>O-54169-00</v>
      </c>
    </row>
    <row r="1275">
      <c r="A1275" s="14" t="str">
        <f>IFERROR(__xludf.DUMMYFUNCTION("""COMPUTED_VALUE"""),"O-54170-00")</f>
        <v>O-54170-00</v>
      </c>
      <c r="B1275" s="14" t="str">
        <f>IFERROR(__xludf.DUMMYFUNCTION("""COMPUTED_VALUE"""),"Electronic Expansion Valve ESX24B; Parker; ;")</f>
        <v>Electronic Expansion Valve ESX24B; Parker; ;</v>
      </c>
      <c r="C1275" s="14" t="str">
        <f>IFERROR(__xludf.DUMMYFUNCTION("""COMPUTED_VALUE"""),"O-54170-00")</f>
        <v>O-54170-00</v>
      </c>
    </row>
    <row r="1276">
      <c r="A1276" s="14" t="str">
        <f>IFERROR(__xludf.DUMMYFUNCTION("""COMPUTED_VALUE"""),"O-54171-00")</f>
        <v>O-54171-00</v>
      </c>
      <c r="B1276" s="14" t="str">
        <f>IFERROR(__xludf.DUMMYFUNCTION("""COMPUTED_VALUE"""),"Service Push Button With Plug; Melchers; ENG-SEI-42-057679-00;")</f>
        <v>Service Push Button With Plug; Melchers; ENG-SEI-42-057679-00;</v>
      </c>
      <c r="C1276" s="14" t="str">
        <f>IFERROR(__xludf.DUMMYFUNCTION("""COMPUTED_VALUE"""),"O-54171-00")</f>
        <v>O-54171-00</v>
      </c>
    </row>
    <row r="1277">
      <c r="A1277" s="14" t="str">
        <f>IFERROR(__xludf.DUMMYFUNCTION("""COMPUTED_VALUE"""),"O-54173-00")</f>
        <v>O-54173-00</v>
      </c>
      <c r="B1277" s="14" t="str">
        <f>IFERROR(__xludf.DUMMYFUNCTION("""COMPUTED_VALUE"""),"Fan Condensor M4Q045-EA01-C01; Ebm-papst; ;")</f>
        <v>Fan Condensor M4Q045-EA01-C01; Ebm-papst; ;</v>
      </c>
      <c r="C1277" s="14" t="str">
        <f>IFERROR(__xludf.DUMMYFUNCTION("""COMPUTED_VALUE"""),"O-54173-00")</f>
        <v>O-54173-00</v>
      </c>
    </row>
    <row r="1278">
      <c r="A1278" s="14" t="str">
        <f>IFERROR(__xludf.DUMMYFUNCTION("""COMPUTED_VALUE"""),"O-54174-00")</f>
        <v>O-54174-00</v>
      </c>
      <c r="B1278" s="14" t="str">
        <f>IFERROR(__xludf.DUMMYFUNCTION("""COMPUTED_VALUE"""),"cRABS z064CR - Control Unit for Security Phot; Steriline; P/N 5914;")</f>
        <v>cRABS z064CR - Control Unit for Security Phot; Steriline; P/N 5914;</v>
      </c>
      <c r="C1278" s="14" t="str">
        <f>IFERROR(__xludf.DUMMYFUNCTION("""COMPUTED_VALUE"""),"O-54174-00")</f>
        <v>O-54174-00</v>
      </c>
    </row>
    <row r="1279">
      <c r="A1279" s="14" t="str">
        <f>IFERROR(__xludf.DUMMYFUNCTION("""COMPUTED_VALUE"""),"O-54176-00")</f>
        <v>O-54176-00</v>
      </c>
      <c r="B1279" s="14" t="str">
        <f>IFERROR(__xludf.DUMMYFUNCTION("""COMPUTED_VALUE"""),"Washing RAR4 - Encoder Model RD1A-P8-TI2-PB-E2-M; Lika; 125101266;")</f>
        <v>Washing RAR4 - Encoder Model RD1A-P8-TI2-PB-E2-M; Lika; 125101266;</v>
      </c>
      <c r="C1279" s="14" t="str">
        <f>IFERROR(__xludf.DUMMYFUNCTION("""COMPUTED_VALUE"""),"O-54176-00")</f>
        <v>O-54176-00</v>
      </c>
    </row>
    <row r="1280">
      <c r="A1280" s="14" t="str">
        <f>IFERROR(__xludf.DUMMYFUNCTION("""COMPUTED_VALUE"""),"O-54181-00")</f>
        <v>O-54181-00</v>
      </c>
      <c r="B1280" s="14" t="str">
        <f>IFERROR(__xludf.DUMMYFUNCTION("""COMPUTED_VALUE"""),"Resistor 150 Ohm 1/2 watt; No Brand; ;")</f>
        <v>Resistor 150 Ohm 1/2 watt; No Brand; ;</v>
      </c>
      <c r="C1280" s="14" t="str">
        <f>IFERROR(__xludf.DUMMYFUNCTION("""COMPUTED_VALUE"""),"O-54181-00")</f>
        <v>O-54181-00</v>
      </c>
    </row>
    <row r="1281">
      <c r="A1281" s="14" t="str">
        <f>IFERROR(__xludf.DUMMYFUNCTION("""COMPUTED_VALUE"""),"O-60001-00")</f>
        <v>O-60001-00</v>
      </c>
      <c r="B1281" s="14" t="str">
        <f>IFERROR(__xludf.DUMMYFUNCTION("""COMPUTED_VALUE"""),"Pekerjaan Modifikasi Pipa untuk Mesin Mixing (Pipa PW)")</f>
        <v>Pekerjaan Modifikasi Pipa untuk Mesin Mixing (Pipa PW)</v>
      </c>
      <c r="C1281" s="14" t="str">
        <f>IFERROR(__xludf.DUMMYFUNCTION("""COMPUTED_VALUE"""),"O-60001-00")</f>
        <v>O-60001-00</v>
      </c>
    </row>
    <row r="1282">
      <c r="A1282" s="14" t="str">
        <f>IFERROR(__xludf.DUMMYFUNCTION("""COMPUTED_VALUE"""),"P-10000-00")</f>
        <v>P-10000-00</v>
      </c>
      <c r="B1282" s="14" t="str">
        <f>IFERROR(__xludf.DUMMYFUNCTION("""COMPUTED_VALUE"""),"POMPA SUBMERSIBLE SB 3")</f>
        <v>POMPA SUBMERSIBLE SB 3</v>
      </c>
      <c r="C1282" s="14" t="str">
        <f>IFERROR(__xludf.DUMMYFUNCTION("""COMPUTED_VALUE"""),"P-10000-00")</f>
        <v>P-10000-00</v>
      </c>
    </row>
    <row r="1283">
      <c r="A1283" s="14" t="str">
        <f>IFERROR(__xludf.DUMMYFUNCTION("""COMPUTED_VALUE"""),"P-10017-00")</f>
        <v>P-10017-00</v>
      </c>
      <c r="B1283" s="14" t="str">
        <f>IFERROR(__xludf.DUMMYFUNCTION("""COMPUTED_VALUE"""),"Pre Filter G4 size : 24X24X2, Washable Aluminium Frame; IAF;")</f>
        <v>Pre Filter G4 size : 24X24X2, Washable Aluminium Frame; IAF;</v>
      </c>
      <c r="C1283" s="14" t="str">
        <f>IFERROR(__xludf.DUMMYFUNCTION("""COMPUTED_VALUE"""),"P-10017-00")</f>
        <v>P-10017-00</v>
      </c>
    </row>
    <row r="1284">
      <c r="A1284" s="14" t="str">
        <f>IFERROR(__xludf.DUMMYFUNCTION("""COMPUTED_VALUE"""),"P-10019-00")</f>
        <v>P-10019-00</v>
      </c>
      <c r="B1284" s="14" t="str">
        <f>IFERROR(__xludf.DUMMYFUNCTION("""COMPUTED_VALUE"""),"Pre Filter G4 size : 12X24X2")</f>
        <v>Pre Filter G4 size : 12X24X2</v>
      </c>
      <c r="C1284" s="14" t="str">
        <f>IFERROR(__xludf.DUMMYFUNCTION("""COMPUTED_VALUE"""),"P-10019-00")</f>
        <v>P-10019-00</v>
      </c>
    </row>
    <row r="1285">
      <c r="A1285" s="14" t="str">
        <f>IFERROR(__xludf.DUMMYFUNCTION("""COMPUTED_VALUE"""),"P-10183-00")</f>
        <v>P-10183-00</v>
      </c>
      <c r="B1285" s="14" t="str">
        <f>IFERROR(__xludf.DUMMYFUNCTION("""COMPUTED_VALUE"""),"General - Drain Sewerage Opener GL-10; No Brand; -; 1 pc")</f>
        <v>General - Drain Sewerage Opener GL-10; No Brand; -; 1 pc</v>
      </c>
      <c r="C1285" s="14" t="str">
        <f>IFERROR(__xludf.DUMMYFUNCTION("""COMPUTED_VALUE"""),"P-10183-00")</f>
        <v>P-10183-00</v>
      </c>
    </row>
    <row r="1286">
      <c r="A1286" s="14" t="str">
        <f>IFERROR(__xludf.DUMMYFUNCTION("""COMPUTED_VALUE"""),"P-10266-00")</f>
        <v>P-10266-00</v>
      </c>
      <c r="B1286" s="14" t="str">
        <f>IFERROR(__xludf.DUMMYFUNCTION("""COMPUTED_VALUE"""),"Valve Bellows sealed globe valve BSA 1/BSA 1T PN 16 size 80mm")</f>
        <v>Valve Bellows sealed globe valve BSA 1/BSA 1T PN 16 size 80mm</v>
      </c>
      <c r="C1286" s="14" t="str">
        <f>IFERROR(__xludf.DUMMYFUNCTION("""COMPUTED_VALUE"""),"P-10266-00")</f>
        <v>P-10266-00</v>
      </c>
    </row>
    <row r="1287">
      <c r="A1287" s="14" t="str">
        <f>IFERROR(__xludf.DUMMYFUNCTION("""COMPUTED_VALUE"""),"P-10283-00")</f>
        <v>P-10283-00</v>
      </c>
      <c r="B1287" s="14" t="str">
        <f>IFERROR(__xludf.DUMMYFUNCTION("""COMPUTED_VALUE"""),"Abrasive - Amplas SS Scoth Brite 3M")</f>
        <v>Abrasive - Amplas SS Scoth Brite 3M</v>
      </c>
      <c r="C1287" s="14" t="str">
        <f>IFERROR(__xludf.DUMMYFUNCTION("""COMPUTED_VALUE"""),"P-10283-00")</f>
        <v>P-10283-00</v>
      </c>
    </row>
    <row r="1288">
      <c r="A1288" s="14" t="str">
        <f>IFERROR(__xludf.DUMMYFUNCTION("""COMPUTED_VALUE"""),"P-10342-00")</f>
        <v>P-10342-00</v>
      </c>
      <c r="B1288" s="14" t="str">
        <f>IFERROR(__xludf.DUMMYFUNCTION("""COMPUTED_VALUE"""),"Alat potong - mata gergaji")</f>
        <v>Alat potong - mata gergaji</v>
      </c>
      <c r="C1288" s="14" t="str">
        <f>IFERROR(__xludf.DUMMYFUNCTION("""COMPUTED_VALUE"""),"P-10342-00")</f>
        <v>P-10342-00</v>
      </c>
    </row>
    <row r="1289">
      <c r="A1289" s="14" t="str">
        <f>IFERROR(__xludf.DUMMYFUNCTION("""COMPUTED_VALUE"""),"P-10387-00")</f>
        <v>P-10387-00</v>
      </c>
      <c r="B1289" s="14" t="str">
        <f>IFERROR(__xludf.DUMMYFUNCTION("""COMPUTED_VALUE"""),"Ball Valve Kuningan 3/4"" KITZ")</f>
        <v>Ball Valve Kuningan 3/4" KITZ</v>
      </c>
      <c r="C1289" s="14" t="str">
        <f>IFERROR(__xludf.DUMMYFUNCTION("""COMPUTED_VALUE"""),"P-10387-00")</f>
        <v>P-10387-00</v>
      </c>
    </row>
    <row r="1290">
      <c r="A1290" s="14" t="str">
        <f>IFERROR(__xludf.DUMMYFUNCTION("""COMPUTED_VALUE"""),"P-10389-00")</f>
        <v>P-10389-00</v>
      </c>
      <c r="B1290" s="14" t="str">
        <f>IFERROR(__xludf.DUMMYFUNCTION("""COMPUTED_VALUE"""),"General - Ball Valve PVC 1 1/2inch; No Brand; -; 1 pcs")</f>
        <v>General - Ball Valve PVC 1 1/2inch; No Brand; -; 1 pcs</v>
      </c>
      <c r="C1290" s="14" t="str">
        <f>IFERROR(__xludf.DUMMYFUNCTION("""COMPUTED_VALUE"""),"P-10389-00")</f>
        <v>P-10389-00</v>
      </c>
    </row>
    <row r="1291">
      <c r="A1291" s="14" t="str">
        <f>IFERROR(__xludf.DUMMYFUNCTION("""COMPUTED_VALUE"""),"P-10390-00")</f>
        <v>P-10390-00</v>
      </c>
      <c r="B1291" s="14" t="str">
        <f>IFERROR(__xludf.DUMMYFUNCTION("""COMPUTED_VALUE"""),"Ball Valve PVC 1""")</f>
        <v>Ball Valve PVC 1"</v>
      </c>
      <c r="C1291" s="14" t="str">
        <f>IFERROR(__xludf.DUMMYFUNCTION("""COMPUTED_VALUE"""),"P-10390-00")</f>
        <v>P-10390-00</v>
      </c>
    </row>
    <row r="1292">
      <c r="A1292" s="14" t="str">
        <f>IFERROR(__xludf.DUMMYFUNCTION("""COMPUTED_VALUE"""),"P-10391-00")</f>
        <v>P-10391-00</v>
      </c>
      <c r="B1292" s="14" t="str">
        <f>IFERROR(__xludf.DUMMYFUNCTION("""COMPUTED_VALUE"""),"Ball Valve PVC 2""")</f>
        <v>Ball Valve PVC 2"</v>
      </c>
      <c r="C1292" s="14" t="str">
        <f>IFERROR(__xludf.DUMMYFUNCTION("""COMPUTED_VALUE"""),"P-10391-00")</f>
        <v>P-10391-00</v>
      </c>
    </row>
    <row r="1293">
      <c r="A1293" s="14" t="str">
        <f>IFERROR(__xludf.DUMMYFUNCTION("""COMPUTED_VALUE"""),"P-10392-00")</f>
        <v>P-10392-00</v>
      </c>
      <c r="B1293" s="14" t="str">
        <f>IFERROR(__xludf.DUMMYFUNCTION("""COMPUTED_VALUE"""),"Ball Valve SS 1"" / 1000 WOG Sankyo")</f>
        <v>Ball Valve SS 1" / 1000 WOG Sankyo</v>
      </c>
      <c r="C1293" s="14" t="str">
        <f>IFERROR(__xludf.DUMMYFUNCTION("""COMPUTED_VALUE"""),"P-10392-00")</f>
        <v>P-10392-00</v>
      </c>
    </row>
    <row r="1294">
      <c r="A1294" s="14" t="str">
        <f>IFERROR(__xludf.DUMMYFUNCTION("""COMPUTED_VALUE"""),"P-10393-00")</f>
        <v>P-10393-00</v>
      </c>
      <c r="B1294" s="14" t="str">
        <f>IFERROR(__xludf.DUMMYFUNCTION("""COMPUTED_VALUE"""),"Ball Valve SS 1/2""")</f>
        <v>Ball Valve SS 1/2"</v>
      </c>
      <c r="C1294" s="14" t="str">
        <f>IFERROR(__xludf.DUMMYFUNCTION("""COMPUTED_VALUE"""),"P-10393-00")</f>
        <v>P-10393-00</v>
      </c>
    </row>
    <row r="1295">
      <c r="A1295" s="14" t="str">
        <f>IFERROR(__xludf.DUMMYFUNCTION("""COMPUTED_VALUE"""),"P-10398-00")</f>
        <v>P-10398-00</v>
      </c>
      <c r="B1295" s="14" t="str">
        <f>IFERROR(__xludf.DUMMYFUNCTION("""COMPUTED_VALUE"""),"Ball Valve SS 316 1/2"" 1000 WOG SANKYO")</f>
        <v>Ball Valve SS 316 1/2" 1000 WOG SANKYO</v>
      </c>
      <c r="C1295" s="14" t="str">
        <f>IFERROR(__xludf.DUMMYFUNCTION("""COMPUTED_VALUE"""),"P-10398-00")</f>
        <v>P-10398-00</v>
      </c>
    </row>
    <row r="1296">
      <c r="A1296" s="14" t="str">
        <f>IFERROR(__xludf.DUMMYFUNCTION("""COMPUTED_VALUE"""),"P-10488-00")</f>
        <v>P-10488-00</v>
      </c>
      <c r="B1296" s="14" t="str">
        <f>IFERROR(__xludf.DUMMYFUNCTION("""COMPUTED_VALUE"""),"Baut SS M 6")</f>
        <v>Baut SS M 6</v>
      </c>
      <c r="C1296" s="14" t="str">
        <f>IFERROR(__xludf.DUMMYFUNCTION("""COMPUTED_VALUE"""),"P-10488-00")</f>
        <v>P-10488-00</v>
      </c>
    </row>
    <row r="1297">
      <c r="A1297" s="14" t="str">
        <f>IFERROR(__xludf.DUMMYFUNCTION("""COMPUTED_VALUE"""),"P-10489-00")</f>
        <v>P-10489-00</v>
      </c>
      <c r="B1297" s="14" t="str">
        <f>IFERROR(__xludf.DUMMYFUNCTION("""COMPUTED_VALUE"""),"Baut SS M 8")</f>
        <v>Baut SS M 8</v>
      </c>
      <c r="C1297" s="14" t="str">
        <f>IFERROR(__xludf.DUMMYFUNCTION("""COMPUTED_VALUE"""),"P-10489-00")</f>
        <v>P-10489-00</v>
      </c>
    </row>
    <row r="1298">
      <c r="A1298" s="14" t="str">
        <f>IFERROR(__xludf.DUMMYFUNCTION("""COMPUTED_VALUE"""),"P-10558-00")</f>
        <v>P-10558-00</v>
      </c>
      <c r="B1298" s="14" t="str">
        <f>IFERROR(__xludf.DUMMYFUNCTION("""COMPUTED_VALUE"""),"General - Bearing 51113; SKF; 1 Pc")</f>
        <v>General - Bearing 51113; SKF; 1 Pc</v>
      </c>
      <c r="C1298" s="14" t="str">
        <f>IFERROR(__xludf.DUMMYFUNCTION("""COMPUTED_VALUE"""),"P-10558-00")</f>
        <v>P-10558-00</v>
      </c>
    </row>
    <row r="1299">
      <c r="A1299" s="14" t="str">
        <f>IFERROR(__xludf.DUMMYFUNCTION("""COMPUTED_VALUE"""),"P-10564-00")</f>
        <v>P-10564-00</v>
      </c>
      <c r="B1299" s="14" t="str">
        <f>IFERROR(__xludf.DUMMYFUNCTION("""COMPUTED_VALUE"""),"Bearing 6000 2RS H SKF")</f>
        <v>Bearing 6000 2RS H SKF</v>
      </c>
      <c r="C1299" s="14" t="str">
        <f>IFERROR(__xludf.DUMMYFUNCTION("""COMPUTED_VALUE"""),"P-10564-00")</f>
        <v>P-10564-00</v>
      </c>
    </row>
    <row r="1300">
      <c r="A1300" s="14" t="str">
        <f>IFERROR(__xludf.DUMMYFUNCTION("""COMPUTED_VALUE"""),"P-10598-00")</f>
        <v>P-10598-00</v>
      </c>
      <c r="B1300" s="14" t="str">
        <f>IFERROR(__xludf.DUMMYFUNCTION("""COMPUTED_VALUE"""),"Bearing 61805 2RS1 SKF")</f>
        <v>Bearing 61805 2RS1 SKF</v>
      </c>
      <c r="C1300" s="14" t="str">
        <f>IFERROR(__xludf.DUMMYFUNCTION("""COMPUTED_VALUE"""),"P-10598-00")</f>
        <v>P-10598-00</v>
      </c>
    </row>
    <row r="1301">
      <c r="A1301" s="14" t="str">
        <f>IFERROR(__xludf.DUMMYFUNCTION("""COMPUTED_VALUE"""),"P-10604-00")</f>
        <v>P-10604-00</v>
      </c>
      <c r="B1301" s="14" t="str">
        <f>IFERROR(__xludf.DUMMYFUNCTION("""COMPUTED_VALUE"""),"Bearing 6203 2Z SKF")</f>
        <v>Bearing 6203 2Z SKF</v>
      </c>
      <c r="C1301" s="14" t="str">
        <f>IFERROR(__xludf.DUMMYFUNCTION("""COMPUTED_VALUE"""),"P-10604-00")</f>
        <v>P-10604-00</v>
      </c>
    </row>
    <row r="1302">
      <c r="A1302" s="14" t="str">
        <f>IFERROR(__xludf.DUMMYFUNCTION("""COMPUTED_VALUE"""),"P-10726-00")</f>
        <v>P-10726-00</v>
      </c>
      <c r="B1302" s="14" t="str">
        <f>IFERROR(__xludf.DUMMYFUNCTION("""COMPUTED_VALUE"""),"Cleaner - Contact Cleaner CRC CO 2016; No Brand; -; 500ml/Botol")</f>
        <v>Cleaner - Contact Cleaner CRC CO 2016; No Brand; -; 500ml/Botol</v>
      </c>
      <c r="C1302" s="14" t="str">
        <f>IFERROR(__xludf.DUMMYFUNCTION("""COMPUTED_VALUE"""),"P-10726-00")</f>
        <v>P-10726-00</v>
      </c>
    </row>
    <row r="1303">
      <c r="A1303" s="14" t="str">
        <f>IFERROR(__xludf.DUMMYFUNCTION("""COMPUTED_VALUE"""),"P-10729-00")</f>
        <v>P-10729-00</v>
      </c>
      <c r="B1303" s="14" t="str">
        <f>IFERROR(__xludf.DUMMYFUNCTION("""COMPUTED_VALUE"""),"General - Contact cleaner WD 40; No Brand; -; 382gr/can")</f>
        <v>General - Contact cleaner WD 40; No Brand; -; 382gr/can</v>
      </c>
      <c r="C1303" s="14" t="str">
        <f>IFERROR(__xludf.DUMMYFUNCTION("""COMPUTED_VALUE"""),"P-10729-00")</f>
        <v>P-10729-00</v>
      </c>
    </row>
    <row r="1304">
      <c r="A1304" s="14" t="str">
        <f>IFERROR(__xludf.DUMMYFUNCTION("""COMPUTED_VALUE"""),"P-10750-00")</f>
        <v>P-10750-00</v>
      </c>
      <c r="B1304" s="14" t="str">
        <f>IFERROR(__xludf.DUMMYFUNCTION("""COMPUTED_VALUE"""),"General - Blind Ferrule SS 316L 1/2inch; No Brand; -; 1 pcs")</f>
        <v>General - Blind Ferrule SS 316L 1/2inch; No Brand; -; 1 pcs</v>
      </c>
      <c r="C1304" s="14" t="str">
        <f>IFERROR(__xludf.DUMMYFUNCTION("""COMPUTED_VALUE"""),"P-10750-00")</f>
        <v>P-10750-00</v>
      </c>
    </row>
    <row r="1305">
      <c r="A1305" s="14" t="str">
        <f>IFERROR(__xludf.DUMMYFUNCTION("""COMPUTED_VALUE"""),"P-10759-00")</f>
        <v>P-10759-00</v>
      </c>
      <c r="B1305" s="14" t="str">
        <f>IFERROR(__xludf.DUMMYFUNCTION("""COMPUTED_VALUE"""),"Ferrule - Klem Ferrule 4inch SS 316L")</f>
        <v>Ferrule - Klem Ferrule 4inch SS 316L</v>
      </c>
      <c r="C1305" s="14" t="str">
        <f>IFERROR(__xludf.DUMMYFUNCTION("""COMPUTED_VALUE"""),"P-10759-00")</f>
        <v>P-10759-00</v>
      </c>
    </row>
    <row r="1306">
      <c r="A1306" s="14" t="str">
        <f>IFERROR(__xludf.DUMMYFUNCTION("""COMPUTED_VALUE"""),"P-10763-00")</f>
        <v>P-10763-00</v>
      </c>
      <c r="B1306" s="14" t="str">
        <f>IFERROR(__xludf.DUMMYFUNCTION("""COMPUTED_VALUE"""),"General - Ferrule SS 316L 1inch; No Brand; -; 1 pcs")</f>
        <v>General - Ferrule SS 316L 1inch; No Brand; -; 1 pcs</v>
      </c>
      <c r="C1306" s="14" t="str">
        <f>IFERROR(__xludf.DUMMYFUNCTION("""COMPUTED_VALUE"""),"P-10763-00")</f>
        <v>P-10763-00</v>
      </c>
    </row>
    <row r="1307">
      <c r="A1307" s="14" t="str">
        <f>IFERROR(__xludf.DUMMYFUNCTION("""COMPUTED_VALUE"""),"P-10857-00")</f>
        <v>P-10857-00</v>
      </c>
      <c r="B1307" s="14" t="str">
        <f>IFERROR(__xludf.DUMMYFUNCTION("""COMPUTED_VALUE"""),"General - Elbow PVC 90 AW 1 1/2inch; Rucika; -; 1 Pc")</f>
        <v>General - Elbow PVC 90 AW 1 1/2inch; Rucika; -; 1 Pc</v>
      </c>
      <c r="C1307" s="14" t="str">
        <f>IFERROR(__xludf.DUMMYFUNCTION("""COMPUTED_VALUE"""),"P-10857-00")</f>
        <v>P-10857-00</v>
      </c>
    </row>
    <row r="1308">
      <c r="A1308" s="14" t="str">
        <f>IFERROR(__xludf.DUMMYFUNCTION("""COMPUTED_VALUE"""),"P-10858-00")</f>
        <v>P-10858-00</v>
      </c>
      <c r="B1308" s="14" t="str">
        <f>IFERROR(__xludf.DUMMYFUNCTION("""COMPUTED_VALUE"""),"Fitting PVC - Elbow PVC 1 1/4""")</f>
        <v>Fitting PVC - Elbow PVC 1 1/4"</v>
      </c>
      <c r="C1308" s="14" t="str">
        <f>IFERROR(__xludf.DUMMYFUNCTION("""COMPUTED_VALUE"""),"P-10858-00")</f>
        <v>P-10858-00</v>
      </c>
    </row>
    <row r="1309">
      <c r="A1309" s="14" t="str">
        <f>IFERROR(__xludf.DUMMYFUNCTION("""COMPUTED_VALUE"""),"P-10859-00")</f>
        <v>P-10859-00</v>
      </c>
      <c r="B1309" s="14" t="str">
        <f>IFERROR(__xludf.DUMMYFUNCTION("""COMPUTED_VALUE"""),"General - Elbow PVC 90 AW 1/2inch; Rucika; -; 1 Pc")</f>
        <v>General - Elbow PVC 90 AW 1/2inch; Rucika; -; 1 Pc</v>
      </c>
      <c r="C1309" s="14" t="str">
        <f>IFERROR(__xludf.DUMMYFUNCTION("""COMPUTED_VALUE"""),"P-10859-00")</f>
        <v>P-10859-00</v>
      </c>
    </row>
    <row r="1310">
      <c r="A1310" s="14" t="str">
        <f>IFERROR(__xludf.DUMMYFUNCTION("""COMPUTED_VALUE"""),"P-10860-00")</f>
        <v>P-10860-00</v>
      </c>
      <c r="B1310" s="14" t="str">
        <f>IFERROR(__xludf.DUMMYFUNCTION("""COMPUTED_VALUE"""),"Fitting PVC - Elbow PVC 1""")</f>
        <v>Fitting PVC - Elbow PVC 1"</v>
      </c>
      <c r="C1310" s="14" t="str">
        <f>IFERROR(__xludf.DUMMYFUNCTION("""COMPUTED_VALUE"""),"P-10860-00")</f>
        <v>P-10860-00</v>
      </c>
    </row>
    <row r="1311">
      <c r="A1311" s="14" t="str">
        <f>IFERROR(__xludf.DUMMYFUNCTION("""COMPUTED_VALUE"""),"P-10862-00")</f>
        <v>P-10862-00</v>
      </c>
      <c r="B1311" s="14" t="str">
        <f>IFERROR(__xludf.DUMMYFUNCTION("""COMPUTED_VALUE"""),"Fitting PVC - Elbow PVC 2 1/2""")</f>
        <v>Fitting PVC - Elbow PVC 2 1/2"</v>
      </c>
      <c r="C1311" s="14" t="str">
        <f>IFERROR(__xludf.DUMMYFUNCTION("""COMPUTED_VALUE"""),"P-10862-00")</f>
        <v>P-10862-00</v>
      </c>
    </row>
    <row r="1312">
      <c r="A1312" s="14" t="str">
        <f>IFERROR(__xludf.DUMMYFUNCTION("""COMPUTED_VALUE"""),"P-10863-00")</f>
        <v>P-10863-00</v>
      </c>
      <c r="B1312" s="14" t="str">
        <f>IFERROR(__xludf.DUMMYFUNCTION("""COMPUTED_VALUE"""),"Fitting PVC - Elbow PVC 2""")</f>
        <v>Fitting PVC - Elbow PVC 2"</v>
      </c>
      <c r="C1312" s="14" t="str">
        <f>IFERROR(__xludf.DUMMYFUNCTION("""COMPUTED_VALUE"""),"P-10863-00")</f>
        <v>P-10863-00</v>
      </c>
    </row>
    <row r="1313">
      <c r="A1313" s="14" t="str">
        <f>IFERROR(__xludf.DUMMYFUNCTION("""COMPUTED_VALUE"""),"P-10865-00")</f>
        <v>P-10865-00</v>
      </c>
      <c r="B1313" s="14" t="str">
        <f>IFERROR(__xludf.DUMMYFUNCTION("""COMPUTED_VALUE"""),"Fitting PVC - Elbow PVC 3/4""")</f>
        <v>Fitting PVC - Elbow PVC 3/4"</v>
      </c>
      <c r="C1313" s="14" t="str">
        <f>IFERROR(__xludf.DUMMYFUNCTION("""COMPUTED_VALUE"""),"P-10865-00")</f>
        <v>P-10865-00</v>
      </c>
    </row>
    <row r="1314">
      <c r="A1314" s="14" t="str">
        <f>IFERROR(__xludf.DUMMYFUNCTION("""COMPUTED_VALUE"""),"P-10867-00")</f>
        <v>P-10867-00</v>
      </c>
      <c r="B1314" s="14" t="str">
        <f>IFERROR(__xludf.DUMMYFUNCTION("""COMPUTED_VALUE"""),"General - Elbow PVC 3 inch; Rucika; -; 1 pc")</f>
        <v>General - Elbow PVC 3 inch; Rucika; -; 1 pc</v>
      </c>
      <c r="C1314" s="14" t="str">
        <f>IFERROR(__xludf.DUMMYFUNCTION("""COMPUTED_VALUE"""),"P-10867-00")</f>
        <v>P-10867-00</v>
      </c>
    </row>
    <row r="1315">
      <c r="A1315" s="14" t="str">
        <f>IFERROR(__xludf.DUMMYFUNCTION("""COMPUTED_VALUE"""),"P-10868-00")</f>
        <v>P-10868-00</v>
      </c>
      <c r="B1315" s="14" t="str">
        <f>IFERROR(__xludf.DUMMYFUNCTION("""COMPUTED_VALUE"""),"General - Elbow PVC AW 4inch; Rucika; -; 1 Pc")</f>
        <v>General - Elbow PVC AW 4inch; Rucika; -; 1 Pc</v>
      </c>
      <c r="C1315" s="14" t="str">
        <f>IFERROR(__xludf.DUMMYFUNCTION("""COMPUTED_VALUE"""),"P-10868-00")</f>
        <v>P-10868-00</v>
      </c>
    </row>
    <row r="1316">
      <c r="A1316" s="14" t="str">
        <f>IFERROR(__xludf.DUMMYFUNCTION("""COMPUTED_VALUE"""),"P-10874-00")</f>
        <v>P-10874-00</v>
      </c>
      <c r="B1316" s="14" t="str">
        <f>IFERROR(__xludf.DUMMYFUNCTION("""COMPUTED_VALUE"""),"General - Reducer, PVC, 1"" x 1/2""; Rucika; -; 1 pcs")</f>
        <v>General - Reducer, PVC, 1" x 1/2"; Rucika; -; 1 pcs</v>
      </c>
      <c r="C1316" s="14" t="str">
        <f>IFERROR(__xludf.DUMMYFUNCTION("""COMPUTED_VALUE"""),"P-10874-00")</f>
        <v>P-10874-00</v>
      </c>
    </row>
    <row r="1317">
      <c r="A1317" s="14" t="str">
        <f>IFERROR(__xludf.DUMMYFUNCTION("""COMPUTED_VALUE"""),"P-10877-00")</f>
        <v>P-10877-00</v>
      </c>
      <c r="B1317" s="14" t="str">
        <f>IFERROR(__xludf.DUMMYFUNCTION("""COMPUTED_VALUE"""),"General - Reducer, PVC, 2"" x 1""; Rucika; -; 1 pcs")</f>
        <v>General - Reducer, PVC, 2" x 1"; Rucika; -; 1 pcs</v>
      </c>
      <c r="C1317" s="14" t="str">
        <f>IFERROR(__xludf.DUMMYFUNCTION("""COMPUTED_VALUE"""),"P-10877-00")</f>
        <v>P-10877-00</v>
      </c>
    </row>
    <row r="1318">
      <c r="A1318" s="14" t="str">
        <f>IFERROR(__xludf.DUMMYFUNCTION("""COMPUTED_VALUE"""),"P-10883-00")</f>
        <v>P-10883-00</v>
      </c>
      <c r="B1318" s="14" t="str">
        <f>IFERROR(__xludf.DUMMYFUNCTION("""COMPUTED_VALUE"""),"General - Socket Drat Dalam, PVC, 1 1/2""; Rucika; -; 1 pcs")</f>
        <v>General - Socket Drat Dalam, PVC, 1 1/2"; Rucika; -; 1 pcs</v>
      </c>
      <c r="C1318" s="14" t="str">
        <f>IFERROR(__xludf.DUMMYFUNCTION("""COMPUTED_VALUE"""),"P-10883-00")</f>
        <v>P-10883-00</v>
      </c>
    </row>
    <row r="1319">
      <c r="A1319" s="14" t="str">
        <f>IFERROR(__xludf.DUMMYFUNCTION("""COMPUTED_VALUE"""),"P-10884-00")</f>
        <v>P-10884-00</v>
      </c>
      <c r="B1319" s="14" t="str">
        <f>IFERROR(__xludf.DUMMYFUNCTION("""COMPUTED_VALUE"""),"General - Socket Drat Dalam PVC 1 1/4inch; Rucika; -; 1 pcs")</f>
        <v>General - Socket Drat Dalam PVC 1 1/4inch; Rucika; -; 1 pcs</v>
      </c>
      <c r="C1319" s="14" t="str">
        <f>IFERROR(__xludf.DUMMYFUNCTION("""COMPUTED_VALUE"""),"P-10884-00")</f>
        <v>P-10884-00</v>
      </c>
    </row>
    <row r="1320">
      <c r="A1320" s="14" t="str">
        <f>IFERROR(__xludf.DUMMYFUNCTION("""COMPUTED_VALUE"""),"P-10885-00")</f>
        <v>P-10885-00</v>
      </c>
      <c r="B1320" s="14" t="str">
        <f>IFERROR(__xludf.DUMMYFUNCTION("""COMPUTED_VALUE"""),"General - Socket Drat Dalam, PVC, 1/2""; Rucika; -; 1 pcs")</f>
        <v>General - Socket Drat Dalam, PVC, 1/2"; Rucika; -; 1 pcs</v>
      </c>
      <c r="C1320" s="14" t="str">
        <f>IFERROR(__xludf.DUMMYFUNCTION("""COMPUTED_VALUE"""),"P-10885-00")</f>
        <v>P-10885-00</v>
      </c>
    </row>
    <row r="1321">
      <c r="A1321" s="14" t="str">
        <f>IFERROR(__xludf.DUMMYFUNCTION("""COMPUTED_VALUE"""),"P-10886-00")</f>
        <v>P-10886-00</v>
      </c>
      <c r="B1321" s="14" t="str">
        <f>IFERROR(__xludf.DUMMYFUNCTION("""COMPUTED_VALUE"""),"General - Socket Drat Dalam, PVC, 1""; Rucika; -; 1 pcs")</f>
        <v>General - Socket Drat Dalam, PVC, 1"; Rucika; -; 1 pcs</v>
      </c>
      <c r="C1321" s="14" t="str">
        <f>IFERROR(__xludf.DUMMYFUNCTION("""COMPUTED_VALUE"""),"P-10886-00")</f>
        <v>P-10886-00</v>
      </c>
    </row>
    <row r="1322">
      <c r="A1322" s="14" t="str">
        <f>IFERROR(__xludf.DUMMYFUNCTION("""COMPUTED_VALUE"""),"P-10887-00")</f>
        <v>P-10887-00</v>
      </c>
      <c r="B1322" s="14" t="str">
        <f>IFERROR(__xludf.DUMMYFUNCTION("""COMPUTED_VALUE"""),"General - Socket Drat Dalam, PVC, 2""; Rucika; -; 1 pcs")</f>
        <v>General - Socket Drat Dalam, PVC, 2"; Rucika; -; 1 pcs</v>
      </c>
      <c r="C1322" s="14" t="str">
        <f>IFERROR(__xludf.DUMMYFUNCTION("""COMPUTED_VALUE"""),"P-10887-00")</f>
        <v>P-10887-00</v>
      </c>
    </row>
    <row r="1323">
      <c r="A1323" s="14" t="str">
        <f>IFERROR(__xludf.DUMMYFUNCTION("""COMPUTED_VALUE"""),"P-10889-00")</f>
        <v>P-10889-00</v>
      </c>
      <c r="B1323" s="14" t="str">
        <f>IFERROR(__xludf.DUMMYFUNCTION("""COMPUTED_VALUE"""),"General - Socket Drat Dalam, PVC AW, 3/4""; Rucika; -; 1 pcs")</f>
        <v>General - Socket Drat Dalam, PVC AW, 3/4"; Rucika; -; 1 pcs</v>
      </c>
      <c r="C1323" s="14" t="str">
        <f>IFERROR(__xludf.DUMMYFUNCTION("""COMPUTED_VALUE"""),"P-10889-00")</f>
        <v>P-10889-00</v>
      </c>
    </row>
    <row r="1324">
      <c r="A1324" s="14" t="str">
        <f>IFERROR(__xludf.DUMMYFUNCTION("""COMPUTED_VALUE"""),"P-10890-00")</f>
        <v>P-10890-00</v>
      </c>
      <c r="B1324" s="14" t="str">
        <f>IFERROR(__xludf.DUMMYFUNCTION("""COMPUTED_VALUE"""),"General - Socket Drat Luar, PVC, 1 1/2""; Rucika; -; 1 pcs")</f>
        <v>General - Socket Drat Luar, PVC, 1 1/2"; Rucika; -; 1 pcs</v>
      </c>
      <c r="C1324" s="14" t="str">
        <f>IFERROR(__xludf.DUMMYFUNCTION("""COMPUTED_VALUE"""),"P-10890-00")</f>
        <v>P-10890-00</v>
      </c>
    </row>
    <row r="1325">
      <c r="A1325" s="14" t="str">
        <f>IFERROR(__xludf.DUMMYFUNCTION("""COMPUTED_VALUE"""),"P-10891-00")</f>
        <v>P-10891-00</v>
      </c>
      <c r="B1325" s="14" t="str">
        <f>IFERROR(__xludf.DUMMYFUNCTION("""COMPUTED_VALUE"""),"General - Socket Drat Luar, PVC, 1 1/4""; Rucika; -; 1 pcs")</f>
        <v>General - Socket Drat Luar, PVC, 1 1/4"; Rucika; -; 1 pcs</v>
      </c>
      <c r="C1325" s="14" t="str">
        <f>IFERROR(__xludf.DUMMYFUNCTION("""COMPUTED_VALUE"""),"P-10891-00")</f>
        <v>P-10891-00</v>
      </c>
    </row>
    <row r="1326">
      <c r="A1326" s="14" t="str">
        <f>IFERROR(__xludf.DUMMYFUNCTION("""COMPUTED_VALUE"""),"P-10892-00")</f>
        <v>P-10892-00</v>
      </c>
      <c r="B1326" s="14" t="str">
        <f>IFERROR(__xludf.DUMMYFUNCTION("""COMPUTED_VALUE"""),"General - Socket Drat Luar, PVC, 1""; Rucika; -; 1 pcs")</f>
        <v>General - Socket Drat Luar, PVC, 1"; Rucika; -; 1 pcs</v>
      </c>
      <c r="C1326" s="14" t="str">
        <f>IFERROR(__xludf.DUMMYFUNCTION("""COMPUTED_VALUE"""),"P-10892-00")</f>
        <v>P-10892-00</v>
      </c>
    </row>
    <row r="1327">
      <c r="A1327" s="14" t="str">
        <f>IFERROR(__xludf.DUMMYFUNCTION("""COMPUTED_VALUE"""),"P-10893-00")</f>
        <v>P-10893-00</v>
      </c>
      <c r="B1327" s="14" t="str">
        <f>IFERROR(__xludf.DUMMYFUNCTION("""COMPUTED_VALUE"""),"General - Socket Drat Luar, PVC, 2""; Rucika; -; 1 pcs")</f>
        <v>General - Socket Drat Luar, PVC, 2"; Rucika; -; 1 pcs</v>
      </c>
      <c r="C1327" s="14" t="str">
        <f>IFERROR(__xludf.DUMMYFUNCTION("""COMPUTED_VALUE"""),"P-10893-00")</f>
        <v>P-10893-00</v>
      </c>
    </row>
    <row r="1328">
      <c r="A1328" s="14" t="str">
        <f>IFERROR(__xludf.DUMMYFUNCTION("""COMPUTED_VALUE"""),"P-10894-00")</f>
        <v>P-10894-00</v>
      </c>
      <c r="B1328" s="14" t="str">
        <f>IFERROR(__xludf.DUMMYFUNCTION("""COMPUTED_VALUE"""),"General - Socket Drat Luar, PVC AW, 3""; Rucika; -; 1 pcs")</f>
        <v>General - Socket Drat Luar, PVC AW, 3"; Rucika; -; 1 pcs</v>
      </c>
      <c r="C1328" s="14" t="str">
        <f>IFERROR(__xludf.DUMMYFUNCTION("""COMPUTED_VALUE"""),"P-10894-00")</f>
        <v>P-10894-00</v>
      </c>
    </row>
    <row r="1329">
      <c r="A1329" s="14" t="str">
        <f>IFERROR(__xludf.DUMMYFUNCTION("""COMPUTED_VALUE"""),"P-10895-00")</f>
        <v>P-10895-00</v>
      </c>
      <c r="B1329" s="14" t="str">
        <f>IFERROR(__xludf.DUMMYFUNCTION("""COMPUTED_VALUE"""),"General - Socket, PVC, 1/2""; No Brand; -; 1 pcs")</f>
        <v>General - Socket, PVC, 1/2"; No Brand; -; 1 pcs</v>
      </c>
      <c r="C1329" s="14" t="str">
        <f>IFERROR(__xludf.DUMMYFUNCTION("""COMPUTED_VALUE"""),"P-10895-00")</f>
        <v>P-10895-00</v>
      </c>
    </row>
    <row r="1330">
      <c r="A1330" s="14" t="str">
        <f>IFERROR(__xludf.DUMMYFUNCTION("""COMPUTED_VALUE"""),"P-10896-00")</f>
        <v>P-10896-00</v>
      </c>
      <c r="B1330" s="14" t="str">
        <f>IFERROR(__xludf.DUMMYFUNCTION("""COMPUTED_VALUE"""),"Fitting PVC - Sock PVC 1 1/4""")</f>
        <v>Fitting PVC - Sock PVC 1 1/4"</v>
      </c>
      <c r="C1330" s="14" t="str">
        <f>IFERROR(__xludf.DUMMYFUNCTION("""COMPUTED_VALUE"""),"P-10896-00")</f>
        <v>P-10896-00</v>
      </c>
    </row>
    <row r="1331">
      <c r="A1331" s="14" t="str">
        <f>IFERROR(__xludf.DUMMYFUNCTION("""COMPUTED_VALUE"""),"P-10897-00")</f>
        <v>P-10897-00</v>
      </c>
      <c r="B1331" s="14" t="str">
        <f>IFERROR(__xludf.DUMMYFUNCTION("""COMPUTED_VALUE"""),"Fitting PVC - Sock PVC 1""")</f>
        <v>Fitting PVC - Sock PVC 1"</v>
      </c>
      <c r="C1331" s="14" t="str">
        <f>IFERROR(__xludf.DUMMYFUNCTION("""COMPUTED_VALUE"""),"P-10897-00")</f>
        <v>P-10897-00</v>
      </c>
    </row>
    <row r="1332">
      <c r="A1332" s="14" t="str">
        <f>IFERROR(__xludf.DUMMYFUNCTION("""COMPUTED_VALUE"""),"P-10898-00")</f>
        <v>P-10898-00</v>
      </c>
      <c r="B1332" s="14" t="str">
        <f>IFERROR(__xludf.DUMMYFUNCTION("""COMPUTED_VALUE"""),"Fitting PVC - Sock PVC 2""")</f>
        <v>Fitting PVC - Sock PVC 2"</v>
      </c>
      <c r="C1332" s="14" t="str">
        <f>IFERROR(__xludf.DUMMYFUNCTION("""COMPUTED_VALUE"""),"P-10898-00")</f>
        <v>P-10898-00</v>
      </c>
    </row>
    <row r="1333">
      <c r="A1333" s="14" t="str">
        <f>IFERROR(__xludf.DUMMYFUNCTION("""COMPUTED_VALUE"""),"P-10899-00")</f>
        <v>P-10899-00</v>
      </c>
      <c r="B1333" s="14" t="str">
        <f>IFERROR(__xludf.DUMMYFUNCTION("""COMPUTED_VALUE"""),"General - Socket, PVC, 3/4""; Rucika; -; 1 pcs")</f>
        <v>General - Socket, PVC, 3/4"; Rucika; -; 1 pcs</v>
      </c>
      <c r="C1333" s="14" t="str">
        <f>IFERROR(__xludf.DUMMYFUNCTION("""COMPUTED_VALUE"""),"P-10899-00")</f>
        <v>P-10899-00</v>
      </c>
    </row>
    <row r="1334">
      <c r="A1334" s="14" t="str">
        <f>IFERROR(__xludf.DUMMYFUNCTION("""COMPUTED_VALUE"""),"P-10900-00")</f>
        <v>P-10900-00</v>
      </c>
      <c r="B1334" s="14" t="str">
        <f>IFERROR(__xludf.DUMMYFUNCTION("""COMPUTED_VALUE"""),"Fitting PVC - Sock PVC 3 Rucika AW")</f>
        <v>Fitting PVC - Sock PVC 3 Rucika AW</v>
      </c>
      <c r="C1334" s="14" t="str">
        <f>IFERROR(__xludf.DUMMYFUNCTION("""COMPUTED_VALUE"""),"P-10900-00")</f>
        <v>P-10900-00</v>
      </c>
    </row>
    <row r="1335">
      <c r="A1335" s="14" t="str">
        <f>IFERROR(__xludf.DUMMYFUNCTION("""COMPUTED_VALUE"""),"P-10904-00")</f>
        <v>P-10904-00</v>
      </c>
      <c r="B1335" s="14" t="str">
        <f>IFERROR(__xludf.DUMMYFUNCTION("""COMPUTED_VALUE"""),"General - Tee, PVC, 1 1/4""; Rucika; -; 1 pcs")</f>
        <v>General - Tee, PVC, 1 1/4"; Rucika; -; 1 pcs</v>
      </c>
      <c r="C1335" s="14" t="str">
        <f>IFERROR(__xludf.DUMMYFUNCTION("""COMPUTED_VALUE"""),"P-10904-00")</f>
        <v>P-10904-00</v>
      </c>
    </row>
    <row r="1336">
      <c r="A1336" s="14" t="str">
        <f>IFERROR(__xludf.DUMMYFUNCTION("""COMPUTED_VALUE"""),"P-10905-00")</f>
        <v>P-10905-00</v>
      </c>
      <c r="B1336" s="14" t="str">
        <f>IFERROR(__xludf.DUMMYFUNCTION("""COMPUTED_VALUE"""),"General - Tee, PVC, 1/2""; Rucika; -; 1 pcs")</f>
        <v>General - Tee, PVC, 1/2"; Rucika; -; 1 pcs</v>
      </c>
      <c r="C1336" s="14" t="str">
        <f>IFERROR(__xludf.DUMMYFUNCTION("""COMPUTED_VALUE"""),"P-10905-00")</f>
        <v>P-10905-00</v>
      </c>
    </row>
    <row r="1337">
      <c r="A1337" s="14" t="str">
        <f>IFERROR(__xludf.DUMMYFUNCTION("""COMPUTED_VALUE"""),"P-10906-00")</f>
        <v>P-10906-00</v>
      </c>
      <c r="B1337" s="14" t="str">
        <f>IFERROR(__xludf.DUMMYFUNCTION("""COMPUTED_VALUE"""),"Fitting PVC - Tee PVC 1"" Rucika AW")</f>
        <v>Fitting PVC - Tee PVC 1" Rucika AW</v>
      </c>
      <c r="C1337" s="14" t="str">
        <f>IFERROR(__xludf.DUMMYFUNCTION("""COMPUTED_VALUE"""),"P-10906-00")</f>
        <v>P-10906-00</v>
      </c>
    </row>
    <row r="1338">
      <c r="A1338" s="14" t="str">
        <f>IFERROR(__xludf.DUMMYFUNCTION("""COMPUTED_VALUE"""),"P-10907-00")</f>
        <v>P-10907-00</v>
      </c>
      <c r="B1338" s="14" t="str">
        <f>IFERROR(__xludf.DUMMYFUNCTION("""COMPUTED_VALUE"""),"General - Tee, PVC AW, 2""; Rucika; -; 1 pcs")</f>
        <v>General - Tee, PVC AW, 2"; Rucika; -; 1 pcs</v>
      </c>
      <c r="C1338" s="14" t="str">
        <f>IFERROR(__xludf.DUMMYFUNCTION("""COMPUTED_VALUE"""),"P-10907-00")</f>
        <v>P-10907-00</v>
      </c>
    </row>
    <row r="1339">
      <c r="A1339" s="14" t="str">
        <f>IFERROR(__xludf.DUMMYFUNCTION("""COMPUTED_VALUE"""),"P-10908-00")</f>
        <v>P-10908-00</v>
      </c>
      <c r="B1339" s="14" t="str">
        <f>IFERROR(__xludf.DUMMYFUNCTION("""COMPUTED_VALUE"""),"General - Tee, PVC AW, 3/4""; Rucika; -; 1 pcs")</f>
        <v>General - Tee, PVC AW, 3/4"; Rucika; -; 1 pcs</v>
      </c>
      <c r="C1339" s="14" t="str">
        <f>IFERROR(__xludf.DUMMYFUNCTION("""COMPUTED_VALUE"""),"P-10908-00")</f>
        <v>P-10908-00</v>
      </c>
    </row>
    <row r="1340">
      <c r="A1340" s="14" t="str">
        <f>IFERROR(__xludf.DUMMYFUNCTION("""COMPUTED_VALUE"""),"P-10909-00")</f>
        <v>P-10909-00</v>
      </c>
      <c r="B1340" s="14" t="str">
        <f>IFERROR(__xludf.DUMMYFUNCTION("""COMPUTED_VALUE"""),"Fitting PVC - Tee PVC 3 inch Rucika AW")</f>
        <v>Fitting PVC - Tee PVC 3 inch Rucika AW</v>
      </c>
      <c r="C1340" s="14" t="str">
        <f>IFERROR(__xludf.DUMMYFUNCTION("""COMPUTED_VALUE"""),"P-10909-00")</f>
        <v>P-10909-00</v>
      </c>
    </row>
    <row r="1341">
      <c r="A1341" s="14" t="str">
        <f>IFERROR(__xludf.DUMMYFUNCTION("""COMPUTED_VALUE"""),"P-10945-00")</f>
        <v>P-10945-00</v>
      </c>
      <c r="B1341" s="14" t="str">
        <f>IFERROR(__xludf.DUMMYFUNCTION("""COMPUTED_VALUE"""),"General - Seal Tape 1inch; ONDA; -; 1 Pcs")</f>
        <v>General - Seal Tape 1inch; ONDA; -; 1 Pcs</v>
      </c>
      <c r="C1341" s="14" t="str">
        <f>IFERROR(__xludf.DUMMYFUNCTION("""COMPUTED_VALUE"""),"P-10945-00")</f>
        <v>P-10945-00</v>
      </c>
    </row>
    <row r="1342">
      <c r="A1342" s="14" t="str">
        <f>IFERROR(__xludf.DUMMYFUNCTION("""COMPUTED_VALUE"""),"P-10952-00")</f>
        <v>P-10952-00</v>
      </c>
      <c r="B1342" s="14" t="str">
        <f>IFERROR(__xludf.DUMMYFUNCTION("""COMPUTED_VALUE"""),"Kawat Las Dia = 3,2 X 350 mm Besi RD 260")</f>
        <v>Kawat Las Dia = 3,2 X 350 mm Besi RD 260</v>
      </c>
      <c r="C1342" s="14" t="str">
        <f>IFERROR(__xludf.DUMMYFUNCTION("""COMPUTED_VALUE"""),"P-10952-00")</f>
        <v>P-10952-00</v>
      </c>
    </row>
    <row r="1343">
      <c r="A1343" s="14" t="str">
        <f>IFERROR(__xludf.DUMMYFUNCTION("""COMPUTED_VALUE"""),"P-10953-00")</f>
        <v>P-10953-00</v>
      </c>
      <c r="B1343" s="14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4" t="str">
        <f>IFERROR(__xludf.DUMMYFUNCTION("""COMPUTED_VALUE"""),"P-10953-00")</f>
        <v>P-10953-00</v>
      </c>
    </row>
    <row r="1344">
      <c r="A1344" s="14" t="str">
        <f>IFERROR(__xludf.DUMMYFUNCTION("""COMPUTED_VALUE"""),"P-10958-00")</f>
        <v>P-10958-00</v>
      </c>
      <c r="B1344" s="14" t="str">
        <f>IFERROR(__xludf.DUMMYFUNCTION("""COMPUTED_VALUE"""),"General - Kawat Las Tembaga Dia  = 3,2  X 450 mm; Harris; -; 1 Pc")</f>
        <v>General - Kawat Las Tembaga Dia  = 3,2  X 450 mm; Harris; -; 1 Pc</v>
      </c>
      <c r="C1344" s="14" t="str">
        <f>IFERROR(__xludf.DUMMYFUNCTION("""COMPUTED_VALUE"""),"P-10958-00")</f>
        <v>P-10958-00</v>
      </c>
    </row>
    <row r="1345">
      <c r="A1345" s="14" t="str">
        <f>IFERROR(__xludf.DUMMYFUNCTION("""COMPUTED_VALUE"""),"P-11002-00")</f>
        <v>P-11002-00</v>
      </c>
      <c r="B1345" s="14" t="str">
        <f>IFERROR(__xludf.DUMMYFUNCTION("""COMPUTED_VALUE"""),"Mur SS 6 mm")</f>
        <v>Mur SS 6 mm</v>
      </c>
      <c r="C1345" s="14" t="str">
        <f>IFERROR(__xludf.DUMMYFUNCTION("""COMPUTED_VALUE"""),"P-11002-00")</f>
        <v>P-11002-00</v>
      </c>
    </row>
    <row r="1346">
      <c r="A1346" s="14" t="str">
        <f>IFERROR(__xludf.DUMMYFUNCTION("""COMPUTED_VALUE"""),"P-11003-00")</f>
        <v>P-11003-00</v>
      </c>
      <c r="B1346" s="14" t="str">
        <f>IFERROR(__xludf.DUMMYFUNCTION("""COMPUTED_VALUE"""),"Mur SS 8 mm")</f>
        <v>Mur SS 8 mm</v>
      </c>
      <c r="C1346" s="14" t="str">
        <f>IFERROR(__xludf.DUMMYFUNCTION("""COMPUTED_VALUE"""),"P-11003-00")</f>
        <v>P-11003-00</v>
      </c>
    </row>
    <row r="1347">
      <c r="A1347" s="14" t="str">
        <f>IFERROR(__xludf.DUMMYFUNCTION("""COMPUTED_VALUE"""),"P-11018-00")</f>
        <v>P-11018-00</v>
      </c>
      <c r="B1347" s="14" t="str">
        <f>IFERROR(__xludf.DUMMYFUNCTION("""COMPUTED_VALUE"""),"General - Oil Seal TC 15 x 24 x 7; NOK; -; 1 Pc")</f>
        <v>General - Oil Seal TC 15 x 24 x 7; NOK; -; 1 Pc</v>
      </c>
      <c r="C1347" s="14" t="str">
        <f>IFERROR(__xludf.DUMMYFUNCTION("""COMPUTED_VALUE"""),"P-11018-00")</f>
        <v>P-11018-00</v>
      </c>
    </row>
    <row r="1348">
      <c r="A1348" s="14" t="str">
        <f>IFERROR(__xludf.DUMMYFUNCTION("""COMPUTED_VALUE"""),"P-11164-00")</f>
        <v>P-11164-00</v>
      </c>
      <c r="B1348" s="14" t="str">
        <f>IFERROR(__xludf.DUMMYFUNCTION("""COMPUTED_VALUE"""),"Pneumatic  Fitting - QS 1/2-10 / PN : 190646 / Festo")</f>
        <v>Pneumatic  Fitting - QS 1/2-10 / PN : 190646 / Festo</v>
      </c>
      <c r="C1348" s="14" t="str">
        <f>IFERROR(__xludf.DUMMYFUNCTION("""COMPUTED_VALUE"""),"P-11164-00")</f>
        <v>P-11164-00</v>
      </c>
    </row>
    <row r="1349">
      <c r="A1349" s="14" t="str">
        <f>IFERROR(__xludf.DUMMYFUNCTION("""COMPUTED_VALUE"""),"P-11165-00")</f>
        <v>P-11165-00</v>
      </c>
      <c r="B1349" s="14" t="str">
        <f>IFERROR(__xludf.DUMMYFUNCTION("""COMPUTED_VALUE"""),"General - Push-in Fitting, QS-1/2-12; Festo; 153010; 1 pcs")</f>
        <v>General - Push-in Fitting, QS-1/2-12; Festo; 153010; 1 pcs</v>
      </c>
      <c r="C1349" s="14" t="str">
        <f>IFERROR(__xludf.DUMMYFUNCTION("""COMPUTED_VALUE"""),"P-11165-00")</f>
        <v>P-11165-00</v>
      </c>
    </row>
    <row r="1350">
      <c r="A1350" s="14" t="str">
        <f>IFERROR(__xludf.DUMMYFUNCTION("""COMPUTED_VALUE"""),"P-11167-00")</f>
        <v>P-11167-00</v>
      </c>
      <c r="B1350" s="14" t="str">
        <f>IFERROR(__xludf.DUMMYFUNCTION("""COMPUTED_VALUE"""),"Pneumatic Fitting - QS 1/4-10 / PN : 153007 / Festo")</f>
        <v>Pneumatic Fitting - QS 1/4-10 / PN : 153007 / Festo</v>
      </c>
      <c r="C1350" s="14" t="str">
        <f>IFERROR(__xludf.DUMMYFUNCTION("""COMPUTED_VALUE"""),"P-11167-00")</f>
        <v>P-11167-00</v>
      </c>
    </row>
    <row r="1351">
      <c r="A1351" s="14" t="str">
        <f>IFERROR(__xludf.DUMMYFUNCTION("""COMPUTED_VALUE"""),"P-11169-00")</f>
        <v>P-11169-00</v>
      </c>
      <c r="B1351" s="14" t="str">
        <f>IFERROR(__xludf.DUMMYFUNCTION("""COMPUTED_VALUE"""),"General - Push-in Fitting, QS-1/4-6; Festo; 153003; 1 pcs")</f>
        <v>General - Push-in Fitting, QS-1/4-6; Festo; 153003; 1 pcs</v>
      </c>
      <c r="C1351" s="14" t="str">
        <f>IFERROR(__xludf.DUMMYFUNCTION("""COMPUTED_VALUE"""),"P-11169-00")</f>
        <v>P-11169-00</v>
      </c>
    </row>
    <row r="1352">
      <c r="A1352" s="14" t="str">
        <f>IFERROR(__xludf.DUMMYFUNCTION("""COMPUTED_VALUE"""),"P-11170-00")</f>
        <v>P-11170-00</v>
      </c>
      <c r="B1352" s="14" t="str">
        <f>IFERROR(__xludf.DUMMYFUNCTION("""COMPUTED_VALUE"""),"Pneumatic  Fitting - QS 1/4-8 / PN : 153005 / Festo")</f>
        <v>Pneumatic  Fitting - QS 1/4-8 / PN : 153005 / Festo</v>
      </c>
      <c r="C1352" s="14" t="str">
        <f>IFERROR(__xludf.DUMMYFUNCTION("""COMPUTED_VALUE"""),"P-11170-00")</f>
        <v>P-11170-00</v>
      </c>
    </row>
    <row r="1353">
      <c r="A1353" s="14" t="str">
        <f>IFERROR(__xludf.DUMMYFUNCTION("""COMPUTED_VALUE"""),"P-11172-00")</f>
        <v>P-11172-00</v>
      </c>
      <c r="B1353" s="14" t="str">
        <f>IFERROR(__xludf.DUMMYFUNCTION("""COMPUTED_VALUE"""),"Pneumatic  Fitting - QS 1/8-8 / Festo")</f>
        <v>Pneumatic  Fitting - QS 1/8-8 / Festo</v>
      </c>
      <c r="C1353" s="14" t="str">
        <f>IFERROR(__xludf.DUMMYFUNCTION("""COMPUTED_VALUE"""),"P-11172-00")</f>
        <v>P-11172-00</v>
      </c>
    </row>
    <row r="1354">
      <c r="A1354" s="14" t="str">
        <f>IFERROR(__xludf.DUMMYFUNCTION("""COMPUTED_VALUE"""),"P-11173-00")</f>
        <v>P-11173-00</v>
      </c>
      <c r="B1354" s="14" t="str">
        <f>IFERROR(__xludf.DUMMYFUNCTION("""COMPUTED_VALUE"""),"General - Push-in Connector, QS-10; Festo; 153034; 1 pcs")</f>
        <v>General - Push-in Connector, QS-10; Festo; 153034; 1 pcs</v>
      </c>
      <c r="C1354" s="14" t="str">
        <f>IFERROR(__xludf.DUMMYFUNCTION("""COMPUTED_VALUE"""),"P-11173-00")</f>
        <v>P-11173-00</v>
      </c>
    </row>
    <row r="1355">
      <c r="A1355" s="14" t="str">
        <f>IFERROR(__xludf.DUMMYFUNCTION("""COMPUTED_VALUE"""),"P-11175-00")</f>
        <v>P-11175-00</v>
      </c>
      <c r="B1355" s="14" t="str">
        <f>IFERROR(__xludf.DUMMYFUNCTION("""COMPUTED_VALUE"""),"Pneumatic  Fitting - QS 10-8 / PN : 153039 / Festo")</f>
        <v>Pneumatic  Fitting - QS 10-8 / PN : 153039 / Festo</v>
      </c>
      <c r="C1355" s="14" t="str">
        <f>IFERROR(__xludf.DUMMYFUNCTION("""COMPUTED_VALUE"""),"P-11175-00")</f>
        <v>P-11175-00</v>
      </c>
    </row>
    <row r="1356">
      <c r="A1356" s="14" t="str">
        <f>IFERROR(__xludf.DUMMYFUNCTION("""COMPUTED_VALUE"""),"P-11176-00")</f>
        <v>P-11176-00</v>
      </c>
      <c r="B1356" s="14" t="str">
        <f>IFERROR(__xludf.DUMMYFUNCTION("""COMPUTED_VALUE"""),"Pneumatic  Fitting - QS 12 / PN : 153035 / Festo")</f>
        <v>Pneumatic  Fitting - QS 12 / PN : 153035 / Festo</v>
      </c>
      <c r="C1356" s="14" t="str">
        <f>IFERROR(__xludf.DUMMYFUNCTION("""COMPUTED_VALUE"""),"P-11176-00")</f>
        <v>P-11176-00</v>
      </c>
    </row>
    <row r="1357">
      <c r="A1357" s="14" t="str">
        <f>IFERROR(__xludf.DUMMYFUNCTION("""COMPUTED_VALUE"""),"P-11182-00")</f>
        <v>P-11182-00</v>
      </c>
      <c r="B1357" s="14" t="str">
        <f>IFERROR(__xludf.DUMMYFUNCTION("""COMPUTED_VALUE"""),"General - Push-in Connector, QS-6; Festo; 153032; 1 pcs")</f>
        <v>General - Push-in Connector, QS-6; Festo; 153032; 1 pcs</v>
      </c>
      <c r="C1357" s="14" t="str">
        <f>IFERROR(__xludf.DUMMYFUNCTION("""COMPUTED_VALUE"""),"P-11182-00")</f>
        <v>P-11182-00</v>
      </c>
    </row>
    <row r="1358">
      <c r="A1358" s="14" t="str">
        <f>IFERROR(__xludf.DUMMYFUNCTION("""COMPUTED_VALUE"""),"P-11183-00")</f>
        <v>P-11183-00</v>
      </c>
      <c r="B1358" s="14" t="str">
        <f>IFERROR(__xludf.DUMMYFUNCTION("""COMPUTED_VALUE"""),"General - Push-in Connector, QS-6-4; Festo; 153037; 1 pcs")</f>
        <v>General - Push-in Connector, QS-6-4; Festo; 153037; 1 pcs</v>
      </c>
      <c r="C1358" s="14" t="str">
        <f>IFERROR(__xludf.DUMMYFUNCTION("""COMPUTED_VALUE"""),"P-11183-00")</f>
        <v>P-11183-00</v>
      </c>
    </row>
    <row r="1359">
      <c r="A1359" s="14" t="str">
        <f>IFERROR(__xludf.DUMMYFUNCTION("""COMPUTED_VALUE"""),"P-11184-00")</f>
        <v>P-11184-00</v>
      </c>
      <c r="B1359" s="14" t="str">
        <f>IFERROR(__xludf.DUMMYFUNCTION("""COMPUTED_VALUE"""),"General - Push-in Connector, QS-8; Festo; 153033; 1 pcs")</f>
        <v>General - Push-in Connector, QS-8; Festo; 153033; 1 pcs</v>
      </c>
      <c r="C1359" s="14" t="str">
        <f>IFERROR(__xludf.DUMMYFUNCTION("""COMPUTED_VALUE"""),"P-11184-00")</f>
        <v>P-11184-00</v>
      </c>
    </row>
    <row r="1360">
      <c r="A1360" s="14" t="str">
        <f>IFERROR(__xludf.DUMMYFUNCTION("""COMPUTED_VALUE"""),"P-11185-00")</f>
        <v>P-11185-00</v>
      </c>
      <c r="B1360" s="14" t="str">
        <f>IFERROR(__xludf.DUMMYFUNCTION("""COMPUTED_VALUE"""),"General - Push-in Connector, QS-8-6; Festo; 153038; 1 pcs")</f>
        <v>General - Push-in Connector, QS-8-6; Festo; 153038; 1 pcs</v>
      </c>
      <c r="C1360" s="14" t="str">
        <f>IFERROR(__xludf.DUMMYFUNCTION("""COMPUTED_VALUE"""),"P-11185-00")</f>
        <v>P-11185-00</v>
      </c>
    </row>
    <row r="1361">
      <c r="A1361" s="14" t="str">
        <f>IFERROR(__xludf.DUMMYFUNCTION("""COMPUTED_VALUE"""),"P-11195-00")</f>
        <v>P-11195-00</v>
      </c>
      <c r="B1361" s="14" t="str">
        <f>IFERROR(__xludf.DUMMYFUNCTION("""COMPUTED_VALUE"""),"General - Push-in Fitting, QSF-1/8-6-B; Festo; 153023; 1 pcs")</f>
        <v>General - Push-in Fitting, QSF-1/8-6-B; Festo; 153023; 1 pcs</v>
      </c>
      <c r="C1361" s="14" t="str">
        <f>IFERROR(__xludf.DUMMYFUNCTION("""COMPUTED_VALUE"""),"P-11195-00")</f>
        <v>P-11195-00</v>
      </c>
    </row>
    <row r="1362">
      <c r="A1362" s="14" t="str">
        <f>IFERROR(__xludf.DUMMYFUNCTION("""COMPUTED_VALUE"""),"P-11227-00")</f>
        <v>P-11227-00</v>
      </c>
      <c r="B1362" s="14" t="str">
        <f>IFERROR(__xludf.DUMMYFUNCTION("""COMPUTED_VALUE"""),"General - Push-in T-connector, QST-6; Festo; 153129; 1 pcs")</f>
        <v>General - Push-in T-connector, QST-6; Festo; 153129; 1 pcs</v>
      </c>
      <c r="C1362" s="14" t="str">
        <f>IFERROR(__xludf.DUMMYFUNCTION("""COMPUTED_VALUE"""),"P-11227-00")</f>
        <v>P-11227-00</v>
      </c>
    </row>
    <row r="1363">
      <c r="A1363" s="14" t="str">
        <f>IFERROR(__xludf.DUMMYFUNCTION("""COMPUTED_VALUE"""),"P-11228-00")</f>
        <v>P-11228-00</v>
      </c>
      <c r="B1363" s="14" t="str">
        <f>IFERROR(__xludf.DUMMYFUNCTION("""COMPUTED_VALUE"""),"General - Push-in T-connector, QST-8; Festo; 153130; 1 pcs")</f>
        <v>General - Push-in T-connector, QST-8; Festo; 153130; 1 pcs</v>
      </c>
      <c r="C1363" s="14" t="str">
        <f>IFERROR(__xludf.DUMMYFUNCTION("""COMPUTED_VALUE"""),"P-11228-00")</f>
        <v>P-11228-00</v>
      </c>
    </row>
    <row r="1364">
      <c r="A1364" s="14" t="str">
        <f>IFERROR(__xludf.DUMMYFUNCTION("""COMPUTED_VALUE"""),"P-11348-00")</f>
        <v>P-11348-00</v>
      </c>
      <c r="B1364" s="14" t="str">
        <f>IFERROR(__xludf.DUMMYFUNCTION("""COMPUTED_VALUE"""),"Roda Caster Supo Dia : 3"" ( 75 x 38 mm) / Swivel Flange / With Breake")</f>
        <v>Roda Caster Supo Dia : 3" ( 75 x 38 mm) / Swivel Flange / With Breake</v>
      </c>
      <c r="C1364" s="14" t="str">
        <f>IFERROR(__xludf.DUMMYFUNCTION("""COMPUTED_VALUE"""),"P-11348-00")</f>
        <v>P-11348-00</v>
      </c>
    </row>
    <row r="1365">
      <c r="A1365" s="14" t="str">
        <f>IFERROR(__xludf.DUMMYFUNCTION("""COMPUTED_VALUE"""),"P-11350-00")</f>
        <v>P-11350-00</v>
      </c>
      <c r="B1365" s="14" t="str">
        <f>IFERROR(__xludf.DUMMYFUNCTION("""COMPUTED_VALUE"""),"Roda Caster Supo Dia : 4"" ( 100 x 38 mm ) Swivel Flange / Without Breake")</f>
        <v>Roda Caster Supo Dia : 4" ( 100 x 38 mm ) Swivel Flange / Without Breake</v>
      </c>
      <c r="C1365" s="14" t="str">
        <f>IFERROR(__xludf.DUMMYFUNCTION("""COMPUTED_VALUE"""),"P-11350-00")</f>
        <v>P-11350-00</v>
      </c>
    </row>
    <row r="1366">
      <c r="A1366" s="14" t="str">
        <f>IFERROR(__xludf.DUMMYFUNCTION("""COMPUTED_VALUE"""),"P-11356-00")</f>
        <v>P-11356-00</v>
      </c>
      <c r="B1366" s="14" t="str">
        <f>IFERROR(__xludf.DUMMYFUNCTION("""COMPUTED_VALUE"""),"Trolly - Roda ABUS 4inch (100 x 27mm), Without Brake; No Brand; -; 1 pc")</f>
        <v>Trolly - Roda ABUS 4inch (100 x 27mm), Without Brake; No Brand; -; 1 pc</v>
      </c>
      <c r="C1366" s="14" t="str">
        <f>IFERROR(__xludf.DUMMYFUNCTION("""COMPUTED_VALUE"""),"P-11356-00")</f>
        <v>P-11356-00</v>
      </c>
    </row>
    <row r="1367">
      <c r="A1367" s="14" t="str">
        <f>IFERROR(__xludf.DUMMYFUNCTION("""COMPUTED_VALUE"""),"P-11391-00")</f>
        <v>P-11391-00</v>
      </c>
      <c r="B1367" s="14" t="str">
        <f>IFERROR(__xludf.DUMMYFUNCTION("""COMPUTED_VALUE"""),"Seal Ferrule EPDM 1.5"" (35 x 53 x 9)")</f>
        <v>Seal Ferrule EPDM 1.5" (35 x 53 x 9)</v>
      </c>
      <c r="C1367" s="14" t="str">
        <f>IFERROR(__xludf.DUMMYFUNCTION("""COMPUTED_VALUE"""),"P-11391-00")</f>
        <v>P-11391-00</v>
      </c>
    </row>
    <row r="1368">
      <c r="A1368" s="14" t="str">
        <f>IFERROR(__xludf.DUMMYFUNCTION("""COMPUTED_VALUE"""),"P-11392-00")</f>
        <v>P-11392-00</v>
      </c>
      <c r="B1368" s="14" t="str">
        <f>IFERROR(__xludf.DUMMYFUNCTION("""COMPUTED_VALUE"""),"Seal Ferrule EPDM 2""")</f>
        <v>Seal Ferrule EPDM 2"</v>
      </c>
      <c r="C1368" s="14" t="str">
        <f>IFERROR(__xludf.DUMMYFUNCTION("""COMPUTED_VALUE"""),"P-11392-00")</f>
        <v>P-11392-00</v>
      </c>
    </row>
    <row r="1369">
      <c r="A1369" s="14" t="str">
        <f>IFERROR(__xludf.DUMMYFUNCTION("""COMPUTED_VALUE"""),"P-11393-00")</f>
        <v>P-11393-00</v>
      </c>
      <c r="B1369" s="14" t="str">
        <f>IFERROR(__xludf.DUMMYFUNCTION("""COMPUTED_VALUE"""),"Seal Ferrule EPDM 3""")</f>
        <v>Seal Ferrule EPDM 3"</v>
      </c>
      <c r="C1369" s="14" t="str">
        <f>IFERROR(__xludf.DUMMYFUNCTION("""COMPUTED_VALUE"""),"P-11393-00")</f>
        <v>P-11393-00</v>
      </c>
    </row>
    <row r="1370">
      <c r="A1370" s="14" t="str">
        <f>IFERROR(__xludf.DUMMYFUNCTION("""COMPUTED_VALUE"""),"P-11404-00")</f>
        <v>P-11404-00</v>
      </c>
      <c r="B1370" s="14" t="str">
        <f>IFERROR(__xludf.DUMMYFUNCTION("""COMPUTED_VALUE"""),"General - Seal Ferrule Teflon 1 1/2inch; No Brand; -; 1 pcs")</f>
        <v>General - Seal Ferrule Teflon 1 1/2inch; No Brand; -; 1 pcs</v>
      </c>
      <c r="C1370" s="14" t="str">
        <f>IFERROR(__xludf.DUMMYFUNCTION("""COMPUTED_VALUE"""),"P-11404-00")</f>
        <v>P-11404-00</v>
      </c>
    </row>
    <row r="1371">
      <c r="A1371" s="14" t="str">
        <f>IFERROR(__xludf.DUMMYFUNCTION("""COMPUTED_VALUE"""),"P-11405-00")</f>
        <v>P-11405-00</v>
      </c>
      <c r="B1371" s="14" t="str">
        <f>IFERROR(__xludf.DUMMYFUNCTION("""COMPUTED_VALUE"""),"General - Seal Ferrule Teflon 1inch; No Brand; -; 1 pcs")</f>
        <v>General - Seal Ferrule Teflon 1inch; No Brand; -; 1 pcs</v>
      </c>
      <c r="C1371" s="14" t="str">
        <f>IFERROR(__xludf.DUMMYFUNCTION("""COMPUTED_VALUE"""),"P-11405-00")</f>
        <v>P-11405-00</v>
      </c>
    </row>
    <row r="1372">
      <c r="A1372" s="14" t="str">
        <f>IFERROR(__xludf.DUMMYFUNCTION("""COMPUTED_VALUE"""),"P-11405-00")</f>
        <v>P-11405-00</v>
      </c>
      <c r="B1372" s="14" t="str">
        <f>IFERROR(__xludf.DUMMYFUNCTION("""COMPUTED_VALUE"""),"General - Seal Ferrule Teflon 1inch; No Brand; -; 1 pcs")</f>
        <v>General - Seal Ferrule Teflon 1inch; No Brand; -; 1 pcs</v>
      </c>
      <c r="C1372" s="14" t="str">
        <f>IFERROR(__xludf.DUMMYFUNCTION("""COMPUTED_VALUE"""),"P-11405-00")</f>
        <v>P-11405-00</v>
      </c>
    </row>
    <row r="1373">
      <c r="A1373" s="14" t="str">
        <f>IFERROR(__xludf.DUMMYFUNCTION("""COMPUTED_VALUE"""),"P-11422-00")</f>
        <v>P-11422-00</v>
      </c>
      <c r="B1373" s="14" t="str">
        <f>IFERROR(__xludf.DUMMYFUNCTION("""COMPUTED_VALUE"""),"Selang Festo Pun-H-10x1.5 / Blue NR : 197386")</f>
        <v>Selang Festo Pun-H-10x1.5 / Blue NR : 197386</v>
      </c>
      <c r="C1373" s="14" t="str">
        <f>IFERROR(__xludf.DUMMYFUNCTION("""COMPUTED_VALUE"""),"P-11422-00")</f>
        <v>P-11422-00</v>
      </c>
    </row>
    <row r="1374">
      <c r="A1374" s="14" t="str">
        <f>IFERROR(__xludf.DUMMYFUNCTION("""COMPUTED_VALUE"""),"P-11424-00")</f>
        <v>P-11424-00</v>
      </c>
      <c r="B1374" s="14" t="str">
        <f>IFERROR(__xludf.DUMMYFUNCTION("""COMPUTED_VALUE"""),"Selang Festo Pun-H-12x2 Blue 2 x 50 m")</f>
        <v>Selang Festo Pun-H-12x2 Blue 2 x 50 m</v>
      </c>
      <c r="C1374" s="14" t="str">
        <f>IFERROR(__xludf.DUMMYFUNCTION("""COMPUTED_VALUE"""),"P-11424-00")</f>
        <v>P-11424-00</v>
      </c>
    </row>
    <row r="1375">
      <c r="A1375" s="14" t="str">
        <f>IFERROR(__xludf.DUMMYFUNCTION("""COMPUTED_VALUE"""),"P-11428-00")</f>
        <v>P-11428-00</v>
      </c>
      <c r="B1375" s="14" t="str">
        <f>IFERROR(__xludf.DUMMYFUNCTION("""COMPUTED_VALUE"""),"Selang Festo Pun-H-6x1 Blue")</f>
        <v>Selang Festo Pun-H-6x1 Blue</v>
      </c>
      <c r="C1375" s="14" t="str">
        <f>IFERROR(__xludf.DUMMYFUNCTION("""COMPUTED_VALUE"""),"P-11428-00")</f>
        <v>P-11428-00</v>
      </c>
    </row>
    <row r="1376">
      <c r="A1376" s="14" t="str">
        <f>IFERROR(__xludf.DUMMYFUNCTION("""COMPUTED_VALUE"""),"P-11431-00")</f>
        <v>P-11431-00</v>
      </c>
      <c r="B1376" s="14" t="str">
        <f>IFERROR(__xludf.DUMMYFUNCTION("""COMPUTED_VALUE"""),"General - Plastic Tubing, PUN-H-8X1,25-BL; Festo; 197385; 1 m")</f>
        <v>General - Plastic Tubing, PUN-H-8X1,25-BL; Festo; 197385; 1 m</v>
      </c>
      <c r="C1376" s="14" t="str">
        <f>IFERROR(__xludf.DUMMYFUNCTION("""COMPUTED_VALUE"""),"P-11431-00")</f>
        <v>P-11431-00</v>
      </c>
    </row>
    <row r="1377">
      <c r="A1377" s="14" t="str">
        <f>IFERROR(__xludf.DUMMYFUNCTION("""COMPUTED_VALUE"""),"P-11694-00")</f>
        <v>P-11694-00</v>
      </c>
      <c r="B1377" s="14" t="str">
        <f>IFERROR(__xludf.DUMMYFUNCTION("""COMPUTED_VALUE"""),"General - Mata Gerinda 4inch; No Brand; -; 1 pcs")</f>
        <v>General - Mata Gerinda 4inch; No Brand; -; 1 pcs</v>
      </c>
      <c r="C1377" s="14" t="str">
        <f>IFERROR(__xludf.DUMMYFUNCTION("""COMPUTED_VALUE"""),"P-11694-00")</f>
        <v>P-11694-00</v>
      </c>
    </row>
    <row r="1378">
      <c r="A1378" s="14" t="str">
        <f>IFERROR(__xludf.DUMMYFUNCTION("""COMPUTED_VALUE"""),"P-11817-00")</f>
        <v>P-11817-00</v>
      </c>
      <c r="B1378" s="14" t="str">
        <f>IFERROR(__xludf.DUMMYFUNCTION("""COMPUTED_VALUE"""),"Acrylic tebal 3 mm ukr : 1220 x 2440 mm")</f>
        <v>Acrylic tebal 3 mm ukr : 1220 x 2440 mm</v>
      </c>
      <c r="C1378" s="14" t="str">
        <f>IFERROR(__xludf.DUMMYFUNCTION("""COMPUTED_VALUE"""),"P-11817-00")</f>
        <v>P-11817-00</v>
      </c>
    </row>
    <row r="1379">
      <c r="A1379" s="14" t="str">
        <f>IFERROR(__xludf.DUMMYFUNCTION("""COMPUTED_VALUE"""),"P-11818-00")</f>
        <v>P-11818-00</v>
      </c>
      <c r="B1379" s="14" t="str">
        <f>IFERROR(__xludf.DUMMYFUNCTION("""COMPUTED_VALUE"""),"Acrylic tebal 5mm ukr : 1000 x 2000")</f>
        <v>Acrylic tebal 5mm ukr : 1000 x 2000</v>
      </c>
      <c r="C1379" s="14" t="str">
        <f>IFERROR(__xludf.DUMMYFUNCTION("""COMPUTED_VALUE"""),"P-11818-00")</f>
        <v>P-11818-00</v>
      </c>
    </row>
    <row r="1380">
      <c r="A1380" s="14" t="str">
        <f>IFERROR(__xludf.DUMMYFUNCTION("""COMPUTED_VALUE"""),"P-11819-00")</f>
        <v>P-11819-00</v>
      </c>
      <c r="B1380" s="14" t="str">
        <f>IFERROR(__xludf.DUMMYFUNCTION("""COMPUTED_VALUE"""),"General - Alumunium duct tape 2inch; No Brand; -; 1 rol")</f>
        <v>General - Alumunium duct tape 2inch; No Brand; -; 1 rol</v>
      </c>
      <c r="C1380" s="14" t="str">
        <f>IFERROR(__xludf.DUMMYFUNCTION("""COMPUTED_VALUE"""),"P-11819-00")</f>
        <v>P-11819-00</v>
      </c>
    </row>
    <row r="1381">
      <c r="A1381" s="14" t="str">
        <f>IFERROR(__xludf.DUMMYFUNCTION("""COMPUTED_VALUE"""),"P-11836-00")</f>
        <v>P-11836-00</v>
      </c>
      <c r="B1381" s="14" t="str">
        <f>IFERROR(__xludf.DUMMYFUNCTION("""COMPUTED_VALUE"""),"Ball valve PVC dia 1 1/4 inch drat")</f>
        <v>Ball valve PVC dia 1 1/4 inch drat</v>
      </c>
      <c r="C1381" s="14" t="str">
        <f>IFERROR(__xludf.DUMMYFUNCTION("""COMPUTED_VALUE"""),"P-11836-00")</f>
        <v>P-11836-00</v>
      </c>
    </row>
    <row r="1382">
      <c r="A1382" s="14" t="str">
        <f>IFERROR(__xludf.DUMMYFUNCTION("""COMPUTED_VALUE"""),"P-11837-00")</f>
        <v>P-11837-00</v>
      </c>
      <c r="B1382" s="14" t="str">
        <f>IFERROR(__xludf.DUMMYFUNCTION("""COMPUTED_VALUE"""),"Ball valve PVC dia 1 inch drat")</f>
        <v>Ball valve PVC dia 1 inch drat</v>
      </c>
      <c r="C1382" s="14" t="str">
        <f>IFERROR(__xludf.DUMMYFUNCTION("""COMPUTED_VALUE"""),"P-11837-00")</f>
        <v>P-11837-00</v>
      </c>
    </row>
    <row r="1383">
      <c r="A1383" s="14" t="str">
        <f>IFERROR(__xludf.DUMMYFUNCTION("""COMPUTED_VALUE"""),"P-11838-00")</f>
        <v>P-11838-00</v>
      </c>
      <c r="B1383" s="14" t="str">
        <f>IFERROR(__xludf.DUMMYFUNCTION("""COMPUTED_VALUE"""),"General - Ball Valve PVC 3/4inch; No Brand; -; 1 pcs")</f>
        <v>General - Ball Valve PVC 3/4inch; No Brand; -; 1 pcs</v>
      </c>
      <c r="C1383" s="14" t="str">
        <f>IFERROR(__xludf.DUMMYFUNCTION("""COMPUTED_VALUE"""),"P-11838-00")</f>
        <v>P-11838-00</v>
      </c>
    </row>
    <row r="1384">
      <c r="A1384" s="14" t="str">
        <f>IFERROR(__xludf.DUMMYFUNCTION("""COMPUTED_VALUE"""),"P-11841-00")</f>
        <v>P-11841-00</v>
      </c>
      <c r="B1384" s="14" t="str">
        <f>IFERROR(__xludf.DUMMYFUNCTION("""COMPUTED_VALUE"""),"Ball Valve SS dia. 3/4 inch")</f>
        <v>Ball Valve SS dia. 3/4 inch</v>
      </c>
      <c r="C1384" s="14" t="str">
        <f>IFERROR(__xludf.DUMMYFUNCTION("""COMPUTED_VALUE"""),"P-11841-00")</f>
        <v>P-11841-00</v>
      </c>
    </row>
    <row r="1385">
      <c r="A1385" s="14" t="str">
        <f>IFERROR(__xludf.DUMMYFUNCTION("""COMPUTED_VALUE"""),"P-11842-00")</f>
        <v>P-11842-00</v>
      </c>
      <c r="B1385" s="14" t="str">
        <f>IFERROR(__xludf.DUMMYFUNCTION("""COMPUTED_VALUE"""),"Ball Valve SS dia. 3/8 inch")</f>
        <v>Ball Valve SS dia. 3/8 inch</v>
      </c>
      <c r="C1385" s="14" t="str">
        <f>IFERROR(__xludf.DUMMYFUNCTION("""COMPUTED_VALUE"""),"P-11842-00")</f>
        <v>P-11842-00</v>
      </c>
    </row>
    <row r="1386">
      <c r="A1386" s="14" t="str">
        <f>IFERROR(__xludf.DUMMYFUNCTION("""COMPUTED_VALUE"""),"P-11871-00")</f>
        <v>P-11871-00</v>
      </c>
      <c r="B1386" s="14" t="str">
        <f>IFERROR(__xludf.DUMMYFUNCTION("""COMPUTED_VALUE"""),"Baut SS countersunk M5x0.8x20 mm")</f>
        <v>Baut SS countersunk M5x0.8x20 mm</v>
      </c>
      <c r="C1386" s="14" t="str">
        <f>IFERROR(__xludf.DUMMYFUNCTION("""COMPUTED_VALUE"""),"P-11871-00")</f>
        <v>P-11871-00</v>
      </c>
    </row>
    <row r="1387">
      <c r="A1387" s="14" t="str">
        <f>IFERROR(__xludf.DUMMYFUNCTION("""COMPUTED_VALUE"""),"P-11878-00")</f>
        <v>P-11878-00</v>
      </c>
      <c r="B1387" s="14" t="str">
        <f>IFERROR(__xludf.DUMMYFUNCTION("""COMPUTED_VALUE"""),"Baut SS hexagonal M6x1x20 mm +mur")</f>
        <v>Baut SS hexagonal M6x1x20 mm +mur</v>
      </c>
      <c r="C1387" s="14" t="str">
        <f>IFERROR(__xludf.DUMMYFUNCTION("""COMPUTED_VALUE"""),"P-11878-00")</f>
        <v>P-11878-00</v>
      </c>
    </row>
    <row r="1388">
      <c r="A1388" s="14" t="str">
        <f>IFERROR(__xludf.DUMMYFUNCTION("""COMPUTED_VALUE"""),"P-11886-00")</f>
        <v>P-11886-00</v>
      </c>
      <c r="B1388" s="14" t="str">
        <f>IFERROR(__xludf.DUMMYFUNCTION("""COMPUTED_VALUE"""),"Baut SS L countersunk  M 4x0.7x10mm + Mur")</f>
        <v>Baut SS L countersunk  M 4x0.7x10mm + Mur</v>
      </c>
      <c r="C1388" s="14" t="str">
        <f>IFERROR(__xludf.DUMMYFUNCTION("""COMPUTED_VALUE"""),"P-11886-00")</f>
        <v>P-11886-00</v>
      </c>
    </row>
    <row r="1389">
      <c r="A1389" s="14" t="str">
        <f>IFERROR(__xludf.DUMMYFUNCTION("""COMPUTED_VALUE"""),"P-11967-00")</f>
        <v>P-11967-00</v>
      </c>
      <c r="B1389" s="14" t="str">
        <f>IFERROR(__xludf.DUMMYFUNCTION("""COMPUTED_VALUE"""),"Belt dressing ; Brand : GLOBAL ; P/N : GL-1033 ; Pack Size : pcs")</f>
        <v>Belt dressing ; Brand : GLOBAL ; P/N : GL-1033 ; Pack Size : pcs</v>
      </c>
      <c r="C1389" s="14" t="str">
        <f>IFERROR(__xludf.DUMMYFUNCTION("""COMPUTED_VALUE"""),"P-11967-00")</f>
        <v>P-11967-00</v>
      </c>
    </row>
    <row r="1390">
      <c r="A1390" s="14" t="str">
        <f>IFERROR(__xludf.DUMMYFUNCTION("""COMPUTED_VALUE"""),"P-11968-00")</f>
        <v>P-11968-00</v>
      </c>
      <c r="B1390" s="14" t="str">
        <f>IFERROR(__xludf.DUMMYFUNCTION("""COMPUTED_VALUE"""),"Berusynt FGH Spray H1 - Bechem")</f>
        <v>Berusynt FGH Spray H1 - Bechem</v>
      </c>
      <c r="C1390" s="14" t="str">
        <f>IFERROR(__xludf.DUMMYFUNCTION("""COMPUTED_VALUE"""),"P-11968-00")</f>
        <v>P-11968-00</v>
      </c>
    </row>
    <row r="1391">
      <c r="A1391" s="14" t="str">
        <f>IFERROR(__xludf.DUMMYFUNCTION("""COMPUTED_VALUE"""),"P-11972-00")</f>
        <v>P-11972-00</v>
      </c>
      <c r="B1391" s="14" t="str">
        <f>IFERROR(__xludf.DUMMYFUNCTION("""COMPUTED_VALUE"""),"Besi siku 30x30 mm")</f>
        <v>Besi siku 30x30 mm</v>
      </c>
      <c r="C1391" s="14" t="str">
        <f>IFERROR(__xludf.DUMMYFUNCTION("""COMPUTED_VALUE"""),"P-11972-00")</f>
        <v>P-11972-00</v>
      </c>
    </row>
    <row r="1392">
      <c r="A1392" s="14" t="str">
        <f>IFERROR(__xludf.DUMMYFUNCTION("""COMPUTED_VALUE"""),"P-11974-00")</f>
        <v>P-11974-00</v>
      </c>
      <c r="B1392" s="14" t="str">
        <f>IFERROR(__xludf.DUMMYFUNCTION("""COMPUTED_VALUE"""),"Besi siku SS 304 40x40x3x6000")</f>
        <v>Besi siku SS 304 40x40x3x6000</v>
      </c>
      <c r="C1392" s="14" t="str">
        <f>IFERROR(__xludf.DUMMYFUNCTION("""COMPUTED_VALUE"""),"P-11974-00")</f>
        <v>P-11974-00</v>
      </c>
    </row>
    <row r="1393">
      <c r="A1393" s="14" t="str">
        <f>IFERROR(__xludf.DUMMYFUNCTION("""COMPUTED_VALUE"""),"P-11990-00")</f>
        <v>P-11990-00</v>
      </c>
      <c r="B1393" s="14" t="str">
        <f>IFERROR(__xludf.DUMMYFUNCTION("""COMPUTED_VALUE"""),"Cable ties CS 100L")</f>
        <v>Cable ties CS 100L</v>
      </c>
      <c r="C1393" s="14" t="str">
        <f>IFERROR(__xludf.DUMMYFUNCTION("""COMPUTED_VALUE"""),"P-11990-00")</f>
        <v>P-11990-00</v>
      </c>
    </row>
    <row r="1394">
      <c r="A1394" s="14" t="str">
        <f>IFERROR(__xludf.DUMMYFUNCTION("""COMPUTED_VALUE"""),"P-11991-00")</f>
        <v>P-11991-00</v>
      </c>
      <c r="B1394" s="14" t="str">
        <f>IFERROR(__xludf.DUMMYFUNCTION("""COMPUTED_VALUE"""),"Cable ties CS 200L")</f>
        <v>Cable ties CS 200L</v>
      </c>
      <c r="C1394" s="14" t="str">
        <f>IFERROR(__xludf.DUMMYFUNCTION("""COMPUTED_VALUE"""),"P-11991-00")</f>
        <v>P-11991-00</v>
      </c>
    </row>
    <row r="1395">
      <c r="A1395" s="14" t="str">
        <f>IFERROR(__xludf.DUMMYFUNCTION("""COMPUTED_VALUE"""),"P-12027-00")</f>
        <v>P-12027-00</v>
      </c>
      <c r="B1395" s="14" t="str">
        <f>IFERROR(__xludf.DUMMYFUNCTION("""COMPUTED_VALUE"""),"Caustic soda flake (NaOH) - NaOH flake zak @25 kg ex Tjiwi")</f>
        <v>Caustic soda flake (NaOH) - NaOH flake zak @25 kg ex Tjiwi</v>
      </c>
      <c r="C1395" s="14" t="str">
        <f>IFERROR(__xludf.DUMMYFUNCTION("""COMPUTED_VALUE"""),"P-12027-00")</f>
        <v>P-12027-00</v>
      </c>
    </row>
    <row r="1396">
      <c r="A1396" s="14" t="str">
        <f>IFERROR(__xludf.DUMMYFUNCTION("""COMPUTED_VALUE"""),"P-12029-00")</f>
        <v>P-12029-00</v>
      </c>
      <c r="B1396" s="14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4" t="str">
        <f>IFERROR(__xludf.DUMMYFUNCTION("""COMPUTED_VALUE"""),"P-12029-00")</f>
        <v>P-12029-00</v>
      </c>
    </row>
    <row r="1397">
      <c r="A1397" s="14" t="str">
        <f>IFERROR(__xludf.DUMMYFUNCTION("""COMPUTED_VALUE"""),"P-12029-00")</f>
        <v>P-12029-00</v>
      </c>
      <c r="B1397" s="14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4" t="str">
        <f>IFERROR(__xludf.DUMMYFUNCTION("""COMPUTED_VALUE"""),"P-12029-00")</f>
        <v>P-12029-00</v>
      </c>
    </row>
    <row r="1398">
      <c r="A1398" s="14" t="str">
        <f>IFERROR(__xludf.DUMMYFUNCTION("""COMPUTED_VALUE"""),"P-12077-00")</f>
        <v>P-12077-00</v>
      </c>
      <c r="B1398" s="14" t="str">
        <f>IFERROR(__xludf.DUMMYFUNCTION("""COMPUTED_VALUE"""),"General - Clamp Selang, SS 1 1/4""; Tridon; -; 1 pcs")</f>
        <v>General - Clamp Selang, SS 1 1/4"; Tridon; -; 1 pcs</v>
      </c>
      <c r="C1398" s="14" t="str">
        <f>IFERROR(__xludf.DUMMYFUNCTION("""COMPUTED_VALUE"""),"P-12077-00")</f>
        <v>P-12077-00</v>
      </c>
    </row>
    <row r="1399">
      <c r="A1399" s="14" t="str">
        <f>IFERROR(__xludf.DUMMYFUNCTION("""COMPUTED_VALUE"""),"P-12080-00")</f>
        <v>P-12080-00</v>
      </c>
      <c r="B1399" s="14" t="str">
        <f>IFERROR(__xludf.DUMMYFUNCTION("""COMPUTED_VALUE"""),"General - Clamp Selang, SS, 1""; Tridon; -; 1 pcs")</f>
        <v>General - Clamp Selang, SS, 1"; Tridon; -; 1 pcs</v>
      </c>
      <c r="C1399" s="14" t="str">
        <f>IFERROR(__xludf.DUMMYFUNCTION("""COMPUTED_VALUE"""),"P-12080-00")</f>
        <v>P-12080-00</v>
      </c>
    </row>
    <row r="1400">
      <c r="A1400" s="14" t="str">
        <f>IFERROR(__xludf.DUMMYFUNCTION("""COMPUTED_VALUE"""),"P-12082-00")</f>
        <v>P-12082-00</v>
      </c>
      <c r="B1400" s="14" t="str">
        <f>IFERROR(__xludf.DUMMYFUNCTION("""COMPUTED_VALUE"""),"General - Clamp Selang, SS, 3/4""; Tridon; -; 1 pcs")</f>
        <v>General - Clamp Selang, SS, 3/4"; Tridon; -; 1 pcs</v>
      </c>
      <c r="C1400" s="14" t="str">
        <f>IFERROR(__xludf.DUMMYFUNCTION("""COMPUTED_VALUE"""),"P-12082-00")</f>
        <v>P-12082-00</v>
      </c>
    </row>
    <row r="1401">
      <c r="A1401" s="14" t="str">
        <f>IFERROR(__xludf.DUMMYFUNCTION("""COMPUTED_VALUE"""),"P-12083-00")</f>
        <v>P-12083-00</v>
      </c>
      <c r="B1401" s="14" t="str">
        <f>IFERROR(__xludf.DUMMYFUNCTION("""COMPUTED_VALUE"""),"General - Clamp Selang, SS, 1/2""; Tridon; -; 1 pcs")</f>
        <v>General - Clamp Selang, SS, 1/2"; Tridon; -; 1 pcs</v>
      </c>
      <c r="C1401" s="14" t="str">
        <f>IFERROR(__xludf.DUMMYFUNCTION("""COMPUTED_VALUE"""),"P-12083-00")</f>
        <v>P-12083-00</v>
      </c>
    </row>
    <row r="1402">
      <c r="A1402" s="14" t="str">
        <f>IFERROR(__xludf.DUMMYFUNCTION("""COMPUTED_VALUE"""),"P-12140-00")</f>
        <v>P-12140-00</v>
      </c>
      <c r="B1402" s="14" t="str">
        <f>IFERROR(__xludf.DUMMYFUNCTION("""COMPUTED_VALUE"""),"Double neeple SS 304 dia 1/2inch")</f>
        <v>Double neeple SS 304 dia 1/2inch</v>
      </c>
      <c r="C1402" s="14" t="str">
        <f>IFERROR(__xludf.DUMMYFUNCTION("""COMPUTED_VALUE"""),"P-12140-00")</f>
        <v>P-12140-00</v>
      </c>
    </row>
    <row r="1403">
      <c r="A1403" s="14" t="str">
        <f>IFERROR(__xludf.DUMMYFUNCTION("""COMPUTED_VALUE"""),"P-12143-00")</f>
        <v>P-12143-00</v>
      </c>
      <c r="B1403" s="14" t="str">
        <f>IFERROR(__xludf.DUMMYFUNCTION("""COMPUTED_VALUE"""),"Double nepple Kuningan 1/2inch")</f>
        <v>Double nepple Kuningan 1/2inch</v>
      </c>
      <c r="C1403" s="14" t="str">
        <f>IFERROR(__xludf.DUMMYFUNCTION("""COMPUTED_VALUE"""),"P-12143-00")</f>
        <v>P-12143-00</v>
      </c>
    </row>
    <row r="1404">
      <c r="A1404" s="14" t="str">
        <f>IFERROR(__xludf.DUMMYFUNCTION("""COMPUTED_VALUE"""),"P-12156-00")</f>
        <v>P-12156-00</v>
      </c>
      <c r="B1404" s="14" t="str">
        <f>IFERROR(__xludf.DUMMYFUNCTION("""COMPUTED_VALUE"""),"Dynabolt dia M 10x50 mm")</f>
        <v>Dynabolt dia M 10x50 mm</v>
      </c>
      <c r="C1404" s="14" t="str">
        <f>IFERROR(__xludf.DUMMYFUNCTION("""COMPUTED_VALUE"""),"P-12156-00")</f>
        <v>P-12156-00</v>
      </c>
    </row>
    <row r="1405">
      <c r="A1405" s="14" t="str">
        <f>IFERROR(__xludf.DUMMYFUNCTION("""COMPUTED_VALUE"""),"P-12157-00")</f>
        <v>P-12157-00</v>
      </c>
      <c r="B1405" s="14" t="str">
        <f>IFERROR(__xludf.DUMMYFUNCTION("""COMPUTED_VALUE"""),"Dynabolt m 6 x 30 mm")</f>
        <v>Dynabolt m 6 x 30 mm</v>
      </c>
      <c r="C1405" s="14" t="str">
        <f>IFERROR(__xludf.DUMMYFUNCTION("""COMPUTED_VALUE"""),"P-12157-00")</f>
        <v>P-12157-00</v>
      </c>
    </row>
    <row r="1406">
      <c r="A1406" s="14" t="str">
        <f>IFERROR(__xludf.DUMMYFUNCTION("""COMPUTED_VALUE"""),"P-12158-00")</f>
        <v>P-12158-00</v>
      </c>
      <c r="B1406" s="14" t="str">
        <f>IFERROR(__xludf.DUMMYFUNCTION("""COMPUTED_VALUE"""),"Dynabolt m 8 x 30 mm / m8 x 50 mm")</f>
        <v>Dynabolt m 8 x 30 mm / m8 x 50 mm</v>
      </c>
      <c r="C1406" s="14" t="str">
        <f>IFERROR(__xludf.DUMMYFUNCTION("""COMPUTED_VALUE"""),"P-12158-00")</f>
        <v>P-12158-00</v>
      </c>
    </row>
    <row r="1407">
      <c r="A1407" s="14" t="str">
        <f>IFERROR(__xludf.DUMMYFUNCTION("""COMPUTED_VALUE"""),"P-12185-00")</f>
        <v>P-12185-00</v>
      </c>
      <c r="B1407" s="14" t="str">
        <f>IFERROR(__xludf.DUMMYFUNCTION("""COMPUTED_VALUE"""),"Elbow PVC AW 90 deg dia 1inch")</f>
        <v>Elbow PVC AW 90 deg dia 1inch</v>
      </c>
      <c r="C1407" s="14" t="str">
        <f>IFERROR(__xludf.DUMMYFUNCTION("""COMPUTED_VALUE"""),"P-12185-00")</f>
        <v>P-12185-00</v>
      </c>
    </row>
    <row r="1408">
      <c r="A1408" s="14" t="str">
        <f>IFERROR(__xludf.DUMMYFUNCTION("""COMPUTED_VALUE"""),"P-12186-00")</f>
        <v>P-12186-00</v>
      </c>
      <c r="B1408" s="14" t="str">
        <f>IFERROR(__xludf.DUMMYFUNCTION("""COMPUTED_VALUE"""),"Elbow PVC AW 90 deg dia 1/2inch")</f>
        <v>Elbow PVC AW 90 deg dia 1/2inch</v>
      </c>
      <c r="C1408" s="14" t="str">
        <f>IFERROR(__xludf.DUMMYFUNCTION("""COMPUTED_VALUE"""),"P-12186-00")</f>
        <v>P-12186-00</v>
      </c>
    </row>
    <row r="1409">
      <c r="A1409" s="14" t="str">
        <f>IFERROR(__xludf.DUMMYFUNCTION("""COMPUTED_VALUE"""),"P-12195-00")</f>
        <v>P-12195-00</v>
      </c>
      <c r="B1409" s="14" t="str">
        <f>IFERROR(__xludf.DUMMYFUNCTION("""COMPUTED_VALUE"""),"Elbow SS 316 L dia 1inch")</f>
        <v>Elbow SS 316 L dia 1inch</v>
      </c>
      <c r="C1409" s="14" t="str">
        <f>IFERROR(__xludf.DUMMYFUNCTION("""COMPUTED_VALUE"""),"P-12195-00")</f>
        <v>P-12195-00</v>
      </c>
    </row>
    <row r="1410">
      <c r="A1410" s="14" t="str">
        <f>IFERROR(__xludf.DUMMYFUNCTION("""COMPUTED_VALUE"""),"P-12223-00")</f>
        <v>P-12223-00</v>
      </c>
      <c r="B1410" s="14" t="str">
        <f>IFERROR(__xludf.DUMMYFUNCTION("""COMPUTED_VALUE"""),"FESTO - Blanking plug QSC-6H  p/n 153268")</f>
        <v>FESTO - Blanking plug QSC-6H  p/n 153268</v>
      </c>
      <c r="C1410" s="14" t="str">
        <f>IFERROR(__xludf.DUMMYFUNCTION("""COMPUTED_VALUE"""),"P-12223-00")</f>
        <v>P-12223-00</v>
      </c>
    </row>
    <row r="1411">
      <c r="A1411" s="14" t="str">
        <f>IFERROR(__xludf.DUMMYFUNCTION("""COMPUTED_VALUE"""),"P-12258-00")</f>
        <v>P-12258-00</v>
      </c>
      <c r="B1411" s="14" t="str">
        <f>IFERROR(__xludf.DUMMYFUNCTION("""COMPUTED_VALUE"""),"FESTO - Push In Connector QS-10-10")</f>
        <v>FESTO - Push In Connector QS-10-10</v>
      </c>
      <c r="C1411" s="14" t="str">
        <f>IFERROR(__xludf.DUMMYFUNCTION("""COMPUTED_VALUE"""),"P-12258-00")</f>
        <v>P-12258-00</v>
      </c>
    </row>
    <row r="1412">
      <c r="A1412" s="14" t="str">
        <f>IFERROR(__xludf.DUMMYFUNCTION("""COMPUTED_VALUE"""),"P-12260-00")</f>
        <v>P-12260-00</v>
      </c>
      <c r="B1412" s="14" t="str">
        <f>IFERROR(__xludf.DUMMYFUNCTION("""COMPUTED_VALUE"""),"FESTO - Push In Connector QS-4-4")</f>
        <v>FESTO - Push In Connector QS-4-4</v>
      </c>
      <c r="C1412" s="14" t="str">
        <f>IFERROR(__xludf.DUMMYFUNCTION("""COMPUTED_VALUE"""),"P-12260-00")</f>
        <v>P-12260-00</v>
      </c>
    </row>
    <row r="1413">
      <c r="A1413" s="14" t="str">
        <f>IFERROR(__xludf.DUMMYFUNCTION("""COMPUTED_VALUE"""),"P-12261-00")</f>
        <v>P-12261-00</v>
      </c>
      <c r="B1413" s="14" t="str">
        <f>IFERROR(__xludf.DUMMYFUNCTION("""COMPUTED_VALUE"""),"FESTO - Push In Connector QS-6 p/n 153032")</f>
        <v>FESTO - Push In Connector QS-6 p/n 153032</v>
      </c>
      <c r="C1413" s="14" t="str">
        <f>IFERROR(__xludf.DUMMYFUNCTION("""COMPUTED_VALUE"""),"P-12261-00")</f>
        <v>P-12261-00</v>
      </c>
    </row>
    <row r="1414">
      <c r="A1414" s="14" t="str">
        <f>IFERROR(__xludf.DUMMYFUNCTION("""COMPUTED_VALUE"""),"P-12263-00")</f>
        <v>P-12263-00</v>
      </c>
      <c r="B1414" s="14" t="str">
        <f>IFERROR(__xludf.DUMMYFUNCTION("""COMPUTED_VALUE"""),"FESTO - Push In Connector QS-8 p/n 153033")</f>
        <v>FESTO - Push In Connector QS-8 p/n 153033</v>
      </c>
      <c r="C1414" s="14" t="str">
        <f>IFERROR(__xludf.DUMMYFUNCTION("""COMPUTED_VALUE"""),"P-12263-00")</f>
        <v>P-12263-00</v>
      </c>
    </row>
    <row r="1415">
      <c r="A1415" s="14" t="str">
        <f>IFERROR(__xludf.DUMMYFUNCTION("""COMPUTED_VALUE"""),"P-12265-00")</f>
        <v>P-12265-00</v>
      </c>
      <c r="B1415" s="14" t="str">
        <f>IFERROR(__xludf.DUMMYFUNCTION("""COMPUTED_VALUE"""),"FESTO - Push In Connector QS-8-6 p/n 153038")</f>
        <v>FESTO - Push In Connector QS-8-6 p/n 153038</v>
      </c>
      <c r="C1415" s="14" t="str">
        <f>IFERROR(__xludf.DUMMYFUNCTION("""COMPUTED_VALUE"""),"P-12265-00")</f>
        <v>P-12265-00</v>
      </c>
    </row>
    <row r="1416">
      <c r="A1416" s="14" t="str">
        <f>IFERROR(__xludf.DUMMYFUNCTION("""COMPUTED_VALUE"""),"P-12266-00")</f>
        <v>P-12266-00</v>
      </c>
      <c r="B1416" s="14" t="str">
        <f>IFERROR(__xludf.DUMMYFUNCTION("""COMPUTED_VALUE"""),"FESTO - Push In Fitting QS-1/2-10 part number 190646")</f>
        <v>FESTO - Push In Fitting QS-1/2-10 part number 190646</v>
      </c>
      <c r="C1416" s="14" t="str">
        <f>IFERROR(__xludf.DUMMYFUNCTION("""COMPUTED_VALUE"""),"P-12266-00")</f>
        <v>P-12266-00</v>
      </c>
    </row>
    <row r="1417">
      <c r="A1417" s="14" t="str">
        <f>IFERROR(__xludf.DUMMYFUNCTION("""COMPUTED_VALUE"""),"P-12266-00")</f>
        <v>P-12266-00</v>
      </c>
      <c r="B1417" s="14" t="str">
        <f>IFERROR(__xludf.DUMMYFUNCTION("""COMPUTED_VALUE"""),"FESTO - Push In Fitting QS-1/2-10 part number 190646")</f>
        <v>FESTO - Push In Fitting QS-1/2-10 part number 190646</v>
      </c>
      <c r="C1417" s="14" t="str">
        <f>IFERROR(__xludf.DUMMYFUNCTION("""COMPUTED_VALUE"""),"P-12266-00")</f>
        <v>P-12266-00</v>
      </c>
    </row>
    <row r="1418">
      <c r="A1418" s="14" t="str">
        <f>IFERROR(__xludf.DUMMYFUNCTION("""COMPUTED_VALUE"""),"P-12267-00")</f>
        <v>P-12267-00</v>
      </c>
      <c r="B1418" s="14" t="str">
        <f>IFERROR(__xludf.DUMMYFUNCTION("""COMPUTED_VALUE"""),"FESTO - Push In Fitting QS-1/2-8 (NPQE-D-R12-Q8-P5);  P/N : 8112930")</f>
        <v>FESTO - Push In Fitting QS-1/2-8 (NPQE-D-R12-Q8-P5);  P/N : 8112930</v>
      </c>
      <c r="C1418" s="14" t="str">
        <f>IFERROR(__xludf.DUMMYFUNCTION("""COMPUTED_VALUE"""),"P-12267-00")</f>
        <v>P-12267-00</v>
      </c>
    </row>
    <row r="1419">
      <c r="A1419" s="14" t="str">
        <f>IFERROR(__xludf.DUMMYFUNCTION("""COMPUTED_VALUE"""),"P-12269-00")</f>
        <v>P-12269-00</v>
      </c>
      <c r="B1419" s="14" t="str">
        <f>IFERROR(__xludf.DUMMYFUNCTION("""COMPUTED_VALUE"""),"FESTO - Push-In Fitting type QSM-M5-6 p/n 153306")</f>
        <v>FESTO - Push-In Fitting type QSM-M5-6 p/n 153306</v>
      </c>
      <c r="C1419" s="14" t="str">
        <f>IFERROR(__xludf.DUMMYFUNCTION("""COMPUTED_VALUE"""),"P-12269-00")</f>
        <v>P-12269-00</v>
      </c>
    </row>
    <row r="1420">
      <c r="A1420" s="14" t="str">
        <f>IFERROR(__xludf.DUMMYFUNCTION("""COMPUTED_VALUE"""),"P-12275-00")</f>
        <v>P-12275-00</v>
      </c>
      <c r="B1420" s="14" t="str">
        <f>IFERROR(__xludf.DUMMYFUNCTION("""COMPUTED_VALUE"""),"FESTO - QS-1/4-6 Push-In fitting p/n 153003")</f>
        <v>FESTO - QS-1/4-6 Push-In fitting p/n 153003</v>
      </c>
      <c r="C1420" s="14" t="str">
        <f>IFERROR(__xludf.DUMMYFUNCTION("""COMPUTED_VALUE"""),"P-12275-00")</f>
        <v>P-12275-00</v>
      </c>
    </row>
    <row r="1421">
      <c r="A1421" s="14" t="str">
        <f>IFERROR(__xludf.DUMMYFUNCTION("""COMPUTED_VALUE"""),"P-12276-00")</f>
        <v>P-12276-00</v>
      </c>
      <c r="B1421" s="14" t="str">
        <f>IFERROR(__xludf.DUMMYFUNCTION("""COMPUTED_VALUE"""),"FESTO - QS-1/4-8 Push-In fitting p/n 153005")</f>
        <v>FESTO - QS-1/4-8 Push-In fitting p/n 153005</v>
      </c>
      <c r="C1421" s="14" t="str">
        <f>IFERROR(__xludf.DUMMYFUNCTION("""COMPUTED_VALUE"""),"P-12276-00")</f>
        <v>P-12276-00</v>
      </c>
    </row>
    <row r="1422">
      <c r="A1422" s="14" t="str">
        <f>IFERROR(__xludf.DUMMYFUNCTION("""COMPUTED_VALUE"""),"P-12279-00")</f>
        <v>P-12279-00</v>
      </c>
      <c r="B1422" s="14" t="str">
        <f>IFERROR(__xludf.DUMMYFUNCTION("""COMPUTED_VALUE"""),"FESTO - QS-1/8-6 Push-In fitting p/n 153002")</f>
        <v>FESTO - QS-1/8-6 Push-In fitting p/n 153002</v>
      </c>
      <c r="C1422" s="14" t="str">
        <f>IFERROR(__xludf.DUMMYFUNCTION("""COMPUTED_VALUE"""),"P-12279-00")</f>
        <v>P-12279-00</v>
      </c>
    </row>
    <row r="1423">
      <c r="A1423" s="14" t="str">
        <f>IFERROR(__xludf.DUMMYFUNCTION("""COMPUTED_VALUE"""),"P-12280-00")</f>
        <v>P-12280-00</v>
      </c>
      <c r="B1423" s="14" t="str">
        <f>IFERROR(__xludf.DUMMYFUNCTION("""COMPUTED_VALUE"""),"FESTO - QS-1/8-8 Push-In fitting p/n 153004")</f>
        <v>FESTO - QS-1/8-8 Push-In fitting p/n 153004</v>
      </c>
      <c r="C1423" s="14" t="str">
        <f>IFERROR(__xludf.DUMMYFUNCTION("""COMPUTED_VALUE"""),"P-12280-00")</f>
        <v>P-12280-00</v>
      </c>
    </row>
    <row r="1424">
      <c r="A1424" s="14" t="str">
        <f>IFERROR(__xludf.DUMMYFUNCTION("""COMPUTED_VALUE"""),"P-12281-00")</f>
        <v>P-12281-00</v>
      </c>
      <c r="B1424" s="14" t="str">
        <f>IFERROR(__xludf.DUMMYFUNCTION("""COMPUTED_VALUE"""),"FESTO - QS-10-8 Push In Connector p/n 153039")</f>
        <v>FESTO - QS-10-8 Push In Connector p/n 153039</v>
      </c>
      <c r="C1424" s="14" t="str">
        <f>IFERROR(__xludf.DUMMYFUNCTION("""COMPUTED_VALUE"""),"P-12281-00")</f>
        <v>P-12281-00</v>
      </c>
    </row>
    <row r="1425">
      <c r="A1425" s="14" t="str">
        <f>IFERROR(__xludf.DUMMYFUNCTION("""COMPUTED_VALUE"""),"P-12282-00")</f>
        <v>P-12282-00</v>
      </c>
      <c r="B1425" s="14" t="str">
        <f>IFERROR(__xludf.DUMMYFUNCTION("""COMPUTED_VALUE"""),"FESTO - QS-12-10 Push in Connector p/n: 153040")</f>
        <v>FESTO - QS-12-10 Push in Connector p/n: 153040</v>
      </c>
      <c r="C1425" s="14" t="str">
        <f>IFERROR(__xludf.DUMMYFUNCTION("""COMPUTED_VALUE"""),"P-12282-00")</f>
        <v>P-12282-00</v>
      </c>
    </row>
    <row r="1426">
      <c r="A1426" s="14" t="str">
        <f>IFERROR(__xludf.DUMMYFUNCTION("""COMPUTED_VALUE"""),"P-12286-00")</f>
        <v>P-12286-00</v>
      </c>
      <c r="B1426" s="14" t="str">
        <f>IFERROR(__xludf.DUMMYFUNCTION("""COMPUTED_VALUE"""),"FESTO - QS-3/8-6 Push-In fitting p/n 190645")</f>
        <v>FESTO - QS-3/8-6 Push-In fitting p/n 190645</v>
      </c>
      <c r="C1426" s="14" t="str">
        <f>IFERROR(__xludf.DUMMYFUNCTION("""COMPUTED_VALUE"""),"P-12286-00")</f>
        <v>P-12286-00</v>
      </c>
    </row>
    <row r="1427">
      <c r="A1427" s="14" t="str">
        <f>IFERROR(__xludf.DUMMYFUNCTION("""COMPUTED_VALUE"""),"P-12287-00")</f>
        <v>P-12287-00</v>
      </c>
      <c r="B1427" s="14" t="str">
        <f>IFERROR(__xludf.DUMMYFUNCTION("""COMPUTED_VALUE"""),"FESTO - QS-3/8-8 Push-In fitting p/n 153006")</f>
        <v>FESTO - QS-3/8-8 Push-In fitting p/n 153006</v>
      </c>
      <c r="C1427" s="14" t="str">
        <f>IFERROR(__xludf.DUMMYFUNCTION("""COMPUTED_VALUE"""),"P-12287-00")</f>
        <v>P-12287-00</v>
      </c>
    </row>
    <row r="1428">
      <c r="A1428" s="14" t="str">
        <f>IFERROR(__xludf.DUMMYFUNCTION("""COMPUTED_VALUE"""),"P-12300-00")</f>
        <v>P-12300-00</v>
      </c>
      <c r="B1428" s="14" t="str">
        <f>IFERROR(__xludf.DUMMYFUNCTION("""COMPUTED_VALUE"""),"FESTO - QSML-M5-4 part Number 15333")</f>
        <v>FESTO - QSML-M5-4 part Number 15333</v>
      </c>
      <c r="C1428" s="14" t="str">
        <f>IFERROR(__xludf.DUMMYFUNCTION("""COMPUTED_VALUE"""),"P-12300-00")</f>
        <v>P-12300-00</v>
      </c>
    </row>
    <row r="1429">
      <c r="A1429" s="14" t="str">
        <f>IFERROR(__xludf.DUMMYFUNCTION("""COMPUTED_VALUE"""),"P-12305-00")</f>
        <v>P-12305-00</v>
      </c>
      <c r="B1429" s="14" t="str">
        <f>IFERROR(__xludf.DUMMYFUNCTION("""COMPUTED_VALUE"""),"FESTO - QST-6 Push in t-connection p/n 153129")</f>
        <v>FESTO - QST-6 Push in t-connection p/n 153129</v>
      </c>
      <c r="C1429" s="14" t="str">
        <f>IFERROR(__xludf.DUMMYFUNCTION("""COMPUTED_VALUE"""),"P-12305-00")</f>
        <v>P-12305-00</v>
      </c>
    </row>
    <row r="1430">
      <c r="A1430" s="14" t="str">
        <f>IFERROR(__xludf.DUMMYFUNCTION("""COMPUTED_VALUE"""),"P-12306-00")</f>
        <v>P-12306-00</v>
      </c>
      <c r="B1430" s="14" t="str">
        <f>IFERROR(__xludf.DUMMYFUNCTION("""COMPUTED_VALUE"""),"FESTO - QST-8 push in t- connection p/n 153130")</f>
        <v>FESTO - QST-8 push in t- connection p/n 153130</v>
      </c>
      <c r="C1430" s="14" t="str">
        <f>IFERROR(__xludf.DUMMYFUNCTION("""COMPUTED_VALUE"""),"P-12306-00")</f>
        <v>P-12306-00</v>
      </c>
    </row>
    <row r="1431">
      <c r="A1431" s="14" t="str">
        <f>IFERROR(__xludf.DUMMYFUNCTION("""COMPUTED_VALUE"""),"P-12365-00")</f>
        <v>P-12365-00</v>
      </c>
      <c r="B1431" s="14" t="str">
        <f>IFERROR(__xludf.DUMMYFUNCTION("""COMPUTED_VALUE"""),"Gembok sedang uk. 5 mm")</f>
        <v>Gembok sedang uk. 5 mm</v>
      </c>
      <c r="C1431" s="14" t="str">
        <f>IFERROR(__xludf.DUMMYFUNCTION("""COMPUTED_VALUE"""),"P-12365-00")</f>
        <v>P-12365-00</v>
      </c>
    </row>
    <row r="1432">
      <c r="A1432" s="14" t="str">
        <f>IFERROR(__xludf.DUMMYFUNCTION("""COMPUTED_VALUE"""),"P-12418-00")</f>
        <v>P-12418-00</v>
      </c>
      <c r="B1432" s="14" t="str">
        <f>IFERROR(__xludf.DUMMYFUNCTION("""COMPUTED_VALUE"""),"Hole saw u/ stainless stell dia 20 mm ex UNIKA")</f>
        <v>Hole saw u/ stainless stell dia 20 mm ex UNIKA</v>
      </c>
      <c r="C1432" s="14" t="str">
        <f>IFERROR(__xludf.DUMMYFUNCTION("""COMPUTED_VALUE"""),"P-12418-00")</f>
        <v>P-12418-00</v>
      </c>
    </row>
    <row r="1433">
      <c r="A1433" s="14" t="str">
        <f>IFERROR(__xludf.DUMMYFUNCTION("""COMPUTED_VALUE"""),"P-12419-00")</f>
        <v>P-12419-00</v>
      </c>
      <c r="B1433" s="14" t="str">
        <f>IFERROR(__xludf.DUMMYFUNCTION("""COMPUTED_VALUE"""),"General - Hole Saw for Stainless Steel, dia. 22 mm; UNIKA; -; 1 pcs")</f>
        <v>General - Hole Saw for Stainless Steel, dia. 22 mm; UNIKA; -; 1 pcs</v>
      </c>
      <c r="C1433" s="14" t="str">
        <f>IFERROR(__xludf.DUMMYFUNCTION("""COMPUTED_VALUE"""),"P-12419-00")</f>
        <v>P-12419-00</v>
      </c>
    </row>
    <row r="1434">
      <c r="A1434" s="14" t="str">
        <f>IFERROR(__xludf.DUMMYFUNCTION("""COMPUTED_VALUE"""),"P-12420-00")</f>
        <v>P-12420-00</v>
      </c>
      <c r="B1434" s="14" t="str">
        <f>IFERROR(__xludf.DUMMYFUNCTION("""COMPUTED_VALUE"""),"General - Hole Saw for Stainless Steel, dia. 25 mm; UNIKA; -; 1 pcs")</f>
        <v>General - Hole Saw for Stainless Steel, dia. 25 mm; UNIKA; -; 1 pcs</v>
      </c>
      <c r="C1434" s="14" t="str">
        <f>IFERROR(__xludf.DUMMYFUNCTION("""COMPUTED_VALUE"""),"P-12420-00")</f>
        <v>P-12420-00</v>
      </c>
    </row>
    <row r="1435">
      <c r="A1435" s="14" t="str">
        <f>IFERROR(__xludf.DUMMYFUNCTION("""COMPUTED_VALUE"""),"P-12433-00")</f>
        <v>P-12433-00</v>
      </c>
      <c r="B1435" s="14" t="str">
        <f>IFERROR(__xludf.DUMMYFUNCTION("""COMPUTED_VALUE"""),"Isolasi AC- Sansui")</f>
        <v>Isolasi AC- Sansui</v>
      </c>
      <c r="C1435" s="14" t="str">
        <f>IFERROR(__xludf.DUMMYFUNCTION("""COMPUTED_VALUE"""),"P-12433-00")</f>
        <v>P-12433-00</v>
      </c>
    </row>
    <row r="1436">
      <c r="A1436" s="14" t="str">
        <f>IFERROR(__xludf.DUMMYFUNCTION("""COMPUTED_VALUE"""),"P-12455-00")</f>
        <v>P-12455-00</v>
      </c>
      <c r="B1436" s="14" t="str">
        <f>IFERROR(__xludf.DUMMYFUNCTION("""COMPUTED_VALUE"""),"KITZ - Gate Valve dia 1inch")</f>
        <v>KITZ - Gate Valve dia 1inch</v>
      </c>
      <c r="C1436" s="14" t="str">
        <f>IFERROR(__xludf.DUMMYFUNCTION("""COMPUTED_VALUE"""),"P-12455-00")</f>
        <v>P-12455-00</v>
      </c>
    </row>
    <row r="1437">
      <c r="A1437" s="14" t="str">
        <f>IFERROR(__xludf.DUMMYFUNCTION("""COMPUTED_VALUE"""),"P-12456-00")</f>
        <v>P-12456-00</v>
      </c>
      <c r="B1437" s="14" t="str">
        <f>IFERROR(__xludf.DUMMYFUNCTION("""COMPUTED_VALUE"""),"KITZ - Gate Valve dia 3/4inch")</f>
        <v>KITZ - Gate Valve dia 3/4inch</v>
      </c>
      <c r="C1437" s="14" t="str">
        <f>IFERROR(__xludf.DUMMYFUNCTION("""COMPUTED_VALUE"""),"P-12456-00")</f>
        <v>P-12456-00</v>
      </c>
    </row>
    <row r="1438">
      <c r="A1438" s="14" t="str">
        <f>IFERROR(__xludf.DUMMYFUNCTION("""COMPUTED_VALUE"""),"P-12464-00")</f>
        <v>P-12464-00</v>
      </c>
      <c r="B1438" s="14" t="str">
        <f>IFERROR(__xludf.DUMMYFUNCTION("""COMPUTED_VALUE"""),"General - Lem Aibon; No Brand; -; 300 gram/can")</f>
        <v>General - Lem Aibon; No Brand; -; 300 gram/can</v>
      </c>
      <c r="C1438" s="14" t="str">
        <f>IFERROR(__xludf.DUMMYFUNCTION("""COMPUTED_VALUE"""),"P-12464-00")</f>
        <v>P-12464-00</v>
      </c>
    </row>
    <row r="1439">
      <c r="A1439" s="14" t="str">
        <f>IFERROR(__xludf.DUMMYFUNCTION("""COMPUTED_VALUE"""),"P-12470-00")</f>
        <v>P-12470-00</v>
      </c>
      <c r="B1439" s="14" t="str">
        <f>IFERROR(__xludf.DUMMYFUNCTION("""COMPUTED_VALUE"""),"Lem PVC Isarplas 300 gr/kaleng")</f>
        <v>Lem PVC Isarplas 300 gr/kaleng</v>
      </c>
      <c r="C1439" s="14" t="str">
        <f>IFERROR(__xludf.DUMMYFUNCTION("""COMPUTED_VALUE"""),"P-12470-00")</f>
        <v>P-12470-00</v>
      </c>
    </row>
    <row r="1440">
      <c r="A1440" s="14" t="str">
        <f>IFERROR(__xludf.DUMMYFUNCTION("""COMPUTED_VALUE"""),"P-12471-00")</f>
        <v>P-12471-00</v>
      </c>
      <c r="B1440" s="14" t="str">
        <f>IFERROR(__xludf.DUMMYFUNCTION("""COMPUTED_VALUE"""),"General - Lem silicone; Elastosil; E41; 90gram/tube")</f>
        <v>General - Lem silicone; Elastosil; E41; 90gram/tube</v>
      </c>
      <c r="C1440" s="14" t="str">
        <f>IFERROR(__xludf.DUMMYFUNCTION("""COMPUTED_VALUE"""),"P-12471-00")</f>
        <v>P-12471-00</v>
      </c>
    </row>
    <row r="1441">
      <c r="A1441" s="14" t="str">
        <f>IFERROR(__xludf.DUMMYFUNCTION("""COMPUTED_VALUE"""),"P-12476-00")</f>
        <v>P-12476-00</v>
      </c>
      <c r="B1441" s="14" t="str">
        <f>IFERROR(__xludf.DUMMYFUNCTION("""COMPUTED_VALUE"""),"General - Mata Bor Besi, dia. 10 mm; NACHI; -; 1 pcs")</f>
        <v>General - Mata Bor Besi, dia. 10 mm; NACHI; -; 1 pcs</v>
      </c>
      <c r="C1441" s="14" t="str">
        <f>IFERROR(__xludf.DUMMYFUNCTION("""COMPUTED_VALUE"""),"P-12476-00")</f>
        <v>P-12476-00</v>
      </c>
    </row>
    <row r="1442">
      <c r="A1442" s="14" t="str">
        <f>IFERROR(__xludf.DUMMYFUNCTION("""COMPUTED_VALUE"""),"P-12482-00")</f>
        <v>P-12482-00</v>
      </c>
      <c r="B1442" s="14" t="str">
        <f>IFERROR(__xludf.DUMMYFUNCTION("""COMPUTED_VALUE"""),"General - Mata Bor Besi, dia. 2 mm; NACHI; -; 1 pcs")</f>
        <v>General - Mata Bor Besi, dia. 2 mm; NACHI; -; 1 pcs</v>
      </c>
      <c r="C1442" s="14" t="str">
        <f>IFERROR(__xludf.DUMMYFUNCTION("""COMPUTED_VALUE"""),"P-12482-00")</f>
        <v>P-12482-00</v>
      </c>
    </row>
    <row r="1443">
      <c r="A1443" s="14" t="str">
        <f>IFERROR(__xludf.DUMMYFUNCTION("""COMPUTED_VALUE"""),"P-12483-00")</f>
        <v>P-12483-00</v>
      </c>
      <c r="B1443" s="14" t="str">
        <f>IFERROR(__xludf.DUMMYFUNCTION("""COMPUTED_VALUE"""),"General - Mata Bor Besi, dia. 2.5 mm; NACHI; -; 1 pcs")</f>
        <v>General - Mata Bor Besi, dia. 2.5 mm; NACHI; -; 1 pcs</v>
      </c>
      <c r="C1443" s="14" t="str">
        <f>IFERROR(__xludf.DUMMYFUNCTION("""COMPUTED_VALUE"""),"P-12483-00")</f>
        <v>P-12483-00</v>
      </c>
    </row>
    <row r="1444">
      <c r="A1444" s="14" t="str">
        <f>IFERROR(__xludf.DUMMYFUNCTION("""COMPUTED_VALUE"""),"P-12485-00")</f>
        <v>P-12485-00</v>
      </c>
      <c r="B1444" s="14" t="str">
        <f>IFERROR(__xludf.DUMMYFUNCTION("""COMPUTED_VALUE"""),"General - Mata Bor Besi, dia. 3 mm; NACHI; -; 1 pcs")</f>
        <v>General - Mata Bor Besi, dia. 3 mm; NACHI; -; 1 pcs</v>
      </c>
      <c r="C1444" s="14" t="str">
        <f>IFERROR(__xludf.DUMMYFUNCTION("""COMPUTED_VALUE"""),"P-12485-00")</f>
        <v>P-12485-00</v>
      </c>
    </row>
    <row r="1445">
      <c r="A1445" s="14" t="str">
        <f>IFERROR(__xludf.DUMMYFUNCTION("""COMPUTED_VALUE"""),"P-12487-00")</f>
        <v>P-12487-00</v>
      </c>
      <c r="B1445" s="14" t="str">
        <f>IFERROR(__xludf.DUMMYFUNCTION("""COMPUTED_VALUE"""),"General - Mata Bor Besi, dia. 3.5 mm; NACHI; -; 1 pcs")</f>
        <v>General - Mata Bor Besi, dia. 3.5 mm; NACHI; -; 1 pcs</v>
      </c>
      <c r="C1445" s="14" t="str">
        <f>IFERROR(__xludf.DUMMYFUNCTION("""COMPUTED_VALUE"""),"P-12487-00")</f>
        <v>P-12487-00</v>
      </c>
    </row>
    <row r="1446">
      <c r="A1446" s="14" t="str">
        <f>IFERROR(__xludf.DUMMYFUNCTION("""COMPUTED_VALUE"""),"P-12488-00")</f>
        <v>P-12488-00</v>
      </c>
      <c r="B1446" s="14" t="str">
        <f>IFERROR(__xludf.DUMMYFUNCTION("""COMPUTED_VALUE"""),"General - Mata Bor Besi, dia. 4 mm; NACHI; -; 1 pcs")</f>
        <v>General - Mata Bor Besi, dia. 4 mm; NACHI; -; 1 pcs</v>
      </c>
      <c r="C1446" s="14" t="str">
        <f>IFERROR(__xludf.DUMMYFUNCTION("""COMPUTED_VALUE"""),"P-12488-00")</f>
        <v>P-12488-00</v>
      </c>
    </row>
    <row r="1447">
      <c r="A1447" s="14" t="str">
        <f>IFERROR(__xludf.DUMMYFUNCTION("""COMPUTED_VALUE"""),"P-12490-00")</f>
        <v>P-12490-00</v>
      </c>
      <c r="B1447" s="14" t="str">
        <f>IFERROR(__xludf.DUMMYFUNCTION("""COMPUTED_VALUE"""),"General - Mata Bor Besi, dia. 5 mm; NACHI; -; 1 pcs")</f>
        <v>General - Mata Bor Besi, dia. 5 mm; NACHI; -; 1 pcs</v>
      </c>
      <c r="C1447" s="14" t="str">
        <f>IFERROR(__xludf.DUMMYFUNCTION("""COMPUTED_VALUE"""),"P-12490-00")</f>
        <v>P-12490-00</v>
      </c>
    </row>
    <row r="1448">
      <c r="A1448" s="14" t="str">
        <f>IFERROR(__xludf.DUMMYFUNCTION("""COMPUTED_VALUE"""),"P-12492-00")</f>
        <v>P-12492-00</v>
      </c>
      <c r="B1448" s="14" t="str">
        <f>IFERROR(__xludf.DUMMYFUNCTION("""COMPUTED_VALUE"""),"General - Mata Bor Besi, dia. 6.5 mm; NACHI; -; 1 pcs")</f>
        <v>General - Mata Bor Besi, dia. 6.5 mm; NACHI; -; 1 pcs</v>
      </c>
      <c r="C1448" s="14" t="str">
        <f>IFERROR(__xludf.DUMMYFUNCTION("""COMPUTED_VALUE"""),"P-12492-00")</f>
        <v>P-12492-00</v>
      </c>
    </row>
    <row r="1449">
      <c r="A1449" s="14" t="str">
        <f>IFERROR(__xludf.DUMMYFUNCTION("""COMPUTED_VALUE"""),"P-12495-00")</f>
        <v>P-12495-00</v>
      </c>
      <c r="B1449" s="14" t="str">
        <f>IFERROR(__xludf.DUMMYFUNCTION("""COMPUTED_VALUE"""),"Mata Bor besi dia 7.5 mm ex NACHI")</f>
        <v>Mata Bor besi dia 7.5 mm ex NACHI</v>
      </c>
      <c r="C1449" s="14" t="str">
        <f>IFERROR(__xludf.DUMMYFUNCTION("""COMPUTED_VALUE"""),"P-12495-00")</f>
        <v>P-12495-00</v>
      </c>
    </row>
    <row r="1450">
      <c r="A1450" s="14" t="str">
        <f>IFERROR(__xludf.DUMMYFUNCTION("""COMPUTED_VALUE"""),"P-12515-00")</f>
        <v>P-12515-00</v>
      </c>
      <c r="B1450" s="14" t="str">
        <f>IFERROR(__xludf.DUMMYFUNCTION("""COMPUTED_VALUE"""),"General - Mata Bor, HSS, 1 - 13 mm; NACHI; -; 25 pcs per set")</f>
        <v>General - Mata Bor, HSS, 1 - 13 mm; NACHI; -; 25 pcs per set</v>
      </c>
      <c r="C1450" s="14" t="str">
        <f>IFERROR(__xludf.DUMMYFUNCTION("""COMPUTED_VALUE"""),"P-12515-00")</f>
        <v>P-12515-00</v>
      </c>
    </row>
    <row r="1451">
      <c r="A1451" s="14" t="str">
        <f>IFERROR(__xludf.DUMMYFUNCTION("""COMPUTED_VALUE"""),"P-12519-00")</f>
        <v>P-12519-00</v>
      </c>
      <c r="B1451" s="14" t="str">
        <f>IFERROR(__xludf.DUMMYFUNCTION("""COMPUTED_VALUE"""),"Neeple bushing kuningan 1/2x1/4inch")</f>
        <v>Neeple bushing kuningan 1/2x1/4inch</v>
      </c>
      <c r="C1451" s="14" t="str">
        <f>IFERROR(__xludf.DUMMYFUNCTION("""COMPUTED_VALUE"""),"P-12519-00")</f>
        <v>P-12519-00</v>
      </c>
    </row>
    <row r="1452">
      <c r="A1452" s="14" t="str">
        <f>IFERROR(__xludf.DUMMYFUNCTION("""COMPUTED_VALUE"""),"P-12523-00")</f>
        <v>P-12523-00</v>
      </c>
      <c r="B1452" s="14" t="str">
        <f>IFERROR(__xludf.DUMMYFUNCTION("""COMPUTED_VALUE"""),"Neeple bushing kuningan 3/4x1/2inch")</f>
        <v>Neeple bushing kuningan 3/4x1/2inch</v>
      </c>
      <c r="C1452" s="14" t="str">
        <f>IFERROR(__xludf.DUMMYFUNCTION("""COMPUTED_VALUE"""),"P-12523-00")</f>
        <v>P-12523-00</v>
      </c>
    </row>
    <row r="1453">
      <c r="A1453" s="14" t="str">
        <f>IFERROR(__xludf.DUMMYFUNCTION("""COMPUTED_VALUE"""),"P-12695-00")</f>
        <v>P-12695-00</v>
      </c>
      <c r="B1453" s="14" t="str">
        <f>IFERROR(__xludf.DUMMYFUNCTION("""COMPUTED_VALUE"""),"PC 4200/IMA C90 - Draw in-roller Cpl; GUK; 21401-0007; 1 pcs")</f>
        <v>PC 4200/IMA C90 - Draw in-roller Cpl; GUK; 21401-0007; 1 pcs</v>
      </c>
      <c r="C1453" s="14" t="str">
        <f>IFERROR(__xludf.DUMMYFUNCTION("""COMPUTED_VALUE"""),"P-12695-00")</f>
        <v>P-12695-00</v>
      </c>
    </row>
    <row r="1454">
      <c r="A1454" s="14" t="str">
        <f>IFERROR(__xludf.DUMMYFUNCTION("""COMPUTED_VALUE"""),"P-12695-00")</f>
        <v>P-12695-00</v>
      </c>
      <c r="B1454" s="14" t="str">
        <f>IFERROR(__xludf.DUMMYFUNCTION("""COMPUTED_VALUE"""),"PC 4200/IMA C90 - Draw in-roller Cpl; GUK; 21401-0007; 1 pcs")</f>
        <v>PC 4200/IMA C90 - Draw in-roller Cpl; GUK; 21401-0007; 1 pcs</v>
      </c>
      <c r="C1454" s="14" t="str">
        <f>IFERROR(__xludf.DUMMYFUNCTION("""COMPUTED_VALUE"""),"P-12695-00")</f>
        <v>P-12695-00</v>
      </c>
    </row>
    <row r="1455">
      <c r="A1455" s="14" t="str">
        <f>IFERROR(__xludf.DUMMYFUNCTION("""COMPUTED_VALUE"""),"P-12712-00")</f>
        <v>P-12712-00</v>
      </c>
      <c r="B1455" s="14" t="str">
        <f>IFERROR(__xludf.DUMMYFUNCTION("""COMPUTED_VALUE"""),"PVC - Dop drat dalam 1/2inch")</f>
        <v>PVC - Dop drat dalam 1/2inch</v>
      </c>
      <c r="C1455" s="14" t="str">
        <f>IFERROR(__xludf.DUMMYFUNCTION("""COMPUTED_VALUE"""),"P-12712-00")</f>
        <v>P-12712-00</v>
      </c>
    </row>
    <row r="1456">
      <c r="A1456" s="14" t="str">
        <f>IFERROR(__xludf.DUMMYFUNCTION("""COMPUTED_VALUE"""),"P-12721-00")</f>
        <v>P-12721-00</v>
      </c>
      <c r="B1456" s="14" t="str">
        <f>IFERROR(__xludf.DUMMYFUNCTION("""COMPUTED_VALUE"""),"Reducer PVC AW dia  2inch x 1 1/2inch")</f>
        <v>Reducer PVC AW dia  2inch x 1 1/2inch</v>
      </c>
      <c r="C1456" s="14" t="str">
        <f>IFERROR(__xludf.DUMMYFUNCTION("""COMPUTED_VALUE"""),"P-12721-00")</f>
        <v>P-12721-00</v>
      </c>
    </row>
    <row r="1457">
      <c r="A1457" s="14" t="str">
        <f>IFERROR(__xludf.DUMMYFUNCTION("""COMPUTED_VALUE"""),"P-12725-00")</f>
        <v>P-12725-00</v>
      </c>
      <c r="B1457" s="14" t="str">
        <f>IFERROR(__xludf.DUMMYFUNCTION("""COMPUTED_VALUE"""),"Reducer PVC AW dia 3/4inch x 1/2 inch")</f>
        <v>Reducer PVC AW dia 3/4inch x 1/2 inch</v>
      </c>
      <c r="C1457" s="14" t="str">
        <f>IFERROR(__xludf.DUMMYFUNCTION("""COMPUTED_VALUE"""),"P-12725-00")</f>
        <v>P-12725-00</v>
      </c>
    </row>
    <row r="1458">
      <c r="A1458" s="14" t="str">
        <f>IFERROR(__xludf.DUMMYFUNCTION("""COMPUTED_VALUE"""),"P-12746-00")</f>
        <v>P-12746-00</v>
      </c>
      <c r="B1458" s="14" t="str">
        <f>IFERROR(__xludf.DUMMYFUNCTION("""COMPUTED_VALUE"""),"General - Pipa PVC AW dia. 1 1/2inch, Warna Abu-Abu; Rucika; -; 1 pcs")</f>
        <v>General - Pipa PVC AW dia. 1 1/2inch, Warna Abu-Abu; Rucika; -; 1 pcs</v>
      </c>
      <c r="C1458" s="14" t="str">
        <f>IFERROR(__xludf.DUMMYFUNCTION("""COMPUTED_VALUE"""),"P-12746-00")</f>
        <v>P-12746-00</v>
      </c>
    </row>
    <row r="1459">
      <c r="A1459" s="14" t="str">
        <f>IFERROR(__xludf.DUMMYFUNCTION("""COMPUTED_VALUE"""),"P-12747-00")</f>
        <v>P-12747-00</v>
      </c>
      <c r="B1459" s="14" t="str">
        <f>IFERROR(__xludf.DUMMYFUNCTION("""COMPUTED_VALUE"""),"RUCIKA - Pipa PVC AW dia 3/4inch")</f>
        <v>RUCIKA - Pipa PVC AW dia 3/4inch</v>
      </c>
      <c r="C1459" s="14" t="str">
        <f>IFERROR(__xludf.DUMMYFUNCTION("""COMPUTED_VALUE"""),"P-12747-00")</f>
        <v>P-12747-00</v>
      </c>
    </row>
    <row r="1460">
      <c r="A1460" s="14" t="str">
        <f>IFERROR(__xludf.DUMMYFUNCTION("""COMPUTED_VALUE"""),"P-12748-00")</f>
        <v>P-12748-00</v>
      </c>
      <c r="B1460" s="14" t="str">
        <f>IFERROR(__xludf.DUMMYFUNCTION("""COMPUTED_VALUE"""),"General - Pipa PVC AW dia. 1 1/4inch, Warna Abu-Abu; Rucika; -; 1 pcs")</f>
        <v>General - Pipa PVC AW dia. 1 1/4inch, Warna Abu-Abu; Rucika; -; 1 pcs</v>
      </c>
      <c r="C1460" s="14" t="str">
        <f>IFERROR(__xludf.DUMMYFUNCTION("""COMPUTED_VALUE"""),"P-12748-00")</f>
        <v>P-12748-00</v>
      </c>
    </row>
    <row r="1461">
      <c r="A1461" s="14" t="str">
        <f>IFERROR(__xludf.DUMMYFUNCTION("""COMPUTED_VALUE"""),"P-12749-00")</f>
        <v>P-12749-00</v>
      </c>
      <c r="B1461" s="14" t="str">
        <f>IFERROR(__xludf.DUMMYFUNCTION("""COMPUTED_VALUE"""),"RUCIKA - Pipa PVC AW dia 1 inch Warna Abu-Abu")</f>
        <v>RUCIKA - Pipa PVC AW dia 1 inch Warna Abu-Abu</v>
      </c>
      <c r="C1461" s="14" t="str">
        <f>IFERROR(__xludf.DUMMYFUNCTION("""COMPUTED_VALUE"""),"P-12749-00")</f>
        <v>P-12749-00</v>
      </c>
    </row>
    <row r="1462">
      <c r="A1462" s="14" t="str">
        <f>IFERROR(__xludf.DUMMYFUNCTION("""COMPUTED_VALUE"""),"P-12750-00")</f>
        <v>P-12750-00</v>
      </c>
      <c r="B1462" s="14" t="str">
        <f>IFERROR(__xludf.DUMMYFUNCTION("""COMPUTED_VALUE"""),"RUCIKA - Pipa PVC aw dia 1/2 inch Warna Abu-Abu")</f>
        <v>RUCIKA - Pipa PVC aw dia 1/2 inch Warna Abu-Abu</v>
      </c>
      <c r="C1462" s="14" t="str">
        <f>IFERROR(__xludf.DUMMYFUNCTION("""COMPUTED_VALUE"""),"P-12750-00")</f>
        <v>P-12750-00</v>
      </c>
    </row>
    <row r="1463">
      <c r="A1463" s="14" t="str">
        <f>IFERROR(__xludf.DUMMYFUNCTION("""COMPUTED_VALUE"""),"P-12751-00")</f>
        <v>P-12751-00</v>
      </c>
      <c r="B1463" s="14" t="str">
        <f>IFERROR(__xludf.DUMMYFUNCTION("""COMPUTED_VALUE"""),"RUCIKA - Pipa PVC AW dia 2 inch Warna Abu-Abu")</f>
        <v>RUCIKA - Pipa PVC AW dia 2 inch Warna Abu-Abu</v>
      </c>
      <c r="C1463" s="14" t="str">
        <f>IFERROR(__xludf.DUMMYFUNCTION("""COMPUTED_VALUE"""),"P-12751-00")</f>
        <v>P-12751-00</v>
      </c>
    </row>
    <row r="1464">
      <c r="A1464" s="14" t="str">
        <f>IFERROR(__xludf.DUMMYFUNCTION("""COMPUTED_VALUE"""),"P-12752-00")</f>
        <v>P-12752-00</v>
      </c>
      <c r="B1464" s="14" t="str">
        <f>IFERROR(__xludf.DUMMYFUNCTION("""COMPUTED_VALUE"""),"RUCIKA - Pipa PVC dia. 4inch")</f>
        <v>RUCIKA - Pipa PVC dia. 4inch</v>
      </c>
      <c r="C1464" s="14" t="str">
        <f>IFERROR(__xludf.DUMMYFUNCTION("""COMPUTED_VALUE"""),"P-12752-00")</f>
        <v>P-12752-00</v>
      </c>
    </row>
    <row r="1465">
      <c r="A1465" s="14" t="str">
        <f>IFERROR(__xludf.DUMMYFUNCTION("""COMPUTED_VALUE"""),"P-12753-00")</f>
        <v>P-12753-00</v>
      </c>
      <c r="B1465" s="14" t="str">
        <f>IFERROR(__xludf.DUMMYFUNCTION("""COMPUTED_VALUE"""),"SANDFLEX - Mata Gergaji Besi 24TPI 12inch/300mm 10D")</f>
        <v>SANDFLEX - Mata Gergaji Besi 24TPI 12inch/300mm 10D</v>
      </c>
      <c r="C1465" s="14" t="str">
        <f>IFERROR(__xludf.DUMMYFUNCTION("""COMPUTED_VALUE"""),"P-12753-00")</f>
        <v>P-12753-00</v>
      </c>
    </row>
    <row r="1466">
      <c r="A1466" s="14" t="str">
        <f>IFERROR(__xludf.DUMMYFUNCTION("""COMPUTED_VALUE"""),"P-12763-00")</f>
        <v>P-12763-00</v>
      </c>
      <c r="B1466" s="14" t="str">
        <f>IFERROR(__xludf.DUMMYFUNCTION("""COMPUTED_VALUE"""),"Silicone gasket for ferrule dia 1 1/2inch Taiwan")</f>
        <v>Silicone gasket for ferrule dia 1 1/2inch Taiwan</v>
      </c>
      <c r="C1466" s="14" t="str">
        <f>IFERROR(__xludf.DUMMYFUNCTION("""COMPUTED_VALUE"""),"P-12763-00")</f>
        <v>P-12763-00</v>
      </c>
    </row>
    <row r="1467">
      <c r="A1467" s="14" t="str">
        <f>IFERROR(__xludf.DUMMYFUNCTION("""COMPUTED_VALUE"""),"P-12764-00")</f>
        <v>P-12764-00</v>
      </c>
      <c r="B1467" s="14" t="str">
        <f>IFERROR(__xludf.DUMMYFUNCTION("""COMPUTED_VALUE"""),"General - Silicone Gasket for Ferrule dia. 1/2inch; Custom; -; 1 pcs")</f>
        <v>General - Silicone Gasket for Ferrule dia. 1/2inch; Custom; -; 1 pcs</v>
      </c>
      <c r="C1467" s="14" t="str">
        <f>IFERROR(__xludf.DUMMYFUNCTION("""COMPUTED_VALUE"""),"P-12764-00")</f>
        <v>P-12764-00</v>
      </c>
    </row>
    <row r="1468">
      <c r="A1468" s="14" t="str">
        <f>IFERROR(__xludf.DUMMYFUNCTION("""COMPUTED_VALUE"""),"P-12765-00")</f>
        <v>P-12765-00</v>
      </c>
      <c r="B1468" s="14" t="str">
        <f>IFERROR(__xludf.DUMMYFUNCTION("""COMPUTED_VALUE"""),"Silicone gasket for ferrule dia 2inch Taiwan")</f>
        <v>Silicone gasket for ferrule dia 2inch Taiwan</v>
      </c>
      <c r="C1468" s="14" t="str">
        <f>IFERROR(__xludf.DUMMYFUNCTION("""COMPUTED_VALUE"""),"P-12765-00")</f>
        <v>P-12765-00</v>
      </c>
    </row>
    <row r="1469">
      <c r="A1469" s="14" t="str">
        <f>IFERROR(__xludf.DUMMYFUNCTION("""COMPUTED_VALUE"""),"P-12801-00")</f>
        <v>P-12801-00</v>
      </c>
      <c r="B1469" s="14" t="str">
        <f>IFERROR(__xludf.DUMMYFUNCTION("""COMPUTED_VALUE"""),"Sock Drat dalam PVC AW dia 1 1/2inch")</f>
        <v>Sock Drat dalam PVC AW dia 1 1/2inch</v>
      </c>
      <c r="C1469" s="14" t="str">
        <f>IFERROR(__xludf.DUMMYFUNCTION("""COMPUTED_VALUE"""),"P-12801-00")</f>
        <v>P-12801-00</v>
      </c>
    </row>
    <row r="1470">
      <c r="A1470" s="14" t="str">
        <f>IFERROR(__xludf.DUMMYFUNCTION("""COMPUTED_VALUE"""),"P-12803-00")</f>
        <v>P-12803-00</v>
      </c>
      <c r="B1470" s="14" t="str">
        <f>IFERROR(__xludf.DUMMYFUNCTION("""COMPUTED_VALUE"""),"General - Socket Drat Dalam, PVC AW, 1""; No Brand; -; 1 pcs")</f>
        <v>General - Socket Drat Dalam, PVC AW, 1"; No Brand; -; 1 pcs</v>
      </c>
      <c r="C1470" s="14" t="str">
        <f>IFERROR(__xludf.DUMMYFUNCTION("""COMPUTED_VALUE"""),"P-12803-00")</f>
        <v>P-12803-00</v>
      </c>
    </row>
    <row r="1471">
      <c r="A1471" s="14" t="str">
        <f>IFERROR(__xludf.DUMMYFUNCTION("""COMPUTED_VALUE"""),"P-12804-00")</f>
        <v>P-12804-00</v>
      </c>
      <c r="B1471" s="14" t="str">
        <f>IFERROR(__xludf.DUMMYFUNCTION("""COMPUTED_VALUE"""),"Sock Drat dalam PVC AW dia 1/2inch")</f>
        <v>Sock Drat dalam PVC AW dia 1/2inch</v>
      </c>
      <c r="C1471" s="14" t="str">
        <f>IFERROR(__xludf.DUMMYFUNCTION("""COMPUTED_VALUE"""),"P-12804-00")</f>
        <v>P-12804-00</v>
      </c>
    </row>
    <row r="1472">
      <c r="A1472" s="14" t="str">
        <f>IFERROR(__xludf.DUMMYFUNCTION("""COMPUTED_VALUE"""),"P-12806-00")</f>
        <v>P-12806-00</v>
      </c>
      <c r="B1472" s="14" t="str">
        <f>IFERROR(__xludf.DUMMYFUNCTION("""COMPUTED_VALUE"""),"Sock Drat dalam PVC AW dia 3/4inch")</f>
        <v>Sock Drat dalam PVC AW dia 3/4inch</v>
      </c>
      <c r="C1472" s="14" t="str">
        <f>IFERROR(__xludf.DUMMYFUNCTION("""COMPUTED_VALUE"""),"P-12806-00")</f>
        <v>P-12806-00</v>
      </c>
    </row>
    <row r="1473">
      <c r="A1473" s="14" t="str">
        <f>IFERROR(__xludf.DUMMYFUNCTION("""COMPUTED_VALUE"""),"P-12808-00")</f>
        <v>P-12808-00</v>
      </c>
      <c r="B1473" s="14" t="str">
        <f>IFERROR(__xludf.DUMMYFUNCTION("""COMPUTED_VALUE"""),"Sock Drat luar PVC AW dia 1 1/2inch")</f>
        <v>Sock Drat luar PVC AW dia 1 1/2inch</v>
      </c>
      <c r="C1473" s="14" t="str">
        <f>IFERROR(__xludf.DUMMYFUNCTION("""COMPUTED_VALUE"""),"P-12808-00")</f>
        <v>P-12808-00</v>
      </c>
    </row>
    <row r="1474">
      <c r="A1474" s="14" t="str">
        <f>IFERROR(__xludf.DUMMYFUNCTION("""COMPUTED_VALUE"""),"P-12810-00")</f>
        <v>P-12810-00</v>
      </c>
      <c r="B1474" s="14" t="str">
        <f>IFERROR(__xludf.DUMMYFUNCTION("""COMPUTED_VALUE"""),"Sock Drat luar PVC AW dia 1inch")</f>
        <v>Sock Drat luar PVC AW dia 1inch</v>
      </c>
      <c r="C1474" s="14" t="str">
        <f>IFERROR(__xludf.DUMMYFUNCTION("""COMPUTED_VALUE"""),"P-12810-00")</f>
        <v>P-12810-00</v>
      </c>
    </row>
    <row r="1475">
      <c r="A1475" s="14" t="str">
        <f>IFERROR(__xludf.DUMMYFUNCTION("""COMPUTED_VALUE"""),"P-12811-00")</f>
        <v>P-12811-00</v>
      </c>
      <c r="B1475" s="14" t="str">
        <f>IFERROR(__xludf.DUMMYFUNCTION("""COMPUTED_VALUE"""),"Sock Drat luar PVC AW dia 1/2inch")</f>
        <v>Sock Drat luar PVC AW dia 1/2inch</v>
      </c>
      <c r="C1475" s="14" t="str">
        <f>IFERROR(__xludf.DUMMYFUNCTION("""COMPUTED_VALUE"""),"P-12811-00")</f>
        <v>P-12811-00</v>
      </c>
    </row>
    <row r="1476">
      <c r="A1476" s="14" t="str">
        <f>IFERROR(__xludf.DUMMYFUNCTION("""COMPUTED_VALUE"""),"P-12813-00")</f>
        <v>P-12813-00</v>
      </c>
      <c r="B1476" s="14" t="str">
        <f>IFERROR(__xludf.DUMMYFUNCTION("""COMPUTED_VALUE"""),"Sock Drat luar PVC AW dia 3/4inch")</f>
        <v>Sock Drat luar PVC AW dia 3/4inch</v>
      </c>
      <c r="C1476" s="14" t="str">
        <f>IFERROR(__xludf.DUMMYFUNCTION("""COMPUTED_VALUE"""),"P-12813-00")</f>
        <v>P-12813-00</v>
      </c>
    </row>
    <row r="1477">
      <c r="A1477" s="14" t="str">
        <f>IFERROR(__xludf.DUMMYFUNCTION("""COMPUTED_VALUE"""),"P-12816-00")</f>
        <v>P-12816-00</v>
      </c>
      <c r="B1477" s="14" t="str">
        <f>IFERROR(__xludf.DUMMYFUNCTION("""COMPUTED_VALUE"""),"General - Socket, PVC AW, 1 1/2""; Rucika; -; 1 pcs")</f>
        <v>General - Socket, PVC AW, 1 1/2"; Rucika; -; 1 pcs</v>
      </c>
      <c r="C1477" s="14" t="str">
        <f>IFERROR(__xludf.DUMMYFUNCTION("""COMPUTED_VALUE"""),"P-12816-00")</f>
        <v>P-12816-00</v>
      </c>
    </row>
    <row r="1478">
      <c r="A1478" s="14" t="str">
        <f>IFERROR(__xludf.DUMMYFUNCTION("""COMPUTED_VALUE"""),"P-12817-00")</f>
        <v>P-12817-00</v>
      </c>
      <c r="B1478" s="14" t="str">
        <f>IFERROR(__xludf.DUMMYFUNCTION("""COMPUTED_VALUE"""),"Sock PVC AW dia 1 1/4inch")</f>
        <v>Sock PVC AW dia 1 1/4inch</v>
      </c>
      <c r="C1478" s="14" t="str">
        <f>IFERROR(__xludf.DUMMYFUNCTION("""COMPUTED_VALUE"""),"P-12817-00")</f>
        <v>P-12817-00</v>
      </c>
    </row>
    <row r="1479">
      <c r="A1479" s="14" t="str">
        <f>IFERROR(__xludf.DUMMYFUNCTION("""COMPUTED_VALUE"""),"P-12818-00")</f>
        <v>P-12818-00</v>
      </c>
      <c r="B1479" s="14" t="str">
        <f>IFERROR(__xludf.DUMMYFUNCTION("""COMPUTED_VALUE"""),"Sock PVC AW dia 1inch")</f>
        <v>Sock PVC AW dia 1inch</v>
      </c>
      <c r="C1479" s="14" t="str">
        <f>IFERROR(__xludf.DUMMYFUNCTION("""COMPUTED_VALUE"""),"P-12818-00")</f>
        <v>P-12818-00</v>
      </c>
    </row>
    <row r="1480">
      <c r="A1480" s="14" t="str">
        <f>IFERROR(__xludf.DUMMYFUNCTION("""COMPUTED_VALUE"""),"P-12819-00")</f>
        <v>P-12819-00</v>
      </c>
      <c r="B1480" s="14" t="str">
        <f>IFERROR(__xludf.DUMMYFUNCTION("""COMPUTED_VALUE"""),"Sock PVC AW dia 1/2inch")</f>
        <v>Sock PVC AW dia 1/2inch</v>
      </c>
      <c r="C1480" s="14" t="str">
        <f>IFERROR(__xludf.DUMMYFUNCTION("""COMPUTED_VALUE"""),"P-12819-00")</f>
        <v>P-12819-00</v>
      </c>
    </row>
    <row r="1481">
      <c r="A1481" s="14" t="str">
        <f>IFERROR(__xludf.DUMMYFUNCTION("""COMPUTED_VALUE"""),"P-12820-00")</f>
        <v>P-12820-00</v>
      </c>
      <c r="B1481" s="14" t="str">
        <f>IFERROR(__xludf.DUMMYFUNCTION("""COMPUTED_VALUE"""),"Sock PVC AW dia 2inch")</f>
        <v>Sock PVC AW dia 2inch</v>
      </c>
      <c r="C1481" s="14" t="str">
        <f>IFERROR(__xludf.DUMMYFUNCTION("""COMPUTED_VALUE"""),"P-12820-00")</f>
        <v>P-12820-00</v>
      </c>
    </row>
    <row r="1482">
      <c r="A1482" s="14" t="str">
        <f>IFERROR(__xludf.DUMMYFUNCTION("""COMPUTED_VALUE"""),"P-12822-00")</f>
        <v>P-12822-00</v>
      </c>
      <c r="B1482" s="14" t="str">
        <f>IFERROR(__xludf.DUMMYFUNCTION("""COMPUTED_VALUE"""),"Sock PVC dia 3/4inch")</f>
        <v>Sock PVC dia 3/4inch</v>
      </c>
      <c r="C1482" s="14" t="str">
        <f>IFERROR(__xludf.DUMMYFUNCTION("""COMPUTED_VALUE"""),"P-12822-00")</f>
        <v>P-12822-00</v>
      </c>
    </row>
    <row r="1483">
      <c r="A1483" s="14" t="str">
        <f>IFERROR(__xludf.DUMMYFUNCTION("""COMPUTED_VALUE"""),"P-12830-00")</f>
        <v>P-12830-00</v>
      </c>
      <c r="B1483" s="14" t="str">
        <f>IFERROR(__xludf.DUMMYFUNCTION("""COMPUTED_VALUE"""),"Sodium metabisulfit")</f>
        <v>Sodium metabisulfit</v>
      </c>
      <c r="C1483" s="14" t="str">
        <f>IFERROR(__xludf.DUMMYFUNCTION("""COMPUTED_VALUE"""),"P-12830-00")</f>
        <v>P-12830-00</v>
      </c>
    </row>
    <row r="1484">
      <c r="A1484" s="14" t="str">
        <f>IFERROR(__xludf.DUMMYFUNCTION("""COMPUTED_VALUE"""),"P-12881-00")</f>
        <v>P-12881-00</v>
      </c>
      <c r="B1484" s="14" t="str">
        <f>IFERROR(__xludf.DUMMYFUNCTION("""COMPUTED_VALUE"""),"General - Tee, PVC AW, 1 1/2"" x 1 1/2""; No Brand; -; 1 pcs")</f>
        <v>General - Tee, PVC AW, 1 1/2" x 1 1/2"; No Brand; -; 1 pcs</v>
      </c>
      <c r="C1484" s="14" t="str">
        <f>IFERROR(__xludf.DUMMYFUNCTION("""COMPUTED_VALUE"""),"P-12881-00")</f>
        <v>P-12881-00</v>
      </c>
    </row>
    <row r="1485">
      <c r="A1485" s="14" t="str">
        <f>IFERROR(__xludf.DUMMYFUNCTION("""COMPUTED_VALUE"""),"P-12883-00")</f>
        <v>P-12883-00</v>
      </c>
      <c r="B1485" s="14" t="str">
        <f>IFERROR(__xludf.DUMMYFUNCTION("""COMPUTED_VALUE"""),"Tee PVC AW General - Tee PVC AW dia 1/2inch X 1/2inch; Rucika; -; 1 pcs")</f>
        <v>Tee PVC AW General - Tee PVC AW dia 1/2inch X 1/2inch; Rucika; -; 1 pcs</v>
      </c>
      <c r="C1485" s="14" t="str">
        <f>IFERROR(__xludf.DUMMYFUNCTION("""COMPUTED_VALUE"""),"P-12883-00")</f>
        <v>P-12883-00</v>
      </c>
    </row>
    <row r="1486">
      <c r="A1486" s="14" t="str">
        <f>IFERROR(__xludf.DUMMYFUNCTION("""COMPUTED_VALUE"""),"P-12888-00")</f>
        <v>P-12888-00</v>
      </c>
      <c r="B1486" s="14" t="str">
        <f>IFERROR(__xludf.DUMMYFUNCTION("""COMPUTED_VALUE"""),"Tee SS 304 screw dia 1/2inch")</f>
        <v>Tee SS 304 screw dia 1/2inch</v>
      </c>
      <c r="C1486" s="14" t="str">
        <f>IFERROR(__xludf.DUMMYFUNCTION("""COMPUTED_VALUE"""),"P-12888-00")</f>
        <v>P-12888-00</v>
      </c>
    </row>
    <row r="1487">
      <c r="A1487" s="14" t="str">
        <f>IFERROR(__xludf.DUMMYFUNCTION("""COMPUTED_VALUE"""),"P-12889-00")</f>
        <v>P-12889-00</v>
      </c>
      <c r="B1487" s="14" t="str">
        <f>IFERROR(__xludf.DUMMYFUNCTION("""COMPUTED_VALUE"""),"Tee SS 316L 1inch x 1inch")</f>
        <v>Tee SS 316L 1inch x 1inch</v>
      </c>
      <c r="C1487" s="14" t="str">
        <f>IFERROR(__xludf.DUMMYFUNCTION("""COMPUTED_VALUE"""),"P-12889-00")</f>
        <v>P-12889-00</v>
      </c>
    </row>
    <row r="1488">
      <c r="A1488" s="14" t="str">
        <f>IFERROR(__xludf.DUMMYFUNCTION("""COMPUTED_VALUE"""),"P-12898-00")</f>
        <v>P-12898-00</v>
      </c>
      <c r="B1488" s="14" t="str">
        <f>IFERROR(__xludf.DUMMYFUNCTION("""COMPUTED_VALUE"""),"Thermaflex lembaran uk. 1.5x1mtr tebal 1inch")</f>
        <v>Thermaflex lembaran uk. 1.5x1mtr tebal 1inch</v>
      </c>
      <c r="C1488" s="14" t="str">
        <f>IFERROR(__xludf.DUMMYFUNCTION("""COMPUTED_VALUE"""),"P-12898-00")</f>
        <v>P-12898-00</v>
      </c>
    </row>
    <row r="1489">
      <c r="A1489" s="14" t="str">
        <f>IFERROR(__xludf.DUMMYFUNCTION("""COMPUTED_VALUE"""),"P-12920-00")</f>
        <v>P-12920-00</v>
      </c>
      <c r="B1489" s="14" t="str">
        <f>IFERROR(__xludf.DUMMYFUNCTION("""COMPUTED_VALUE"""),"General - Tungsten Electrodes dia 1.6 mm; No Brand; -; 1 pc")</f>
        <v>General - Tungsten Electrodes dia 1.6 mm; No Brand; -; 1 pc</v>
      </c>
      <c r="C1489" s="14" t="str">
        <f>IFERROR(__xludf.DUMMYFUNCTION("""COMPUTED_VALUE"""),"P-12920-00")</f>
        <v>P-12920-00</v>
      </c>
    </row>
    <row r="1490">
      <c r="A1490" s="14" t="str">
        <f>IFERROR(__xludf.DUMMYFUNCTION("""COMPUTED_VALUE"""),"P-12930-00")</f>
        <v>P-12930-00</v>
      </c>
      <c r="B1490" s="14" t="str">
        <f>IFERROR(__xludf.DUMMYFUNCTION("""COMPUTED_VALUE"""),"V-trap PVC uk. 2inch")</f>
        <v>V-trap PVC uk. 2inch</v>
      </c>
      <c r="C1490" s="14" t="str">
        <f>IFERROR(__xludf.DUMMYFUNCTION("""COMPUTED_VALUE"""),"P-12930-00")</f>
        <v>P-12930-00</v>
      </c>
    </row>
    <row r="1491">
      <c r="A1491" s="14" t="str">
        <f>IFERROR(__xludf.DUMMYFUNCTION("""COMPUTED_VALUE"""),"P-12942-00")</f>
        <v>P-12942-00</v>
      </c>
      <c r="B1491" s="14" t="str">
        <f>IFERROR(__xludf.DUMMYFUNCTION("""COMPUTED_VALUE"""),"Water Mur PVC dia 1inch")</f>
        <v>Water Mur PVC dia 1inch</v>
      </c>
      <c r="C1491" s="14" t="str">
        <f>IFERROR(__xludf.DUMMYFUNCTION("""COMPUTED_VALUE"""),"P-12942-00")</f>
        <v>P-12942-00</v>
      </c>
    </row>
    <row r="1492">
      <c r="A1492" s="14" t="str">
        <f>IFERROR(__xludf.DUMMYFUNCTION("""COMPUTED_VALUE"""),"P-12943-00")</f>
        <v>P-12943-00</v>
      </c>
      <c r="B1492" s="14" t="str">
        <f>IFERROR(__xludf.DUMMYFUNCTION("""COMPUTED_VALUE"""),"Water Mur PVC dia 1/2inch")</f>
        <v>Water Mur PVC dia 1/2inch</v>
      </c>
      <c r="C1492" s="14" t="str">
        <f>IFERROR(__xludf.DUMMYFUNCTION("""COMPUTED_VALUE"""),"P-12943-00")</f>
        <v>P-12943-00</v>
      </c>
    </row>
    <row r="1493">
      <c r="A1493" s="14" t="str">
        <f>IFERROR(__xludf.DUMMYFUNCTION("""COMPUTED_VALUE"""),"P-12944-00")</f>
        <v>P-12944-00</v>
      </c>
      <c r="B1493" s="14" t="str">
        <f>IFERROR(__xludf.DUMMYFUNCTION("""COMPUTED_VALUE"""),"Water mur PVC dia 2inch")</f>
        <v>Water mur PVC dia 2inch</v>
      </c>
      <c r="C1493" s="14" t="str">
        <f>IFERROR(__xludf.DUMMYFUNCTION("""COMPUTED_VALUE"""),"P-12944-00")</f>
        <v>P-12944-00</v>
      </c>
    </row>
    <row r="1494">
      <c r="A1494" s="14" t="str">
        <f>IFERROR(__xludf.DUMMYFUNCTION("""COMPUTED_VALUE"""),"P-12951-00")</f>
        <v>P-12951-00</v>
      </c>
      <c r="B1494" s="14" t="str">
        <f>IFERROR(__xludf.DUMMYFUNCTION("""COMPUTED_VALUE"""),"Water mur SS 304 dia 3/4inch")</f>
        <v>Water mur SS 304 dia 3/4inch</v>
      </c>
      <c r="C1494" s="14" t="str">
        <f>IFERROR(__xludf.DUMMYFUNCTION("""COMPUTED_VALUE"""),"P-12951-00")</f>
        <v>P-12951-00</v>
      </c>
    </row>
    <row r="1495">
      <c r="A1495" s="14" t="str">
        <f>IFERROR(__xludf.DUMMYFUNCTION("""COMPUTED_VALUE"""),"P-12983-00")</f>
        <v>P-12983-00</v>
      </c>
      <c r="B1495" s="14" t="str">
        <f>IFERROR(__xludf.DUMMYFUNCTION("""COMPUTED_VALUE"""),"Helicoil dia. M6x6mm")</f>
        <v>Helicoil dia. M6x6mm</v>
      </c>
      <c r="C1495" s="14" t="str">
        <f>IFERROR(__xludf.DUMMYFUNCTION("""COMPUTED_VALUE"""),"P-12983-00")</f>
        <v>P-12983-00</v>
      </c>
    </row>
    <row r="1496">
      <c r="A1496" s="14" t="str">
        <f>IFERROR(__xludf.DUMMYFUNCTION("""COMPUTED_VALUE"""),"P-12984-00")</f>
        <v>P-12984-00</v>
      </c>
      <c r="B1496" s="14" t="str">
        <f>IFERROR(__xludf.DUMMYFUNCTION("""COMPUTED_VALUE"""),"Helicoil dia. M8x5mm")</f>
        <v>Helicoil dia. M8x5mm</v>
      </c>
      <c r="C1496" s="14" t="str">
        <f>IFERROR(__xludf.DUMMYFUNCTION("""COMPUTED_VALUE"""),"P-12984-00")</f>
        <v>P-12984-00</v>
      </c>
    </row>
    <row r="1497">
      <c r="A1497" s="14" t="str">
        <f>IFERROR(__xludf.DUMMYFUNCTION("""COMPUTED_VALUE"""),"P-12994-00")</f>
        <v>P-12994-00</v>
      </c>
      <c r="B1497" s="14" t="str">
        <f>IFERROR(__xludf.DUMMYFUNCTION("""COMPUTED_VALUE"""),"General - Adhesive Tape -; Nippon; ASF-110FR; 1 pc")</f>
        <v>General - Adhesive Tape -; Nippon; ASF-110FR; 1 pc</v>
      </c>
      <c r="C1497" s="14" t="str">
        <f>IFERROR(__xludf.DUMMYFUNCTION("""COMPUTED_VALUE"""),"P-12994-00")</f>
        <v>P-12994-00</v>
      </c>
    </row>
    <row r="1498">
      <c r="A1498" s="14" t="str">
        <f>IFERROR(__xludf.DUMMYFUNCTION("""COMPUTED_VALUE"""),"P-13033-00")</f>
        <v>P-13033-00</v>
      </c>
      <c r="B1498" s="14" t="str">
        <f>IFERROR(__xludf.DUMMYFUNCTION("""COMPUTED_VALUE"""),"Elbow long sanitary ss 316 dia. 1 Inch")</f>
        <v>Elbow long sanitary ss 316 dia. 1 Inch</v>
      </c>
      <c r="C1498" s="14" t="str">
        <f>IFERROR(__xludf.DUMMYFUNCTION("""COMPUTED_VALUE"""),"P-13033-00")</f>
        <v>P-13033-00</v>
      </c>
    </row>
    <row r="1499">
      <c r="A1499" s="14" t="str">
        <f>IFERROR(__xludf.DUMMYFUNCTION("""COMPUTED_VALUE"""),"P-13037-00")</f>
        <v>P-13037-00</v>
      </c>
      <c r="B1499" s="14" t="str">
        <f>IFERROR(__xludf.DUMMYFUNCTION("""COMPUTED_VALUE"""),"Ferrule to hose 1 inchi")</f>
        <v>Ferrule to hose 1 inchi</v>
      </c>
      <c r="C1499" s="14" t="str">
        <f>IFERROR(__xludf.DUMMYFUNCTION("""COMPUTED_VALUE"""),"P-13037-00")</f>
        <v>P-13037-00</v>
      </c>
    </row>
    <row r="1500">
      <c r="A1500" s="14" t="str">
        <f>IFERROR(__xludf.DUMMYFUNCTION("""COMPUTED_VALUE"""),"P-13039-00")</f>
        <v>P-13039-00</v>
      </c>
      <c r="B1500" s="14" t="str">
        <f>IFERROR(__xludf.DUMMYFUNCTION("""COMPUTED_VALUE"""),"Ferrule - Klem Ferrule 3/4inch SS 316L")</f>
        <v>Ferrule - Klem Ferrule 3/4inch SS 316L</v>
      </c>
      <c r="C1500" s="14" t="str">
        <f>IFERROR(__xludf.DUMMYFUNCTION("""COMPUTED_VALUE"""),"P-13039-00")</f>
        <v>P-13039-00</v>
      </c>
    </row>
    <row r="1501">
      <c r="A1501" s="14" t="str">
        <f>IFERROR(__xludf.DUMMYFUNCTION("""COMPUTED_VALUE"""),"P-13060-00")</f>
        <v>P-13060-00</v>
      </c>
      <c r="B1501" s="14" t="str">
        <f>IFERROR(__xludf.DUMMYFUNCTION("""COMPUTED_VALUE"""),"Roda Caster Dia : 6"" Swivel Flange")</f>
        <v>Roda Caster Dia : 6" Swivel Flange</v>
      </c>
      <c r="C1501" s="14" t="str">
        <f>IFERROR(__xludf.DUMMYFUNCTION("""COMPUTED_VALUE"""),"P-13060-00")</f>
        <v>P-13060-00</v>
      </c>
    </row>
    <row r="1502">
      <c r="A1502" s="14" t="str">
        <f>IFERROR(__xludf.DUMMYFUNCTION("""COMPUTED_VALUE"""),"P-13087-00")</f>
        <v>P-13087-00</v>
      </c>
      <c r="B1502" s="14" t="str">
        <f>IFERROR(__xludf.DUMMYFUNCTION("""COMPUTED_VALUE"""),"Sock Tembaga 1 5/8 inch")</f>
        <v>Sock Tembaga 1 5/8 inch</v>
      </c>
      <c r="C1502" s="14" t="str">
        <f>IFERROR(__xludf.DUMMYFUNCTION("""COMPUTED_VALUE"""),"P-13087-00")</f>
        <v>P-13087-00</v>
      </c>
    </row>
    <row r="1503">
      <c r="A1503" s="14" t="str">
        <f>IFERROR(__xludf.DUMMYFUNCTION("""COMPUTED_VALUE"""),"P-13240-00")</f>
        <v>P-13240-00</v>
      </c>
      <c r="B1503" s="14" t="str">
        <f>IFERROR(__xludf.DUMMYFUNCTION("""COMPUTED_VALUE"""),"Elbow SS 304 welded dia 3/4inch")</f>
        <v>Elbow SS 304 welded dia 3/4inch</v>
      </c>
      <c r="C1503" s="14" t="str">
        <f>IFERROR(__xludf.DUMMYFUNCTION("""COMPUTED_VALUE"""),"P-13240-00")</f>
        <v>P-13240-00</v>
      </c>
    </row>
    <row r="1504">
      <c r="A1504" s="14" t="str">
        <f>IFERROR(__xludf.DUMMYFUNCTION("""COMPUTED_VALUE"""),"P-13249-00")</f>
        <v>P-13249-00</v>
      </c>
      <c r="B1504" s="14" t="str">
        <f>IFERROR(__xludf.DUMMYFUNCTION("""COMPUTED_VALUE"""),"Pneumatic - E.MC UW-25 Press 0 ? 0.8 Mpa. Dia 1?")</f>
        <v>Pneumatic - E.MC UW-25 Press 0 ? 0.8 Mpa. Dia 1?</v>
      </c>
      <c r="C1504" s="14" t="str">
        <f>IFERROR(__xludf.DUMMYFUNCTION("""COMPUTED_VALUE"""),"P-13249-00")</f>
        <v>P-13249-00</v>
      </c>
    </row>
    <row r="1505">
      <c r="A1505" s="14" t="str">
        <f>IFERROR(__xludf.DUMMYFUNCTION("""COMPUTED_VALUE"""),"P-13251-00")</f>
        <v>P-13251-00</v>
      </c>
      <c r="B1505" s="14" t="str">
        <f>IFERROR(__xludf.DUMMYFUNCTION("""COMPUTED_VALUE"""),"Tee SS 304 welded dia 1/2inch")</f>
        <v>Tee SS 304 welded dia 1/2inch</v>
      </c>
      <c r="C1505" s="14" t="str">
        <f>IFERROR(__xludf.DUMMYFUNCTION("""COMPUTED_VALUE"""),"P-13251-00")</f>
        <v>P-13251-00</v>
      </c>
    </row>
    <row r="1506">
      <c r="A1506" s="14" t="str">
        <f>IFERROR(__xludf.DUMMYFUNCTION("""COMPUTED_VALUE"""),"P-13259-00")</f>
        <v>P-13259-00</v>
      </c>
      <c r="B1506" s="14" t="str">
        <f>IFERROR(__xludf.DUMMYFUNCTION("""COMPUTED_VALUE"""),"General - Socket Drat Dalam, SS 304, 1""; No Brand; -; 1 pcs")</f>
        <v>General - Socket Drat Dalam, SS 304, 1"; No Brand; -; 1 pcs</v>
      </c>
      <c r="C1506" s="14" t="str">
        <f>IFERROR(__xludf.DUMMYFUNCTION("""COMPUTED_VALUE"""),"P-13259-00")</f>
        <v>P-13259-00</v>
      </c>
    </row>
    <row r="1507">
      <c r="A1507" s="14" t="str">
        <f>IFERROR(__xludf.DUMMYFUNCTION("""COMPUTED_VALUE"""),"P-13269-00")</f>
        <v>P-13269-00</v>
      </c>
      <c r="B1507" s="14" t="str">
        <f>IFERROR(__xludf.DUMMYFUNCTION("""COMPUTED_VALUE"""),"General - Socket, PVC, 4""; Rucika; -; 1 pcs")</f>
        <v>General - Socket, PVC, 4"; Rucika; -; 1 pcs</v>
      </c>
      <c r="C1507" s="14" t="str">
        <f>IFERROR(__xludf.DUMMYFUNCTION("""COMPUTED_VALUE"""),"P-13269-00")</f>
        <v>P-13269-00</v>
      </c>
    </row>
    <row r="1508">
      <c r="A1508" s="14" t="str">
        <f>IFERROR(__xludf.DUMMYFUNCTION("""COMPUTED_VALUE"""),"P-13285-00")</f>
        <v>P-13285-00</v>
      </c>
      <c r="B1508" s="14" t="str">
        <f>IFERROR(__xludf.DUMMYFUNCTION("""COMPUTED_VALUE"""),"General - Socket Drat Luar, PVC, 1/2""; Rucika; -; 1 pcs")</f>
        <v>General - Socket Drat Luar, PVC, 1/2"; Rucika; -; 1 pcs</v>
      </c>
      <c r="C1508" s="14" t="str">
        <f>IFERROR(__xludf.DUMMYFUNCTION("""COMPUTED_VALUE"""),"P-13285-00")</f>
        <v>P-13285-00</v>
      </c>
    </row>
    <row r="1509">
      <c r="A1509" s="14" t="str">
        <f>IFERROR(__xludf.DUMMYFUNCTION("""COMPUTED_VALUE"""),"P-13365-00")</f>
        <v>P-13365-00</v>
      </c>
      <c r="B1509" s="14" t="str">
        <f>IFERROR(__xludf.DUMMYFUNCTION("""COMPUTED_VALUE"""),"Cutting Wheel 14"" nippon resibon; ; ;")</f>
        <v>Cutting Wheel 14" nippon resibon; ; ;</v>
      </c>
      <c r="C1509" s="14" t="str">
        <f>IFERROR(__xludf.DUMMYFUNCTION("""COMPUTED_VALUE"""),"P-13365-00")</f>
        <v>P-13365-00</v>
      </c>
    </row>
    <row r="1510">
      <c r="A1510" s="14" t="str">
        <f>IFERROR(__xludf.DUMMYFUNCTION("""COMPUTED_VALUE"""),"P-13367-00")</f>
        <v>P-13367-00</v>
      </c>
      <c r="B1510" s="14" t="str">
        <f>IFERROR(__xludf.DUMMYFUNCTION("""COMPUTED_VALUE"""),"TGK330 Temperature Sensor; Regin Control; ;")</f>
        <v>TGK330 Temperature Sensor; Regin Control; ;</v>
      </c>
      <c r="C1510" s="14" t="str">
        <f>IFERROR(__xludf.DUMMYFUNCTION("""COMPUTED_VALUE"""),"P-13367-00")</f>
        <v>P-13367-00</v>
      </c>
    </row>
    <row r="1511">
      <c r="A1511" s="14" t="str">
        <f>IFERROR(__xludf.DUMMYFUNCTION("""COMPUTED_VALUE"""),"P-13368-00")</f>
        <v>P-13368-00</v>
      </c>
      <c r="B1511" s="14" t="str">
        <f>IFERROR(__xludf.DUMMYFUNCTION("""COMPUTED_VALUE"""),"PS300X Air Flow Switch; Regin Control; ;")</f>
        <v>PS300X Air Flow Switch; Regin Control; ;</v>
      </c>
      <c r="C1511" s="14" t="str">
        <f>IFERROR(__xludf.DUMMYFUNCTION("""COMPUTED_VALUE"""),"P-13368-00")</f>
        <v>P-13368-00</v>
      </c>
    </row>
    <row r="1512">
      <c r="A1512" s="14" t="str">
        <f>IFERROR(__xludf.DUMMYFUNCTION("""COMPUTED_VALUE"""),"P-13369-00")</f>
        <v>P-13369-00</v>
      </c>
      <c r="B1512" s="14" t="str">
        <f>IFERROR(__xludf.DUMMYFUNCTION("""COMPUTED_VALUE"""),"MLTID85 Temperature Limit switch; Regin Control; ;")</f>
        <v>MLTID85 Temperature Limit switch; Regin Control; ;</v>
      </c>
      <c r="C1512" s="14" t="str">
        <f>IFERROR(__xludf.DUMMYFUNCTION("""COMPUTED_VALUE"""),"P-13369-00")</f>
        <v>P-13369-00</v>
      </c>
    </row>
    <row r="1513">
      <c r="A1513" s="14" t="str">
        <f>IFERROR(__xludf.DUMMYFUNCTION("""COMPUTED_VALUE"""),"P-13370-00")</f>
        <v>P-13370-00</v>
      </c>
      <c r="B1513" s="14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4" t="str">
        <f>IFERROR(__xludf.DUMMYFUNCTION("""COMPUTED_VALUE"""),"P-13370-00")</f>
        <v>P-13370-00</v>
      </c>
    </row>
    <row r="1514">
      <c r="A1514" s="14" t="str">
        <f>IFERROR(__xludf.DUMMYFUNCTION("""COMPUTED_VALUE"""),"P-13383-00")</f>
        <v>P-13383-00</v>
      </c>
      <c r="B1514" s="14" t="str">
        <f>IFERROR(__xludf.DUMMYFUNCTION("""COMPUTED_VALUE"""),"Silicone Sealant High Temp Red; ; ;")</f>
        <v>Silicone Sealant High Temp Red; ; ;</v>
      </c>
      <c r="C1514" s="14" t="str">
        <f>IFERROR(__xludf.DUMMYFUNCTION("""COMPUTED_VALUE"""),"P-13383-00")</f>
        <v>P-13383-00</v>
      </c>
    </row>
    <row r="1515">
      <c r="A1515" s="14" t="str">
        <f>IFERROR(__xludf.DUMMYFUNCTION("""COMPUTED_VALUE"""),"P-13384-00")</f>
        <v>P-13384-00</v>
      </c>
      <c r="B1515" s="14" t="str">
        <f>IFERROR(__xludf.DUMMYFUNCTION("""COMPUTED_VALUE"""),"Sok Drat Luar 2"" Pvc Rucika; ; ;")</f>
        <v>Sok Drat Luar 2" Pvc Rucika; ; ;</v>
      </c>
      <c r="C1515" s="14" t="str">
        <f>IFERROR(__xludf.DUMMYFUNCTION("""COMPUTED_VALUE"""),"P-13384-00")</f>
        <v>P-13384-00</v>
      </c>
    </row>
    <row r="1516">
      <c r="A1516" s="14" t="str">
        <f>IFERROR(__xludf.DUMMYFUNCTION("""COMPUTED_VALUE"""),"P-13385-00")</f>
        <v>P-13385-00</v>
      </c>
      <c r="B1516" s="14" t="str">
        <f>IFERROR(__xludf.DUMMYFUNCTION("""COMPUTED_VALUE"""),"Sok Drat Dalam 2 Pvc Rucika; ; ;")</f>
        <v>Sok Drat Dalam 2 Pvc Rucika; ; ;</v>
      </c>
      <c r="C1516" s="14" t="str">
        <f>IFERROR(__xludf.DUMMYFUNCTION("""COMPUTED_VALUE"""),"P-13385-00")</f>
        <v>P-13385-00</v>
      </c>
    </row>
    <row r="1517">
      <c r="A1517" s="14" t="str">
        <f>IFERROR(__xludf.DUMMYFUNCTION("""COMPUTED_VALUE"""),"P-13386-00")</f>
        <v>P-13386-00</v>
      </c>
      <c r="B1517" s="14" t="str">
        <f>IFERROR(__xludf.DUMMYFUNCTION("""COMPUTED_VALUE"""),"Sok Polos 2"" Rucika; ; ;")</f>
        <v>Sok Polos 2" Rucika; ; ;</v>
      </c>
      <c r="C1517" s="14" t="str">
        <f>IFERROR(__xludf.DUMMYFUNCTION("""COMPUTED_VALUE"""),"P-13386-00")</f>
        <v>P-13386-00</v>
      </c>
    </row>
    <row r="1518">
      <c r="A1518" s="14" t="str">
        <f>IFERROR(__xludf.DUMMYFUNCTION("""COMPUTED_VALUE"""),"P-13387-00")</f>
        <v>P-13387-00</v>
      </c>
      <c r="B1518" s="14" t="str">
        <f>IFERROR(__xludf.DUMMYFUNCTION("""COMPUTED_VALUE"""),"Watermur Pvc 1"" Polos Rucika; ; ;")</f>
        <v>Watermur Pvc 1" Polos Rucika; ; ;</v>
      </c>
      <c r="C1518" s="14" t="str">
        <f>IFERROR(__xludf.DUMMYFUNCTION("""COMPUTED_VALUE"""),"P-13387-00")</f>
        <v>P-13387-00</v>
      </c>
    </row>
    <row r="1519">
      <c r="A1519" s="14" t="str">
        <f>IFERROR(__xludf.DUMMYFUNCTION("""COMPUTED_VALUE"""),"P-13388-00")</f>
        <v>P-13388-00</v>
      </c>
      <c r="B1519" s="14" t="str">
        <f>IFERROR(__xludf.DUMMYFUNCTION("""COMPUTED_VALUE"""),"General - Ball Valve 1/2inch; KITZ; -; 1 pcs")</f>
        <v>General - Ball Valve 1/2inch; KITZ; -; 1 pcs</v>
      </c>
      <c r="C1519" s="14" t="str">
        <f>IFERROR(__xludf.DUMMYFUNCTION("""COMPUTED_VALUE"""),"P-13388-00")</f>
        <v>P-13388-00</v>
      </c>
    </row>
    <row r="1520">
      <c r="A1520" s="14" t="str">
        <f>IFERROR(__xludf.DUMMYFUNCTION("""COMPUTED_VALUE"""),"P-13389-00")</f>
        <v>P-13389-00</v>
      </c>
      <c r="B1520" s="14" t="str">
        <f>IFERROR(__xludf.DUMMYFUNCTION("""COMPUTED_VALUE"""),"Scotch Brite 3M; ; ;")</f>
        <v>Scotch Brite 3M; ; ;</v>
      </c>
      <c r="C1520" s="14" t="str">
        <f>IFERROR(__xludf.DUMMYFUNCTION("""COMPUTED_VALUE"""),"P-13389-00")</f>
        <v>P-13389-00</v>
      </c>
    </row>
    <row r="1521">
      <c r="A1521" s="14" t="str">
        <f>IFERROR(__xludf.DUMMYFUNCTION("""COMPUTED_VALUE"""),"P-13395-00")</f>
        <v>P-13395-00</v>
      </c>
      <c r="B1521" s="14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4" t="str">
        <f>IFERROR(__xludf.DUMMYFUNCTION("""COMPUTED_VALUE"""),"P-13395-00")</f>
        <v>P-13395-00</v>
      </c>
    </row>
    <row r="1522">
      <c r="A1522" s="14" t="str">
        <f>IFERROR(__xludf.DUMMYFUNCTION("""COMPUTED_VALUE"""),"P-13396-00")</f>
        <v>P-13396-00</v>
      </c>
      <c r="B1522" s="14" t="str">
        <f>IFERROR(__xludf.DUMMYFUNCTION("""COMPUTED_VALUE"""),"HEXAGON CRIMPING PLIER 4-16MM2; Krisbow; Part No. KW0103754;")</f>
        <v>HEXAGON CRIMPING PLIER 4-16MM2; Krisbow; Part No. KW0103754;</v>
      </c>
      <c r="C1522" s="14" t="str">
        <f>IFERROR(__xludf.DUMMYFUNCTION("""COMPUTED_VALUE"""),"P-13396-00")</f>
        <v>P-13396-00</v>
      </c>
    </row>
    <row r="1523">
      <c r="A1523" s="14" t="str">
        <f>IFERROR(__xludf.DUMMYFUNCTION("""COMPUTED_VALUE"""),"P-13397-00")</f>
        <v>P-13397-00</v>
      </c>
      <c r="B1523" s="14" t="str">
        <f>IFERROR(__xludf.DUMMYFUNCTION("""COMPUTED_VALUE"""),"LED WORKLIGHT dan FLASHLIGHT 200dan60LM,3XAA; ; Part No. 10108194;")</f>
        <v>LED WORKLIGHT dan FLASHLIGHT 200dan60LM,3XAA; ; Part No. 10108194;</v>
      </c>
      <c r="C1523" s="14" t="str">
        <f>IFERROR(__xludf.DUMMYFUNCTION("""COMPUTED_VALUE"""),"P-13397-00")</f>
        <v>P-13397-00</v>
      </c>
    </row>
    <row r="1524">
      <c r="A1524" s="14" t="str">
        <f>IFERROR(__xludf.DUMMYFUNCTION("""COMPUTED_VALUE"""),"P-13398-00")</f>
        <v>P-13398-00</v>
      </c>
      <c r="B1524" s="14" t="str">
        <f>IFERROR(__xludf.DUMMYFUNCTION("""COMPUTED_VALUE"""),"MEASURING TAPE 5MX19MM W/MAGNET; ; Part No. 10070238;")</f>
        <v>MEASURING TAPE 5MX19MM W/MAGNET; ; Part No. 10070238;</v>
      </c>
      <c r="C1524" s="14" t="str">
        <f>IFERROR(__xludf.DUMMYFUNCTION("""COMPUTED_VALUE"""),"P-13398-00")</f>
        <v>P-13398-00</v>
      </c>
    </row>
    <row r="1525">
      <c r="A1525" s="14" t="str">
        <f>IFERROR(__xludf.DUMMYFUNCTION("""COMPUTED_VALUE"""),"P-13404-00")</f>
        <v>P-13404-00</v>
      </c>
      <c r="B1525" s="14" t="str">
        <f>IFERROR(__xludf.DUMMYFUNCTION("""COMPUTED_VALUE"""),"COMBINATION WRENCH SET 6-22MM 12PCS; Krisbow; Part No. KW0100332;")</f>
        <v>COMBINATION WRENCH SET 6-22MM 12PCS; Krisbow; Part No. KW0100332;</v>
      </c>
      <c r="C1525" s="14" t="str">
        <f>IFERROR(__xludf.DUMMYFUNCTION("""COMPUTED_VALUE"""),"P-13404-00")</f>
        <v>P-13404-00</v>
      </c>
    </row>
    <row r="1526">
      <c r="A1526" s="14" t="str">
        <f>IFERROR(__xludf.DUMMYFUNCTION("""COMPUTED_VALUE"""),"P-13405-00")</f>
        <v>P-13405-00</v>
      </c>
      <c r="B1526" s="14" t="str">
        <f>IFERROR(__xludf.DUMMYFUNCTION("""COMPUTED_VALUE"""),"COMBINATION WRENCH SET 6-32MM 16PCS; Krisbow; Part No. KW0100333;")</f>
        <v>COMBINATION WRENCH SET 6-32MM 16PCS; Krisbow; Part No. KW0100333;</v>
      </c>
      <c r="C1526" s="14" t="str">
        <f>IFERROR(__xludf.DUMMYFUNCTION("""COMPUTED_VALUE"""),"P-13405-00")</f>
        <v>P-13405-00</v>
      </c>
    </row>
    <row r="1527">
      <c r="A1527" s="14" t="str">
        <f>IFERROR(__xludf.DUMMYFUNCTION("""COMPUTED_VALUE"""),"P-13406-00")</f>
        <v>P-13406-00</v>
      </c>
      <c r="B1527" s="14" t="str">
        <f>IFERROR(__xludf.DUMMYFUNCTION("""COMPUTED_VALUE"""),"ADJUSTABLE WRENCH SOFTGRIP 6INC; Krisbow; Part No. KW0101962;")</f>
        <v>ADJUSTABLE WRENCH SOFTGRIP 6INC; Krisbow; Part No. KW0101962;</v>
      </c>
      <c r="C1527" s="14" t="str">
        <f>IFERROR(__xludf.DUMMYFUNCTION("""COMPUTED_VALUE"""),"P-13406-00")</f>
        <v>P-13406-00</v>
      </c>
    </row>
    <row r="1528">
      <c r="A1528" s="14" t="str">
        <f>IFERROR(__xludf.DUMMYFUNCTION("""COMPUTED_VALUE"""),"P-13407-00")</f>
        <v>P-13407-00</v>
      </c>
      <c r="B1528" s="14" t="str">
        <f>IFERROR(__xludf.DUMMYFUNCTION("""COMPUTED_VALUE"""),"OPEN END WRENCH SET 6-22MM 8PCS; Krisbow; Part No. KW0100296;")</f>
        <v>OPEN END WRENCH SET 6-22MM 8PCS; Krisbow; Part No. KW0100296;</v>
      </c>
      <c r="C1528" s="14" t="str">
        <f>IFERROR(__xludf.DUMMYFUNCTION("""COMPUTED_VALUE"""),"P-13407-00")</f>
        <v>P-13407-00</v>
      </c>
    </row>
    <row r="1529">
      <c r="A1529" s="14" t="str">
        <f>IFERROR(__xludf.DUMMYFUNCTION("""COMPUTED_VALUE"""),"P-13408-00")</f>
        <v>P-13408-00</v>
      </c>
      <c r="B1529" s="14" t="str">
        <f>IFERROR(__xludf.DUMMYFUNCTION("""COMPUTED_VALUE"""),"OPEN END WRENCH SET 6-32MM 12PCS; Krisbow; Part No. KW0100297;")</f>
        <v>OPEN END WRENCH SET 6-32MM 12PCS; Krisbow; Part No. KW0100297;</v>
      </c>
      <c r="C1529" s="14" t="str">
        <f>IFERROR(__xludf.DUMMYFUNCTION("""COMPUTED_VALUE"""),"P-13408-00")</f>
        <v>P-13408-00</v>
      </c>
    </row>
    <row r="1530">
      <c r="A1530" s="14" t="str">
        <f>IFERROR(__xludf.DUMMYFUNCTION("""COMPUTED_VALUE"""),"P-13412-00")</f>
        <v>P-13412-00</v>
      </c>
      <c r="B1530" s="14" t="str">
        <f>IFERROR(__xludf.DUMMYFUNCTION("""COMPUTED_VALUE"""),"SCREWDRIVER SET 4PCS; Krisbow; Part No. KW0101633;")</f>
        <v>SCREWDRIVER SET 4PCS; Krisbow; Part No. KW0101633;</v>
      </c>
      <c r="C1530" s="14" t="str">
        <f>IFERROR(__xludf.DUMMYFUNCTION("""COMPUTED_VALUE"""),"P-13412-00")</f>
        <v>P-13412-00</v>
      </c>
    </row>
    <row r="1531">
      <c r="A1531" s="14" t="str">
        <f>IFERROR(__xludf.DUMMYFUNCTION("""COMPUTED_VALUE"""),"P-13413-00")</f>
        <v>P-13413-00</v>
      </c>
      <c r="B1531" s="14" t="str">
        <f>IFERROR(__xludf.DUMMYFUNCTION("""COMPUTED_VALUE"""),"ELECTRICIAN SCREWDRIVER PZ 6X100MM; Krisbow; Part No. KW0100765;")</f>
        <v>ELECTRICIAN SCREWDRIVER PZ 6X100MM; Krisbow; Part No. KW0100765;</v>
      </c>
      <c r="C1531" s="14" t="str">
        <f>IFERROR(__xludf.DUMMYFUNCTION("""COMPUTED_VALUE"""),"P-13413-00")</f>
        <v>P-13413-00</v>
      </c>
    </row>
    <row r="1532">
      <c r="A1532" s="14" t="str">
        <f>IFERROR(__xludf.DUMMYFUNCTION("""COMPUTED_VALUE"""),"P-13414-00")</f>
        <v>P-13414-00</v>
      </c>
      <c r="B1532" s="14" t="str">
        <f>IFERROR(__xludf.DUMMYFUNCTION("""COMPUTED_VALUE"""),"COMBINATION PLIER 6INC; Krisbow; Part No. KW0101352;")</f>
        <v>COMBINATION PLIER 6INC; Krisbow; Part No. KW0101352;</v>
      </c>
      <c r="C1532" s="14" t="str">
        <f>IFERROR(__xludf.DUMMYFUNCTION("""COMPUTED_VALUE"""),"P-13414-00")</f>
        <v>P-13414-00</v>
      </c>
    </row>
    <row r="1533">
      <c r="A1533" s="14" t="str">
        <f>IFERROR(__xludf.DUMMYFUNCTION("""COMPUTED_VALUE"""),"P-13415-00")</f>
        <v>P-13415-00</v>
      </c>
      <c r="B1533" s="14" t="str">
        <f>IFERROR(__xludf.DUMMYFUNCTION("""COMPUTED_VALUE"""),"DIAGONAL CUTTER PLIER 6INC; Krisbow; Part No. KW0101358;")</f>
        <v>DIAGONAL CUTTER PLIER 6INC; Krisbow; Part No. KW0101358;</v>
      </c>
      <c r="C1533" s="14" t="str">
        <f>IFERROR(__xludf.DUMMYFUNCTION("""COMPUTED_VALUE"""),"P-13415-00")</f>
        <v>P-13415-00</v>
      </c>
    </row>
    <row r="1534">
      <c r="A1534" s="14" t="str">
        <f>IFERROR(__xludf.DUMMYFUNCTION("""COMPUTED_VALUE"""),"P-13417-00")</f>
        <v>P-13417-00</v>
      </c>
      <c r="B1534" s="14" t="str">
        <f>IFERROR(__xludf.DUMMYFUNCTION("""COMPUTED_VALUE"""),"BALLPOINT HEX KEY L 1.5-10MM 9PCS; Krisbow; Part No. KW0101634;")</f>
        <v>BALLPOINT HEX KEY L 1.5-10MM 9PCS; Krisbow; Part No. KW0101634;</v>
      </c>
      <c r="C1534" s="14" t="str">
        <f>IFERROR(__xludf.DUMMYFUNCTION("""COMPUTED_VALUE"""),"P-13417-00")</f>
        <v>P-13417-00</v>
      </c>
    </row>
    <row r="1535">
      <c r="A1535" s="14" t="str">
        <f>IFERROR(__xludf.DUMMYFUNCTION("""COMPUTED_VALUE"""),"P-13418-00")</f>
        <v>P-13418-00</v>
      </c>
      <c r="B1535" s="14" t="str">
        <f>IFERROR(__xludf.DUMMYFUNCTION("""COMPUTED_VALUE"""),"Non-Woven abrasive Size : 6 ""x 2"" 7; ; ;")</f>
        <v>Non-Woven abrasive Size : 6 "x 2" 7; ; ;</v>
      </c>
      <c r="C1535" s="14" t="str">
        <f>IFERROR(__xludf.DUMMYFUNCTION("""COMPUTED_VALUE"""),"P-13418-00")</f>
        <v>P-13418-00</v>
      </c>
    </row>
    <row r="1536">
      <c r="A1536" s="14" t="str">
        <f>IFERROR(__xludf.DUMMYFUNCTION("""COMPUTED_VALUE"""),"P-13419-00")</f>
        <v>P-13419-00</v>
      </c>
      <c r="B1536" s="14" t="str">
        <f>IFERROR(__xludf.DUMMYFUNCTION("""COMPUTED_VALUE"""),"Tungsten tig weld Size : 2,4mm; ; ;")</f>
        <v>Tungsten tig weld Size : 2,4mm; ; ;</v>
      </c>
      <c r="C1536" s="14" t="str">
        <f>IFERROR(__xludf.DUMMYFUNCTION("""COMPUTED_VALUE"""),"P-13419-00")</f>
        <v>P-13419-00</v>
      </c>
    </row>
    <row r="1537">
      <c r="A1537" s="14" t="str">
        <f>IFERROR(__xludf.DUMMYFUNCTION("""COMPUTED_VALUE"""),"P-13420-00")</f>
        <v>P-13420-00</v>
      </c>
      <c r="B1537" s="14" t="str">
        <f>IFERROR(__xludf.DUMMYFUNCTION("""COMPUTED_VALUE"""),"Tig Welder Torch No.5 Ceramic 5/16 Bore Size : no.5; ; ;")</f>
        <v>Tig Welder Torch No.5 Ceramic 5/16 Bore Size : no.5; ; ;</v>
      </c>
      <c r="C1537" s="14" t="str">
        <f>IFERROR(__xludf.DUMMYFUNCTION("""COMPUTED_VALUE"""),"P-13420-00")</f>
        <v>P-13420-00</v>
      </c>
    </row>
    <row r="1538">
      <c r="A1538" s="14" t="str">
        <f>IFERROR(__xludf.DUMMYFUNCTION("""COMPUTED_VALUE"""),"P-13421-00")</f>
        <v>P-13421-00</v>
      </c>
      <c r="B1538" s="14" t="str">
        <f>IFERROR(__xludf.DUMMYFUNCTION("""COMPUTED_VALUE"""),"Tig Torch Medium Back Cap WP 9/20 Size : Long; ; ;")</f>
        <v>Tig Torch Medium Back Cap WP 9/20 Size : Long; ; ;</v>
      </c>
      <c r="C1538" s="14" t="str">
        <f>IFERROR(__xludf.DUMMYFUNCTION("""COMPUTED_VALUE"""),"P-13421-00")</f>
        <v>P-13421-00</v>
      </c>
    </row>
    <row r="1539">
      <c r="A1539" s="14" t="str">
        <f>IFERROR(__xludf.DUMMYFUNCTION("""COMPUTED_VALUE"""),"P-13422-00")</f>
        <v>P-13422-00</v>
      </c>
      <c r="B1539" s="14" t="str">
        <f>IFERROR(__xludf.DUMMYFUNCTION("""COMPUTED_VALUE"""),"Tig Torch Medium Back Cap WP 9/20 Size : Medium")</f>
        <v>Tig Torch Medium Back Cap WP 9/20 Size : Medium</v>
      </c>
      <c r="C1539" s="14" t="str">
        <f>IFERROR(__xludf.DUMMYFUNCTION("""COMPUTED_VALUE"""),"P-13422-00")</f>
        <v>P-13422-00</v>
      </c>
    </row>
    <row r="1540">
      <c r="A1540" s="14" t="str">
        <f>IFERROR(__xludf.DUMMYFUNCTION("""COMPUTED_VALUE"""),"P-13423-00")</f>
        <v>P-13423-00</v>
      </c>
      <c r="B1540" s="14" t="str">
        <f>IFERROR(__xludf.DUMMYFUNCTION("""COMPUTED_VALUE"""),"Tig Torch Short Back Cap WP9/20 Size : Short")</f>
        <v>Tig Torch Short Back Cap WP9/20 Size : Short</v>
      </c>
      <c r="C1540" s="14" t="str">
        <f>IFERROR(__xludf.DUMMYFUNCTION("""COMPUTED_VALUE"""),"P-13423-00")</f>
        <v>P-13423-00</v>
      </c>
    </row>
    <row r="1541">
      <c r="A1541" s="14" t="str">
        <f>IFERROR(__xludf.DUMMYFUNCTION("""COMPUTED_VALUE"""),"P-13424-00")</f>
        <v>P-13424-00</v>
      </c>
      <c r="B1541" s="14" t="str">
        <f>IFERROR(__xludf.DUMMYFUNCTION("""COMPUTED_VALUE"""),"Gas Lens 2.4mm Std Body (WP9/20) Size : 2,4mm; ; ;")</f>
        <v>Gas Lens 2.4mm Std Body (WP9/20) Size : 2,4mm; ; ;</v>
      </c>
      <c r="C1541" s="14" t="str">
        <f>IFERROR(__xludf.DUMMYFUNCTION("""COMPUTED_VALUE"""),"P-13424-00")</f>
        <v>P-13424-00</v>
      </c>
    </row>
    <row r="1542">
      <c r="A1542" s="14" t="str">
        <f>IFERROR(__xludf.DUMMYFUNCTION("""COMPUTED_VALUE"""),"P-13425-00")</f>
        <v>P-13425-00</v>
      </c>
      <c r="B1542" s="14" t="str">
        <f>IFERROR(__xludf.DUMMYFUNCTION("""COMPUTED_VALUE"""),"Tig Welder Torch Collet Body Size : 2,4mm; ; ;")</f>
        <v>Tig Welder Torch Collet Body Size : 2,4mm; ; ;</v>
      </c>
      <c r="C1542" s="14" t="str">
        <f>IFERROR(__xludf.DUMMYFUNCTION("""COMPUTED_VALUE"""),"P-13425-00")</f>
        <v>P-13425-00</v>
      </c>
    </row>
    <row r="1543">
      <c r="A1543" s="14" t="str">
        <f>IFERROR(__xludf.DUMMYFUNCTION("""COMPUTED_VALUE"""),"P-13426-00")</f>
        <v>P-13426-00</v>
      </c>
      <c r="B1543" s="14" t="str">
        <f>IFERROR(__xludf.DUMMYFUNCTION("""COMPUTED_VALUE"""),"Tig Welder Torch Collet Body Size : 1,6mm; ; ;")</f>
        <v>Tig Welder Torch Collet Body Size : 1,6mm; ; ;</v>
      </c>
      <c r="C1543" s="14" t="str">
        <f>IFERROR(__xludf.DUMMYFUNCTION("""COMPUTED_VALUE"""),"P-13426-00")</f>
        <v>P-13426-00</v>
      </c>
    </row>
    <row r="1544">
      <c r="A1544" s="14" t="str">
        <f>IFERROR(__xludf.DUMMYFUNCTION("""COMPUTED_VALUE"""),"P-13427-00")</f>
        <v>P-13427-00</v>
      </c>
      <c r="B1544" s="14" t="str">
        <f>IFERROR(__xludf.DUMMYFUNCTION("""COMPUTED_VALUE"""),"Tig Welder Torch Collet Size : 2,4mm; ; ;")</f>
        <v>Tig Welder Torch Collet Size : 2,4mm; ; ;</v>
      </c>
      <c r="C1544" s="14" t="str">
        <f>IFERROR(__xludf.DUMMYFUNCTION("""COMPUTED_VALUE"""),"P-13427-00")</f>
        <v>P-13427-00</v>
      </c>
    </row>
    <row r="1545">
      <c r="A1545" s="14" t="str">
        <f>IFERROR(__xludf.DUMMYFUNCTION("""COMPUTED_VALUE"""),"P-13428-00")</f>
        <v>P-13428-00</v>
      </c>
      <c r="B1545" s="14" t="str">
        <f>IFERROR(__xludf.DUMMYFUNCTION("""COMPUTED_VALUE"""),"Tig Welder Torch Collet Size : 1,6mm; ; ;")</f>
        <v>Tig Welder Torch Collet Size : 1,6mm; ; ;</v>
      </c>
      <c r="C1545" s="14" t="str">
        <f>IFERROR(__xludf.DUMMYFUNCTION("""COMPUTED_VALUE"""),"P-13428-00")</f>
        <v>P-13428-00</v>
      </c>
    </row>
    <row r="1546">
      <c r="A1546" s="14" t="str">
        <f>IFERROR(__xludf.DUMMYFUNCTION("""COMPUTED_VALUE"""),"P-13429-00")</f>
        <v>P-13429-00</v>
      </c>
      <c r="B1546" s="14" t="str">
        <f>IFERROR(__xludf.DUMMYFUNCTION("""COMPUTED_VALUE"""),"General - Cable Ducting 25mm x 40mm; Lokal; -; 1 pcs")</f>
        <v>General - Cable Ducting 25mm x 40mm; Lokal; -; 1 pcs</v>
      </c>
      <c r="C1546" s="14" t="str">
        <f>IFERROR(__xludf.DUMMYFUNCTION("""COMPUTED_VALUE"""),"P-13429-00")</f>
        <v>P-13429-00</v>
      </c>
    </row>
    <row r="1547">
      <c r="A1547" s="14" t="str">
        <f>IFERROR(__xludf.DUMMYFUNCTION("""COMPUTED_VALUE"""),"P-13445-00")</f>
        <v>P-13445-00</v>
      </c>
      <c r="B1547" s="14" t="str">
        <f>IFERROR(__xludf.DUMMYFUNCTION("""COMPUTED_VALUE"""),"Plat Stainless Steel 304; ; ;")</f>
        <v>Plat Stainless Steel 304; ; ;</v>
      </c>
      <c r="C1547" s="14" t="str">
        <f>IFERROR(__xludf.DUMMYFUNCTION("""COMPUTED_VALUE"""),"P-13445-00")</f>
        <v>P-13445-00</v>
      </c>
    </row>
    <row r="1548">
      <c r="A1548" s="14" t="str">
        <f>IFERROR(__xludf.DUMMYFUNCTION("""COMPUTED_VALUE"""),"P-13495-00")</f>
        <v>P-13495-00</v>
      </c>
      <c r="B1548" s="14" t="str">
        <f>IFERROR(__xludf.DUMMYFUNCTION("""COMPUTED_VALUE"""),"Tee Conection Thread SS304 3/4 inch; ; ;")</f>
        <v>Tee Conection Thread SS304 3/4 inch; ; ;</v>
      </c>
      <c r="C1548" s="14" t="str">
        <f>IFERROR(__xludf.DUMMYFUNCTION("""COMPUTED_VALUE"""),"P-13495-00")</f>
        <v>P-13495-00</v>
      </c>
    </row>
    <row r="1549">
      <c r="A1549" s="14" t="str">
        <f>IFERROR(__xludf.DUMMYFUNCTION("""COMPUTED_VALUE"""),"P-13497-00")</f>
        <v>P-13497-00</v>
      </c>
      <c r="B1549" s="14" t="str">
        <f>IFERROR(__xludf.DUMMYFUNCTION("""COMPUTED_VALUE"""),"Engsel Piano SS")</f>
        <v>Engsel Piano SS</v>
      </c>
      <c r="C1549" s="14" t="str">
        <f>IFERROR(__xludf.DUMMYFUNCTION("""COMPUTED_VALUE"""),"P-13497-00")</f>
        <v>P-13497-00</v>
      </c>
    </row>
    <row r="1550">
      <c r="A1550" s="14" t="str">
        <f>IFERROR(__xludf.DUMMYFUNCTION("""COMPUTED_VALUE"""),"P-13498-00")</f>
        <v>P-13498-00</v>
      </c>
      <c r="B1550" s="14" t="str">
        <f>IFERROR(__xludf.DUMMYFUNCTION("""COMPUTED_VALUE"""),"Panel Lock MS603")</f>
        <v>Panel Lock MS603</v>
      </c>
      <c r="C1550" s="14" t="str">
        <f>IFERROR(__xludf.DUMMYFUNCTION("""COMPUTED_VALUE"""),"P-13498-00")</f>
        <v>P-13498-00</v>
      </c>
    </row>
    <row r="1551">
      <c r="A1551" s="14" t="str">
        <f>IFERROR(__xludf.DUMMYFUNCTION("""COMPUTED_VALUE"""),"P-13499-00")</f>
        <v>P-13499-00</v>
      </c>
      <c r="B1551" s="14" t="str">
        <f>IFERROR(__xludf.DUMMYFUNCTION("""COMPUTED_VALUE"""),"DOP Pipa PVC 4.0 inch")</f>
        <v>DOP Pipa PVC 4.0 inch</v>
      </c>
      <c r="C1551" s="14" t="str">
        <f>IFERROR(__xludf.DUMMYFUNCTION("""COMPUTED_VALUE"""),"P-13499-00")</f>
        <v>P-13499-00</v>
      </c>
    </row>
    <row r="1552">
      <c r="A1552" s="14" t="str">
        <f>IFERROR(__xludf.DUMMYFUNCTION("""COMPUTED_VALUE"""),"P-13500-00")</f>
        <v>P-13500-00</v>
      </c>
      <c r="B1552" s="14" t="str">
        <f>IFERROR(__xludf.DUMMYFUNCTION("""COMPUTED_VALUE"""),"Elbow SCH10 welded SUS304 3/4 inch; ; ;")</f>
        <v>Elbow SCH10 welded SUS304 3/4 inch; ; ;</v>
      </c>
      <c r="C1552" s="14" t="str">
        <f>IFERROR(__xludf.DUMMYFUNCTION("""COMPUTED_VALUE"""),"P-13500-00")</f>
        <v>P-13500-00</v>
      </c>
    </row>
    <row r="1553">
      <c r="A1553" s="14" t="str">
        <f>IFERROR(__xludf.DUMMYFUNCTION("""COMPUTED_VALUE"""),"P-13501-00")</f>
        <v>P-13501-00</v>
      </c>
      <c r="B1553" s="14" t="str">
        <f>IFERROR(__xludf.DUMMYFUNCTION("""COMPUTED_VALUE"""),"Pipa SCH10 SUS304 3/4 inch; ; ;")</f>
        <v>Pipa SCH10 SUS304 3/4 inch; ; ;</v>
      </c>
      <c r="C1553" s="14" t="str">
        <f>IFERROR(__xludf.DUMMYFUNCTION("""COMPUTED_VALUE"""),"P-13501-00")</f>
        <v>P-13501-00</v>
      </c>
    </row>
    <row r="1554">
      <c r="A1554" s="14" t="str">
        <f>IFERROR(__xludf.DUMMYFUNCTION("""COMPUTED_VALUE"""),"P-13502-00")</f>
        <v>P-13502-00</v>
      </c>
      <c r="B1554" s="14" t="str">
        <f>IFERROR(__xludf.DUMMYFUNCTION("""COMPUTED_VALUE"""),"Thread pipa SUS304 3/4 inch")</f>
        <v>Thread pipa SUS304 3/4 inch</v>
      </c>
      <c r="C1554" s="14" t="str">
        <f>IFERROR(__xludf.DUMMYFUNCTION("""COMPUTED_VALUE"""),"P-13502-00")</f>
        <v>P-13502-00</v>
      </c>
    </row>
    <row r="1555">
      <c r="A1555" s="14" t="str">
        <f>IFERROR(__xludf.DUMMYFUNCTION("""COMPUTED_VALUE"""),"P-13513-00")</f>
        <v>P-13513-00</v>
      </c>
      <c r="B1555" s="14" t="str">
        <f>IFERROR(__xludf.DUMMYFUNCTION("""COMPUTED_VALUE"""),"General - Magnehelic Pressure Gauges 2000-500Pa; Dwyer; -; 1 Pc")</f>
        <v>General - Magnehelic Pressure Gauges 2000-500Pa; Dwyer; -; 1 Pc</v>
      </c>
      <c r="C1555" s="14" t="str">
        <f>IFERROR(__xludf.DUMMYFUNCTION("""COMPUTED_VALUE"""),"P-13513-00")</f>
        <v>P-13513-00</v>
      </c>
    </row>
    <row r="1556">
      <c r="A1556" s="14" t="str">
        <f>IFERROR(__xludf.DUMMYFUNCTION("""COMPUTED_VALUE"""),"P-13530-00")</f>
        <v>P-13530-00</v>
      </c>
      <c r="B1556" s="14" t="str">
        <f>IFERROR(__xludf.DUMMYFUNCTION("""COMPUTED_VALUE"""),"Pressure Gauge Dial 2 1/2inch Connection Tri-clamp ferrule 1 1/2inch; ; ;")</f>
        <v>Pressure Gauge Dial 2 1/2inch Connection Tri-clamp ferrule 1 1/2inch; ; ;</v>
      </c>
      <c r="C1556" s="14" t="str">
        <f>IFERROR(__xludf.DUMMYFUNCTION("""COMPUTED_VALUE"""),"P-13530-00")</f>
        <v>P-13530-00</v>
      </c>
    </row>
    <row r="1557">
      <c r="A1557" s="14" t="str">
        <f>IFERROR(__xludf.DUMMYFUNCTION("""COMPUTED_VALUE"""),"P-13533-00")</f>
        <v>P-13533-00</v>
      </c>
      <c r="B1557" s="14" t="str">
        <f>IFERROR(__xludf.DUMMYFUNCTION("""COMPUTED_VALUE"""),"Needle Valve SS304 1/4"" Kitz; ; ;")</f>
        <v>Needle Valve SS304 1/4" Kitz; ; ;</v>
      </c>
      <c r="C1557" s="14" t="str">
        <f>IFERROR(__xludf.DUMMYFUNCTION("""COMPUTED_VALUE"""),"P-13533-00")</f>
        <v>P-13533-00</v>
      </c>
    </row>
    <row r="1558">
      <c r="A1558" s="14" t="str">
        <f>IFERROR(__xludf.DUMMYFUNCTION("""COMPUTED_VALUE"""),"P-13534-00")</f>
        <v>P-13534-00</v>
      </c>
      <c r="B1558" s="14" t="str">
        <f>IFERROR(__xludf.DUMMYFUNCTION("""COMPUTED_VALUE"""),"Needle Valve Kuningan 1/4"" Kitz; ; ;")</f>
        <v>Needle Valve Kuningan 1/4" Kitz; ; ;</v>
      </c>
      <c r="C1558" s="14" t="str">
        <f>IFERROR(__xludf.DUMMYFUNCTION("""COMPUTED_VALUE"""),"P-13534-00")</f>
        <v>P-13534-00</v>
      </c>
    </row>
    <row r="1559">
      <c r="A1559" s="14" t="str">
        <f>IFERROR(__xludf.DUMMYFUNCTION("""COMPUTED_VALUE"""),"P-13552-00")</f>
        <v>P-13552-00</v>
      </c>
      <c r="B1559" s="14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4" t="str">
        <f>IFERROR(__xludf.DUMMYFUNCTION("""COMPUTED_VALUE"""),"P-13552-00")</f>
        <v>P-13552-00</v>
      </c>
    </row>
    <row r="1560">
      <c r="A1560" s="14" t="str">
        <f>IFERROR(__xludf.DUMMYFUNCTION("""COMPUTED_VALUE"""),"P-13557-00")</f>
        <v>P-13557-00</v>
      </c>
      <c r="B1560" s="14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4" t="str">
        <f>IFERROR(__xludf.DUMMYFUNCTION("""COMPUTED_VALUE"""),"P-13557-00")</f>
        <v>P-13557-00</v>
      </c>
    </row>
    <row r="1561">
      <c r="A1561" s="14" t="str">
        <f>IFERROR(__xludf.DUMMYFUNCTION("""COMPUTED_VALUE"""),"P-13558-00")</f>
        <v>P-13558-00</v>
      </c>
      <c r="B1561" s="14" t="str">
        <f>IFERROR(__xludf.DUMMYFUNCTION("""COMPUTED_VALUE"""),"Selenoid Valve  4V210-08 24 VDC; ; ;")</f>
        <v>Selenoid Valve  4V210-08 24 VDC; ; ;</v>
      </c>
      <c r="C1561" s="14" t="str">
        <f>IFERROR(__xludf.DUMMYFUNCTION("""COMPUTED_VALUE"""),"P-13558-00")</f>
        <v>P-13558-00</v>
      </c>
    </row>
    <row r="1562">
      <c r="A1562" s="14" t="str">
        <f>IFERROR(__xludf.DUMMYFUNCTION("""COMPUTED_VALUE"""),"P-13562-00")</f>
        <v>P-13562-00</v>
      </c>
      <c r="B1562" s="14" t="str">
        <f>IFERROR(__xludf.DUMMYFUNCTION("""COMPUTED_VALUE"""),"Y-Strainer Brass 1 inch; ; ;")</f>
        <v>Y-Strainer Brass 1 inch; ; ;</v>
      </c>
      <c r="C1562" s="14" t="str">
        <f>IFERROR(__xludf.DUMMYFUNCTION("""COMPUTED_VALUE"""),"P-13562-00")</f>
        <v>P-13562-00</v>
      </c>
    </row>
    <row r="1563">
      <c r="A1563" s="14" t="str">
        <f>IFERROR(__xludf.DUMMYFUNCTION("""COMPUTED_VALUE"""),"P-13563-00")</f>
        <v>P-13563-00</v>
      </c>
      <c r="B1563" s="14" t="str">
        <f>IFERROR(__xludf.DUMMYFUNCTION("""COMPUTED_VALUE"""),"Selenoid Valve 2 way, 220VAC, UW-25 UNI-D; ; ;")</f>
        <v>Selenoid Valve 2 way, 220VAC, UW-25 UNI-D; ; ;</v>
      </c>
      <c r="C1563" s="14" t="str">
        <f>IFERROR(__xludf.DUMMYFUNCTION("""COMPUTED_VALUE"""),"P-13563-00")</f>
        <v>P-13563-00</v>
      </c>
    </row>
    <row r="1564">
      <c r="A1564" s="14" t="str">
        <f>IFERROR(__xludf.DUMMYFUNCTION("""COMPUTED_VALUE"""),"P-13564-00")</f>
        <v>P-13564-00</v>
      </c>
      <c r="B1564" s="14" t="str">
        <f>IFERROR(__xludf.DUMMYFUNCTION("""COMPUTED_VALUE"""),"Pipa Ornamen SS 304 1 1/4inchx 1mm x 6mtr; ; ;")</f>
        <v>Pipa Ornamen SS 304 1 1/4inchx 1mm x 6mtr; ; ;</v>
      </c>
      <c r="C1564" s="14" t="str">
        <f>IFERROR(__xludf.DUMMYFUNCTION("""COMPUTED_VALUE"""),"P-13564-00")</f>
        <v>P-13564-00</v>
      </c>
    </row>
    <row r="1565">
      <c r="A1565" s="14" t="str">
        <f>IFERROR(__xludf.DUMMYFUNCTION("""COMPUTED_VALUE"""),"P-13575-00")</f>
        <v>P-13575-00</v>
      </c>
      <c r="B1565" s="14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4" t="str">
        <f>IFERROR(__xludf.DUMMYFUNCTION("""COMPUTED_VALUE"""),"P-13575-00")</f>
        <v>P-13575-00</v>
      </c>
    </row>
    <row r="1566">
      <c r="A1566" s="14" t="str">
        <f>IFERROR(__xludf.DUMMYFUNCTION("""COMPUTED_VALUE"""),"P-13576-00")</f>
        <v>P-13576-00</v>
      </c>
      <c r="B1566" s="14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4" t="str">
        <f>IFERROR(__xludf.DUMMYFUNCTION("""COMPUTED_VALUE"""),"P-13576-00")</f>
        <v>P-13576-00</v>
      </c>
    </row>
    <row r="1567">
      <c r="A1567" s="14" t="str">
        <f>IFERROR(__xludf.DUMMYFUNCTION("""COMPUTED_VALUE"""),"P-13577-00")</f>
        <v>P-13577-00</v>
      </c>
      <c r="B1567" s="14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4" t="str">
        <f>IFERROR(__xludf.DUMMYFUNCTION("""COMPUTED_VALUE"""),"P-13577-00")</f>
        <v>P-13577-00</v>
      </c>
    </row>
    <row r="1568">
      <c r="A1568" s="14" t="str">
        <f>IFERROR(__xludf.DUMMYFUNCTION("""COMPUTED_VALUE"""),"P-13581-00")</f>
        <v>P-13581-00</v>
      </c>
      <c r="B1568" s="14" t="str">
        <f>IFERROR(__xludf.DUMMYFUNCTION("""COMPUTED_VALUE"""),"Mata Bor HSS-R")</f>
        <v>Mata Bor HSS-R</v>
      </c>
      <c r="C1568" s="14" t="str">
        <f>IFERROR(__xludf.DUMMYFUNCTION("""COMPUTED_VALUE"""),"P-13581-00")</f>
        <v>P-13581-00</v>
      </c>
    </row>
    <row r="1569">
      <c r="A1569" s="14" t="str">
        <f>IFERROR(__xludf.DUMMYFUNCTION("""COMPUTED_VALUE"""),"P-13595-00")</f>
        <v>P-13595-00</v>
      </c>
      <c r="B1569" s="14" t="str">
        <f>IFERROR(__xludf.DUMMYFUNCTION("""COMPUTED_VALUE"""),"Ball Valve Sanitary SS316 PTFE Connection:Ferrule/Triclamp 3inch")</f>
        <v>Ball Valve Sanitary SS316 PTFE Connection:Ferrule/Triclamp 3inch</v>
      </c>
      <c r="C1569" s="14" t="str">
        <f>IFERROR(__xludf.DUMMYFUNCTION("""COMPUTED_VALUE"""),"P-13595-00")</f>
        <v>P-13595-00</v>
      </c>
    </row>
    <row r="1570">
      <c r="A1570" s="14" t="str">
        <f>IFERROR(__xludf.DUMMYFUNCTION("""COMPUTED_VALUE"""),"P-13596-00")</f>
        <v>P-13596-00</v>
      </c>
      <c r="B1570" s="14" t="str">
        <f>IFERROR(__xludf.DUMMYFUNCTION("""COMPUTED_VALUE"""),"Cutting Diamond Disc for Ceramic Turbo Bosch")</f>
        <v>Cutting Diamond Disc for Ceramic Turbo Bosch</v>
      </c>
      <c r="C1570" s="14" t="str">
        <f>IFERROR(__xludf.DUMMYFUNCTION("""COMPUTED_VALUE"""),"P-13596-00")</f>
        <v>P-13596-00</v>
      </c>
    </row>
    <row r="1571">
      <c r="A1571" s="14" t="str">
        <f>IFERROR(__xludf.DUMMYFUNCTION("""COMPUTED_VALUE"""),"P-13597-00")</f>
        <v>P-13597-00</v>
      </c>
      <c r="B1571" s="14" t="str">
        <f>IFERROR(__xludf.DUMMYFUNCTION("""COMPUTED_VALUE"""),"Selang Gas ukuran 1/4 inch")</f>
        <v>Selang Gas ukuran 1/4 inch</v>
      </c>
      <c r="C1571" s="14" t="str">
        <f>IFERROR(__xludf.DUMMYFUNCTION("""COMPUTED_VALUE"""),"P-13597-00")</f>
        <v>P-13597-00</v>
      </c>
    </row>
    <row r="1572">
      <c r="A1572" s="14" t="str">
        <f>IFERROR(__xludf.DUMMYFUNCTION("""COMPUTED_VALUE"""),"P-13598-00")</f>
        <v>P-13598-00</v>
      </c>
      <c r="B1572" s="14" t="str">
        <f>IFERROR(__xludf.DUMMYFUNCTION("""COMPUTED_VALUE"""),"Regulator Hydrogen 96A-10M Morris; ; ;")</f>
        <v>Regulator Hydrogen 96A-10M Morris; ; ;</v>
      </c>
      <c r="C1572" s="14" t="str">
        <f>IFERROR(__xludf.DUMMYFUNCTION("""COMPUTED_VALUE"""),"P-13598-00")</f>
        <v>P-13598-00</v>
      </c>
    </row>
    <row r="1573">
      <c r="A1573" s="14" t="str">
        <f>IFERROR(__xludf.DUMMYFUNCTION("""COMPUTED_VALUE"""),"P-13599-00")</f>
        <v>P-13599-00</v>
      </c>
      <c r="B1573" s="14" t="str">
        <f>IFERROR(__xludf.DUMMYFUNCTION("""COMPUTED_VALUE"""),"Besi Pejal SS 304 dia.10 mm")</f>
        <v>Besi Pejal SS 304 dia.10 mm</v>
      </c>
      <c r="C1573" s="14" t="str">
        <f>IFERROR(__xludf.DUMMYFUNCTION("""COMPUTED_VALUE"""),"P-13599-00")</f>
        <v>P-13599-00</v>
      </c>
    </row>
    <row r="1574">
      <c r="A1574" s="14" t="str">
        <f>IFERROR(__xludf.DUMMYFUNCTION("""COMPUTED_VALUE"""),"P-13600-00")</f>
        <v>P-13600-00</v>
      </c>
      <c r="B1574" s="14" t="str">
        <f>IFERROR(__xludf.DUMMYFUNCTION("""COMPUTED_VALUE"""),"General - Besi Pejal, SS 304, dia. 8 mm; No Brand; -; 1 pcs")</f>
        <v>General - Besi Pejal, SS 304, dia. 8 mm; No Brand; -; 1 pcs</v>
      </c>
      <c r="C1574" s="14" t="str">
        <f>IFERROR(__xludf.DUMMYFUNCTION("""COMPUTED_VALUE"""),"P-13600-00")</f>
        <v>P-13600-00</v>
      </c>
    </row>
    <row r="1575">
      <c r="A1575" s="14" t="str">
        <f>IFERROR(__xludf.DUMMYFUNCTION("""COMPUTED_VALUE"""),"P-13601-00")</f>
        <v>P-13601-00</v>
      </c>
      <c r="B1575" s="14" t="str">
        <f>IFERROR(__xludf.DUMMYFUNCTION("""COMPUTED_VALUE"""),"Besi Pejal SS 304 dia.6 mm")</f>
        <v>Besi Pejal SS 304 dia.6 mm</v>
      </c>
      <c r="C1575" s="14" t="str">
        <f>IFERROR(__xludf.DUMMYFUNCTION("""COMPUTED_VALUE"""),"P-13601-00")</f>
        <v>P-13601-00</v>
      </c>
    </row>
    <row r="1576">
      <c r="A1576" s="14" t="str">
        <f>IFERROR(__xludf.DUMMYFUNCTION("""COMPUTED_VALUE"""),"P-13602-00")</f>
        <v>P-13602-00</v>
      </c>
      <c r="B1576" s="14" t="str">
        <f>IFERROR(__xludf.DUMMYFUNCTION("""COMPUTED_VALUE"""),"Pipa Hollow SS 304 Uk. 20x 20mm")</f>
        <v>Pipa Hollow SS 304 Uk. 20x 20mm</v>
      </c>
      <c r="C1576" s="14" t="str">
        <f>IFERROR(__xludf.DUMMYFUNCTION("""COMPUTED_VALUE"""),"P-13602-00")</f>
        <v>P-13602-00</v>
      </c>
    </row>
    <row r="1577">
      <c r="A1577" s="14" t="str">
        <f>IFERROR(__xludf.DUMMYFUNCTION("""COMPUTED_VALUE"""),"P-13603-00")</f>
        <v>P-13603-00</v>
      </c>
      <c r="B1577" s="14" t="str">
        <f>IFERROR(__xludf.DUMMYFUNCTION("""COMPUTED_VALUE"""),"PW Generator Austar - RO Membranes BW30-400 DOW")</f>
        <v>PW Generator Austar - RO Membranes BW30-400 DOW</v>
      </c>
      <c r="C1577" s="14" t="str">
        <f>IFERROR(__xludf.DUMMYFUNCTION("""COMPUTED_VALUE"""),"P-13603-00")</f>
        <v>P-13603-00</v>
      </c>
    </row>
    <row r="1578">
      <c r="A1578" s="14" t="str">
        <f>IFERROR(__xludf.DUMMYFUNCTION("""COMPUTED_VALUE"""),"P-13630-00")</f>
        <v>P-13630-00</v>
      </c>
      <c r="B1578" s="14" t="str">
        <f>IFERROR(__xludf.DUMMYFUNCTION("""COMPUTED_VALUE"""),"Reducer Bushing Kuningan 1/8inch Female x 1/4 Male")</f>
        <v>Reducer Bushing Kuningan 1/8inch Female x 1/4 Male</v>
      </c>
      <c r="C1578" s="14" t="str">
        <f>IFERROR(__xludf.DUMMYFUNCTION("""COMPUTED_VALUE"""),"P-13630-00")</f>
        <v>P-13630-00</v>
      </c>
    </row>
    <row r="1579">
      <c r="A1579" s="14" t="str">
        <f>IFERROR(__xludf.DUMMYFUNCTION("""COMPUTED_VALUE"""),"P-13631-00")</f>
        <v>P-13631-00</v>
      </c>
      <c r="B1579" s="14" t="str">
        <f>IFERROR(__xludf.DUMMYFUNCTION("""COMPUTED_VALUE"""),"Ferrule SS304 1inch x Drat Dalam 1/2inch")</f>
        <v>Ferrule SS304 1inch x Drat Dalam 1/2inch</v>
      </c>
      <c r="C1579" s="14" t="str">
        <f>IFERROR(__xludf.DUMMYFUNCTION("""COMPUTED_VALUE"""),"P-13631-00")</f>
        <v>P-13631-00</v>
      </c>
    </row>
    <row r="1580">
      <c r="A1580" s="14" t="str">
        <f>IFERROR(__xludf.DUMMYFUNCTION("""COMPUTED_VALUE"""),"P-13632-00")</f>
        <v>P-13632-00</v>
      </c>
      <c r="B1580" s="14" t="str">
        <f>IFERROR(__xludf.DUMMYFUNCTION("""COMPUTED_VALUE"""),"Pressure Gauge SS304 0-10bar dial:100mm 1/2inch")</f>
        <v>Pressure Gauge SS304 0-10bar dial:100mm 1/2inch</v>
      </c>
      <c r="C1580" s="14" t="str">
        <f>IFERROR(__xludf.DUMMYFUNCTION("""COMPUTED_VALUE"""),"P-13632-00")</f>
        <v>P-13632-00</v>
      </c>
    </row>
    <row r="1581">
      <c r="A1581" s="14" t="str">
        <f>IFERROR(__xludf.DUMMYFUNCTION("""COMPUTED_VALUE"""),"P-13641-00")</f>
        <v>P-13641-00</v>
      </c>
      <c r="B1581" s="14" t="str">
        <f>IFERROR(__xludf.DUMMYFUNCTION("""COMPUTED_VALUE"""),"Filter SO 5 micron 30 inch O-ring 222 Bayonet; ; ;")</f>
        <v>Filter SO 5 micron 30 inch O-ring 222 Bayonet; ; ;</v>
      </c>
      <c r="C1581" s="14" t="str">
        <f>IFERROR(__xludf.DUMMYFUNCTION("""COMPUTED_VALUE"""),"P-13641-00")</f>
        <v>P-13641-00</v>
      </c>
    </row>
    <row r="1582">
      <c r="A1582" s="14" t="str">
        <f>IFERROR(__xludf.DUMMYFUNCTION("""COMPUTED_VALUE"""),"P-13646-00")</f>
        <v>P-13646-00</v>
      </c>
      <c r="B1582" s="14" t="str">
        <f>IFERROR(__xludf.DUMMYFUNCTION("""COMPUTED_VALUE"""),"Selang Air 1/2 inch")</f>
        <v>Selang Air 1/2 inch</v>
      </c>
      <c r="C1582" s="14" t="str">
        <f>IFERROR(__xludf.DUMMYFUNCTION("""COMPUTED_VALUE"""),"P-13646-00")</f>
        <v>P-13646-00</v>
      </c>
    </row>
    <row r="1583">
      <c r="A1583" s="14" t="str">
        <f>IFERROR(__xludf.DUMMYFUNCTION("""COMPUTED_VALUE"""),"P-13647-00")</f>
        <v>P-13647-00</v>
      </c>
      <c r="B1583" s="14" t="str">
        <f>IFERROR(__xludf.DUMMYFUNCTION("""COMPUTED_VALUE"""),"Elbow Drat Luar dan Drat Dalam uk. 1/2 inch")</f>
        <v>Elbow Drat Luar dan Drat Dalam uk. 1/2 inch</v>
      </c>
      <c r="C1583" s="14" t="str">
        <f>IFERROR(__xludf.DUMMYFUNCTION("""COMPUTED_VALUE"""),"P-13647-00")</f>
        <v>P-13647-00</v>
      </c>
    </row>
    <row r="1584">
      <c r="A1584" s="14" t="str">
        <f>IFERROR(__xludf.DUMMYFUNCTION("""COMPUTED_VALUE"""),"P-13648-00")</f>
        <v>P-13648-00</v>
      </c>
      <c r="B1584" s="14" t="str">
        <f>IFERROR(__xludf.DUMMYFUNCTION("""COMPUTED_VALUE"""),"Quick Coupler SM PM 20 Drat 1/4 inch")</f>
        <v>Quick Coupler SM PM 20 Drat 1/4 inch</v>
      </c>
      <c r="C1584" s="14" t="str">
        <f>IFERROR(__xludf.DUMMYFUNCTION("""COMPUTED_VALUE"""),"P-13648-00")</f>
        <v>P-13648-00</v>
      </c>
    </row>
    <row r="1585">
      <c r="A1585" s="14" t="str">
        <f>IFERROR(__xludf.DUMMYFUNCTION("""COMPUTED_VALUE"""),"P-13649-00")</f>
        <v>P-13649-00</v>
      </c>
      <c r="B1585" s="14" t="str">
        <f>IFERROR(__xludf.DUMMYFUNCTION("""COMPUTED_VALUE"""),"Tee SS 304 welded dia 3/4 inch")</f>
        <v>Tee SS 304 welded dia 3/4 inch</v>
      </c>
      <c r="C1585" s="14" t="str">
        <f>IFERROR(__xludf.DUMMYFUNCTION("""COMPUTED_VALUE"""),"P-13649-00")</f>
        <v>P-13649-00</v>
      </c>
    </row>
    <row r="1586">
      <c r="A1586" s="14" t="str">
        <f>IFERROR(__xludf.DUMMYFUNCTION("""COMPUTED_VALUE"""),"P-13650-00")</f>
        <v>P-13650-00</v>
      </c>
      <c r="B1586" s="14" t="str">
        <f>IFERROR(__xludf.DUMMYFUNCTION("""COMPUTED_VALUE"""),"General - Shut off Valve HE-2-QS-6; FESTO; P/N : 153467; 1 Pc")</f>
        <v>General - Shut off Valve HE-2-QS-6; FESTO; P/N : 153467; 1 Pc</v>
      </c>
      <c r="C1586" s="14" t="str">
        <f>IFERROR(__xludf.DUMMYFUNCTION("""COMPUTED_VALUE"""),"P-13650-00")</f>
        <v>P-13650-00</v>
      </c>
    </row>
    <row r="1587">
      <c r="A1587" s="14" t="str">
        <f>IFERROR(__xludf.DUMMYFUNCTION("""COMPUTED_VALUE"""),"P-13657-00")</f>
        <v>P-13657-00</v>
      </c>
      <c r="B1587" s="14" t="str">
        <f>IFERROR(__xludf.DUMMYFUNCTION("""COMPUTED_VALUE"""),"Sock Tembaga 5/8 inch; ; ;")</f>
        <v>Sock Tembaga 5/8 inch; ; ;</v>
      </c>
      <c r="C1587" s="14" t="str">
        <f>IFERROR(__xludf.DUMMYFUNCTION("""COMPUTED_VALUE"""),"P-13657-00")</f>
        <v>P-13657-00</v>
      </c>
    </row>
    <row r="1588">
      <c r="A1588" s="14" t="str">
        <f>IFERROR(__xludf.DUMMYFUNCTION("""COMPUTED_VALUE"""),"P-13660-00")</f>
        <v>P-13660-00</v>
      </c>
      <c r="B1588" s="14" t="str">
        <f>IFERROR(__xludf.DUMMYFUNCTION("""COMPUTED_VALUE"""),"Sock Tembaga 7/8 inch; ; ;")</f>
        <v>Sock Tembaga 7/8 inch; ; ;</v>
      </c>
      <c r="C1588" s="14" t="str">
        <f>IFERROR(__xludf.DUMMYFUNCTION("""COMPUTED_VALUE"""),"P-13660-00")</f>
        <v>P-13660-00</v>
      </c>
    </row>
    <row r="1589">
      <c r="A1589" s="14" t="str">
        <f>IFERROR(__xludf.DUMMYFUNCTION("""COMPUTED_VALUE"""),"P-13706-00")</f>
        <v>P-13706-00</v>
      </c>
      <c r="B1589" s="14" t="str">
        <f>IFERROR(__xludf.DUMMYFUNCTION("""COMPUTED_VALUE"""),"Gasket Flange DN65")</f>
        <v>Gasket Flange DN65</v>
      </c>
      <c r="C1589" s="14" t="str">
        <f>IFERROR(__xludf.DUMMYFUNCTION("""COMPUTED_VALUE"""),"P-13706-00")</f>
        <v>P-13706-00</v>
      </c>
    </row>
    <row r="1590">
      <c r="A1590" s="14" t="str">
        <f>IFERROR(__xludf.DUMMYFUNCTION("""COMPUTED_VALUE"""),"P-13707-00")</f>
        <v>P-13707-00</v>
      </c>
      <c r="B1590" s="14" t="str">
        <f>IFERROR(__xludf.DUMMYFUNCTION("""COMPUTED_VALUE"""),"Gasket Flange DN50")</f>
        <v>Gasket Flange DN50</v>
      </c>
      <c r="C1590" s="14" t="str">
        <f>IFERROR(__xludf.DUMMYFUNCTION("""COMPUTED_VALUE"""),"P-13707-00")</f>
        <v>P-13707-00</v>
      </c>
    </row>
    <row r="1591">
      <c r="A1591" s="14" t="str">
        <f>IFERROR(__xludf.DUMMYFUNCTION("""COMPUTED_VALUE"""),"P-13708-00")</f>
        <v>P-13708-00</v>
      </c>
      <c r="B1591" s="14" t="str">
        <f>IFERROR(__xludf.DUMMYFUNCTION("""COMPUTED_VALUE"""),"Gasket Flange DN40")</f>
        <v>Gasket Flange DN40</v>
      </c>
      <c r="C1591" s="14" t="str">
        <f>IFERROR(__xludf.DUMMYFUNCTION("""COMPUTED_VALUE"""),"P-13708-00")</f>
        <v>P-13708-00</v>
      </c>
    </row>
    <row r="1592">
      <c r="A1592" s="14" t="str">
        <f>IFERROR(__xludf.DUMMYFUNCTION("""COMPUTED_VALUE"""),"P-13709-00")</f>
        <v>P-13709-00</v>
      </c>
      <c r="B1592" s="14" t="str">
        <f>IFERROR(__xludf.DUMMYFUNCTION("""COMPUTED_VALUE"""),"Gasket Flange DN25")</f>
        <v>Gasket Flange DN25</v>
      </c>
      <c r="C1592" s="14" t="str">
        <f>IFERROR(__xludf.DUMMYFUNCTION("""COMPUTED_VALUE"""),"P-13709-00")</f>
        <v>P-13709-00</v>
      </c>
    </row>
    <row r="1593">
      <c r="A1593" s="14" t="str">
        <f>IFERROR(__xludf.DUMMYFUNCTION("""COMPUTED_VALUE"""),"P-13710-00")</f>
        <v>P-13710-00</v>
      </c>
      <c r="B1593" s="14" t="str">
        <f>IFERROR(__xludf.DUMMYFUNCTION("""COMPUTED_VALUE"""),"Baut SS countersunk M6x1.0x20 mm Ring Baut")</f>
        <v>Baut SS countersunk M6x1.0x20 mm Ring Baut</v>
      </c>
      <c r="C1593" s="14" t="str">
        <f>IFERROR(__xludf.DUMMYFUNCTION("""COMPUTED_VALUE"""),"P-13710-00")</f>
        <v>P-13710-00</v>
      </c>
    </row>
    <row r="1594">
      <c r="A1594" s="14" t="str">
        <f>IFERROR(__xludf.DUMMYFUNCTION("""COMPUTED_VALUE"""),"P-13713-00")</f>
        <v>P-13713-00</v>
      </c>
      <c r="B1594" s="14" t="str">
        <f>IFERROR(__xludf.DUMMYFUNCTION("""COMPUTED_VALUE"""),"Autoclave Fedegari FVA2/A1 NB2963AT - Oring Viton 71 x 60 x 5.5 mm")</f>
        <v>Autoclave Fedegari FVA2/A1 NB2963AT - Oring Viton 71 x 60 x 5.5 mm</v>
      </c>
      <c r="C1594" s="14" t="str">
        <f>IFERROR(__xludf.DUMMYFUNCTION("""COMPUTED_VALUE"""),"P-13713-00")</f>
        <v>P-13713-00</v>
      </c>
    </row>
    <row r="1595">
      <c r="A1595" s="14" t="str">
        <f>IFERROR(__xludf.DUMMYFUNCTION("""COMPUTED_VALUE"""),"P-13714-00")</f>
        <v>P-13714-00</v>
      </c>
      <c r="B1595" s="14" t="str">
        <f>IFERROR(__xludf.DUMMYFUNCTION("""COMPUTED_VALUE"""),"Autoclave Fedegari FVA2/A1 NB2963AT - Oring Viton 29 x 22 x 3.5 mm")</f>
        <v>Autoclave Fedegari FVA2/A1 NB2963AT - Oring Viton 29 x 22 x 3.5 mm</v>
      </c>
      <c r="C1595" s="14" t="str">
        <f>IFERROR(__xludf.DUMMYFUNCTION("""COMPUTED_VALUE"""),"P-13714-00")</f>
        <v>P-13714-00</v>
      </c>
    </row>
    <row r="1596">
      <c r="A1596" s="14" t="str">
        <f>IFERROR(__xludf.DUMMYFUNCTION("""COMPUTED_VALUE"""),"P-13715-00")</f>
        <v>P-13715-00</v>
      </c>
      <c r="B1596" s="14" t="str">
        <f>IFERROR(__xludf.DUMMYFUNCTION("""COMPUTED_VALUE"""),"Autoclave Fedegari FVA2/A1 NB2963AT - Oring Viton 19 x 14 x 2.5 mm")</f>
        <v>Autoclave Fedegari FVA2/A1 NB2963AT - Oring Viton 19 x 14 x 2.5 mm</v>
      </c>
      <c r="C1596" s="14" t="str">
        <f>IFERROR(__xludf.DUMMYFUNCTION("""COMPUTED_VALUE"""),"P-13715-00")</f>
        <v>P-13715-00</v>
      </c>
    </row>
    <row r="1597">
      <c r="A1597" s="14" t="str">
        <f>IFERROR(__xludf.DUMMYFUNCTION("""COMPUTED_VALUE"""),"P-13722-00")</f>
        <v>P-13722-00</v>
      </c>
      <c r="B1597" s="14" t="str">
        <f>IFERROR(__xludf.DUMMYFUNCTION("""COMPUTED_VALUE"""),"Insulation Pipe 5/8 inch x 3/4 inch")</f>
        <v>Insulation Pipe 5/8 inch x 3/4 inch</v>
      </c>
      <c r="C1597" s="14" t="str">
        <f>IFERROR(__xludf.DUMMYFUNCTION("""COMPUTED_VALUE"""),"P-13722-00")</f>
        <v>P-13722-00</v>
      </c>
    </row>
    <row r="1598">
      <c r="A1598" s="14" t="str">
        <f>IFERROR(__xludf.DUMMYFUNCTION("""COMPUTED_VALUE"""),"P-13723-00")</f>
        <v>P-13723-00</v>
      </c>
      <c r="B1598" s="14" t="str">
        <f>IFERROR(__xludf.DUMMYFUNCTION("""COMPUTED_VALUE"""),"Insulation Pipe 2-3/8 inch x 3/4 inch")</f>
        <v>Insulation Pipe 2-3/8 inch x 3/4 inch</v>
      </c>
      <c r="C1598" s="14" t="str">
        <f>IFERROR(__xludf.DUMMYFUNCTION("""COMPUTED_VALUE"""),"P-13723-00")</f>
        <v>P-13723-00</v>
      </c>
    </row>
    <row r="1599">
      <c r="A1599" s="14" t="str">
        <f>IFERROR(__xludf.DUMMYFUNCTION("""COMPUTED_VALUE"""),"P-13724-00")</f>
        <v>P-13724-00</v>
      </c>
      <c r="B1599" s="14" t="str">
        <f>IFERROR(__xludf.DUMMYFUNCTION("""COMPUTED_VALUE"""),"Socket Threaded Female SS316 1/2 inch")</f>
        <v>Socket Threaded Female SS316 1/2 inch</v>
      </c>
      <c r="C1599" s="14" t="str">
        <f>IFERROR(__xludf.DUMMYFUNCTION("""COMPUTED_VALUE"""),"P-13724-00")</f>
        <v>P-13724-00</v>
      </c>
    </row>
    <row r="1600">
      <c r="A1600" s="14" t="str">
        <f>IFERROR(__xludf.DUMMYFUNCTION("""COMPUTED_VALUE"""),"P-13725-00")</f>
        <v>P-13725-00</v>
      </c>
      <c r="B1600" s="14" t="str">
        <f>IFERROR(__xludf.DUMMYFUNCTION("""COMPUTED_VALUE"""),"Quick Coupler 1/2 inch Male")</f>
        <v>Quick Coupler 1/2 inch Male</v>
      </c>
      <c r="C1600" s="14" t="str">
        <f>IFERROR(__xludf.DUMMYFUNCTION("""COMPUTED_VALUE"""),"P-13725-00")</f>
        <v>P-13725-00</v>
      </c>
    </row>
    <row r="1601">
      <c r="A1601" s="14" t="str">
        <f>IFERROR(__xludf.DUMMYFUNCTION("""COMPUTED_VALUE"""),"P-13726-00")</f>
        <v>P-13726-00</v>
      </c>
      <c r="B1601" s="14" t="str">
        <f>IFERROR(__xludf.DUMMYFUNCTION("""COMPUTED_VALUE"""),"Quick Coupler 1/2 inch Female")</f>
        <v>Quick Coupler 1/2 inch Female</v>
      </c>
      <c r="C1601" s="14" t="str">
        <f>IFERROR(__xludf.DUMMYFUNCTION("""COMPUTED_VALUE"""),"P-13726-00")</f>
        <v>P-13726-00</v>
      </c>
    </row>
    <row r="1602">
      <c r="A1602" s="14" t="str">
        <f>IFERROR(__xludf.DUMMYFUNCTION("""COMPUTED_VALUE"""),"P-13732-00")</f>
        <v>P-13732-00</v>
      </c>
      <c r="B1602" s="14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4" t="str">
        <f>IFERROR(__xludf.DUMMYFUNCTION("""COMPUTED_VALUE"""),"P-13732-00")</f>
        <v>P-13732-00</v>
      </c>
    </row>
    <row r="1603">
      <c r="A1603" s="14" t="str">
        <f>IFERROR(__xludf.DUMMYFUNCTION("""COMPUTED_VALUE"""),"P-13735-00")</f>
        <v>P-13735-00</v>
      </c>
      <c r="B1603" s="14" t="str">
        <f>IFERROR(__xludf.DUMMYFUNCTION("""COMPUTED_VALUE"""),"Cable Duct Round Putih 35 x 10 mm; ; ;")</f>
        <v>Cable Duct Round Putih 35 x 10 mm; ; ;</v>
      </c>
      <c r="C1603" s="14" t="str">
        <f>IFERROR(__xludf.DUMMYFUNCTION("""COMPUTED_VALUE"""),"P-13735-00")</f>
        <v>P-13735-00</v>
      </c>
    </row>
    <row r="1604">
      <c r="A1604" s="14" t="str">
        <f>IFERROR(__xludf.DUMMYFUNCTION("""COMPUTED_VALUE"""),"P-13745-00")</f>
        <v>P-13745-00</v>
      </c>
      <c r="B1604" s="14" t="str">
        <f>IFERROR(__xludf.DUMMYFUNCTION("""COMPUTED_VALUE"""),"Filter Core Drier - D48")</f>
        <v>Filter Core Drier - D48</v>
      </c>
      <c r="C1604" s="14" t="str">
        <f>IFERROR(__xludf.DUMMYFUNCTION("""COMPUTED_VALUE"""),"P-13745-00")</f>
        <v>P-13745-00</v>
      </c>
    </row>
    <row r="1605">
      <c r="A1605" s="14" t="str">
        <f>IFERROR(__xludf.DUMMYFUNCTION("""COMPUTED_VALUE"""),"P-13754-00")</f>
        <v>P-13754-00</v>
      </c>
      <c r="B1605" s="14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4" t="str">
        <f>IFERROR(__xludf.DUMMYFUNCTION("""COMPUTED_VALUE"""),"P-13754-00")</f>
        <v>P-13754-00</v>
      </c>
    </row>
    <row r="1606">
      <c r="A1606" s="14" t="str">
        <f>IFERROR(__xludf.DUMMYFUNCTION("""COMPUTED_VALUE"""),"P-13755-00")</f>
        <v>P-13755-00</v>
      </c>
      <c r="B1606" s="14" t="str">
        <f>IFERROR(__xludf.DUMMYFUNCTION("""COMPUTED_VALUE"""),"Selenoid Valve 2 Way Brass, 24VDC, 1/4 inch; ; ;")</f>
        <v>Selenoid Valve 2 Way Brass, 24VDC, 1/4 inch; ; ;</v>
      </c>
      <c r="C1606" s="14" t="str">
        <f>IFERROR(__xludf.DUMMYFUNCTION("""COMPUTED_VALUE"""),"P-13755-00")</f>
        <v>P-13755-00</v>
      </c>
    </row>
    <row r="1607">
      <c r="A1607" s="14" t="str">
        <f>IFERROR(__xludf.DUMMYFUNCTION("""COMPUTED_VALUE"""),"P-13758-00")</f>
        <v>P-13758-00</v>
      </c>
      <c r="B1607" s="14" t="str">
        <f>IFERROR(__xludf.DUMMYFUNCTION("""COMPUTED_VALUE"""),"STILL RX 50-10C - Oil Rem")</f>
        <v>STILL RX 50-10C - Oil Rem</v>
      </c>
      <c r="C1607" s="14" t="str">
        <f>IFERROR(__xludf.DUMMYFUNCTION("""COMPUTED_VALUE"""),"P-13758-00")</f>
        <v>P-13758-00</v>
      </c>
    </row>
    <row r="1608">
      <c r="A1608" s="14" t="str">
        <f>IFERROR(__xludf.DUMMYFUNCTION("""COMPUTED_VALUE"""),"P-13759-00")</f>
        <v>P-13759-00</v>
      </c>
      <c r="B1608" s="14" t="str">
        <f>IFERROR(__xludf.DUMMYFUNCTION("""COMPUTED_VALUE"""),"STILL RX 50-10C - Wheel Brake Cyl")</f>
        <v>STILL RX 50-10C - Wheel Brake Cyl</v>
      </c>
      <c r="C1608" s="14" t="str">
        <f>IFERROR(__xludf.DUMMYFUNCTION("""COMPUTED_VALUE"""),"P-13759-00")</f>
        <v>P-13759-00</v>
      </c>
    </row>
    <row r="1609">
      <c r="A1609" s="14" t="str">
        <f>IFERROR(__xludf.DUMMYFUNCTION("""COMPUTED_VALUE"""),"P-13760-00")</f>
        <v>P-13760-00</v>
      </c>
      <c r="B1609" s="14" t="str">
        <f>IFERROR(__xludf.DUMMYFUNCTION("""COMPUTED_VALUE"""),"V-trap PVC uk. 4 inch")</f>
        <v>V-trap PVC uk. 4 inch</v>
      </c>
      <c r="C1609" s="14" t="str">
        <f>IFERROR(__xludf.DUMMYFUNCTION("""COMPUTED_VALUE"""),"P-13760-00")</f>
        <v>P-13760-00</v>
      </c>
    </row>
    <row r="1610">
      <c r="A1610" s="14" t="str">
        <f>IFERROR(__xludf.DUMMYFUNCTION("""COMPUTED_VALUE"""),"P-13773-00")</f>
        <v>P-13773-00</v>
      </c>
      <c r="B1610" s="14" t="str">
        <f>IFERROR(__xludf.DUMMYFUNCTION("""COMPUTED_VALUE"""),"Valve PN16 DN25 for Actuator SQS65 Siemens; ; ;")</f>
        <v>Valve PN16 DN25 for Actuator SQS65 Siemens; ; ;</v>
      </c>
      <c r="C1610" s="14" t="str">
        <f>IFERROR(__xludf.DUMMYFUNCTION("""COMPUTED_VALUE"""),"P-13773-00")</f>
        <v>P-13773-00</v>
      </c>
    </row>
    <row r="1611">
      <c r="A1611" s="14" t="str">
        <f>IFERROR(__xludf.DUMMYFUNCTION("""COMPUTED_VALUE"""),"P-13787-00")</f>
        <v>P-13787-00</v>
      </c>
      <c r="B1611" s="14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4" t="str">
        <f>IFERROR(__xludf.DUMMYFUNCTION("""COMPUTED_VALUE"""),"P-13787-00")</f>
        <v>P-13787-00</v>
      </c>
    </row>
    <row r="1612">
      <c r="A1612" s="14" t="str">
        <f>IFERROR(__xludf.DUMMYFUNCTION("""COMPUTED_VALUE"""),"P-13887-00")</f>
        <v>P-13887-00</v>
      </c>
      <c r="B1612" s="14" t="str">
        <f>IFERROR(__xludf.DUMMYFUNCTION("""COMPUTED_VALUE"""),"Kawat Seling SS dia 4mm")</f>
        <v>Kawat Seling SS dia 4mm</v>
      </c>
      <c r="C1612" s="14" t="str">
        <f>IFERROR(__xludf.DUMMYFUNCTION("""COMPUTED_VALUE"""),"P-13887-00")</f>
        <v>P-13887-00</v>
      </c>
    </row>
    <row r="1613">
      <c r="A1613" s="14" t="str">
        <f>IFERROR(__xludf.DUMMYFUNCTION("""COMPUTED_VALUE"""),"P-14244-00")</f>
        <v>P-14244-00</v>
      </c>
      <c r="B1613" s="14" t="str">
        <f>IFERROR(__xludf.DUMMYFUNCTION("""COMPUTED_VALUE"""),"General - UV Lamp SD55-320W; Hanovia; 130071-0320-C; 1 pc")</f>
        <v>General - UV Lamp SD55-320W; Hanovia; 130071-0320-C; 1 pc</v>
      </c>
      <c r="C1613" s="14" t="str">
        <f>IFERROR(__xludf.DUMMYFUNCTION("""COMPUTED_VALUE"""),"P-14244-00")</f>
        <v>P-14244-00</v>
      </c>
    </row>
    <row r="1614">
      <c r="A1614" s="14" t="str">
        <f>IFERROR(__xludf.DUMMYFUNCTION("""COMPUTED_VALUE"""),"P-14245-00")</f>
        <v>P-14245-00</v>
      </c>
      <c r="B1614" s="14" t="str">
        <f>IFERROR(__xludf.DUMMYFUNCTION("""COMPUTED_VALUE"""),"General - Shut off valve HE-2-QS-8;  FESTO; P/N : 153468; 1 Pc")</f>
        <v>General - Shut off valve HE-2-QS-8;  FESTO; P/N : 153468; 1 Pc</v>
      </c>
      <c r="C1614" s="14" t="str">
        <f>IFERROR(__xludf.DUMMYFUNCTION("""COMPUTED_VALUE"""),"P-14245-00")</f>
        <v>P-14245-00</v>
      </c>
    </row>
    <row r="1615">
      <c r="A1615" s="14" t="str">
        <f>IFERROR(__xludf.DUMMYFUNCTION("""COMPUTED_VALUE"""),"P-14249-00")</f>
        <v>P-14249-00</v>
      </c>
      <c r="B1615" s="14" t="str">
        <f>IFERROR(__xludf.DUMMYFUNCTION("""COMPUTED_VALUE"""),"Baut SS L M4 x 30 mm + Mur + Ring; ; ;; ; ;")</f>
        <v>Baut SS L M4 x 30 mm + Mur + Ring; ; ;; ; ;</v>
      </c>
      <c r="C1615" s="14" t="str">
        <f>IFERROR(__xludf.DUMMYFUNCTION("""COMPUTED_VALUE"""),"P-14249-00")</f>
        <v>P-14249-00</v>
      </c>
    </row>
    <row r="1616">
      <c r="A1616" s="14" t="str">
        <f>IFERROR(__xludf.DUMMYFUNCTION("""COMPUTED_VALUE"""),"P-14268-00")</f>
        <v>P-14268-00</v>
      </c>
      <c r="B1616" s="14" t="str">
        <f>IFERROR(__xludf.DUMMYFUNCTION("""COMPUTED_VALUE"""),"Baut hexagonal SS M4x20mm+Mur+Ring; ; ;")</f>
        <v>Baut hexagonal SS M4x20mm+Mur+Ring; ; ;</v>
      </c>
      <c r="C1616" s="14" t="str">
        <f>IFERROR(__xludf.DUMMYFUNCTION("""COMPUTED_VALUE"""),"P-14268-00")</f>
        <v>P-14268-00</v>
      </c>
    </row>
    <row r="1617">
      <c r="A1617" s="14" t="str">
        <f>IFERROR(__xludf.DUMMYFUNCTION("""COMPUTED_VALUE"""),"P-14269-00")</f>
        <v>P-14269-00</v>
      </c>
      <c r="B1617" s="14" t="str">
        <f>IFERROR(__xludf.DUMMYFUNCTION("""COMPUTED_VALUE"""),"Baut hexagonal SS M4x10mm+Mur+Ring; ; ;")</f>
        <v>Baut hexagonal SS M4x10mm+Mur+Ring; ; ;</v>
      </c>
      <c r="C1617" s="14" t="str">
        <f>IFERROR(__xludf.DUMMYFUNCTION("""COMPUTED_VALUE"""),"P-14269-00")</f>
        <v>P-14269-00</v>
      </c>
    </row>
    <row r="1618">
      <c r="A1618" s="14" t="str">
        <f>IFERROR(__xludf.DUMMYFUNCTION("""COMPUTED_VALUE"""),"P-14357-00")</f>
        <v>P-14357-00</v>
      </c>
      <c r="B1618" s="14" t="str">
        <f>IFERROR(__xludf.DUMMYFUNCTION("""COMPUTED_VALUE"""),"Ring Plate SS M8; ; ;")</f>
        <v>Ring Plate SS M8; ; ;</v>
      </c>
      <c r="C1618" s="14" t="str">
        <f>IFERROR(__xludf.DUMMYFUNCTION("""COMPUTED_VALUE"""),"P-14357-00")</f>
        <v>P-14357-00</v>
      </c>
    </row>
    <row r="1619">
      <c r="A1619" s="14" t="str">
        <f>IFERROR(__xludf.DUMMYFUNCTION("""COMPUTED_VALUE"""),"P-14358-00")</f>
        <v>P-14358-00</v>
      </c>
      <c r="B1619" s="14" t="str">
        <f>IFERROR(__xludf.DUMMYFUNCTION("""COMPUTED_VALUE"""),"Ring Plate SS M6; ; ;")</f>
        <v>Ring Plate SS M6; ; ;</v>
      </c>
      <c r="C1619" s="14" t="str">
        <f>IFERROR(__xludf.DUMMYFUNCTION("""COMPUTED_VALUE"""),"P-14358-00")</f>
        <v>P-14358-00</v>
      </c>
    </row>
    <row r="1620">
      <c r="A1620" s="14" t="str">
        <f>IFERROR(__xludf.DUMMYFUNCTION("""COMPUTED_VALUE"""),"P-14376-00")</f>
        <v>P-14376-00</v>
      </c>
      <c r="B1620" s="14" t="str">
        <f>IFERROR(__xludf.DUMMYFUNCTION("""COMPUTED_VALUE"""),"Gasket 2 1/2"" /EPDM; ; ;")</f>
        <v>Gasket 2 1/2" /EPDM; ; ;</v>
      </c>
      <c r="C1620" s="14" t="str">
        <f>IFERROR(__xludf.DUMMYFUNCTION("""COMPUTED_VALUE"""),"P-14376-00")</f>
        <v>P-14376-00</v>
      </c>
    </row>
    <row r="1621">
      <c r="A1621" s="14" t="str">
        <f>IFERROR(__xludf.DUMMYFUNCTION("""COMPUTED_VALUE"""),"P-14377-00")</f>
        <v>P-14377-00</v>
      </c>
      <c r="B1621" s="14" t="str">
        <f>IFERROR(__xludf.DUMMYFUNCTION("""COMPUTED_VALUE"""),"General - Gasket Ferrule EPDM 1inch; Lokal; -; 1 pc")</f>
        <v>General - Gasket Ferrule EPDM 1inch; Lokal; -; 1 pc</v>
      </c>
      <c r="C1621" s="14" t="str">
        <f>IFERROR(__xludf.DUMMYFUNCTION("""COMPUTED_VALUE"""),"P-14377-00")</f>
        <v>P-14377-00</v>
      </c>
    </row>
    <row r="1622">
      <c r="A1622" s="14" t="str">
        <f>IFERROR(__xludf.DUMMYFUNCTION("""COMPUTED_VALUE"""),"P-14378-00")</f>
        <v>P-14378-00</v>
      </c>
      <c r="B1622" s="14" t="str">
        <f>IFERROR(__xludf.DUMMYFUNCTION("""COMPUTED_VALUE"""),"Sanitary Butterfly Valve SS316 1"" Ferrule; ; ;")</f>
        <v>Sanitary Butterfly Valve SS316 1" Ferrule; ; ;</v>
      </c>
      <c r="C1622" s="14" t="str">
        <f>IFERROR(__xludf.DUMMYFUNCTION("""COMPUTED_VALUE"""),"P-14378-00")</f>
        <v>P-14378-00</v>
      </c>
    </row>
    <row r="1623">
      <c r="A1623" s="14" t="str">
        <f>IFERROR(__xludf.DUMMYFUNCTION("""COMPUTED_VALUE"""),"P-14379-00")</f>
        <v>P-14379-00</v>
      </c>
      <c r="B1623" s="14" t="str">
        <f>IFERROR(__xludf.DUMMYFUNCTION("""COMPUTED_VALUE"""),"Gasket 3/4"" /EPDM; ; ;")</f>
        <v>Gasket 3/4" /EPDM; ; ;</v>
      </c>
      <c r="C1623" s="14" t="str">
        <f>IFERROR(__xludf.DUMMYFUNCTION("""COMPUTED_VALUE"""),"P-14379-00")</f>
        <v>P-14379-00</v>
      </c>
    </row>
    <row r="1624">
      <c r="A1624" s="14" t="str">
        <f>IFERROR(__xludf.DUMMYFUNCTION("""COMPUTED_VALUE"""),"P-14380-00")</f>
        <v>P-14380-00</v>
      </c>
      <c r="B1624" s="14" t="str">
        <f>IFERROR(__xludf.DUMMYFUNCTION("""COMPUTED_VALUE"""),"Mechanical Seal Kit untuk Pompa Looping WFI SKID; ; c/n 9611922178;")</f>
        <v>Mechanical Seal Kit untuk Pompa Looping WFI SKID; ; c/n 9611922178;</v>
      </c>
      <c r="C1624" s="14" t="str">
        <f>IFERROR(__xludf.DUMMYFUNCTION("""COMPUTED_VALUE"""),"P-14380-00")</f>
        <v>P-14380-00</v>
      </c>
    </row>
    <row r="1625">
      <c r="A1625" s="14" t="str">
        <f>IFERROR(__xludf.DUMMYFUNCTION("""COMPUTED_VALUE"""),"P-14407-00")</f>
        <v>P-14407-00</v>
      </c>
      <c r="B1625" s="14" t="str">
        <f>IFERROR(__xludf.DUMMYFUNCTION("""COMPUTED_VALUE"""),"General - Gate Valve 1/2inch; Kitz; -; 1 pc")</f>
        <v>General - Gate Valve 1/2inch; Kitz; -; 1 pc</v>
      </c>
      <c r="C1625" s="14" t="str">
        <f>IFERROR(__xludf.DUMMYFUNCTION("""COMPUTED_VALUE"""),"P-14407-00")</f>
        <v>P-14407-00</v>
      </c>
    </row>
    <row r="1626">
      <c r="A1626" s="14" t="str">
        <f>IFERROR(__xludf.DUMMYFUNCTION("""COMPUTED_VALUE"""),"P-14424-00")</f>
        <v>P-14424-00</v>
      </c>
      <c r="B1626" s="14" t="str">
        <f>IFERROR(__xludf.DUMMYFUNCTION("""COMPUTED_VALUE"""),"Garam Kutreat RGN-9800F; ; ; 25Kg/zak")</f>
        <v>Garam Kutreat RGN-9800F; ; ; 25Kg/zak</v>
      </c>
      <c r="C1626" s="14" t="str">
        <f>IFERROR(__xludf.DUMMYFUNCTION("""COMPUTED_VALUE"""),"P-14424-00")</f>
        <v>P-14424-00</v>
      </c>
    </row>
    <row r="1627">
      <c r="A1627" s="14" t="str">
        <f>IFERROR(__xludf.DUMMYFUNCTION("""COMPUTED_VALUE"""),"P-14434-00")</f>
        <v>P-14434-00</v>
      </c>
      <c r="B1627" s="14" t="str">
        <f>IFERROR(__xludf.DUMMYFUNCTION("""COMPUTED_VALUE"""),"Tee Sanitary Expanding (long) SS 316 L Dia 1"" - Sodime; ; ;")</f>
        <v>Tee Sanitary Expanding (long) SS 316 L Dia 1" - Sodime; ; ;</v>
      </c>
      <c r="C1627" s="14" t="str">
        <f>IFERROR(__xludf.DUMMYFUNCTION("""COMPUTED_VALUE"""),"P-14434-00")</f>
        <v>P-14434-00</v>
      </c>
    </row>
    <row r="1628">
      <c r="A1628" s="14" t="str">
        <f>IFERROR(__xludf.DUMMYFUNCTION("""COMPUTED_VALUE"""),"P-14442-00")</f>
        <v>P-14442-00</v>
      </c>
      <c r="B1628" s="14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4" t="str">
        <f>IFERROR(__xludf.DUMMYFUNCTION("""COMPUTED_VALUE"""),"P-14442-00")</f>
        <v>P-14442-00</v>
      </c>
    </row>
    <row r="1629">
      <c r="A1629" s="14" t="str">
        <f>IFERROR(__xludf.DUMMYFUNCTION("""COMPUTED_VALUE"""),"P-14443-00")</f>
        <v>P-14443-00</v>
      </c>
      <c r="B1629" s="14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4" t="str">
        <f>IFERROR(__xludf.DUMMYFUNCTION("""COMPUTED_VALUE"""),"P-14443-00")</f>
        <v>P-14443-00</v>
      </c>
    </row>
    <row r="1630">
      <c r="A1630" s="14" t="str">
        <f>IFERROR(__xludf.DUMMYFUNCTION("""COMPUTED_VALUE"""),"P-14444-00")</f>
        <v>P-14444-00</v>
      </c>
      <c r="B1630" s="14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4" t="str">
        <f>IFERROR(__xludf.DUMMYFUNCTION("""COMPUTED_VALUE"""),"P-14444-00")</f>
        <v>P-14444-00</v>
      </c>
    </row>
    <row r="1631">
      <c r="A1631" s="14" t="str">
        <f>IFERROR(__xludf.DUMMYFUNCTION("""COMPUTED_VALUE"""),"P-14445-00")</f>
        <v>P-14445-00</v>
      </c>
      <c r="B1631" s="14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4" t="str">
        <f>IFERROR(__xludf.DUMMYFUNCTION("""COMPUTED_VALUE"""),"P-14445-00")</f>
        <v>P-14445-00</v>
      </c>
    </row>
    <row r="1632">
      <c r="A1632" s="14" t="str">
        <f>IFERROR(__xludf.DUMMYFUNCTION("""COMPUTED_VALUE"""),"P-14453-00")</f>
        <v>P-14453-00</v>
      </c>
      <c r="B1632" s="14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4" t="str">
        <f>IFERROR(__xludf.DUMMYFUNCTION("""COMPUTED_VALUE"""),"P-14453-00")</f>
        <v>P-14453-00</v>
      </c>
    </row>
    <row r="1633">
      <c r="A1633" s="14" t="str">
        <f>IFERROR(__xludf.DUMMYFUNCTION("""COMPUTED_VALUE"""),"P-14453-00")</f>
        <v>P-14453-00</v>
      </c>
      <c r="B1633" s="14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4" t="str">
        <f>IFERROR(__xludf.DUMMYFUNCTION("""COMPUTED_VALUE"""),"P-14453-00")</f>
        <v>P-14453-00</v>
      </c>
    </row>
    <row r="1634">
      <c r="A1634" s="14" t="str">
        <f>IFERROR(__xludf.DUMMYFUNCTION("""COMPUTED_VALUE"""),"P-14454-00")</f>
        <v>P-14454-00</v>
      </c>
      <c r="B1634" s="14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4" t="str">
        <f>IFERROR(__xludf.DUMMYFUNCTION("""COMPUTED_VALUE"""),"P-14454-00")</f>
        <v>P-14454-00</v>
      </c>
    </row>
    <row r="1635">
      <c r="A1635" s="14" t="str">
        <f>IFERROR(__xludf.DUMMYFUNCTION("""COMPUTED_VALUE"""),"P-14454-00")</f>
        <v>P-14454-00</v>
      </c>
      <c r="B1635" s="14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4" t="str">
        <f>IFERROR(__xludf.DUMMYFUNCTION("""COMPUTED_VALUE"""),"P-14454-00")</f>
        <v>P-14454-00</v>
      </c>
    </row>
    <row r="1636">
      <c r="A1636" s="14" t="str">
        <f>IFERROR(__xludf.DUMMYFUNCTION("""COMPUTED_VALUE"""),"P-14455-00")</f>
        <v>P-14455-00</v>
      </c>
      <c r="B1636" s="14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4" t="str">
        <f>IFERROR(__xludf.DUMMYFUNCTION("""COMPUTED_VALUE"""),"P-14455-00")</f>
        <v>P-14455-00</v>
      </c>
    </row>
    <row r="1637">
      <c r="A1637" s="14" t="str">
        <f>IFERROR(__xludf.DUMMYFUNCTION("""COMPUTED_VALUE"""),"P-14456-00")</f>
        <v>P-14456-00</v>
      </c>
      <c r="B1637" s="14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4" t="str">
        <f>IFERROR(__xludf.DUMMYFUNCTION("""COMPUTED_VALUE"""),"P-14456-00")</f>
        <v>P-14456-00</v>
      </c>
    </row>
    <row r="1638">
      <c r="A1638" s="14" t="str">
        <f>IFERROR(__xludf.DUMMYFUNCTION("""COMPUTED_VALUE"""),"P-14457-00")</f>
        <v>P-14457-00</v>
      </c>
      <c r="B1638" s="14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4" t="str">
        <f>IFERROR(__xludf.DUMMYFUNCTION("""COMPUTED_VALUE"""),"P-14457-00")</f>
        <v>P-14457-00</v>
      </c>
    </row>
    <row r="1639">
      <c r="A1639" s="14" t="str">
        <f>IFERROR(__xludf.DUMMYFUNCTION("""COMPUTED_VALUE"""),"P-14458-00")</f>
        <v>P-14458-00</v>
      </c>
      <c r="B1639" s="14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4" t="str">
        <f>IFERROR(__xludf.DUMMYFUNCTION("""COMPUTED_VALUE"""),"P-14458-00")</f>
        <v>P-14458-00</v>
      </c>
    </row>
    <row r="1640">
      <c r="A1640" s="14" t="str">
        <f>IFERROR(__xludf.DUMMYFUNCTION("""COMPUTED_VALUE"""),"P-14459-00")</f>
        <v>P-14459-00</v>
      </c>
      <c r="B1640" s="14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4" t="str">
        <f>IFERROR(__xludf.DUMMYFUNCTION("""COMPUTED_VALUE"""),"P-14459-00")</f>
        <v>P-14459-00</v>
      </c>
    </row>
    <row r="1641">
      <c r="A1641" s="14" t="str">
        <f>IFERROR(__xludf.DUMMYFUNCTION("""COMPUTED_VALUE"""),"P-14460-00")</f>
        <v>P-14460-00</v>
      </c>
      <c r="B1641" s="14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4" t="str">
        <f>IFERROR(__xludf.DUMMYFUNCTION("""COMPUTED_VALUE"""),"P-14460-00")</f>
        <v>P-14460-00</v>
      </c>
    </row>
    <row r="1642">
      <c r="A1642" s="14" t="str">
        <f>IFERROR(__xludf.DUMMYFUNCTION("""COMPUTED_VALUE"""),"P-14516-00")</f>
        <v>P-14516-00</v>
      </c>
      <c r="B1642" s="14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4" t="str">
        <f>IFERROR(__xludf.DUMMYFUNCTION("""COMPUTED_VALUE"""),"P-14516-00")</f>
        <v>P-14516-00</v>
      </c>
    </row>
    <row r="1643">
      <c r="A1643" s="14" t="str">
        <f>IFERROR(__xludf.DUMMYFUNCTION("""COMPUTED_VALUE"""),"P-14519-00")</f>
        <v>P-14519-00</v>
      </c>
      <c r="B1643" s="14" t="str">
        <f>IFERROR(__xludf.DUMMYFUNCTION("""COMPUTED_VALUE"""),"General - Baut Hexagonal, SS, M8 x 30 mm + Mur + Ring; No Brand; -; 1 pcs")</f>
        <v>General - Baut Hexagonal, SS, M8 x 30 mm + Mur + Ring; No Brand; -; 1 pcs</v>
      </c>
      <c r="C1643" s="14" t="str">
        <f>IFERROR(__xludf.DUMMYFUNCTION("""COMPUTED_VALUE"""),"P-14519-00")</f>
        <v>P-14519-00</v>
      </c>
    </row>
    <row r="1644">
      <c r="A1644" s="14" t="str">
        <f>IFERROR(__xludf.DUMMYFUNCTION("""COMPUTED_VALUE"""),"P-14521-00")</f>
        <v>P-14521-00</v>
      </c>
      <c r="B1644" s="14" t="str">
        <f>IFERROR(__xludf.DUMMYFUNCTION("""COMPUTED_VALUE"""),"Freon R410A; Dupont; ;")</f>
        <v>Freon R410A; Dupont; ;</v>
      </c>
      <c r="C1644" s="14" t="str">
        <f>IFERROR(__xludf.DUMMYFUNCTION("""COMPUTED_VALUE"""),"P-14521-00")</f>
        <v>P-14521-00</v>
      </c>
    </row>
    <row r="1645">
      <c r="A1645" s="14" t="str">
        <f>IFERROR(__xludf.DUMMYFUNCTION("""COMPUTED_VALUE"""),"P-14522-00")</f>
        <v>P-14522-00</v>
      </c>
      <c r="B1645" s="14" t="str">
        <f>IFERROR(__xludf.DUMMYFUNCTION("""COMPUTED_VALUE"""),"Dynabolt M12x60mm; ; ;")</f>
        <v>Dynabolt M12x60mm; ; ;</v>
      </c>
      <c r="C1645" s="14" t="str">
        <f>IFERROR(__xludf.DUMMYFUNCTION("""COMPUTED_VALUE"""),"P-14522-00")</f>
        <v>P-14522-00</v>
      </c>
    </row>
    <row r="1646">
      <c r="A1646" s="14" t="str">
        <f>IFERROR(__xludf.DUMMYFUNCTION("""COMPUTED_VALUE"""),"P-14528-00")</f>
        <v>P-14528-00</v>
      </c>
      <c r="B1646" s="14" t="str">
        <f>IFERROR(__xludf.DUMMYFUNCTION("""COMPUTED_VALUE"""),"Pressure Gauge 2,5 inch 0-10 Bar, Sanitary Diaphragm Seal; ; ;")</f>
        <v>Pressure Gauge 2,5 inch 0-10 Bar, Sanitary Diaphragm Seal; ; ;</v>
      </c>
      <c r="C1646" s="14" t="str">
        <f>IFERROR(__xludf.DUMMYFUNCTION("""COMPUTED_VALUE"""),"P-14528-00")</f>
        <v>P-14528-00</v>
      </c>
    </row>
    <row r="1647">
      <c r="A1647" s="14" t="str">
        <f>IFERROR(__xludf.DUMMYFUNCTION("""COMPUTED_VALUE"""),"P-14764-00")</f>
        <v>P-14764-00</v>
      </c>
      <c r="B1647" s="14" t="str">
        <f>IFERROR(__xludf.DUMMYFUNCTION("""COMPUTED_VALUE"""),"Tee PVC 4"" Rucika")</f>
        <v>Tee PVC 4" Rucika</v>
      </c>
      <c r="C1647" s="14" t="str">
        <f>IFERROR(__xludf.DUMMYFUNCTION("""COMPUTED_VALUE"""),"P-14764-00")</f>
        <v>P-14764-00</v>
      </c>
    </row>
    <row r="1648">
      <c r="A1648" s="14" t="str">
        <f>IFERROR(__xludf.DUMMYFUNCTION("""COMPUTED_VALUE"""),"P-14877-00")</f>
        <v>P-14877-00</v>
      </c>
      <c r="B1648" s="14" t="str">
        <f>IFERROR(__xludf.DUMMYFUNCTION("""COMPUTED_VALUE"""),"General - Kabel NYYHY 3 x 2.5mm; SUPREME; -; 1 meter")</f>
        <v>General - Kabel NYYHY 3 x 2.5mm; SUPREME; -; 1 meter</v>
      </c>
      <c r="C1648" s="14" t="str">
        <f>IFERROR(__xludf.DUMMYFUNCTION("""COMPUTED_VALUE"""),"P-14877-00")</f>
        <v>P-14877-00</v>
      </c>
    </row>
    <row r="1649">
      <c r="A1649" s="14" t="str">
        <f>IFERROR(__xludf.DUMMYFUNCTION("""COMPUTED_VALUE"""),"P-14899-00")</f>
        <v>P-14899-00</v>
      </c>
      <c r="B1649" s="14" t="str">
        <f>IFERROR(__xludf.DUMMYFUNCTION("""COMPUTED_VALUE"""),"Electrode Set Ozone Generator; Ozonia MKIV; ;")</f>
        <v>Electrode Set Ozone Generator; Ozonia MKIV; ;</v>
      </c>
      <c r="C1649" s="14" t="str">
        <f>IFERROR(__xludf.DUMMYFUNCTION("""COMPUTED_VALUE"""),"P-14899-00")</f>
        <v>P-14899-00</v>
      </c>
    </row>
    <row r="1650">
      <c r="A1650" s="14" t="str">
        <f>IFERROR(__xludf.DUMMYFUNCTION("""COMPUTED_VALUE"""),"P-14900-00")</f>
        <v>P-14900-00</v>
      </c>
      <c r="B1650" s="14" t="str">
        <f>IFERROR(__xludf.DUMMYFUNCTION("""COMPUTED_VALUE"""),"Quartz sleeve Hanovia UV System; HANOVIA; p/n 120207042;")</f>
        <v>Quartz sleeve Hanovia UV System; HANOVIA; p/n 120207042;</v>
      </c>
      <c r="C1650" s="14" t="str">
        <f>IFERROR(__xludf.DUMMYFUNCTION("""COMPUTED_VALUE"""),"P-14900-00")</f>
        <v>P-14900-00</v>
      </c>
    </row>
    <row r="1651">
      <c r="A1651" s="14" t="str">
        <f>IFERROR(__xludf.DUMMYFUNCTION("""COMPUTED_VALUE"""),"P-14901-00")</f>
        <v>P-14901-00</v>
      </c>
      <c r="B1651" s="14" t="str">
        <f>IFERROR(__xludf.DUMMYFUNCTION("""COMPUTED_VALUE"""),"Sleeve Seal Hanovia UV System; HANOVIA; p/n 600143025;")</f>
        <v>Sleeve Seal Hanovia UV System; HANOVIA; p/n 600143025;</v>
      </c>
      <c r="C1651" s="14" t="str">
        <f>IFERROR(__xludf.DUMMYFUNCTION("""COMPUTED_VALUE"""),"P-14901-00")</f>
        <v>P-14901-00</v>
      </c>
    </row>
    <row r="1652">
      <c r="A1652" s="14" t="str">
        <f>IFERROR(__xludf.DUMMYFUNCTION("""COMPUTED_VALUE"""),"P-14906-00")</f>
        <v>P-14906-00</v>
      </c>
      <c r="B1652" s="14" t="str">
        <f>IFERROR(__xludf.DUMMYFUNCTION("""COMPUTED_VALUE"""),"UV Sensor Housing Hanovia UV System; HANOVIA; p/n 270264043;")</f>
        <v>UV Sensor Housing Hanovia UV System; HANOVIA; p/n 270264043;</v>
      </c>
      <c r="C1652" s="14" t="str">
        <f>IFERROR(__xludf.DUMMYFUNCTION("""COMPUTED_VALUE"""),"P-14906-00")</f>
        <v>P-14906-00</v>
      </c>
    </row>
    <row r="1653">
      <c r="A1653" s="14" t="str">
        <f>IFERROR(__xludf.DUMMYFUNCTION("""COMPUTED_VALUE"""),"P-14907-00")</f>
        <v>P-14907-00</v>
      </c>
      <c r="B1653" s="14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4" t="str">
        <f>IFERROR(__xludf.DUMMYFUNCTION("""COMPUTED_VALUE"""),"P-14907-00")</f>
        <v>P-14907-00</v>
      </c>
    </row>
    <row r="1654">
      <c r="A1654" s="14" t="str">
        <f>IFERROR(__xludf.DUMMYFUNCTION("""COMPUTED_VALUE"""),"P-14910-00")</f>
        <v>P-14910-00</v>
      </c>
      <c r="B1654" s="14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4" t="str">
        <f>IFERROR(__xludf.DUMMYFUNCTION("""COMPUTED_VALUE"""),"P-14910-00")</f>
        <v>P-14910-00</v>
      </c>
    </row>
    <row r="1655">
      <c r="A1655" s="14" t="str">
        <f>IFERROR(__xludf.DUMMYFUNCTION("""COMPUTED_VALUE"""),"P-14928-00")</f>
        <v>P-14928-00</v>
      </c>
      <c r="B1655" s="14" t="str">
        <f>IFERROR(__xludf.DUMMYFUNCTION("""COMPUTED_VALUE"""),"Watermur 2"" SS 304; ; ;")</f>
        <v>Watermur 2" SS 304; ; ;</v>
      </c>
      <c r="C1655" s="14" t="str">
        <f>IFERROR(__xludf.DUMMYFUNCTION("""COMPUTED_VALUE"""),"P-14928-00")</f>
        <v>P-14928-00</v>
      </c>
    </row>
    <row r="1656">
      <c r="A1656" s="14" t="str">
        <f>IFERROR(__xludf.DUMMYFUNCTION("""COMPUTED_VALUE"""),"P-14948-00")</f>
        <v>P-14948-00</v>
      </c>
      <c r="B1656" s="14" t="str">
        <f>IFERROR(__xludf.DUMMYFUNCTION("""COMPUTED_VALUE"""),"Fitting Male Elbow KQ2L08-02AS; ; ;")</f>
        <v>Fitting Male Elbow KQ2L08-02AS; ; ;</v>
      </c>
      <c r="C1656" s="14" t="str">
        <f>IFERROR(__xludf.DUMMYFUNCTION("""COMPUTED_VALUE"""),"P-14948-00")</f>
        <v>P-14948-00</v>
      </c>
    </row>
    <row r="1657">
      <c r="A1657" s="14" t="str">
        <f>IFERROR(__xludf.DUMMYFUNCTION("""COMPUTED_VALUE"""),"P-14949-00")</f>
        <v>P-14949-00</v>
      </c>
      <c r="B1657" s="14" t="str">
        <f>IFERROR(__xludf.DUMMYFUNCTION("""COMPUTED_VALUE"""),"Fitting Male Elbow KQ2L08-03AS; ; ;")</f>
        <v>Fitting Male Elbow KQ2L08-03AS; ; ;</v>
      </c>
      <c r="C1657" s="14" t="str">
        <f>IFERROR(__xludf.DUMMYFUNCTION("""COMPUTED_VALUE"""),"P-14949-00")</f>
        <v>P-14949-00</v>
      </c>
    </row>
    <row r="1658">
      <c r="A1658" s="14" t="str">
        <f>IFERROR(__xludf.DUMMYFUNCTION("""COMPUTED_VALUE"""),"P-14950-00")</f>
        <v>P-14950-00</v>
      </c>
      <c r="B1658" s="14" t="str">
        <f>IFERROR(__xludf.DUMMYFUNCTION("""COMPUTED_VALUE"""),"General - KQ2 Fitting, KQ2T04-00A; SMC Pneumatics; -; 10 pcs per pack")</f>
        <v>General - KQ2 Fitting, KQ2T04-00A; SMC Pneumatics; -; 10 pcs per pack</v>
      </c>
      <c r="C1658" s="14" t="str">
        <f>IFERROR(__xludf.DUMMYFUNCTION("""COMPUTED_VALUE"""),"P-14950-00")</f>
        <v>P-14950-00</v>
      </c>
    </row>
    <row r="1659">
      <c r="A1659" s="14" t="str">
        <f>IFERROR(__xludf.DUMMYFUNCTION("""COMPUTED_VALUE"""),"P-14951-00")</f>
        <v>P-14951-00</v>
      </c>
      <c r="B1659" s="14" t="str">
        <f>IFERROR(__xludf.DUMMYFUNCTION("""COMPUTED_VALUE"""),"General - Fitting Union Tee KQ2T06-00A; SMC; -; 1 pc")</f>
        <v>General - Fitting Union Tee KQ2T06-00A; SMC; -; 1 pc</v>
      </c>
      <c r="C1659" s="14" t="str">
        <f>IFERROR(__xludf.DUMMYFUNCTION("""COMPUTED_VALUE"""),"P-14951-00")</f>
        <v>P-14951-00</v>
      </c>
    </row>
    <row r="1660">
      <c r="A1660" s="14" t="str">
        <f>IFERROR(__xludf.DUMMYFUNCTION("""COMPUTED_VALUE"""),"P-14952-00")</f>
        <v>P-14952-00</v>
      </c>
      <c r="B1660" s="14" t="str">
        <f>IFERROR(__xludf.DUMMYFUNCTION("""COMPUTED_VALUE"""),"General - KQ2 Fitting, KQ2T08-00A; SMC Pneumatics; -; 10 pcs per pack")</f>
        <v>General - KQ2 Fitting, KQ2T08-00A; SMC Pneumatics; -; 10 pcs per pack</v>
      </c>
      <c r="C1660" s="14" t="str">
        <f>IFERROR(__xludf.DUMMYFUNCTION("""COMPUTED_VALUE"""),"P-14952-00")</f>
        <v>P-14952-00</v>
      </c>
    </row>
    <row r="1661">
      <c r="A1661" s="14" t="str">
        <f>IFERROR(__xludf.DUMMYFUNCTION("""COMPUTED_VALUE"""),"P-14953-00")</f>
        <v>P-14953-00</v>
      </c>
      <c r="B1661" s="14" t="str">
        <f>IFERROR(__xludf.DUMMYFUNCTION("""COMPUTED_VALUE"""),"Straight Reducer KQ2H04-06A; ; ;")</f>
        <v>Straight Reducer KQ2H04-06A; ; ;</v>
      </c>
      <c r="C1661" s="14" t="str">
        <f>IFERROR(__xludf.DUMMYFUNCTION("""COMPUTED_VALUE"""),"P-14953-00")</f>
        <v>P-14953-00</v>
      </c>
    </row>
    <row r="1662">
      <c r="A1662" s="14" t="str">
        <f>IFERROR(__xludf.DUMMYFUNCTION("""COMPUTED_VALUE"""),"P-14954-00")</f>
        <v>P-14954-00</v>
      </c>
      <c r="B1662" s="14" t="str">
        <f>IFERROR(__xludf.DUMMYFUNCTION("""COMPUTED_VALUE"""),"Straight Reducer KQ2H06-08A; ; ;")</f>
        <v>Straight Reducer KQ2H06-08A; ; ;</v>
      </c>
      <c r="C1662" s="14" t="str">
        <f>IFERROR(__xludf.DUMMYFUNCTION("""COMPUTED_VALUE"""),"P-14954-00")</f>
        <v>P-14954-00</v>
      </c>
    </row>
    <row r="1663">
      <c r="A1663" s="14" t="str">
        <f>IFERROR(__xludf.DUMMYFUNCTION("""COMPUTED_VALUE"""),"P-14955-00")</f>
        <v>P-14955-00</v>
      </c>
      <c r="B1663" s="14" t="str">
        <f>IFERROR(__xludf.DUMMYFUNCTION("""COMPUTED_VALUE"""),"Straight Union KQ2H04-00A; ; ;")</f>
        <v>Straight Union KQ2H04-00A; ; ;</v>
      </c>
      <c r="C1663" s="14" t="str">
        <f>IFERROR(__xludf.DUMMYFUNCTION("""COMPUTED_VALUE"""),"P-14955-00")</f>
        <v>P-14955-00</v>
      </c>
    </row>
    <row r="1664">
      <c r="A1664" s="14" t="str">
        <f>IFERROR(__xludf.DUMMYFUNCTION("""COMPUTED_VALUE"""),"P-14956-00")</f>
        <v>P-14956-00</v>
      </c>
      <c r="B1664" s="14" t="str">
        <f>IFERROR(__xludf.DUMMYFUNCTION("""COMPUTED_VALUE"""),"General - Straight Union KQ2H06-00A; No Brand; -; 1 Pc")</f>
        <v>General - Straight Union KQ2H06-00A; No Brand; -; 1 Pc</v>
      </c>
      <c r="C1664" s="14" t="str">
        <f>IFERROR(__xludf.DUMMYFUNCTION("""COMPUTED_VALUE"""),"P-14956-00")</f>
        <v>P-14956-00</v>
      </c>
    </row>
    <row r="1665">
      <c r="A1665" s="14" t="str">
        <f>IFERROR(__xludf.DUMMYFUNCTION("""COMPUTED_VALUE"""),"P-14957-00")</f>
        <v>P-14957-00</v>
      </c>
      <c r="B1665" s="14" t="str">
        <f>IFERROR(__xludf.DUMMYFUNCTION("""COMPUTED_VALUE"""),"Straight Union KQ2H08-00A")</f>
        <v>Straight Union KQ2H08-00A</v>
      </c>
      <c r="C1665" s="14" t="str">
        <f>IFERROR(__xludf.DUMMYFUNCTION("""COMPUTED_VALUE"""),"P-14957-00")</f>
        <v>P-14957-00</v>
      </c>
    </row>
    <row r="1666">
      <c r="A1666" s="14" t="str">
        <f>IFERROR(__xludf.DUMMYFUNCTION("""COMPUTED_VALUE"""),"P-14959-00")</f>
        <v>P-14959-00</v>
      </c>
      <c r="B1666" s="14" t="str">
        <f>IFERROR(__xludf.DUMMYFUNCTION("""COMPUTED_VALUE"""),"PVC - Dop 1/2 inch; ; ;")</f>
        <v>PVC - Dop 1/2 inch; ; ;</v>
      </c>
      <c r="C1666" s="14" t="str">
        <f>IFERROR(__xludf.DUMMYFUNCTION("""COMPUTED_VALUE"""),"P-14959-00")</f>
        <v>P-14959-00</v>
      </c>
    </row>
    <row r="1667">
      <c r="A1667" s="14" t="str">
        <f>IFERROR(__xludf.DUMMYFUNCTION("""COMPUTED_VALUE"""),"P-14960-00")</f>
        <v>P-14960-00</v>
      </c>
      <c r="B1667" s="14" t="str">
        <f>IFERROR(__xludf.DUMMYFUNCTION("""COMPUTED_VALUE"""),"PVC - Dop 1 inch; ; ;")</f>
        <v>PVC - Dop 1 inch; ; ;</v>
      </c>
      <c r="C1667" s="14" t="str">
        <f>IFERROR(__xludf.DUMMYFUNCTION("""COMPUTED_VALUE"""),"P-14960-00")</f>
        <v>P-14960-00</v>
      </c>
    </row>
    <row r="1668">
      <c r="A1668" s="14" t="str">
        <f>IFERROR(__xludf.DUMMYFUNCTION("""COMPUTED_VALUE"""),"P-14966-00")</f>
        <v>P-14966-00</v>
      </c>
      <c r="B1668" s="14" t="str">
        <f>IFERROR(__xludf.DUMMYFUNCTION("""COMPUTED_VALUE"""),"General - Gate Valve Kuningan 2inch; Kitz; -; 1pc")</f>
        <v>General - Gate Valve Kuningan 2inch; Kitz; -; 1pc</v>
      </c>
      <c r="C1668" s="14" t="str">
        <f>IFERROR(__xludf.DUMMYFUNCTION("""COMPUTED_VALUE"""),"P-14966-00")</f>
        <v>P-14966-00</v>
      </c>
    </row>
    <row r="1669">
      <c r="A1669" s="14" t="str">
        <f>IFERROR(__xludf.DUMMYFUNCTION("""COMPUTED_VALUE"""),"P-14969-00")</f>
        <v>P-14969-00</v>
      </c>
      <c r="B1669" s="14" t="str">
        <f>IFERROR(__xludf.DUMMYFUNCTION("""COMPUTED_VALUE"""),"Fitting PVC - SDL PVC 3/4""; ; ;")</f>
        <v>Fitting PVC - SDL PVC 3/4"; ; ;</v>
      </c>
      <c r="C1669" s="14" t="str">
        <f>IFERROR(__xludf.DUMMYFUNCTION("""COMPUTED_VALUE"""),"P-14969-00")</f>
        <v>P-14969-00</v>
      </c>
    </row>
    <row r="1670">
      <c r="A1670" s="14" t="str">
        <f>IFERROR(__xludf.DUMMYFUNCTION("""COMPUTED_VALUE"""),"P-14970-00")</f>
        <v>P-14970-00</v>
      </c>
      <c r="B1670" s="14" t="str">
        <f>IFERROR(__xludf.DUMMYFUNCTION("""COMPUTED_VALUE"""),"General - Pipa PVC AW dia. 2 1/2inch, Warna Abu-Abu; Rucika; -; 1 pcs")</f>
        <v>General - Pipa PVC AW dia. 2 1/2inch, Warna Abu-Abu; Rucika; -; 1 pcs</v>
      </c>
      <c r="C1670" s="14" t="str">
        <f>IFERROR(__xludf.DUMMYFUNCTION("""COMPUTED_VALUE"""),"P-14970-00")</f>
        <v>P-14970-00</v>
      </c>
    </row>
    <row r="1671">
      <c r="A1671" s="14" t="str">
        <f>IFERROR(__xludf.DUMMYFUNCTION("""COMPUTED_VALUE"""),"P-14974-00")</f>
        <v>P-14974-00</v>
      </c>
      <c r="B1671" s="14" t="str">
        <f>IFERROR(__xludf.DUMMYFUNCTION("""COMPUTED_VALUE"""),"PVC - Sock AW 2 1/2""; ; ;")</f>
        <v>PVC - Sock AW 2 1/2"; ; ;</v>
      </c>
      <c r="C1671" s="14" t="str">
        <f>IFERROR(__xludf.DUMMYFUNCTION("""COMPUTED_VALUE"""),"P-14974-00")</f>
        <v>P-14974-00</v>
      </c>
    </row>
    <row r="1672">
      <c r="A1672" s="14" t="str">
        <f>IFERROR(__xludf.DUMMYFUNCTION("""COMPUTED_VALUE"""),"P-14976-00")</f>
        <v>P-14976-00</v>
      </c>
      <c r="B1672" s="14" t="str">
        <f>IFERROR(__xludf.DUMMYFUNCTION("""COMPUTED_VALUE"""),"Ball Valve PVC 1/2""; ; ;")</f>
        <v>Ball Valve PVC 1/2"; ; ;</v>
      </c>
      <c r="C1672" s="14" t="str">
        <f>IFERROR(__xludf.DUMMYFUNCTION("""COMPUTED_VALUE"""),"P-14976-00")</f>
        <v>P-14976-00</v>
      </c>
    </row>
    <row r="1673">
      <c r="A1673" s="14" t="str">
        <f>IFERROR(__xludf.DUMMYFUNCTION("""COMPUTED_VALUE"""),"P-14977-00")</f>
        <v>P-14977-00</v>
      </c>
      <c r="B1673" s="14" t="str">
        <f>IFERROR(__xludf.DUMMYFUNCTION("""COMPUTED_VALUE"""),"Pipa Sanitary 1"" SS 316; ; ;")</f>
        <v>Pipa Sanitary 1" SS 316; ; ;</v>
      </c>
      <c r="C1673" s="14" t="str">
        <f>IFERROR(__xludf.DUMMYFUNCTION("""COMPUTED_VALUE"""),"P-14977-00")</f>
        <v>P-14977-00</v>
      </c>
    </row>
    <row r="1674">
      <c r="A1674" s="14" t="str">
        <f>IFERROR(__xludf.DUMMYFUNCTION("""COMPUTED_VALUE"""),"P-14980-00")</f>
        <v>P-14980-00</v>
      </c>
      <c r="B1674" s="14" t="str">
        <f>IFERROR(__xludf.DUMMYFUNCTION("""COMPUTED_VALUE"""),"General - Seal Ferrule Teflon 3/4inch; No Brand; -; 1 pcs")</f>
        <v>General - Seal Ferrule Teflon 3/4inch; No Brand; -; 1 pcs</v>
      </c>
      <c r="C1674" s="14" t="str">
        <f>IFERROR(__xludf.DUMMYFUNCTION("""COMPUTED_VALUE"""),"P-14980-00")</f>
        <v>P-14980-00</v>
      </c>
    </row>
    <row r="1675">
      <c r="A1675" s="14" t="str">
        <f>IFERROR(__xludf.DUMMYFUNCTION("""COMPUTED_VALUE"""),"P-14980-00")</f>
        <v>P-14980-00</v>
      </c>
      <c r="B1675" s="14" t="str">
        <f>IFERROR(__xludf.DUMMYFUNCTION("""COMPUTED_VALUE"""),"General - Seal Ferrule Teflon 3/4inch; No Brand; -; 1 pcs")</f>
        <v>General - Seal Ferrule Teflon 3/4inch; No Brand; -; 1 pcs</v>
      </c>
      <c r="C1675" s="14" t="str">
        <f>IFERROR(__xludf.DUMMYFUNCTION("""COMPUTED_VALUE"""),"P-14980-00")</f>
        <v>P-14980-00</v>
      </c>
    </row>
    <row r="1676">
      <c r="A1676" s="14" t="str">
        <f>IFERROR(__xludf.DUMMYFUNCTION("""COMPUTED_VALUE"""),"P-14992-00")</f>
        <v>P-14992-00</v>
      </c>
      <c r="B1676" s="14" t="str">
        <f>IFERROR(__xludf.DUMMYFUNCTION("""COMPUTED_VALUE"""),"Ferrule to Hose 3/4 inch")</f>
        <v>Ferrule to Hose 3/4 inch</v>
      </c>
      <c r="C1676" s="14" t="str">
        <f>IFERROR(__xludf.DUMMYFUNCTION("""COMPUTED_VALUE"""),"P-14992-00")</f>
        <v>P-14992-00</v>
      </c>
    </row>
    <row r="1677">
      <c r="A1677" s="14" t="str">
        <f>IFERROR(__xludf.DUMMYFUNCTION("""COMPUTED_VALUE"""),"P-14993-00")</f>
        <v>P-14993-00</v>
      </c>
      <c r="B1677" s="14" t="str">
        <f>IFERROR(__xludf.DUMMYFUNCTION("""COMPUTED_VALUE"""),"Ferrule to Hose 1,5 inch x 7mm; ; ;")</f>
        <v>Ferrule to Hose 1,5 inch x 7mm; ; ;</v>
      </c>
      <c r="C1677" s="14" t="str">
        <f>IFERROR(__xludf.DUMMYFUNCTION("""COMPUTED_VALUE"""),"P-14993-00")</f>
        <v>P-14993-00</v>
      </c>
    </row>
    <row r="1678">
      <c r="A1678" s="14" t="str">
        <f>IFERROR(__xludf.DUMMYFUNCTION("""COMPUTED_VALUE"""),"P-14995-00")</f>
        <v>P-14995-00</v>
      </c>
      <c r="B1678" s="14" t="str">
        <f>IFERROR(__xludf.DUMMYFUNCTION("""COMPUTED_VALUE"""),"General - Reducer SS316 Sanitary dia. 1inch x 3/4inch; No Brand; -; 1 pc")</f>
        <v>General - Reducer SS316 Sanitary dia. 1inch x 3/4inch; No Brand; -; 1 pc</v>
      </c>
      <c r="C1678" s="14" t="str">
        <f>IFERROR(__xludf.DUMMYFUNCTION("""COMPUTED_VALUE"""),"P-14995-00")</f>
        <v>P-14995-00</v>
      </c>
    </row>
    <row r="1679">
      <c r="A1679" s="14" t="str">
        <f>IFERROR(__xludf.DUMMYFUNCTION("""COMPUTED_VALUE"""),"P-14998-00")</f>
        <v>P-14998-00</v>
      </c>
      <c r="B1679" s="14" t="str">
        <f>IFERROR(__xludf.DUMMYFUNCTION("""COMPUTED_VALUE"""),"Room Press. Monitoring, P/N. 547-104A; ; ;")</f>
        <v>Room Press. Monitoring, P/N. 547-104A; ; ;</v>
      </c>
      <c r="C1679" s="14" t="str">
        <f>IFERROR(__xludf.DUMMYFUNCTION("""COMPUTED_VALUE"""),"P-14998-00")</f>
        <v>P-14998-00</v>
      </c>
    </row>
    <row r="1680">
      <c r="A1680" s="14" t="str">
        <f>IFERROR(__xludf.DUMMYFUNCTION("""COMPUTED_VALUE"""),"P-14999-00")</f>
        <v>P-14999-00</v>
      </c>
      <c r="B1680" s="14" t="str">
        <f>IFERROR(__xludf.DUMMYFUNCTION("""COMPUTED_VALUE"""),"Room Press. Monitoring, P/N. 547-103A; ; ;")</f>
        <v>Room Press. Monitoring, P/N. 547-103A; ; ;</v>
      </c>
      <c r="C1680" s="14" t="str">
        <f>IFERROR(__xludf.DUMMYFUNCTION("""COMPUTED_VALUE"""),"P-14999-00")</f>
        <v>P-14999-00</v>
      </c>
    </row>
    <row r="1681">
      <c r="A1681" s="14" t="str">
        <f>IFERROR(__xludf.DUMMYFUNCTION("""COMPUTED_VALUE"""),"P-15000-00")</f>
        <v>P-15000-00</v>
      </c>
      <c r="B1681" s="14" t="str">
        <f>IFERROR(__xludf.DUMMYFUNCTION("""COMPUTED_VALUE"""),"Air Diff. Press. Switch, P/N. QBM81; ; ;")</f>
        <v>Air Diff. Press. Switch, P/N. QBM81; ; ;</v>
      </c>
      <c r="C1681" s="14" t="str">
        <f>IFERROR(__xludf.DUMMYFUNCTION("""COMPUTED_VALUE"""),"P-15000-00")</f>
        <v>P-15000-00</v>
      </c>
    </row>
    <row r="1682">
      <c r="A1682" s="14" t="str">
        <f>IFERROR(__xludf.DUMMYFUNCTION("""COMPUTED_VALUE"""),"P-15001-00")</f>
        <v>P-15001-00</v>
      </c>
      <c r="B1682" s="14" t="str">
        <f>IFERROR(__xludf.DUMMYFUNCTION("""COMPUTED_VALUE"""),"Air Duct Temp. Sensor, P/N. 536-811; ; ;")</f>
        <v>Air Duct Temp. Sensor, P/N. 536-811; ; ;</v>
      </c>
      <c r="C1682" s="14" t="str">
        <f>IFERROR(__xludf.DUMMYFUNCTION("""COMPUTED_VALUE"""),"P-15001-00")</f>
        <v>P-15001-00</v>
      </c>
    </row>
    <row r="1683">
      <c r="A1683" s="14" t="str">
        <f>IFERROR(__xludf.DUMMYFUNCTION("""COMPUTED_VALUE"""),"P-15002-00")</f>
        <v>P-15002-00</v>
      </c>
      <c r="B1683" s="14" t="str">
        <f>IFERROR(__xludf.DUMMYFUNCTION("""COMPUTED_VALUE"""),"Room Air Temp. &amp; RH Sensor, P/N. QFA2060D; ; ;")</f>
        <v>Room Air Temp. &amp; RH Sensor, P/N. QFA2060D; ; ;</v>
      </c>
      <c r="C1683" s="14" t="str">
        <f>IFERROR(__xludf.DUMMYFUNCTION("""COMPUTED_VALUE"""),"P-15002-00")</f>
        <v>P-15002-00</v>
      </c>
    </row>
    <row r="1684">
      <c r="A1684" s="14" t="str">
        <f>IFERROR(__xludf.DUMMYFUNCTION("""COMPUTED_VALUE"""),"P-15017-00")</f>
        <v>P-15017-00</v>
      </c>
      <c r="B1684" s="14" t="str">
        <f>IFERROR(__xludf.DUMMYFUNCTION("""COMPUTED_VALUE"""),"Selang Spiral Compressor dia.8 mm Include Coopler")</f>
        <v>Selang Spiral Compressor dia.8 mm Include Coopler</v>
      </c>
      <c r="C1684" s="14" t="str">
        <f>IFERROR(__xludf.DUMMYFUNCTION("""COMPUTED_VALUE"""),"P-15017-00")</f>
        <v>P-15017-00</v>
      </c>
    </row>
    <row r="1685">
      <c r="A1685" s="14" t="str">
        <f>IFERROR(__xludf.DUMMYFUNCTION("""COMPUTED_VALUE"""),"P-15036-00")</f>
        <v>P-15036-00</v>
      </c>
      <c r="B1685" s="14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4" t="str">
        <f>IFERROR(__xludf.DUMMYFUNCTION("""COMPUTED_VALUE"""),"P-15036-00")</f>
        <v>P-15036-00</v>
      </c>
    </row>
    <row r="1686">
      <c r="A1686" s="14" t="str">
        <f>IFERROR(__xludf.DUMMYFUNCTION("""COMPUTED_VALUE"""),"P-15037-00")</f>
        <v>P-15037-00</v>
      </c>
      <c r="B1686" s="14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4" t="str">
        <f>IFERROR(__xludf.DUMMYFUNCTION("""COMPUTED_VALUE"""),"P-15037-00")</f>
        <v>P-15037-00</v>
      </c>
    </row>
    <row r="1687">
      <c r="A1687" s="14" t="str">
        <f>IFERROR(__xludf.DUMMYFUNCTION("""COMPUTED_VALUE"""),"P-15038-00")</f>
        <v>P-15038-00</v>
      </c>
      <c r="B1687" s="14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4" t="str">
        <f>IFERROR(__xludf.DUMMYFUNCTION("""COMPUTED_VALUE"""),"P-15038-00")</f>
        <v>P-15038-00</v>
      </c>
    </row>
    <row r="1688">
      <c r="A1688" s="14" t="str">
        <f>IFERROR(__xludf.DUMMYFUNCTION("""COMPUTED_VALUE"""),"P-15052-00")</f>
        <v>P-15052-00</v>
      </c>
      <c r="B1688" s="14" t="str">
        <f>IFERROR(__xludf.DUMMYFUNCTION("""COMPUTED_VALUE"""),"General - Element Filter 1 micron; NXE-400-Z; -; 1 pc")</f>
        <v>General - Element Filter 1 micron; NXE-400-Z; -; 1 pc</v>
      </c>
      <c r="C1688" s="14" t="str">
        <f>IFERROR(__xludf.DUMMYFUNCTION("""COMPUTED_VALUE"""),"P-15052-00")</f>
        <v>P-15052-00</v>
      </c>
    </row>
    <row r="1689">
      <c r="A1689" s="14" t="str">
        <f>IFERROR(__xludf.DUMMYFUNCTION("""COMPUTED_VALUE"""),"P-15053-00")</f>
        <v>P-15053-00</v>
      </c>
      <c r="B1689" s="14" t="str">
        <f>IFERROR(__xludf.DUMMYFUNCTION("""COMPUTED_VALUE"""),"General - Element Filter 0.01 micron; NXE-400-X; -; 1 pc")</f>
        <v>General - Element Filter 0.01 micron; NXE-400-X; -; 1 pc</v>
      </c>
      <c r="C1689" s="14" t="str">
        <f>IFERROR(__xludf.DUMMYFUNCTION("""COMPUTED_VALUE"""),"P-15053-00")</f>
        <v>P-15053-00</v>
      </c>
    </row>
    <row r="1690">
      <c r="A1690" s="14" t="str">
        <f>IFERROR(__xludf.DUMMYFUNCTION("""COMPUTED_VALUE"""),"P-15076-00")</f>
        <v>P-15076-00</v>
      </c>
      <c r="B1690" s="14" t="str">
        <f>IFERROR(__xludf.DUMMYFUNCTION("""COMPUTED_VALUE"""),"Fitting KQ2H10-04AS; ; ;")</f>
        <v>Fitting KQ2H10-04AS; ; ;</v>
      </c>
      <c r="C1690" s="14" t="str">
        <f>IFERROR(__xludf.DUMMYFUNCTION("""COMPUTED_VALUE"""),"P-15076-00")</f>
        <v>P-15076-00</v>
      </c>
    </row>
    <row r="1691">
      <c r="A1691" s="14" t="str">
        <f>IFERROR(__xludf.DUMMYFUNCTION("""COMPUTED_VALUE"""),"P-15077-00")</f>
        <v>P-15077-00</v>
      </c>
      <c r="B1691" s="14" t="str">
        <f>IFERROR(__xludf.DUMMYFUNCTION("""COMPUTED_VALUE"""),"Fitting KQ2H06-03AS; ; ;")</f>
        <v>Fitting KQ2H06-03AS; ; ;</v>
      </c>
      <c r="C1691" s="14" t="str">
        <f>IFERROR(__xludf.DUMMYFUNCTION("""COMPUTED_VALUE"""),"P-15077-00")</f>
        <v>P-15077-00</v>
      </c>
    </row>
    <row r="1692">
      <c r="A1692" s="14" t="str">
        <f>IFERROR(__xludf.DUMMYFUNCTION("""COMPUTED_VALUE"""),"P-15078-00")</f>
        <v>P-15078-00</v>
      </c>
      <c r="B1692" s="14" t="str">
        <f>IFERROR(__xludf.DUMMYFUNCTION("""COMPUTED_VALUE"""),"General - ELBOW PVC AW 2"" ; Rucika; -; 1 pc")</f>
        <v>General - ELBOW PVC AW 2" ; Rucika; -; 1 pc</v>
      </c>
      <c r="C1692" s="14" t="str">
        <f>IFERROR(__xludf.DUMMYFUNCTION("""COMPUTED_VALUE"""),"P-15078-00")</f>
        <v>P-15078-00</v>
      </c>
    </row>
    <row r="1693">
      <c r="A1693" s="14" t="str">
        <f>IFERROR(__xludf.DUMMYFUNCTION("""COMPUTED_VALUE"""),"P-15351-00")</f>
        <v>P-15351-00</v>
      </c>
      <c r="B1693" s="14" t="str">
        <f>IFERROR(__xludf.DUMMYFUNCTION("""COMPUTED_VALUE"""),"FESTO - Plastic tubing PUN-10x1,5-BL (Blue) p/n 159668; ; ;")</f>
        <v>FESTO - Plastic tubing PUN-10x1,5-BL (Blue) p/n 159668; ; ;</v>
      </c>
      <c r="C1693" s="14" t="str">
        <f>IFERROR(__xludf.DUMMYFUNCTION("""COMPUTED_VALUE"""),"P-15351-00")</f>
        <v>P-15351-00</v>
      </c>
    </row>
    <row r="1694">
      <c r="A1694" s="14" t="str">
        <f>IFERROR(__xludf.DUMMYFUNCTION("""COMPUTED_VALUE"""),"P-15371-00")</f>
        <v>P-15371-00</v>
      </c>
      <c r="B1694" s="14" t="str">
        <f>IFERROR(__xludf.DUMMYFUNCTION("""COMPUTED_VALUE"""),"Fedegari - Seal Door; ; ;")</f>
        <v>Fedegari - Seal Door; ; ;</v>
      </c>
      <c r="C1694" s="14" t="str">
        <f>IFERROR(__xludf.DUMMYFUNCTION("""COMPUTED_VALUE"""),"P-15371-00")</f>
        <v>P-15371-00</v>
      </c>
    </row>
    <row r="1695">
      <c r="A1695" s="14" t="str">
        <f>IFERROR(__xludf.DUMMYFUNCTION("""COMPUTED_VALUE"""),"P-15390-00")</f>
        <v>P-15390-00</v>
      </c>
      <c r="B1695" s="14" t="str">
        <f>IFERROR(__xludf.DUMMYFUNCTION("""COMPUTED_VALUE"""),"Roda PU (Poliurethane) Uk. 4 inch; ; ;")</f>
        <v>Roda PU (Poliurethane) Uk. 4 inch; ; ;</v>
      </c>
      <c r="C1695" s="14" t="str">
        <f>IFERROR(__xludf.DUMMYFUNCTION("""COMPUTED_VALUE"""),"P-15390-00")</f>
        <v>P-15390-00</v>
      </c>
    </row>
    <row r="1696">
      <c r="A1696" s="14" t="str">
        <f>IFERROR(__xludf.DUMMYFUNCTION("""COMPUTED_VALUE"""),"P-15391-00")</f>
        <v>P-15391-00</v>
      </c>
      <c r="B1696" s="14" t="str">
        <f>IFERROR(__xludf.DUMMYFUNCTION("""COMPUTED_VALUE"""),"Fitting PVC - Reducer PVC AW 4"" x 2""; ; ;")</f>
        <v>Fitting PVC - Reducer PVC AW 4" x 2"; ; ;</v>
      </c>
      <c r="C1696" s="14" t="str">
        <f>IFERROR(__xludf.DUMMYFUNCTION("""COMPUTED_VALUE"""),"P-15391-00")</f>
        <v>P-15391-00</v>
      </c>
    </row>
    <row r="1697">
      <c r="A1697" s="14" t="str">
        <f>IFERROR(__xludf.DUMMYFUNCTION("""COMPUTED_VALUE"""),"P-15394-00")</f>
        <v>P-15394-00</v>
      </c>
      <c r="B1697" s="14" t="str">
        <f>IFERROR(__xludf.DUMMYFUNCTION("""COMPUTED_VALUE"""),"Reducer Sock SS304 1/2 inch x 1/4 inch")</f>
        <v>Reducer Sock SS304 1/2 inch x 1/4 inch</v>
      </c>
      <c r="C1697" s="14" t="str">
        <f>IFERROR(__xludf.DUMMYFUNCTION("""COMPUTED_VALUE"""),"P-15394-00")</f>
        <v>P-15394-00</v>
      </c>
    </row>
    <row r="1698">
      <c r="A1698" s="14" t="str">
        <f>IFERROR(__xludf.DUMMYFUNCTION("""COMPUTED_VALUE"""),"P-15412-00")</f>
        <v>P-15412-00</v>
      </c>
      <c r="B1698" s="14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4" t="str">
        <f>IFERROR(__xludf.DUMMYFUNCTION("""COMPUTED_VALUE"""),"P-15412-00")</f>
        <v>P-15412-00</v>
      </c>
    </row>
    <row r="1699">
      <c r="A1699" s="14" t="str">
        <f>IFERROR(__xludf.DUMMYFUNCTION("""COMPUTED_VALUE"""),"P-15413-00")</f>
        <v>P-15413-00</v>
      </c>
      <c r="B1699" s="14" t="str">
        <f>IFERROR(__xludf.DUMMYFUNCTION("""COMPUTED_VALUE"""),"Ball Float Steam Trap 1 inch Screw BSP")</f>
        <v>Ball Float Steam Trap 1 inch Screw BSP</v>
      </c>
      <c r="C1699" s="14" t="str">
        <f>IFERROR(__xludf.DUMMYFUNCTION("""COMPUTED_VALUE"""),"P-15413-00")</f>
        <v>P-15413-00</v>
      </c>
    </row>
    <row r="1700">
      <c r="A1700" s="14" t="str">
        <f>IFERROR(__xludf.DUMMYFUNCTION("""COMPUTED_VALUE"""),"P-15419-00")</f>
        <v>P-15419-00</v>
      </c>
      <c r="B1700" s="14" t="str">
        <f>IFERROR(__xludf.DUMMYFUNCTION("""COMPUTED_VALUE"""),"Sensor Turck No 10-30 VDC, 200mABi8U-Q08-AP6X2-V1131; Turck; ;")</f>
        <v>Sensor Turck No 10-30 VDC, 200mABi8U-Q08-AP6X2-V1131; Turck; ;</v>
      </c>
      <c r="C1700" s="14" t="str">
        <f>IFERROR(__xludf.DUMMYFUNCTION("""COMPUTED_VALUE"""),"P-15419-00")</f>
        <v>P-15419-00</v>
      </c>
    </row>
    <row r="1701">
      <c r="A1701" s="14" t="str">
        <f>IFERROR(__xludf.DUMMYFUNCTION("""COMPUTED_VALUE"""),"P-15429-00")</f>
        <v>P-15429-00</v>
      </c>
      <c r="B1701" s="14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4" t="str">
        <f>IFERROR(__xludf.DUMMYFUNCTION("""COMPUTED_VALUE"""),"P-15429-00")</f>
        <v>P-15429-00</v>
      </c>
    </row>
    <row r="1702">
      <c r="A1702" s="14" t="str">
        <f>IFERROR(__xludf.DUMMYFUNCTION("""COMPUTED_VALUE"""),"P-15432-00")</f>
        <v>P-15432-00</v>
      </c>
      <c r="B1702" s="14" t="str">
        <f>IFERROR(__xludf.DUMMYFUNCTION("""COMPUTED_VALUE"""),"Fitting KQ2E08-00; ; ;")</f>
        <v>Fitting KQ2E08-00; ; ;</v>
      </c>
      <c r="C1702" s="14" t="str">
        <f>IFERROR(__xludf.DUMMYFUNCTION("""COMPUTED_VALUE"""),"P-15432-00")</f>
        <v>P-15432-00</v>
      </c>
    </row>
    <row r="1703">
      <c r="A1703" s="14" t="str">
        <f>IFERROR(__xludf.DUMMYFUNCTION("""COMPUTED_VALUE"""),"P-15433-00")</f>
        <v>P-15433-00</v>
      </c>
      <c r="B1703" s="14" t="str">
        <f>IFERROR(__xludf.DUMMYFUNCTION("""COMPUTED_VALUE"""),"General - Fitting KQ2E06-00A; SMC; -; 1 Pc")</f>
        <v>General - Fitting KQ2E06-00A; SMC; -; 1 Pc</v>
      </c>
      <c r="C1703" s="14" t="str">
        <f>IFERROR(__xludf.DUMMYFUNCTION("""COMPUTED_VALUE"""),"P-15433-00")</f>
        <v>P-15433-00</v>
      </c>
    </row>
    <row r="1704">
      <c r="A1704" s="14" t="str">
        <f>IFERROR(__xludf.DUMMYFUNCTION("""COMPUTED_VALUE"""),"P-15436-00")</f>
        <v>P-15436-00</v>
      </c>
      <c r="B1704" s="14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4" t="str">
        <f>IFERROR(__xludf.DUMMYFUNCTION("""COMPUTED_VALUE"""),"P-15436-00")</f>
        <v>P-15436-00</v>
      </c>
    </row>
    <row r="1705">
      <c r="A1705" s="14" t="str">
        <f>IFERROR(__xludf.DUMMYFUNCTION("""COMPUTED_VALUE"""),"P-15437-00")</f>
        <v>P-15437-00</v>
      </c>
      <c r="B1705" s="14" t="str">
        <f>IFERROR(__xludf.DUMMYFUNCTION("""COMPUTED_VALUE"""),"CABLE SPIRAL WRAPPING, TYPE KS24, BRAND KSS; ; ;")</f>
        <v>CABLE SPIRAL WRAPPING, TYPE KS24, BRAND KSS; ; ;</v>
      </c>
      <c r="C1705" s="14" t="str">
        <f>IFERROR(__xludf.DUMMYFUNCTION("""COMPUTED_VALUE"""),"P-15437-00")</f>
        <v>P-15437-00</v>
      </c>
    </row>
    <row r="1706">
      <c r="A1706" s="14" t="str">
        <f>IFERROR(__xludf.DUMMYFUNCTION("""COMPUTED_VALUE"""),"P-15438-00")</f>
        <v>P-15438-00</v>
      </c>
      <c r="B1706" s="14" t="str">
        <f>IFERROR(__xludf.DUMMYFUNCTION("""COMPUTED_VALUE"""),"General - Cable Spiral Wrapping; KSS; KS12; 1 Pc")</f>
        <v>General - Cable Spiral Wrapping; KSS; KS12; 1 Pc</v>
      </c>
      <c r="C1706" s="14" t="str">
        <f>IFERROR(__xludf.DUMMYFUNCTION("""COMPUTED_VALUE"""),"P-15438-00")</f>
        <v>P-15438-00</v>
      </c>
    </row>
    <row r="1707">
      <c r="A1707" s="14" t="str">
        <f>IFERROR(__xludf.DUMMYFUNCTION("""COMPUTED_VALUE"""),"P-15446-00")</f>
        <v>P-15446-00</v>
      </c>
      <c r="B1707" s="14" t="str">
        <f>IFERROR(__xludf.DUMMYFUNCTION("""COMPUTED_VALUE"""),"Flowmeter Merk Wiebrock; 60 LPM 0-60 liter/menit; ; ;")</f>
        <v>Flowmeter Merk Wiebrock; 60 LPM 0-60 liter/menit; ; ;</v>
      </c>
      <c r="C1707" s="14" t="str">
        <f>IFERROR(__xludf.DUMMYFUNCTION("""COMPUTED_VALUE"""),"P-15446-00")</f>
        <v>P-15446-00</v>
      </c>
    </row>
    <row r="1708">
      <c r="A1708" s="14" t="str">
        <f>IFERROR(__xludf.DUMMYFUNCTION("""COMPUTED_VALUE"""),"P-15447-00")</f>
        <v>P-15447-00</v>
      </c>
      <c r="B1708" s="14" t="str">
        <f>IFERROR(__xludf.DUMMYFUNCTION("""COMPUTED_VALUE"""),"Flowmeter Merk Wiebrock; 100 LPM, 0 - 100liter / menit; ; ;")</f>
        <v>Flowmeter Merk Wiebrock; 100 LPM, 0 - 100liter / menit; ; ;</v>
      </c>
      <c r="C1708" s="14" t="str">
        <f>IFERROR(__xludf.DUMMYFUNCTION("""COMPUTED_VALUE"""),"P-15447-00")</f>
        <v>P-15447-00</v>
      </c>
    </row>
    <row r="1709">
      <c r="A1709" s="14" t="str">
        <f>IFERROR(__xludf.DUMMYFUNCTION("""COMPUTED_VALUE"""),"P-15448-00")</f>
        <v>P-15448-00</v>
      </c>
      <c r="B1709" s="14" t="str">
        <f>IFERROR(__xludf.DUMMYFUNCTION("""COMPUTED_VALUE"""),"Flowmeter Mfg : Dwyer; Type : MMA-5; ; ;")</f>
        <v>Flowmeter Mfg : Dwyer; Type : MMA-5; ; ;</v>
      </c>
      <c r="C1709" s="14" t="str">
        <f>IFERROR(__xludf.DUMMYFUNCTION("""COMPUTED_VALUE"""),"P-15448-00")</f>
        <v>P-15448-00</v>
      </c>
    </row>
    <row r="1710">
      <c r="A1710" s="14" t="str">
        <f>IFERROR(__xludf.DUMMYFUNCTION("""COMPUTED_VALUE"""),"P-15449-00")</f>
        <v>P-15449-00</v>
      </c>
      <c r="B1710" s="14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4" t="str">
        <f>IFERROR(__xludf.DUMMYFUNCTION("""COMPUTED_VALUE"""),"P-15449-00")</f>
        <v>P-15449-00</v>
      </c>
    </row>
    <row r="1711">
      <c r="A1711" s="14" t="str">
        <f>IFERROR(__xludf.DUMMYFUNCTION("""COMPUTED_VALUE"""),"P-15596-00")</f>
        <v>P-15596-00</v>
      </c>
      <c r="B1711" s="14" t="str">
        <f>IFERROR(__xludf.DUMMYFUNCTION("""COMPUTED_VALUE"""),"Elbow SS 304 dia. 1 Sch 10")</f>
        <v>Elbow SS 304 dia. 1 Sch 10</v>
      </c>
      <c r="C1711" s="14" t="str">
        <f>IFERROR(__xludf.DUMMYFUNCTION("""COMPUTED_VALUE"""),"P-15596-00")</f>
        <v>P-15596-00</v>
      </c>
    </row>
    <row r="1712">
      <c r="A1712" s="14" t="str">
        <f>IFERROR(__xludf.DUMMYFUNCTION("""COMPUTED_VALUE"""),"P-15766-00")</f>
        <v>P-15766-00</v>
      </c>
      <c r="B1712" s="14" t="str">
        <f>IFERROR(__xludf.DUMMYFUNCTION("""COMPUTED_VALUE"""),"Tee PVC dia. 1 1/2""")</f>
        <v>Tee PVC dia. 1 1/2"</v>
      </c>
      <c r="C1712" s="14" t="str">
        <f>IFERROR(__xludf.DUMMYFUNCTION("""COMPUTED_VALUE"""),"P-15766-00")</f>
        <v>P-15766-00</v>
      </c>
    </row>
    <row r="1713">
      <c r="A1713" s="14" t="str">
        <f>IFERROR(__xludf.DUMMYFUNCTION("""COMPUTED_VALUE"""),"P-15774-00")</f>
        <v>P-15774-00</v>
      </c>
      <c r="B1713" s="14" t="str">
        <f>IFERROR(__xludf.DUMMYFUNCTION("""COMPUTED_VALUE"""),"General - Tee, SS 304, Sch 10, Butt Welded, 1 x 1inch; No Brand; -; 1 pcs")</f>
        <v>General - Tee, SS 304, Sch 10, Butt Welded, 1 x 1inch; No Brand; -; 1 pcs</v>
      </c>
      <c r="C1713" s="14" t="str">
        <f>IFERROR(__xludf.DUMMYFUNCTION("""COMPUTED_VALUE"""),"P-15774-00")</f>
        <v>P-15774-00</v>
      </c>
    </row>
    <row r="1714">
      <c r="A1714" s="14" t="str">
        <f>IFERROR(__xludf.DUMMYFUNCTION("""COMPUTED_VALUE"""),"P-15817-00")</f>
        <v>P-15817-00</v>
      </c>
      <c r="B1714" s="14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4" t="str">
        <f>IFERROR(__xludf.DUMMYFUNCTION("""COMPUTED_VALUE"""),"P-15817-00")</f>
        <v>P-15817-00</v>
      </c>
    </row>
    <row r="1715">
      <c r="A1715" s="14" t="str">
        <f>IFERROR(__xludf.DUMMYFUNCTION("""COMPUTED_VALUE"""),"P-15818-00")</f>
        <v>P-15818-00</v>
      </c>
      <c r="B1715" s="14" t="str">
        <f>IFERROR(__xludf.DUMMYFUNCTION("""COMPUTED_VALUE"""),"Gasket Tombo 1000, Tebal 5mm, uk.1270x1270mm; ; ;")</f>
        <v>Gasket Tombo 1000, Tebal 5mm, uk.1270x1270mm; ; ;</v>
      </c>
      <c r="C1715" s="14" t="str">
        <f>IFERROR(__xludf.DUMMYFUNCTION("""COMPUTED_VALUE"""),"P-15818-00")</f>
        <v>P-15818-00</v>
      </c>
    </row>
    <row r="1716">
      <c r="A1716" s="14" t="str">
        <f>IFERROR(__xludf.DUMMYFUNCTION("""COMPUTED_VALUE"""),"P-15833-00")</f>
        <v>P-15833-00</v>
      </c>
      <c r="B1716" s="14" t="str">
        <f>IFERROR(__xludf.DUMMYFUNCTION("""COMPUTED_VALUE"""),"SMC - Pressure Filter Regulator Manual Drain AW30-03BG-A; ; ;")</f>
        <v>SMC - Pressure Filter Regulator Manual Drain AW30-03BG-A; ; ;</v>
      </c>
      <c r="C1716" s="14" t="str">
        <f>IFERROR(__xludf.DUMMYFUNCTION("""COMPUTED_VALUE"""),"P-15833-00")</f>
        <v>P-15833-00</v>
      </c>
    </row>
    <row r="1717">
      <c r="A1717" s="14" t="str">
        <f>IFERROR(__xludf.DUMMYFUNCTION("""COMPUTED_VALUE"""),"P-15834-00")</f>
        <v>P-15834-00</v>
      </c>
      <c r="B1717" s="14" t="str">
        <f>IFERROR(__xludf.DUMMYFUNCTION("""COMPUTED_VALUE"""),"SMC - Pressure Filter Regulator Auto Drain AW40-40DG-A; ; ;")</f>
        <v>SMC - Pressure Filter Regulator Auto Drain AW40-40DG-A; ; ;</v>
      </c>
      <c r="C1717" s="14" t="str">
        <f>IFERROR(__xludf.DUMMYFUNCTION("""COMPUTED_VALUE"""),"P-15834-00")</f>
        <v>P-15834-00</v>
      </c>
    </row>
    <row r="1718">
      <c r="A1718" s="14" t="str">
        <f>IFERROR(__xludf.DUMMYFUNCTION("""COMPUTED_VALUE"""),"P-15850-00")</f>
        <v>P-15850-00</v>
      </c>
      <c r="B1718" s="14" t="str">
        <f>IFERROR(__xludf.DUMMYFUNCTION("""COMPUTED_VALUE"""),"AIR FLOW SWITCH PS 300 X, REGIN, 20-300 PA")</f>
        <v>AIR FLOW SWITCH PS 300 X, REGIN, 20-300 PA</v>
      </c>
      <c r="C1718" s="14" t="str">
        <f>IFERROR(__xludf.DUMMYFUNCTION("""COMPUTED_VALUE"""),"P-15850-00")</f>
        <v>P-15850-00</v>
      </c>
    </row>
    <row r="1719">
      <c r="A1719" s="14" t="str">
        <f>IFERROR(__xludf.DUMMYFUNCTION("""COMPUTED_VALUE"""),"P-15851-00")</f>
        <v>P-15851-00</v>
      </c>
      <c r="B1719" s="14" t="str">
        <f>IFERROR(__xludf.DUMMYFUNCTION("""COMPUTED_VALUE"""),"AMPLAS  EAGLE 100")</f>
        <v>AMPLAS  EAGLE 100</v>
      </c>
      <c r="C1719" s="14" t="str">
        <f>IFERROR(__xludf.DUMMYFUNCTION("""COMPUTED_VALUE"""),"P-15851-00")</f>
        <v>P-15851-00</v>
      </c>
    </row>
    <row r="1720">
      <c r="A1720" s="14" t="str">
        <f>IFERROR(__xludf.DUMMYFUNCTION("""COMPUTED_VALUE"""),"P-15852-00")</f>
        <v>P-15852-00</v>
      </c>
      <c r="B1720" s="14" t="str">
        <f>IFERROR(__xludf.DUMMYFUNCTION("""COMPUTED_VALUE"""),"General - Ampelas P500; EAGLE; -; 1 pcs")</f>
        <v>General - Ampelas P500; EAGLE; -; 1 pcs</v>
      </c>
      <c r="C1720" s="14" t="str">
        <f>IFERROR(__xludf.DUMMYFUNCTION("""COMPUTED_VALUE"""),"P-15852-00")</f>
        <v>P-15852-00</v>
      </c>
    </row>
    <row r="1721">
      <c r="A1721" s="14" t="str">
        <f>IFERROR(__xludf.DUMMYFUNCTION("""COMPUTED_VALUE"""),"P-15853-00")</f>
        <v>P-15853-00</v>
      </c>
      <c r="B1721" s="14" t="str">
        <f>IFERROR(__xludf.DUMMYFUNCTION("""COMPUTED_VALUE"""),"CATRIDGE FILTER; CHINA; 5 MM")</f>
        <v>CATRIDGE FILTER; CHINA; 5 MM</v>
      </c>
      <c r="C1721" s="14" t="str">
        <f>IFERROR(__xludf.DUMMYFUNCTION("""COMPUTED_VALUE"""),"P-15853-00")</f>
        <v>P-15853-00</v>
      </c>
    </row>
    <row r="1722">
      <c r="A1722" s="14" t="str">
        <f>IFERROR(__xludf.DUMMYFUNCTION("""COMPUTED_VALUE"""),"P-15854-00")</f>
        <v>P-15854-00</v>
      </c>
      <c r="B1722" s="14" t="str">
        <f>IFERROR(__xludf.DUMMYFUNCTION("""COMPUTED_VALUE"""),"CATRIDGE FILTER; LOCAL; 5 MM")</f>
        <v>CATRIDGE FILTER; LOCAL; 5 MM</v>
      </c>
      <c r="C1722" s="14" t="str">
        <f>IFERROR(__xludf.DUMMYFUNCTION("""COMPUTED_VALUE"""),"P-15854-00")</f>
        <v>P-15854-00</v>
      </c>
    </row>
    <row r="1723">
      <c r="A1723" s="14" t="str">
        <f>IFERROR(__xludf.DUMMYFUNCTION("""COMPUTED_VALUE"""),"P-15855-00")</f>
        <v>P-15855-00</v>
      </c>
      <c r="B1723" s="14" t="str">
        <f>IFERROR(__xludf.DUMMYFUNCTION("""COMPUTED_VALUE"""),"FITTING UNION TEE, SMC, KQ2T10-00A")</f>
        <v>FITTING UNION TEE, SMC, KQ2T10-00A</v>
      </c>
      <c r="C1723" s="14" t="str">
        <f>IFERROR(__xludf.DUMMYFUNCTION("""COMPUTED_VALUE"""),"P-15855-00")</f>
        <v>P-15855-00</v>
      </c>
    </row>
    <row r="1724">
      <c r="A1724" s="14" t="str">
        <f>IFERROR(__xludf.DUMMYFUNCTION("""COMPUTED_VALUE"""),"P-15856-00")</f>
        <v>P-15856-00</v>
      </c>
      <c r="B1724" s="14" t="str">
        <f>IFERROR(__xludf.DUMMYFUNCTION("""COMPUTED_VALUE"""),"FLOW VALVE, KYLOLA, KFH-CA44")</f>
        <v>FLOW VALVE, KYLOLA, KFH-CA44</v>
      </c>
      <c r="C1724" s="14" t="str">
        <f>IFERROR(__xludf.DUMMYFUNCTION("""COMPUTED_VALUE"""),"P-15856-00")</f>
        <v>P-15856-00</v>
      </c>
    </row>
    <row r="1725">
      <c r="A1725" s="14" t="str">
        <f>IFERROR(__xludf.DUMMYFUNCTION("""COMPUTED_VALUE"""),"P-15857-00")</f>
        <v>P-15857-00</v>
      </c>
      <c r="B1725" s="14" t="str">
        <f>IFERROR(__xludf.DUMMYFUNCTION("""COMPUTED_VALUE"""),"INVERTER,DANFOSS, VLT2980PT4B20STR0DBFOOA21C1 S/N 56670CA465")</f>
        <v>INVERTER,DANFOSS, VLT2980PT4B20STR0DBFOOA21C1 S/N 56670CA465</v>
      </c>
      <c r="C1725" s="14" t="str">
        <f>IFERROR(__xludf.DUMMYFUNCTION("""COMPUTED_VALUE"""),"P-15857-00")</f>
        <v>P-15857-00</v>
      </c>
    </row>
    <row r="1726">
      <c r="A1726" s="14" t="str">
        <f>IFERROR(__xludf.DUMMYFUNCTION("""COMPUTED_VALUE"""),"P-15858-00")</f>
        <v>P-15858-00</v>
      </c>
      <c r="B1726" s="14" t="str">
        <f>IFERROR(__xludf.DUMMYFUNCTION("""COMPUTED_VALUE"""),"LEM ISOLASI, ARMAFLEX, 1 CAN")</f>
        <v>LEM ISOLASI, ARMAFLEX, 1 CAN</v>
      </c>
      <c r="C1726" s="14" t="str">
        <f>IFERROR(__xludf.DUMMYFUNCTION("""COMPUTED_VALUE"""),"P-15858-00")</f>
        <v>P-15858-00</v>
      </c>
    </row>
    <row r="1727">
      <c r="A1727" s="14" t="str">
        <f>IFERROR(__xludf.DUMMYFUNCTION("""COMPUTED_VALUE"""),"P-15859-00")</f>
        <v>P-15859-00</v>
      </c>
      <c r="B1727" s="14" t="str">
        <f>IFERROR(__xludf.DUMMYFUNCTION("""COMPUTED_VALUE"""),"LEM PVC 45 GRAM, ISARPLAS")</f>
        <v>LEM PVC 45 GRAM, ISARPLAS</v>
      </c>
      <c r="C1727" s="14" t="str">
        <f>IFERROR(__xludf.DUMMYFUNCTION("""COMPUTED_VALUE"""),"P-15859-00")</f>
        <v>P-15859-00</v>
      </c>
    </row>
    <row r="1728">
      <c r="A1728" s="14" t="str">
        <f>IFERROR(__xludf.DUMMYFUNCTION("""COMPUTED_VALUE"""),"P-15860-00")</f>
        <v>P-15860-00</v>
      </c>
      <c r="B1728" s="14" t="str">
        <f>IFERROR(__xludf.DUMMYFUNCTION("""COMPUTED_VALUE"""),"LEM, K-FLEX, 1 CAN : 2.6LTR")</f>
        <v>LEM, K-FLEX, 1 CAN : 2.6LTR</v>
      </c>
      <c r="C1728" s="14" t="str">
        <f>IFERROR(__xludf.DUMMYFUNCTION("""COMPUTED_VALUE"""),"P-15860-00")</f>
        <v>P-15860-00</v>
      </c>
    </row>
    <row r="1729">
      <c r="A1729" s="14" t="str">
        <f>IFERROR(__xludf.DUMMYFUNCTION("""COMPUTED_VALUE"""),"P-15861-00")</f>
        <v>P-15861-00</v>
      </c>
      <c r="B1729" s="14" t="str">
        <f>IFERROR(__xludf.DUMMYFUNCTION("""COMPUTED_VALUE"""),"LIQUID GASKET, THREE BOND")</f>
        <v>LIQUID GASKET, THREE BOND</v>
      </c>
      <c r="C1729" s="14" t="str">
        <f>IFERROR(__xludf.DUMMYFUNCTION("""COMPUTED_VALUE"""),"P-15861-00")</f>
        <v>P-15861-00</v>
      </c>
    </row>
    <row r="1730">
      <c r="A1730" s="14" t="str">
        <f>IFERROR(__xludf.DUMMYFUNCTION("""COMPUTED_VALUE"""),"P-15862-00")</f>
        <v>P-15862-00</v>
      </c>
      <c r="B1730" s="14" t="str">
        <f>IFERROR(__xludf.DUMMYFUNCTION("""COMPUTED_VALUE"""),"PAPER RECORD YOKOGAWA; FOLDING CHART B9565AW")</f>
        <v>PAPER RECORD YOKOGAWA; FOLDING CHART B9565AW</v>
      </c>
      <c r="C1730" s="14" t="str">
        <f>IFERROR(__xludf.DUMMYFUNCTION("""COMPUTED_VALUE"""),"P-15862-00")</f>
        <v>P-15862-00</v>
      </c>
    </row>
    <row r="1731">
      <c r="A1731" s="14" t="str">
        <f>IFERROR(__xludf.DUMMYFUNCTION("""COMPUTED_VALUE"""),"P-15863-00")</f>
        <v>P-15863-00</v>
      </c>
      <c r="B1731" s="14" t="str">
        <f>IFERROR(__xludf.DUMMYFUNCTION("""COMPUTED_VALUE"""),"PRESSURE SWITCH DANFOSS, DANFOSS, KP35")</f>
        <v>PRESSURE SWITCH DANFOSS, DANFOSS, KP35</v>
      </c>
      <c r="C1731" s="14" t="str">
        <f>IFERROR(__xludf.DUMMYFUNCTION("""COMPUTED_VALUE"""),"P-15863-00")</f>
        <v>P-15863-00</v>
      </c>
    </row>
    <row r="1732">
      <c r="A1732" s="14" t="str">
        <f>IFERROR(__xludf.DUMMYFUNCTION("""COMPUTED_VALUE"""),"P-15864-00")</f>
        <v>P-15864-00</v>
      </c>
      <c r="B1732" s="14" t="str">
        <f>IFERROR(__xludf.DUMMYFUNCTION("""COMPUTED_VALUE"""),"ROOM PRESS MONITORING, SIEMENS, P/N. 547-103A")</f>
        <v>ROOM PRESS MONITORING, SIEMENS, P/N. 547-103A</v>
      </c>
      <c r="C1732" s="14" t="str">
        <f>IFERROR(__xludf.DUMMYFUNCTION("""COMPUTED_VALUE"""),"P-15864-00")</f>
        <v>P-15864-00</v>
      </c>
    </row>
    <row r="1733">
      <c r="A1733" s="14" t="str">
        <f>IFERROR(__xludf.DUMMYFUNCTION("""COMPUTED_VALUE"""),"P-15865-00")</f>
        <v>P-15865-00</v>
      </c>
      <c r="B1733" s="14" t="str">
        <f>IFERROR(__xludf.DUMMYFUNCTION("""COMPUTED_VALUE"""),"TEMPERATURE SENSOR,JUMO, 1XPT 100, TEMP 0-150C")</f>
        <v>TEMPERATURE SENSOR,JUMO, 1XPT 100, TEMP 0-150C</v>
      </c>
      <c r="C1733" s="14" t="str">
        <f>IFERROR(__xludf.DUMMYFUNCTION("""COMPUTED_VALUE"""),"P-15865-00")</f>
        <v>P-15865-00</v>
      </c>
    </row>
    <row r="1734">
      <c r="A1734" s="14" t="str">
        <f>IFERROR(__xludf.DUMMYFUNCTION("""COMPUTED_VALUE"""),"P-15866-00")</f>
        <v>P-15866-00</v>
      </c>
      <c r="B1734" s="14" t="str">
        <f>IFERROR(__xludf.DUMMYFUNCTION("""COMPUTED_VALUE"""),"THREAD SEALANT, LOCTITE 554")</f>
        <v>THREAD SEALANT, LOCTITE 554</v>
      </c>
      <c r="C1734" s="14" t="str">
        <f>IFERROR(__xludf.DUMMYFUNCTION("""COMPUTED_VALUE"""),"P-15866-00")</f>
        <v>P-15866-00</v>
      </c>
    </row>
    <row r="1735">
      <c r="A1735" s="14" t="str">
        <f>IFERROR(__xludf.DUMMYFUNCTION("""COMPUTED_VALUE"""),"P-15867-00")</f>
        <v>P-15867-00</v>
      </c>
      <c r="B1735" s="14" t="str">
        <f>IFERROR(__xludf.DUMMYFUNCTION("""COMPUTED_VALUE"""),"THREAD SEALANT, LOCTITE, 243 MEDIUM STRENGTH")</f>
        <v>THREAD SEALANT, LOCTITE, 243 MEDIUM STRENGTH</v>
      </c>
      <c r="C1735" s="14" t="str">
        <f>IFERROR(__xludf.DUMMYFUNCTION("""COMPUTED_VALUE"""),"P-15867-00")</f>
        <v>P-15867-00</v>
      </c>
    </row>
    <row r="1736">
      <c r="A1736" s="14" t="str">
        <f>IFERROR(__xludf.DUMMYFUNCTION("""COMPUTED_VALUE"""),"P-15868-00")</f>
        <v>P-15868-00</v>
      </c>
      <c r="B1736" s="14" t="str">
        <f>IFERROR(__xludf.DUMMYFUNCTION("""COMPUTED_VALUE"""),"VENT FILTER, TEFTEC 0,2-5 P7S")</f>
        <v>VENT FILTER, TEFTEC 0,2-5 P7S</v>
      </c>
      <c r="C1736" s="14" t="str">
        <f>IFERROR(__xludf.DUMMYFUNCTION("""COMPUTED_VALUE"""),"P-15868-00")</f>
        <v>P-15868-00</v>
      </c>
    </row>
    <row r="1737">
      <c r="A1737" s="14" t="str">
        <f>IFERROR(__xludf.DUMMYFUNCTION("""COMPUTED_VALUE"""),"P-15869-00")</f>
        <v>P-15869-00</v>
      </c>
      <c r="B1737" s="14" t="str">
        <f>IFERROR(__xludf.DUMMYFUNCTION("""COMPUTED_VALUE"""),"VENT FILTER, PALL, NOVASIP C3 PFRP1 FILTER CAPSULE")</f>
        <v>VENT FILTER, PALL, NOVASIP C3 PFRP1 FILTER CAPSULE</v>
      </c>
      <c r="C1737" s="14" t="str">
        <f>IFERROR(__xludf.DUMMYFUNCTION("""COMPUTED_VALUE"""),"P-15869-00")</f>
        <v>P-15869-00</v>
      </c>
    </row>
    <row r="1738">
      <c r="A1738" s="14" t="str">
        <f>IFERROR(__xludf.DUMMYFUNCTION("""COMPUTED_VALUE"""),"P-15870-00")</f>
        <v>P-15870-00</v>
      </c>
      <c r="B1738" s="14" t="str">
        <f>IFERROR(__xludf.DUMMYFUNCTION("""COMPUTED_VALUE"""),"VENT FILTER, TEFTEC, TEFTEC 0,2-10 P7S")</f>
        <v>VENT FILTER, TEFTEC, TEFTEC 0,2-10 P7S</v>
      </c>
      <c r="C1738" s="14" t="str">
        <f>IFERROR(__xludf.DUMMYFUNCTION("""COMPUTED_VALUE"""),"P-15870-00")</f>
        <v>P-15870-00</v>
      </c>
    </row>
    <row r="1739">
      <c r="A1739" s="14" t="str">
        <f>IFERROR(__xludf.DUMMYFUNCTION("""COMPUTED_VALUE"""),"P-15871-00")</f>
        <v>P-15871-00</v>
      </c>
      <c r="B1739" s="14" t="str">
        <f>IFERROR(__xludf.DUMMYFUNCTION("""COMPUTED_VALUE"""),"VENT FILTER, KLEENPAK, 0.2 ?M,")</f>
        <v>VENT FILTER, KLEENPAK, 0.2 ?M,</v>
      </c>
      <c r="C1739" s="14" t="str">
        <f>IFERROR(__xludf.DUMMYFUNCTION("""COMPUTED_VALUE"""),"P-15871-00")</f>
        <v>P-15871-00</v>
      </c>
    </row>
    <row r="1740">
      <c r="A1740" s="14" t="str">
        <f>IFERROR(__xludf.DUMMYFUNCTION("""COMPUTED_VALUE"""),"P-15880-00")</f>
        <v>P-15880-00</v>
      </c>
      <c r="B1740" s="14" t="str">
        <f>IFERROR(__xludf.DUMMYFUNCTION("""COMPUTED_VALUE"""),"Keramik Argon No. 5")</f>
        <v>Keramik Argon No. 5</v>
      </c>
      <c r="C1740" s="14" t="str">
        <f>IFERROR(__xludf.DUMMYFUNCTION("""COMPUTED_VALUE"""),"P-15880-00")</f>
        <v>P-15880-00</v>
      </c>
    </row>
    <row r="1741">
      <c r="A1741" s="14" t="str">
        <f>IFERROR(__xludf.DUMMYFUNCTION("""COMPUTED_VALUE"""),"P-15903-00")</f>
        <v>P-15903-00</v>
      </c>
      <c r="B1741" s="14" t="str">
        <f>IFERROR(__xludf.DUMMYFUNCTION("""COMPUTED_VALUE"""),"Freon Refrigerant Dupon Suva R507; ; ;")</f>
        <v>Freon Refrigerant Dupon Suva R507; ; ;</v>
      </c>
      <c r="C1741" s="14" t="str">
        <f>IFERROR(__xludf.DUMMYFUNCTION("""COMPUTED_VALUE"""),"P-15903-00")</f>
        <v>P-15903-00</v>
      </c>
    </row>
    <row r="1742">
      <c r="A1742" s="14" t="str">
        <f>IFERROR(__xludf.DUMMYFUNCTION("""COMPUTED_VALUE"""),"P-15904-00")</f>
        <v>P-15904-00</v>
      </c>
      <c r="B1742" s="14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4" t="str">
        <f>IFERROR(__xludf.DUMMYFUNCTION("""COMPUTED_VALUE"""),"P-15904-00")</f>
        <v>P-15904-00</v>
      </c>
    </row>
    <row r="1743">
      <c r="A1743" s="14" t="str">
        <f>IFERROR(__xludf.DUMMYFUNCTION("""COMPUTED_VALUE"""),"P-15905-00")</f>
        <v>P-15905-00</v>
      </c>
      <c r="B1743" s="14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4" t="str">
        <f>IFERROR(__xludf.DUMMYFUNCTION("""COMPUTED_VALUE"""),"P-15905-00")</f>
        <v>P-15905-00</v>
      </c>
    </row>
    <row r="1744">
      <c r="A1744" s="14" t="str">
        <f>IFERROR(__xludf.DUMMYFUNCTION("""COMPUTED_VALUE"""),"P-15938-00")</f>
        <v>P-15938-00</v>
      </c>
      <c r="B1744" s="14" t="str">
        <f>IFERROR(__xludf.DUMMYFUNCTION("""COMPUTED_VALUE"""),"General - Water Hardness Test Kit; No Brand; -; 1 Pc")</f>
        <v>General - Water Hardness Test Kit; No Brand; -; 1 Pc</v>
      </c>
      <c r="C1744" s="14" t="str">
        <f>IFERROR(__xludf.DUMMYFUNCTION("""COMPUTED_VALUE"""),"P-15938-00")</f>
        <v>P-15938-00</v>
      </c>
    </row>
    <row r="1745">
      <c r="A1745" s="14" t="str">
        <f>IFERROR(__xludf.DUMMYFUNCTION("""COMPUTED_VALUE"""),"P-15942-00")</f>
        <v>P-15942-00</v>
      </c>
      <c r="B1745" s="14" t="str">
        <f>IFERROR(__xludf.DUMMYFUNCTION("""COMPUTED_VALUE"""),"Blind Ferrule SUS304 1.0""; ; ;")</f>
        <v>Blind Ferrule SUS304 1.0"; ; ;</v>
      </c>
      <c r="C1745" s="14" t="str">
        <f>IFERROR(__xludf.DUMMYFUNCTION("""COMPUTED_VALUE"""),"P-15942-00")</f>
        <v>P-15942-00</v>
      </c>
    </row>
    <row r="1746">
      <c r="A1746" s="14" t="str">
        <f>IFERROR(__xludf.DUMMYFUNCTION("""COMPUTED_VALUE"""),"P-15943-00")</f>
        <v>P-15943-00</v>
      </c>
      <c r="B1746" s="14" t="str">
        <f>IFERROR(__xludf.DUMMYFUNCTION("""COMPUTED_VALUE"""),"Blind Ferrule SUS304 1/2""; ; ;")</f>
        <v>Blind Ferrule SUS304 1/2"; ; ;</v>
      </c>
      <c r="C1746" s="14" t="str">
        <f>IFERROR(__xludf.DUMMYFUNCTION("""COMPUTED_VALUE"""),"P-15943-00")</f>
        <v>P-15943-00</v>
      </c>
    </row>
    <row r="1747">
      <c r="A1747" s="14" t="str">
        <f>IFERROR(__xludf.DUMMYFUNCTION("""COMPUTED_VALUE"""),"P-15944-00")</f>
        <v>P-15944-00</v>
      </c>
      <c r="B1747" s="14" t="str">
        <f>IFERROR(__xludf.DUMMYFUNCTION("""COMPUTED_VALUE"""),"Sealing belt (nillon) 1.5 cm x 77cm; ; ;")</f>
        <v>Sealing belt (nillon) 1.5 cm x 77cm; ; ;</v>
      </c>
      <c r="C1747" s="14" t="str">
        <f>IFERROR(__xludf.DUMMYFUNCTION("""COMPUTED_VALUE"""),"P-15944-00")</f>
        <v>P-15944-00</v>
      </c>
    </row>
    <row r="1748">
      <c r="A1748" s="14" t="str">
        <f>IFERROR(__xludf.DUMMYFUNCTION("""COMPUTED_VALUE"""),"P-15945-00")</f>
        <v>P-15945-00</v>
      </c>
      <c r="B1748" s="14" t="str">
        <f>IFERROR(__xludf.DUMMYFUNCTION("""COMPUTED_VALUE"""),"WEDGE BELT OPTIBELT SPA 2082")</f>
        <v>WEDGE BELT OPTIBELT SPA 2082</v>
      </c>
      <c r="C1748" s="14" t="str">
        <f>IFERROR(__xludf.DUMMYFUNCTION("""COMPUTED_VALUE"""),"P-15945-00")</f>
        <v>P-15945-00</v>
      </c>
    </row>
    <row r="1749">
      <c r="A1749" s="14" t="str">
        <f>IFERROR(__xludf.DUMMYFUNCTION("""COMPUTED_VALUE"""),"P-15960-00")</f>
        <v>P-15960-00</v>
      </c>
      <c r="B1749" s="14" t="str">
        <f>IFERROR(__xludf.DUMMYFUNCTION("""COMPUTED_VALUE"""),"General - Freon R32; Dupont; -; 1 pcs")</f>
        <v>General - Freon R32; Dupont; -; 1 pcs</v>
      </c>
      <c r="C1749" s="14" t="str">
        <f>IFERROR(__xludf.DUMMYFUNCTION("""COMPUTED_VALUE"""),"P-15960-00")</f>
        <v>P-15960-00</v>
      </c>
    </row>
    <row r="1750">
      <c r="A1750" s="14" t="str">
        <f>IFERROR(__xludf.DUMMYFUNCTION("""COMPUTED_VALUE"""),"P-15961-00")</f>
        <v>P-15961-00</v>
      </c>
      <c r="B1750" s="14" t="str">
        <f>IFERROR(__xludf.DUMMYFUNCTION("""COMPUTED_VALUE"""),"Freon 134A ;; ; ;")</f>
        <v>Freon 134A ;; ; ;</v>
      </c>
      <c r="C1750" s="14" t="str">
        <f>IFERROR(__xludf.DUMMYFUNCTION("""COMPUTED_VALUE"""),"P-15961-00")</f>
        <v>P-15961-00</v>
      </c>
    </row>
    <row r="1751">
      <c r="A1751" s="14" t="str">
        <f>IFERROR(__xludf.DUMMYFUNCTION("""COMPUTED_VALUE"""),"P-15964-00")</f>
        <v>P-15964-00</v>
      </c>
      <c r="B1751" s="14" t="str">
        <f>IFERROR(__xludf.DUMMYFUNCTION("""COMPUTED_VALUE"""),"Ball valve kuningan 1 inch KITZ; ; ;")</f>
        <v>Ball valve kuningan 1 inch KITZ; ; ;</v>
      </c>
      <c r="C1751" s="14" t="str">
        <f>IFERROR(__xludf.DUMMYFUNCTION("""COMPUTED_VALUE"""),"P-15964-00")</f>
        <v>P-15964-00</v>
      </c>
    </row>
    <row r="1752">
      <c r="A1752" s="14" t="str">
        <f>IFERROR(__xludf.DUMMYFUNCTION("""COMPUTED_VALUE"""),"P-15993-00")</f>
        <v>P-15993-00</v>
      </c>
      <c r="B1752" s="14" t="str">
        <f>IFERROR(__xludf.DUMMYFUNCTION("""COMPUTED_VALUE"""),"Digital Torque Wrench SQ 3/8 Inc 6,8-135Nm; ; ; pieces")</f>
        <v>Digital Torque Wrench SQ 3/8 Inc 6,8-135Nm; ; ; pieces</v>
      </c>
      <c r="C1752" s="14" t="str">
        <f>IFERROR(__xludf.DUMMYFUNCTION("""COMPUTED_VALUE"""),"P-15993-00")</f>
        <v>P-15993-00</v>
      </c>
    </row>
    <row r="1753">
      <c r="A1753" s="14" t="str">
        <f>IFERROR(__xludf.DUMMYFUNCTION("""COMPUTED_VALUE"""),"P-16136-00")</f>
        <v>P-16136-00</v>
      </c>
      <c r="B1753" s="14" t="str">
        <f>IFERROR(__xludf.DUMMYFUNCTION("""COMPUTED_VALUE"""),"Baut SS L M6 x 20 mm + Mur + Ring; ; ;; ; ;")</f>
        <v>Baut SS L M6 x 20 mm + Mur + Ring; ; ;; ; ;</v>
      </c>
      <c r="C1753" s="14" t="str">
        <f>IFERROR(__xludf.DUMMYFUNCTION("""COMPUTED_VALUE"""),"P-16136-00")</f>
        <v>P-16136-00</v>
      </c>
    </row>
    <row r="1754">
      <c r="A1754" s="14" t="str">
        <f>IFERROR(__xludf.DUMMYFUNCTION("""COMPUTED_VALUE"""),"P-16137-00")</f>
        <v>P-16137-00</v>
      </c>
      <c r="B1754" s="14" t="str">
        <f>IFERROR(__xludf.DUMMYFUNCTION("""COMPUTED_VALUE"""),"Baut SS L M6 x 30 mm + Mur + Ring; ; ;; ; ;")</f>
        <v>Baut SS L M6 x 30 mm + Mur + Ring; ; ;; ; ;</v>
      </c>
      <c r="C1754" s="14" t="str">
        <f>IFERROR(__xludf.DUMMYFUNCTION("""COMPUTED_VALUE"""),"P-16137-00")</f>
        <v>P-16137-00</v>
      </c>
    </row>
    <row r="1755">
      <c r="A1755" s="14" t="str">
        <f>IFERROR(__xludf.DUMMYFUNCTION("""COMPUTED_VALUE"""),"P-16250-00")</f>
        <v>P-16250-00</v>
      </c>
      <c r="B1755" s="14" t="str">
        <f>IFERROR(__xludf.DUMMYFUNCTION("""COMPUTED_VALUE"""),"Cutting Wheel Nippon Resibon A-46S BF dia. 105 mm")</f>
        <v>Cutting Wheel Nippon Resibon A-46S BF dia. 105 mm</v>
      </c>
      <c r="C1755" s="14" t="str">
        <f>IFERROR(__xludf.DUMMYFUNCTION("""COMPUTED_VALUE"""),"P-16250-00")</f>
        <v>P-16250-00</v>
      </c>
    </row>
    <row r="1756">
      <c r="A1756" s="14" t="str">
        <f>IFERROR(__xludf.DUMMYFUNCTION("""COMPUTED_VALUE"""),"P-16308-00")</f>
        <v>P-16308-00</v>
      </c>
      <c r="B1756" s="14" t="str">
        <f>IFERROR(__xludf.DUMMYFUNCTION("""COMPUTED_VALUE"""),"Fisher S 8 (1 box : 100 pcs)")</f>
        <v>Fisher S 8 (1 box : 100 pcs)</v>
      </c>
      <c r="C1756" s="14" t="str">
        <f>IFERROR(__xludf.DUMMYFUNCTION("""COMPUTED_VALUE"""),"P-16308-00")</f>
        <v>P-16308-00</v>
      </c>
    </row>
    <row r="1757">
      <c r="A1757" s="14" t="str">
        <f>IFERROR(__xludf.DUMMYFUNCTION("""COMPUTED_VALUE"""),"P-16359-00")</f>
        <v>P-16359-00</v>
      </c>
      <c r="B1757" s="14" t="str">
        <f>IFERROR(__xludf.DUMMYFUNCTION("""COMPUTED_VALUE"""),"General - Hand Tap M 6 x 1,0 mm; Yamawa; -; 3pcs/set")</f>
        <v>General - Hand Tap M 6 x 1,0 mm; Yamawa; -; 3pcs/set</v>
      </c>
      <c r="C1757" s="14" t="str">
        <f>IFERROR(__xludf.DUMMYFUNCTION("""COMPUTED_VALUE"""),"P-16359-00")</f>
        <v>P-16359-00</v>
      </c>
    </row>
    <row r="1758">
      <c r="A1758" s="14" t="str">
        <f>IFERROR(__xludf.DUMMYFUNCTION("""COMPUTED_VALUE"""),"P-16402-00")</f>
        <v>P-16402-00</v>
      </c>
      <c r="B1758" s="14" t="str">
        <f>IFERROR(__xludf.DUMMYFUNCTION("""COMPUTED_VALUE"""),"Kaca Las Warna Hitam No. 10")</f>
        <v>Kaca Las Warna Hitam No. 10</v>
      </c>
      <c r="C1758" s="14" t="str">
        <f>IFERROR(__xludf.DUMMYFUNCTION("""COMPUTED_VALUE"""),"P-16402-00")</f>
        <v>P-16402-00</v>
      </c>
    </row>
    <row r="1759">
      <c r="A1759" s="14" t="str">
        <f>IFERROR(__xludf.DUMMYFUNCTION("""COMPUTED_VALUE"""),"P-16474-00")</f>
        <v>P-16474-00</v>
      </c>
      <c r="B1759" s="14" t="str">
        <f>IFERROR(__xludf.DUMMYFUNCTION("""COMPUTED_VALUE"""),"General - Lem PLastic Steel Epoxy + Hardener 5 menit; Dextone; -; 1 set")</f>
        <v>General - Lem PLastic Steel Epoxy + Hardener 5 menit; Dextone; -; 1 set</v>
      </c>
      <c r="C1759" s="14" t="str">
        <f>IFERROR(__xludf.DUMMYFUNCTION("""COMPUTED_VALUE"""),"P-16474-00")</f>
        <v>P-16474-00</v>
      </c>
    </row>
    <row r="1760">
      <c r="A1760" s="14" t="str">
        <f>IFERROR(__xludf.DUMMYFUNCTION("""COMPUTED_VALUE"""),"P-16540-00")</f>
        <v>P-16540-00</v>
      </c>
      <c r="B1760" s="14" t="str">
        <f>IFERROR(__xludf.DUMMYFUNCTION("""COMPUTED_VALUE"""),"Meteran Saku Panjang : 5 mtr")</f>
        <v>Meteran Saku Panjang : 5 mtr</v>
      </c>
      <c r="C1760" s="14" t="str">
        <f>IFERROR(__xludf.DUMMYFUNCTION("""COMPUTED_VALUE"""),"P-16540-00")</f>
        <v>P-16540-00</v>
      </c>
    </row>
    <row r="1761">
      <c r="A1761" s="14" t="str">
        <f>IFERROR(__xludf.DUMMYFUNCTION("""COMPUTED_VALUE"""),"P-16596-00")</f>
        <v>P-16596-00</v>
      </c>
      <c r="B1761" s="14" t="str">
        <f>IFERROR(__xludf.DUMMYFUNCTION("""COMPUTED_VALUE"""),"General - Paku Ripet 5mm; No Brand; -; 1000pcs/box")</f>
        <v>General - Paku Ripet 5mm; No Brand; -; 1000pcs/box</v>
      </c>
      <c r="C1761" s="14" t="str">
        <f>IFERROR(__xludf.DUMMYFUNCTION("""COMPUTED_VALUE"""),"P-16596-00")</f>
        <v>P-16596-00</v>
      </c>
    </row>
    <row r="1762">
      <c r="A1762" s="14" t="str">
        <f>IFERROR(__xludf.DUMMYFUNCTION("""COMPUTED_VALUE"""),"P-16635-00")</f>
        <v>P-16635-00</v>
      </c>
      <c r="B1762" s="14" t="str">
        <f>IFERROR(__xludf.DUMMYFUNCTION("""COMPUTED_VALUE"""),"Pipa SS 304 Sch 10 dia. 1 x 6000 mm")</f>
        <v>Pipa SS 304 Sch 10 dia. 1 x 6000 mm</v>
      </c>
      <c r="C1762" s="14" t="str">
        <f>IFERROR(__xludf.DUMMYFUNCTION("""COMPUTED_VALUE"""),"P-16635-00")</f>
        <v>P-16635-00</v>
      </c>
    </row>
    <row r="1763">
      <c r="A1763" s="14" t="str">
        <f>IFERROR(__xludf.DUMMYFUNCTION("""COMPUTED_VALUE"""),"P-16970-00")</f>
        <v>P-16970-00</v>
      </c>
      <c r="B1763" s="14" t="str">
        <f>IFERROR(__xludf.DUMMYFUNCTION("""COMPUTED_VALUE"""),"Terminal viking uk. 2,5 mm; ; ;")</f>
        <v>Terminal viking uk. 2,5 mm; ; ;</v>
      </c>
      <c r="C1763" s="14" t="str">
        <f>IFERROR(__xludf.DUMMYFUNCTION("""COMPUTED_VALUE"""),"P-16970-00")</f>
        <v>P-16970-00</v>
      </c>
    </row>
    <row r="1764">
      <c r="A1764" s="14" t="str">
        <f>IFERROR(__xludf.DUMMYFUNCTION("""COMPUTED_VALUE"""),"P-16971-00")</f>
        <v>P-16971-00</v>
      </c>
      <c r="B1764" s="14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4" t="str">
        <f>IFERROR(__xludf.DUMMYFUNCTION("""COMPUTED_VALUE"""),"P-16971-00")</f>
        <v>P-16971-00</v>
      </c>
    </row>
    <row r="1765">
      <c r="A1765" s="14" t="str">
        <f>IFERROR(__xludf.DUMMYFUNCTION("""COMPUTED_VALUE"""),"P-16972-00")</f>
        <v>P-16972-00</v>
      </c>
      <c r="B1765" s="14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4" t="str">
        <f>IFERROR(__xludf.DUMMYFUNCTION("""COMPUTED_VALUE"""),"P-16972-00")</f>
        <v>P-16972-00</v>
      </c>
    </row>
    <row r="1766">
      <c r="A1766" s="14" t="str">
        <f>IFERROR(__xludf.DUMMYFUNCTION("""COMPUTED_VALUE"""),"P-16974-00")</f>
        <v>P-16974-00</v>
      </c>
      <c r="B1766" s="14" t="str">
        <f>IFERROR(__xludf.DUMMYFUNCTION("""COMPUTED_VALUE"""),"Strainer KITZ 1 1/2"" BRASS; ; ;")</f>
        <v>Strainer KITZ 1 1/2" BRASS; ; ;</v>
      </c>
      <c r="C1766" s="14" t="str">
        <f>IFERROR(__xludf.DUMMYFUNCTION("""COMPUTED_VALUE"""),"P-16974-00")</f>
        <v>P-16974-00</v>
      </c>
    </row>
    <row r="1767">
      <c r="A1767" s="14" t="str">
        <f>IFERROR(__xludf.DUMMYFUNCTION("""COMPUTED_VALUE"""),"P-16975-00")</f>
        <v>P-16975-00</v>
      </c>
      <c r="B1767" s="14" t="str">
        <f>IFERROR(__xludf.DUMMYFUNCTION("""COMPUTED_VALUE"""),"Strainer KITZ 1 1/4"" BRASS; ; ;")</f>
        <v>Strainer KITZ 1 1/4" BRASS; ; ;</v>
      </c>
      <c r="C1767" s="14" t="str">
        <f>IFERROR(__xludf.DUMMYFUNCTION("""COMPUTED_VALUE"""),"P-16975-00")</f>
        <v>P-16975-00</v>
      </c>
    </row>
    <row r="1768">
      <c r="A1768" s="14" t="str">
        <f>IFERROR(__xludf.DUMMYFUNCTION("""COMPUTED_VALUE"""),"P-16976-00")</f>
        <v>P-16976-00</v>
      </c>
      <c r="B1768" s="14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4" t="str">
        <f>IFERROR(__xludf.DUMMYFUNCTION("""COMPUTED_VALUE"""),"P-16976-00")</f>
        <v>P-16976-00</v>
      </c>
    </row>
    <row r="1769">
      <c r="A1769" s="14" t="str">
        <f>IFERROR(__xludf.DUMMYFUNCTION("""COMPUTED_VALUE"""),"P-16991-00")</f>
        <v>P-16991-00</v>
      </c>
      <c r="B1769" s="14" t="str">
        <f>IFERROR(__xludf.DUMMYFUNCTION("""COMPUTED_VALUE"""),"Ferrule Welding dia.1""; ; ;")</f>
        <v>Ferrule Welding dia.1"; ; ;</v>
      </c>
      <c r="C1769" s="14" t="str">
        <f>IFERROR(__xludf.DUMMYFUNCTION("""COMPUTED_VALUE"""),"P-16991-00")</f>
        <v>P-16991-00</v>
      </c>
    </row>
    <row r="1770">
      <c r="A1770" s="14" t="str">
        <f>IFERROR(__xludf.DUMMYFUNCTION("""COMPUTED_VALUE"""),"P-16992-00")</f>
        <v>P-16992-00</v>
      </c>
      <c r="B1770" s="14" t="str">
        <f>IFERROR(__xludf.DUMMYFUNCTION("""COMPUTED_VALUE"""),"Elbow SS304 SCH 10x1/2 inch")</f>
        <v>Elbow SS304 SCH 10x1/2 inch</v>
      </c>
      <c r="C1770" s="14" t="str">
        <f>IFERROR(__xludf.DUMMYFUNCTION("""COMPUTED_VALUE"""),"P-16992-00")</f>
        <v>P-16992-00</v>
      </c>
    </row>
    <row r="1771">
      <c r="A1771" s="14" t="str">
        <f>IFERROR(__xludf.DUMMYFUNCTION("""COMPUTED_VALUE"""),"P-17000-00")</f>
        <v>P-17000-00</v>
      </c>
      <c r="B1771" s="14" t="str">
        <f>IFERROR(__xludf.DUMMYFUNCTION("""COMPUTED_VALUE"""),"Dynabolt M8; ; ;")</f>
        <v>Dynabolt M8; ; ;</v>
      </c>
      <c r="C1771" s="14" t="str">
        <f>IFERROR(__xludf.DUMMYFUNCTION("""COMPUTED_VALUE"""),"P-17000-00")</f>
        <v>P-17000-00</v>
      </c>
    </row>
    <row r="1772">
      <c r="A1772" s="14" t="str">
        <f>IFERROR(__xludf.DUMMYFUNCTION("""COMPUTED_VALUE"""),"P-17001-00")</f>
        <v>P-17001-00</v>
      </c>
      <c r="B1772" s="14" t="str">
        <f>IFERROR(__xludf.DUMMYFUNCTION("""COMPUTED_VALUE"""),"Hexabolt M8; ; ;")</f>
        <v>Hexabolt M8; ; ;</v>
      </c>
      <c r="C1772" s="14" t="str">
        <f>IFERROR(__xludf.DUMMYFUNCTION("""COMPUTED_VALUE"""),"P-17001-00")</f>
        <v>P-17001-00</v>
      </c>
    </row>
    <row r="1773">
      <c r="A1773" s="14" t="str">
        <f>IFERROR(__xludf.DUMMYFUNCTION("""COMPUTED_VALUE"""),"P-17026-00")</f>
        <v>P-17026-00</v>
      </c>
      <c r="B1773" s="14" t="str">
        <f>IFERROR(__xludf.DUMMYFUNCTION("""COMPUTED_VALUE"""),"Cover Gasket Set DN15-25MM; ; ;")</f>
        <v>Cover Gasket Set DN15-25MM; ; ;</v>
      </c>
      <c r="C1773" s="14" t="str">
        <f>IFERROR(__xludf.DUMMYFUNCTION("""COMPUTED_VALUE"""),"P-17026-00")</f>
        <v>P-17026-00</v>
      </c>
    </row>
    <row r="1774">
      <c r="A1774" s="14" t="str">
        <f>IFERROR(__xludf.DUMMYFUNCTION("""COMPUTED_VALUE"""),"P-17027-00")</f>
        <v>P-17027-00</v>
      </c>
      <c r="B1774" s="14" t="str">
        <f>IFERROR(__xludf.DUMMYFUNCTION("""COMPUTED_VALUE"""),"Complete Gasket set for 1 1/2"" FT43-10TV; ; ;")</f>
        <v>Complete Gasket set for 1 1/2" FT43-10TV; ; ;</v>
      </c>
      <c r="C1774" s="14" t="str">
        <f>IFERROR(__xludf.DUMMYFUNCTION("""COMPUTED_VALUE"""),"P-17027-00")</f>
        <v>P-17027-00</v>
      </c>
    </row>
    <row r="1775">
      <c r="A1775" s="14" t="str">
        <f>IFERROR(__xludf.DUMMYFUNCTION("""COMPUTED_VALUE"""),"P-17034-00")</f>
        <v>P-17034-00</v>
      </c>
      <c r="B1775" s="14" t="str">
        <f>IFERROR(__xludf.DUMMYFUNCTION("""COMPUTED_VALUE"""),"O-ring Gasket packet for 1/2"" BTM7 Thermostatic Steam Trap; ; ;")</f>
        <v>O-ring Gasket packet for 1/2" BTM7 Thermostatic Steam Trap; ; ;</v>
      </c>
      <c r="C1775" s="14" t="str">
        <f>IFERROR(__xludf.DUMMYFUNCTION("""COMPUTED_VALUE"""),"P-17034-00")</f>
        <v>P-17034-00</v>
      </c>
    </row>
    <row r="1776">
      <c r="A1776" s="14" t="str">
        <f>IFERROR(__xludf.DUMMYFUNCTION("""COMPUTED_VALUE"""),"P-17040-00")</f>
        <v>P-17040-00</v>
      </c>
      <c r="B1776" s="14" t="str">
        <f>IFERROR(__xludf.DUMMYFUNCTION("""COMPUTED_VALUE"""),"Brake Fluid Prestone @300ml; ; ;")</f>
        <v>Brake Fluid Prestone @300ml; ; ;</v>
      </c>
      <c r="C1776" s="14" t="str">
        <f>IFERROR(__xludf.DUMMYFUNCTION("""COMPUTED_VALUE"""),"P-17040-00")</f>
        <v>P-17040-00</v>
      </c>
    </row>
    <row r="1777">
      <c r="A1777" s="14" t="str">
        <f>IFERROR(__xludf.DUMMYFUNCTION("""COMPUTED_VALUE"""),"P-17041-00")</f>
        <v>P-17041-00</v>
      </c>
      <c r="B1777" s="14" t="str">
        <f>IFERROR(__xludf.DUMMYFUNCTION("""COMPUTED_VALUE"""),"Sok Pneumatic 1/2 x 6 inch; ; ;")</f>
        <v>Sok Pneumatic 1/2 x 6 inch; ; ;</v>
      </c>
      <c r="C1777" s="14" t="str">
        <f>IFERROR(__xludf.DUMMYFUNCTION("""COMPUTED_VALUE"""),"P-17041-00")</f>
        <v>P-17041-00</v>
      </c>
    </row>
    <row r="1778">
      <c r="A1778" s="14" t="str">
        <f>IFERROR(__xludf.DUMMYFUNCTION("""COMPUTED_VALUE"""),"P-17044-00")</f>
        <v>P-17044-00</v>
      </c>
      <c r="B1778" s="14" t="str">
        <f>IFERROR(__xludf.DUMMYFUNCTION("""COMPUTED_VALUE"""),"Rubber Leveling Feet M10; ; ;")</f>
        <v>Rubber Leveling Feet M10; ; ;</v>
      </c>
      <c r="C1778" s="14" t="str">
        <f>IFERROR(__xludf.DUMMYFUNCTION("""COMPUTED_VALUE"""),"P-17044-00")</f>
        <v>P-17044-00</v>
      </c>
    </row>
    <row r="1779">
      <c r="A1779" s="14" t="str">
        <f>IFERROR(__xludf.DUMMYFUNCTION("""COMPUTED_VALUE"""),"P-17047-00")</f>
        <v>P-17047-00</v>
      </c>
      <c r="B1779" s="14" t="str">
        <f>IFERROR(__xludf.DUMMYFUNCTION("""COMPUTED_VALUE"""),"Hexabolt M6; ; ;")</f>
        <v>Hexabolt M6; ; ;</v>
      </c>
      <c r="C1779" s="14" t="str">
        <f>IFERROR(__xludf.DUMMYFUNCTION("""COMPUTED_VALUE"""),"P-17047-00")</f>
        <v>P-17047-00</v>
      </c>
    </row>
    <row r="1780">
      <c r="A1780" s="14" t="str">
        <f>IFERROR(__xludf.DUMMYFUNCTION("""COMPUTED_VALUE"""),"P-17048-00")</f>
        <v>P-17048-00</v>
      </c>
      <c r="B1780" s="14" t="str">
        <f>IFERROR(__xludf.DUMMYFUNCTION("""COMPUTED_VALUE"""),"Regulator Argon")</f>
        <v>Regulator Argon</v>
      </c>
      <c r="C1780" s="14" t="str">
        <f>IFERROR(__xludf.DUMMYFUNCTION("""COMPUTED_VALUE"""),"P-17048-00")</f>
        <v>P-17048-00</v>
      </c>
    </row>
    <row r="1781">
      <c r="A1781" s="14" t="str">
        <f>IFERROR(__xludf.DUMMYFUNCTION("""COMPUTED_VALUE"""),"P-17049-00")</f>
        <v>P-17049-00</v>
      </c>
      <c r="B1781" s="14" t="str">
        <f>IFERROR(__xludf.DUMMYFUNCTION("""COMPUTED_VALUE"""),"Kikir Besi 8""; ; ;")</f>
        <v>Kikir Besi 8"; ; ;</v>
      </c>
      <c r="C1781" s="14" t="str">
        <f>IFERROR(__xludf.DUMMYFUNCTION("""COMPUTED_VALUE"""),"P-17049-00")</f>
        <v>P-17049-00</v>
      </c>
    </row>
    <row r="1782">
      <c r="A1782" s="14" t="str">
        <f>IFERROR(__xludf.DUMMYFUNCTION("""COMPUTED_VALUE"""),"P-17050-00")</f>
        <v>P-17050-00</v>
      </c>
      <c r="B1782" s="14" t="str">
        <f>IFERROR(__xludf.DUMMYFUNCTION("""COMPUTED_VALUE"""),"Elbow 90 Kuningan 1/4"" NPT x 6mm Tubing; ; ;")</f>
        <v>Elbow 90 Kuningan 1/4" NPT x 6mm Tubing; ; ;</v>
      </c>
      <c r="C1782" s="14" t="str">
        <f>IFERROR(__xludf.DUMMYFUNCTION("""COMPUTED_VALUE"""),"P-17050-00")</f>
        <v>P-17050-00</v>
      </c>
    </row>
    <row r="1783">
      <c r="A1783" s="14" t="str">
        <f>IFERROR(__xludf.DUMMYFUNCTION("""COMPUTED_VALUE"""),"P-17051-00")</f>
        <v>P-17051-00</v>
      </c>
      <c r="B1783" s="14" t="str">
        <f>IFERROR(__xludf.DUMMYFUNCTION("""COMPUTED_VALUE"""),"Threading Pipe SS304 1/2""; ; ;")</f>
        <v>Threading Pipe SS304 1/2"; ; ;</v>
      </c>
      <c r="C1783" s="14" t="str">
        <f>IFERROR(__xludf.DUMMYFUNCTION("""COMPUTED_VALUE"""),"P-17051-00")</f>
        <v>P-17051-00</v>
      </c>
    </row>
    <row r="1784">
      <c r="A1784" s="14" t="str">
        <f>IFERROR(__xludf.DUMMYFUNCTION("""COMPUTED_VALUE"""),"P-17052-00")</f>
        <v>P-17052-00</v>
      </c>
      <c r="B1784" s="14" t="str">
        <f>IFERROR(__xludf.DUMMYFUNCTION("""COMPUTED_VALUE"""),"Check Valve BRONZE 3/4""; ; ;")</f>
        <v>Check Valve BRONZE 3/4"; ; ;</v>
      </c>
      <c r="C1784" s="14" t="str">
        <f>IFERROR(__xludf.DUMMYFUNCTION("""COMPUTED_VALUE"""),"P-17052-00")</f>
        <v>P-17052-00</v>
      </c>
    </row>
    <row r="1785">
      <c r="A1785" s="14" t="str">
        <f>IFERROR(__xludf.DUMMYFUNCTION("""COMPUTED_VALUE"""),"P-17060-00")</f>
        <v>P-17060-00</v>
      </c>
      <c r="B1785" s="14" t="str">
        <f>IFERROR(__xludf.DUMMYFUNCTION("""COMPUTED_VALUE"""),"Baut V Sink 5 x 10 mm; ; ;")</f>
        <v>Baut V Sink 5 x 10 mm; ; ;</v>
      </c>
      <c r="C1785" s="14" t="str">
        <f>IFERROR(__xludf.DUMMYFUNCTION("""COMPUTED_VALUE"""),"P-17060-00")</f>
        <v>P-17060-00</v>
      </c>
    </row>
    <row r="1786">
      <c r="A1786" s="14" t="str">
        <f>IFERROR(__xludf.DUMMYFUNCTION("""COMPUTED_VALUE"""),"P-17061-00")</f>
        <v>P-17061-00</v>
      </c>
      <c r="B1786" s="14" t="str">
        <f>IFERROR(__xludf.DUMMYFUNCTION("""COMPUTED_VALUE"""),"Baut V Sink 4 x 10 mm; ; ;")</f>
        <v>Baut V Sink 4 x 10 mm; ; ;</v>
      </c>
      <c r="C1786" s="14" t="str">
        <f>IFERROR(__xludf.DUMMYFUNCTION("""COMPUTED_VALUE"""),"P-17061-00")</f>
        <v>P-17061-00</v>
      </c>
    </row>
    <row r="1787">
      <c r="A1787" s="14" t="str">
        <f>IFERROR(__xludf.DUMMYFUNCTION("""COMPUTED_VALUE"""),"P-17062-00")</f>
        <v>P-17062-00</v>
      </c>
      <c r="B1787" s="14" t="str">
        <f>IFERROR(__xludf.DUMMYFUNCTION("""COMPUTED_VALUE"""),"General - Element Filter for N2; NEXUS; NXE-90-Z; 1 pc")</f>
        <v>General - Element Filter for N2; NEXUS; NXE-90-Z; 1 pc</v>
      </c>
      <c r="C1787" s="14" t="str">
        <f>IFERROR(__xludf.DUMMYFUNCTION("""COMPUTED_VALUE"""),"P-17062-00")</f>
        <v>P-17062-00</v>
      </c>
    </row>
    <row r="1788">
      <c r="A1788" s="14" t="str">
        <f>IFERROR(__xludf.DUMMYFUNCTION("""COMPUTED_VALUE"""),"P-17064-00")</f>
        <v>P-17064-00</v>
      </c>
      <c r="B1788" s="14" t="str">
        <f>IFERROR(__xludf.DUMMYFUNCTION("""COMPUTED_VALUE"""),"Bench Grinder GBG 35-15 6"" Bosch; ; ;")</f>
        <v>Bench Grinder GBG 35-15 6" Bosch; ; ;</v>
      </c>
      <c r="C1788" s="14" t="str">
        <f>IFERROR(__xludf.DUMMYFUNCTION("""COMPUTED_VALUE"""),"P-17064-00")</f>
        <v>P-17064-00</v>
      </c>
    </row>
    <row r="1789">
      <c r="A1789" s="14" t="str">
        <f>IFERROR(__xludf.DUMMYFUNCTION("""COMPUTED_VALUE"""),"P-17065-00")</f>
        <v>P-17065-00</v>
      </c>
      <c r="B1789" s="14" t="str">
        <f>IFERROR(__xludf.DUMMYFUNCTION("""COMPUTED_VALUE"""),"Hot Gun GHG630 2000 w Bosch; ; ;")</f>
        <v>Hot Gun GHG630 2000 w Bosch; ; ;</v>
      </c>
      <c r="C1789" s="14" t="str">
        <f>IFERROR(__xludf.DUMMYFUNCTION("""COMPUTED_VALUE"""),"P-17065-00")</f>
        <v>P-17065-00</v>
      </c>
    </row>
    <row r="1790">
      <c r="A1790" s="14" t="str">
        <f>IFERROR(__xludf.DUMMYFUNCTION("""COMPUTED_VALUE"""),"P-17066-00")</f>
        <v>P-17066-00</v>
      </c>
      <c r="B1790" s="14" t="str">
        <f>IFERROR(__xludf.DUMMYFUNCTION("""COMPUTED_VALUE"""),"Pompa Submersible; ; ; - POMPA SUBMERSIBLE SB 3")</f>
        <v>Pompa Submersible; ; ; - POMPA SUBMERSIBLE SB 3</v>
      </c>
      <c r="C1790" s="14" t="str">
        <f>IFERROR(__xludf.DUMMYFUNCTION("""COMPUTED_VALUE"""),"P-17066-00")</f>
        <v>P-17066-00</v>
      </c>
    </row>
    <row r="1791">
      <c r="A1791" s="14" t="str">
        <f>IFERROR(__xludf.DUMMYFUNCTION("""COMPUTED_VALUE"""),"P-17068-00")</f>
        <v>P-17068-00</v>
      </c>
      <c r="B1791" s="14" t="str">
        <f>IFERROR(__xludf.DUMMYFUNCTION("""COMPUTED_VALUE"""),"PRV 7 - Pressure Reducing Valve 1 bar BRASS 3/4"" KITZ; ; ;")</f>
        <v>PRV 7 - Pressure Reducing Valve 1 bar BRASS 3/4" KITZ; ; ;</v>
      </c>
      <c r="C1791" s="14" t="str">
        <f>IFERROR(__xludf.DUMMYFUNCTION("""COMPUTED_VALUE"""),"P-17068-00")</f>
        <v>P-17068-00</v>
      </c>
    </row>
    <row r="1792">
      <c r="A1792" s="14" t="str">
        <f>IFERROR(__xludf.DUMMYFUNCTION("""COMPUTED_VALUE"""),"P-17071-00")</f>
        <v>P-17071-00</v>
      </c>
      <c r="B1792" s="14" t="str">
        <f>IFERROR(__xludf.DUMMYFUNCTION("""COMPUTED_VALUE"""),"Double neeple SS 304 dia 1/4inch; ; ;")</f>
        <v>Double neeple SS 304 dia 1/4inch; ; ;</v>
      </c>
      <c r="C1792" s="14" t="str">
        <f>IFERROR(__xludf.DUMMYFUNCTION("""COMPUTED_VALUE"""),"P-17071-00")</f>
        <v>P-17071-00</v>
      </c>
    </row>
    <row r="1793">
      <c r="A1793" s="14" t="str">
        <f>IFERROR(__xludf.DUMMYFUNCTION("""COMPUTED_VALUE"""),"P-17073-00")</f>
        <v>P-17073-00</v>
      </c>
      <c r="B1793" s="14" t="str">
        <f>IFERROR(__xludf.DUMMYFUNCTION("""COMPUTED_VALUE"""),"Ferrule 3/4"" SS 316L; ; ;")</f>
        <v>Ferrule 3/4" SS 316L; ; ;</v>
      </c>
      <c r="C1793" s="14" t="str">
        <f>IFERROR(__xludf.DUMMYFUNCTION("""COMPUTED_VALUE"""),"P-17073-00")</f>
        <v>P-17073-00</v>
      </c>
    </row>
    <row r="1794">
      <c r="A1794" s="14" t="str">
        <f>IFERROR(__xludf.DUMMYFUNCTION("""COMPUTED_VALUE"""),"P-17079-00")</f>
        <v>P-17079-00</v>
      </c>
      <c r="B1794" s="14" t="str">
        <f>IFERROR(__xludf.DUMMYFUNCTION("""COMPUTED_VALUE"""),"Roda Caster Dia : 2"" Swivel Flange With Brake; ; ;")</f>
        <v>Roda Caster Dia : 2" Swivel Flange With Brake; ; ;</v>
      </c>
      <c r="C1794" s="14" t="str">
        <f>IFERROR(__xludf.DUMMYFUNCTION("""COMPUTED_VALUE"""),"P-17079-00")</f>
        <v>P-17079-00</v>
      </c>
    </row>
    <row r="1795">
      <c r="A1795" s="14" t="str">
        <f>IFERROR(__xludf.DUMMYFUNCTION("""COMPUTED_VALUE"""),"P-17167-00")</f>
        <v>P-17167-00</v>
      </c>
      <c r="B1795" s="14" t="str">
        <f>IFERROR(__xludf.DUMMYFUNCTION("""COMPUTED_VALUE"""),"General - Hollow SS304 Uk. 30 x 30 x 1.5 x 6000mm; No Brand; -; 1 Pcs")</f>
        <v>General - Hollow SS304 Uk. 30 x 30 x 1.5 x 6000mm; No Brand; -; 1 Pcs</v>
      </c>
      <c r="C1795" s="14" t="str">
        <f>IFERROR(__xludf.DUMMYFUNCTION("""COMPUTED_VALUE"""),"P-17167-00")</f>
        <v>P-17167-00</v>
      </c>
    </row>
    <row r="1796">
      <c r="A1796" s="14" t="str">
        <f>IFERROR(__xludf.DUMMYFUNCTION("""COMPUTED_VALUE"""),"P-17176-00")</f>
        <v>P-17176-00</v>
      </c>
      <c r="B1796" s="14" t="str">
        <f>IFERROR(__xludf.DUMMYFUNCTION("""COMPUTED_VALUE"""),"Protection Cover For Emergency Push Button 22mm FORT")</f>
        <v>Protection Cover For Emergency Push Button 22mm FORT</v>
      </c>
      <c r="C1796" s="14" t="str">
        <f>IFERROR(__xludf.DUMMYFUNCTION("""COMPUTED_VALUE"""),"P-17176-00")</f>
        <v>P-17176-00</v>
      </c>
    </row>
    <row r="1797">
      <c r="A1797" s="14" t="str">
        <f>IFERROR(__xludf.DUMMYFUNCTION("""COMPUTED_VALUE"""),"P-17223-00")</f>
        <v>P-17223-00</v>
      </c>
      <c r="B1797" s="14" t="str">
        <f>IFERROR(__xludf.DUMMYFUNCTION("""COMPUTED_VALUE"""),"Shock Pipa PVC 1 1/2""; RUCIKA; ; pcs")</f>
        <v>Shock Pipa PVC 1 1/2"; RUCIKA; ; pcs</v>
      </c>
      <c r="C1797" s="14" t="str">
        <f>IFERROR(__xludf.DUMMYFUNCTION("""COMPUTED_VALUE"""),"P-17223-00")</f>
        <v>P-17223-00</v>
      </c>
    </row>
    <row r="1798">
      <c r="A1798" s="14" t="str">
        <f>IFERROR(__xludf.DUMMYFUNCTION("""COMPUTED_VALUE"""),"P-17252-00")</f>
        <v>P-17252-00</v>
      </c>
      <c r="B1798" s="14" t="str">
        <f>IFERROR(__xludf.DUMMYFUNCTION("""COMPUTED_VALUE"""),"Clamp Holder Pipa SS304 2 Inch")</f>
        <v>Clamp Holder Pipa SS304 2 Inch</v>
      </c>
      <c r="C1798" s="14" t="str">
        <f>IFERROR(__xludf.DUMMYFUNCTION("""COMPUTED_VALUE"""),"P-17252-00")</f>
        <v>P-17252-00</v>
      </c>
    </row>
    <row r="1799">
      <c r="A1799" s="14" t="str">
        <f>IFERROR(__xludf.DUMMYFUNCTION("""COMPUTED_VALUE"""),"P-17253-00")</f>
        <v>P-17253-00</v>
      </c>
      <c r="B1799" s="14" t="str">
        <f>IFERROR(__xludf.DUMMYFUNCTION("""COMPUTED_VALUE"""),"Hose Yee Joint Kuningan 1/2 inch")</f>
        <v>Hose Yee Joint Kuningan 1/2 inch</v>
      </c>
      <c r="C1799" s="14" t="str">
        <f>IFERROR(__xludf.DUMMYFUNCTION("""COMPUTED_VALUE"""),"P-17253-00")</f>
        <v>P-17253-00</v>
      </c>
    </row>
    <row r="1800">
      <c r="A1800" s="14" t="str">
        <f>IFERROR(__xludf.DUMMYFUNCTION("""COMPUTED_VALUE"""),"P-17254-00")</f>
        <v>P-17254-00</v>
      </c>
      <c r="B1800" s="14" t="str">
        <f>IFERROR(__xludf.DUMMYFUNCTION("""COMPUTED_VALUE"""),"Sock Drat dalam SS 304 1/2 Inch")</f>
        <v>Sock Drat dalam SS 304 1/2 Inch</v>
      </c>
      <c r="C1800" s="14" t="str">
        <f>IFERROR(__xludf.DUMMYFUNCTION("""COMPUTED_VALUE"""),"P-17254-00")</f>
        <v>P-17254-00</v>
      </c>
    </row>
    <row r="1801">
      <c r="A1801" s="14" t="str">
        <f>IFERROR(__xludf.DUMMYFUNCTION("""COMPUTED_VALUE"""),"P-17255-00")</f>
        <v>P-17255-00</v>
      </c>
      <c r="B1801" s="14" t="str">
        <f>IFERROR(__xludf.DUMMYFUNCTION("""COMPUTED_VALUE"""),"Nepple Hose SS304 1/2 Inch")</f>
        <v>Nepple Hose SS304 1/2 Inch</v>
      </c>
      <c r="C1801" s="14" t="str">
        <f>IFERROR(__xludf.DUMMYFUNCTION("""COMPUTED_VALUE"""),"P-17255-00")</f>
        <v>P-17255-00</v>
      </c>
    </row>
    <row r="1802">
      <c r="A1802" s="14" t="str">
        <f>IFERROR(__xludf.DUMMYFUNCTION("""COMPUTED_VALUE"""),"P-17260-00")</f>
        <v>P-17260-00</v>
      </c>
      <c r="B1802" s="14" t="str">
        <f>IFERROR(__xludf.DUMMYFUNCTION("""COMPUTED_VALUE"""),"Oil seal G.14x20x3 mm")</f>
        <v>Oil seal G.14x20x3 mm</v>
      </c>
      <c r="C1802" s="14" t="str">
        <f>IFERROR(__xludf.DUMMYFUNCTION("""COMPUTED_VALUE"""),"P-17260-00")</f>
        <v>P-17260-00</v>
      </c>
    </row>
    <row r="1803">
      <c r="A1803" s="14" t="str">
        <f>IFERROR(__xludf.DUMMYFUNCTION("""COMPUTED_VALUE"""),"P-17272-00")</f>
        <v>P-17272-00</v>
      </c>
      <c r="B1803" s="14" t="str">
        <f>IFERROR(__xludf.DUMMYFUNCTION("""COMPUTED_VALUE"""),"O-ring Epdm 9 x 4 x 2,5 mm ; Brand : - ; P/N : - ; Pack Size : pcs")</f>
        <v>O-ring Epdm 9 x 4 x 2,5 mm ; Brand : - ; P/N : - ; Pack Size : pcs</v>
      </c>
      <c r="C1803" s="14" t="str">
        <f>IFERROR(__xludf.DUMMYFUNCTION("""COMPUTED_VALUE"""),"P-17272-00")</f>
        <v>P-17272-00</v>
      </c>
    </row>
    <row r="1804">
      <c r="A1804" s="14" t="str">
        <f>IFERROR(__xludf.DUMMYFUNCTION("""COMPUTED_VALUE"""),"P-17273-00")</f>
        <v>P-17273-00</v>
      </c>
      <c r="B1804" s="14" t="str">
        <f>IFERROR(__xludf.DUMMYFUNCTION("""COMPUTED_VALUE"""),"O-ring Epdm 9 x 5 x 2 mm ; Brand : - ; P/N : - ; Pack Size : pcs")</f>
        <v>O-ring Epdm 9 x 5 x 2 mm ; Brand : - ; P/N : - ; Pack Size : pcs</v>
      </c>
      <c r="C1804" s="14" t="str">
        <f>IFERROR(__xludf.DUMMYFUNCTION("""COMPUTED_VALUE"""),"P-17273-00")</f>
        <v>P-17273-00</v>
      </c>
    </row>
    <row r="1805">
      <c r="A1805" s="14" t="str">
        <f>IFERROR(__xludf.DUMMYFUNCTION("""COMPUTED_VALUE"""),"P-17278-00")</f>
        <v>P-17278-00</v>
      </c>
      <c r="B1805" s="14" t="str">
        <f>IFERROR(__xludf.DUMMYFUNCTION("""COMPUTED_VALUE"""),"Kawat las TIG Argon TGS-50 dia 1.6 mm")</f>
        <v>Kawat las TIG Argon TGS-50 dia 1.6 mm</v>
      </c>
      <c r="C1805" s="14" t="str">
        <f>IFERROR(__xludf.DUMMYFUNCTION("""COMPUTED_VALUE"""),"P-17278-00")</f>
        <v>P-17278-00</v>
      </c>
    </row>
    <row r="1806">
      <c r="A1806" s="14" t="str">
        <f>IFERROR(__xludf.DUMMYFUNCTION("""COMPUTED_VALUE"""),"P-17290-00")</f>
        <v>P-17290-00</v>
      </c>
      <c r="B1806" s="14" t="str">
        <f>IFERROR(__xludf.DUMMYFUNCTION("""COMPUTED_VALUE"""),"Filter Regulator Brand : SMC P/N : AW20-02BG-C-A Pack Size : pcs")</f>
        <v>Filter Regulator Brand : SMC P/N : AW20-02BG-C-A Pack Size : pcs</v>
      </c>
      <c r="C1806" s="14" t="str">
        <f>IFERROR(__xludf.DUMMYFUNCTION("""COMPUTED_VALUE"""),"P-17290-00")</f>
        <v>P-17290-00</v>
      </c>
    </row>
    <row r="1807">
      <c r="A1807" s="14" t="str">
        <f>IFERROR(__xludf.DUMMYFUNCTION("""COMPUTED_VALUE"""),"P-17323-00")</f>
        <v>P-17323-00</v>
      </c>
      <c r="B1807" s="14" t="str">
        <f>IFERROR(__xludf.DUMMYFUNCTION("""COMPUTED_VALUE"""),"Plate Gasket 3233014146 Alfa Laval")</f>
        <v>Plate Gasket 3233014146 Alfa Laval</v>
      </c>
      <c r="C1807" s="14" t="str">
        <f>IFERROR(__xludf.DUMMYFUNCTION("""COMPUTED_VALUE"""),"P-17323-00")</f>
        <v>P-17323-00</v>
      </c>
    </row>
    <row r="1808">
      <c r="A1808" s="14" t="str">
        <f>IFERROR(__xludf.DUMMYFUNCTION("""COMPUTED_VALUE"""),"P-17347-00")</f>
        <v>P-17347-00</v>
      </c>
      <c r="B1808" s="14" t="str">
        <f>IFERROR(__xludf.DUMMYFUNCTION("""COMPUTED_VALUE"""),"General - Pre Filter G4 2m x 20m x 2mm; No Brand; -; 1 Pc")</f>
        <v>General - Pre Filter G4 2m x 20m x 2mm; No Brand; -; 1 Pc</v>
      </c>
      <c r="C1808" s="14" t="str">
        <f>IFERROR(__xludf.DUMMYFUNCTION("""COMPUTED_VALUE"""),"P-17347-00")</f>
        <v>P-17347-00</v>
      </c>
    </row>
    <row r="1809">
      <c r="A1809" s="14" t="str">
        <f>IFERROR(__xludf.DUMMYFUNCTION("""COMPUTED_VALUE"""),"P-17348-00")</f>
        <v>P-17348-00</v>
      </c>
      <c r="B1809" s="14" t="str">
        <f>IFERROR(__xludf.DUMMYFUNCTION("""COMPUTED_VALUE"""),"Steam Trap Ball Float DN40 Flange PN16 ARI")</f>
        <v>Steam Trap Ball Float DN40 Flange PN16 ARI</v>
      </c>
      <c r="C1809" s="14" t="str">
        <f>IFERROR(__xludf.DUMMYFUNCTION("""COMPUTED_VALUE"""),"P-17348-00")</f>
        <v>P-17348-00</v>
      </c>
    </row>
    <row r="1810">
      <c r="A1810" s="14" t="str">
        <f>IFERROR(__xludf.DUMMYFUNCTION("""COMPUTED_VALUE"""),"P-17358-00")</f>
        <v>P-17358-00</v>
      </c>
      <c r="B1810" s="14" t="str">
        <f>IFERROR(__xludf.DUMMYFUNCTION("""COMPUTED_VALUE"""),"Oring EPDM 41.5x35x3.5 mm")</f>
        <v>Oring EPDM 41.5x35x3.5 mm</v>
      </c>
      <c r="C1810" s="14" t="str">
        <f>IFERROR(__xludf.DUMMYFUNCTION("""COMPUTED_VALUE"""),"P-17358-00")</f>
        <v>P-17358-00</v>
      </c>
    </row>
    <row r="1811">
      <c r="A1811" s="14" t="str">
        <f>IFERROR(__xludf.DUMMYFUNCTION("""COMPUTED_VALUE"""),"P-17359-00")</f>
        <v>P-17359-00</v>
      </c>
      <c r="B1811" s="14" t="str">
        <f>IFERROR(__xludf.DUMMYFUNCTION("""COMPUTED_VALUE"""),"O-ring EPDM 41.5 x 35 x 3.5 mm ; Brand : - ; P/N : - ; Pack Size : pcs")</f>
        <v>O-ring EPDM 41.5 x 35 x 3.5 mm ; Brand : - ; P/N : - ; Pack Size : pcs</v>
      </c>
      <c r="C1811" s="14" t="str">
        <f>IFERROR(__xludf.DUMMYFUNCTION("""COMPUTED_VALUE"""),"P-17359-00")</f>
        <v>P-17359-00</v>
      </c>
    </row>
    <row r="1812">
      <c r="A1812" s="14" t="str">
        <f>IFERROR(__xludf.DUMMYFUNCTION("""COMPUTED_VALUE"""),"P-17360-00")</f>
        <v>P-17360-00</v>
      </c>
      <c r="B1812" s="14" t="str">
        <f>IFERROR(__xludf.DUMMYFUNCTION("""COMPUTED_VALUE"""),"Oring EPDM 22.5x15.5x3.5 mm")</f>
        <v>Oring EPDM 22.5x15.5x3.5 mm</v>
      </c>
      <c r="C1812" s="14" t="str">
        <f>IFERROR(__xludf.DUMMYFUNCTION("""COMPUTED_VALUE"""),"P-17360-00")</f>
        <v>P-17360-00</v>
      </c>
    </row>
    <row r="1813">
      <c r="A1813" s="14" t="str">
        <f>IFERROR(__xludf.DUMMYFUNCTION("""COMPUTED_VALUE"""),"P-17361-00")</f>
        <v>P-17361-00</v>
      </c>
      <c r="B1813" s="14" t="str">
        <f>IFERROR(__xludf.DUMMYFUNCTION("""COMPUTED_VALUE"""),"General - O-ring EPDM 15 x 9 x 3 mm; No Brand; -; 1 pc")</f>
        <v>General - O-ring EPDM 15 x 9 x 3 mm; No Brand; -; 1 pc</v>
      </c>
      <c r="C1813" s="14" t="str">
        <f>IFERROR(__xludf.DUMMYFUNCTION("""COMPUTED_VALUE"""),"P-17361-00")</f>
        <v>P-17361-00</v>
      </c>
    </row>
    <row r="1814">
      <c r="A1814" s="14" t="str">
        <f>IFERROR(__xludf.DUMMYFUNCTION("""COMPUTED_VALUE"""),"P-17363-00")</f>
        <v>P-17363-00</v>
      </c>
      <c r="B1814" s="14" t="str">
        <f>IFERROR(__xludf.DUMMYFUNCTION("""COMPUTED_VALUE"""),"General - Ferrule SS 316, 1/2inch; No Brand; -; 1 pcs")</f>
        <v>General - Ferrule SS 316, 1/2inch; No Brand; -; 1 pcs</v>
      </c>
      <c r="C1814" s="14" t="str">
        <f>IFERROR(__xludf.DUMMYFUNCTION("""COMPUTED_VALUE"""),"P-17363-00")</f>
        <v>P-17363-00</v>
      </c>
    </row>
    <row r="1815">
      <c r="A1815" s="14" t="str">
        <f>IFERROR(__xludf.DUMMYFUNCTION("""COMPUTED_VALUE"""),"P-17368-00")</f>
        <v>P-17368-00</v>
      </c>
      <c r="B1815" s="14" t="str">
        <f>IFERROR(__xludf.DUMMYFUNCTION("""COMPUTED_VALUE"""),"Gate valve 2 inch Flange JIS 10K")</f>
        <v>Gate valve 2 inch Flange JIS 10K</v>
      </c>
      <c r="C1815" s="14" t="str">
        <f>IFERROR(__xludf.DUMMYFUNCTION("""COMPUTED_VALUE"""),"P-17368-00")</f>
        <v>P-17368-00</v>
      </c>
    </row>
    <row r="1816">
      <c r="A1816" s="14" t="str">
        <f>IFERROR(__xludf.DUMMYFUNCTION("""COMPUTED_VALUE"""),"P-17387-00")</f>
        <v>P-17387-00</v>
      </c>
      <c r="B1816" s="14" t="str">
        <f>IFERROR(__xludf.DUMMYFUNCTION("""COMPUTED_VALUE"""),"Timming Belt 300L 025 Optibelt")</f>
        <v>Timming Belt 300L 025 Optibelt</v>
      </c>
      <c r="C1816" s="14" t="str">
        <f>IFERROR(__xludf.DUMMYFUNCTION("""COMPUTED_VALUE"""),"P-17387-00")</f>
        <v>P-17387-00</v>
      </c>
    </row>
    <row r="1817">
      <c r="A1817" s="14" t="str">
        <f>IFERROR(__xludf.DUMMYFUNCTION("""COMPUTED_VALUE"""),"P-17388-00")</f>
        <v>P-17388-00</v>
      </c>
      <c r="B1817" s="14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4" t="str">
        <f>IFERROR(__xludf.DUMMYFUNCTION("""COMPUTED_VALUE"""),"P-17388-00")</f>
        <v>P-17388-00</v>
      </c>
    </row>
    <row r="1818">
      <c r="A1818" s="14" t="str">
        <f>IFERROR(__xludf.DUMMYFUNCTION("""COMPUTED_VALUE"""),"P-17389-00")</f>
        <v>P-17389-00</v>
      </c>
      <c r="B1818" s="14" t="str">
        <f>IFERROR(__xludf.DUMMYFUNCTION("""COMPUTED_VALUE"""),"General - Kawat Las SS316 3.2mm; No Brand; -; 1 kg")</f>
        <v>General - Kawat Las SS316 3.2mm; No Brand; -; 1 kg</v>
      </c>
      <c r="C1818" s="14" t="str">
        <f>IFERROR(__xludf.DUMMYFUNCTION("""COMPUTED_VALUE"""),"P-17389-00")</f>
        <v>P-17389-00</v>
      </c>
    </row>
    <row r="1819">
      <c r="A1819" s="14" t="str">
        <f>IFERROR(__xludf.DUMMYFUNCTION("""COMPUTED_VALUE"""),"P-17390-00")</f>
        <v>P-17390-00</v>
      </c>
      <c r="B1819" s="14" t="str">
        <f>IFERROR(__xludf.DUMMYFUNCTION("""COMPUTED_VALUE"""),"PALL - AB1PFR7PVH4, 0.2 um; ; ;")</f>
        <v>PALL - AB1PFR7PVH4, 0.2 um; ; ;</v>
      </c>
      <c r="C1819" s="14" t="str">
        <f>IFERROR(__xludf.DUMMYFUNCTION("""COMPUTED_VALUE"""),"P-17390-00")</f>
        <v>P-17390-00</v>
      </c>
    </row>
    <row r="1820">
      <c r="A1820" s="14" t="str">
        <f>IFERROR(__xludf.DUMMYFUNCTION("""COMPUTED_VALUE"""),"P-17399-00")</f>
        <v>P-17399-00</v>
      </c>
      <c r="B1820" s="14" t="str">
        <f>IFERROR(__xludf.DUMMYFUNCTION("""COMPUTED_VALUE"""),"Tee PVC AW 1 inch x 1/2 inch")</f>
        <v>Tee PVC AW 1 inch x 1/2 inch</v>
      </c>
      <c r="C1820" s="14" t="str">
        <f>IFERROR(__xludf.DUMMYFUNCTION("""COMPUTED_VALUE"""),"P-17399-00")</f>
        <v>P-17399-00</v>
      </c>
    </row>
    <row r="1821">
      <c r="A1821" s="14" t="str">
        <f>IFERROR(__xludf.DUMMYFUNCTION("""COMPUTED_VALUE"""),"P-17449-00")</f>
        <v>P-17449-00</v>
      </c>
      <c r="B1821" s="14" t="str">
        <f>IFERROR(__xludf.DUMMYFUNCTION("""COMPUTED_VALUE"""),"Box Panel SS304 20 x 20 x 15 cm")</f>
        <v>Box Panel SS304 20 x 20 x 15 cm</v>
      </c>
      <c r="C1821" s="14" t="str">
        <f>IFERROR(__xludf.DUMMYFUNCTION("""COMPUTED_VALUE"""),"P-17449-00")</f>
        <v>P-17449-00</v>
      </c>
    </row>
    <row r="1822">
      <c r="A1822" s="14" t="str">
        <f>IFERROR(__xludf.DUMMYFUNCTION("""COMPUTED_VALUE"""),"P-17451-00")</f>
        <v>P-17451-00</v>
      </c>
      <c r="B1822" s="14" t="str">
        <f>IFERROR(__xludf.DUMMYFUNCTION("""COMPUTED_VALUE"""),"Belt SPA 1132 LW")</f>
        <v>Belt SPA 1132 LW</v>
      </c>
      <c r="C1822" s="14" t="str">
        <f>IFERROR(__xludf.DUMMYFUNCTION("""COMPUTED_VALUE"""),"P-17451-00")</f>
        <v>P-17451-00</v>
      </c>
    </row>
    <row r="1823">
      <c r="A1823" s="14" t="str">
        <f>IFERROR(__xludf.DUMMYFUNCTION("""COMPUTED_VALUE"""),"P-17452-00")</f>
        <v>P-17452-00</v>
      </c>
      <c r="B1823" s="14" t="str">
        <f>IFERROR(__xludf.DUMMYFUNCTION("""COMPUTED_VALUE"""),"Ac Reflector Acrilik 1/2 - 1 PK")</f>
        <v>Ac Reflector Acrilik 1/2 - 1 PK</v>
      </c>
      <c r="C1823" s="14" t="str">
        <f>IFERROR(__xludf.DUMMYFUNCTION("""COMPUTED_VALUE"""),"P-17452-00")</f>
        <v>P-17452-00</v>
      </c>
    </row>
    <row r="1824">
      <c r="A1824" s="14" t="str">
        <f>IFERROR(__xludf.DUMMYFUNCTION("""COMPUTED_VALUE"""),"P-17466-00")</f>
        <v>P-17466-00</v>
      </c>
      <c r="B1824" s="14" t="str">
        <f>IFERROR(__xludf.DUMMYFUNCTION("""COMPUTED_VALUE"""),"Kawat Las Argon SS 304 Dia : 1.2 mm kg")</f>
        <v>Kawat Las Argon SS 304 Dia : 1.2 mm kg</v>
      </c>
      <c r="C1824" s="14" t="str">
        <f>IFERROR(__xludf.DUMMYFUNCTION("""COMPUTED_VALUE"""),"P-17466-00")</f>
        <v>P-17466-00</v>
      </c>
    </row>
    <row r="1825">
      <c r="A1825" s="14" t="str">
        <f>IFERROR(__xludf.DUMMYFUNCTION("""COMPUTED_VALUE"""),"P-17481-00")</f>
        <v>P-17481-00</v>
      </c>
      <c r="B1825" s="14" t="str">
        <f>IFERROR(__xludf.DUMMYFUNCTION("""COMPUTED_VALUE"""),"Per tekan - SS304 Dia. OD:4.5mm Pjg:55mm T:0.5mm")</f>
        <v>Per tekan - SS304 Dia. OD:4.5mm Pjg:55mm T:0.5mm</v>
      </c>
      <c r="C1825" s="14" t="str">
        <f>IFERROR(__xludf.DUMMYFUNCTION("""COMPUTED_VALUE"""),"P-17481-00")</f>
        <v>P-17481-00</v>
      </c>
    </row>
    <row r="1826">
      <c r="A1826" s="14" t="str">
        <f>IFERROR(__xludf.DUMMYFUNCTION("""COMPUTED_VALUE"""),"P-17497-00")</f>
        <v>P-17497-00</v>
      </c>
      <c r="B1826" s="14" t="str">
        <f>IFERROR(__xludf.DUMMYFUNCTION("""COMPUTED_VALUE"""),"Tee Drat 1 inch + Vlog Ring Brass 1 x 3/4inch")</f>
        <v>Tee Drat 1 inch + Vlog Ring Brass 1 x 3/4inch</v>
      </c>
      <c r="C1826" s="14" t="str">
        <f>IFERROR(__xludf.DUMMYFUNCTION("""COMPUTED_VALUE"""),"P-17497-00")</f>
        <v>P-17497-00</v>
      </c>
    </row>
    <row r="1827">
      <c r="A1827" s="14" t="str">
        <f>IFERROR(__xludf.DUMMYFUNCTION("""COMPUTED_VALUE"""),"P-17508-00")</f>
        <v>P-17508-00</v>
      </c>
      <c r="B1827" s="14" t="str">
        <f>IFERROR(__xludf.DUMMYFUNCTION("""COMPUTED_VALUE"""),"Manifold For Selenoid Valve 1/8inch 3 Port")</f>
        <v>Manifold For Selenoid Valve 1/8inch 3 Port</v>
      </c>
      <c r="C1827" s="14" t="str">
        <f>IFERROR(__xludf.DUMMYFUNCTION("""COMPUTED_VALUE"""),"P-17508-00")</f>
        <v>P-17508-00</v>
      </c>
    </row>
    <row r="1828">
      <c r="A1828" s="14" t="str">
        <f>IFERROR(__xludf.DUMMYFUNCTION("""COMPUTED_VALUE"""),"P-17539-00")</f>
        <v>P-17539-00</v>
      </c>
      <c r="B1828" s="14" t="str">
        <f>IFERROR(__xludf.DUMMYFUNCTION("""COMPUTED_VALUE"""),"Seal Ferrule Silicone 4 inch")</f>
        <v>Seal Ferrule Silicone 4 inch</v>
      </c>
      <c r="C1828" s="14" t="str">
        <f>IFERROR(__xludf.DUMMYFUNCTION("""COMPUTED_VALUE"""),"P-17539-00")</f>
        <v>P-17539-00</v>
      </c>
    </row>
    <row r="1829">
      <c r="A1829" s="14" t="str">
        <f>IFERROR(__xludf.DUMMYFUNCTION("""COMPUTED_VALUE"""),"P-17540-00")</f>
        <v>P-17540-00</v>
      </c>
      <c r="B1829" s="14" t="str">
        <f>IFERROR(__xludf.DUMMYFUNCTION("""COMPUTED_VALUE"""),"Chain Block 1 Ton x 5 Mtr")</f>
        <v>Chain Block 1 Ton x 5 Mtr</v>
      </c>
      <c r="C1829" s="14" t="str">
        <f>IFERROR(__xludf.DUMMYFUNCTION("""COMPUTED_VALUE"""),"P-17540-00")</f>
        <v>P-17540-00</v>
      </c>
    </row>
    <row r="1830">
      <c r="A1830" s="14" t="str">
        <f>IFERROR(__xludf.DUMMYFUNCTION("""COMPUTED_VALUE"""),"P-17543-00")</f>
        <v>P-17543-00</v>
      </c>
      <c r="B1830" s="14" t="str">
        <f>IFERROR(__xludf.DUMMYFUNCTION("""COMPUTED_VALUE"""),"Neepel Hose SS304 dia 1/4 inch")</f>
        <v>Neepel Hose SS304 dia 1/4 inch</v>
      </c>
      <c r="C1830" s="14" t="str">
        <f>IFERROR(__xludf.DUMMYFUNCTION("""COMPUTED_VALUE"""),"P-17543-00")</f>
        <v>P-17543-00</v>
      </c>
    </row>
    <row r="1831">
      <c r="A1831" s="14" t="str">
        <f>IFERROR(__xludf.DUMMYFUNCTION("""COMPUTED_VALUE"""),"P-17548-00")</f>
        <v>P-17548-00</v>
      </c>
      <c r="B1831" s="14" t="str">
        <f>IFERROR(__xludf.DUMMYFUNCTION("""COMPUTED_VALUE"""),"Diaphragm (L) PRV 25P DN40 Code: 3265690 Spirax Sarco")</f>
        <v>Diaphragm (L) PRV 25P DN40 Code: 3265690 Spirax Sarco</v>
      </c>
      <c r="C1831" s="14" t="str">
        <f>IFERROR(__xludf.DUMMYFUNCTION("""COMPUTED_VALUE"""),"P-17548-00")</f>
        <v>P-17548-00</v>
      </c>
    </row>
    <row r="1832">
      <c r="A1832" s="14" t="str">
        <f>IFERROR(__xludf.DUMMYFUNCTION("""COMPUTED_VALUE"""),"P-17549-00")</f>
        <v>P-17549-00</v>
      </c>
      <c r="B1832" s="14" t="str">
        <f>IFERROR(__xludf.DUMMYFUNCTION("""COMPUTED_VALUE"""),"SMC - Air Filter AF20-02-A")</f>
        <v>SMC - Air Filter AF20-02-A</v>
      </c>
      <c r="C1832" s="14" t="str">
        <f>IFERROR(__xludf.DUMMYFUNCTION("""COMPUTED_VALUE"""),"P-17549-00")</f>
        <v>P-17549-00</v>
      </c>
    </row>
    <row r="1833">
      <c r="A1833" s="14" t="str">
        <f>IFERROR(__xludf.DUMMYFUNCTION("""COMPUTED_VALUE"""),"P-17552-00")</f>
        <v>P-17552-00</v>
      </c>
      <c r="B1833" s="14" t="str">
        <f>IFERROR(__xludf.DUMMYFUNCTION("""COMPUTED_VALUE"""),"Lower Fuser Pressure Printer Laserjet P 3015")</f>
        <v>Lower Fuser Pressure Printer Laserjet P 3015</v>
      </c>
      <c r="C1833" s="14" t="str">
        <f>IFERROR(__xludf.DUMMYFUNCTION("""COMPUTED_VALUE"""),"P-17552-00")</f>
        <v>P-17552-00</v>
      </c>
    </row>
    <row r="1834">
      <c r="A1834" s="14" t="str">
        <f>IFERROR(__xludf.DUMMYFUNCTION("""COMPUTED_VALUE"""),"P-17560-00")</f>
        <v>P-17560-00</v>
      </c>
      <c r="B1834" s="14" t="str">
        <f>IFERROR(__xludf.DUMMYFUNCTION("""COMPUTED_VALUE"""),"Thermodynamic Steam Trap 1/2 inch connection : Screwed BSP")</f>
        <v>Thermodynamic Steam Trap 1/2 inch connection : Screwed BSP</v>
      </c>
      <c r="C1834" s="14" t="str">
        <f>IFERROR(__xludf.DUMMYFUNCTION("""COMPUTED_VALUE"""),"P-17560-00")</f>
        <v>P-17560-00</v>
      </c>
    </row>
    <row r="1835">
      <c r="A1835" s="14" t="str">
        <f>IFERROR(__xludf.DUMMYFUNCTION("""COMPUTED_VALUE"""),"P-17561-00")</f>
        <v>P-17561-00</v>
      </c>
      <c r="B1835" s="14" t="str">
        <f>IFERROR(__xludf.DUMMYFUNCTION("""COMPUTED_VALUE"""),"Bucket Steam Trap 1/2 inch connection : Screwed BSP")</f>
        <v>Bucket Steam Trap 1/2 inch connection : Screwed BSP</v>
      </c>
      <c r="C1835" s="14" t="str">
        <f>IFERROR(__xludf.DUMMYFUNCTION("""COMPUTED_VALUE"""),"P-17561-00")</f>
        <v>P-17561-00</v>
      </c>
    </row>
    <row r="1836">
      <c r="A1836" s="14" t="str">
        <f>IFERROR(__xludf.DUMMYFUNCTION("""COMPUTED_VALUE"""),"P-17562-00")</f>
        <v>P-17562-00</v>
      </c>
      <c r="B1836" s="14" t="str">
        <f>IFERROR(__xludf.DUMMYFUNCTION("""COMPUTED_VALUE"""),"General - Mounting Base 20 x 20mm; SIGMA; -; 1 Pc")</f>
        <v>General - Mounting Base 20 x 20mm; SIGMA; -; 1 Pc</v>
      </c>
      <c r="C1836" s="14" t="str">
        <f>IFERROR(__xludf.DUMMYFUNCTION("""COMPUTED_VALUE"""),"P-17562-00")</f>
        <v>P-17562-00</v>
      </c>
    </row>
    <row r="1837">
      <c r="A1837" s="14" t="str">
        <f>IFERROR(__xludf.DUMMYFUNCTION("""COMPUTED_VALUE"""),"P-17569-00")</f>
        <v>P-17569-00</v>
      </c>
      <c r="B1837" s="14" t="str">
        <f>IFERROR(__xludf.DUMMYFUNCTION("""COMPUTED_VALUE"""),"Carbon Vanes VT4.16 BECKER")</f>
        <v>Carbon Vanes VT4.16 BECKER</v>
      </c>
      <c r="C1837" s="14" t="str">
        <f>IFERROR(__xludf.DUMMYFUNCTION("""COMPUTED_VALUE"""),"P-17569-00")</f>
        <v>P-17569-00</v>
      </c>
    </row>
    <row r="1838">
      <c r="A1838" s="14" t="str">
        <f>IFERROR(__xludf.DUMMYFUNCTION("""COMPUTED_VALUE"""),"P-17640-00")</f>
        <v>P-17640-00</v>
      </c>
      <c r="B1838" s="14" t="str">
        <f>IFERROR(__xludf.DUMMYFUNCTION("""COMPUTED_VALUE"""),"Flowmeter Fortex TP SS316 2 1/2 Inch,220 VAC, Modbus RS485; SHM; ;")</f>
        <v>Flowmeter Fortex TP SS316 2 1/2 Inch,220 VAC, Modbus RS485; SHM; ;</v>
      </c>
      <c r="C1838" s="14" t="str">
        <f>IFERROR(__xludf.DUMMYFUNCTION("""COMPUTED_VALUE"""),"P-17640-00")</f>
        <v>P-17640-00</v>
      </c>
    </row>
    <row r="1839">
      <c r="A1839" s="14" t="str">
        <f>IFERROR(__xludf.DUMMYFUNCTION("""COMPUTED_VALUE"""),"P-17645-00")</f>
        <v>P-17645-00</v>
      </c>
      <c r="B1839" s="14" t="str">
        <f>IFERROR(__xludf.DUMMYFUNCTION("""COMPUTED_VALUE"""),"Chemical - Sodium Hiphoclorite; No Brand; -; 1 Liter")</f>
        <v>Chemical - Sodium Hiphoclorite; No Brand; -; 1 Liter</v>
      </c>
      <c r="C1839" s="14" t="str">
        <f>IFERROR(__xludf.DUMMYFUNCTION("""COMPUTED_VALUE"""),"P-17645-00")</f>
        <v>P-17645-00</v>
      </c>
    </row>
    <row r="1840">
      <c r="A1840" s="14" t="str">
        <f>IFERROR(__xludf.DUMMYFUNCTION("""COMPUTED_VALUE"""),"P-17656-00")</f>
        <v>P-17656-00</v>
      </c>
      <c r="B1840" s="14" t="str">
        <f>IFERROR(__xludf.DUMMYFUNCTION("""COMPUTED_VALUE"""),"Hollow SS201 10x10x1.2 mm")</f>
        <v>Hollow SS201 10x10x1.2 mm</v>
      </c>
      <c r="C1840" s="14" t="str">
        <f>IFERROR(__xludf.DUMMYFUNCTION("""COMPUTED_VALUE"""),"P-17656-00")</f>
        <v>P-17656-00</v>
      </c>
    </row>
    <row r="1841">
      <c r="A1841" s="14" t="str">
        <f>IFERROR(__xludf.DUMMYFUNCTION("""COMPUTED_VALUE"""),"P-17657-00")</f>
        <v>P-17657-00</v>
      </c>
      <c r="B1841" s="14" t="str">
        <f>IFERROR(__xludf.DUMMYFUNCTION("""COMPUTED_VALUE"""),"Roda PU 2 Inc")</f>
        <v>Roda PU 2 Inc</v>
      </c>
      <c r="C1841" s="14" t="str">
        <f>IFERROR(__xludf.DUMMYFUNCTION("""COMPUTED_VALUE"""),"P-17657-00")</f>
        <v>P-17657-00</v>
      </c>
    </row>
    <row r="1842">
      <c r="A1842" s="14" t="str">
        <f>IFERROR(__xludf.DUMMYFUNCTION("""COMPUTED_VALUE"""),"P-17658-00")</f>
        <v>P-17658-00</v>
      </c>
      <c r="B1842" s="14" t="str">
        <f>IFERROR(__xludf.DUMMYFUNCTION("""COMPUTED_VALUE"""),"Magnet Door Cabinet")</f>
        <v>Magnet Door Cabinet</v>
      </c>
      <c r="C1842" s="14" t="str">
        <f>IFERROR(__xludf.DUMMYFUNCTION("""COMPUTED_VALUE"""),"P-17658-00")</f>
        <v>P-17658-00</v>
      </c>
    </row>
    <row r="1843">
      <c r="A1843" s="14" t="str">
        <f>IFERROR(__xludf.DUMMYFUNCTION("""COMPUTED_VALUE"""),"P-17659-00")</f>
        <v>P-17659-00</v>
      </c>
      <c r="B1843" s="14" t="str">
        <f>IFERROR(__xludf.DUMMYFUNCTION("""COMPUTED_VALUE"""),"Tarikan Laci Bulat SS")</f>
        <v>Tarikan Laci Bulat SS</v>
      </c>
      <c r="C1843" s="14" t="str">
        <f>IFERROR(__xludf.DUMMYFUNCTION("""COMPUTED_VALUE"""),"P-17659-00")</f>
        <v>P-17659-00</v>
      </c>
    </row>
    <row r="1844">
      <c r="A1844" s="14" t="str">
        <f>IFERROR(__xludf.DUMMYFUNCTION("""COMPUTED_VALUE"""),"P-17668-00")</f>
        <v>P-17668-00</v>
      </c>
      <c r="B1844" s="14" t="str">
        <f>IFERROR(__xludf.DUMMYFUNCTION("""COMPUTED_VALUE"""),"General - Flow Control With Fitting, AS2002F-04; SMC Pneumatics; -; 1 pcs")</f>
        <v>General - Flow Control With Fitting, AS2002F-04; SMC Pneumatics; -; 1 pcs</v>
      </c>
      <c r="C1844" s="14" t="str">
        <f>IFERROR(__xludf.DUMMYFUNCTION("""COMPUTED_VALUE"""),"P-17668-00")</f>
        <v>P-17668-00</v>
      </c>
    </row>
    <row r="1845">
      <c r="A1845" s="14" t="str">
        <f>IFERROR(__xludf.DUMMYFUNCTION("""COMPUTED_VALUE"""),"P-17675-00")</f>
        <v>P-17675-00</v>
      </c>
      <c r="B1845" s="14" t="str">
        <f>IFERROR(__xludf.DUMMYFUNCTION("""COMPUTED_VALUE"""),"Ball Valve SS304 1/2 Inch")</f>
        <v>Ball Valve SS304 1/2 Inch</v>
      </c>
      <c r="C1845" s="14" t="str">
        <f>IFERROR(__xludf.DUMMYFUNCTION("""COMPUTED_VALUE"""),"P-17675-00")</f>
        <v>P-17675-00</v>
      </c>
    </row>
    <row r="1846">
      <c r="A1846" s="14" t="str">
        <f>IFERROR(__xludf.DUMMYFUNCTION("""COMPUTED_VALUE"""),"P-17676-00")</f>
        <v>P-17676-00</v>
      </c>
      <c r="B1846" s="14" t="str">
        <f>IFERROR(__xludf.DUMMYFUNCTION("""COMPUTED_VALUE"""),"Gas Wonder Fuel 220 Gram")</f>
        <v>Gas Wonder Fuel 220 Gram</v>
      </c>
      <c r="C1846" s="14" t="str">
        <f>IFERROR(__xludf.DUMMYFUNCTION("""COMPUTED_VALUE"""),"P-17676-00")</f>
        <v>P-17676-00</v>
      </c>
    </row>
    <row r="1847">
      <c r="A1847" s="14" t="str">
        <f>IFERROR(__xludf.DUMMYFUNCTION("""COMPUTED_VALUE"""),"P-17677-00")</f>
        <v>P-17677-00</v>
      </c>
      <c r="B1847" s="14" t="str">
        <f>IFERROR(__xludf.DUMMYFUNCTION("""COMPUTED_VALUE"""),"Portable Gas Torch")</f>
        <v>Portable Gas Torch</v>
      </c>
      <c r="C1847" s="14" t="str">
        <f>IFERROR(__xludf.DUMMYFUNCTION("""COMPUTED_VALUE"""),"P-17677-00")</f>
        <v>P-17677-00</v>
      </c>
    </row>
    <row r="1848">
      <c r="A1848" s="14" t="str">
        <f>IFERROR(__xludf.DUMMYFUNCTION("""COMPUTED_VALUE"""),"P-17679-00")</f>
        <v>P-17679-00</v>
      </c>
      <c r="B1848" s="14" t="str">
        <f>IFERROR(__xludf.DUMMYFUNCTION("""COMPUTED_VALUE"""),"Water Mur PVC DIA 1 1/2""; ; ; pcs")</f>
        <v>Water Mur PVC DIA 1 1/2"; ; ; pcs</v>
      </c>
      <c r="C1848" s="14" t="str">
        <f>IFERROR(__xludf.DUMMYFUNCTION("""COMPUTED_VALUE"""),"P-17679-00")</f>
        <v>P-17679-00</v>
      </c>
    </row>
    <row r="1849">
      <c r="A1849" s="14" t="str">
        <f>IFERROR(__xludf.DUMMYFUNCTION("""COMPUTED_VALUE"""),"P-17680-00")</f>
        <v>P-17680-00</v>
      </c>
      <c r="B1849" s="14" t="str">
        <f>IFERROR(__xludf.DUMMYFUNCTION("""COMPUTED_VALUE"""),"General - Water Mur PVC dia. 2 1/2inch; No Brand; -; 1 pcs")</f>
        <v>General - Water Mur PVC dia. 2 1/2inch; No Brand; -; 1 pcs</v>
      </c>
      <c r="C1849" s="14" t="str">
        <f>IFERROR(__xludf.DUMMYFUNCTION("""COMPUTED_VALUE"""),"P-17680-00")</f>
        <v>P-17680-00</v>
      </c>
    </row>
    <row r="1850">
      <c r="A1850" s="14" t="str">
        <f>IFERROR(__xludf.DUMMYFUNCTION("""COMPUTED_VALUE"""),"P-17681-00")</f>
        <v>P-17681-00</v>
      </c>
      <c r="B1850" s="14" t="str">
        <f>IFERROR(__xludf.DUMMYFUNCTION("""COMPUTED_VALUE"""),"Tee PVC AW dia 2 inch x 1 inch")</f>
        <v>Tee PVC AW dia 2 inch x 1 inch</v>
      </c>
      <c r="C1850" s="14" t="str">
        <f>IFERROR(__xludf.DUMMYFUNCTION("""COMPUTED_VALUE"""),"P-17681-00")</f>
        <v>P-17681-00</v>
      </c>
    </row>
    <row r="1851">
      <c r="A1851" s="14" t="str">
        <f>IFERROR(__xludf.DUMMYFUNCTION("""COMPUTED_VALUE"""),"P-17717-00")</f>
        <v>P-17717-00</v>
      </c>
      <c r="B1851" s="14" t="str">
        <f>IFERROR(__xludf.DUMMYFUNCTION("""COMPUTED_VALUE"""),"Fisher S 8 (1 box : 100 pcs)")</f>
        <v>Fisher S 8 (1 box : 100 pcs)</v>
      </c>
      <c r="C1851" s="14" t="str">
        <f>IFERROR(__xludf.DUMMYFUNCTION("""COMPUTED_VALUE"""),"P-17717-00")</f>
        <v>P-17717-00</v>
      </c>
    </row>
    <row r="1852">
      <c r="A1852" s="14" t="str">
        <f>IFERROR(__xludf.DUMMYFUNCTION("""COMPUTED_VALUE"""),"P-17749-00")</f>
        <v>P-17749-00</v>
      </c>
      <c r="B1852" s="14" t="str">
        <f>IFERROR(__xludf.DUMMYFUNCTION("""COMPUTED_VALUE"""),"Reducing Nepple SS304 1/2Inch - 1/4Inch")</f>
        <v>Reducing Nepple SS304 1/2Inch - 1/4Inch</v>
      </c>
      <c r="C1852" s="14" t="str">
        <f>IFERROR(__xludf.DUMMYFUNCTION("""COMPUTED_VALUE"""),"P-17749-00")</f>
        <v>P-17749-00</v>
      </c>
    </row>
    <row r="1853">
      <c r="A1853" s="14" t="str">
        <f>IFERROR(__xludf.DUMMYFUNCTION("""COMPUTED_VALUE"""),"P-17812-00")</f>
        <v>P-17812-00</v>
      </c>
      <c r="B1853" s="14" t="str">
        <f>IFERROR(__xludf.DUMMYFUNCTION("""COMPUTED_VALUE"""),"Nepple Hose Kuningan 1/2 Inch")</f>
        <v>Nepple Hose Kuningan 1/2 Inch</v>
      </c>
      <c r="C1853" s="14" t="str">
        <f>IFERROR(__xludf.DUMMYFUNCTION("""COMPUTED_VALUE"""),"P-17812-00")</f>
        <v>P-17812-00</v>
      </c>
    </row>
    <row r="1854">
      <c r="A1854" s="14" t="str">
        <f>IFERROR(__xludf.DUMMYFUNCTION("""COMPUTED_VALUE"""),"P-17818-00")</f>
        <v>P-17818-00</v>
      </c>
      <c r="B1854" s="14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4" t="str">
        <f>IFERROR(__xludf.DUMMYFUNCTION("""COMPUTED_VALUE"""),"P-17818-00")</f>
        <v>P-17818-00</v>
      </c>
    </row>
    <row r="1855">
      <c r="A1855" s="14" t="str">
        <f>IFERROR(__xludf.DUMMYFUNCTION("""COMPUTED_VALUE"""),"P-17830-00")</f>
        <v>P-17830-00</v>
      </c>
      <c r="B1855" s="14" t="str">
        <f>IFERROR(__xludf.DUMMYFUNCTION("""COMPUTED_VALUE"""),"Cleaner Stainless Stell &amp; Polish; 3M; ;")</f>
        <v>Cleaner Stainless Stell &amp; Polish; 3M; ;</v>
      </c>
      <c r="C1855" s="14" t="str">
        <f>IFERROR(__xludf.DUMMYFUNCTION("""COMPUTED_VALUE"""),"P-17830-00")</f>
        <v>P-17830-00</v>
      </c>
    </row>
    <row r="1856">
      <c r="A1856" s="14" t="str">
        <f>IFERROR(__xludf.DUMMYFUNCTION("""COMPUTED_VALUE"""),"P-17858-00")</f>
        <v>P-17858-00</v>
      </c>
      <c r="B1856" s="14" t="str">
        <f>IFERROR(__xludf.DUMMYFUNCTION("""COMPUTED_VALUE"""),"Hepa Filter - H14 ( 99.999% ) size:305x610x69mm;; IAF; ;")</f>
        <v>Hepa Filter - H14 ( 99.999% ) size:305x610x69mm;; IAF; ;</v>
      </c>
      <c r="C1856" s="14" t="str">
        <f>IFERROR(__xludf.DUMMYFUNCTION("""COMPUTED_VALUE"""),"P-17858-00")</f>
        <v>P-17858-00</v>
      </c>
    </row>
    <row r="1857">
      <c r="A1857" s="14" t="str">
        <f>IFERROR(__xludf.DUMMYFUNCTION("""COMPUTED_VALUE"""),"P-17862-00")</f>
        <v>P-17862-00</v>
      </c>
      <c r="B1857" s="14" t="str">
        <f>IFERROR(__xludf.DUMMYFUNCTION("""COMPUTED_VALUE"""),"Tee PVC AW dia 1 1/4inch x 1 1/2inch")</f>
        <v>Tee PVC AW dia 1 1/4inch x 1 1/2inch</v>
      </c>
      <c r="C1857" s="14" t="str">
        <f>IFERROR(__xludf.DUMMYFUNCTION("""COMPUTED_VALUE"""),"P-17862-00")</f>
        <v>P-17862-00</v>
      </c>
    </row>
    <row r="1858">
      <c r="A1858" s="14" t="str">
        <f>IFERROR(__xludf.DUMMYFUNCTION("""COMPUTED_VALUE"""),"P-17867-00")</f>
        <v>P-17867-00</v>
      </c>
      <c r="B1858" s="14" t="str">
        <f>IFERROR(__xludf.DUMMYFUNCTION("""COMPUTED_VALUE"""),"Clamp Ferrule SS304 dia 2""; ; ;")</f>
        <v>Clamp Ferrule SS304 dia 2"; ; ;</v>
      </c>
      <c r="C1858" s="14" t="str">
        <f>IFERROR(__xludf.DUMMYFUNCTION("""COMPUTED_VALUE"""),"P-17867-00")</f>
        <v>P-17867-00</v>
      </c>
    </row>
    <row r="1859">
      <c r="A1859" s="14" t="str">
        <f>IFERROR(__xludf.DUMMYFUNCTION("""COMPUTED_VALUE"""),"P-17875-00")</f>
        <v>P-17875-00</v>
      </c>
      <c r="B1859" s="14" t="str">
        <f>IFERROR(__xludf.DUMMYFUNCTION("""COMPUTED_VALUE"""),"SMC - Air Regulator type AR20-02BG-B")</f>
        <v>SMC - Air Regulator type AR20-02BG-B</v>
      </c>
      <c r="C1859" s="14" t="str">
        <f>IFERROR(__xludf.DUMMYFUNCTION("""COMPUTED_VALUE"""),"P-17875-00")</f>
        <v>P-17875-00</v>
      </c>
    </row>
    <row r="1860">
      <c r="A1860" s="14" t="str">
        <f>IFERROR(__xludf.DUMMYFUNCTION("""COMPUTED_VALUE"""),"P-17896-00")</f>
        <v>P-17896-00</v>
      </c>
      <c r="B1860" s="14" t="str">
        <f>IFERROR(__xludf.DUMMYFUNCTION("""COMPUTED_VALUE"""),"General - Hole Saw for Stainless Steel, dia. 37 mm; No Brand; -; 1 pcs")</f>
        <v>General - Hole Saw for Stainless Steel, dia. 37 mm; No Brand; -; 1 pcs</v>
      </c>
      <c r="C1860" s="14" t="str">
        <f>IFERROR(__xludf.DUMMYFUNCTION("""COMPUTED_VALUE"""),"P-17896-00")</f>
        <v>P-17896-00</v>
      </c>
    </row>
    <row r="1861">
      <c r="A1861" s="14" t="str">
        <f>IFERROR(__xludf.DUMMYFUNCTION("""COMPUTED_VALUE"""),"P-17897-00")</f>
        <v>P-17897-00</v>
      </c>
      <c r="B1861" s="14" t="str">
        <f>IFERROR(__xludf.DUMMYFUNCTION("""COMPUTED_VALUE"""),"General - Single Tape Foam 3mm x 25mm; No Brand; -; 10meter/roll")</f>
        <v>General - Single Tape Foam 3mm x 25mm; No Brand; -; 10meter/roll</v>
      </c>
      <c r="C1861" s="14" t="str">
        <f>IFERROR(__xludf.DUMMYFUNCTION("""COMPUTED_VALUE"""),"P-17897-00")</f>
        <v>P-17897-00</v>
      </c>
    </row>
    <row r="1862">
      <c r="A1862" s="14" t="str">
        <f>IFERROR(__xludf.DUMMYFUNCTION("""COMPUTED_VALUE"""),"P-17898-00")</f>
        <v>P-17898-00</v>
      </c>
      <c r="B1862" s="14" t="str">
        <f>IFERROR(__xludf.DUMMYFUNCTION("""COMPUTED_VALUE"""),"Baut SS hexagonal M12x100 mm + mur; ; ;")</f>
        <v>Baut SS hexagonal M12x100 mm + mur; ; ;</v>
      </c>
      <c r="C1862" s="14" t="str">
        <f>IFERROR(__xludf.DUMMYFUNCTION("""COMPUTED_VALUE"""),"P-17898-00")</f>
        <v>P-17898-00</v>
      </c>
    </row>
    <row r="1863">
      <c r="A1863" s="14" t="str">
        <f>IFERROR(__xludf.DUMMYFUNCTION("""COMPUTED_VALUE"""),"P-17899-00")</f>
        <v>P-17899-00</v>
      </c>
      <c r="B1863" s="14" t="str">
        <f>IFERROR(__xludf.DUMMYFUNCTION("""COMPUTED_VALUE"""),"SCHINDLER ELEVATOR - Door Shoe; ; ;")</f>
        <v>SCHINDLER ELEVATOR - Door Shoe; ; ;</v>
      </c>
      <c r="C1863" s="14" t="str">
        <f>IFERROR(__xludf.DUMMYFUNCTION("""COMPUTED_VALUE"""),"P-17899-00")</f>
        <v>P-17899-00</v>
      </c>
    </row>
    <row r="1864">
      <c r="A1864" s="14" t="str">
        <f>IFERROR(__xludf.DUMMYFUNCTION("""COMPUTED_VALUE"""),"P-17920-00")</f>
        <v>P-17920-00</v>
      </c>
      <c r="B1864" s="14" t="str">
        <f>IFERROR(__xludf.DUMMYFUNCTION("""COMPUTED_VALUE"""),"Rantai RS-35 Hitech")</f>
        <v>Rantai RS-35 Hitech</v>
      </c>
      <c r="C1864" s="14" t="str">
        <f>IFERROR(__xludf.DUMMYFUNCTION("""COMPUTED_VALUE"""),"P-17920-00")</f>
        <v>P-17920-00</v>
      </c>
    </row>
    <row r="1865">
      <c r="A1865" s="14" t="str">
        <f>IFERROR(__xludf.DUMMYFUNCTION("""COMPUTED_VALUE"""),"P-18019-00")</f>
        <v>P-18019-00</v>
      </c>
      <c r="B1865" s="14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4" t="str">
        <f>IFERROR(__xludf.DUMMYFUNCTION("""COMPUTED_VALUE"""),"P-18019-00")</f>
        <v>P-18019-00</v>
      </c>
    </row>
    <row r="1866">
      <c r="A1866" s="14" t="str">
        <f>IFERROR(__xludf.DUMMYFUNCTION("""COMPUTED_VALUE"""),"P-18027-00")</f>
        <v>P-18027-00</v>
      </c>
      <c r="B1866" s="14" t="str">
        <f>IFERROR(__xludf.DUMMYFUNCTION("""COMPUTED_VALUE"""),"Valve Lockout Tagout Kit : With Loto Tag Cable Hasp Ball,Gate Valve; ; ;")</f>
        <v>Valve Lockout Tagout Kit : With Loto Tag Cable Hasp Ball,Gate Valve; ; ;</v>
      </c>
      <c r="C1866" s="14" t="str">
        <f>IFERROR(__xludf.DUMMYFUNCTION("""COMPUTED_VALUE"""),"P-18027-00")</f>
        <v>P-18027-00</v>
      </c>
    </row>
    <row r="1867">
      <c r="A1867" s="14" t="str">
        <f>IFERROR(__xludf.DUMMYFUNCTION("""COMPUTED_VALUE"""),"P-18028-00")</f>
        <v>P-18028-00</v>
      </c>
      <c r="B1867" s="14" t="str">
        <f>IFERROR(__xludf.DUMMYFUNCTION("""COMPUTED_VALUE"""),"Commercial Lockout Tagout Kit : With Lock, Breaker Lock Outs; ; ;")</f>
        <v>Commercial Lockout Tagout Kit : With Lock, Breaker Lock Outs; ; ;</v>
      </c>
      <c r="C1867" s="14" t="str">
        <f>IFERROR(__xludf.DUMMYFUNCTION("""COMPUTED_VALUE"""),"P-18028-00")</f>
        <v>P-18028-00</v>
      </c>
    </row>
    <row r="1868">
      <c r="A1868" s="14" t="str">
        <f>IFERROR(__xludf.DUMMYFUNCTION("""COMPUTED_VALUE"""),"P-18066-00")</f>
        <v>P-18066-00</v>
      </c>
      <c r="B1868" s="14" t="str">
        <f>IFERROR(__xludf.DUMMYFUNCTION("""COMPUTED_VALUE"""),"General - Hepa Filter H13 (99,95%) Size: 610 x 610 x 90; Camfil; -; 1 Pc")</f>
        <v>General - Hepa Filter H13 (99,95%) Size: 610 x 610 x 90; Camfil; -; 1 Pc</v>
      </c>
      <c r="C1868" s="14" t="str">
        <f>IFERROR(__xludf.DUMMYFUNCTION("""COMPUTED_VALUE"""),"P-18066-00")</f>
        <v>P-18066-00</v>
      </c>
    </row>
    <row r="1869">
      <c r="A1869" s="14" t="str">
        <f>IFERROR(__xludf.DUMMYFUNCTION("""COMPUTED_VALUE"""),"P-18067-00")</f>
        <v>P-18067-00</v>
      </c>
      <c r="B1869" s="14" t="str">
        <f>IFERROR(__xludf.DUMMYFUNCTION("""COMPUTED_VALUE"""),"General - Lampu TL LED T5 16 W 6000 K; No Brand; -; 1 unt")</f>
        <v>General - Lampu TL LED T5 16 W 6000 K; No Brand; -; 1 unt</v>
      </c>
      <c r="C1869" s="14" t="str">
        <f>IFERROR(__xludf.DUMMYFUNCTION("""COMPUTED_VALUE"""),"P-18067-00")</f>
        <v>P-18067-00</v>
      </c>
    </row>
    <row r="1870">
      <c r="A1870" s="14" t="str">
        <f>IFERROR(__xludf.DUMMYFUNCTION("""COMPUTED_VALUE"""),"P-18138-00")</f>
        <v>P-18138-00</v>
      </c>
      <c r="B1870" s="14" t="str">
        <f>IFERROR(__xludf.DUMMYFUNCTION("""COMPUTED_VALUE"""),"Baut Hex M5 Machining As Mat SUS 316L")</f>
        <v>Baut Hex M5 Machining As Mat SUS 316L</v>
      </c>
      <c r="C1870" s="14" t="str">
        <f>IFERROR(__xludf.DUMMYFUNCTION("""COMPUTED_VALUE"""),"P-18138-00")</f>
        <v>P-18138-00</v>
      </c>
    </row>
    <row r="1871">
      <c r="A1871" s="14" t="str">
        <f>IFERROR(__xludf.DUMMYFUNCTION("""COMPUTED_VALUE"""),"P-18140-00")</f>
        <v>P-18140-00</v>
      </c>
      <c r="B1871" s="14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4" t="str">
        <f>IFERROR(__xludf.DUMMYFUNCTION("""COMPUTED_VALUE"""),"P-18140-00")</f>
        <v>P-18140-00</v>
      </c>
    </row>
    <row r="1872">
      <c r="A1872" s="14" t="str">
        <f>IFERROR(__xludf.DUMMYFUNCTION("""COMPUTED_VALUE"""),"P-18160-00")</f>
        <v>P-18160-00</v>
      </c>
      <c r="B1872" s="14" t="str">
        <f>IFERROR(__xludf.DUMMYFUNCTION("""COMPUTED_VALUE"""),"Kunci pas ring set; ; ;")</f>
        <v>Kunci pas ring set; ; ;</v>
      </c>
      <c r="C1872" s="14" t="str">
        <f>IFERROR(__xludf.DUMMYFUNCTION("""COMPUTED_VALUE"""),"P-18160-00")</f>
        <v>P-18160-00</v>
      </c>
    </row>
    <row r="1873">
      <c r="A1873" s="14" t="str">
        <f>IFERROR(__xludf.DUMMYFUNCTION("""COMPUTED_VALUE"""),"P-18170-00")</f>
        <v>P-18170-00</v>
      </c>
      <c r="B1873" s="14" t="str">
        <f>IFERROR(__xludf.DUMMYFUNCTION("""COMPUTED_VALUE"""),"Kunci pas ring 22 mm; ; ;")</f>
        <v>Kunci pas ring 22 mm; ; ;</v>
      </c>
      <c r="C1873" s="14" t="str">
        <f>IFERROR(__xludf.DUMMYFUNCTION("""COMPUTED_VALUE"""),"P-18170-00")</f>
        <v>P-18170-00</v>
      </c>
    </row>
    <row r="1874">
      <c r="A1874" s="14" t="str">
        <f>IFERROR(__xludf.DUMMYFUNCTION("""COMPUTED_VALUE"""),"P-18171-00")</f>
        <v>P-18171-00</v>
      </c>
      <c r="B1874" s="14" t="str">
        <f>IFERROR(__xludf.DUMMYFUNCTION("""COMPUTED_VALUE"""),"Kunci pas ring 24 mm; ; ;")</f>
        <v>Kunci pas ring 24 mm; ; ;</v>
      </c>
      <c r="C1874" s="14" t="str">
        <f>IFERROR(__xludf.DUMMYFUNCTION("""COMPUTED_VALUE"""),"P-18171-00")</f>
        <v>P-18171-00</v>
      </c>
    </row>
    <row r="1875">
      <c r="A1875" s="14" t="str">
        <f>IFERROR(__xludf.DUMMYFUNCTION("""COMPUTED_VALUE"""),"P-18213-00")</f>
        <v>P-18213-00</v>
      </c>
      <c r="B1875" s="14" t="str">
        <f>IFERROR(__xludf.DUMMYFUNCTION("""COMPUTED_VALUE"""),"Part for Isolator - Breathing Hepa Filter 75D x 75H mm")</f>
        <v>Part for Isolator - Breathing Hepa Filter 75D x 75H mm</v>
      </c>
      <c r="C1875" s="14" t="str">
        <f>IFERROR(__xludf.DUMMYFUNCTION("""COMPUTED_VALUE"""),"P-18213-00")</f>
        <v>P-18213-00</v>
      </c>
    </row>
    <row r="1876">
      <c r="A1876" s="14" t="str">
        <f>IFERROR(__xludf.DUMMYFUNCTION("""COMPUTED_VALUE"""),"P-18214-00")</f>
        <v>P-18214-00</v>
      </c>
      <c r="B1876" s="14" t="str">
        <f>IFERROR(__xludf.DUMMYFUNCTION("""COMPUTED_VALUE"""),"Part for Isolator - RTP 190 mm; Alpha port 190 mm dia; ; ;")</f>
        <v>Part for Isolator - RTP 190 mm; Alpha port 190 mm dia; ; ;</v>
      </c>
      <c r="C1876" s="14" t="str">
        <f>IFERROR(__xludf.DUMMYFUNCTION("""COMPUTED_VALUE"""),"P-18214-00")</f>
        <v>P-18214-00</v>
      </c>
    </row>
    <row r="1877">
      <c r="A1877" s="14" t="str">
        <f>IFERROR(__xludf.DUMMYFUNCTION("""COMPUTED_VALUE"""),"P-18240-00")</f>
        <v>P-18240-00</v>
      </c>
      <c r="B1877" s="14" t="str">
        <f>IFERROR(__xludf.DUMMYFUNCTION("""COMPUTED_VALUE"""),"General - Stang Sealant; Tekiro; -; 1 Pc")</f>
        <v>General - Stang Sealant; Tekiro; -; 1 Pc</v>
      </c>
      <c r="C1877" s="14" t="str">
        <f>IFERROR(__xludf.DUMMYFUNCTION("""COMPUTED_VALUE"""),"P-18240-00")</f>
        <v>P-18240-00</v>
      </c>
    </row>
    <row r="1878">
      <c r="A1878" s="14" t="str">
        <f>IFERROR(__xludf.DUMMYFUNCTION("""COMPUTED_VALUE"""),"P-18255-00")</f>
        <v>P-18255-00</v>
      </c>
      <c r="B1878" s="14" t="str">
        <f>IFERROR(__xludf.DUMMYFUNCTION("""COMPUTED_VALUE"""),"KITZ - Gate Valve dia 2 1/2 inch; ; ;")</f>
        <v>KITZ - Gate Valve dia 2 1/2 inch; ; ;</v>
      </c>
      <c r="C1878" s="14" t="str">
        <f>IFERROR(__xludf.DUMMYFUNCTION("""COMPUTED_VALUE"""),"P-18255-00")</f>
        <v>P-18255-00</v>
      </c>
    </row>
    <row r="1879">
      <c r="A1879" s="14" t="str">
        <f>IFERROR(__xludf.DUMMYFUNCTION("""COMPUTED_VALUE"""),"P-18267-00")</f>
        <v>P-18267-00</v>
      </c>
      <c r="B1879" s="14" t="str">
        <f>IFERROR(__xludf.DUMMYFUNCTION("""COMPUTED_VALUE"""),"Double Neple SS 304 Ukuran :1/2 inch")</f>
        <v>Double Neple SS 304 Ukuran :1/2 inch</v>
      </c>
      <c r="C1879" s="14" t="str">
        <f>IFERROR(__xludf.DUMMYFUNCTION("""COMPUTED_VALUE"""),"P-18267-00")</f>
        <v>P-18267-00</v>
      </c>
    </row>
    <row r="1880">
      <c r="A1880" s="14" t="str">
        <f>IFERROR(__xludf.DUMMYFUNCTION("""COMPUTED_VALUE"""),"P-18274-00")</f>
        <v>P-18274-00</v>
      </c>
      <c r="B1880" s="14" t="str">
        <f>IFERROR(__xludf.DUMMYFUNCTION("""COMPUTED_VALUE"""),"Tee SS 304 Sch 10 welded dia 4 inch")</f>
        <v>Tee SS 304 Sch 10 welded dia 4 inch</v>
      </c>
      <c r="C1880" s="14" t="str">
        <f>IFERROR(__xludf.DUMMYFUNCTION("""COMPUTED_VALUE"""),"P-18274-00")</f>
        <v>P-18274-00</v>
      </c>
    </row>
    <row r="1881">
      <c r="A1881" s="14" t="str">
        <f>IFERROR(__xludf.DUMMYFUNCTION("""COMPUTED_VALUE"""),"P-18275-00")</f>
        <v>P-18275-00</v>
      </c>
      <c r="B1881" s="14" t="str">
        <f>IFERROR(__xludf.DUMMYFUNCTION("""COMPUTED_VALUE"""),"Reducer SS 304 Sch 10 welded dia 4x2 inch")</f>
        <v>Reducer SS 304 Sch 10 welded dia 4x2 inch</v>
      </c>
      <c r="C1881" s="14" t="str">
        <f>IFERROR(__xludf.DUMMYFUNCTION("""COMPUTED_VALUE"""),"P-18275-00")</f>
        <v>P-18275-00</v>
      </c>
    </row>
    <row r="1882">
      <c r="A1882" s="14" t="str">
        <f>IFERROR(__xludf.DUMMYFUNCTION("""COMPUTED_VALUE"""),"P-18276-00")</f>
        <v>P-18276-00</v>
      </c>
      <c r="B1882" s="14" t="str">
        <f>IFERROR(__xludf.DUMMYFUNCTION("""COMPUTED_VALUE"""),"Sock Drat SS 304 2 inch")</f>
        <v>Sock Drat SS 304 2 inch</v>
      </c>
      <c r="C1882" s="14" t="str">
        <f>IFERROR(__xludf.DUMMYFUNCTION("""COMPUTED_VALUE"""),"P-18276-00")</f>
        <v>P-18276-00</v>
      </c>
    </row>
    <row r="1883">
      <c r="A1883" s="14" t="str">
        <f>IFERROR(__xludf.DUMMYFUNCTION("""COMPUTED_VALUE"""),"P-18277-00")</f>
        <v>P-18277-00</v>
      </c>
      <c r="B1883" s="14" t="str">
        <f>IFERROR(__xludf.DUMMYFUNCTION("""COMPUTED_VALUE"""),"Elbow PVC AW 45 deg dia 2 Inch; ; ;")</f>
        <v>Elbow PVC AW 45 deg dia 2 Inch; ; ;</v>
      </c>
      <c r="C1883" s="14" t="str">
        <f>IFERROR(__xludf.DUMMYFUNCTION("""COMPUTED_VALUE"""),"P-18277-00")</f>
        <v>P-18277-00</v>
      </c>
    </row>
    <row r="1884">
      <c r="A1884" s="14" t="str">
        <f>IFERROR(__xludf.DUMMYFUNCTION("""COMPUTED_VALUE"""),"P-18278-00")</f>
        <v>P-18278-00</v>
      </c>
      <c r="B1884" s="14" t="str">
        <f>IFERROR(__xludf.DUMMYFUNCTION("""COMPUTED_VALUE"""),"Van Belt SPZ 1500 LW Mitshuboshi")</f>
        <v>Van Belt SPZ 1500 LW Mitshuboshi</v>
      </c>
      <c r="C1884" s="14" t="str">
        <f>IFERROR(__xludf.DUMMYFUNCTION("""COMPUTED_VALUE"""),"P-18278-00")</f>
        <v>P-18278-00</v>
      </c>
    </row>
    <row r="1885">
      <c r="A1885" s="14" t="str">
        <f>IFERROR(__xludf.DUMMYFUNCTION("""COMPUTED_VALUE"""),"P-18279-00")</f>
        <v>P-18279-00</v>
      </c>
      <c r="B1885" s="14" t="str">
        <f>IFERROR(__xludf.DUMMYFUNCTION("""COMPUTED_VALUE"""),"Refrigerant R 134 A")</f>
        <v>Refrigerant R 134 A</v>
      </c>
      <c r="C1885" s="14" t="str">
        <f>IFERROR(__xludf.DUMMYFUNCTION("""COMPUTED_VALUE"""),"P-18279-00")</f>
        <v>P-18279-00</v>
      </c>
    </row>
    <row r="1886">
      <c r="A1886" s="14" t="str">
        <f>IFERROR(__xludf.DUMMYFUNCTION("""COMPUTED_VALUE"""),"P-18280-00")</f>
        <v>P-18280-00</v>
      </c>
      <c r="B1886" s="14" t="str">
        <f>IFERROR(__xludf.DUMMYFUNCTION("""COMPUTED_VALUE"""),"Mechanical seal CRN 5-32")</f>
        <v>Mechanical seal CRN 5-32</v>
      </c>
      <c r="C1886" s="14" t="str">
        <f>IFERROR(__xludf.DUMMYFUNCTION("""COMPUTED_VALUE"""),"P-18280-00")</f>
        <v>P-18280-00</v>
      </c>
    </row>
    <row r="1887">
      <c r="A1887" s="14" t="str">
        <f>IFERROR(__xludf.DUMMYFUNCTION("""COMPUTED_VALUE"""),"P-18290-00")</f>
        <v>P-18290-00</v>
      </c>
      <c r="B1887" s="14" t="str">
        <f>IFERROR(__xludf.DUMMYFUNCTION("""COMPUTED_VALUE"""),"Festo Standar Cylinder DSBC-40-40-PPVA-N3 PN. 1376657; ; ; pc")</f>
        <v>Festo Standar Cylinder DSBC-40-40-PPVA-N3 PN. 1376657; ; ; pc</v>
      </c>
      <c r="C1887" s="14" t="str">
        <f>IFERROR(__xludf.DUMMYFUNCTION("""COMPUTED_VALUE"""),"P-18290-00")</f>
        <v>P-18290-00</v>
      </c>
    </row>
    <row r="1888">
      <c r="A1888" s="14" t="str">
        <f>IFERROR(__xludf.DUMMYFUNCTION("""COMPUTED_VALUE"""),"P-18331-00")</f>
        <v>P-18331-00</v>
      </c>
      <c r="B1888" s="14" t="str">
        <f>IFERROR(__xludf.DUMMYFUNCTION("""COMPUTED_VALUE"""),"Double Nepple Kuningan 1/8inch")</f>
        <v>Double Nepple Kuningan 1/8inch</v>
      </c>
      <c r="C1888" s="14" t="str">
        <f>IFERROR(__xludf.DUMMYFUNCTION("""COMPUTED_VALUE"""),"P-18331-00")</f>
        <v>P-18331-00</v>
      </c>
    </row>
    <row r="1889">
      <c r="A1889" s="14" t="str">
        <f>IFERROR(__xludf.DUMMYFUNCTION("""COMPUTED_VALUE"""),"P-18358-00")</f>
        <v>P-18358-00</v>
      </c>
      <c r="B1889" s="14" t="str">
        <f>IFERROR(__xludf.DUMMYFUNCTION("""COMPUTED_VALUE"""),"Quick Coupler Air Brush 1/8 inch; ; ;")</f>
        <v>Quick Coupler Air Brush 1/8 inch; ; ;</v>
      </c>
      <c r="C1889" s="14" t="str">
        <f>IFERROR(__xludf.DUMMYFUNCTION("""COMPUTED_VALUE"""),"P-18358-00")</f>
        <v>P-18358-00</v>
      </c>
    </row>
    <row r="1890">
      <c r="A1890" s="14" t="str">
        <f>IFERROR(__xludf.DUMMYFUNCTION("""COMPUTED_VALUE"""),"P-18368-00")</f>
        <v>P-18368-00</v>
      </c>
      <c r="B1890" s="14" t="str">
        <f>IFERROR(__xludf.DUMMYFUNCTION("""COMPUTED_VALUE"""),"Manual Actuator DN4 - DN15 type: 601 P/n: 9601 8M A 0 TS; GEMU; ;")</f>
        <v>Manual Actuator DN4 - DN15 type: 601 P/n: 9601 8M A 0 TS; GEMU; ;</v>
      </c>
      <c r="C1890" s="14" t="str">
        <f>IFERROR(__xludf.DUMMYFUNCTION("""COMPUTED_VALUE"""),"P-18368-00")</f>
        <v>P-18368-00</v>
      </c>
    </row>
    <row r="1891">
      <c r="A1891" s="14" t="str">
        <f>IFERROR(__xludf.DUMMYFUNCTION("""COMPUTED_VALUE"""),"P-18407-00")</f>
        <v>P-18407-00</v>
      </c>
      <c r="B1891" s="14" t="str">
        <f>IFERROR(__xludf.DUMMYFUNCTION("""COMPUTED_VALUE"""),"Seal Ferrule EPDM 1/2""; ; ;")</f>
        <v>Seal Ferrule EPDM 1/2"; ; ;</v>
      </c>
      <c r="C1891" s="14" t="str">
        <f>IFERROR(__xludf.DUMMYFUNCTION("""COMPUTED_VALUE"""),"P-18407-00")</f>
        <v>P-18407-00</v>
      </c>
    </row>
    <row r="1892">
      <c r="A1892" s="14" t="str">
        <f>IFERROR(__xludf.DUMMYFUNCTION("""COMPUTED_VALUE"""),"P-18410-00")</f>
        <v>P-18410-00</v>
      </c>
      <c r="B1892" s="14" t="str">
        <f>IFERROR(__xludf.DUMMYFUNCTION("""COMPUTED_VALUE"""),"Dynabolt M6 x 85mm; ; ;")</f>
        <v>Dynabolt M6 x 85mm; ; ;</v>
      </c>
      <c r="C1892" s="14" t="str">
        <f>IFERROR(__xludf.DUMMYFUNCTION("""COMPUTED_VALUE"""),"P-18410-00")</f>
        <v>P-18410-00</v>
      </c>
    </row>
    <row r="1893">
      <c r="A1893" s="14" t="str">
        <f>IFERROR(__xludf.DUMMYFUNCTION("""COMPUTED_VALUE"""),"P-18435-00")</f>
        <v>P-18435-00</v>
      </c>
      <c r="B1893" s="14" t="str">
        <f>IFERROR(__xludf.DUMMYFUNCTION("""COMPUTED_VALUE"""),"Spring Sidearm Kit; Sanco; P/N : EP001287SP;")</f>
        <v>Spring Sidearm Kit; Sanco; P/N : EP001287SP;</v>
      </c>
      <c r="C1893" s="14" t="str">
        <f>IFERROR(__xludf.DUMMYFUNCTION("""COMPUTED_VALUE"""),"P-18435-00")</f>
        <v>P-18435-00</v>
      </c>
    </row>
    <row r="1894">
      <c r="A1894" s="14" t="str">
        <f>IFERROR(__xludf.DUMMYFUNCTION("""COMPUTED_VALUE"""),"P-18447-00")</f>
        <v>P-18447-00</v>
      </c>
      <c r="B1894" s="14" t="str">
        <f>IFERROR(__xludf.DUMMYFUNCTION("""COMPUTED_VALUE"""),"Sample Pump Head for TOC Sievers M500; ; ;")</f>
        <v>Sample Pump Head for TOC Sievers M500; ; ;</v>
      </c>
      <c r="C1894" s="14" t="str">
        <f>IFERROR(__xludf.DUMMYFUNCTION("""COMPUTED_VALUE"""),"P-18447-00")</f>
        <v>P-18447-00</v>
      </c>
    </row>
    <row r="1895">
      <c r="A1895" s="14" t="str">
        <f>IFERROR(__xludf.DUMMYFUNCTION("""COMPUTED_VALUE"""),"P-18448-00")</f>
        <v>P-18448-00</v>
      </c>
      <c r="B1895" s="14" t="str">
        <f>IFERROR(__xludf.DUMMYFUNCTION("""COMPUTED_VALUE"""),"Resin Bed Replacement for TOC Sievers M500; ; ;")</f>
        <v>Resin Bed Replacement for TOC Sievers M500; ; ;</v>
      </c>
      <c r="C1895" s="14" t="str">
        <f>IFERROR(__xludf.DUMMYFUNCTION("""COMPUTED_VALUE"""),"P-18448-00")</f>
        <v>P-18448-00</v>
      </c>
    </row>
    <row r="1896">
      <c r="A1896" s="14" t="str">
        <f>IFERROR(__xludf.DUMMYFUNCTION("""COMPUTED_VALUE"""),"P-18462-00")</f>
        <v>P-18462-00</v>
      </c>
      <c r="B1896" s="14" t="str">
        <f>IFERROR(__xludf.DUMMYFUNCTION("""COMPUTED_VALUE"""),"Oil Seal 10x14x3; ; ;")</f>
        <v>Oil Seal 10x14x3; ; ;</v>
      </c>
      <c r="C1896" s="14" t="str">
        <f>IFERROR(__xludf.DUMMYFUNCTION("""COMPUTED_VALUE"""),"P-18462-00")</f>
        <v>P-18462-00</v>
      </c>
    </row>
    <row r="1897">
      <c r="A1897" s="14" t="str">
        <f>IFERROR(__xludf.DUMMYFUNCTION("""COMPUTED_VALUE"""),"P-18466-00")</f>
        <v>P-18466-00</v>
      </c>
      <c r="B1897" s="14" t="str">
        <f>IFERROR(__xludf.DUMMYFUNCTION("""COMPUTED_VALUE"""),"Door Stickers T30A; upgraded type; ; ;")</f>
        <v>Door Stickers T30A; upgraded type; ; ;</v>
      </c>
      <c r="C1897" s="14" t="str">
        <f>IFERROR(__xludf.DUMMYFUNCTION("""COMPUTED_VALUE"""),"P-18466-00")</f>
        <v>P-18466-00</v>
      </c>
    </row>
    <row r="1898">
      <c r="A1898" s="14" t="str">
        <f>IFERROR(__xludf.DUMMYFUNCTION("""COMPUTED_VALUE"""),"P-18467-00")</f>
        <v>P-18467-00</v>
      </c>
      <c r="B1898" s="14" t="str">
        <f>IFERROR(__xludf.DUMMYFUNCTION("""COMPUTED_VALUE"""),"Pass Box Stickers JZC-A Kecil; ; ;")</f>
        <v>Pass Box Stickers JZC-A Kecil; ; ;</v>
      </c>
      <c r="C1898" s="14" t="str">
        <f>IFERROR(__xludf.DUMMYFUNCTION("""COMPUTED_VALUE"""),"P-18467-00")</f>
        <v>P-18467-00</v>
      </c>
    </row>
    <row r="1899">
      <c r="A1899" s="14" t="str">
        <f>IFERROR(__xludf.DUMMYFUNCTION("""COMPUTED_VALUE"""),"P-18468-00")</f>
        <v>P-18468-00</v>
      </c>
      <c r="B1899" s="14" t="str">
        <f>IFERROR(__xludf.DUMMYFUNCTION("""COMPUTED_VALUE"""),"Pass Box Stickers ZC-A; ; ;")</f>
        <v>Pass Box Stickers ZC-A; ; ;</v>
      </c>
      <c r="C1899" s="14" t="str">
        <f>IFERROR(__xludf.DUMMYFUNCTION("""COMPUTED_VALUE"""),"P-18468-00")</f>
        <v>P-18468-00</v>
      </c>
    </row>
    <row r="1900">
      <c r="A1900" s="14" t="str">
        <f>IFERROR(__xludf.DUMMYFUNCTION("""COMPUTED_VALUE"""),"P-18470-00")</f>
        <v>P-18470-00</v>
      </c>
      <c r="B1900" s="14" t="str">
        <f>IFERROR(__xludf.DUMMYFUNCTION("""COMPUTED_VALUE"""),"Misumi - HXNHFFLT-SUS-M5-10; ; ;")</f>
        <v>Misumi - HXNHFFLT-SUS-M5-10; ; ;</v>
      </c>
      <c r="C1900" s="14" t="str">
        <f>IFERROR(__xludf.DUMMYFUNCTION("""COMPUTED_VALUE"""),"P-18470-00")</f>
        <v>P-18470-00</v>
      </c>
    </row>
    <row r="1901">
      <c r="A1901" s="14" t="str">
        <f>IFERROR(__xludf.DUMMYFUNCTION("""COMPUTED_VALUE"""),"P-18472-00")</f>
        <v>P-18472-00</v>
      </c>
      <c r="B1901" s="14" t="str">
        <f>IFERROR(__xludf.DUMMYFUNCTION("""COMPUTED_VALUE"""),"General - Thermostatic Steam Trap LV6-CE DN20 SS; TLV; -; 1 Pc")</f>
        <v>General - Thermostatic Steam Trap LV6-CE DN20 SS; TLV; -; 1 Pc</v>
      </c>
      <c r="C1901" s="14" t="str">
        <f>IFERROR(__xludf.DUMMYFUNCTION("""COMPUTED_VALUE"""),"P-18472-00")</f>
        <v>P-18472-00</v>
      </c>
    </row>
    <row r="1902">
      <c r="A1902" s="14" t="str">
        <f>IFERROR(__xludf.DUMMYFUNCTION("""COMPUTED_VALUE"""),"P-18475-00")</f>
        <v>P-18475-00</v>
      </c>
      <c r="B1902" s="14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4" t="str">
        <f>IFERROR(__xludf.DUMMYFUNCTION("""COMPUTED_VALUE"""),"P-18475-00")</f>
        <v>P-18475-00</v>
      </c>
    </row>
    <row r="1903">
      <c r="A1903" s="14" t="str">
        <f>IFERROR(__xludf.DUMMYFUNCTION("""COMPUTED_VALUE"""),"P-18500-00")</f>
        <v>P-18500-00</v>
      </c>
      <c r="B1903" s="14" t="str">
        <f>IFERROR(__xludf.DUMMYFUNCTION("""COMPUTED_VALUE"""),"Pipa SS316 1 inch Sch20; ; ;")</f>
        <v>Pipa SS316 1 inch Sch20; ; ;</v>
      </c>
      <c r="C1903" s="14" t="str">
        <f>IFERROR(__xludf.DUMMYFUNCTION("""COMPUTED_VALUE"""),"P-18500-00")</f>
        <v>P-18500-00</v>
      </c>
    </row>
    <row r="1904">
      <c r="A1904" s="14" t="str">
        <f>IFERROR(__xludf.DUMMYFUNCTION("""COMPUTED_VALUE"""),"P-18501-00")</f>
        <v>P-18501-00</v>
      </c>
      <c r="B1904" s="14" t="str">
        <f>IFERROR(__xludf.DUMMYFUNCTION("""COMPUTED_VALUE"""),"Elbow SS 316 1inch Sch20; ; ;")</f>
        <v>Elbow SS 316 1inch Sch20; ; ;</v>
      </c>
      <c r="C1904" s="14" t="str">
        <f>IFERROR(__xludf.DUMMYFUNCTION("""COMPUTED_VALUE"""),"P-18501-00")</f>
        <v>P-18501-00</v>
      </c>
    </row>
    <row r="1905">
      <c r="A1905" s="14" t="str">
        <f>IFERROR(__xludf.DUMMYFUNCTION("""COMPUTED_VALUE"""),"P-18504-00")</f>
        <v>P-18504-00</v>
      </c>
      <c r="B1905" s="14" t="str">
        <f>IFERROR(__xludf.DUMMYFUNCTION("""COMPUTED_VALUE"""),"Chemours - Freon 404A;; ; ;")</f>
        <v>Chemours - Freon 404A;; ; ;</v>
      </c>
      <c r="C1905" s="14" t="str">
        <f>IFERROR(__xludf.DUMMYFUNCTION("""COMPUTED_VALUE"""),"P-18504-00")</f>
        <v>P-18504-00</v>
      </c>
    </row>
    <row r="1906">
      <c r="A1906" s="14" t="str">
        <f>IFERROR(__xludf.DUMMYFUNCTION("""COMPUTED_VALUE"""),"P-18512-00")</f>
        <v>P-18512-00</v>
      </c>
      <c r="B1906" s="14" t="str">
        <f>IFERROR(__xludf.DUMMYFUNCTION("""COMPUTED_VALUE"""),"Pipa Tembaga AC Uk. 1 3/8 inch; ; ;")</f>
        <v>Pipa Tembaga AC Uk. 1 3/8 inch; ; ;</v>
      </c>
      <c r="C1906" s="14" t="str">
        <f>IFERROR(__xludf.DUMMYFUNCTION("""COMPUTED_VALUE"""),"P-18512-00")</f>
        <v>P-18512-00</v>
      </c>
    </row>
    <row r="1907">
      <c r="A1907" s="14" t="str">
        <f>IFERROR(__xludf.DUMMYFUNCTION("""COMPUTED_VALUE"""),"P-18546-00")</f>
        <v>P-18546-00</v>
      </c>
      <c r="B1907" s="14" t="str">
        <f>IFERROR(__xludf.DUMMYFUNCTION("""COMPUTED_VALUE"""),"Constan Air Volume EN 200x100 with Flow Scale 0-600 CMH; TROX; ;")</f>
        <v>Constan Air Volume EN 200x100 with Flow Scale 0-600 CMH; TROX; ;</v>
      </c>
      <c r="C1907" s="14" t="str">
        <f>IFERROR(__xludf.DUMMYFUNCTION("""COMPUTED_VALUE"""),"P-18546-00")</f>
        <v>P-18546-00</v>
      </c>
    </row>
    <row r="1908">
      <c r="A1908" s="14" t="str">
        <f>IFERROR(__xludf.DUMMYFUNCTION("""COMPUTED_VALUE"""),"P-18554-00")</f>
        <v>P-18554-00</v>
      </c>
      <c r="B1908" s="14" t="str">
        <f>IFERROR(__xludf.DUMMYFUNCTION("""COMPUTED_VALUE"""),"General - Baut Hexagonal, SS 304, M4 x 8 mm; No Brand; -; 1 pcs")</f>
        <v>General - Baut Hexagonal, SS 304, M4 x 8 mm; No Brand; -; 1 pcs</v>
      </c>
      <c r="C1908" s="14" t="str">
        <f>IFERROR(__xludf.DUMMYFUNCTION("""COMPUTED_VALUE"""),"P-18554-00")</f>
        <v>P-18554-00</v>
      </c>
    </row>
    <row r="1909">
      <c r="A1909" s="14" t="str">
        <f>IFERROR(__xludf.DUMMYFUNCTION("""COMPUTED_VALUE"""),"P-18555-00")</f>
        <v>P-18555-00</v>
      </c>
      <c r="B1909" s="14" t="str">
        <f>IFERROR(__xludf.DUMMYFUNCTION("""COMPUTED_VALUE"""),"General - Baut L, SS 304, M3 x 6 mm + Mur; No Brand; -; 1 pcs")</f>
        <v>General - Baut L, SS 304, M3 x 6 mm + Mur; No Brand; -; 1 pcs</v>
      </c>
      <c r="C1909" s="14" t="str">
        <f>IFERROR(__xludf.DUMMYFUNCTION("""COMPUTED_VALUE"""),"P-18555-00")</f>
        <v>P-18555-00</v>
      </c>
    </row>
    <row r="1910">
      <c r="A1910" s="14" t="str">
        <f>IFERROR(__xludf.DUMMYFUNCTION("""COMPUTED_VALUE"""),"P-18556-00")</f>
        <v>P-18556-00</v>
      </c>
      <c r="B1910" s="14" t="str">
        <f>IFERROR(__xludf.DUMMYFUNCTION("""COMPUTED_VALUE"""),"General - Baut L, SS 304, M3 x 10 mm + Mur; No Brand; -; 1 pcs")</f>
        <v>General - Baut L, SS 304, M3 x 10 mm + Mur; No Brand; -; 1 pcs</v>
      </c>
      <c r="C1910" s="14" t="str">
        <f>IFERROR(__xludf.DUMMYFUNCTION("""COMPUTED_VALUE"""),"P-18556-00")</f>
        <v>P-18556-00</v>
      </c>
    </row>
    <row r="1911">
      <c r="A1911" s="14" t="str">
        <f>IFERROR(__xludf.DUMMYFUNCTION("""COMPUTED_VALUE"""),"P-18557-00")</f>
        <v>P-18557-00</v>
      </c>
      <c r="B1911" s="14" t="str">
        <f>IFERROR(__xludf.DUMMYFUNCTION("""COMPUTED_VALUE"""),"Snap Ring Dalam SS 304 Uk. 19 mm; ; ;")</f>
        <v>Snap Ring Dalam SS 304 Uk. 19 mm; ; ;</v>
      </c>
      <c r="C1911" s="14" t="str">
        <f>IFERROR(__xludf.DUMMYFUNCTION("""COMPUTED_VALUE"""),"P-18557-00")</f>
        <v>P-18557-00</v>
      </c>
    </row>
    <row r="1912">
      <c r="A1912" s="14" t="str">
        <f>IFERROR(__xludf.DUMMYFUNCTION("""COMPUTED_VALUE"""),"P-18572-00")</f>
        <v>P-18572-00</v>
      </c>
      <c r="B1912" s="14" t="str">
        <f>IFERROR(__xludf.DUMMYFUNCTION("""COMPUTED_VALUE"""),"Flow assembly for electrodes ORP type 462 5020-40; JUMO; ;")</f>
        <v>Flow assembly for electrodes ORP type 462 5020-40; JUMO; ;</v>
      </c>
      <c r="C1912" s="14" t="str">
        <f>IFERROR(__xludf.DUMMYFUNCTION("""COMPUTED_VALUE"""),"P-18572-00")</f>
        <v>P-18572-00</v>
      </c>
    </row>
    <row r="1913">
      <c r="A1913" s="14" t="str">
        <f>IFERROR(__xludf.DUMMYFUNCTION("""COMPUTED_VALUE"""),"P-18598-00")</f>
        <v>P-18598-00</v>
      </c>
      <c r="B1913" s="14" t="str">
        <f>IFERROR(__xludf.DUMMYFUNCTION("""COMPUTED_VALUE"""),"General - Cast Iron Pipe Clamp, 2""; No Brand; -; 1 pcs")</f>
        <v>General - Cast Iron Pipe Clamp, 2"; No Brand; -; 1 pcs</v>
      </c>
      <c r="C1913" s="14" t="str">
        <f>IFERROR(__xludf.DUMMYFUNCTION("""COMPUTED_VALUE"""),"P-18598-00")</f>
        <v>P-18598-00</v>
      </c>
    </row>
    <row r="1914">
      <c r="A1914" s="14" t="str">
        <f>IFERROR(__xludf.DUMMYFUNCTION("""COMPUTED_VALUE"""),"P-18599-00")</f>
        <v>P-18599-00</v>
      </c>
      <c r="B1914" s="14" t="str">
        <f>IFERROR(__xludf.DUMMYFUNCTION("""COMPUTED_VALUE"""),"General - Cast Iron Pipe Clamp, 4""; No Brand; -; 1 pcs")</f>
        <v>General - Cast Iron Pipe Clamp, 4"; No Brand; -; 1 pcs</v>
      </c>
      <c r="C1914" s="14" t="str">
        <f>IFERROR(__xludf.DUMMYFUNCTION("""COMPUTED_VALUE"""),"P-18599-00")</f>
        <v>P-18599-00</v>
      </c>
    </row>
    <row r="1915">
      <c r="A1915" s="14" t="str">
        <f>IFERROR(__xludf.DUMMYFUNCTION("""COMPUTED_VALUE"""),"P-18618-00")</f>
        <v>P-18618-00</v>
      </c>
      <c r="B1915" s="14" t="str">
        <f>IFERROR(__xludf.DUMMYFUNCTION("""COMPUTED_VALUE"""),"Chemical - Kuclean; No Brand; HL-351; 20L/can")</f>
        <v>Chemical - Kuclean; No Brand; HL-351; 20L/can</v>
      </c>
      <c r="C1915" s="14" t="str">
        <f>IFERROR(__xludf.DUMMYFUNCTION("""COMPUTED_VALUE"""),"P-18618-00")</f>
        <v>P-18618-00</v>
      </c>
    </row>
    <row r="1916">
      <c r="A1916" s="14" t="str">
        <f>IFERROR(__xludf.DUMMYFUNCTION("""COMPUTED_VALUE"""),"P-18619-00")</f>
        <v>P-18619-00</v>
      </c>
      <c r="B1916" s="14" t="str">
        <f>IFERROR(__xludf.DUMMYFUNCTION("""COMPUTED_VALUE"""),"Filling VFM100 - Guide Vial Material SUS 304; ; ;")</f>
        <v>Filling VFM100 - Guide Vial Material SUS 304; ; ;</v>
      </c>
      <c r="C1916" s="14" t="str">
        <f>IFERROR(__xludf.DUMMYFUNCTION("""COMPUTED_VALUE"""),"P-18619-00")</f>
        <v>P-18619-00</v>
      </c>
    </row>
    <row r="1917">
      <c r="A1917" s="14" t="str">
        <f>IFERROR(__xludf.DUMMYFUNCTION("""COMPUTED_VALUE"""),"P-18620-00")</f>
        <v>P-18620-00</v>
      </c>
      <c r="B1917" s="14" t="str">
        <f>IFERROR(__xludf.DUMMYFUNCTION("""COMPUTED_VALUE"""),"Filling VFM100 - Piringan Loadcell Material SUS304; ; ;")</f>
        <v>Filling VFM100 - Piringan Loadcell Material SUS304; ; ;</v>
      </c>
      <c r="C1917" s="14" t="str">
        <f>IFERROR(__xludf.DUMMYFUNCTION("""COMPUTED_VALUE"""),"P-18620-00")</f>
        <v>P-18620-00</v>
      </c>
    </row>
    <row r="1918">
      <c r="A1918" s="14" t="str">
        <f>IFERROR(__xludf.DUMMYFUNCTION("""COMPUTED_VALUE"""),"P-18646-00")</f>
        <v>P-18646-00</v>
      </c>
      <c r="B1918" s="14" t="str">
        <f>IFERROR(__xludf.DUMMYFUNCTION("""COMPUTED_VALUE"""),"Global Power Supply PN. 6R_SA2120-01C; ; ;")</f>
        <v>Global Power Supply PN. 6R_SA2120-01C; ; ;</v>
      </c>
      <c r="C1918" s="14" t="str">
        <f>IFERROR(__xludf.DUMMYFUNCTION("""COMPUTED_VALUE"""),"P-18646-00")</f>
        <v>P-18646-00</v>
      </c>
    </row>
    <row r="1919">
      <c r="A1919" s="14" t="str">
        <f>IFERROR(__xludf.DUMMYFUNCTION("""COMPUTED_VALUE"""),"P-18665-00")</f>
        <v>P-18665-00</v>
      </c>
      <c r="B1919" s="14" t="str">
        <f>IFERROR(__xludf.DUMMYFUNCTION("""COMPUTED_VALUE"""),"Heavy clamp ferrule 1 - 1 1/2 inch; SS304L;; ; ;")</f>
        <v>Heavy clamp ferrule 1 - 1 1/2 inch; SS304L;; ; ;</v>
      </c>
      <c r="C1919" s="14" t="str">
        <f>IFERROR(__xludf.DUMMYFUNCTION("""COMPUTED_VALUE"""),"P-18665-00")</f>
        <v>P-18665-00</v>
      </c>
    </row>
    <row r="1920">
      <c r="A1920" s="14" t="str">
        <f>IFERROR(__xludf.DUMMYFUNCTION("""COMPUTED_VALUE"""),"P-18666-00")</f>
        <v>P-18666-00</v>
      </c>
      <c r="B1920" s="14" t="str">
        <f>IFERROR(__xludf.DUMMYFUNCTION("""COMPUTED_VALUE"""),"General - Vlok Ring, Kuningan/Brass, 1 x 1/2inch; No Brand; -; 1 pc")</f>
        <v>General - Vlok Ring, Kuningan/Brass, 1 x 1/2inch; No Brand; -; 1 pc</v>
      </c>
      <c r="C1920" s="14" t="str">
        <f>IFERROR(__xludf.DUMMYFUNCTION("""COMPUTED_VALUE"""),"P-18666-00")</f>
        <v>P-18666-00</v>
      </c>
    </row>
    <row r="1921">
      <c r="A1921" s="14" t="str">
        <f>IFERROR(__xludf.DUMMYFUNCTION("""COMPUTED_VALUE"""),"P-18667-00")</f>
        <v>P-18667-00</v>
      </c>
      <c r="B1921" s="14" t="str">
        <f>IFERROR(__xludf.DUMMYFUNCTION("""COMPUTED_VALUE"""),"Freeze Dryer MBE1207 - Gasket Slot Door Silicone dia 13 mm; ; ;")</f>
        <v>Freeze Dryer MBE1207 - Gasket Slot Door Silicone dia 13 mm; ; ;</v>
      </c>
      <c r="C1921" s="14" t="str">
        <f>IFERROR(__xludf.DUMMYFUNCTION("""COMPUTED_VALUE"""),"P-18667-00")</f>
        <v>P-18667-00</v>
      </c>
    </row>
    <row r="1922">
      <c r="A1922" s="14" t="str">
        <f>IFERROR(__xludf.DUMMYFUNCTION("""COMPUTED_VALUE"""),"P-18711-00")</f>
        <v>P-18711-00</v>
      </c>
      <c r="B1922" s="14" t="str">
        <f>IFERROR(__xludf.DUMMYFUNCTION("""COMPUTED_VALUE"""),"General - Hand Taps M 4 x 0.7 mm Made In Japan ; Yamawa; ; 1 set = 3 pcs")</f>
        <v>General - Hand Taps M 4 x 0.7 mm Made In Japan ; Yamawa; ; 1 set = 3 pcs</v>
      </c>
      <c r="C1922" s="14" t="str">
        <f>IFERROR(__xludf.DUMMYFUNCTION("""COMPUTED_VALUE"""),"P-18711-00")</f>
        <v>P-18711-00</v>
      </c>
    </row>
    <row r="1923">
      <c r="A1923" s="14" t="str">
        <f>IFERROR(__xludf.DUMMYFUNCTION("""COMPUTED_VALUE"""),"P-18712-00")</f>
        <v>P-18712-00</v>
      </c>
      <c r="B1923" s="14" t="str">
        <f>IFERROR(__xludf.DUMMYFUNCTION("""COMPUTED_VALUE"""),"General - Hand Taps M 5 x 0.8 mm Made In Japan ; Yamawa; -; 1 set = 3 pcs")</f>
        <v>General - Hand Taps M 5 x 0.8 mm Made In Japan ; Yamawa; -; 1 set = 3 pcs</v>
      </c>
      <c r="C1923" s="14" t="str">
        <f>IFERROR(__xludf.DUMMYFUNCTION("""COMPUTED_VALUE"""),"P-18712-00")</f>
        <v>P-18712-00</v>
      </c>
    </row>
    <row r="1924">
      <c r="A1924" s="14" t="str">
        <f>IFERROR(__xludf.DUMMYFUNCTION("""COMPUTED_VALUE"""),"P-18713-00")</f>
        <v>P-18713-00</v>
      </c>
      <c r="B1924" s="14" t="str">
        <f>IFERROR(__xludf.DUMMYFUNCTION("""COMPUTED_VALUE"""),"Screw Extractor Merek Tekiro (1 set = 6 pcs); ; ;")</f>
        <v>Screw Extractor Merek Tekiro (1 set = 6 pcs); ; ;</v>
      </c>
      <c r="C1924" s="14" t="str">
        <f>IFERROR(__xludf.DUMMYFUNCTION("""COMPUTED_VALUE"""),"P-18713-00")</f>
        <v>P-18713-00</v>
      </c>
    </row>
    <row r="1925">
      <c r="A1925" s="14" t="str">
        <f>IFERROR(__xludf.DUMMYFUNCTION("""COMPUTED_VALUE"""),"P-18725-00")</f>
        <v>P-18725-00</v>
      </c>
      <c r="B1925" s="14" t="str">
        <f>IFERROR(__xludf.DUMMYFUNCTION("""COMPUTED_VALUE"""),"General - Freon R507; Chemours; -; 1 pcs")</f>
        <v>General - Freon R507; Chemours; -; 1 pcs</v>
      </c>
      <c r="C1925" s="14" t="str">
        <f>IFERROR(__xludf.DUMMYFUNCTION("""COMPUTED_VALUE"""),"P-18725-00")</f>
        <v>P-18725-00</v>
      </c>
    </row>
    <row r="1926">
      <c r="A1926" s="14" t="str">
        <f>IFERROR(__xludf.DUMMYFUNCTION("""COMPUTED_VALUE"""),"P-18769-00")</f>
        <v>P-18769-00</v>
      </c>
      <c r="B1926" s="14" t="str">
        <f>IFERROR(__xludf.DUMMYFUNCTION("""COMPUTED_VALUE"""),"Mata Gerinda Potong 4"" Merek WD; ; -; 20 pc")</f>
        <v>Mata Gerinda Potong 4" Merek WD; ; -; 20 pc</v>
      </c>
      <c r="C1926" s="14" t="str">
        <f>IFERROR(__xludf.DUMMYFUNCTION("""COMPUTED_VALUE"""),"P-18769-00")</f>
        <v>P-18769-00</v>
      </c>
    </row>
    <row r="1927">
      <c r="A1927" s="14" t="str">
        <f>IFERROR(__xludf.DUMMYFUNCTION("""COMPUTED_VALUE"""),"P-18788-00")</f>
        <v>P-18788-00</v>
      </c>
      <c r="B1927" s="14" t="str">
        <f>IFERROR(__xludf.DUMMYFUNCTION("""COMPUTED_VALUE"""),"Baut SS Hexagon SS M6x55mm + Mur; ; ;")</f>
        <v>Baut SS Hexagon SS M6x55mm + Mur; ; ;</v>
      </c>
      <c r="C1927" s="14" t="str">
        <f>IFERROR(__xludf.DUMMYFUNCTION("""COMPUTED_VALUE"""),"P-18788-00")</f>
        <v>P-18788-00</v>
      </c>
    </row>
    <row r="1928">
      <c r="A1928" s="14" t="str">
        <f>IFERROR(__xludf.DUMMYFUNCTION("""COMPUTED_VALUE"""),"P-18789-00")</f>
        <v>P-18789-00</v>
      </c>
      <c r="B1928" s="14" t="str">
        <f>IFERROR(__xludf.DUMMYFUNCTION("""COMPUTED_VALUE"""),"Gland Packing Teflon PTFE 4x4 mm; ; ;")</f>
        <v>Gland Packing Teflon PTFE 4x4 mm; ; ;</v>
      </c>
      <c r="C1928" s="14" t="str">
        <f>IFERROR(__xludf.DUMMYFUNCTION("""COMPUTED_VALUE"""),"P-18789-00")</f>
        <v>P-18789-00</v>
      </c>
    </row>
    <row r="1929">
      <c r="A1929" s="14" t="str">
        <f>IFERROR(__xludf.DUMMYFUNCTION("""COMPUTED_VALUE"""),"P-18821-00")</f>
        <v>P-18821-00</v>
      </c>
      <c r="B1929" s="14" t="str">
        <f>IFERROR(__xludf.DUMMYFUNCTION("""COMPUTED_VALUE"""),"Neppel Pentil Pengisian Freon Uk. 1/4""; ; ;")</f>
        <v>Neppel Pentil Pengisian Freon Uk. 1/4"; ; ;</v>
      </c>
      <c r="C1929" s="14" t="str">
        <f>IFERROR(__xludf.DUMMYFUNCTION("""COMPUTED_VALUE"""),"P-18821-00")</f>
        <v>P-18821-00</v>
      </c>
    </row>
    <row r="1930">
      <c r="A1930" s="14" t="str">
        <f>IFERROR(__xludf.DUMMYFUNCTION("""COMPUTED_VALUE"""),"P-18833-00")</f>
        <v>P-18833-00</v>
      </c>
      <c r="B1930" s="14" t="str">
        <f>IFERROR(__xludf.DUMMYFUNCTION("""COMPUTED_VALUE"""),"Gland Packing Teflon PTFE 8x8; ; ;")</f>
        <v>Gland Packing Teflon PTFE 8x8; ; ;</v>
      </c>
      <c r="C1930" s="14" t="str">
        <f>IFERROR(__xludf.DUMMYFUNCTION("""COMPUTED_VALUE"""),"P-18833-00")</f>
        <v>P-18833-00</v>
      </c>
    </row>
    <row r="1931">
      <c r="A1931" s="14" t="str">
        <f>IFERROR(__xludf.DUMMYFUNCTION("""COMPUTED_VALUE"""),"P-18834-00")</f>
        <v>P-18834-00</v>
      </c>
      <c r="B1931" s="14" t="str">
        <f>IFERROR(__xludf.DUMMYFUNCTION("""COMPUTED_VALUE"""),"Gland Packing Teflon PTFE 6x6; ; ;")</f>
        <v>Gland Packing Teflon PTFE 6x6; ; ;</v>
      </c>
      <c r="C1931" s="14" t="str">
        <f>IFERROR(__xludf.DUMMYFUNCTION("""COMPUTED_VALUE"""),"P-18834-00")</f>
        <v>P-18834-00</v>
      </c>
    </row>
    <row r="1932">
      <c r="A1932" s="14" t="str">
        <f>IFERROR(__xludf.DUMMYFUNCTION("""COMPUTED_VALUE"""),"P-18835-00")</f>
        <v>P-18835-00</v>
      </c>
      <c r="B1932" s="14" t="str">
        <f>IFERROR(__xludf.DUMMYFUNCTION("""COMPUTED_VALUE"""),"Solenoid Valve Pneumatic UD08E4 Port 1/4"" 2/2 Way 24VDC; EMC; ;")</f>
        <v>Solenoid Valve Pneumatic UD08E4 Port 1/4" 2/2 Way 24VDC; EMC; ;</v>
      </c>
      <c r="C1932" s="14" t="str">
        <f>IFERROR(__xludf.DUMMYFUNCTION("""COMPUTED_VALUE"""),"P-18835-00")</f>
        <v>P-18835-00</v>
      </c>
    </row>
    <row r="1933">
      <c r="A1933" s="14" t="str">
        <f>IFERROR(__xludf.DUMMYFUNCTION("""COMPUTED_VALUE"""),"P-18865-00")</f>
        <v>P-18865-00</v>
      </c>
      <c r="B1933" s="14" t="str">
        <f>IFERROR(__xludf.DUMMYFUNCTION("""COMPUTED_VALUE"""),"Freon R407 - Chemours USA; ; ;")</f>
        <v>Freon R407 - Chemours USA; ; ;</v>
      </c>
      <c r="C1933" s="14" t="str">
        <f>IFERROR(__xludf.DUMMYFUNCTION("""COMPUTED_VALUE"""),"P-18865-00")</f>
        <v>P-18865-00</v>
      </c>
    </row>
    <row r="1934">
      <c r="A1934" s="14" t="str">
        <f>IFERROR(__xludf.DUMMYFUNCTION("""COMPUTED_VALUE"""),"P-18906-00")</f>
        <v>P-18906-00</v>
      </c>
      <c r="B1934" s="14" t="str">
        <f>IFERROR(__xludf.DUMMYFUNCTION("""COMPUTED_VALUE"""),"Float Valve D14 mm AI SI 316L; Lokal; ;")</f>
        <v>Float Valve D14 mm AI SI 316L; Lokal; ;</v>
      </c>
      <c r="C1934" s="14" t="str">
        <f>IFERROR(__xludf.DUMMYFUNCTION("""COMPUTED_VALUE"""),"P-18906-00")</f>
        <v>P-18906-00</v>
      </c>
    </row>
    <row r="1935">
      <c r="A1935" s="14" t="str">
        <f>IFERROR(__xludf.DUMMYFUNCTION("""COMPUTED_VALUE"""),"P-18908-00")</f>
        <v>P-18908-00</v>
      </c>
      <c r="B1935" s="14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4" t="str">
        <f>IFERROR(__xludf.DUMMYFUNCTION("""COMPUTED_VALUE"""),"P-18908-00")</f>
        <v>P-18908-00</v>
      </c>
    </row>
    <row r="1936">
      <c r="A1936" s="14" t="str">
        <f>IFERROR(__xludf.DUMMYFUNCTION("""COMPUTED_VALUE"""),"P-18909-00")</f>
        <v>P-18909-00</v>
      </c>
      <c r="B1936" s="14" t="str">
        <f>IFERROR(__xludf.DUMMYFUNCTION("""COMPUTED_VALUE"""),"Refrigerant Recovery Tank Cld-30Y 13 L , 30 Lbs , 13.6Kg; ORION; ;")</f>
        <v>Refrigerant Recovery Tank Cld-30Y 13 L , 30 Lbs , 13.6Kg; ORION; ;</v>
      </c>
      <c r="C1936" s="14" t="str">
        <f>IFERROR(__xludf.DUMMYFUNCTION("""COMPUTED_VALUE"""),"P-18909-00")</f>
        <v>P-18909-00</v>
      </c>
    </row>
    <row r="1937">
      <c r="A1937" s="14" t="str">
        <f>IFERROR(__xludf.DUMMYFUNCTION("""COMPUTED_VALUE"""),"P-18963-00")</f>
        <v>P-18963-00</v>
      </c>
      <c r="B1937" s="14" t="str">
        <f>IFERROR(__xludf.DUMMYFUNCTION("""COMPUTED_VALUE"""),"General - Tubing Nylon Putih 6 x 8mm; No Brand; -; 1 Pc")</f>
        <v>General - Tubing Nylon Putih 6 x 8mm; No Brand; -; 1 Pc</v>
      </c>
      <c r="C1937" s="14" t="str">
        <f>IFERROR(__xludf.DUMMYFUNCTION("""COMPUTED_VALUE"""),"P-18963-00")</f>
        <v>P-18963-00</v>
      </c>
    </row>
    <row r="1938">
      <c r="A1938" s="14" t="str">
        <f>IFERROR(__xludf.DUMMYFUNCTION("""COMPUTED_VALUE"""),"P-18964-00")</f>
        <v>P-18964-00</v>
      </c>
      <c r="B1938" s="14" t="str">
        <f>IFERROR(__xludf.DUMMYFUNCTION("""COMPUTED_VALUE"""),"Check Valve Aquarium; Lokal; ;")</f>
        <v>Check Valve Aquarium; Lokal; ;</v>
      </c>
      <c r="C1938" s="14" t="str">
        <f>IFERROR(__xludf.DUMMYFUNCTION("""COMPUTED_VALUE"""),"P-18964-00")</f>
        <v>P-18964-00</v>
      </c>
    </row>
    <row r="1939">
      <c r="A1939" s="14" t="str">
        <f>IFERROR(__xludf.DUMMYFUNCTION("""COMPUTED_VALUE"""),"P-18965-00")</f>
        <v>P-18965-00</v>
      </c>
      <c r="B1939" s="14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4" t="str">
        <f>IFERROR(__xludf.DUMMYFUNCTION("""COMPUTED_VALUE"""),"P-18965-00")</f>
        <v>P-18965-00</v>
      </c>
    </row>
    <row r="1940">
      <c r="A1940" s="14" t="str">
        <f>IFERROR(__xludf.DUMMYFUNCTION("""COMPUTED_VALUE"""),"P-18966-00")</f>
        <v>P-18966-00</v>
      </c>
      <c r="B1940" s="14" t="str">
        <f>IFERROR(__xludf.DUMMYFUNCTION("""COMPUTED_VALUE"""),"Kawat Perak Las 40%; Merk Grilot-7; ; ;")</f>
        <v>Kawat Perak Las 40%; Merk Grilot-7; ; ;</v>
      </c>
      <c r="C1940" s="14" t="str">
        <f>IFERROR(__xludf.DUMMYFUNCTION("""COMPUTED_VALUE"""),"P-18966-00")</f>
        <v>P-18966-00</v>
      </c>
    </row>
    <row r="1941">
      <c r="A1941" s="14" t="str">
        <f>IFERROR(__xludf.DUMMYFUNCTION("""COMPUTED_VALUE"""),"P-19028-00")</f>
        <v>P-19028-00</v>
      </c>
      <c r="B1941" s="14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4" t="str">
        <f>IFERROR(__xludf.DUMMYFUNCTION("""COMPUTED_VALUE"""),"P-19028-00")</f>
        <v>P-19028-00</v>
      </c>
    </row>
    <row r="1942">
      <c r="A1942" s="14" t="str">
        <f>IFERROR(__xludf.DUMMYFUNCTION("""COMPUTED_VALUE"""),"P-19029-00")</f>
        <v>P-19029-00</v>
      </c>
      <c r="B1942" s="14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4" t="str">
        <f>IFERROR(__xludf.DUMMYFUNCTION("""COMPUTED_VALUE"""),"P-19029-00")</f>
        <v>P-19029-00</v>
      </c>
    </row>
    <row r="1943">
      <c r="A1943" s="14" t="str">
        <f>IFERROR(__xludf.DUMMYFUNCTION("""COMPUTED_VALUE"""),"P-19031-00")</f>
        <v>P-19031-00</v>
      </c>
      <c r="B1943" s="14" t="str">
        <f>IFERROR(__xludf.DUMMYFUNCTION("""COMPUTED_VALUE"""),"Elbow Ferrule 2 Inch; Custom; ;")</f>
        <v>Elbow Ferrule 2 Inch; Custom; ;</v>
      </c>
      <c r="C1943" s="14" t="str">
        <f>IFERROR(__xludf.DUMMYFUNCTION("""COMPUTED_VALUE"""),"P-19031-00")</f>
        <v>P-19031-00</v>
      </c>
    </row>
    <row r="1944">
      <c r="A1944" s="14" t="str">
        <f>IFERROR(__xludf.DUMMYFUNCTION("""COMPUTED_VALUE"""),"P-19032-00")</f>
        <v>P-19032-00</v>
      </c>
      <c r="B1944" s="14" t="str">
        <f>IFERROR(__xludf.DUMMYFUNCTION("""COMPUTED_VALUE"""),"Elbow Ferrule 1.5 Inch; Custom; ;")</f>
        <v>Elbow Ferrule 1.5 Inch; Custom; ;</v>
      </c>
      <c r="C1944" s="14" t="str">
        <f>IFERROR(__xludf.DUMMYFUNCTION("""COMPUTED_VALUE"""),"P-19032-00")</f>
        <v>P-19032-00</v>
      </c>
    </row>
    <row r="1945">
      <c r="A1945" s="14" t="str">
        <f>IFERROR(__xludf.DUMMYFUNCTION("""COMPUTED_VALUE"""),"P-19038-00")</f>
        <v>P-19038-00</v>
      </c>
      <c r="B1945" s="14" t="str">
        <f>IFERROR(__xludf.DUMMYFUNCTION("""COMPUTED_VALUE"""),"Kunci Handle Panel MS 306-2-1 Hengzhu; Hengzhu; ;")</f>
        <v>Kunci Handle Panel MS 306-2-1 Hengzhu; Hengzhu; ;</v>
      </c>
      <c r="C1945" s="14" t="str">
        <f>IFERROR(__xludf.DUMMYFUNCTION("""COMPUTED_VALUE"""),"P-19038-00")</f>
        <v>P-19038-00</v>
      </c>
    </row>
    <row r="1946">
      <c r="A1946" s="14" t="str">
        <f>IFERROR(__xludf.DUMMYFUNCTION("""COMPUTED_VALUE"""),"P-19065-00")</f>
        <v>P-19065-00</v>
      </c>
      <c r="B1946" s="14" t="str">
        <f>IFERROR(__xludf.DUMMYFUNCTION("""COMPUTED_VALUE"""),"General - Filter Dryer; Emerson; EK-052; 1 pcs")</f>
        <v>General - Filter Dryer; Emerson; EK-052; 1 pcs</v>
      </c>
      <c r="C1946" s="14" t="str">
        <f>IFERROR(__xludf.DUMMYFUNCTION("""COMPUTED_VALUE"""),"P-19065-00")</f>
        <v>P-19065-00</v>
      </c>
    </row>
    <row r="1947">
      <c r="A1947" s="14" t="str">
        <f>IFERROR(__xludf.DUMMYFUNCTION("""COMPUTED_VALUE"""),"P-19080-00")</f>
        <v>P-19080-00</v>
      </c>
      <c r="B1947" s="14" t="str">
        <f>IFERROR(__xludf.DUMMYFUNCTION("""COMPUTED_VALUE"""),"Cabel Tie Mount 30 x 30 mm; Sigma; ;")</f>
        <v>Cabel Tie Mount 30 x 30 mm; Sigma; ;</v>
      </c>
      <c r="C1947" s="14" t="str">
        <f>IFERROR(__xludf.DUMMYFUNCTION("""COMPUTED_VALUE"""),"P-19080-00")</f>
        <v>P-19080-00</v>
      </c>
    </row>
    <row r="1948">
      <c r="A1948" s="14" t="str">
        <f>IFERROR(__xludf.DUMMYFUNCTION("""COMPUTED_VALUE"""),"P-19081-00")</f>
        <v>P-19081-00</v>
      </c>
      <c r="B1948" s="14" t="str">
        <f>IFERROR(__xludf.DUMMYFUNCTION("""COMPUTED_VALUE"""),"Cabel Tie Mount 20 x20 mm; Sigma; ;")</f>
        <v>Cabel Tie Mount 20 x20 mm; Sigma; ;</v>
      </c>
      <c r="C1948" s="14" t="str">
        <f>IFERROR(__xludf.DUMMYFUNCTION("""COMPUTED_VALUE"""),"P-19081-00")</f>
        <v>P-19081-00</v>
      </c>
    </row>
    <row r="1949">
      <c r="A1949" s="14" t="str">
        <f>IFERROR(__xludf.DUMMYFUNCTION("""COMPUTED_VALUE"""),"P-19114-00")</f>
        <v>P-19114-00</v>
      </c>
      <c r="B1949" s="14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4" t="str">
        <f>IFERROR(__xludf.DUMMYFUNCTION("""COMPUTED_VALUE"""),"P-19114-00")</f>
        <v>P-19114-00</v>
      </c>
    </row>
    <row r="1950">
      <c r="A1950" s="14" t="str">
        <f>IFERROR(__xludf.DUMMYFUNCTION("""COMPUTED_VALUE"""),"P-19125-00")</f>
        <v>P-19125-00</v>
      </c>
      <c r="B1950" s="14" t="str">
        <f>IFERROR(__xludf.DUMMYFUNCTION("""COMPUTED_VALUE"""),"HB HCX Series (H14) 99,99% 0,3 micron 610x610x292 mm; IAF; ;")</f>
        <v>HB HCX Series (H14) 99,99% 0,3 micron 610x610x292 mm; IAF; ;</v>
      </c>
      <c r="C1950" s="14" t="str">
        <f>IFERROR(__xludf.DUMMYFUNCTION("""COMPUTED_VALUE"""),"P-19125-00")</f>
        <v>P-19125-00</v>
      </c>
    </row>
    <row r="1951">
      <c r="A1951" s="14" t="str">
        <f>IFERROR(__xludf.DUMMYFUNCTION("""COMPUTED_VALUE"""),"P-19126-00")</f>
        <v>P-19126-00</v>
      </c>
      <c r="B1951" s="14" t="str">
        <f>IFERROR(__xludf.DUMMYFUNCTION("""COMPUTED_VALUE"""),"MB DH Series (F8) 90-95% 610x610x292 mm; IAF; ;")</f>
        <v>MB DH Series (F8) 90-95% 610x610x292 mm; IAF; ;</v>
      </c>
      <c r="C1951" s="14" t="str">
        <f>IFERROR(__xludf.DUMMYFUNCTION("""COMPUTED_VALUE"""),"P-19126-00")</f>
        <v>P-19126-00</v>
      </c>
    </row>
    <row r="1952">
      <c r="A1952" s="14" t="str">
        <f>IFERROR(__xludf.DUMMYFUNCTION("""COMPUTED_VALUE"""),"P-19127-00")</f>
        <v>P-19127-00</v>
      </c>
      <c r="B1952" s="14" t="str">
        <f>IFERROR(__xludf.DUMMYFUNCTION("""COMPUTED_VALUE"""),"PVC Bag for Bag In Bag Out; IAF; ;")</f>
        <v>PVC Bag for Bag In Bag Out; IAF; ;</v>
      </c>
      <c r="C1952" s="14" t="str">
        <f>IFERROR(__xludf.DUMMYFUNCTION("""COMPUTED_VALUE"""),"P-19127-00")</f>
        <v>P-19127-00</v>
      </c>
    </row>
    <row r="1953">
      <c r="A1953" s="14" t="str">
        <f>IFERROR(__xludf.DUMMYFUNCTION("""COMPUTED_VALUE"""),"P-19144-00")</f>
        <v>P-19144-00</v>
      </c>
      <c r="B1953" s="14" t="str">
        <f>IFERROR(__xludf.DUMMYFUNCTION("""COMPUTED_VALUE"""),"O-ring Silicon Diameter 5,33mm; Lokal; ;")</f>
        <v>O-ring Silicon Diameter 5,33mm; Lokal; ;</v>
      </c>
      <c r="C1953" s="14" t="str">
        <f>IFERROR(__xludf.DUMMYFUNCTION("""COMPUTED_VALUE"""),"P-19144-00")</f>
        <v>P-19144-00</v>
      </c>
    </row>
    <row r="1954">
      <c r="A1954" s="14" t="str">
        <f>IFERROR(__xludf.DUMMYFUNCTION("""COMPUTED_VALUE"""),"P-19160-00")</f>
        <v>P-19160-00</v>
      </c>
      <c r="B1954" s="14" t="str">
        <f>IFERROR(__xludf.DUMMYFUNCTION("""COMPUTED_VALUE"""),"Cable Duct PVC 65 x 65 x 2900mmLokal")</f>
        <v>Cable Duct PVC 65 x 65 x 2900mmLokal</v>
      </c>
      <c r="C1954" s="14" t="str">
        <f>IFERROR(__xludf.DUMMYFUNCTION("""COMPUTED_VALUE"""),"P-19160-00")</f>
        <v>P-19160-00</v>
      </c>
    </row>
    <row r="1955">
      <c r="A1955" s="14" t="str">
        <f>IFERROR(__xludf.DUMMYFUNCTION("""COMPUTED_VALUE"""),"P-19192-00")</f>
        <v>P-19192-00</v>
      </c>
      <c r="B1955" s="14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4" t="str">
        <f>IFERROR(__xludf.DUMMYFUNCTION("""COMPUTED_VALUE"""),"P-19192-00")</f>
        <v>P-19192-00</v>
      </c>
    </row>
    <row r="1956">
      <c r="A1956" s="14" t="str">
        <f>IFERROR(__xludf.DUMMYFUNCTION("""COMPUTED_VALUE"""),"P-19206-00")</f>
        <v>P-19206-00</v>
      </c>
      <c r="B1956" s="14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4" t="str">
        <f>IFERROR(__xludf.DUMMYFUNCTION("""COMPUTED_VALUE"""),"P-19206-00")</f>
        <v>P-19206-00</v>
      </c>
    </row>
    <row r="1957">
      <c r="A1957" s="14" t="str">
        <f>IFERROR(__xludf.DUMMYFUNCTION("""COMPUTED_VALUE"""),"P-19221-00")</f>
        <v>P-19221-00</v>
      </c>
      <c r="B1957" s="14" t="str">
        <f>IFERROR(__xludf.DUMMYFUNCTION("""COMPUTED_VALUE"""),"Webbing Sling 1 Ton x 10 Mtr Lebar 30mm; Spanset; ;")</f>
        <v>Webbing Sling 1 Ton x 10 Mtr Lebar 30mm; Spanset; ;</v>
      </c>
      <c r="C1957" s="14" t="str">
        <f>IFERROR(__xludf.DUMMYFUNCTION("""COMPUTED_VALUE"""),"P-19221-00")</f>
        <v>P-19221-00</v>
      </c>
    </row>
    <row r="1958">
      <c r="A1958" s="14" t="str">
        <f>IFERROR(__xludf.DUMMYFUNCTION("""COMPUTED_VALUE"""),"P-19232-00")</f>
        <v>P-19232-00</v>
      </c>
      <c r="B1958" s="14" t="str">
        <f>IFERROR(__xludf.DUMMYFUNCTION("""COMPUTED_VALUE"""),"General - Fitting QSL 3/8 x 12 mm; EMC; -; 1 pc")</f>
        <v>General - Fitting QSL 3/8 x 12 mm; EMC; -; 1 pc</v>
      </c>
      <c r="C1958" s="14" t="str">
        <f>IFERROR(__xludf.DUMMYFUNCTION("""COMPUTED_VALUE"""),"P-19232-00")</f>
        <v>P-19232-00</v>
      </c>
    </row>
    <row r="1959">
      <c r="A1959" s="14" t="str">
        <f>IFERROR(__xludf.DUMMYFUNCTION("""COMPUTED_VALUE"""),"P-19233-00")</f>
        <v>P-19233-00</v>
      </c>
      <c r="B1959" s="14" t="str">
        <f>IFERROR(__xludf.DUMMYFUNCTION("""COMPUTED_VALUE"""),"General - Fitting QS 1/2 x 8 mm; EMC; -; 1 pc")</f>
        <v>General - Fitting QS 1/2 x 8 mm; EMC; -; 1 pc</v>
      </c>
      <c r="C1959" s="14" t="str">
        <f>IFERROR(__xludf.DUMMYFUNCTION("""COMPUTED_VALUE"""),"P-19233-00")</f>
        <v>P-19233-00</v>
      </c>
    </row>
    <row r="1960">
      <c r="A1960" s="14" t="str">
        <f>IFERROR(__xludf.DUMMYFUNCTION("""COMPUTED_VALUE"""),"P-19234-00")</f>
        <v>P-19234-00</v>
      </c>
      <c r="B1960" s="14" t="str">
        <f>IFERROR(__xludf.DUMMYFUNCTION("""COMPUTED_VALUE"""),"Fitting Tee Tubing (Pneumatic Union Speed Control) 12 mm; EMC; ;")</f>
        <v>Fitting Tee Tubing (Pneumatic Union Speed Control) 12 mm; EMC; ;</v>
      </c>
      <c r="C1960" s="14" t="str">
        <f>IFERROR(__xludf.DUMMYFUNCTION("""COMPUTED_VALUE"""),"P-19234-00")</f>
        <v>P-19234-00</v>
      </c>
    </row>
    <row r="1961">
      <c r="A1961" s="14" t="str">
        <f>IFERROR(__xludf.DUMMYFUNCTION("""COMPUTED_VALUE"""),"P-19235-00")</f>
        <v>P-19235-00</v>
      </c>
      <c r="B1961" s="14" t="str">
        <f>IFERROR(__xludf.DUMMYFUNCTION("""COMPUTED_VALUE"""),"Box Panel 20x17x12cm, Tebal Plat 1 mm; Lokal; ;")</f>
        <v>Box Panel 20x17x12cm, Tebal Plat 1 mm; Lokal; ;</v>
      </c>
      <c r="C1961" s="14" t="str">
        <f>IFERROR(__xludf.DUMMYFUNCTION("""COMPUTED_VALUE"""),"P-19235-00")</f>
        <v>P-19235-00</v>
      </c>
    </row>
    <row r="1962">
      <c r="A1962" s="14" t="str">
        <f>IFERROR(__xludf.DUMMYFUNCTION("""COMPUTED_VALUE"""),"P-19236-00")</f>
        <v>P-19236-00</v>
      </c>
      <c r="B1962" s="14" t="str">
        <f>IFERROR(__xludf.DUMMYFUNCTION("""COMPUTED_VALUE"""),"Tubing Nylon 12mm x 9mm @100 m/Roll; SHPI Taiwan; ;")</f>
        <v>Tubing Nylon 12mm x 9mm @100 m/Roll; SHPI Taiwan; ;</v>
      </c>
      <c r="C1962" s="14" t="str">
        <f>IFERROR(__xludf.DUMMYFUNCTION("""COMPUTED_VALUE"""),"P-19236-00")</f>
        <v>P-19236-00</v>
      </c>
    </row>
    <row r="1963">
      <c r="A1963" s="14" t="str">
        <f>IFERROR(__xludf.DUMMYFUNCTION("""COMPUTED_VALUE"""),"P-19237-00")</f>
        <v>P-19237-00</v>
      </c>
      <c r="B1963" s="14" t="str">
        <f>IFERROR(__xludf.DUMMYFUNCTION("""COMPUTED_VALUE"""),"Vlok Ring SS 304 1"" x 3/8 ""; ; ;")</f>
        <v>Vlok Ring SS 304 1" x 3/8 "; ; ;</v>
      </c>
      <c r="C1963" s="14" t="str">
        <f>IFERROR(__xludf.DUMMYFUNCTION("""COMPUTED_VALUE"""),"P-19237-00")</f>
        <v>P-19237-00</v>
      </c>
    </row>
    <row r="1964">
      <c r="A1964" s="14" t="str">
        <f>IFERROR(__xludf.DUMMYFUNCTION("""COMPUTED_VALUE"""),"P-19238-00")</f>
        <v>P-19238-00</v>
      </c>
      <c r="B1964" s="14" t="str">
        <f>IFERROR(__xludf.DUMMYFUNCTION("""COMPUTED_VALUE"""),"Fitting Tee Tubing 12mm; EMC; ;")</f>
        <v>Fitting Tee Tubing 12mm; EMC; ;</v>
      </c>
      <c r="C1964" s="14" t="str">
        <f>IFERROR(__xludf.DUMMYFUNCTION("""COMPUTED_VALUE"""),"P-19238-00")</f>
        <v>P-19238-00</v>
      </c>
    </row>
    <row r="1965">
      <c r="A1965" s="14" t="str">
        <f>IFERROR(__xludf.DUMMYFUNCTION("""COMPUTED_VALUE"""),"P-19255-00")</f>
        <v>P-19255-00</v>
      </c>
      <c r="B1965" s="14" t="str">
        <f>IFERROR(__xludf.DUMMYFUNCTION("""COMPUTED_VALUE"""),"Plastic Tubing PUN-H-14x2-BL; Festo; 570386;")</f>
        <v>Plastic Tubing PUN-H-14x2-BL; Festo; 570386;</v>
      </c>
      <c r="C1965" s="14" t="str">
        <f>IFERROR(__xludf.DUMMYFUNCTION("""COMPUTED_VALUE"""),"P-19255-00")</f>
        <v>P-19255-00</v>
      </c>
    </row>
    <row r="1966">
      <c r="A1966" s="14" t="str">
        <f>IFERROR(__xludf.DUMMYFUNCTION("""COMPUTED_VALUE"""),"P-19271-00")</f>
        <v>P-19271-00</v>
      </c>
      <c r="B1966" s="14" t="str">
        <f>IFERROR(__xludf.DUMMYFUNCTION("""COMPUTED_VALUE"""),"Free Float Steam Trap 1/2 inch (DN15); TLV; J3X10;")</f>
        <v>Free Float Steam Trap 1/2 inch (DN15); TLV; J3X10;</v>
      </c>
      <c r="C1966" s="14" t="str">
        <f>IFERROR(__xludf.DUMMYFUNCTION("""COMPUTED_VALUE"""),"P-19271-00")</f>
        <v>P-19271-00</v>
      </c>
    </row>
    <row r="1967">
      <c r="A1967" s="14" t="str">
        <f>IFERROR(__xludf.DUMMYFUNCTION("""COMPUTED_VALUE"""),"P-19272-00")</f>
        <v>P-19272-00</v>
      </c>
      <c r="B1967" s="14" t="str">
        <f>IFERROR(__xludf.DUMMYFUNCTION("""COMPUTED_VALUE"""),"Free Float Steam Trap 3/4 Inch (DN 20); TLV; J3X10;")</f>
        <v>Free Float Steam Trap 3/4 Inch (DN 20); TLV; J3X10;</v>
      </c>
      <c r="C1967" s="14" t="str">
        <f>IFERROR(__xludf.DUMMYFUNCTION("""COMPUTED_VALUE"""),"P-19272-00")</f>
        <v>P-19272-00</v>
      </c>
    </row>
    <row r="1968">
      <c r="A1968" s="14" t="str">
        <f>IFERROR(__xludf.DUMMYFUNCTION("""COMPUTED_VALUE"""),"P-19273-00")</f>
        <v>P-19273-00</v>
      </c>
      <c r="B1968" s="14" t="str">
        <f>IFERROR(__xludf.DUMMYFUNCTION("""COMPUTED_VALUE"""),"Free Float Steam Trap 3/4 inch (DN 20); TLV; J5X10;")</f>
        <v>Free Float Steam Trap 3/4 inch (DN 20); TLV; J5X10;</v>
      </c>
      <c r="C1968" s="14" t="str">
        <f>IFERROR(__xludf.DUMMYFUNCTION("""COMPUTED_VALUE"""),"P-19273-00")</f>
        <v>P-19273-00</v>
      </c>
    </row>
    <row r="1969">
      <c r="A1969" s="14" t="str">
        <f>IFERROR(__xludf.DUMMYFUNCTION("""COMPUTED_VALUE"""),"P-19274-00")</f>
        <v>P-19274-00</v>
      </c>
      <c r="B1969" s="14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4" t="str">
        <f>IFERROR(__xludf.DUMMYFUNCTION("""COMPUTED_VALUE"""),"P-19274-00")</f>
        <v>P-19274-00</v>
      </c>
    </row>
    <row r="1970">
      <c r="A1970" s="14" t="str">
        <f>IFERROR(__xludf.DUMMYFUNCTION("""COMPUTED_VALUE"""),"P-19303-00")</f>
        <v>P-19303-00</v>
      </c>
      <c r="B1970" s="14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4" t="str">
        <f>IFERROR(__xludf.DUMMYFUNCTION("""COMPUTED_VALUE"""),"P-19303-00")</f>
        <v>P-19303-00</v>
      </c>
    </row>
    <row r="1971">
      <c r="A1971" s="14" t="str">
        <f>IFERROR(__xludf.DUMMYFUNCTION("""COMPUTED_VALUE"""),"P-19304-00")</f>
        <v>P-19304-00</v>
      </c>
      <c r="B1971" s="14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4" t="str">
        <f>IFERROR(__xludf.DUMMYFUNCTION("""COMPUTED_VALUE"""),"P-19304-00")</f>
        <v>P-19304-00</v>
      </c>
    </row>
    <row r="1972">
      <c r="A1972" s="14" t="str">
        <f>IFERROR(__xludf.DUMMYFUNCTION("""COMPUTED_VALUE"""),"P-19354-00")</f>
        <v>P-19354-00</v>
      </c>
      <c r="B1972" s="14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4" t="str">
        <f>IFERROR(__xludf.DUMMYFUNCTION("""COMPUTED_VALUE"""),"P-19354-00")</f>
        <v>P-19354-00</v>
      </c>
    </row>
    <row r="1973">
      <c r="A1973" s="14" t="str">
        <f>IFERROR(__xludf.DUMMYFUNCTION("""COMPUTED_VALUE"""),"P-19381-00")</f>
        <v>P-19381-00</v>
      </c>
      <c r="B1973" s="14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4" t="str">
        <f>IFERROR(__xludf.DUMMYFUNCTION("""COMPUTED_VALUE"""),"P-19381-00")</f>
        <v>P-19381-00</v>
      </c>
    </row>
    <row r="1974">
      <c r="A1974" s="14" t="str">
        <f>IFERROR(__xludf.DUMMYFUNCTION("""COMPUTED_VALUE"""),"P-19405-00")</f>
        <v>P-19405-00</v>
      </c>
      <c r="B1974" s="14" t="str">
        <f>IFERROR(__xludf.DUMMYFUNCTION("""COMPUTED_VALUE"""),"General- Mechanical Sear CR 32 HQQE; Grundfoss; P/N : 96525458; 1 Pc")</f>
        <v>General- Mechanical Sear CR 32 HQQE; Grundfoss; P/N : 96525458; 1 Pc</v>
      </c>
      <c r="C1974" s="14" t="str">
        <f>IFERROR(__xludf.DUMMYFUNCTION("""COMPUTED_VALUE"""),"P-19405-00")</f>
        <v>P-19405-00</v>
      </c>
    </row>
    <row r="1975">
      <c r="A1975" s="14" t="str">
        <f>IFERROR(__xludf.DUMMYFUNCTION("""COMPUTED_VALUE"""),"P-19410-00")</f>
        <v>P-19410-00</v>
      </c>
      <c r="B1975" s="14" t="str">
        <f>IFERROR(__xludf.DUMMYFUNCTION("""COMPUTED_VALUE"""),"General - Bearing NATA5902; IKO; -; 1 pc")</f>
        <v>General - Bearing NATA5902; IKO; -; 1 pc</v>
      </c>
      <c r="C1975" s="14" t="str">
        <f>IFERROR(__xludf.DUMMYFUNCTION("""COMPUTED_VALUE"""),"P-19410-00")</f>
        <v>P-19410-00</v>
      </c>
    </row>
    <row r="1976">
      <c r="A1976" s="14" t="str">
        <f>IFERROR(__xludf.DUMMYFUNCTION("""COMPUTED_VALUE"""),"P-19434-00")</f>
        <v>P-19434-00</v>
      </c>
      <c r="B1976" s="14" t="str">
        <f>IFERROR(__xludf.DUMMYFUNCTION("""COMPUTED_VALUE"""),"General - Chemical Cleaning; Kuclean; AC 101; 1 PL = 25 Kg")</f>
        <v>General - Chemical Cleaning; Kuclean; AC 101; 1 PL = 25 Kg</v>
      </c>
      <c r="C1976" s="14" t="str">
        <f>IFERROR(__xludf.DUMMYFUNCTION("""COMPUTED_VALUE"""),"P-19434-00")</f>
        <v>P-19434-00</v>
      </c>
    </row>
    <row r="1977">
      <c r="A1977" s="14" t="str">
        <f>IFERROR(__xludf.DUMMYFUNCTION("""COMPUTED_VALUE"""),"P-19442-00")</f>
        <v>P-19442-00</v>
      </c>
      <c r="B1977" s="14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4" t="str">
        <f>IFERROR(__xludf.DUMMYFUNCTION("""COMPUTED_VALUE"""),"P-19442-00")</f>
        <v>P-19442-00</v>
      </c>
    </row>
    <row r="1978">
      <c r="A1978" s="14" t="str">
        <f>IFERROR(__xludf.DUMMYFUNCTION("""COMPUTED_VALUE"""),"P-19443-00")</f>
        <v>P-19443-00</v>
      </c>
      <c r="B1978" s="14" t="str">
        <f>IFERROR(__xludf.DUMMYFUNCTION("""COMPUTED_VALUE"""),"General - Pneumatic Vacuum Ejector; EMC; E-CV-05-R; 1 Pc")</f>
        <v>General - Pneumatic Vacuum Ejector; EMC; E-CV-05-R; 1 Pc</v>
      </c>
      <c r="C1978" s="14" t="str">
        <f>IFERROR(__xludf.DUMMYFUNCTION("""COMPUTED_VALUE"""),"P-19443-00")</f>
        <v>P-19443-00</v>
      </c>
    </row>
    <row r="1979">
      <c r="A1979" s="14" t="str">
        <f>IFERROR(__xludf.DUMMYFUNCTION("""COMPUTED_VALUE"""),"P-19449-00")</f>
        <v>P-19449-00</v>
      </c>
      <c r="B1979" s="14" t="str">
        <f>IFERROR(__xludf.DUMMYFUNCTION("""COMPUTED_VALUE"""),"Mesin Chamber - Coil Evaporator Uk. 52 X 22 X 11; Custom/Lokal; -; 1 Pc")</f>
        <v>Mesin Chamber - Coil Evaporator Uk. 52 X 22 X 11; Custom/Lokal; -; 1 Pc</v>
      </c>
      <c r="C1979" s="14" t="str">
        <f>IFERROR(__xludf.DUMMYFUNCTION("""COMPUTED_VALUE"""),"P-19449-00")</f>
        <v>P-19449-00</v>
      </c>
    </row>
    <row r="1980">
      <c r="A1980" s="14" t="str">
        <f>IFERROR(__xludf.DUMMYFUNCTION("""COMPUTED_VALUE"""),"P-19483-00")</f>
        <v>P-19483-00</v>
      </c>
      <c r="B1980" s="14" t="str">
        <f>IFERROR(__xludf.DUMMYFUNCTION("""COMPUTED_VALUE"""),"General - Float Vent 1/2 Inch; Yoshitake; TA-22; 1 Pc")</f>
        <v>General - Float Vent 1/2 Inch; Yoshitake; TA-22; 1 Pc</v>
      </c>
      <c r="C1980" s="14" t="str">
        <f>IFERROR(__xludf.DUMMYFUNCTION("""COMPUTED_VALUE"""),"P-19483-00")</f>
        <v>P-19483-00</v>
      </c>
    </row>
    <row r="1981">
      <c r="A1981" s="14" t="str">
        <f>IFERROR(__xludf.DUMMYFUNCTION("""COMPUTED_VALUE"""),"P-19484-00")</f>
        <v>P-19484-00</v>
      </c>
      <c r="B1981" s="14" t="str">
        <f>IFERROR(__xludf.DUMMYFUNCTION("""COMPUTED_VALUE"""),"General - Sliding Pintu Lift Barang Uk. 50 x 32 mm; Custom/Lokal; -; 1 Pc")</f>
        <v>General - Sliding Pintu Lift Barang Uk. 50 x 32 mm; Custom/Lokal; -; 1 Pc</v>
      </c>
      <c r="C1981" s="14" t="str">
        <f>IFERROR(__xludf.DUMMYFUNCTION("""COMPUTED_VALUE"""),"P-19484-00")</f>
        <v>P-19484-00</v>
      </c>
    </row>
    <row r="1982">
      <c r="A1982" s="14" t="str">
        <f>IFERROR(__xludf.DUMMYFUNCTION("""COMPUTED_VALUE"""),"P-19512-00")</f>
        <v>P-19512-00</v>
      </c>
      <c r="B1982" s="14" t="str">
        <f>IFERROR(__xludf.DUMMYFUNCTION("""COMPUTED_VALUE"""),"General - Karet Pintu Kaca Strip Silikon H 10mm; Lokal; -; 1 meter")</f>
        <v>General - Karet Pintu Kaca Strip Silikon H 10mm; Lokal; -; 1 meter</v>
      </c>
      <c r="C1982" s="14" t="str">
        <f>IFERROR(__xludf.DUMMYFUNCTION("""COMPUTED_VALUE"""),"P-19512-00")</f>
        <v>P-19512-00</v>
      </c>
    </row>
    <row r="1983">
      <c r="A1983" s="14" t="str">
        <f>IFERROR(__xludf.DUMMYFUNCTION("""COMPUTED_VALUE"""),"P-19521-00")</f>
        <v>P-19521-00</v>
      </c>
      <c r="B1983" s="14" t="str">
        <f>IFERROR(__xludf.DUMMYFUNCTION("""COMPUTED_VALUE"""),"General - Regulator Gas Hydrogen; Harris; 25GX-15-H2; 1 pcs")</f>
        <v>General - Regulator Gas Hydrogen; Harris; 25GX-15-H2; 1 pcs</v>
      </c>
      <c r="C1983" s="14" t="str">
        <f>IFERROR(__xludf.DUMMYFUNCTION("""COMPUTED_VALUE"""),"P-19521-00")</f>
        <v>P-19521-00</v>
      </c>
    </row>
    <row r="1984">
      <c r="A1984" s="14" t="str">
        <f>IFERROR(__xludf.DUMMYFUNCTION("""COMPUTED_VALUE"""),"P-19539-00")</f>
        <v>P-19539-00</v>
      </c>
      <c r="B1984" s="14" t="str">
        <f>IFERROR(__xludf.DUMMYFUNCTION("""COMPUTED_VALUE"""),"General - Roda Pu 3 Inch 75X32 Mm Tanpa Bracket  -  -")</f>
        <v>General - Roda Pu 3 Inch 75X32 Mm Tanpa Bracket  -  -</v>
      </c>
      <c r="C1984" s="14" t="str">
        <f>IFERROR(__xludf.DUMMYFUNCTION("""COMPUTED_VALUE"""),"P-19539-00")</f>
        <v>P-19539-00</v>
      </c>
    </row>
    <row r="1985">
      <c r="A1985" s="14" t="str">
        <f>IFERROR(__xludf.DUMMYFUNCTION("""COMPUTED_VALUE"""),"P-19540-00")</f>
        <v>P-19540-00</v>
      </c>
      <c r="B1985" s="14" t="str">
        <f>IFERROR(__xludf.DUMMYFUNCTION("""COMPUTED_VALUE"""),"General - Roda Pu 3 Inch Drat 1/2 Inch X 30Mm  -  -")</f>
        <v>General - Roda Pu 3 Inch Drat 1/2 Inch X 30Mm  -  -</v>
      </c>
      <c r="C1985" s="14" t="str">
        <f>IFERROR(__xludf.DUMMYFUNCTION("""COMPUTED_VALUE"""),"P-19540-00")</f>
        <v>P-19540-00</v>
      </c>
    </row>
    <row r="1986">
      <c r="A1986" s="14" t="str">
        <f>IFERROR(__xludf.DUMMYFUNCTION("""COMPUTED_VALUE"""),"P-19542-00")</f>
        <v>P-19542-00</v>
      </c>
      <c r="B1986" s="14" t="str">
        <f>IFERROR(__xludf.DUMMYFUNCTION("""COMPUTED_VALUE"""),"General - Regulator Gas Helium, 96-15M-He; Morris; -; 1 pc")</f>
        <v>General - Regulator Gas Helium, 96-15M-He; Morris; -; 1 pc</v>
      </c>
      <c r="C1986" s="14" t="str">
        <f>IFERROR(__xludf.DUMMYFUNCTION("""COMPUTED_VALUE"""),"P-19542-00")</f>
        <v>P-19542-00</v>
      </c>
    </row>
    <row r="1987">
      <c r="A1987" s="14" t="str">
        <f>IFERROR(__xludf.DUMMYFUNCTION("""COMPUTED_VALUE"""),"P-19569-00")</f>
        <v>P-19569-00</v>
      </c>
      <c r="B1987" s="14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4" t="str">
        <f>IFERROR(__xludf.DUMMYFUNCTION("""COMPUTED_VALUE"""),"P-19569-00")</f>
        <v>P-19569-00</v>
      </c>
    </row>
    <row r="1988">
      <c r="A1988" s="14" t="str">
        <f>IFERROR(__xludf.DUMMYFUNCTION("""COMPUTED_VALUE"""),"P-19570-00")</f>
        <v>P-19570-00</v>
      </c>
      <c r="B1988" s="14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4" t="str">
        <f>IFERROR(__xludf.DUMMYFUNCTION("""COMPUTED_VALUE"""),"P-19570-00")</f>
        <v>P-19570-00</v>
      </c>
    </row>
    <row r="1989">
      <c r="A1989" s="14" t="str">
        <f>IFERROR(__xludf.DUMMYFUNCTION("""COMPUTED_VALUE"""),"P-19571-00")</f>
        <v>P-19571-00</v>
      </c>
      <c r="B1989" s="14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4" t="str">
        <f>IFERROR(__xludf.DUMMYFUNCTION("""COMPUTED_VALUE"""),"P-19571-00")</f>
        <v>P-19571-00</v>
      </c>
    </row>
    <row r="1990">
      <c r="A1990" s="14" t="str">
        <f>IFERROR(__xludf.DUMMYFUNCTION("""COMPUTED_VALUE"""),"P-19600-00")</f>
        <v>P-19600-00</v>
      </c>
      <c r="B1990" s="14" t="str">
        <f>IFERROR(__xludf.DUMMYFUNCTION("""COMPUTED_VALUE"""),"General - Tubing TLM0604N-100; SMC; -; 1 meter")</f>
        <v>General - Tubing TLM0604N-100; SMC; -; 1 meter</v>
      </c>
      <c r="C1990" s="14" t="str">
        <f>IFERROR(__xludf.DUMMYFUNCTION("""COMPUTED_VALUE"""),"P-19600-00")</f>
        <v>P-19600-00</v>
      </c>
    </row>
    <row r="1991">
      <c r="A1991" s="14" t="str">
        <f>IFERROR(__xludf.DUMMYFUNCTION("""COMPUTED_VALUE"""),"P-19622-00")</f>
        <v>P-19622-00</v>
      </c>
      <c r="B1991" s="14" t="str">
        <f>IFERROR(__xludf.DUMMYFUNCTION("""COMPUTED_VALUE"""),"General - Hollow SS 304 Uk. 40 x 40 x 1,2mm x 6m; No Brand; -; 1 pc")</f>
        <v>General - Hollow SS 304 Uk. 40 x 40 x 1,2mm x 6m; No Brand; -; 1 pc</v>
      </c>
      <c r="C1991" s="14" t="str">
        <f>IFERROR(__xludf.DUMMYFUNCTION("""COMPUTED_VALUE"""),"P-19622-00")</f>
        <v>P-19622-00</v>
      </c>
    </row>
    <row r="1992">
      <c r="A1992" s="14" t="str">
        <f>IFERROR(__xludf.DUMMYFUNCTION("""COMPUTED_VALUE"""),"P-19623-00")</f>
        <v>P-19623-00</v>
      </c>
      <c r="B1992" s="14" t="str">
        <f>IFERROR(__xludf.DUMMYFUNCTION("""COMPUTED_VALUE"""),"General - Air Gun 10 Inch; Tekiro; -; 1 pc")</f>
        <v>General - Air Gun 10 Inch; Tekiro; -; 1 pc</v>
      </c>
      <c r="C1992" s="14" t="str">
        <f>IFERROR(__xludf.DUMMYFUNCTION("""COMPUTED_VALUE"""),"P-19623-00")</f>
        <v>P-19623-00</v>
      </c>
    </row>
    <row r="1993">
      <c r="A1993" s="14" t="str">
        <f>IFERROR(__xludf.DUMMYFUNCTION("""COMPUTED_VALUE"""),"P-19637-00")</f>
        <v>P-19637-00</v>
      </c>
      <c r="B1993" s="14" t="str">
        <f>IFERROR(__xludf.DUMMYFUNCTION("""COMPUTED_VALUE"""),"General - Recoil Spiral Hose dia. 5 x 8mm x 12 meter; No Brand; -; 1 pc")</f>
        <v>General - Recoil Spiral Hose dia. 5 x 8mm x 12 meter; No Brand; -; 1 pc</v>
      </c>
      <c r="C1993" s="14" t="str">
        <f>IFERROR(__xludf.DUMMYFUNCTION("""COMPUTED_VALUE"""),"P-19637-00")</f>
        <v>P-19637-00</v>
      </c>
    </row>
    <row r="1994">
      <c r="A1994" s="14" t="str">
        <f>IFERROR(__xludf.DUMMYFUNCTION("""COMPUTED_VALUE"""),"P-19638-00")</f>
        <v>P-19638-00</v>
      </c>
      <c r="B1994" s="14" t="str">
        <f>IFERROR(__xludf.DUMMYFUNCTION("""COMPUTED_VALUE"""),"General - Mini Regulator for Spray Gun with Filter; No Brand; -; 1 pc")</f>
        <v>General - Mini Regulator for Spray Gun with Filter; No Brand; -; 1 pc</v>
      </c>
      <c r="C1994" s="14" t="str">
        <f>IFERROR(__xludf.DUMMYFUNCTION("""COMPUTED_VALUE"""),"P-19638-00")</f>
        <v>P-19638-00</v>
      </c>
    </row>
    <row r="1995">
      <c r="A1995" s="14" t="str">
        <f>IFERROR(__xludf.DUMMYFUNCTION("""COMPUTED_VALUE"""),"P-19647-00")</f>
        <v>P-19647-00</v>
      </c>
      <c r="B1995" s="14" t="str">
        <f>IFERROR(__xludf.DUMMYFUNCTION("""COMPUTED_VALUE"""),"General - Gasket Ferrule EPDM 6inch; Lokal; -; 1 pc")</f>
        <v>General - Gasket Ferrule EPDM 6inch; Lokal; -; 1 pc</v>
      </c>
      <c r="C1995" s="14" t="str">
        <f>IFERROR(__xludf.DUMMYFUNCTION("""COMPUTED_VALUE"""),"P-19647-00")</f>
        <v>P-19647-00</v>
      </c>
    </row>
    <row r="1996">
      <c r="A1996" s="14" t="str">
        <f>IFERROR(__xludf.DUMMYFUNCTION("""COMPUTED_VALUE"""),"P-19659-00")</f>
        <v>P-19659-00</v>
      </c>
      <c r="B1996" s="14" t="str">
        <f>IFERROR(__xludf.DUMMYFUNCTION("""COMPUTED_VALUE"""),"General - Dop, PVC AW, 3/4""; No Brand; -; 1 pc")</f>
        <v>General - Dop, PVC AW, 3/4"; No Brand; -; 1 pc</v>
      </c>
      <c r="C1996" s="14" t="str">
        <f>IFERROR(__xludf.DUMMYFUNCTION("""COMPUTED_VALUE"""),"P-19659-00")</f>
        <v>P-19659-00</v>
      </c>
    </row>
    <row r="1997">
      <c r="A1997" s="14" t="str">
        <f>IFERROR(__xludf.DUMMYFUNCTION("""COMPUTED_VALUE"""),"P-19660-00")</f>
        <v>P-19660-00</v>
      </c>
      <c r="B1997" s="14" t="str">
        <f>IFERROR(__xludf.DUMMYFUNCTION("""COMPUTED_VALUE"""),"Fitting PVC - Tee PVC 2.5 Inch; Rucika; -; 1 pc")</f>
        <v>Fitting PVC - Tee PVC 2.5 Inch; Rucika; -; 1 pc</v>
      </c>
      <c r="C1997" s="14" t="str">
        <f>IFERROR(__xludf.DUMMYFUNCTION("""COMPUTED_VALUE"""),"P-19660-00")</f>
        <v>P-19660-00</v>
      </c>
    </row>
    <row r="1998">
      <c r="A1998" s="14" t="str">
        <f>IFERROR(__xludf.DUMMYFUNCTION("""COMPUTED_VALUE"""),"P-19678-00")</f>
        <v>P-19678-00</v>
      </c>
      <c r="B1998" s="14" t="str">
        <f>IFERROR(__xludf.DUMMYFUNCTION("""COMPUTED_VALUE"""),"General - Kompresor Udata Gun 1/4inch; Lokal; -; 1 pc")</f>
        <v>General - Kompresor Udata Gun 1/4inch; Lokal; -; 1 pc</v>
      </c>
      <c r="C1998" s="14" t="str">
        <f>IFERROR(__xludf.DUMMYFUNCTION("""COMPUTED_VALUE"""),"P-19678-00")</f>
        <v>P-19678-00</v>
      </c>
    </row>
    <row r="1999">
      <c r="A1999" s="14" t="str">
        <f>IFERROR(__xludf.DUMMYFUNCTION("""COMPUTED_VALUE"""),"P-19693-00")</f>
        <v>P-19693-00</v>
      </c>
      <c r="B1999" s="14" t="str">
        <f>IFERROR(__xludf.DUMMYFUNCTION("""COMPUTED_VALUE"""),"General - Lem Adhesive; Superlon; -; 1kg/can")</f>
        <v>General - Lem Adhesive; Superlon; -; 1kg/can</v>
      </c>
      <c r="C1999" s="14" t="str">
        <f>IFERROR(__xludf.DUMMYFUNCTION("""COMPUTED_VALUE"""),"P-19693-00")</f>
        <v>P-19693-00</v>
      </c>
    </row>
    <row r="2000">
      <c r="A2000" s="14" t="str">
        <f>IFERROR(__xludf.DUMMYFUNCTION("""COMPUTED_VALUE"""),"P-19731-00")</f>
        <v>P-19731-00</v>
      </c>
      <c r="B2000" s="14" t="str">
        <f>IFERROR(__xludf.DUMMYFUNCTION("""COMPUTED_VALUE"""),"General - Solenoid Valve 1 inch SS 304, UWS-25-E2; EMC; -; 1 pc")</f>
        <v>General - Solenoid Valve 1 inch SS 304, UWS-25-E2; EMC; -; 1 pc</v>
      </c>
      <c r="C2000" s="14" t="str">
        <f>IFERROR(__xludf.DUMMYFUNCTION("""COMPUTED_VALUE"""),"P-19731-00")</f>
        <v>P-19731-00</v>
      </c>
    </row>
    <row r="2001">
      <c r="A2001" s="14" t="str">
        <f>IFERROR(__xludf.DUMMYFUNCTION("""COMPUTED_VALUE"""),"P-19757-00")</f>
        <v>P-19757-00</v>
      </c>
      <c r="B2001" s="14" t="str">
        <f>IFERROR(__xludf.DUMMYFUNCTION("""COMPUTED_VALUE"""),"General - Filter Panel Size 4inch; No Brand; -; 1 pc")</f>
        <v>General - Filter Panel Size 4inch; No Brand; -; 1 pc</v>
      </c>
      <c r="C2001" s="14" t="str">
        <f>IFERROR(__xludf.DUMMYFUNCTION("""COMPUTED_VALUE"""),"P-19757-00")</f>
        <v>P-19757-00</v>
      </c>
    </row>
    <row r="2002">
      <c r="A2002" s="14" t="str">
        <f>IFERROR(__xludf.DUMMYFUNCTION("""COMPUTED_VALUE"""),"P-19770-00")</f>
        <v>P-19770-00</v>
      </c>
      <c r="B2002" s="14" t="str">
        <f>IFERROR(__xludf.DUMMYFUNCTION("""COMPUTED_VALUE"""),"General - Centering Ring DN25 ISO-KF with Fine Filter; No Brand; -; 1 pc")</f>
        <v>General - Centering Ring DN25 ISO-KF with Fine Filter; No Brand; -; 1 pc</v>
      </c>
      <c r="C2002" s="14" t="str">
        <f>IFERROR(__xludf.DUMMYFUNCTION("""COMPUTED_VALUE"""),"P-19770-00")</f>
        <v>P-19770-00</v>
      </c>
    </row>
    <row r="2003">
      <c r="A2003" s="14" t="str">
        <f>IFERROR(__xludf.DUMMYFUNCTION("""COMPUTED_VALUE"""),"P-19771-00")</f>
        <v>P-19771-00</v>
      </c>
      <c r="B2003" s="14" t="str">
        <f>IFERROR(__xludf.DUMMYFUNCTION("""COMPUTED_VALUE"""),"General - Clamping Ring DN20-25 ISO-KF; No Brand; -; 1 pc")</f>
        <v>General - Clamping Ring DN20-25 ISO-KF; No Brand; -; 1 pc</v>
      </c>
      <c r="C2003" s="14" t="str">
        <f>IFERROR(__xludf.DUMMYFUNCTION("""COMPUTED_VALUE"""),"P-19771-00")</f>
        <v>P-19771-00</v>
      </c>
    </row>
    <row r="2004">
      <c r="A2004" s="14" t="str">
        <f>IFERROR(__xludf.DUMMYFUNCTION("""COMPUTED_VALUE"""),"P-19772-00")</f>
        <v>P-19772-00</v>
      </c>
      <c r="B2004" s="14" t="str">
        <f>IFERROR(__xludf.DUMMYFUNCTION("""COMPUTED_VALUE"""),"General - Centering Ring DN25 ISO-KF SS/FPM; No Brand; -; 1 pc")</f>
        <v>General - Centering Ring DN25 ISO-KF SS/FPM; No Brand; -; 1 pc</v>
      </c>
      <c r="C2004" s="14" t="str">
        <f>IFERROR(__xludf.DUMMYFUNCTION("""COMPUTED_VALUE"""),"P-19772-00")</f>
        <v>P-19772-00</v>
      </c>
    </row>
    <row r="2005">
      <c r="A2005" s="14" t="str">
        <f>IFERROR(__xludf.DUMMYFUNCTION("""COMPUTED_VALUE"""),"P-19777-00")</f>
        <v>P-19777-00</v>
      </c>
      <c r="B2005" s="14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4" t="str">
        <f>IFERROR(__xludf.DUMMYFUNCTION("""COMPUTED_VALUE"""),"P-19777-00")</f>
        <v>P-19777-00</v>
      </c>
    </row>
    <row r="2006">
      <c r="A2006" s="14" t="str">
        <f>IFERROR(__xludf.DUMMYFUNCTION("""COMPUTED_VALUE"""),"P-19778-00")</f>
        <v>P-19778-00</v>
      </c>
      <c r="B2006" s="14" t="str">
        <f>IFERROR(__xludf.DUMMYFUNCTION("""COMPUTED_VALUE"""),"General - Mesh 30 SS 304; No Brand; -; 1 meter")</f>
        <v>General - Mesh 30 SS 304; No Brand; -; 1 meter</v>
      </c>
      <c r="C2006" s="14" t="str">
        <f>IFERROR(__xludf.DUMMYFUNCTION("""COMPUTED_VALUE"""),"P-19778-00")</f>
        <v>P-19778-00</v>
      </c>
    </row>
    <row r="2007">
      <c r="A2007" s="14" t="str">
        <f>IFERROR(__xludf.DUMMYFUNCTION("""COMPUTED_VALUE"""),"P-19779-00")</f>
        <v>P-19779-00</v>
      </c>
      <c r="B2007" s="14" t="str">
        <f>IFERROR(__xludf.DUMMYFUNCTION("""COMPUTED_VALUE"""),"General - PVC Hose cpl., DN25 ISO-KF, 2000 mm; Inficon; 211-412; 1 pc")</f>
        <v>General - PVC Hose cpl., DN25 ISO-KF, 2000 mm; Inficon; 211-412; 1 pc</v>
      </c>
      <c r="C2007" s="14" t="str">
        <f>IFERROR(__xludf.DUMMYFUNCTION("""COMPUTED_VALUE"""),"P-19779-00")</f>
        <v>P-19779-00</v>
      </c>
    </row>
    <row r="2008">
      <c r="A2008" s="14" t="str">
        <f>IFERROR(__xludf.DUMMYFUNCTION("""COMPUTED_VALUE"""),"P-19784-00")</f>
        <v>P-19784-00</v>
      </c>
      <c r="B2008" s="14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4" t="str">
        <f>IFERROR(__xludf.DUMMYFUNCTION("""COMPUTED_VALUE"""),"P-19784-00")</f>
        <v>P-19784-00</v>
      </c>
    </row>
    <row r="2009">
      <c r="A2009" s="14" t="str">
        <f>IFERROR(__xludf.DUMMYFUNCTION("""COMPUTED_VALUE"""),"P-19791-00")</f>
        <v>P-19791-00</v>
      </c>
      <c r="B2009" s="14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4" t="str">
        <f>IFERROR(__xludf.DUMMYFUNCTION("""COMPUTED_VALUE"""),"P-19791-00")</f>
        <v>P-19791-00</v>
      </c>
    </row>
    <row r="2010">
      <c r="A2010" s="14" t="str">
        <f>IFERROR(__xludf.DUMMYFUNCTION("""COMPUTED_VALUE"""),"P-19811-00")</f>
        <v>P-19811-00</v>
      </c>
      <c r="B2010" s="14" t="str">
        <f>IFERROR(__xludf.DUMMYFUNCTION("""COMPUTED_VALUE"""),"General - Clamp Ferrule Sanitary 3/4 Inch; No Brand; -; 1 pc")</f>
        <v>General - Clamp Ferrule Sanitary 3/4 Inch; No Brand; -; 1 pc</v>
      </c>
      <c r="C2010" s="14" t="str">
        <f>IFERROR(__xludf.DUMMYFUNCTION("""COMPUTED_VALUE"""),"P-19811-00")</f>
        <v>P-19811-00</v>
      </c>
    </row>
    <row r="2011">
      <c r="A2011" s="14" t="str">
        <f>IFERROR(__xludf.DUMMYFUNCTION("""COMPUTED_VALUE"""),"P-19818-00")</f>
        <v>P-19818-00</v>
      </c>
      <c r="B2011" s="14" t="str">
        <f>IFERROR(__xludf.DUMMYFUNCTION("""COMPUTED_VALUE"""),"General - Regulator AR2000-02 Uk. 1/4inch; ITAC; -; 1 pc")</f>
        <v>General - Regulator AR2000-02 Uk. 1/4inch; ITAC; -; 1 pc</v>
      </c>
      <c r="C2011" s="14" t="str">
        <f>IFERROR(__xludf.DUMMYFUNCTION("""COMPUTED_VALUE"""),"P-19818-00")</f>
        <v>P-19818-00</v>
      </c>
    </row>
    <row r="2012">
      <c r="A2012" s="14" t="str">
        <f>IFERROR(__xludf.DUMMYFUNCTION("""COMPUTED_VALUE"""),"P-19819-00")</f>
        <v>P-19819-00</v>
      </c>
      <c r="B2012" s="14" t="str">
        <f>IFERROR(__xludf.DUMMYFUNCTION("""COMPUTED_VALUE"""),"General - Drain Pan Humidity Chamber SS304; Custom; -; 1 unit")</f>
        <v>General - Drain Pan Humidity Chamber SS304; Custom; -; 1 unit</v>
      </c>
      <c r="C2012" s="14" t="str">
        <f>IFERROR(__xludf.DUMMYFUNCTION("""COMPUTED_VALUE"""),"P-19819-00")</f>
        <v>P-19819-00</v>
      </c>
    </row>
    <row r="2013">
      <c r="A2013" s="14" t="str">
        <f>IFERROR(__xludf.DUMMYFUNCTION("""COMPUTED_VALUE"""),"P-19820-00")</f>
        <v>P-19820-00</v>
      </c>
      <c r="B2013" s="14" t="str">
        <f>IFERROR(__xludf.DUMMYFUNCTION("""COMPUTED_VALUE"""),"General - Baut L Tanam M5 x 10 x 0.8 SS 304; No Brand; -; 100pcs/pack")</f>
        <v>General - Baut L Tanam M5 x 10 x 0.8 SS 304; No Brand; -; 100pcs/pack</v>
      </c>
      <c r="C2013" s="14" t="str">
        <f>IFERROR(__xludf.DUMMYFUNCTION("""COMPUTED_VALUE"""),"P-19820-00")</f>
        <v>P-19820-00</v>
      </c>
    </row>
    <row r="2014">
      <c r="A2014" s="14" t="str">
        <f>IFERROR(__xludf.DUMMYFUNCTION("""COMPUTED_VALUE"""),"P-19826-00")</f>
        <v>P-19826-00</v>
      </c>
      <c r="B2014" s="14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4" t="str">
        <f>IFERROR(__xludf.DUMMYFUNCTION("""COMPUTED_VALUE"""),"P-19826-00")</f>
        <v>P-19826-00</v>
      </c>
    </row>
    <row r="2015">
      <c r="A2015" s="14" t="str">
        <f>IFERROR(__xludf.DUMMYFUNCTION("""COMPUTED_VALUE"""),"P-19827-00")</f>
        <v>P-19827-00</v>
      </c>
      <c r="B2015" s="14" t="str">
        <f>IFERROR(__xludf.DUMMYFUNCTION("""COMPUTED_VALUE"""),"General - Valve Aktuator Stroke 40mm; Siemens; SKC62 2800N; 1 pc")</f>
        <v>General - Valve Aktuator Stroke 40mm; Siemens; SKC62 2800N; 1 pc</v>
      </c>
      <c r="C2015" s="14" t="str">
        <f>IFERROR(__xludf.DUMMYFUNCTION("""COMPUTED_VALUE"""),"P-19827-00")</f>
        <v>P-19827-00</v>
      </c>
    </row>
    <row r="2016">
      <c r="A2016" s="14" t="str">
        <f>IFERROR(__xludf.DUMMYFUNCTION("""COMPUTED_VALUE"""),"P-19844-00")</f>
        <v>P-19844-00</v>
      </c>
      <c r="B2016" s="14" t="str">
        <f>IFERROR(__xludf.DUMMYFUNCTION("""COMPUTED_VALUE"""),"General - Drain Pan WIHC; Custom Agru Farma; -; 1 pc")</f>
        <v>General - Drain Pan WIHC; Custom Agru Farma; -; 1 pc</v>
      </c>
      <c r="C2016" s="14" t="str">
        <f>IFERROR(__xludf.DUMMYFUNCTION("""COMPUTED_VALUE"""),"P-19844-00")</f>
        <v>P-19844-00</v>
      </c>
    </row>
    <row r="2017">
      <c r="A2017" s="14" t="str">
        <f>IFERROR(__xludf.DUMMYFUNCTION("""COMPUTED_VALUE"""),"P-19845-00")</f>
        <v>P-19845-00</v>
      </c>
      <c r="B2017" s="14" t="str">
        <f>IFERROR(__xludf.DUMMYFUNCTION("""COMPUTED_VALUE"""),"General - Roda PU 2 Inch tebal 25mm (Hanya Roda); No Brand; -; 1 pc")</f>
        <v>General - Roda PU 2 Inch tebal 25mm (Hanya Roda); No Brand; -; 1 pc</v>
      </c>
      <c r="C2017" s="14" t="str">
        <f>IFERROR(__xludf.DUMMYFUNCTION("""COMPUTED_VALUE"""),"P-19845-00")</f>
        <v>P-19845-00</v>
      </c>
    </row>
    <row r="2018">
      <c r="A2018" s="14" t="str">
        <f>IFERROR(__xludf.DUMMYFUNCTION("""COMPUTED_VALUE"""),"P-19846-00")</f>
        <v>P-19846-00</v>
      </c>
      <c r="B2018" s="14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4" t="str">
        <f>IFERROR(__xludf.DUMMYFUNCTION("""COMPUTED_VALUE"""),"P-19846-00")</f>
        <v>P-19846-00</v>
      </c>
    </row>
    <row r="2019">
      <c r="A2019" s="14" t="str">
        <f>IFERROR(__xludf.DUMMYFUNCTION("""COMPUTED_VALUE"""),"P-19847-00")</f>
        <v>P-19847-00</v>
      </c>
      <c r="B2019" s="14" t="str">
        <f>IFERROR(__xludf.DUMMYFUNCTION("""COMPUTED_VALUE"""),"General - Baut L Tanam M4x4mm SS304; No Brand; -; 100pcs/pack")</f>
        <v>General - Baut L Tanam M4x4mm SS304; No Brand; -; 100pcs/pack</v>
      </c>
      <c r="C2019" s="14" t="str">
        <f>IFERROR(__xludf.DUMMYFUNCTION("""COMPUTED_VALUE"""),"P-19847-00")</f>
        <v>P-19847-00</v>
      </c>
    </row>
    <row r="2020">
      <c r="A2020" s="14" t="str">
        <f>IFERROR(__xludf.DUMMYFUNCTION("""COMPUTED_VALUE"""),"P-19848-00")</f>
        <v>P-19848-00</v>
      </c>
      <c r="B2020" s="14" t="str">
        <f>IFERROR(__xludf.DUMMYFUNCTION("""COMPUTED_VALUE"""),"General - Kawat Las Elektrode uk. 2,6x300mm; Niko Steel; NSN-308; 1 pc")</f>
        <v>General - Kawat Las Elektrode uk. 2,6x300mm; Niko Steel; NSN-308; 1 pc</v>
      </c>
      <c r="C2020" s="14" t="str">
        <f>IFERROR(__xludf.DUMMYFUNCTION("""COMPUTED_VALUE"""),"P-19848-00")</f>
        <v>P-19848-00</v>
      </c>
    </row>
    <row r="2021">
      <c r="A2021" s="14" t="str">
        <f>IFERROR(__xludf.DUMMYFUNCTION("""COMPUTED_VALUE"""),"P-19849-00")</f>
        <v>P-19849-00</v>
      </c>
      <c r="B2021" s="14" t="str">
        <f>IFERROR(__xludf.DUMMYFUNCTION("""COMPUTED_VALUE"""),"General - Reducer Pneumatic Fitting 14-12 mm; EMC; -; 1 pc")</f>
        <v>General - Reducer Pneumatic Fitting 14-12 mm; EMC; -; 1 pc</v>
      </c>
      <c r="C2021" s="14" t="str">
        <f>IFERROR(__xludf.DUMMYFUNCTION("""COMPUTED_VALUE"""),"P-19849-00")</f>
        <v>P-19849-00</v>
      </c>
    </row>
    <row r="2022">
      <c r="A2022" s="14" t="str">
        <f>IFERROR(__xludf.DUMMYFUNCTION("""COMPUTED_VALUE"""),"P-19850-00")</f>
        <v>P-19850-00</v>
      </c>
      <c r="B2022" s="14" t="str">
        <f>IFERROR(__xludf.DUMMYFUNCTION("""COMPUTED_VALUE"""),"General - Bearing 629ZZ; SKF; -; 1 pc")</f>
        <v>General - Bearing 629ZZ; SKF; -; 1 pc</v>
      </c>
      <c r="C2022" s="14" t="str">
        <f>IFERROR(__xludf.DUMMYFUNCTION("""COMPUTED_VALUE"""),"P-19850-00")</f>
        <v>P-19850-00</v>
      </c>
    </row>
    <row r="2023">
      <c r="A2023" s="14" t="str">
        <f>IFERROR(__xludf.DUMMYFUNCTION("""COMPUTED_VALUE"""),"P-19868-00")</f>
        <v>P-19868-00</v>
      </c>
      <c r="B2023" s="14" t="str">
        <f>IFERROR(__xludf.DUMMYFUNCTION("""COMPUTED_VALUE"""),"General - Blind Plate KF25 SS; Lokal; -; 1 pc")</f>
        <v>General - Blind Plate KF25 SS; Lokal; -; 1 pc</v>
      </c>
      <c r="C2023" s="14" t="str">
        <f>IFERROR(__xludf.DUMMYFUNCTION("""COMPUTED_VALUE"""),"P-19868-00")</f>
        <v>P-19868-00</v>
      </c>
    </row>
    <row r="2024">
      <c r="A2024" s="14" t="str">
        <f>IFERROR(__xludf.DUMMYFUNCTION("""COMPUTED_VALUE"""),"P-19877-00")</f>
        <v>P-19877-00</v>
      </c>
      <c r="B2024" s="14" t="str">
        <f>IFERROR(__xludf.DUMMYFUNCTION("""COMPUTED_VALUE"""),"General - Flexible Ducting Pipa Alumunium 4inch; No Brand; -; 1 pc")</f>
        <v>General - Flexible Ducting Pipa Alumunium 4inch; No Brand; -; 1 pc</v>
      </c>
      <c r="C2024" s="14" t="str">
        <f>IFERROR(__xludf.DUMMYFUNCTION("""COMPUTED_VALUE"""),"P-19877-00")</f>
        <v>P-19877-00</v>
      </c>
    </row>
    <row r="2025">
      <c r="A2025" s="14" t="str">
        <f>IFERROR(__xludf.DUMMYFUNCTION("""COMPUTED_VALUE"""),"P-19879-00")</f>
        <v>P-19879-00</v>
      </c>
      <c r="B2025" s="14" t="str">
        <f>IFERROR(__xludf.DUMMYFUNCTION("""COMPUTED_VALUE"""),"General - Clamp Pipa Gantung 2,5inch; No Brand; -; 1 pc")</f>
        <v>General - Clamp Pipa Gantung 2,5inch; No Brand; -; 1 pc</v>
      </c>
      <c r="C2025" s="14" t="str">
        <f>IFERROR(__xludf.DUMMYFUNCTION("""COMPUTED_VALUE"""),"P-19879-00")</f>
        <v>P-19879-00</v>
      </c>
    </row>
    <row r="2026">
      <c r="A2026" s="14" t="str">
        <f>IFERROR(__xludf.DUMMYFUNCTION("""COMPUTED_VALUE"""),"P-19882-00")</f>
        <v>P-19882-00</v>
      </c>
      <c r="B2026" s="14" t="str">
        <f>IFERROR(__xludf.DUMMYFUNCTION("""COMPUTED_VALUE"""),"General - Socket Pipa PVC JIS AW 2inch; Rucika; -; 1 pc")</f>
        <v>General - Socket Pipa PVC JIS AW 2inch; Rucika; -; 1 pc</v>
      </c>
      <c r="C2026" s="14" t="str">
        <f>IFERROR(__xludf.DUMMYFUNCTION("""COMPUTED_VALUE"""),"P-19882-00")</f>
        <v>P-19882-00</v>
      </c>
    </row>
    <row r="2027">
      <c r="A2027" s="14" t="str">
        <f>IFERROR(__xludf.DUMMYFUNCTION("""COMPUTED_VALUE"""),"P-19885-00")</f>
        <v>P-19885-00</v>
      </c>
      <c r="B2027" s="14" t="str">
        <f>IFERROR(__xludf.DUMMYFUNCTION("""COMPUTED_VALUE"""),"General - Kabel Duct Oval, Size: 50x15, Panjang 2.9meter; Stindo; -; 1 pc")</f>
        <v>General - Kabel Duct Oval, Size: 50x15, Panjang 2.9meter; Stindo; -; 1 pc</v>
      </c>
      <c r="C2027" s="14" t="str">
        <f>IFERROR(__xludf.DUMMYFUNCTION("""COMPUTED_VALUE"""),"P-19885-00")</f>
        <v>P-19885-00</v>
      </c>
    </row>
    <row r="2028">
      <c r="A2028" s="14" t="str">
        <f>IFERROR(__xludf.DUMMYFUNCTION("""COMPUTED_VALUE"""),"P-19889-00")</f>
        <v>P-19889-00</v>
      </c>
      <c r="B2028" s="14" t="str">
        <f>IFERROR(__xludf.DUMMYFUNCTION("""COMPUTED_VALUE"""),"General - Air Accu Merah; DeQuua; -; 20L/can")</f>
        <v>General - Air Accu Merah; DeQuua; -; 20L/can</v>
      </c>
      <c r="C2028" s="14" t="str">
        <f>IFERROR(__xludf.DUMMYFUNCTION("""COMPUTED_VALUE"""),"P-19889-00")</f>
        <v>P-19889-00</v>
      </c>
    </row>
    <row r="2029">
      <c r="A2029" s="14" t="str">
        <f>IFERROR(__xludf.DUMMYFUNCTION("""COMPUTED_VALUE"""),"P-19892-00")</f>
        <v>P-19892-00</v>
      </c>
      <c r="B2029" s="14" t="str">
        <f>IFERROR(__xludf.DUMMYFUNCTION("""COMPUTED_VALUE"""),"General - Plug Silincer 1/4inch; No Brand; -; 1 pc")</f>
        <v>General - Plug Silincer 1/4inch; No Brand; -; 1 pc</v>
      </c>
      <c r="C2029" s="14" t="str">
        <f>IFERROR(__xludf.DUMMYFUNCTION("""COMPUTED_VALUE"""),"P-19892-00")</f>
        <v>P-19892-00</v>
      </c>
    </row>
    <row r="2030">
      <c r="A2030" s="14" t="str">
        <f>IFERROR(__xludf.DUMMYFUNCTION("""COMPUTED_VALUE"""),"P-19893-00")</f>
        <v>P-19893-00</v>
      </c>
      <c r="B2030" s="14" t="str">
        <f>IFERROR(__xludf.DUMMYFUNCTION("""COMPUTED_VALUE"""),"General - Plug Silincer 1/8inch SS304; No Brand; -; 1 pc")</f>
        <v>General - Plug Silincer 1/8inch SS304; No Brand; -; 1 pc</v>
      </c>
      <c r="C2030" s="14" t="str">
        <f>IFERROR(__xludf.DUMMYFUNCTION("""COMPUTED_VALUE"""),"P-19893-00")</f>
        <v>P-19893-00</v>
      </c>
    </row>
    <row r="2031">
      <c r="A2031" s="14" t="str">
        <f>IFERROR(__xludf.DUMMYFUNCTION("""COMPUTED_VALUE"""),"P-19894-00")</f>
        <v>P-19894-00</v>
      </c>
      <c r="B2031" s="14" t="str">
        <f>IFERROR(__xludf.DUMMYFUNCTION("""COMPUTED_VALUE"""),"General - Fitting QS 1/8 x 6mm; EMC; -; 1 pc")</f>
        <v>General - Fitting QS 1/8 x 6mm; EMC; -; 1 pc</v>
      </c>
      <c r="C2031" s="14" t="str">
        <f>IFERROR(__xludf.DUMMYFUNCTION("""COMPUTED_VALUE"""),"P-19894-00")</f>
        <v>P-19894-00</v>
      </c>
    </row>
    <row r="2032">
      <c r="A2032" s="14" t="str">
        <f>IFERROR(__xludf.DUMMYFUNCTION("""COMPUTED_VALUE"""),"P-19895-00")</f>
        <v>P-19895-00</v>
      </c>
      <c r="B2032" s="14" t="str">
        <f>IFERROR(__xludf.DUMMYFUNCTION("""COMPUTED_VALUE"""),"General - Baut M4 x 60mm + Mur + Ring; No Brand; -; 1 pc")</f>
        <v>General - Baut M4 x 60mm + Mur + Ring; No Brand; -; 1 pc</v>
      </c>
      <c r="C2032" s="14" t="str">
        <f>IFERROR(__xludf.DUMMYFUNCTION("""COMPUTED_VALUE"""),"P-19895-00")</f>
        <v>P-19895-00</v>
      </c>
    </row>
    <row r="2033">
      <c r="A2033" s="14" t="str">
        <f>IFERROR(__xludf.DUMMYFUNCTION("""COMPUTED_VALUE"""),"P-19896-00")</f>
        <v>P-19896-00</v>
      </c>
      <c r="B2033" s="14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4" t="str">
        <f>IFERROR(__xludf.DUMMYFUNCTION("""COMPUTED_VALUE"""),"P-19896-00")</f>
        <v>P-19896-00</v>
      </c>
    </row>
    <row r="2034">
      <c r="A2034" s="14" t="str">
        <f>IFERROR(__xludf.DUMMYFUNCTION("""COMPUTED_VALUE"""),"P-19897-00")</f>
        <v>P-19897-00</v>
      </c>
      <c r="B2034" s="14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4" t="str">
        <f>IFERROR(__xludf.DUMMYFUNCTION("""COMPUTED_VALUE"""),"P-19897-00")</f>
        <v>P-19897-00</v>
      </c>
    </row>
    <row r="2035">
      <c r="A2035" s="14" t="str">
        <f>IFERROR(__xludf.DUMMYFUNCTION("""COMPUTED_VALUE"""),"P-19898-00")</f>
        <v>P-19898-00</v>
      </c>
      <c r="B2035" s="14" t="str">
        <f>IFERROR(__xludf.DUMMYFUNCTION("""COMPUTED_VALUE"""),"General - Bushing VAV dia. 24 x 26mm; Custom Agru Farma; -; 1 pc")</f>
        <v>General - Bushing VAV dia. 24 x 26mm; Custom Agru Farma; -; 1 pc</v>
      </c>
      <c r="C2035" s="14" t="str">
        <f>IFERROR(__xludf.DUMMYFUNCTION("""COMPUTED_VALUE"""),"P-19898-00")</f>
        <v>P-19898-00</v>
      </c>
    </row>
    <row r="2036">
      <c r="A2036" s="14" t="str">
        <f>IFERROR(__xludf.DUMMYFUNCTION("""COMPUTED_VALUE"""),"P-19899-00")</f>
        <v>P-19899-00</v>
      </c>
      <c r="B2036" s="14" t="str">
        <f>IFERROR(__xludf.DUMMYFUNCTION("""COMPUTED_VALUE"""),"General - Teflon Sheet 6 x 1000 x 1000mm; No Brand; -; 1 pc")</f>
        <v>General - Teflon Sheet 6 x 1000 x 1000mm; No Brand; -; 1 pc</v>
      </c>
      <c r="C2036" s="14" t="str">
        <f>IFERROR(__xludf.DUMMYFUNCTION("""COMPUTED_VALUE"""),"P-19899-00")</f>
        <v>P-19899-00</v>
      </c>
    </row>
    <row r="2037">
      <c r="A2037" s="14" t="str">
        <f>IFERROR(__xludf.DUMMYFUNCTION("""COMPUTED_VALUE"""),"P-19908-00")</f>
        <v>P-19908-00</v>
      </c>
      <c r="B2037" s="14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4" t="str">
        <f>IFERROR(__xludf.DUMMYFUNCTION("""COMPUTED_VALUE"""),"P-19908-00")</f>
        <v>P-19908-00</v>
      </c>
    </row>
    <row r="2038">
      <c r="A2038" s="14" t="str">
        <f>IFERROR(__xludf.DUMMYFUNCTION("""COMPUTED_VALUE"""),"P-19949-00")</f>
        <v>P-19949-00</v>
      </c>
      <c r="B2038" s="14" t="str">
        <f>IFERROR(__xludf.DUMMYFUNCTION("""COMPUTED_VALUE"""),"General - Label Maker Cable CAT6A; No Brand; -; 1 pc")</f>
        <v>General - Label Maker Cable CAT6A; No Brand; -; 1 pc</v>
      </c>
      <c r="C2038" s="14" t="str">
        <f>IFERROR(__xludf.DUMMYFUNCTION("""COMPUTED_VALUE"""),"P-19949-00")</f>
        <v>P-19949-00</v>
      </c>
    </row>
    <row r="2039">
      <c r="A2039" s="14" t="str">
        <f>IFERROR(__xludf.DUMMYFUNCTION("""COMPUTED_VALUE"""),"P-19950-00")</f>
        <v>P-19950-00</v>
      </c>
      <c r="B2039" s="14" t="str">
        <f>IFERROR(__xludf.DUMMYFUNCTION("""COMPUTED_VALUE"""),"General - Directional Valve Pin Lock; SMC; VHL210W-02; 1 pc")</f>
        <v>General - Directional Valve Pin Lock; SMC; VHL210W-02; 1 pc</v>
      </c>
      <c r="C2039" s="14" t="str">
        <f>IFERROR(__xludf.DUMMYFUNCTION("""COMPUTED_VALUE"""),"P-19950-00")</f>
        <v>P-19950-00</v>
      </c>
    </row>
    <row r="2040">
      <c r="A2040" s="14" t="str">
        <f>IFERROR(__xludf.DUMMYFUNCTION("""COMPUTED_VALUE"""),"P-19951-00")</f>
        <v>P-19951-00</v>
      </c>
      <c r="B2040" s="14" t="str">
        <f>IFERROR(__xludf.DUMMYFUNCTION("""COMPUTED_VALUE"""),"General - Check Valve SMC; -; AKH08A-025; 1 pc")</f>
        <v>General - Check Valve SMC; -; AKH08A-025; 1 pc</v>
      </c>
      <c r="C2040" s="14" t="str">
        <f>IFERROR(__xludf.DUMMYFUNCTION("""COMPUTED_VALUE"""),"P-19951-00")</f>
        <v>P-19951-00</v>
      </c>
    </row>
    <row r="2041">
      <c r="A2041" s="14" t="str">
        <f>IFERROR(__xludf.DUMMYFUNCTION("""COMPUTED_VALUE"""),"P-19952-00")</f>
        <v>P-19952-00</v>
      </c>
      <c r="B2041" s="14" t="str">
        <f>IFERROR(__xludf.DUMMYFUNCTION("""COMPUTED_VALUE"""),"General - Fitting SMC; SMC; KQ2U08-00A; 1 pc")</f>
        <v>General - Fitting SMC; SMC; KQ2U08-00A; 1 pc</v>
      </c>
      <c r="C2041" s="14" t="str">
        <f>IFERROR(__xludf.DUMMYFUNCTION("""COMPUTED_VALUE"""),"P-19952-00")</f>
        <v>P-19952-00</v>
      </c>
    </row>
    <row r="2042">
      <c r="A2042" s="14" t="str">
        <f>IFERROR(__xludf.DUMMYFUNCTION("""COMPUTED_VALUE"""),"P-19953-00")</f>
        <v>P-19953-00</v>
      </c>
      <c r="B2042" s="14" t="str">
        <f>IFERROR(__xludf.DUMMYFUNCTION("""COMPUTED_VALUE"""),"General - Plug 1/4inch; SMC; -; 1 pc")</f>
        <v>General - Plug 1/4inch; SMC; -; 1 pc</v>
      </c>
      <c r="C2042" s="14" t="str">
        <f>IFERROR(__xludf.DUMMYFUNCTION("""COMPUTED_VALUE"""),"P-19953-00")</f>
        <v>P-19953-00</v>
      </c>
    </row>
    <row r="2043">
      <c r="A2043" s="14" t="str">
        <f>IFERROR(__xludf.DUMMYFUNCTION("""COMPUTED_VALUE"""),"P-19954-00")</f>
        <v>P-19954-00</v>
      </c>
      <c r="B2043" s="14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4" t="str">
        <f>IFERROR(__xludf.DUMMYFUNCTION("""COMPUTED_VALUE"""),"P-19954-00")</f>
        <v>P-19954-00</v>
      </c>
    </row>
    <row r="2044">
      <c r="A2044" s="14" t="str">
        <f>IFERROR(__xludf.DUMMYFUNCTION("""COMPUTED_VALUE"""),"P-19955-00")</f>
        <v>P-19955-00</v>
      </c>
      <c r="B2044" s="14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4" t="str">
        <f>IFERROR(__xludf.DUMMYFUNCTION("""COMPUTED_VALUE"""),"P-19955-00")</f>
        <v>P-19955-00</v>
      </c>
    </row>
    <row r="2045">
      <c r="A2045" s="14" t="str">
        <f>IFERROR(__xludf.DUMMYFUNCTION("""COMPUTED_VALUE"""),"P-19957-00")</f>
        <v>P-19957-00</v>
      </c>
      <c r="B2045" s="14" t="str">
        <f>IFERROR(__xludf.DUMMYFUNCTION("""COMPUTED_VALUE"""),"General - Vacuum Ferrule KF25; No Brand; -; 1 pc")</f>
        <v>General - Vacuum Ferrule KF25; No Brand; -; 1 pc</v>
      </c>
      <c r="C2045" s="14" t="str">
        <f>IFERROR(__xludf.DUMMYFUNCTION("""COMPUTED_VALUE"""),"P-19957-00")</f>
        <v>P-19957-00</v>
      </c>
    </row>
    <row r="2046">
      <c r="A2046" s="14" t="str">
        <f>IFERROR(__xludf.DUMMYFUNCTION("""COMPUTED_VALUE"""),"P-19958-00")</f>
        <v>P-19958-00</v>
      </c>
      <c r="B2046" s="14" t="str">
        <f>IFERROR(__xludf.DUMMYFUNCTION("""COMPUTED_VALUE"""),"General - Vacuum Ferrule KF16; No Brand; -; 1 pc")</f>
        <v>General - Vacuum Ferrule KF16; No Brand; -; 1 pc</v>
      </c>
      <c r="C2046" s="14" t="str">
        <f>IFERROR(__xludf.DUMMYFUNCTION("""COMPUTED_VALUE"""),"P-19958-00")</f>
        <v>P-19958-00</v>
      </c>
    </row>
    <row r="2047">
      <c r="A2047" s="14" t="str">
        <f>IFERROR(__xludf.DUMMYFUNCTION("""COMPUTED_VALUE"""),"P-19987-00")</f>
        <v>P-19987-00</v>
      </c>
      <c r="B2047" s="14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4" t="str">
        <f>IFERROR(__xludf.DUMMYFUNCTION("""COMPUTED_VALUE"""),"P-19987-00")</f>
        <v>P-19987-00</v>
      </c>
    </row>
    <row r="2048">
      <c r="A2048" s="14" t="str">
        <f>IFERROR(__xludf.DUMMYFUNCTION("""COMPUTED_VALUE"""),"P-20014-00")</f>
        <v>P-20014-00</v>
      </c>
      <c r="B2048" s="14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4" t="str">
        <f>IFERROR(__xludf.DUMMYFUNCTION("""COMPUTED_VALUE"""),"P-20014-00")</f>
        <v>P-20014-00</v>
      </c>
    </row>
    <row r="2049">
      <c r="A2049" s="14" t="str">
        <f>IFERROR(__xludf.DUMMYFUNCTION("""COMPUTED_VALUE"""),"P-20015-00")</f>
        <v>P-20015-00</v>
      </c>
      <c r="B2049" s="14" t="str">
        <f>IFERROR(__xludf.DUMMYFUNCTION("""COMPUTED_VALUE"""),"General - Pressure Gauge 0-6 Bar, Drat 1/2inch; WIKA; -; 1 pc")</f>
        <v>General - Pressure Gauge 0-6 Bar, Drat 1/2inch; WIKA; -; 1 pc</v>
      </c>
      <c r="C2049" s="14" t="str">
        <f>IFERROR(__xludf.DUMMYFUNCTION("""COMPUTED_VALUE"""),"P-20015-00")</f>
        <v>P-20015-00</v>
      </c>
    </row>
    <row r="2050">
      <c r="A2050" s="14" t="str">
        <f>IFERROR(__xludf.DUMMYFUNCTION("""COMPUTED_VALUE"""),"P-20016-00")</f>
        <v>P-20016-00</v>
      </c>
      <c r="B2050" s="14" t="str">
        <f>IFERROR(__xludf.DUMMYFUNCTION("""COMPUTED_VALUE"""),"General - Mur Baja M14; No Brand; -; 1 pc")</f>
        <v>General - Mur Baja M14; No Brand; -; 1 pc</v>
      </c>
      <c r="C2050" s="14" t="str">
        <f>IFERROR(__xludf.DUMMYFUNCTION("""COMPUTED_VALUE"""),"P-20016-00")</f>
        <v>P-20016-00</v>
      </c>
    </row>
    <row r="2051">
      <c r="A2051" s="14" t="str">
        <f>IFERROR(__xludf.DUMMYFUNCTION("""COMPUTED_VALUE"""),"P-20018-00")</f>
        <v>P-20018-00</v>
      </c>
      <c r="B2051" s="14" t="str">
        <f>IFERROR(__xludf.DUMMYFUNCTION("""COMPUTED_VALUE"""),"General - Penutup Flexible Ducting 4inch; No Brand; -; 1 pc")</f>
        <v>General - Penutup Flexible Ducting 4inch; No Brand; -; 1 pc</v>
      </c>
      <c r="C2051" s="14" t="str">
        <f>IFERROR(__xludf.DUMMYFUNCTION("""COMPUTED_VALUE"""),"P-20018-00")</f>
        <v>P-20018-00</v>
      </c>
    </row>
    <row r="2052">
      <c r="A2052" s="14" t="str">
        <f>IFERROR(__xludf.DUMMYFUNCTION("""COMPUTED_VALUE"""),"P-20019-00")</f>
        <v>P-20019-00</v>
      </c>
      <c r="B2052" s="14" t="str">
        <f>IFERROR(__xludf.DUMMYFUNCTION("""COMPUTED_VALUE"""),"General - Door Sticker T30-X; Austar; -; 1 pc")</f>
        <v>General - Door Sticker T30-X; Austar; -; 1 pc</v>
      </c>
      <c r="C2052" s="14" t="str">
        <f>IFERROR(__xludf.DUMMYFUNCTION("""COMPUTED_VALUE"""),"P-20019-00")</f>
        <v>P-20019-00</v>
      </c>
    </row>
    <row r="2053">
      <c r="A2053" s="14" t="str">
        <f>IFERROR(__xludf.DUMMYFUNCTION("""COMPUTED_VALUE"""),"P-20020-00")</f>
        <v>P-20020-00</v>
      </c>
      <c r="B2053" s="14" t="str">
        <f>IFERROR(__xludf.DUMMYFUNCTION("""COMPUTED_VALUE"""),"General - Besi UNP 100 x 50 x 3mm; No Brand; -; 1 pc")</f>
        <v>General - Besi UNP 100 x 50 x 3mm; No Brand; -; 1 pc</v>
      </c>
      <c r="C2053" s="14" t="str">
        <f>IFERROR(__xludf.DUMMYFUNCTION("""COMPUTED_VALUE"""),"P-20020-00")</f>
        <v>P-20020-00</v>
      </c>
    </row>
    <row r="2054">
      <c r="A2054" s="14" t="str">
        <f>IFERROR(__xludf.DUMMYFUNCTION("""COMPUTED_VALUE"""),"P-20021-00")</f>
        <v>P-20021-00</v>
      </c>
      <c r="B2054" s="14" t="str">
        <f>IFERROR(__xludf.DUMMYFUNCTION("""COMPUTED_VALUE"""),"General - Plat Strip 50 x 6 x 6000mm; No Brand; -; 1 pc")</f>
        <v>General - Plat Strip 50 x 6 x 6000mm; No Brand; -; 1 pc</v>
      </c>
      <c r="C2054" s="14" t="str">
        <f>IFERROR(__xludf.DUMMYFUNCTION("""COMPUTED_VALUE"""),"P-20021-00")</f>
        <v>P-20021-00</v>
      </c>
    </row>
    <row r="2055">
      <c r="A2055" s="14" t="str">
        <f>IFERROR(__xludf.DUMMYFUNCTION("""COMPUTED_VALUE"""),"P-20022-00")</f>
        <v>P-20022-00</v>
      </c>
      <c r="B2055" s="14" t="str">
        <f>IFERROR(__xludf.DUMMYFUNCTION("""COMPUTED_VALUE"""),"General - Long Drat 14mm x 1meter; No Brand; -; 1 pc")</f>
        <v>General - Long Drat 14mm x 1meter; No Brand; -; 1 pc</v>
      </c>
      <c r="C2055" s="14" t="str">
        <f>IFERROR(__xludf.DUMMYFUNCTION("""COMPUTED_VALUE"""),"P-20022-00")</f>
        <v>P-20022-00</v>
      </c>
    </row>
    <row r="2056">
      <c r="A2056" s="14" t="str">
        <f>IFERROR(__xludf.DUMMYFUNCTION("""COMPUTED_VALUE"""),"P-20039-00")</f>
        <v>P-20039-00</v>
      </c>
      <c r="B2056" s="14" t="str">
        <f>IFERROR(__xludf.DUMMYFUNCTION("""COMPUTED_VALUE"""),"General - Baut Button Flange M5 x 10mm x 1.5mm; No Brand; -; 100pcs/pack")</f>
        <v>General - Baut Button Flange M5 x 10mm x 1.5mm; No Brand; -; 100pcs/pack</v>
      </c>
      <c r="C2056" s="14" t="str">
        <f>IFERROR(__xludf.DUMMYFUNCTION("""COMPUTED_VALUE"""),"P-20039-00")</f>
        <v>P-20039-00</v>
      </c>
    </row>
    <row r="2057">
      <c r="A2057" s="14" t="str">
        <f>IFERROR(__xludf.DUMMYFUNCTION("""COMPUTED_VALUE"""),"P-20041-00")</f>
        <v>P-20041-00</v>
      </c>
      <c r="B2057" s="14" t="str">
        <f>IFERROR(__xludf.DUMMYFUNCTION("""COMPUTED_VALUE"""),"General - Cable Duct 15 x 30mm; No Brand; -; 1,7meter/pc")</f>
        <v>General - Cable Duct 15 x 30mm; No Brand; -; 1,7meter/pc</v>
      </c>
      <c r="C2057" s="14" t="str">
        <f>IFERROR(__xludf.DUMMYFUNCTION("""COMPUTED_VALUE"""),"P-20041-00")</f>
        <v>P-20041-00</v>
      </c>
    </row>
    <row r="2058">
      <c r="A2058" s="14" t="str">
        <f>IFERROR(__xludf.DUMMYFUNCTION("""COMPUTED_VALUE"""),"P-20045-00")</f>
        <v>P-20045-00</v>
      </c>
      <c r="B2058" s="14" t="str">
        <f>IFERROR(__xludf.DUMMYFUNCTION("""COMPUTED_VALUE"""),"General - Pipa Ornamen SS304 1 inch x 1.2mm x 6m; No Brand; -; 1 pc")</f>
        <v>General - Pipa Ornamen SS304 1 inch x 1.2mm x 6m; No Brand; -; 1 pc</v>
      </c>
      <c r="C2058" s="14" t="str">
        <f>IFERROR(__xludf.DUMMYFUNCTION("""COMPUTED_VALUE"""),"P-20045-00")</f>
        <v>P-20045-00</v>
      </c>
    </row>
    <row r="2059">
      <c r="A2059" s="14" t="str">
        <f>IFERROR(__xludf.DUMMYFUNCTION("""COMPUTED_VALUE"""),"P-20049-00")</f>
        <v>P-20049-00</v>
      </c>
      <c r="B2059" s="14" t="str">
        <f>IFERROR(__xludf.DUMMYFUNCTION("""COMPUTED_VALUE"""),"General - Bobbin Gulungan Kabel Jumbo 30cm; No Brand; -; 1 pc")</f>
        <v>General - Bobbin Gulungan Kabel Jumbo 30cm; No Brand; -; 1 pc</v>
      </c>
      <c r="C2059" s="14" t="str">
        <f>IFERROR(__xludf.DUMMYFUNCTION("""COMPUTED_VALUE"""),"P-20049-00")</f>
        <v>P-20049-00</v>
      </c>
    </row>
    <row r="2060">
      <c r="A2060" s="14" t="str">
        <f>IFERROR(__xludf.DUMMYFUNCTION("""COMPUTED_VALUE"""),"P-20117-00")</f>
        <v>P-20117-00</v>
      </c>
      <c r="B2060" s="14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4" t="str">
        <f>IFERROR(__xludf.DUMMYFUNCTION("""COMPUTED_VALUE"""),"P-20117-00")</f>
        <v>P-20117-00</v>
      </c>
    </row>
    <row r="2061">
      <c r="A2061" s="14" t="str">
        <f>IFERROR(__xludf.DUMMYFUNCTION("""COMPUTED_VALUE"""),"P-20129-00")</f>
        <v>P-20129-00</v>
      </c>
      <c r="B2061" s="14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4" t="str">
        <f>IFERROR(__xludf.DUMMYFUNCTION("""COMPUTED_VALUE"""),"P-20129-00")</f>
        <v>P-20129-00</v>
      </c>
    </row>
    <row r="2062">
      <c r="A2062" s="14" t="str">
        <f>IFERROR(__xludf.DUMMYFUNCTION("""COMPUTED_VALUE"""),"P-20131-00")</f>
        <v>P-20131-00</v>
      </c>
      <c r="B2062" s="14" t="str">
        <f>IFERROR(__xludf.DUMMYFUNCTION("""COMPUTED_VALUE"""),"General - Kaca Las Bening; No Brand; -; 1 pc")</f>
        <v>General - Kaca Las Bening; No Brand; -; 1 pc</v>
      </c>
      <c r="C2062" s="14" t="str">
        <f>IFERROR(__xludf.DUMMYFUNCTION("""COMPUTED_VALUE"""),"P-20131-00")</f>
        <v>P-20131-00</v>
      </c>
    </row>
    <row r="2063">
      <c r="A2063" s="14" t="str">
        <f>IFERROR(__xludf.DUMMYFUNCTION("""COMPUTED_VALUE"""),"P-20144-00")</f>
        <v>P-20144-00</v>
      </c>
      <c r="B2063" s="14" t="str">
        <f>IFERROR(__xludf.DUMMYFUNCTION("""COMPUTED_VALUE"""),"General - Flange SS304 JIS 10K STD 2,5inch; No Brand; -; 1 pc")</f>
        <v>General - Flange SS304 JIS 10K STD 2,5inch; No Brand; -; 1 pc</v>
      </c>
      <c r="C2063" s="14" t="str">
        <f>IFERROR(__xludf.DUMMYFUNCTION("""COMPUTED_VALUE"""),"P-20144-00")</f>
        <v>P-20144-00</v>
      </c>
    </row>
    <row r="2064">
      <c r="A2064" s="14" t="str">
        <f>IFERROR(__xludf.DUMMYFUNCTION("""COMPUTED_VALUE"""),"P-20150-00")</f>
        <v>P-20150-00</v>
      </c>
      <c r="B2064" s="14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4" t="str">
        <f>IFERROR(__xludf.DUMMYFUNCTION("""COMPUTED_VALUE"""),"P-20150-00")</f>
        <v>P-20150-00</v>
      </c>
    </row>
    <row r="2065">
      <c r="A2065" s="14" t="str">
        <f>IFERROR(__xludf.DUMMYFUNCTION("""COMPUTED_VALUE"""),"P-20181-00")</f>
        <v>P-20181-00</v>
      </c>
      <c r="B2065" s="14" t="str">
        <f>IFERROR(__xludf.DUMMYFUNCTION("""COMPUTED_VALUE"""),"General - Kunci Box Panel Uk. 110mm; Electrical Home; MS-104C-3-K; 1 pc")</f>
        <v>General - Kunci Box Panel Uk. 110mm; Electrical Home; MS-104C-3-K; 1 pc</v>
      </c>
      <c r="C2065" s="14" t="str">
        <f>IFERROR(__xludf.DUMMYFUNCTION("""COMPUTED_VALUE"""),"P-20181-00")</f>
        <v>P-20181-00</v>
      </c>
    </row>
    <row r="2066">
      <c r="A2066" s="14" t="str">
        <f>IFERROR(__xludf.DUMMYFUNCTION("""COMPUTED_VALUE"""),"P-20182-00")</f>
        <v>P-20182-00</v>
      </c>
      <c r="B2066" s="14" t="str">
        <f>IFERROR(__xludf.DUMMYFUNCTION("""COMPUTED_VALUE"""),"General - Kawat Las SS E-308 2.0mm; No Brand; -; 1 kg/pack")</f>
        <v>General - Kawat Las SS E-308 2.0mm; No Brand; -; 1 kg/pack</v>
      </c>
      <c r="C2066" s="14" t="str">
        <f>IFERROR(__xludf.DUMMYFUNCTION("""COMPUTED_VALUE"""),"P-20182-00")</f>
        <v>P-20182-00</v>
      </c>
    </row>
    <row r="2067">
      <c r="A2067" s="14" t="str">
        <f>IFERROR(__xludf.DUMMYFUNCTION("""COMPUTED_VALUE"""),"P-20183-00")</f>
        <v>P-20183-00</v>
      </c>
      <c r="B2067" s="14" t="str">
        <f>IFERROR(__xludf.DUMMYFUNCTION("""COMPUTED_VALUE"""),"General - Kawat Las RB26 2mm 6013; Kobelco; -; 5kg/box")</f>
        <v>General - Kawat Las RB26 2mm 6013; Kobelco; -; 5kg/box</v>
      </c>
      <c r="C2067" s="14" t="str">
        <f>IFERROR(__xludf.DUMMYFUNCTION("""COMPUTED_VALUE"""),"P-20183-00")</f>
        <v>P-20183-00</v>
      </c>
    </row>
    <row r="2068">
      <c r="A2068" s="14" t="str">
        <f>IFERROR(__xludf.DUMMYFUNCTION("""COMPUTED_VALUE"""),"P-20184-00")</f>
        <v>P-20184-00</v>
      </c>
      <c r="B2068" s="14" t="str">
        <f>IFERROR(__xludf.DUMMYFUNCTION("""COMPUTED_VALUE"""),"General - Hollow SS304 Uk. 40 x 40 x 1.5 x 3000mm; No Brand; -; 1 pc")</f>
        <v>General - Hollow SS304 Uk. 40 x 40 x 1.5 x 3000mm; No Brand; -; 1 pc</v>
      </c>
      <c r="C2068" s="14" t="str">
        <f>IFERROR(__xludf.DUMMYFUNCTION("""COMPUTED_VALUE"""),"P-20184-00")</f>
        <v>P-20184-00</v>
      </c>
    </row>
    <row r="2069">
      <c r="A2069" s="14" t="str">
        <f>IFERROR(__xludf.DUMMYFUNCTION("""COMPUTED_VALUE"""),"P-20185-00")</f>
        <v>P-20185-00</v>
      </c>
      <c r="B2069" s="14" t="str">
        <f>IFERROR(__xludf.DUMMYFUNCTION("""COMPUTED_VALUE"""),"General - Siku SS304 30 x 30 x 3 x 6000mm; No Brand; -; 1 pc")</f>
        <v>General - Siku SS304 30 x 30 x 3 x 6000mm; No Brand; -; 1 pc</v>
      </c>
      <c r="C2069" s="14" t="str">
        <f>IFERROR(__xludf.DUMMYFUNCTION("""COMPUTED_VALUE"""),"P-20185-00")</f>
        <v>P-20185-00</v>
      </c>
    </row>
    <row r="2070">
      <c r="A2070" s="14" t="str">
        <f>IFERROR(__xludf.DUMMYFUNCTION("""COMPUTED_VALUE"""),"P-20186-00")</f>
        <v>P-20186-00</v>
      </c>
      <c r="B2070" s="14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4" t="str">
        <f>IFERROR(__xludf.DUMMYFUNCTION("""COMPUTED_VALUE"""),"P-20186-00")</f>
        <v>P-20186-00</v>
      </c>
    </row>
    <row r="2071">
      <c r="A2071" s="14" t="str">
        <f>IFERROR(__xludf.DUMMYFUNCTION("""COMPUTED_VALUE"""),"P-20188-00")</f>
        <v>P-20188-00</v>
      </c>
      <c r="B2071" s="14" t="str">
        <f>IFERROR(__xludf.DUMMYFUNCTION("""COMPUTED_VALUE"""),"General - Solenoid 2 Way; EMC; 2V025-08; 1 pc")</f>
        <v>General - Solenoid 2 Way; EMC; 2V025-08; 1 pc</v>
      </c>
      <c r="C2071" s="14" t="str">
        <f>IFERROR(__xludf.DUMMYFUNCTION("""COMPUTED_VALUE"""),"P-20188-00")</f>
        <v>P-20188-00</v>
      </c>
    </row>
    <row r="2072">
      <c r="A2072" s="14" t="str">
        <f>IFERROR(__xludf.DUMMYFUNCTION("""COMPUTED_VALUE"""),"P-20191-00")</f>
        <v>P-20191-00</v>
      </c>
      <c r="B2072" s="14" t="str">
        <f>IFERROR(__xludf.DUMMYFUNCTION("""COMPUTED_VALUE"""),"General - Besi CNP 100 x 50 x 2mm x 6000mm; No Brand; -; 1 batang")</f>
        <v>General - Besi CNP 100 x 50 x 2mm x 6000mm; No Brand; -; 1 batang</v>
      </c>
      <c r="C2072" s="14" t="str">
        <f>IFERROR(__xludf.DUMMYFUNCTION("""COMPUTED_VALUE"""),"P-20191-00")</f>
        <v>P-20191-00</v>
      </c>
    </row>
    <row r="2073">
      <c r="A2073" s="14" t="str">
        <f>IFERROR(__xludf.DUMMYFUNCTION("""COMPUTED_VALUE"""),"P-20233-00")</f>
        <v>P-20233-00</v>
      </c>
      <c r="B2073" s="14" t="str">
        <f>IFERROR(__xludf.DUMMYFUNCTION("""COMPUTED_VALUE"""),"General - Baut + Mur Tembaga M10 x 20 Kunci 17; No Brand; -; 20pcs/pack")</f>
        <v>General - Baut + Mur Tembaga M10 x 20 Kunci 17; No Brand; -; 20pcs/pack</v>
      </c>
      <c r="C2073" s="14" t="str">
        <f>IFERROR(__xludf.DUMMYFUNCTION("""COMPUTED_VALUE"""),"P-20233-00")</f>
        <v>P-20233-00</v>
      </c>
    </row>
    <row r="2074">
      <c r="A2074" s="14" t="str">
        <f>IFERROR(__xludf.DUMMYFUNCTION("""COMPUTED_VALUE"""),"P-20236-00")</f>
        <v>P-20236-00</v>
      </c>
      <c r="B2074" s="14" t="str">
        <f>IFERROR(__xludf.DUMMYFUNCTION("""COMPUTED_VALUE"""),"General - Tee Reducer PVC 2 x 3/4inch; Rucika; -; 1 pc")</f>
        <v>General - Tee Reducer PVC 2 x 3/4inch; Rucika; -; 1 pc</v>
      </c>
      <c r="C2074" s="14" t="str">
        <f>IFERROR(__xludf.DUMMYFUNCTION("""COMPUTED_VALUE"""),"P-20236-00")</f>
        <v>P-20236-00</v>
      </c>
    </row>
    <row r="2075">
      <c r="A2075" s="14" t="str">
        <f>IFERROR(__xludf.DUMMYFUNCTION("""COMPUTED_VALUE"""),"P-20238-00")</f>
        <v>P-20238-00</v>
      </c>
      <c r="B2075" s="14" t="str">
        <f>IFERROR(__xludf.DUMMYFUNCTION("""COMPUTED_VALUE"""),"General - Gate Valve Kuningan 1/2 Inch ASA; KITZ; -; 1 pc")</f>
        <v>General - Gate Valve Kuningan 1/2 Inch ASA; KITZ; -; 1 pc</v>
      </c>
      <c r="C2075" s="14" t="str">
        <f>IFERROR(__xludf.DUMMYFUNCTION("""COMPUTED_VALUE"""),"P-20238-00")</f>
        <v>P-20238-00</v>
      </c>
    </row>
    <row r="2076">
      <c r="A2076" s="14" t="str">
        <f>IFERROR(__xludf.DUMMYFUNCTION("""COMPUTED_VALUE"""),"P-20242-00")</f>
        <v>P-20242-00</v>
      </c>
      <c r="B2076" s="14" t="str">
        <f>IFERROR(__xludf.DUMMYFUNCTION("""COMPUTED_VALUE"""),"General - Plate SS304 Uk. 1,2 x 1220 x 2440mm F2B; No Brand; -; 1 pc")</f>
        <v>General - Plate SS304 Uk. 1,2 x 1220 x 2440mm F2B; No Brand; -; 1 pc</v>
      </c>
      <c r="C2076" s="14" t="str">
        <f>IFERROR(__xludf.DUMMYFUNCTION("""COMPUTED_VALUE"""),"P-20242-00")</f>
        <v>P-20242-00</v>
      </c>
    </row>
    <row r="2077">
      <c r="A2077" s="14" t="str">
        <f>IFERROR(__xludf.DUMMYFUNCTION("""COMPUTED_VALUE"""),"P-20252-00")</f>
        <v>P-20252-00</v>
      </c>
      <c r="B2077" s="14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4" t="str">
        <f>IFERROR(__xludf.DUMMYFUNCTION("""COMPUTED_VALUE"""),"P-20252-00")</f>
        <v>P-20252-00</v>
      </c>
    </row>
    <row r="2078">
      <c r="A2078" s="14" t="str">
        <f>IFERROR(__xludf.DUMMYFUNCTION("""COMPUTED_VALUE"""),"P-20258-00")</f>
        <v>P-20258-00</v>
      </c>
      <c r="B2078" s="14" t="str">
        <f>IFERROR(__xludf.DUMMYFUNCTION("""COMPUTED_VALUE"""),"PW SKID - Seal Mainhole Tank; Custom Bentala; -; 1 pc")</f>
        <v>PW SKID - Seal Mainhole Tank; Custom Bentala; -; 1 pc</v>
      </c>
      <c r="C2078" s="14" t="str">
        <f>IFERROR(__xludf.DUMMYFUNCTION("""COMPUTED_VALUE"""),"P-20258-00")</f>
        <v>P-20258-00</v>
      </c>
    </row>
    <row r="2079">
      <c r="A2079" s="14" t="str">
        <f>IFERROR(__xludf.DUMMYFUNCTION("""COMPUTED_VALUE"""),"P-20272-00")</f>
        <v>P-20272-00</v>
      </c>
      <c r="B2079" s="14" t="str">
        <f>IFERROR(__xludf.DUMMYFUNCTION("""COMPUTED_VALUE"""),"General - V Belt SPA 1132; Mitsuboshi; -; 1 pc")</f>
        <v>General - V Belt SPA 1132; Mitsuboshi; -; 1 pc</v>
      </c>
      <c r="C2079" s="14" t="str">
        <f>IFERROR(__xludf.DUMMYFUNCTION("""COMPUTED_VALUE"""),"P-20272-00")</f>
        <v>P-20272-00</v>
      </c>
    </row>
    <row r="2080">
      <c r="A2080" s="14" t="str">
        <f>IFERROR(__xludf.DUMMYFUNCTION("""COMPUTED_VALUE"""),"P-20283-00")</f>
        <v>P-20283-00</v>
      </c>
      <c r="B2080" s="14" t="str">
        <f>IFERROR(__xludf.DUMMYFUNCTION("""COMPUTED_VALUE"""),"General - Filter Regulator AW30-03-A; SMC; -; 1 pc")</f>
        <v>General - Filter Regulator AW30-03-A; SMC; -; 1 pc</v>
      </c>
      <c r="C2080" s="14" t="str">
        <f>IFERROR(__xludf.DUMMYFUNCTION("""COMPUTED_VALUE"""),"P-20283-00")</f>
        <v>P-20283-00</v>
      </c>
    </row>
    <row r="2081">
      <c r="A2081" s="14" t="str">
        <f>IFERROR(__xludf.DUMMYFUNCTION("""COMPUTED_VALUE"""),"P-20284-00")</f>
        <v>P-20284-00</v>
      </c>
      <c r="B2081" s="14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4" t="str">
        <f>IFERROR(__xludf.DUMMYFUNCTION("""COMPUTED_VALUE"""),"P-20284-00")</f>
        <v>P-20284-00</v>
      </c>
    </row>
    <row r="2082">
      <c r="A2082" s="14" t="str">
        <f>IFERROR(__xludf.DUMMYFUNCTION("""COMPUTED_VALUE"""),"P-20285-00")</f>
        <v>P-20285-00</v>
      </c>
      <c r="B2082" s="14" t="str">
        <f>IFERROR(__xludf.DUMMYFUNCTION("""COMPUTED_VALUE"""),"General - Cover Sensor Temp RH 110 x 150mm; Custom Agru; -; 1 pc")</f>
        <v>General - Cover Sensor Temp RH 110 x 150mm; Custom Agru; -; 1 pc</v>
      </c>
      <c r="C2082" s="14" t="str">
        <f>IFERROR(__xludf.DUMMYFUNCTION("""COMPUTED_VALUE"""),"P-20285-00")</f>
        <v>P-20285-00</v>
      </c>
    </row>
    <row r="2083">
      <c r="A2083" s="14" t="str">
        <f>IFERROR(__xludf.DUMMYFUNCTION("""COMPUTED_VALUE"""),"P-20309-00")</f>
        <v>P-20309-00</v>
      </c>
      <c r="B2083" s="14" t="str">
        <f>IFERROR(__xludf.DUMMYFUNCTION("""COMPUTED_VALUE"""),"General - Hole Saw TCT Kugel 100 mm; Kugel; ;")</f>
        <v>General - Hole Saw TCT Kugel 100 mm; Kugel; ;</v>
      </c>
      <c r="C2083" s="14" t="str">
        <f>IFERROR(__xludf.DUMMYFUNCTION("""COMPUTED_VALUE"""),"P-20309-00")</f>
        <v>P-20309-00</v>
      </c>
    </row>
    <row r="2084">
      <c r="A2084" s="14" t="str">
        <f>IFERROR(__xludf.DUMMYFUNCTION("""COMPUTED_VALUE"""),"P-20358-00")</f>
        <v>P-20358-00</v>
      </c>
      <c r="B2084" s="14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4" t="str">
        <f>IFERROR(__xludf.DUMMYFUNCTION("""COMPUTED_VALUE"""),"P-20358-00")</f>
        <v>P-20358-00</v>
      </c>
    </row>
    <row r="2085">
      <c r="A2085" s="14" t="str">
        <f>IFERROR(__xludf.DUMMYFUNCTION("""COMPUTED_VALUE"""),"P-20359-00")</f>
        <v>P-20359-00</v>
      </c>
      <c r="B2085" s="14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4" t="str">
        <f>IFERROR(__xludf.DUMMYFUNCTION("""COMPUTED_VALUE"""),"P-20359-00")</f>
        <v>P-20359-00</v>
      </c>
    </row>
    <row r="2086">
      <c r="A2086" s="14" t="str">
        <f>IFERROR(__xludf.DUMMYFUNCTION("""COMPUTED_VALUE"""),"P-20360-00")</f>
        <v>P-20360-00</v>
      </c>
      <c r="B2086" s="14" t="str">
        <f>IFERROR(__xludf.DUMMYFUNCTION("""COMPUTED_VALUE"""),"General - Liquid Gasket; Threebond; -; 75g/tube")</f>
        <v>General - Liquid Gasket; Threebond; -; 75g/tube</v>
      </c>
      <c r="C2086" s="14" t="str">
        <f>IFERROR(__xludf.DUMMYFUNCTION("""COMPUTED_VALUE"""),"P-20360-00")</f>
        <v>P-20360-00</v>
      </c>
    </row>
    <row r="2087">
      <c r="A2087" s="14" t="str">
        <f>IFERROR(__xludf.DUMMYFUNCTION("""COMPUTED_VALUE"""),"P-20361-00")</f>
        <v>P-20361-00</v>
      </c>
      <c r="B2087" s="14" t="str">
        <f>IFERROR(__xludf.DUMMYFUNCTION("""COMPUTED_VALUE"""),"General - Ball Valve PVC 1 Inch Gagang Stainless; No Brand; -; 1 pc")</f>
        <v>General - Ball Valve PVC 1 Inch Gagang Stainless; No Brand; -; 1 pc</v>
      </c>
      <c r="C2087" s="14" t="str">
        <f>IFERROR(__xludf.DUMMYFUNCTION("""COMPUTED_VALUE"""),"P-20361-00")</f>
        <v>P-20361-00</v>
      </c>
    </row>
    <row r="2088">
      <c r="A2088" s="14" t="str">
        <f>IFERROR(__xludf.DUMMYFUNCTION("""COMPUTED_VALUE"""),"P-20362-00")</f>
        <v>P-20362-00</v>
      </c>
      <c r="B2088" s="14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4" t="str">
        <f>IFERROR(__xludf.DUMMYFUNCTION("""COMPUTED_VALUE"""),"P-20362-00")</f>
        <v>P-20362-00</v>
      </c>
    </row>
    <row r="2089">
      <c r="A2089" s="14" t="str">
        <f>IFERROR(__xludf.DUMMYFUNCTION("""COMPUTED_VALUE"""),"P-20363-00")</f>
        <v>P-20363-00</v>
      </c>
      <c r="B2089" s="14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4" t="str">
        <f>IFERROR(__xludf.DUMMYFUNCTION("""COMPUTED_VALUE"""),"P-20363-00")</f>
        <v>P-20363-00</v>
      </c>
    </row>
    <row r="2090">
      <c r="A2090" s="14" t="str">
        <f>IFERROR(__xludf.DUMMYFUNCTION("""COMPUTED_VALUE"""),"P-20364-00")</f>
        <v>P-20364-00</v>
      </c>
      <c r="B2090" s="14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4" t="str">
        <f>IFERROR(__xludf.DUMMYFUNCTION("""COMPUTED_VALUE"""),"P-20364-00")</f>
        <v>P-20364-00</v>
      </c>
    </row>
    <row r="2091">
      <c r="A2091" s="14" t="str">
        <f>IFERROR(__xludf.DUMMYFUNCTION("""COMPUTED_VALUE"""),"P-20365-00")</f>
        <v>P-20365-00</v>
      </c>
      <c r="B2091" s="14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4" t="str">
        <f>IFERROR(__xludf.DUMMYFUNCTION("""COMPUTED_VALUE"""),"P-20365-00")</f>
        <v>P-20365-00</v>
      </c>
    </row>
    <row r="2092">
      <c r="A2092" s="14" t="str">
        <f>IFERROR(__xludf.DUMMYFUNCTION("""COMPUTED_VALUE"""),"P-20366-00")</f>
        <v>P-20366-00</v>
      </c>
      <c r="B2092" s="14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4" t="str">
        <f>IFERROR(__xludf.DUMMYFUNCTION("""COMPUTED_VALUE"""),"P-20366-00")</f>
        <v>P-20366-00</v>
      </c>
    </row>
    <row r="2093">
      <c r="A2093" s="14" t="str">
        <f>IFERROR(__xludf.DUMMYFUNCTION("""COMPUTED_VALUE"""),"P-20367-00")</f>
        <v>P-20367-00</v>
      </c>
      <c r="B2093" s="14" t="str">
        <f>IFERROR(__xludf.DUMMYFUNCTION("""COMPUTED_VALUE"""),"General - Oring 8 x 400 x 416mm NBR; Custom Trenade; -; 1 pc")</f>
        <v>General - Oring 8 x 400 x 416mm NBR; Custom Trenade; -; 1 pc</v>
      </c>
      <c r="C2093" s="14" t="str">
        <f>IFERROR(__xludf.DUMMYFUNCTION("""COMPUTED_VALUE"""),"P-20367-00")</f>
        <v>P-20367-00</v>
      </c>
    </row>
    <row r="2094">
      <c r="A2094" s="14" t="str">
        <f>IFERROR(__xludf.DUMMYFUNCTION("""COMPUTED_VALUE"""),"P-20368-00")</f>
        <v>P-20368-00</v>
      </c>
      <c r="B2094" s="14" t="str">
        <f>IFERROR(__xludf.DUMMYFUNCTION("""COMPUTED_VALUE"""),"General - Junction Box 220 x 150 x 75mm; No Brand; -; 1 pc")</f>
        <v>General - Junction Box 220 x 150 x 75mm; No Brand; -; 1 pc</v>
      </c>
      <c r="C2094" s="14" t="str">
        <f>IFERROR(__xludf.DUMMYFUNCTION("""COMPUTED_VALUE"""),"P-20368-00")</f>
        <v>P-20368-00</v>
      </c>
    </row>
    <row r="2095">
      <c r="A2095" s="14" t="str">
        <f>IFERROR(__xludf.DUMMYFUNCTION("""COMPUTED_VALUE"""),"P-20369-00")</f>
        <v>P-20369-00</v>
      </c>
      <c r="B2095" s="14" t="str">
        <f>IFERROR(__xludf.DUMMYFUNCTION("""COMPUTED_VALUE"""),"General - Terminal Viking Grounding 4mm; Legrand; -; 1 pc")</f>
        <v>General - Terminal Viking Grounding 4mm; Legrand; -; 1 pc</v>
      </c>
      <c r="C2095" s="14" t="str">
        <f>IFERROR(__xludf.DUMMYFUNCTION("""COMPUTED_VALUE"""),"P-20369-00")</f>
        <v>P-20369-00</v>
      </c>
    </row>
    <row r="2096">
      <c r="A2096" s="14" t="str">
        <f>IFERROR(__xludf.DUMMYFUNCTION("""COMPUTED_VALUE"""),"P-20392-00")</f>
        <v>P-20392-00</v>
      </c>
      <c r="B2096" s="14" t="str">
        <f>IFERROR(__xludf.DUMMYFUNCTION("""COMPUTED_VALUE"""),"General - Sock Drat Luar PVC 3/4 x 1/2 inch; Rucika; -; 1 pc")</f>
        <v>General - Sock Drat Luar PVC 3/4 x 1/2 inch; Rucika; -; 1 pc</v>
      </c>
      <c r="C2096" s="14" t="str">
        <f>IFERROR(__xludf.DUMMYFUNCTION("""COMPUTED_VALUE"""),"P-20392-00")</f>
        <v>P-20392-00</v>
      </c>
    </row>
    <row r="2097">
      <c r="A2097" s="14" t="str">
        <f>IFERROR(__xludf.DUMMYFUNCTION("""COMPUTED_VALUE"""),"P-20393-00")</f>
        <v>P-20393-00</v>
      </c>
      <c r="B2097" s="14" t="str">
        <f>IFERROR(__xludf.DUMMYFUNCTION("""COMPUTED_VALUE"""),"General - Tee Reducer PVC 2 1/2 x 3/4 inch; ; ;")</f>
        <v>General - Tee Reducer PVC 2 1/2 x 3/4 inch; ; ;</v>
      </c>
      <c r="C2097" s="14" t="str">
        <f>IFERROR(__xludf.DUMMYFUNCTION("""COMPUTED_VALUE"""),"P-20393-00")</f>
        <v>P-20393-00</v>
      </c>
    </row>
    <row r="2098">
      <c r="A2098" s="14" t="str">
        <f>IFERROR(__xludf.DUMMYFUNCTION("""COMPUTED_VALUE"""),"P-20408-00")</f>
        <v>P-20408-00</v>
      </c>
      <c r="B2098" s="14" t="str">
        <f>IFERROR(__xludf.DUMMYFUNCTION("""COMPUTED_VALUE"""),"General - Pressure Gauge 10 Bar 3/4 Inch; GMT; -; 1 pc")</f>
        <v>General - Pressure Gauge 10 Bar 3/4 Inch; GMT; -; 1 pc</v>
      </c>
      <c r="C2098" s="14" t="str">
        <f>IFERROR(__xludf.DUMMYFUNCTION("""COMPUTED_VALUE"""),"P-20408-00")</f>
        <v>P-20408-00</v>
      </c>
    </row>
    <row r="2099">
      <c r="A2099" s="14" t="str">
        <f>IFERROR(__xludf.DUMMYFUNCTION("""COMPUTED_VALUE"""),"P-20409-00")</f>
        <v>P-20409-00</v>
      </c>
      <c r="B2099" s="14" t="str">
        <f>IFERROR(__xludf.DUMMYFUNCTION("""COMPUTED_VALUE"""),"Pompa Grundfos - Shaft Seal CR/N 32/45/64/90 HQQE; Grundfos; -; 1 pc")</f>
        <v>Pompa Grundfos - Shaft Seal CR/N 32/45/64/90 HQQE; Grundfos; -; 1 pc</v>
      </c>
      <c r="C2099" s="14" t="str">
        <f>IFERROR(__xludf.DUMMYFUNCTION("""COMPUTED_VALUE"""),"P-20409-00")</f>
        <v>P-20409-00</v>
      </c>
    </row>
    <row r="2100">
      <c r="A2100" s="14" t="str">
        <f>IFERROR(__xludf.DUMMYFUNCTION("""COMPUTED_VALUE"""),"P-20431-00")</f>
        <v>P-20431-00</v>
      </c>
      <c r="B2100" s="14" t="str">
        <f>IFERROR(__xludf.DUMMYFUNCTION("""COMPUTED_VALUE"""),"General - Elbow Ornamen SS201 dia. 4 inch; No Brand; -; 1 pc")</f>
        <v>General - Elbow Ornamen SS201 dia. 4 inch; No Brand; -; 1 pc</v>
      </c>
      <c r="C2100" s="14" t="str">
        <f>IFERROR(__xludf.DUMMYFUNCTION("""COMPUTED_VALUE"""),"P-20431-00")</f>
        <v>P-20431-00</v>
      </c>
    </row>
    <row r="2101">
      <c r="A2101" s="14" t="str">
        <f>IFERROR(__xludf.DUMMYFUNCTION("""COMPUTED_VALUE"""),"P-20432-00")</f>
        <v>P-20432-00</v>
      </c>
      <c r="B2101" s="14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4" t="str">
        <f>IFERROR(__xludf.DUMMYFUNCTION("""COMPUTED_VALUE"""),"P-20432-00")</f>
        <v>P-20432-00</v>
      </c>
    </row>
    <row r="2102">
      <c r="A2102" s="14" t="str">
        <f>IFERROR(__xludf.DUMMYFUNCTION("""COMPUTED_VALUE"""),"P-20443-00")</f>
        <v>P-20443-00</v>
      </c>
      <c r="B2102" s="14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4" t="str">
        <f>IFERROR(__xludf.DUMMYFUNCTION("""COMPUTED_VALUE"""),"P-20443-00")</f>
        <v>P-20443-00</v>
      </c>
    </row>
    <row r="2103">
      <c r="A2103" s="14" t="str">
        <f>IFERROR(__xludf.DUMMYFUNCTION("""COMPUTED_VALUE"""),"P-20444-00")</f>
        <v>P-20444-00</v>
      </c>
      <c r="B2103" s="14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4" t="str">
        <f>IFERROR(__xludf.DUMMYFUNCTION("""COMPUTED_VALUE"""),"P-20444-00")</f>
        <v>P-20444-00</v>
      </c>
    </row>
    <row r="2104">
      <c r="A2104" s="14" t="str">
        <f>IFERROR(__xludf.DUMMYFUNCTION("""COMPUTED_VALUE"""),"P-20445-00")</f>
        <v>P-20445-00</v>
      </c>
      <c r="B2104" s="14" t="str">
        <f>IFERROR(__xludf.DUMMYFUNCTION("""COMPUTED_VALUE"""),"General - Caustic Soda (NaOH), Flakes; Tjiwi; -; 1 kg")</f>
        <v>General - Caustic Soda (NaOH), Flakes; Tjiwi; -; 1 kg</v>
      </c>
      <c r="C2104" s="14" t="str">
        <f>IFERROR(__xludf.DUMMYFUNCTION("""COMPUTED_VALUE"""),"P-20445-00")</f>
        <v>P-20445-00</v>
      </c>
    </row>
    <row r="2105">
      <c r="A2105" s="14" t="str">
        <f>IFERROR(__xludf.DUMMYFUNCTION("""COMPUTED_VALUE"""),"P-20448-00")</f>
        <v>P-20448-00</v>
      </c>
      <c r="B2105" s="14" t="str">
        <f>IFERROR(__xludf.DUMMYFUNCTION("""COMPUTED_VALUE"""),"General - Insulation Ducting Tebal 20mm Uk. 1.2 x 0.9m; Proflex; -; 1 pc")</f>
        <v>General - Insulation Ducting Tebal 20mm Uk. 1.2 x 0.9m; Proflex; -; 1 pc</v>
      </c>
      <c r="C2105" s="14" t="str">
        <f>IFERROR(__xludf.DUMMYFUNCTION("""COMPUTED_VALUE"""),"P-20448-00")</f>
        <v>P-20448-00</v>
      </c>
    </row>
    <row r="2106">
      <c r="A2106" s="14" t="str">
        <f>IFERROR(__xludf.DUMMYFUNCTION("""COMPUTED_VALUE"""),"P-20449-00")</f>
        <v>P-20449-00</v>
      </c>
      <c r="B2106" s="14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4" t="str">
        <f>IFERROR(__xludf.DUMMYFUNCTION("""COMPUTED_VALUE"""),"P-20449-00")</f>
        <v>P-20449-00</v>
      </c>
    </row>
    <row r="2107">
      <c r="A2107" s="14" t="str">
        <f>IFERROR(__xludf.DUMMYFUNCTION("""COMPUTED_VALUE"""),"P-20509-00")</f>
        <v>P-20509-00</v>
      </c>
      <c r="B2107" s="14" t="str">
        <f>IFERROR(__xludf.DUMMYFUNCTION("""COMPUTED_VALUE"""),"General - Pressure Regulator AR20-F02G-D; SMC; -; 1 pc")</f>
        <v>General - Pressure Regulator AR20-F02G-D; SMC; -; 1 pc</v>
      </c>
      <c r="C2107" s="14" t="str">
        <f>IFERROR(__xludf.DUMMYFUNCTION("""COMPUTED_VALUE"""),"P-20509-00")</f>
        <v>P-20509-00</v>
      </c>
    </row>
    <row r="2108">
      <c r="A2108" s="14" t="str">
        <f>IFERROR(__xludf.DUMMYFUNCTION("""COMPUTED_VALUE"""),"P-20517-00")</f>
        <v>P-20517-00</v>
      </c>
      <c r="B2108" s="14" t="str">
        <f>IFERROR(__xludf.DUMMYFUNCTION("""COMPUTED_VALUE"""),"General - Hole Saw SS TCT 23mm; Kugel; -; 1 pc")</f>
        <v>General - Hole Saw SS TCT 23mm; Kugel; -; 1 pc</v>
      </c>
      <c r="C2108" s="14" t="str">
        <f>IFERROR(__xludf.DUMMYFUNCTION("""COMPUTED_VALUE"""),"P-20517-00")</f>
        <v>P-20517-00</v>
      </c>
    </row>
    <row r="2109">
      <c r="A2109" s="14" t="str">
        <f>IFERROR(__xludf.DUMMYFUNCTION("""COMPUTED_VALUE"""),"P-20527-00")</f>
        <v>P-20527-00</v>
      </c>
      <c r="B2109" s="14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4" t="str">
        <f>IFERROR(__xludf.DUMMYFUNCTION("""COMPUTED_VALUE"""),"P-20527-00")</f>
        <v>P-20527-00</v>
      </c>
    </row>
    <row r="2110">
      <c r="A2110" s="14" t="str">
        <f>IFERROR(__xludf.DUMMYFUNCTION("""COMPUTED_VALUE"""),"P-20528-00")</f>
        <v>P-20528-00</v>
      </c>
      <c r="B2110" s="14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4" t="str">
        <f>IFERROR(__xludf.DUMMYFUNCTION("""COMPUTED_VALUE"""),"P-20528-00")</f>
        <v>P-20528-00</v>
      </c>
    </row>
    <row r="2111">
      <c r="A2111" s="14" t="str">
        <f>IFERROR(__xludf.DUMMYFUNCTION("""COMPUTED_VALUE"""),"P-20529-00")</f>
        <v>P-20529-00</v>
      </c>
      <c r="B2111" s="14" t="str">
        <f>IFERROR(__xludf.DUMMYFUNCTION("""COMPUTED_VALUE"""),"General - Oring Port Sampling 8 x 61 x 77mm; Custom Agru; -; 1 pc")</f>
        <v>General - Oring Port Sampling 8 x 61 x 77mm; Custom Agru; -; 1 pc</v>
      </c>
      <c r="C2111" s="14" t="str">
        <f>IFERROR(__xludf.DUMMYFUNCTION("""COMPUTED_VALUE"""),"P-20529-00")</f>
        <v>P-20529-00</v>
      </c>
    </row>
    <row r="2112">
      <c r="A2112" s="14" t="str">
        <f>IFERROR(__xludf.DUMMYFUNCTION("""COMPUTED_VALUE"""),"P-20530-00")</f>
        <v>P-20530-00</v>
      </c>
      <c r="B2112" s="14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4" t="str">
        <f>IFERROR(__xludf.DUMMYFUNCTION("""COMPUTED_VALUE"""),"P-20530-00")</f>
        <v>P-20530-00</v>
      </c>
    </row>
    <row r="2113">
      <c r="A2113" s="14" t="str">
        <f>IFERROR(__xludf.DUMMYFUNCTION("""COMPUTED_VALUE"""),"P-20531-00")</f>
        <v>P-20531-00</v>
      </c>
      <c r="B2113" s="14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4" t="str">
        <f>IFERROR(__xludf.DUMMYFUNCTION("""COMPUTED_VALUE"""),"P-20531-00")</f>
        <v>P-20531-00</v>
      </c>
    </row>
    <row r="2114">
      <c r="A2114" s="14" t="str">
        <f>IFERROR(__xludf.DUMMYFUNCTION("""COMPUTED_VALUE"""),"P-20532-00")</f>
        <v>P-20532-00</v>
      </c>
      <c r="B2114" s="14" t="str">
        <f>IFERROR(__xludf.DUMMYFUNCTION("""COMPUTED_VALUE"""),"General - Hand Tap M3 x 0.5; Yamawa; -; 3pcs/pack")</f>
        <v>General - Hand Tap M3 x 0.5; Yamawa; -; 3pcs/pack</v>
      </c>
      <c r="C2114" s="14" t="str">
        <f>IFERROR(__xludf.DUMMYFUNCTION("""COMPUTED_VALUE"""),"P-20532-00")</f>
        <v>P-20532-00</v>
      </c>
    </row>
    <row r="2115">
      <c r="A2115" s="14" t="str">
        <f>IFERROR(__xludf.DUMMYFUNCTION("""COMPUTED_VALUE"""),"P-20533-00")</f>
        <v>P-20533-00</v>
      </c>
      <c r="B2115" s="14" t="str">
        <f>IFERROR(__xludf.DUMMYFUNCTION("""COMPUTED_VALUE"""),"General - Chain Lube; WD-40 Specialist; -; 360ml/can")</f>
        <v>General - Chain Lube; WD-40 Specialist; -; 360ml/can</v>
      </c>
      <c r="C2115" s="14" t="str">
        <f>IFERROR(__xludf.DUMMYFUNCTION("""COMPUTED_VALUE"""),"P-20533-00")</f>
        <v>P-20533-00</v>
      </c>
    </row>
    <row r="2116">
      <c r="A2116" s="14" t="str">
        <f>IFERROR(__xludf.DUMMYFUNCTION("""COMPUTED_VALUE"""),"P-20540-00")</f>
        <v>P-20540-00</v>
      </c>
      <c r="B2116" s="14" t="str">
        <f>IFERROR(__xludf.DUMMYFUNCTION("""COMPUTED_VALUE"""),"General - Handle Pintu Panel H3-60-221-050; Soutcho; -; 1 pc")</f>
        <v>General - Handle Pintu Panel H3-60-221-050; Soutcho; -; 1 pc</v>
      </c>
      <c r="C2116" s="14" t="str">
        <f>IFERROR(__xludf.DUMMYFUNCTION("""COMPUTED_VALUE"""),"P-20540-00")</f>
        <v>P-20540-00</v>
      </c>
    </row>
    <row r="2117">
      <c r="A2117" s="14" t="str">
        <f>IFERROR(__xludf.DUMMYFUNCTION("""COMPUTED_VALUE"""),"P-20541-00")</f>
        <v>P-20541-00</v>
      </c>
      <c r="B2117" s="14" t="str">
        <f>IFERROR(__xludf.DUMMYFUNCTION("""COMPUTED_VALUE"""),"General - Lidah Handle Panel E5-6110; Southco; -; 1 pc")</f>
        <v>General - Lidah Handle Panel E5-6110; Southco; -; 1 pc</v>
      </c>
      <c r="C2117" s="14" t="str">
        <f>IFERROR(__xludf.DUMMYFUNCTION("""COMPUTED_VALUE"""),"P-20541-00")</f>
        <v>P-20541-00</v>
      </c>
    </row>
    <row r="2118">
      <c r="A2118" s="14" t="str">
        <f>IFERROR(__xludf.DUMMYFUNCTION("""COMPUTED_VALUE"""),"P-20542-00")</f>
        <v>P-20542-00</v>
      </c>
      <c r="B2118" s="14" t="str">
        <f>IFERROR(__xludf.DUMMYFUNCTION("""COMPUTED_VALUE"""),"General - Constant Air Volume EN Uk. 600 x 200mm; Trox; 918-3672; 1 pc")</f>
        <v>General - Constant Air Volume EN Uk. 600 x 200mm; Trox; 918-3672; 1 pc</v>
      </c>
      <c r="C2118" s="14" t="str">
        <f>IFERROR(__xludf.DUMMYFUNCTION("""COMPUTED_VALUE"""),"P-20542-00")</f>
        <v>P-20542-00</v>
      </c>
    </row>
    <row r="2119">
      <c r="A2119" s="14" t="str">
        <f>IFERROR(__xludf.DUMMYFUNCTION("""COMPUTED_VALUE"""),"P-20543-00")</f>
        <v>P-20543-00</v>
      </c>
      <c r="B2119" s="14" t="str">
        <f>IFERROR(__xludf.DUMMYFUNCTION("""COMPUTED_VALUE"""),"General - Constant Air Volume EN Uk. 500x300mm; Trox; 1350-5400; 1 pc")</f>
        <v>General - Constant Air Volume EN Uk. 500x300mm; Trox; 1350-5400; 1 pc</v>
      </c>
      <c r="C2119" s="14" t="str">
        <f>IFERROR(__xludf.DUMMYFUNCTION("""COMPUTED_VALUE"""),"P-20543-00")</f>
        <v>P-20543-00</v>
      </c>
    </row>
    <row r="2120">
      <c r="A2120" s="14" t="str">
        <f>IFERROR(__xludf.DUMMYFUNCTION("""COMPUTED_VALUE"""),"P-20544-00")</f>
        <v>P-20544-00</v>
      </c>
      <c r="B2120" s="14" t="str">
        <f>IFERROR(__xludf.DUMMYFUNCTION("""COMPUTED_VALUE"""),"General - General Ferrule EPDM NW200; No Brand; -; 1pc")</f>
        <v>General - General Ferrule EPDM NW200; No Brand; -; 1pc</v>
      </c>
      <c r="C2120" s="14" t="str">
        <f>IFERROR(__xludf.DUMMYFUNCTION("""COMPUTED_VALUE"""),"P-20544-00")</f>
        <v>P-20544-00</v>
      </c>
    </row>
    <row r="2121">
      <c r="A2121" s="14" t="str">
        <f>IFERROR(__xludf.DUMMYFUNCTION("""COMPUTED_VALUE"""),"P-20556-00")</f>
        <v>P-20556-00</v>
      </c>
      <c r="B2121" s="14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4" t="str">
        <f>IFERROR(__xludf.DUMMYFUNCTION("""COMPUTED_VALUE"""),"P-20556-00")</f>
        <v>P-20556-00</v>
      </c>
    </row>
    <row r="2122">
      <c r="A2122" s="14" t="str">
        <f>IFERROR(__xludf.DUMMYFUNCTION("""COMPUTED_VALUE"""),"P-20557-00")</f>
        <v>P-20557-00</v>
      </c>
      <c r="B2122" s="14" t="str">
        <f>IFERROR(__xludf.DUMMYFUNCTION("""COMPUTED_VALUE"""),"General - Reducer Ducting BJLS 6.4 x 3inch; No Brand; -; 1 pc")</f>
        <v>General - Reducer Ducting BJLS 6.4 x 3inch; No Brand; -; 1 pc</v>
      </c>
      <c r="C2122" s="14" t="str">
        <f>IFERROR(__xludf.DUMMYFUNCTION("""COMPUTED_VALUE"""),"P-20557-00")</f>
        <v>P-20557-00</v>
      </c>
    </row>
    <row r="2123">
      <c r="A2123" s="14" t="str">
        <f>IFERROR(__xludf.DUMMYFUNCTION("""COMPUTED_VALUE"""),"P-20570-00")</f>
        <v>P-20570-00</v>
      </c>
      <c r="B2123" s="14" t="str">
        <f>IFERROR(__xludf.DUMMYFUNCTION("""COMPUTED_VALUE"""),"General - Dudukan Equinok Uk. 50 x 90 x 160mm; Custom Agru; -; 1 pc")</f>
        <v>General - Dudukan Equinok Uk. 50 x 90 x 160mm; Custom Agru; -; 1 pc</v>
      </c>
      <c r="C2123" s="14" t="str">
        <f>IFERROR(__xludf.DUMMYFUNCTION("""COMPUTED_VALUE"""),"P-20570-00")</f>
        <v>P-20570-00</v>
      </c>
    </row>
    <row r="2124">
      <c r="A2124" s="14" t="str">
        <f>IFERROR(__xludf.DUMMYFUNCTION("""COMPUTED_VALUE"""),"P-20571-00")</f>
        <v>P-20571-00</v>
      </c>
      <c r="B2124" s="14" t="str">
        <f>IFERROR(__xludf.DUMMYFUNCTION("""COMPUTED_VALUE"""),"General - Force Gauge Digital 50kg; No Brand; AMF-500; 1 pc")</f>
        <v>General - Force Gauge Digital 50kg; No Brand; AMF-500; 1 pc</v>
      </c>
      <c r="C2124" s="14" t="str">
        <f>IFERROR(__xludf.DUMMYFUNCTION("""COMPUTED_VALUE"""),"P-20571-00")</f>
        <v>P-20571-00</v>
      </c>
    </row>
    <row r="2125">
      <c r="A2125" s="14" t="str">
        <f>IFERROR(__xludf.DUMMYFUNCTION("""COMPUTED_VALUE"""),"P-20574-00")</f>
        <v>P-20574-00</v>
      </c>
      <c r="B2125" s="14" t="str">
        <f>IFERROR(__xludf.DUMMYFUNCTION("""COMPUTED_VALUE"""),"General - Rivet Nut M10 SS304; Lokal; -; 1 pc")</f>
        <v>General - Rivet Nut M10 SS304; Lokal; -; 1 pc</v>
      </c>
      <c r="C2125" s="14" t="str">
        <f>IFERROR(__xludf.DUMMYFUNCTION("""COMPUTED_VALUE"""),"P-20574-00")</f>
        <v>P-20574-00</v>
      </c>
    </row>
    <row r="2126">
      <c r="A2126" s="14" t="str">
        <f>IFERROR(__xludf.DUMMYFUNCTION("""COMPUTED_VALUE"""),"P-20575-00")</f>
        <v>P-20575-00</v>
      </c>
      <c r="B2126" s="14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4" t="str">
        <f>IFERROR(__xludf.DUMMYFUNCTION("""COMPUTED_VALUE"""),"P-20575-00")</f>
        <v>P-20575-00</v>
      </c>
    </row>
    <row r="2127">
      <c r="A2127" s="14" t="str">
        <f>IFERROR(__xludf.DUMMYFUNCTION("""COMPUTED_VALUE"""),"P-20576-00")</f>
        <v>P-20576-00</v>
      </c>
      <c r="B2127" s="14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4" t="str">
        <f>IFERROR(__xludf.DUMMYFUNCTION("""COMPUTED_VALUE"""),"P-20576-00")</f>
        <v>P-20576-00</v>
      </c>
    </row>
    <row r="2128">
      <c r="A2128" s="14" t="str">
        <f>IFERROR(__xludf.DUMMYFUNCTION("""COMPUTED_VALUE"""),"P-20577-00")</f>
        <v>P-20577-00</v>
      </c>
      <c r="B2128" s="14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4" t="str">
        <f>IFERROR(__xludf.DUMMYFUNCTION("""COMPUTED_VALUE"""),"P-20577-00")</f>
        <v>P-20577-00</v>
      </c>
    </row>
    <row r="2129">
      <c r="A2129" s="14" t="str">
        <f>IFERROR(__xludf.DUMMYFUNCTION("""COMPUTED_VALUE"""),"P-20578-00")</f>
        <v>P-20578-00</v>
      </c>
      <c r="B2129" s="14" t="str">
        <f>IFERROR(__xludf.DUMMYFUNCTION("""COMPUTED_VALUE"""),"General - Mur Rivet SS304 M5; No Brand; -; 100pcs/pck")</f>
        <v>General - Mur Rivet SS304 M5; No Brand; -; 100pcs/pck</v>
      </c>
      <c r="C2129" s="14" t="str">
        <f>IFERROR(__xludf.DUMMYFUNCTION("""COMPUTED_VALUE"""),"P-20578-00")</f>
        <v>P-20578-00</v>
      </c>
    </row>
    <row r="2130">
      <c r="A2130" s="14" t="str">
        <f>IFERROR(__xludf.DUMMYFUNCTION("""COMPUTED_VALUE"""),"P-20579-00")</f>
        <v>P-20579-00</v>
      </c>
      <c r="B2130" s="14" t="str">
        <f>IFERROR(__xludf.DUMMYFUNCTION("""COMPUTED_VALUE"""),"General - Serrated Hexagon Bolt SS304 M5 x 16; No Brand; -; 100pcs/pck")</f>
        <v>General - Serrated Hexagon Bolt SS304 M5 x 16; No Brand; -; 100pcs/pck</v>
      </c>
      <c r="C2130" s="14" t="str">
        <f>IFERROR(__xludf.DUMMYFUNCTION("""COMPUTED_VALUE"""),"P-20579-00")</f>
        <v>P-20579-00</v>
      </c>
    </row>
    <row r="2131">
      <c r="A2131" s="14" t="str">
        <f>IFERROR(__xludf.DUMMYFUNCTION("""COMPUTED_VALUE"""),"P-20580-00")</f>
        <v>P-20580-00</v>
      </c>
      <c r="B2131" s="14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4" t="str">
        <f>IFERROR(__xludf.DUMMYFUNCTION("""COMPUTED_VALUE"""),"P-20580-00")</f>
        <v>P-20580-00</v>
      </c>
    </row>
    <row r="2132">
      <c r="A2132" s="14" t="str">
        <f>IFERROR(__xludf.DUMMYFUNCTION("""COMPUTED_VALUE"""),"P-20634-00")</f>
        <v>P-20634-00</v>
      </c>
      <c r="B2132" s="14" t="str">
        <f>IFERROR(__xludf.DUMMYFUNCTION("""COMPUTED_VALUE"""),"General - Socket Tester Pro Voltage HT106D; Habotest; -; 1 pc")</f>
        <v>General - Socket Tester Pro Voltage HT106D; Habotest; -; 1 pc</v>
      </c>
      <c r="C2132" s="14" t="str">
        <f>IFERROR(__xludf.DUMMYFUNCTION("""COMPUTED_VALUE"""),"P-20634-00")</f>
        <v>P-20634-00</v>
      </c>
    </row>
    <row r="2133">
      <c r="A2133" s="14" t="str">
        <f>IFERROR(__xludf.DUMMYFUNCTION("""COMPUTED_VALUE"""),"P-20635-00")</f>
        <v>P-20635-00</v>
      </c>
      <c r="B2133" s="14" t="str">
        <f>IFERROR(__xludf.DUMMYFUNCTION("""COMPUTED_VALUE"""),"General - Belt Dressing; Prestone; -; 250ml/can")</f>
        <v>General - Belt Dressing; Prestone; -; 250ml/can</v>
      </c>
      <c r="C2133" s="14" t="str">
        <f>IFERROR(__xludf.DUMMYFUNCTION("""COMPUTED_VALUE"""),"P-20635-00")</f>
        <v>P-20635-00</v>
      </c>
    </row>
    <row r="2134">
      <c r="A2134" s="14" t="str">
        <f>IFERROR(__xludf.DUMMYFUNCTION("""COMPUTED_VALUE"""),"P-20637-00")</f>
        <v>P-20637-00</v>
      </c>
      <c r="B2134" s="14" t="str">
        <f>IFERROR(__xludf.DUMMYFUNCTION("""COMPUTED_VALUE"""),"General - Motorize Valve; Belimo; NMX 120-3; 1 pc")</f>
        <v>General - Motorize Valve; Belimo; NMX 120-3; 1 pc</v>
      </c>
      <c r="C2134" s="14" t="str">
        <f>IFERROR(__xludf.DUMMYFUNCTION("""COMPUTED_VALUE"""),"P-20637-00")</f>
        <v>P-20637-00</v>
      </c>
    </row>
    <row r="2135">
      <c r="A2135" s="14" t="str">
        <f>IFERROR(__xludf.DUMMYFUNCTION("""COMPUTED_VALUE"""),"P-20638-00")</f>
        <v>P-20638-00</v>
      </c>
      <c r="B2135" s="14" t="str">
        <f>IFERROR(__xludf.DUMMYFUNCTION("""COMPUTED_VALUE"""),"General - Mata Bor Socket Hex Nut; No Brand; -; 9 pcs/set")</f>
        <v>General - Mata Bor Socket Hex Nut; No Brand; -; 9 pcs/set</v>
      </c>
      <c r="C2135" s="14" t="str">
        <f>IFERROR(__xludf.DUMMYFUNCTION("""COMPUTED_VALUE"""),"P-20638-00")</f>
        <v>P-20638-00</v>
      </c>
    </row>
    <row r="2136">
      <c r="A2136" s="14" t="str">
        <f>IFERROR(__xludf.DUMMYFUNCTION("""COMPUTED_VALUE"""),"P-20639-00")</f>
        <v>P-20639-00</v>
      </c>
      <c r="B2136" s="14" t="str">
        <f>IFERROR(__xludf.DUMMYFUNCTION("""COMPUTED_VALUE"""),"General - Pipa Tembaga Dia. 4mm; No Brand; -; 1 meter")</f>
        <v>General - Pipa Tembaga Dia. 4mm; No Brand; -; 1 meter</v>
      </c>
      <c r="C2136" s="14" t="str">
        <f>IFERROR(__xludf.DUMMYFUNCTION("""COMPUTED_VALUE"""),"P-20639-00")</f>
        <v>P-20639-00</v>
      </c>
    </row>
    <row r="2137">
      <c r="A2137" s="14" t="str">
        <f>IFERROR(__xludf.DUMMYFUNCTION("""COMPUTED_VALUE"""),"P-20640-00")</f>
        <v>P-20640-00</v>
      </c>
      <c r="B2137" s="14" t="str">
        <f>IFERROR(__xludf.DUMMYFUNCTION("""COMPUTED_VALUE"""),"General - Tee Tembaga 1/4inch; No Brand; -; 1 pc")</f>
        <v>General - Tee Tembaga 1/4inch; No Brand; -; 1 pc</v>
      </c>
      <c r="C2137" s="14" t="str">
        <f>IFERROR(__xludf.DUMMYFUNCTION("""COMPUTED_VALUE"""),"P-20640-00")</f>
        <v>P-20640-00</v>
      </c>
    </row>
    <row r="2138">
      <c r="A2138" s="14" t="str">
        <f>IFERROR(__xludf.DUMMYFUNCTION("""COMPUTED_VALUE"""),"P-20641-00")</f>
        <v>P-20641-00</v>
      </c>
      <c r="B2138" s="14" t="str">
        <f>IFERROR(__xludf.DUMMYFUNCTION("""COMPUTED_VALUE"""),"General - Regulator Gas 300 Bar; Harris`; 901; 1 pc")</f>
        <v>General - Regulator Gas 300 Bar; Harris`; 901; 1 pc</v>
      </c>
      <c r="C2138" s="14" t="str">
        <f>IFERROR(__xludf.DUMMYFUNCTION("""COMPUTED_VALUE"""),"P-20641-00")</f>
        <v>P-20641-00</v>
      </c>
    </row>
    <row r="2139">
      <c r="A2139" s="14" t="str">
        <f>IFERROR(__xludf.DUMMYFUNCTION("""COMPUTED_VALUE"""),"P-20642-00")</f>
        <v>P-20642-00</v>
      </c>
      <c r="B2139" s="14" t="str">
        <f>IFERROR(__xludf.DUMMYFUNCTION("""COMPUTED_VALUE"""),"General - Quick Connector STWM 1/4 Male JIC; Swagelok; -; 1 pc")</f>
        <v>General - Quick Connector STWM 1/4 Male JIC; Swagelok; -; 1 pc</v>
      </c>
      <c r="C2139" s="14" t="str">
        <f>IFERROR(__xludf.DUMMYFUNCTION("""COMPUTED_VALUE"""),"P-20642-00")</f>
        <v>P-20642-00</v>
      </c>
    </row>
    <row r="2140">
      <c r="A2140" s="14" t="str">
        <f>IFERROR(__xludf.DUMMYFUNCTION("""COMPUTED_VALUE"""),"P-20643-00")</f>
        <v>P-20643-00</v>
      </c>
      <c r="B2140" s="14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4" t="str">
        <f>IFERROR(__xludf.DUMMYFUNCTION("""COMPUTED_VALUE"""),"P-20643-00")</f>
        <v>P-20643-00</v>
      </c>
    </row>
    <row r="2141">
      <c r="A2141" s="14" t="str">
        <f>IFERROR(__xludf.DUMMYFUNCTION("""COMPUTED_VALUE"""),"P-20651-00")</f>
        <v>P-20651-00</v>
      </c>
      <c r="B2141" s="14" t="str">
        <f>IFERROR(__xludf.DUMMYFUNCTION("""COMPUTED_VALUE"""),"General - Wire Brush Mata Bor; JLD; 263; 3pcs/set")</f>
        <v>General - Wire Brush Mata Bor; JLD; 263; 3pcs/set</v>
      </c>
      <c r="C2141" s="14" t="str">
        <f>IFERROR(__xludf.DUMMYFUNCTION("""COMPUTED_VALUE"""),"P-20651-00")</f>
        <v>P-20651-00</v>
      </c>
    </row>
    <row r="2142">
      <c r="A2142" s="14" t="str">
        <f>IFERROR(__xludf.DUMMYFUNCTION("""COMPUTED_VALUE"""),"P-20660-00")</f>
        <v>P-20660-00</v>
      </c>
      <c r="B2142" s="14" t="str">
        <f>IFERROR(__xludf.DUMMYFUNCTION("""COMPUTED_VALUE"""),"General - Gas Spring FGSS22200B; Misumi; -; 1 pc")</f>
        <v>General - Gas Spring FGSS22200B; Misumi; -; 1 pc</v>
      </c>
      <c r="C2142" s="14" t="str">
        <f>IFERROR(__xludf.DUMMYFUNCTION("""COMPUTED_VALUE"""),"P-20660-00")</f>
        <v>P-20660-00</v>
      </c>
    </row>
    <row r="2143">
      <c r="A2143" s="14" t="str">
        <f>IFERROR(__xludf.DUMMYFUNCTION("""COMPUTED_VALUE"""),"P-20695-00")</f>
        <v>P-20695-00</v>
      </c>
      <c r="B2143" s="14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4" t="str">
        <f>IFERROR(__xludf.DUMMYFUNCTION("""COMPUTED_VALUE"""),"P-20695-00")</f>
        <v>P-20695-00</v>
      </c>
    </row>
    <row r="2144">
      <c r="A2144" s="14" t="str">
        <f>IFERROR(__xludf.DUMMYFUNCTION("""COMPUTED_VALUE"""),"P-20696-00")</f>
        <v>P-20696-00</v>
      </c>
      <c r="B2144" s="14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4" t="str">
        <f>IFERROR(__xludf.DUMMYFUNCTION("""COMPUTED_VALUE"""),"P-20696-00")</f>
        <v>P-20696-00</v>
      </c>
    </row>
    <row r="2145">
      <c r="A2145" s="14" t="str">
        <f>IFERROR(__xludf.DUMMYFUNCTION("""COMPUTED_VALUE"""),"P-20697-00")</f>
        <v>P-20697-00</v>
      </c>
      <c r="B2145" s="14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4" t="str">
        <f>IFERROR(__xludf.DUMMYFUNCTION("""COMPUTED_VALUE"""),"P-20697-00")</f>
        <v>P-20697-00</v>
      </c>
    </row>
    <row r="2146">
      <c r="A2146" s="14" t="str">
        <f>IFERROR(__xludf.DUMMYFUNCTION("""COMPUTED_VALUE"""),"P-20698-00")</f>
        <v>P-20698-00</v>
      </c>
      <c r="B2146" s="14" t="str">
        <f>IFERROR(__xludf.DUMMYFUNCTION("""COMPUTED_VALUE"""),"General - Elbow Thermaflex 2 1/2 Inch x 3/4 Inch; No Brand; -; 1 pc")</f>
        <v>General - Elbow Thermaflex 2 1/2 Inch x 3/4 Inch; No Brand; -; 1 pc</v>
      </c>
      <c r="C2146" s="14" t="str">
        <f>IFERROR(__xludf.DUMMYFUNCTION("""COMPUTED_VALUE"""),"P-20698-00")</f>
        <v>P-20698-00</v>
      </c>
    </row>
    <row r="2147">
      <c r="A2147" s="14" t="str">
        <f>IFERROR(__xludf.DUMMYFUNCTION("""COMPUTED_VALUE"""),"P-20699-00")</f>
        <v>P-20699-00</v>
      </c>
      <c r="B2147" s="14" t="str">
        <f>IFERROR(__xludf.DUMMYFUNCTION("""COMPUTED_VALUE"""),"General - Elbow Thermaflex 1 Inch x 3/4 Inch; No Brand; -; 1 pc")</f>
        <v>General - Elbow Thermaflex 1 Inch x 3/4 Inch; No Brand; -; 1 pc</v>
      </c>
      <c r="C2147" s="14" t="str">
        <f>IFERROR(__xludf.DUMMYFUNCTION("""COMPUTED_VALUE"""),"P-20699-00")</f>
        <v>P-20699-00</v>
      </c>
    </row>
    <row r="2148">
      <c r="A2148" s="14" t="str">
        <f>IFERROR(__xludf.DUMMYFUNCTION("""COMPUTED_VALUE"""),"P-20700-00")</f>
        <v>P-20700-00</v>
      </c>
      <c r="B2148" s="14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4" t="str">
        <f>IFERROR(__xludf.DUMMYFUNCTION("""COMPUTED_VALUE"""),"P-20700-00")</f>
        <v>P-20700-00</v>
      </c>
    </row>
    <row r="2149">
      <c r="A2149" s="14" t="str">
        <f>IFERROR(__xludf.DUMMYFUNCTION("""COMPUTED_VALUE"""),"P-20720-00")</f>
        <v>P-20720-00</v>
      </c>
      <c r="B2149" s="14" t="str">
        <f>IFERROR(__xludf.DUMMYFUNCTION("""COMPUTED_VALUE"""),"General - Dudukan Sensor ORP Ukuran 58 x 27 mm; Custom Agru; -; 1 pc")</f>
        <v>General - Dudukan Sensor ORP Ukuran 58 x 27 mm; Custom Agru; -; 1 pc</v>
      </c>
      <c r="C2149" s="14" t="str">
        <f>IFERROR(__xludf.DUMMYFUNCTION("""COMPUTED_VALUE"""),"P-20720-00")</f>
        <v>P-20720-00</v>
      </c>
    </row>
    <row r="2150">
      <c r="A2150" s="14" t="str">
        <f>IFERROR(__xludf.DUMMYFUNCTION("""COMPUTED_VALUE"""),"P-20751-00")</f>
        <v>P-20751-00</v>
      </c>
      <c r="B2150" s="14" t="str">
        <f>IFERROR(__xludf.DUMMYFUNCTION("""COMPUTED_VALUE"""),"General - Door Shoe Car Door; Schindler; IWU-000528; 1 pc")</f>
        <v>General - Door Shoe Car Door; Schindler; IWU-000528; 1 pc</v>
      </c>
      <c r="C2150" s="14" t="str">
        <f>IFERROR(__xludf.DUMMYFUNCTION("""COMPUTED_VALUE"""),"P-20751-00")</f>
        <v>P-20751-00</v>
      </c>
    </row>
    <row r="2151">
      <c r="A2151" s="14" t="str">
        <f>IFERROR(__xludf.DUMMYFUNCTION("""COMPUTED_VALUE"""),"P-20753-00")</f>
        <v>P-20753-00</v>
      </c>
      <c r="B2151" s="14" t="str">
        <f>IFERROR(__xludf.DUMMYFUNCTION("""COMPUTED_VALUE"""),"General - Heater Heating Plate; Lokal; 220V+PT100; 1 pc")</f>
        <v>General - Heater Heating Plate; Lokal; 220V+PT100; 1 pc</v>
      </c>
      <c r="C2151" s="14" t="str">
        <f>IFERROR(__xludf.DUMMYFUNCTION("""COMPUTED_VALUE"""),"P-20753-00")</f>
        <v>P-20753-00</v>
      </c>
    </row>
    <row r="2152">
      <c r="A2152" s="14" t="str">
        <f>IFERROR(__xludf.DUMMYFUNCTION("""COMPUTED_VALUE"""),"P-20754-00")</f>
        <v>P-20754-00</v>
      </c>
      <c r="B2152" s="14" t="str">
        <f>IFERROR(__xludf.DUMMYFUNCTION("""COMPUTED_VALUE"""),"General - Oring 200 Viton Tebal 5.7 ID 199.3 OD 210.7 mm; Custom; -; 1 pc")</f>
        <v>General - Oring 200 Viton Tebal 5.7 ID 199.3 OD 210.7 mm; Custom; -; 1 pc</v>
      </c>
      <c r="C2152" s="14" t="str">
        <f>IFERROR(__xludf.DUMMYFUNCTION("""COMPUTED_VALUE"""),"P-20754-00")</f>
        <v>P-20754-00</v>
      </c>
    </row>
    <row r="2153">
      <c r="A2153" s="14" t="str">
        <f>IFERROR(__xludf.DUMMYFUNCTION("""COMPUTED_VALUE"""),"P-20755-00")</f>
        <v>P-20755-00</v>
      </c>
      <c r="B2153" s="14" t="str">
        <f>IFERROR(__xludf.DUMMYFUNCTION("""COMPUTED_VALUE"""),"General - Oring 260 Viton Tebal 5.7 ID 259.3 OD 270.7 mm; Custom; -; 1 pc")</f>
        <v>General - Oring 260 Viton Tebal 5.7 ID 259.3 OD 270.7 mm; Custom; -; 1 pc</v>
      </c>
      <c r="C2153" s="14" t="str">
        <f>IFERROR(__xludf.DUMMYFUNCTION("""COMPUTED_VALUE"""),"P-20755-00")</f>
        <v>P-20755-00</v>
      </c>
    </row>
    <row r="2154">
      <c r="A2154" s="14" t="str">
        <f>IFERROR(__xludf.DUMMYFUNCTION("""COMPUTED_VALUE"""),"P-20847-00")</f>
        <v>P-20847-00</v>
      </c>
      <c r="B2154" s="14" t="str">
        <f>IFERROR(__xludf.DUMMYFUNCTION("""COMPUTED_VALUE"""),"General - Bearing R4-2RS; EZO; -; 1 pc")</f>
        <v>General - Bearing R4-2RS; EZO; -; 1 pc</v>
      </c>
      <c r="C2154" s="14" t="str">
        <f>IFERROR(__xludf.DUMMYFUNCTION("""COMPUTED_VALUE"""),"P-20847-00")</f>
        <v>P-20847-00</v>
      </c>
    </row>
    <row r="2155">
      <c r="A2155" s="14" t="str">
        <f>IFERROR(__xludf.DUMMYFUNCTION("""COMPUTED_VALUE"""),"P-20848-00")</f>
        <v>P-20848-00</v>
      </c>
      <c r="B2155" s="14" t="str">
        <f>IFERROR(__xludf.DUMMYFUNCTION("""COMPUTED_VALUE"""),"General - Paku Rivet 529 4mm x 8mm; SIP; -; 1000pcs/box")</f>
        <v>General - Paku Rivet 529 4mm x 8mm; SIP; -; 1000pcs/box</v>
      </c>
      <c r="C2155" s="14" t="str">
        <f>IFERROR(__xludf.DUMMYFUNCTION("""COMPUTED_VALUE"""),"P-20848-00")</f>
        <v>P-20848-00</v>
      </c>
    </row>
    <row r="2156">
      <c r="A2156" s="14" t="str">
        <f>IFERROR(__xludf.DUMMYFUNCTION("""COMPUTED_VALUE"""),"P-20849-00")</f>
        <v>P-20849-00</v>
      </c>
      <c r="B2156" s="14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4" t="str">
        <f>IFERROR(__xludf.DUMMYFUNCTION("""COMPUTED_VALUE"""),"P-20849-00")</f>
        <v>P-20849-00</v>
      </c>
    </row>
    <row r="2157">
      <c r="A2157" s="14" t="str">
        <f>IFERROR(__xludf.DUMMYFUNCTION("""COMPUTED_VALUE"""),"P-20850-00")</f>
        <v>P-20850-00</v>
      </c>
      <c r="B2157" s="14" t="str">
        <f>IFERROR(__xludf.DUMMYFUNCTION("""COMPUTED_VALUE"""),"General - Paku Rivet 435 3,2mm x 9,5mm x 8mm; SIP; -; 1000pcs/box")</f>
        <v>General - Paku Rivet 435 3,2mm x 9,5mm x 8mm; SIP; -; 1000pcs/box</v>
      </c>
      <c r="C2157" s="14" t="str">
        <f>IFERROR(__xludf.DUMMYFUNCTION("""COMPUTED_VALUE"""),"P-20850-00")</f>
        <v>P-20850-00</v>
      </c>
    </row>
    <row r="2158">
      <c r="A2158" s="14" t="str">
        <f>IFERROR(__xludf.DUMMYFUNCTION("""COMPUTED_VALUE"""),"P-20851-00")</f>
        <v>P-20851-00</v>
      </c>
      <c r="B2158" s="14" t="str">
        <f>IFERROR(__xludf.DUMMYFUNCTION("""COMPUTED_VALUE"""),"General - Rivet Nut Aluminium M4; No Brand; -; 50pcs/box")</f>
        <v>General - Rivet Nut Aluminium M4; No Brand; -; 50pcs/box</v>
      </c>
      <c r="C2158" s="14" t="str">
        <f>IFERROR(__xludf.DUMMYFUNCTION("""COMPUTED_VALUE"""),"P-20851-00")</f>
        <v>P-20851-00</v>
      </c>
    </row>
    <row r="2159">
      <c r="A2159" s="14" t="str">
        <f>IFERROR(__xludf.DUMMYFUNCTION("""COMPUTED_VALUE"""),"P-20852-00")</f>
        <v>P-20852-00</v>
      </c>
      <c r="B2159" s="14" t="str">
        <f>IFERROR(__xludf.DUMMYFUNCTION("""COMPUTED_VALUE"""),"General - Tungsten Electrode WT20-2.4mm x 150mm; No Brand; -; 10 pcs/pack")</f>
        <v>General - Tungsten Electrode WT20-2.4mm x 150mm; No Brand; -; 10 pcs/pack</v>
      </c>
      <c r="C2159" s="14" t="str">
        <f>IFERROR(__xludf.DUMMYFUNCTION("""COMPUTED_VALUE"""),"P-20852-00")</f>
        <v>P-20852-00</v>
      </c>
    </row>
    <row r="2160">
      <c r="A2160" s="14" t="str">
        <f>IFERROR(__xludf.DUMMYFUNCTION("""COMPUTED_VALUE"""),"P-20853-00")</f>
        <v>P-20853-00</v>
      </c>
      <c r="B2160" s="14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4" t="str">
        <f>IFERROR(__xludf.DUMMYFUNCTION("""COMPUTED_VALUE"""),"P-20853-00")</f>
        <v>P-20853-00</v>
      </c>
    </row>
    <row r="2161">
      <c r="A2161" s="14" t="str">
        <f>IFERROR(__xludf.DUMMYFUNCTION("""COMPUTED_VALUE"""),"P-20854-00")</f>
        <v>P-20854-00</v>
      </c>
      <c r="B2161" s="14" t="str">
        <f>IFERROR(__xludf.DUMMYFUNCTION("""COMPUTED_VALUE"""),"General - Silicone Rubber Sheet 5mm x 1000mm x 1000mm; No Brand; -; 1 pc")</f>
        <v>General - Silicone Rubber Sheet 5mm x 1000mm x 1000mm; No Brand; -; 1 pc</v>
      </c>
      <c r="C2161" s="14" t="str">
        <f>IFERROR(__xludf.DUMMYFUNCTION("""COMPUTED_VALUE"""),"P-20854-00")</f>
        <v>P-20854-00</v>
      </c>
    </row>
    <row r="2162">
      <c r="A2162" s="14" t="str">
        <f>IFERROR(__xludf.DUMMYFUNCTION("""COMPUTED_VALUE"""),"P-20855-00")</f>
        <v>P-20855-00</v>
      </c>
      <c r="B2162" s="14" t="str">
        <f>IFERROR(__xludf.DUMMYFUNCTION("""COMPUTED_VALUE"""),"General - Mur M10 SS304 A2-70; No Brand; -; 50pcs/box")</f>
        <v>General - Mur M10 SS304 A2-70; No Brand; -; 50pcs/box</v>
      </c>
      <c r="C2162" s="14" t="str">
        <f>IFERROR(__xludf.DUMMYFUNCTION("""COMPUTED_VALUE"""),"P-20855-00")</f>
        <v>P-20855-00</v>
      </c>
    </row>
    <row r="2163">
      <c r="A2163" s="14" t="str">
        <f>IFERROR(__xludf.DUMMYFUNCTION("""COMPUTED_VALUE"""),"P-20883-00")</f>
        <v>P-20883-00</v>
      </c>
      <c r="B2163" s="14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4" t="str">
        <f>IFERROR(__xludf.DUMMYFUNCTION("""COMPUTED_VALUE"""),"P-20883-00")</f>
        <v>P-20883-00</v>
      </c>
    </row>
    <row r="2164">
      <c r="A2164" s="14" t="str">
        <f>IFERROR(__xludf.DUMMYFUNCTION("""COMPUTED_VALUE"""),"P-20884-00")</f>
        <v>P-20884-00</v>
      </c>
      <c r="B2164" s="14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4" t="str">
        <f>IFERROR(__xludf.DUMMYFUNCTION("""COMPUTED_VALUE"""),"P-20884-00")</f>
        <v>P-20884-00</v>
      </c>
    </row>
    <row r="2165">
      <c r="A2165" s="14" t="str">
        <f>IFERROR(__xludf.DUMMYFUNCTION("""COMPUTED_VALUE"""),"P-20913-00")</f>
        <v>P-20913-00</v>
      </c>
      <c r="B2165" s="14" t="str">
        <f>IFERROR(__xludf.DUMMYFUNCTION("""COMPUTED_VALUE"""),"Chemical - Spotcheck Red Penetrant; Magnaflux; SKL-SP2; 400ml/can")</f>
        <v>Chemical - Spotcheck Red Penetrant; Magnaflux; SKL-SP2; 400ml/can</v>
      </c>
      <c r="C2165" s="14" t="str">
        <f>IFERROR(__xludf.DUMMYFUNCTION("""COMPUTED_VALUE"""),"P-20913-00")</f>
        <v>P-20913-00</v>
      </c>
    </row>
    <row r="2166">
      <c r="A2166" s="14" t="str">
        <f>IFERROR(__xludf.DUMMYFUNCTION("""COMPUTED_VALUE"""),"P-20914-00")</f>
        <v>P-20914-00</v>
      </c>
      <c r="B2166" s="14" t="str">
        <f>IFERROR(__xludf.DUMMYFUNCTION("""COMPUTED_VALUE"""),"Chemical - Spotcheck Cleaner; Magnaflux; SKC-S; 400ml/can")</f>
        <v>Chemical - Spotcheck Cleaner; Magnaflux; SKC-S; 400ml/can</v>
      </c>
      <c r="C2166" s="14" t="str">
        <f>IFERROR(__xludf.DUMMYFUNCTION("""COMPUTED_VALUE"""),"P-20914-00")</f>
        <v>P-20914-00</v>
      </c>
    </row>
    <row r="2167">
      <c r="A2167" s="14" t="str">
        <f>IFERROR(__xludf.DUMMYFUNCTION("""COMPUTED_VALUE"""),"P-20927-00")</f>
        <v>P-20927-00</v>
      </c>
      <c r="B2167" s="14" t="str">
        <f>IFERROR(__xludf.DUMMYFUNCTION("""COMPUTED_VALUE"""),"General - Besi Siku L 4 x 4cm; No Brand; -; 4 meter/pc")</f>
        <v>General - Besi Siku L 4 x 4cm; No Brand; -; 4 meter/pc</v>
      </c>
      <c r="C2167" s="14" t="str">
        <f>IFERROR(__xludf.DUMMYFUNCTION("""COMPUTED_VALUE"""),"P-20927-00")</f>
        <v>P-20927-00</v>
      </c>
    </row>
    <row r="2168">
      <c r="A2168" s="14" t="str">
        <f>IFERROR(__xludf.DUMMYFUNCTION("""COMPUTED_VALUE"""),"P-20928-00")</f>
        <v>P-20928-00</v>
      </c>
      <c r="B2168" s="14" t="str">
        <f>IFERROR(__xludf.DUMMYFUNCTION("""COMPUTED_VALUE"""),"General - Plat Galvanis 1mm x 1.2m x 4.2m; No Brand; -; 1 pc")</f>
        <v>General - Plat Galvanis 1mm x 1.2m x 4.2m; No Brand; -; 1 pc</v>
      </c>
      <c r="C2168" s="14" t="str">
        <f>IFERROR(__xludf.DUMMYFUNCTION("""COMPUTED_VALUE"""),"P-20928-00")</f>
        <v>P-20928-00</v>
      </c>
    </row>
    <row r="2169">
      <c r="A2169" s="14" t="str">
        <f>IFERROR(__xludf.DUMMYFUNCTION("""COMPUTED_VALUE"""),"P-20929-00")</f>
        <v>P-20929-00</v>
      </c>
      <c r="B2169" s="14" t="str">
        <f>IFERROR(__xludf.DUMMYFUNCTION("""COMPUTED_VALUE"""),"General - Spotcheck Developer; Magnaflux; SKD-S2; 400 ml/can")</f>
        <v>General - Spotcheck Developer; Magnaflux; SKD-S2; 400 ml/can</v>
      </c>
      <c r="C2169" s="14" t="str">
        <f>IFERROR(__xludf.DUMMYFUNCTION("""COMPUTED_VALUE"""),"P-20929-00")</f>
        <v>P-20929-00</v>
      </c>
    </row>
    <row r="2170">
      <c r="A2170" s="14" t="str">
        <f>IFERROR(__xludf.DUMMYFUNCTION("""COMPUTED_VALUE"""),"P-50023-00")</f>
        <v>P-50023-00</v>
      </c>
      <c r="B2170" s="14" t="str">
        <f>IFERROR(__xludf.DUMMYFUNCTION("""COMPUTED_VALUE"""),"Lampu T8 30W/765; Philips; ;")</f>
        <v>Lampu T8 30W/765; Philips; ;</v>
      </c>
      <c r="C2170" s="14" t="str">
        <f>IFERROR(__xludf.DUMMYFUNCTION("""COMPUTED_VALUE"""),"P-50023-00")</f>
        <v>P-50023-00</v>
      </c>
    </row>
    <row r="2171">
      <c r="A2171" s="14" t="str">
        <f>IFERROR(__xludf.DUMMYFUNCTION("""COMPUTED_VALUE"""),"P-50026-00")</f>
        <v>P-50026-00</v>
      </c>
      <c r="B2171" s="14" t="str">
        <f>IFERROR(__xludf.DUMMYFUNCTION("""COMPUTED_VALUE"""),"Battery UPS 12460 12V 460W 9.5AH")</f>
        <v>Battery UPS 12460 12V 460W 9.5AH</v>
      </c>
      <c r="C2171" s="14" t="str">
        <f>IFERROR(__xludf.DUMMYFUNCTION("""COMPUTED_VALUE"""),"P-50026-00")</f>
        <v>P-50026-00</v>
      </c>
    </row>
    <row r="2172">
      <c r="A2172" s="14" t="str">
        <f>IFERROR(__xludf.DUMMYFUNCTION("""COMPUTED_VALUE"""),"P-50027-00")</f>
        <v>P-50027-00</v>
      </c>
      <c r="B2172" s="14" t="str">
        <f>IFERROR(__xludf.DUMMYFUNCTION("""COMPUTED_VALUE"""),"PCI Firewire 3port 6pin + 1port 4pin Card IEEE 1394")</f>
        <v>PCI Firewire 3port 6pin + 1port 4pin Card IEEE 1394</v>
      </c>
      <c r="C2172" s="14" t="str">
        <f>IFERROR(__xludf.DUMMYFUNCTION("""COMPUTED_VALUE"""),"P-50027-00")</f>
        <v>P-50027-00</v>
      </c>
    </row>
    <row r="2173">
      <c r="A2173" s="14" t="str">
        <f>IFERROR(__xludf.DUMMYFUNCTION("""COMPUTED_VALUE"""),"P-50033-00")</f>
        <v>P-50033-00</v>
      </c>
      <c r="B2173" s="14" t="str">
        <f>IFERROR(__xludf.DUMMYFUNCTION("""COMPUTED_VALUE"""),"LCD Display 7 Inch TM070RDH10")</f>
        <v>LCD Display 7 Inch TM070RDH10</v>
      </c>
      <c r="C2173" s="14" t="str">
        <f>IFERROR(__xludf.DUMMYFUNCTION("""COMPUTED_VALUE"""),"P-50033-00")</f>
        <v>P-50033-00</v>
      </c>
    </row>
    <row r="2174">
      <c r="A2174" s="14" t="str">
        <f>IFERROR(__xludf.DUMMYFUNCTION("""COMPUTED_VALUE"""),"P-50034-00")</f>
        <v>P-50034-00</v>
      </c>
      <c r="B2174" s="14" t="str">
        <f>IFERROR(__xludf.DUMMYFUNCTION("""COMPUTED_VALUE"""),"Pelampung Air Otomatis 1/2 Inch")</f>
        <v>Pelampung Air Otomatis 1/2 Inch</v>
      </c>
      <c r="C2174" s="14" t="str">
        <f>IFERROR(__xludf.DUMMYFUNCTION("""COMPUTED_VALUE"""),"P-50034-00")</f>
        <v>P-50034-00</v>
      </c>
    </row>
    <row r="2175">
      <c r="A2175" s="14" t="str">
        <f>IFERROR(__xludf.DUMMYFUNCTION("""COMPUTED_VALUE"""),"P-50091-00")</f>
        <v>P-50091-00</v>
      </c>
      <c r="B2175" s="14" t="str">
        <f>IFERROR(__xludf.DUMMYFUNCTION("""COMPUTED_VALUE"""),"Contactor Telemecanique  LC1 D25 M7 220V 25A")</f>
        <v>Contactor Telemecanique  LC1 D25 M7 220V 25A</v>
      </c>
      <c r="C2175" s="14" t="str">
        <f>IFERROR(__xludf.DUMMYFUNCTION("""COMPUTED_VALUE"""),"P-50091-00")</f>
        <v>P-50091-00</v>
      </c>
    </row>
    <row r="2176">
      <c r="A2176" s="14" t="str">
        <f>IFERROR(__xludf.DUMMYFUNCTION("""COMPUTED_VALUE"""),"P-50099-00")</f>
        <v>P-50099-00</v>
      </c>
      <c r="B2176" s="14" t="str">
        <f>IFERROR(__xludf.DUMMYFUNCTION("""COMPUTED_VALUE"""),"MCB 10A 10 KA 1 Phase NC45")</f>
        <v>MCB 10A 10 KA 1 Phase NC45</v>
      </c>
      <c r="C2176" s="14" t="str">
        <f>IFERROR(__xludf.DUMMYFUNCTION("""COMPUTED_VALUE"""),"P-50099-00")</f>
        <v>P-50099-00</v>
      </c>
    </row>
    <row r="2177">
      <c r="A2177" s="14" t="str">
        <f>IFERROR(__xludf.DUMMYFUNCTION("""COMPUTED_VALUE"""),"P-50122-00")</f>
        <v>P-50122-00</v>
      </c>
      <c r="B2177" s="14" t="str">
        <f>IFERROR(__xludf.DUMMYFUNCTION("""COMPUTED_VALUE"""),"Balast Quitronick Osram 1x18/20/ 220 - 240V")</f>
        <v>Balast Quitronick Osram 1x18/20/ 220 - 240V</v>
      </c>
      <c r="C2177" s="14" t="str">
        <f>IFERROR(__xludf.DUMMYFUNCTION("""COMPUTED_VALUE"""),"P-50122-00")</f>
        <v>P-50122-00</v>
      </c>
    </row>
    <row r="2178">
      <c r="A2178" s="14" t="str">
        <f>IFERROR(__xludf.DUMMYFUNCTION("""COMPUTED_VALUE"""),"P-50138-00")</f>
        <v>P-50138-00</v>
      </c>
      <c r="B2178" s="14" t="str">
        <f>IFERROR(__xludf.DUMMYFUNCTION("""COMPUTED_VALUE"""),"Battery Lithium / Buffer TL-2150 size 1/2 AA")</f>
        <v>Battery Lithium / Buffer TL-2150 size 1/2 AA</v>
      </c>
      <c r="C2178" s="14" t="str">
        <f>IFERROR(__xludf.DUMMYFUNCTION("""COMPUTED_VALUE"""),"P-50138-00")</f>
        <v>P-50138-00</v>
      </c>
    </row>
    <row r="2179">
      <c r="A2179" s="14" t="str">
        <f>IFERROR(__xludf.DUMMYFUNCTION("""COMPUTED_VALUE"""),"P-50140-00")</f>
        <v>P-50140-00</v>
      </c>
      <c r="B2179" s="14" t="str">
        <f>IFERROR(__xludf.DUMMYFUNCTION("""COMPUTED_VALUE"""),"General - Accu NP9-12, Baterai Kering, 12 V, 9 Ah; Yuasa; -; 1 pcs")</f>
        <v>General - Accu NP9-12, Baterai Kering, 12 V, 9 Ah; Yuasa; -; 1 pcs</v>
      </c>
      <c r="C2179" s="14" t="str">
        <f>IFERROR(__xludf.DUMMYFUNCTION("""COMPUTED_VALUE"""),"P-50140-00")</f>
        <v>P-50140-00</v>
      </c>
    </row>
    <row r="2180">
      <c r="A2180" s="14" t="str">
        <f>IFERROR(__xludf.DUMMYFUNCTION("""COMPUTED_VALUE"""),"P-50182-00")</f>
        <v>P-50182-00</v>
      </c>
      <c r="B2180" s="14" t="str">
        <f>IFERROR(__xludf.DUMMYFUNCTION("""COMPUTED_VALUE"""),"Socket")</f>
        <v>Socket</v>
      </c>
      <c r="C2180" s="14" t="str">
        <f>IFERROR(__xludf.DUMMYFUNCTION("""COMPUTED_VALUE"""),"P-50182-00")</f>
        <v>P-50182-00</v>
      </c>
    </row>
    <row r="2181">
      <c r="A2181" s="14" t="str">
        <f>IFERROR(__xludf.DUMMYFUNCTION("""COMPUTED_VALUE"""),"P-50229-00")</f>
        <v>P-50229-00</v>
      </c>
      <c r="B2181" s="14" t="str">
        <f>IFERROR(__xludf.DUMMYFUNCTION("""COMPUTED_VALUE"""),"Emergency Switch")</f>
        <v>Emergency Switch</v>
      </c>
      <c r="C2181" s="14" t="str">
        <f>IFERROR(__xludf.DUMMYFUNCTION("""COMPUTED_VALUE"""),"P-50229-00")</f>
        <v>P-50229-00</v>
      </c>
    </row>
    <row r="2182">
      <c r="A2182" s="14" t="str">
        <f>IFERROR(__xludf.DUMMYFUNCTION("""COMPUTED_VALUE"""),"P-50248-00")</f>
        <v>P-50248-00</v>
      </c>
      <c r="B2182" s="14" t="str">
        <f>IFERROR(__xludf.DUMMYFUNCTION("""COMPUTED_VALUE"""),"Fuse Keramik 13 A 250 V")</f>
        <v>Fuse Keramik 13 A 250 V</v>
      </c>
      <c r="C2182" s="14" t="str">
        <f>IFERROR(__xludf.DUMMYFUNCTION("""COMPUTED_VALUE"""),"P-50248-00")</f>
        <v>P-50248-00</v>
      </c>
    </row>
    <row r="2183">
      <c r="A2183" s="14" t="str">
        <f>IFERROR(__xludf.DUMMYFUNCTION("""COMPUTED_VALUE"""),"P-50263-00")</f>
        <v>P-50263-00</v>
      </c>
      <c r="B2183" s="14" t="str">
        <f>IFERROR(__xludf.DUMMYFUNCTION("""COMPUTED_VALUE"""),"Gland Cable")</f>
        <v>Gland Cable</v>
      </c>
      <c r="C2183" s="14" t="str">
        <f>IFERROR(__xludf.DUMMYFUNCTION("""COMPUTED_VALUE"""),"P-50263-00")</f>
        <v>P-50263-00</v>
      </c>
    </row>
    <row r="2184">
      <c r="A2184" s="14" t="str">
        <f>IFERROR(__xludf.DUMMYFUNCTION("""COMPUTED_VALUE"""),"P-50274-00")</f>
        <v>P-50274-00</v>
      </c>
      <c r="B2184" s="14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4" t="str">
        <f>IFERROR(__xludf.DUMMYFUNCTION("""COMPUTED_VALUE"""),"P-50274-00")</f>
        <v>P-50274-00</v>
      </c>
    </row>
    <row r="2185">
      <c r="A2185" s="14" t="str">
        <f>IFERROR(__xludf.DUMMYFUNCTION("""COMPUTED_VALUE"""),"P-50277-00")</f>
        <v>P-50277-00</v>
      </c>
      <c r="B2185" s="14" t="str">
        <f>IFERROR(__xludf.DUMMYFUNCTION("""COMPUTED_VALUE"""),"General - Kabel NYAF 1 x 1.5 Hitam; Supreme; -; 50m/roll")</f>
        <v>General - Kabel NYAF 1 x 1.5 Hitam; Supreme; -; 50m/roll</v>
      </c>
      <c r="C2185" s="14" t="str">
        <f>IFERROR(__xludf.DUMMYFUNCTION("""COMPUTED_VALUE"""),"P-50277-00")</f>
        <v>P-50277-00</v>
      </c>
    </row>
    <row r="2186">
      <c r="A2186" s="14" t="str">
        <f>IFERROR(__xludf.DUMMYFUNCTION("""COMPUTED_VALUE"""),"P-50283-00")</f>
        <v>P-50283-00</v>
      </c>
      <c r="B2186" s="14" t="str">
        <f>IFERROR(__xludf.DUMMYFUNCTION("""COMPUTED_VALUE"""),"General - Kabel NYMHY 3 x 1.5mm; SUPREME; -; 1 meter")</f>
        <v>General - Kabel NYMHY 3 x 1.5mm; SUPREME; -; 1 meter</v>
      </c>
      <c r="C2186" s="14" t="str">
        <f>IFERROR(__xludf.DUMMYFUNCTION("""COMPUTED_VALUE"""),"P-50283-00")</f>
        <v>P-50283-00</v>
      </c>
    </row>
    <row r="2187">
      <c r="A2187" s="14" t="str">
        <f>IFERROR(__xludf.DUMMYFUNCTION("""COMPUTED_VALUE"""),"P-50286-00")</f>
        <v>P-50286-00</v>
      </c>
      <c r="B2187" s="14" t="str">
        <f>IFERROR(__xludf.DUMMYFUNCTION("""COMPUTED_VALUE"""),"General - Kabel NYYHY 3 x 1.5mm; SUPREME; -; 1 meter")</f>
        <v>General - Kabel NYYHY 3 x 1.5mm; SUPREME; -; 1 meter</v>
      </c>
      <c r="C2187" s="14" t="str">
        <f>IFERROR(__xludf.DUMMYFUNCTION("""COMPUTED_VALUE"""),"P-50286-00")</f>
        <v>P-50286-00</v>
      </c>
    </row>
    <row r="2188">
      <c r="A2188" s="14" t="str">
        <f>IFERROR(__xludf.DUMMYFUNCTION("""COMPUTED_VALUE"""),"P-50288-00")</f>
        <v>P-50288-00</v>
      </c>
      <c r="B2188" s="14" t="str">
        <f>IFERROR(__xludf.DUMMYFUNCTION("""COMPUTED_VALUE"""),"General - Lampu Halogen 20 W; Osram; -; 1 unt")</f>
        <v>General - Lampu Halogen 20 W; Osram; -; 1 unt</v>
      </c>
      <c r="C2188" s="14" t="str">
        <f>IFERROR(__xludf.DUMMYFUNCTION("""COMPUTED_VALUE"""),"P-50288-00")</f>
        <v>P-50288-00</v>
      </c>
    </row>
    <row r="2189">
      <c r="A2189" s="14" t="str">
        <f>IFERROR(__xludf.DUMMYFUNCTION("""COMPUTED_VALUE"""),"P-50307-00")</f>
        <v>P-50307-00</v>
      </c>
      <c r="B2189" s="14" t="str">
        <f>IFERROR(__xludf.DUMMYFUNCTION("""COMPUTED_VALUE"""),"General - Lampu SL Tornado 24 W / 220-240 V; Philips; -; 1 unt")</f>
        <v>General - Lampu SL Tornado 24 W / 220-240 V; Philips; -; 1 unt</v>
      </c>
      <c r="C2189" s="14" t="str">
        <f>IFERROR(__xludf.DUMMYFUNCTION("""COMPUTED_VALUE"""),"P-50307-00")</f>
        <v>P-50307-00</v>
      </c>
    </row>
    <row r="2190">
      <c r="A2190" s="14" t="str">
        <f>IFERROR(__xludf.DUMMYFUNCTION("""COMPUTED_VALUE"""),"P-50325-00")</f>
        <v>P-50325-00</v>
      </c>
      <c r="B2190" s="14" t="str">
        <f>IFERROR(__xludf.DUMMYFUNCTION("""COMPUTED_VALUE"""),"Limit Switch Z - 15GQ 22 - B 15 A / 125 / 250 VAC Highly")</f>
        <v>Limit Switch Z - 15GQ 22 - B 15 A / 125 / 250 VAC Highly</v>
      </c>
      <c r="C2190" s="14" t="str">
        <f>IFERROR(__xludf.DUMMYFUNCTION("""COMPUTED_VALUE"""),"P-50325-00")</f>
        <v>P-50325-00</v>
      </c>
    </row>
    <row r="2191">
      <c r="A2191" s="14" t="str">
        <f>IFERROR(__xludf.DUMMYFUNCTION("""COMPUTED_VALUE"""),"P-50424-00")</f>
        <v>P-50424-00</v>
      </c>
      <c r="B2191" s="14" t="str">
        <f>IFERROR(__xludf.DUMMYFUNCTION("""COMPUTED_VALUE"""),"Photo Sensor WF2 - 40B410 Sensick")</f>
        <v>Photo Sensor WF2 - 40B410 Sensick</v>
      </c>
      <c r="C2191" s="14" t="str">
        <f>IFERROR(__xludf.DUMMYFUNCTION("""COMPUTED_VALUE"""),"P-50424-00")</f>
        <v>P-50424-00</v>
      </c>
    </row>
    <row r="2192">
      <c r="A2192" s="14" t="str">
        <f>IFERROR(__xludf.DUMMYFUNCTION("""COMPUTED_VALUE"""),"P-50426-00")</f>
        <v>P-50426-00</v>
      </c>
      <c r="B2192" s="14" t="str">
        <f>IFERROR(__xludf.DUMMYFUNCTION("""COMPUTED_VALUE"""),"Pilot Lamps / Green / 220 VAC / AD22-22DS / AXLE")</f>
        <v>Pilot Lamps / Green / 220 VAC / AD22-22DS / AXLE</v>
      </c>
      <c r="C2192" s="14" t="str">
        <f>IFERROR(__xludf.DUMMYFUNCTION("""COMPUTED_VALUE"""),"P-50426-00")</f>
        <v>P-50426-00</v>
      </c>
    </row>
    <row r="2193">
      <c r="A2193" s="14" t="str">
        <f>IFERROR(__xludf.DUMMYFUNCTION("""COMPUTED_VALUE"""),"P-50427-00")</f>
        <v>P-50427-00</v>
      </c>
      <c r="B2193" s="14" t="str">
        <f>IFERROR(__xludf.DUMMYFUNCTION("""COMPUTED_VALUE"""),"Pilot Lamps / Red / 220 VAC / AD22-221DS / AXLE")</f>
        <v>Pilot Lamps / Red / 220 VAC / AD22-221DS / AXLE</v>
      </c>
      <c r="C2193" s="14" t="str">
        <f>IFERROR(__xludf.DUMMYFUNCTION("""COMPUTED_VALUE"""),"P-50427-00")</f>
        <v>P-50427-00</v>
      </c>
    </row>
    <row r="2194">
      <c r="A2194" s="14" t="str">
        <f>IFERROR(__xludf.DUMMYFUNCTION("""COMPUTED_VALUE"""),"P-50428-00")</f>
        <v>P-50428-00</v>
      </c>
      <c r="B2194" s="14" t="str">
        <f>IFERROR(__xludf.DUMMYFUNCTION("""COMPUTED_VALUE"""),"Pilot Lamps / Yellow / 220 VAC / AD22-22DS / AXLE")</f>
        <v>Pilot Lamps / Yellow / 220 VAC / AD22-22DS / AXLE</v>
      </c>
      <c r="C2194" s="14" t="str">
        <f>IFERROR(__xludf.DUMMYFUNCTION("""COMPUTED_VALUE"""),"P-50428-00")</f>
        <v>P-50428-00</v>
      </c>
    </row>
    <row r="2195">
      <c r="A2195" s="14" t="str">
        <f>IFERROR(__xludf.DUMMYFUNCTION("""COMPUTED_VALUE"""),"P-50430-00")</f>
        <v>P-50430-00</v>
      </c>
      <c r="B2195" s="14" t="str">
        <f>IFERROR(__xludf.DUMMYFUNCTION("""COMPUTED_VALUE"""),"Pilot Lamps / Red / 24 VDC / AD22-221DSI / AXLE")</f>
        <v>Pilot Lamps / Red / 24 VDC / AD22-221DSI / AXLE</v>
      </c>
      <c r="C2195" s="14" t="str">
        <f>IFERROR(__xludf.DUMMYFUNCTION("""COMPUTED_VALUE"""),"P-50430-00")</f>
        <v>P-50430-00</v>
      </c>
    </row>
    <row r="2196">
      <c r="A2196" s="14" t="str">
        <f>IFERROR(__xludf.DUMMYFUNCTION("""COMPUTED_VALUE"""),"P-50491-00")</f>
        <v>P-50491-00</v>
      </c>
      <c r="B2196" s="14" t="str">
        <f>IFERROR(__xludf.DUMMYFUNCTION("""COMPUTED_VALUE"""),"Relay / MY2N / 24 VDC OMRON")</f>
        <v>Relay / MY2N / 24 VDC OMRON</v>
      </c>
      <c r="C2196" s="14" t="str">
        <f>IFERROR(__xludf.DUMMYFUNCTION("""COMPUTED_VALUE"""),"P-50491-00")</f>
        <v>P-50491-00</v>
      </c>
    </row>
    <row r="2197">
      <c r="A2197" s="14" t="str">
        <f>IFERROR(__xludf.DUMMYFUNCTION("""COMPUTED_VALUE"""),"P-50495-00")</f>
        <v>P-50495-00</v>
      </c>
      <c r="B2197" s="14" t="str">
        <f>IFERROR(__xludf.DUMMYFUNCTION("""COMPUTED_VALUE"""),"Relay / RXM 2AB2P7 / 230 V / 50-60 Hz / 12 A / 250 VAC")</f>
        <v>Relay / RXM 2AB2P7 / 230 V / 50-60 Hz / 12 A / 250 VAC</v>
      </c>
      <c r="C2197" s="14" t="str">
        <f>IFERROR(__xludf.DUMMYFUNCTION("""COMPUTED_VALUE"""),"P-50495-00")</f>
        <v>P-50495-00</v>
      </c>
    </row>
    <row r="2198">
      <c r="A2198" s="14" t="str">
        <f>IFERROR(__xludf.DUMMYFUNCTION("""COMPUTED_VALUE"""),"P-50505-00")</f>
        <v>P-50505-00</v>
      </c>
      <c r="B2198" s="14" t="str">
        <f>IFERROR(__xludf.DUMMYFUNCTION("""COMPUTED_VALUE"""),"Saklar Seri / 250 V / Clipsal")</f>
        <v>Saklar Seri / 250 V / Clipsal</v>
      </c>
      <c r="C2198" s="14" t="str">
        <f>IFERROR(__xludf.DUMMYFUNCTION("""COMPUTED_VALUE"""),"P-50505-00")</f>
        <v>P-50505-00</v>
      </c>
    </row>
    <row r="2199">
      <c r="A2199" s="14" t="str">
        <f>IFERROR(__xludf.DUMMYFUNCTION("""COMPUTED_VALUE"""),"P-50506-00")</f>
        <v>P-50506-00</v>
      </c>
      <c r="B2199" s="14" t="str">
        <f>IFERROR(__xludf.DUMMYFUNCTION("""COMPUTED_VALUE"""),"Saklar Tunggal / 250 V / Clipsal")</f>
        <v>Saklar Tunggal / 250 V / Clipsal</v>
      </c>
      <c r="C2199" s="14" t="str">
        <f>IFERROR(__xludf.DUMMYFUNCTION("""COMPUTED_VALUE"""),"P-50506-00")</f>
        <v>P-50506-00</v>
      </c>
    </row>
    <row r="2200">
      <c r="A2200" s="14" t="str">
        <f>IFERROR(__xludf.DUMMYFUNCTION("""COMPUTED_VALUE"""),"P-50562-00")</f>
        <v>P-50562-00</v>
      </c>
      <c r="B2200" s="14" t="str">
        <f>IFERROR(__xludf.DUMMYFUNCTION("""COMPUTED_VALUE"""),"Socket Relay PF083A-E; Omron; PF083A; 1 pieces")</f>
        <v>Socket Relay PF083A-E; Omron; PF083A; 1 pieces</v>
      </c>
      <c r="C2200" s="14" t="str">
        <f>IFERROR(__xludf.DUMMYFUNCTION("""COMPUTED_VALUE"""),"P-50562-00")</f>
        <v>P-50562-00</v>
      </c>
    </row>
    <row r="2201">
      <c r="A2201" s="14" t="str">
        <f>IFERROR(__xludf.DUMMYFUNCTION("""COMPUTED_VALUE"""),"P-50594-00")</f>
        <v>P-50594-00</v>
      </c>
      <c r="B2201" s="14" t="str">
        <f>IFERROR(__xludf.DUMMYFUNCTION("""COMPUTED_VALUE"""),"Stop Kontak-socket  / 1 Hole / 10-16A / 250V / Clipsal")</f>
        <v>Stop Kontak-socket  / 1 Hole / 10-16A / 250V / Clipsal</v>
      </c>
      <c r="C2201" s="14" t="str">
        <f>IFERROR(__xludf.DUMMYFUNCTION("""COMPUTED_VALUE"""),"P-50594-00")</f>
        <v>P-50594-00</v>
      </c>
    </row>
    <row r="2202">
      <c r="A2202" s="14" t="str">
        <f>IFERROR(__xludf.DUMMYFUNCTION("""COMPUTED_VALUE"""),"P-50633-00")</f>
        <v>P-50633-00</v>
      </c>
      <c r="B2202" s="14" t="str">
        <f>IFERROR(__xludf.DUMMYFUNCTION("""COMPUTED_VALUE"""),"General - Timer AC100-240/DC100-125; Omron ; H3CR - A8; 1 pc")</f>
        <v>General - Timer AC100-240/DC100-125; Omron ; H3CR - A8; 1 pc</v>
      </c>
      <c r="C2202" s="14" t="str">
        <f>IFERROR(__xludf.DUMMYFUNCTION("""COMPUTED_VALUE"""),"P-50633-00")</f>
        <v>P-50633-00</v>
      </c>
    </row>
    <row r="2203">
      <c r="A2203" s="14" t="str">
        <f>IFERROR(__xludf.DUMMYFUNCTION("""COMPUTED_VALUE"""),"P-50700-00")</f>
        <v>P-50700-00</v>
      </c>
      <c r="B2203" s="14" t="str">
        <f>IFERROR(__xludf.DUMMYFUNCTION("""COMPUTED_VALUE"""),"Lampu TLD 36W/54 PHILIPS")</f>
        <v>Lampu TLD 36W/54 PHILIPS</v>
      </c>
      <c r="C2203" s="14" t="str">
        <f>IFERROR(__xludf.DUMMYFUNCTION("""COMPUTED_VALUE"""),"P-50700-00")</f>
        <v>P-50700-00</v>
      </c>
    </row>
    <row r="2204">
      <c r="A2204" s="14" t="str">
        <f>IFERROR(__xludf.DUMMYFUNCTION("""COMPUTED_VALUE"""),"P-50717-00")</f>
        <v>P-50717-00</v>
      </c>
      <c r="B2204" s="14" t="str">
        <f>IFERROR(__xludf.DUMMYFUNCTION("""COMPUTED_VALUE"""),"General - Kabel UTP 4 Pairs Cat 6; Belden; -; 305m/roll")</f>
        <v>General - Kabel UTP 4 Pairs Cat 6; Belden; -; 305m/roll</v>
      </c>
      <c r="C2204" s="14" t="str">
        <f>IFERROR(__xludf.DUMMYFUNCTION("""COMPUTED_VALUE"""),"P-50717-00")</f>
        <v>P-50717-00</v>
      </c>
    </row>
    <row r="2205">
      <c r="A2205" s="14" t="str">
        <f>IFERROR(__xludf.DUMMYFUNCTION("""COMPUTED_VALUE"""),"P-50740-00")</f>
        <v>P-50740-00</v>
      </c>
      <c r="B2205" s="14" t="str">
        <f>IFERROR(__xludf.DUMMYFUNCTION("""COMPUTED_VALUE"""),"Stop Kontak 3lubang 220 volt, 6A UTICON")</f>
        <v>Stop Kontak 3lubang 220 volt, 6A UTICON</v>
      </c>
      <c r="C2205" s="14" t="str">
        <f>IFERROR(__xludf.DUMMYFUNCTION("""COMPUTED_VALUE"""),"P-50740-00")</f>
        <v>P-50740-00</v>
      </c>
    </row>
    <row r="2206">
      <c r="A2206" s="14" t="str">
        <f>IFERROR(__xludf.DUMMYFUNCTION("""COMPUTED_VALUE"""),"P-50762-00")</f>
        <v>P-50762-00</v>
      </c>
      <c r="B2206" s="14" t="str">
        <f>IFERROR(__xludf.DUMMYFUNCTION("""COMPUTED_VALUE"""),"ABC - Battery 9V HD")</f>
        <v>ABC - Battery 9V HD</v>
      </c>
      <c r="C2206" s="14" t="str">
        <f>IFERROR(__xludf.DUMMYFUNCTION("""COMPUTED_VALUE"""),"P-50762-00")</f>
        <v>P-50762-00</v>
      </c>
    </row>
    <row r="2207">
      <c r="A2207" s="14" t="str">
        <f>IFERROR(__xludf.DUMMYFUNCTION("""COMPUTED_VALUE"""),"P-50768-00")</f>
        <v>P-50768-00</v>
      </c>
      <c r="B2207" s="14" t="str">
        <f>IFERROR(__xludf.DUMMYFUNCTION("""COMPUTED_VALUE"""),"AUTONIC - Counter timer CT6S")</f>
        <v>AUTONIC - Counter timer CT6S</v>
      </c>
      <c r="C2207" s="14" t="str">
        <f>IFERROR(__xludf.DUMMYFUNCTION("""COMPUTED_VALUE"""),"P-50768-00")</f>
        <v>P-50768-00</v>
      </c>
    </row>
    <row r="2208">
      <c r="A2208" s="14" t="str">
        <f>IFERROR(__xludf.DUMMYFUNCTION("""COMPUTED_VALUE"""),"P-50780-00")</f>
        <v>P-50780-00</v>
      </c>
      <c r="B2208" s="14" t="str">
        <f>IFERROR(__xludf.DUMMYFUNCTION("""COMPUTED_VALUE"""),"Battery 12 V 12 AH YUASA")</f>
        <v>Battery 12 V 12 AH YUASA</v>
      </c>
      <c r="C2208" s="14" t="str">
        <f>IFERROR(__xludf.DUMMYFUNCTION("""COMPUTED_VALUE"""),"P-50780-00")</f>
        <v>P-50780-00</v>
      </c>
    </row>
    <row r="2209">
      <c r="A2209" s="14" t="str">
        <f>IFERROR(__xludf.DUMMYFUNCTION("""COMPUTED_VALUE"""),"P-50781-00")</f>
        <v>P-50781-00</v>
      </c>
      <c r="B2209" s="14" t="str">
        <f>IFERROR(__xludf.DUMMYFUNCTION("""COMPUTED_VALUE"""),"Battery 12V 18AH merk LONG")</f>
        <v>Battery 12V 18AH merk LONG</v>
      </c>
      <c r="C2209" s="14" t="str">
        <f>IFERROR(__xludf.DUMMYFUNCTION("""COMPUTED_VALUE"""),"P-50781-00")</f>
        <v>P-50781-00</v>
      </c>
    </row>
    <row r="2210">
      <c r="A2210" s="14" t="str">
        <f>IFERROR(__xludf.DUMMYFUNCTION("""COMPUTED_VALUE"""),"P-50797-00")</f>
        <v>P-50797-00</v>
      </c>
      <c r="B2210" s="14" t="str">
        <f>IFERROR(__xludf.DUMMYFUNCTION("""COMPUTED_VALUE"""),"Bola lampu 24V 5 Watt")</f>
        <v>Bola lampu 24V 5 Watt</v>
      </c>
      <c r="C2210" s="14" t="str">
        <f>IFERROR(__xludf.DUMMYFUNCTION("""COMPUTED_VALUE"""),"P-50797-00")</f>
        <v>P-50797-00</v>
      </c>
    </row>
    <row r="2211">
      <c r="A2211" s="14" t="str">
        <f>IFERROR(__xludf.DUMMYFUNCTION("""COMPUTED_VALUE"""),"P-50810-00")</f>
        <v>P-50810-00</v>
      </c>
      <c r="B2211" s="14" t="str">
        <f>IFERROR(__xludf.DUMMYFUNCTION("""COMPUTED_VALUE"""),"General - Buzzer AD22-22MSD red with lamp; FORT; -; 1 pcs")</f>
        <v>General - Buzzer AD22-22MSD red with lamp; FORT; -; 1 pcs</v>
      </c>
      <c r="C2211" s="14" t="str">
        <f>IFERROR(__xludf.DUMMYFUNCTION("""COMPUTED_VALUE"""),"P-50810-00")</f>
        <v>P-50810-00</v>
      </c>
    </row>
    <row r="2212">
      <c r="A2212" s="14" t="str">
        <f>IFERROR(__xludf.DUMMYFUNCTION("""COMPUTED_VALUE"""),"P-50930-00")</f>
        <v>P-50930-00</v>
      </c>
      <c r="B2212" s="14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4" t="str">
        <f>IFERROR(__xludf.DUMMYFUNCTION("""COMPUTED_VALUE"""),"P-50930-00")</f>
        <v>P-50930-00</v>
      </c>
    </row>
    <row r="2213">
      <c r="A2213" s="14" t="str">
        <f>IFERROR(__xludf.DUMMYFUNCTION("""COMPUTED_VALUE"""),"P-50943-00")</f>
        <v>P-50943-00</v>
      </c>
      <c r="B2213" s="14" t="str">
        <f>IFERROR(__xludf.DUMMYFUNCTION("""COMPUTED_VALUE"""),"Flexible conduit dia 20 mm")</f>
        <v>Flexible conduit dia 20 mm</v>
      </c>
      <c r="C2213" s="14" t="str">
        <f>IFERROR(__xludf.DUMMYFUNCTION("""COMPUTED_VALUE"""),"P-50943-00")</f>
        <v>P-50943-00</v>
      </c>
    </row>
    <row r="2214">
      <c r="A2214" s="14" t="str">
        <f>IFERROR(__xludf.DUMMYFUNCTION("""COMPUTED_VALUE"""),"P-50951-00")</f>
        <v>P-50951-00</v>
      </c>
      <c r="B2214" s="14" t="str">
        <f>IFERROR(__xludf.DUMMYFUNCTION("""COMPUTED_VALUE"""),"Fuse kaca 10 A 6x 30")</f>
        <v>Fuse kaca 10 A 6x 30</v>
      </c>
      <c r="C2214" s="14" t="str">
        <f>IFERROR(__xludf.DUMMYFUNCTION("""COMPUTED_VALUE"""),"P-50951-00")</f>
        <v>P-50951-00</v>
      </c>
    </row>
    <row r="2215">
      <c r="A2215" s="14" t="str">
        <f>IFERROR(__xludf.DUMMYFUNCTION("""COMPUTED_VALUE"""),"P-50956-00")</f>
        <v>P-50956-00</v>
      </c>
      <c r="B2215" s="14" t="str">
        <f>IFERROR(__xludf.DUMMYFUNCTION("""COMPUTED_VALUE"""),"Fuse kaca 2A 6x30")</f>
        <v>Fuse kaca 2A 6x30</v>
      </c>
      <c r="C2215" s="14" t="str">
        <f>IFERROR(__xludf.DUMMYFUNCTION("""COMPUTED_VALUE"""),"P-50956-00")</f>
        <v>P-50956-00</v>
      </c>
    </row>
    <row r="2216">
      <c r="A2216" s="14" t="str">
        <f>IFERROR(__xludf.DUMMYFUNCTION("""COMPUTED_VALUE"""),"P-50957-00")</f>
        <v>P-50957-00</v>
      </c>
      <c r="B2216" s="14" t="str">
        <f>IFERROR(__xludf.DUMMYFUNCTION("""COMPUTED_VALUE"""),"Fuse kaca 3 A 5x 20")</f>
        <v>Fuse kaca 3 A 5x 20</v>
      </c>
      <c r="C2216" s="14" t="str">
        <f>IFERROR(__xludf.DUMMYFUNCTION("""COMPUTED_VALUE"""),"P-50957-00")</f>
        <v>P-50957-00</v>
      </c>
    </row>
    <row r="2217">
      <c r="A2217" s="14" t="str">
        <f>IFERROR(__xludf.DUMMYFUNCTION("""COMPUTED_VALUE"""),"P-50959-00")</f>
        <v>P-50959-00</v>
      </c>
      <c r="B2217" s="14" t="str">
        <f>IFERROR(__xludf.DUMMYFUNCTION("""COMPUTED_VALUE"""),"Fuse kaca 3A 6x30")</f>
        <v>Fuse kaca 3A 6x30</v>
      </c>
      <c r="C2217" s="14" t="str">
        <f>IFERROR(__xludf.DUMMYFUNCTION("""COMPUTED_VALUE"""),"P-50959-00")</f>
        <v>P-50959-00</v>
      </c>
    </row>
    <row r="2218">
      <c r="A2218" s="14" t="str">
        <f>IFERROR(__xludf.DUMMYFUNCTION("""COMPUTED_VALUE"""),"P-50961-00")</f>
        <v>P-50961-00</v>
      </c>
      <c r="B2218" s="14" t="str">
        <f>IFERROR(__xludf.DUMMYFUNCTION("""COMPUTED_VALUE"""),"Fuse kaca 5 A 5x20")</f>
        <v>Fuse kaca 5 A 5x20</v>
      </c>
      <c r="C2218" s="14" t="str">
        <f>IFERROR(__xludf.DUMMYFUNCTION("""COMPUTED_VALUE"""),"P-50961-00")</f>
        <v>P-50961-00</v>
      </c>
    </row>
    <row r="2219">
      <c r="A2219" s="14" t="str">
        <f>IFERROR(__xludf.DUMMYFUNCTION("""COMPUTED_VALUE"""),"P-50962-00")</f>
        <v>P-50962-00</v>
      </c>
      <c r="B2219" s="14" t="str">
        <f>IFERROR(__xludf.DUMMYFUNCTION("""COMPUTED_VALUE"""),"General - Fuse kaca 5A x 6 x 30mm; Lokal; -; 1 pc")</f>
        <v>General - Fuse kaca 5A x 6 x 30mm; Lokal; -; 1 pc</v>
      </c>
      <c r="C2219" s="14" t="str">
        <f>IFERROR(__xludf.DUMMYFUNCTION("""COMPUTED_VALUE"""),"P-50962-00")</f>
        <v>P-50962-00</v>
      </c>
    </row>
    <row r="2220">
      <c r="A2220" s="14" t="str">
        <f>IFERROR(__xludf.DUMMYFUNCTION("""COMPUTED_VALUE"""),"P-51027-00")</f>
        <v>P-51027-00</v>
      </c>
      <c r="B2220" s="14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4" t="str">
        <f>IFERROR(__xludf.DUMMYFUNCTION("""COMPUTED_VALUE"""),"P-51027-00")</f>
        <v>P-51027-00</v>
      </c>
    </row>
    <row r="2221">
      <c r="A2221" s="14" t="str">
        <f>IFERROR(__xludf.DUMMYFUNCTION("""COMPUTED_VALUE"""),"P-51030-00")</f>
        <v>P-51030-00</v>
      </c>
      <c r="B2221" s="14" t="str">
        <f>IFERROR(__xludf.DUMMYFUNCTION("""COMPUTED_VALUE"""),"General - Kabel NYAF 1x0.75mm, Warna Biru; JEMBO; -; 1 meter")</f>
        <v>General - Kabel NYAF 1x0.75mm, Warna Biru; JEMBO; -; 1 meter</v>
      </c>
      <c r="C2221" s="14" t="str">
        <f>IFERROR(__xludf.DUMMYFUNCTION("""COMPUTED_VALUE"""),"P-51030-00")</f>
        <v>P-51030-00</v>
      </c>
    </row>
    <row r="2222">
      <c r="A2222" s="14" t="str">
        <f>IFERROR(__xludf.DUMMYFUNCTION("""COMPUTED_VALUE"""),"P-51197-00")</f>
        <v>P-51197-00</v>
      </c>
      <c r="B2222" s="14" t="str">
        <f>IFERROR(__xludf.DUMMYFUNCTION("""COMPUTED_VALUE"""),"OSRAM - Lampu Halogen 24V 20W 64435U")</f>
        <v>OSRAM - Lampu Halogen 24V 20W 64435U</v>
      </c>
      <c r="C2222" s="14" t="str">
        <f>IFERROR(__xludf.DUMMYFUNCTION("""COMPUTED_VALUE"""),"P-51197-00")</f>
        <v>P-51197-00</v>
      </c>
    </row>
    <row r="2223">
      <c r="A2223" s="14" t="str">
        <f>IFERROR(__xludf.DUMMYFUNCTION("""COMPUTED_VALUE"""),"P-51216-00")</f>
        <v>P-51216-00</v>
      </c>
      <c r="B2223" s="14" t="str">
        <f>IFERROR(__xludf.DUMMYFUNCTION("""COMPUTED_VALUE"""),"Pipa conduit 20mm")</f>
        <v>Pipa conduit 20mm</v>
      </c>
      <c r="C2223" s="14" t="str">
        <f>IFERROR(__xludf.DUMMYFUNCTION("""COMPUTED_VALUE"""),"P-51216-00")</f>
        <v>P-51216-00</v>
      </c>
    </row>
    <row r="2224">
      <c r="A2224" s="14" t="str">
        <f>IFERROR(__xludf.DUMMYFUNCTION("""COMPUTED_VALUE"""),"P-51236-00")</f>
        <v>P-51236-00</v>
      </c>
      <c r="B2224" s="14" t="str">
        <f>IFERROR(__xludf.DUMMYFUNCTION("""COMPUTED_VALUE"""),"Skun ( I ) pin dia 0.75 mm")</f>
        <v>Skun ( I ) pin dia 0.75 mm</v>
      </c>
      <c r="C2224" s="14" t="str">
        <f>IFERROR(__xludf.DUMMYFUNCTION("""COMPUTED_VALUE"""),"P-51236-00")</f>
        <v>P-51236-00</v>
      </c>
    </row>
    <row r="2225">
      <c r="A2225" s="14" t="str">
        <f>IFERROR(__xludf.DUMMYFUNCTION("""COMPUTED_VALUE"""),"P-51239-00")</f>
        <v>P-51239-00</v>
      </c>
      <c r="B2225" s="14" t="str">
        <f>IFERROR(__xludf.DUMMYFUNCTION("""COMPUTED_VALUE"""),"Skun ( I ) Pin uk.2.5-5 m hitam")</f>
        <v>Skun ( I ) Pin uk.2.5-5 m hitam</v>
      </c>
      <c r="C2225" s="14" t="str">
        <f>IFERROR(__xludf.DUMMYFUNCTION("""COMPUTED_VALUE"""),"P-51239-00")</f>
        <v>P-51239-00</v>
      </c>
    </row>
    <row r="2226">
      <c r="A2226" s="14" t="str">
        <f>IFERROR(__xludf.DUMMYFUNCTION("""COMPUTED_VALUE"""),"P-51252-00")</f>
        <v>P-51252-00</v>
      </c>
      <c r="B2226" s="14" t="str">
        <f>IFERROR(__xludf.DUMMYFUNCTION("""COMPUTED_VALUE"""),"Skun O dia 2.5 mm")</f>
        <v>Skun O dia 2.5 mm</v>
      </c>
      <c r="C2226" s="14" t="str">
        <f>IFERROR(__xludf.DUMMYFUNCTION("""COMPUTED_VALUE"""),"P-51252-00")</f>
        <v>P-51252-00</v>
      </c>
    </row>
    <row r="2227">
      <c r="A2227" s="14" t="str">
        <f>IFERROR(__xludf.DUMMYFUNCTION("""COMPUTED_VALUE"""),"P-51253-00")</f>
        <v>P-51253-00</v>
      </c>
      <c r="B2227" s="14" t="str">
        <f>IFERROR(__xludf.DUMMYFUNCTION("""COMPUTED_VALUE"""),"General - Skun Y 0.75mm; No Brand; -; 100pcs/pack")</f>
        <v>General - Skun Y 0.75mm; No Brand; -; 100pcs/pack</v>
      </c>
      <c r="C2227" s="14" t="str">
        <f>IFERROR(__xludf.DUMMYFUNCTION("""COMPUTED_VALUE"""),"P-51253-00")</f>
        <v>P-51253-00</v>
      </c>
    </row>
    <row r="2228">
      <c r="A2228" s="14" t="str">
        <f>IFERROR(__xludf.DUMMYFUNCTION("""COMPUTED_VALUE"""),"P-51269-00")</f>
        <v>P-51269-00</v>
      </c>
      <c r="B2228" s="14" t="str">
        <f>IFERROR(__xludf.DUMMYFUNCTION("""COMPUTED_VALUE"""),"Stecker 3 phase 16A 5 PIN (male&amp;female) type surface mounting")</f>
        <v>Stecker 3 phase 16A 5 PIN (male&amp;female) type surface mounting</v>
      </c>
      <c r="C2228" s="14" t="str">
        <f>IFERROR(__xludf.DUMMYFUNCTION("""COMPUTED_VALUE"""),"P-51269-00")</f>
        <v>P-51269-00</v>
      </c>
    </row>
    <row r="2229">
      <c r="A2229" s="14" t="str">
        <f>IFERROR(__xludf.DUMMYFUNCTION("""COMPUTED_VALUE"""),"P-51295-00")</f>
        <v>P-51295-00</v>
      </c>
      <c r="B2229" s="14" t="str">
        <f>IFERROR(__xludf.DUMMYFUNCTION("""COMPUTED_VALUE"""),"Terminal blok kuningan 4 pin 600V25A")</f>
        <v>Terminal blok kuningan 4 pin 600V25A</v>
      </c>
      <c r="C2229" s="14" t="str">
        <f>IFERROR(__xludf.DUMMYFUNCTION("""COMPUTED_VALUE"""),"P-51295-00")</f>
        <v>P-51295-00</v>
      </c>
    </row>
    <row r="2230">
      <c r="A2230" s="14" t="str">
        <f>IFERROR(__xludf.DUMMYFUNCTION("""COMPUTED_VALUE"""),"P-51296-00")</f>
        <v>P-51296-00</v>
      </c>
      <c r="B2230" s="14" t="str">
        <f>IFERROR(__xludf.DUMMYFUNCTION("""COMPUTED_VALUE"""),"Terminal blok kuningan 6 pin 600 v 25A")</f>
        <v>Terminal blok kuningan 6 pin 600 v 25A</v>
      </c>
      <c r="C2230" s="14" t="str">
        <f>IFERROR(__xludf.DUMMYFUNCTION("""COMPUTED_VALUE"""),"P-51296-00")</f>
        <v>P-51296-00</v>
      </c>
    </row>
    <row r="2231">
      <c r="A2231" s="14" t="str">
        <f>IFERROR(__xludf.DUMMYFUNCTION("""COMPUTED_VALUE"""),"P-51298-00")</f>
        <v>P-51298-00</v>
      </c>
      <c r="B2231" s="14" t="str">
        <f>IFERROR(__xludf.DUMMYFUNCTION("""COMPUTED_VALUE"""),"General - Terminal Plastik, dia. 4 mm; No Brand; -; 1 pcs")</f>
        <v>General - Terminal Plastik, dia. 4 mm; No Brand; -; 1 pcs</v>
      </c>
      <c r="C2231" s="14" t="str">
        <f>IFERROR(__xludf.DUMMYFUNCTION("""COMPUTED_VALUE"""),"P-51298-00")</f>
        <v>P-51298-00</v>
      </c>
    </row>
    <row r="2232">
      <c r="A2232" s="14" t="str">
        <f>IFERROR(__xludf.DUMMYFUNCTION("""COMPUTED_VALUE"""),"P-51299-00")</f>
        <v>P-51299-00</v>
      </c>
      <c r="B2232" s="14" t="str">
        <f>IFERROR(__xludf.DUMMYFUNCTION("""COMPUTED_VALUE"""),"General - Terminal Plastik, dia. 6 mm; No Brand; -; 1 pcs")</f>
        <v>General - Terminal Plastik, dia. 6 mm; No Brand; -; 1 pcs</v>
      </c>
      <c r="C2232" s="14" t="str">
        <f>IFERROR(__xludf.DUMMYFUNCTION("""COMPUTED_VALUE"""),"P-51299-00")</f>
        <v>P-51299-00</v>
      </c>
    </row>
    <row r="2233">
      <c r="A2233" s="14" t="str">
        <f>IFERROR(__xludf.DUMMYFUNCTION("""COMPUTED_VALUE"""),"P-51302-00")</f>
        <v>P-51302-00</v>
      </c>
      <c r="B2233" s="14" t="str">
        <f>IFERROR(__xludf.DUMMYFUNCTION("""COMPUTED_VALUE"""),"Timah Solder dia 1 mm")</f>
        <v>Timah Solder dia 1 mm</v>
      </c>
      <c r="C2233" s="14" t="str">
        <f>IFERROR(__xludf.DUMMYFUNCTION("""COMPUTED_VALUE"""),"P-51302-00")</f>
        <v>P-51302-00</v>
      </c>
    </row>
    <row r="2234">
      <c r="A2234" s="14" t="str">
        <f>IFERROR(__xludf.DUMMYFUNCTION("""COMPUTED_VALUE"""),"P-51310-00")</f>
        <v>P-51310-00</v>
      </c>
      <c r="B2234" s="14" t="str">
        <f>IFERROR(__xludf.DUMMYFUNCTION("""COMPUTED_VALUE"""),"Travo 3A 220V-24V")</f>
        <v>Travo 3A 220V-24V</v>
      </c>
      <c r="C2234" s="14" t="str">
        <f>IFERROR(__xludf.DUMMYFUNCTION("""COMPUTED_VALUE"""),"P-51310-00")</f>
        <v>P-51310-00</v>
      </c>
    </row>
    <row r="2235">
      <c r="A2235" s="14" t="str">
        <f>IFERROR(__xludf.DUMMYFUNCTION("""COMPUTED_VALUE"""),"P-51311-00")</f>
        <v>P-51311-00</v>
      </c>
      <c r="B2235" s="14" t="str">
        <f>IFERROR(__xludf.DUMMYFUNCTION("""COMPUTED_VALUE"""),"Travo 5A Out : 12,18,24,32 VAC")</f>
        <v>Travo 5A Out : 12,18,24,32 VAC</v>
      </c>
      <c r="C2235" s="14" t="str">
        <f>IFERROR(__xludf.DUMMYFUNCTION("""COMPUTED_VALUE"""),"P-51311-00")</f>
        <v>P-51311-00</v>
      </c>
    </row>
    <row r="2236">
      <c r="A2236" s="14" t="str">
        <f>IFERROR(__xludf.DUMMYFUNCTION("""COMPUTED_VALUE"""),"P-51321-00")</f>
        <v>P-51321-00</v>
      </c>
      <c r="B2236" s="14" t="str">
        <f>IFERROR(__xludf.DUMMYFUNCTION("""COMPUTED_VALUE"""),"General - Analog Smoke Detector; Nohmi Bosai; FDK38U; 1 pcs")</f>
        <v>General - Analog Smoke Detector; Nohmi Bosai; FDK38U; 1 pcs</v>
      </c>
      <c r="C2236" s="14" t="str">
        <f>IFERROR(__xludf.DUMMYFUNCTION("""COMPUTED_VALUE"""),"P-51321-00")</f>
        <v>P-51321-00</v>
      </c>
    </row>
    <row r="2237">
      <c r="A2237" s="14" t="str">
        <f>IFERROR(__xludf.DUMMYFUNCTION("""COMPUTED_VALUE"""),"P-51410-00")</f>
        <v>P-51410-00</v>
      </c>
      <c r="B2237" s="14" t="str">
        <f>IFERROR(__xludf.DUMMYFUNCTION("""COMPUTED_VALUE"""),"OMRON - Relay MY4N 220/240VAC")</f>
        <v>OMRON - Relay MY4N 220/240VAC</v>
      </c>
      <c r="C2237" s="14" t="str">
        <f>IFERROR(__xludf.DUMMYFUNCTION("""COMPUTED_VALUE"""),"P-51410-00")</f>
        <v>P-51410-00</v>
      </c>
    </row>
    <row r="2238">
      <c r="A2238" s="14" t="str">
        <f>IFERROR(__xludf.DUMMYFUNCTION("""COMPUTED_VALUE"""),"P-51426-00")</f>
        <v>P-51426-00</v>
      </c>
      <c r="B2238" s="14" t="str">
        <f>IFERROR(__xludf.DUMMYFUNCTION("""COMPUTED_VALUE"""),"Autonics - Power Supply ? SPA-075-24 ? 24VDC 3.2A")</f>
        <v>Autonics - Power Supply ? SPA-075-24 ? 24VDC 3.2A</v>
      </c>
      <c r="C2238" s="14" t="str">
        <f>IFERROR(__xludf.DUMMYFUNCTION("""COMPUTED_VALUE"""),"P-51426-00")</f>
        <v>P-51426-00</v>
      </c>
    </row>
    <row r="2239">
      <c r="A2239" s="14" t="str">
        <f>IFERROR(__xludf.DUMMYFUNCTION("""COMPUTED_VALUE"""),"P-51529-00")</f>
        <v>P-51529-00</v>
      </c>
      <c r="B2239" s="14" t="str">
        <f>IFERROR(__xludf.DUMMYFUNCTION("""COMPUTED_VALUE"""),"5um Filter, 30"" 5um PP for PWG")</f>
        <v>5um Filter, 30" 5um PP for PWG</v>
      </c>
      <c r="C2239" s="14" t="str">
        <f>IFERROR(__xludf.DUMMYFUNCTION("""COMPUTED_VALUE"""),"P-51529-00")</f>
        <v>P-51529-00</v>
      </c>
    </row>
    <row r="2240">
      <c r="A2240" s="14" t="str">
        <f>IFERROR(__xludf.DUMMYFUNCTION("""COMPUTED_VALUE"""),"P-51559-00")</f>
        <v>P-51559-00</v>
      </c>
      <c r="B2240" s="14" t="str">
        <f>IFERROR(__xludf.DUMMYFUNCTION("""COMPUTED_VALUE"""),"General - Lampu TL T5 14 W White; Philips; -; 1 unt")</f>
        <v>General - Lampu TL T5 14 W White; Philips; -; 1 unt</v>
      </c>
      <c r="C2240" s="14" t="str">
        <f>IFERROR(__xludf.DUMMYFUNCTION("""COMPUTED_VALUE"""),"P-51559-00")</f>
        <v>P-51559-00</v>
      </c>
    </row>
    <row r="2241">
      <c r="A2241" s="14" t="str">
        <f>IFERROR(__xludf.DUMMYFUNCTION("""COMPUTED_VALUE"""),"P-51560-00")</f>
        <v>P-51560-00</v>
      </c>
      <c r="B2241" s="14" t="str">
        <f>IFERROR(__xludf.DUMMYFUNCTION("""COMPUTED_VALUE"""),"General - Lampu TL T5 28W White; Philips; -; 1 unt")</f>
        <v>General - Lampu TL T5 28W White; Philips; -; 1 unt</v>
      </c>
      <c r="C2241" s="14" t="str">
        <f>IFERROR(__xludf.DUMMYFUNCTION("""COMPUTED_VALUE"""),"P-51560-00")</f>
        <v>P-51560-00</v>
      </c>
    </row>
    <row r="2242">
      <c r="A2242" s="14" t="str">
        <f>IFERROR(__xludf.DUMMYFUNCTION("""COMPUTED_VALUE"""),"P-51561-00")</f>
        <v>P-51561-00</v>
      </c>
      <c r="B2242" s="14" t="str">
        <f>IFERROR(__xludf.DUMMYFUNCTION("""COMPUTED_VALUE"""),"Lampu Essential GENIE (pendek) 11watt/E27 Putih; Phillips; ;")</f>
        <v>Lampu Essential GENIE (pendek) 11watt/E27 Putih; Phillips; ;</v>
      </c>
      <c r="C2242" s="14" t="str">
        <f>IFERROR(__xludf.DUMMYFUNCTION("""COMPUTED_VALUE"""),"P-51561-00")</f>
        <v>P-51561-00</v>
      </c>
    </row>
    <row r="2243">
      <c r="A2243" s="14" t="str">
        <f>IFERROR(__xludf.DUMMYFUNCTION("""COMPUTED_VALUE"""),"P-51574-00")</f>
        <v>P-51574-00</v>
      </c>
      <c r="B2243" s="14" t="str">
        <f>IFERROR(__xludf.DUMMYFUNCTION("""COMPUTED_VALUE"""),"Motorized Valve 2 Way, DFCM-220X/4.6 3/4 inch 220V 50 HZ REGIN; ; ;")</f>
        <v>Motorized Valve 2 Way, DFCM-220X/4.6 3/4 inch 220V 50 HZ REGIN; ; ;</v>
      </c>
      <c r="C2243" s="14" t="str">
        <f>IFERROR(__xludf.DUMMYFUNCTION("""COMPUTED_VALUE"""),"P-51574-00")</f>
        <v>P-51574-00</v>
      </c>
    </row>
    <row r="2244">
      <c r="A2244" s="14" t="str">
        <f>IFERROR(__xludf.DUMMYFUNCTION("""COMPUTED_VALUE"""),"P-51704-00")</f>
        <v>P-51704-00</v>
      </c>
      <c r="B2244" s="14" t="str">
        <f>IFERROR(__xludf.DUMMYFUNCTION("""COMPUTED_VALUE"""),"Terminal Krustin 6 Terminal; ; ;")</f>
        <v>Terminal Krustin 6 Terminal; ; ;</v>
      </c>
      <c r="C2244" s="14" t="str">
        <f>IFERROR(__xludf.DUMMYFUNCTION("""COMPUTED_VALUE"""),"P-51704-00")</f>
        <v>P-51704-00</v>
      </c>
    </row>
    <row r="2245">
      <c r="A2245" s="14" t="str">
        <f>IFERROR(__xludf.DUMMYFUNCTION("""COMPUTED_VALUE"""),"P-51705-00")</f>
        <v>P-51705-00</v>
      </c>
      <c r="B2245" s="14" t="str">
        <f>IFERROR(__xludf.DUMMYFUNCTION("""COMPUTED_VALUE"""),"Relay 110-120 V AC; ; ;")</f>
        <v>Relay 110-120 V AC; ; ;</v>
      </c>
      <c r="C2245" s="14" t="str">
        <f>IFERROR(__xludf.DUMMYFUNCTION("""COMPUTED_VALUE"""),"P-51705-00")</f>
        <v>P-51705-00</v>
      </c>
    </row>
    <row r="2246">
      <c r="A2246" s="14" t="str">
        <f>IFERROR(__xludf.DUMMYFUNCTION("""COMPUTED_VALUE"""),"P-51706-00")</f>
        <v>P-51706-00</v>
      </c>
      <c r="B2246" s="14" t="str">
        <f>IFERROR(__xludf.DUMMYFUNCTION("""COMPUTED_VALUE"""),"General - Terminal Block, 4 Pin; No Brand; -; 1 pcs")</f>
        <v>General - Terminal Block, 4 Pin; No Brand; -; 1 pcs</v>
      </c>
      <c r="C2246" s="14" t="str">
        <f>IFERROR(__xludf.DUMMYFUNCTION("""COMPUTED_VALUE"""),"P-51706-00")</f>
        <v>P-51706-00</v>
      </c>
    </row>
    <row r="2247">
      <c r="A2247" s="14" t="str">
        <f>IFERROR(__xludf.DUMMYFUNCTION("""COMPUTED_VALUE"""),"P-51708-00")</f>
        <v>P-51708-00</v>
      </c>
      <c r="B2247" s="14" t="str">
        <f>IFERROR(__xludf.DUMMYFUNCTION("""COMPUTED_VALUE"""),"Regulator Angin AER2000")</f>
        <v>Regulator Angin AER2000</v>
      </c>
      <c r="C2247" s="14" t="str">
        <f>IFERROR(__xludf.DUMMYFUNCTION("""COMPUTED_VALUE"""),"P-51708-00")</f>
        <v>P-51708-00</v>
      </c>
    </row>
    <row r="2248">
      <c r="A2248" s="14" t="str">
        <f>IFERROR(__xludf.DUMMYFUNCTION("""COMPUTED_VALUE"""),"P-51718-00")</f>
        <v>P-51718-00</v>
      </c>
      <c r="B2248" s="14" t="str">
        <f>IFERROR(__xludf.DUMMYFUNCTION("""COMPUTED_VALUE"""),"Lampu LED 12 VDC P. 30 cm; ; ;")</f>
        <v>Lampu LED 12 VDC P. 30 cm; ; ;</v>
      </c>
      <c r="C2248" s="14" t="str">
        <f>IFERROR(__xludf.DUMMYFUNCTION("""COMPUTED_VALUE"""),"P-51718-00")</f>
        <v>P-51718-00</v>
      </c>
    </row>
    <row r="2249">
      <c r="A2249" s="14" t="str">
        <f>IFERROR(__xludf.DUMMYFUNCTION("""COMPUTED_VALUE"""),"P-51736-00")</f>
        <v>P-51736-00</v>
      </c>
      <c r="B2249" s="14" t="str">
        <f>IFERROR(__xludf.DUMMYFUNCTION("""COMPUTED_VALUE"""),"Kabel UTP isi 8 Cat 5e merk BELDEN; ; ;")</f>
        <v>Kabel UTP isi 8 Cat 5e merk BELDEN; ; ;</v>
      </c>
      <c r="C2249" s="14" t="str">
        <f>IFERROR(__xludf.DUMMYFUNCTION("""COMPUTED_VALUE"""),"P-51736-00")</f>
        <v>P-51736-00</v>
      </c>
    </row>
    <row r="2250">
      <c r="A2250" s="14" t="str">
        <f>IFERROR(__xludf.DUMMYFUNCTION("""COMPUTED_VALUE"""),"P-51738-00")</f>
        <v>P-51738-00</v>
      </c>
      <c r="B2250" s="14" t="str">
        <f>IFERROR(__xludf.DUMMYFUNCTION("""COMPUTED_VALUE"""),"Limit Switch CZ7311 10 A 220 V; ; ;")</f>
        <v>Limit Switch CZ7311 10 A 220 V; ; ;</v>
      </c>
      <c r="C2250" s="14" t="str">
        <f>IFERROR(__xludf.DUMMYFUNCTION("""COMPUTED_VALUE"""),"P-51738-00")</f>
        <v>P-51738-00</v>
      </c>
    </row>
    <row r="2251">
      <c r="A2251" s="14" t="str">
        <f>IFERROR(__xludf.DUMMYFUNCTION("""COMPUTED_VALUE"""),"P-51739-00")</f>
        <v>P-51739-00</v>
      </c>
      <c r="B2251" s="14" t="str">
        <f>IFERROR(__xludf.DUMMYFUNCTION("""COMPUTED_VALUE"""),"TOR Schneider LRD05 0,63 - 1,0 A; ; ;")</f>
        <v>TOR Schneider LRD05 0,63 - 1,0 A; ; ;</v>
      </c>
      <c r="C2251" s="14" t="str">
        <f>IFERROR(__xludf.DUMMYFUNCTION("""COMPUTED_VALUE"""),"P-51739-00")</f>
        <v>P-51739-00</v>
      </c>
    </row>
    <row r="2252">
      <c r="A2252" s="14" t="str">
        <f>IFERROR(__xludf.DUMMYFUNCTION("""COMPUTED_VALUE"""),"P-51740-00")</f>
        <v>P-51740-00</v>
      </c>
      <c r="B2252" s="14" t="str">
        <f>IFERROR(__xludf.DUMMYFUNCTION("""COMPUTED_VALUE"""),"Timer + Socket Omron 43BA-A8 220 VAC; ; ;")</f>
        <v>Timer + Socket Omron 43BA-A8 220 VAC; ; ;</v>
      </c>
      <c r="C2252" s="14" t="str">
        <f>IFERROR(__xludf.DUMMYFUNCTION("""COMPUTED_VALUE"""),"P-51740-00")</f>
        <v>P-51740-00</v>
      </c>
    </row>
    <row r="2253">
      <c r="A2253" s="14" t="str">
        <f>IFERROR(__xludf.DUMMYFUNCTION("""COMPUTED_VALUE"""),"P-51741-00")</f>
        <v>P-51741-00</v>
      </c>
      <c r="B2253" s="14" t="str">
        <f>IFERROR(__xludf.DUMMYFUNCTION("""COMPUTED_VALUE"""),"Lampu Phillips PHP LED; 710 7w E27 White 220-240v; ; ;")</f>
        <v>Lampu Phillips PHP LED; 710 7w E27 White 220-240v; ; ;</v>
      </c>
      <c r="C2253" s="14" t="str">
        <f>IFERROR(__xludf.DUMMYFUNCTION("""COMPUTED_VALUE"""),"P-51741-00")</f>
        <v>P-51741-00</v>
      </c>
    </row>
    <row r="2254">
      <c r="A2254" s="14" t="str">
        <f>IFERROR(__xludf.DUMMYFUNCTION("""COMPUTED_VALUE"""),"P-51742-00")</f>
        <v>P-51742-00</v>
      </c>
      <c r="B2254" s="14" t="str">
        <f>IFERROR(__xludf.DUMMYFUNCTION("""COMPUTED_VALUE"""),"G24 - E27 Converter Fitting Lampu PLC Bohlam Extension")</f>
        <v>G24 - E27 Converter Fitting Lampu PLC Bohlam Extension</v>
      </c>
      <c r="C2254" s="14" t="str">
        <f>IFERROR(__xludf.DUMMYFUNCTION("""COMPUTED_VALUE"""),"P-51742-00")</f>
        <v>P-51742-00</v>
      </c>
    </row>
    <row r="2255">
      <c r="A2255" s="14" t="str">
        <f>IFERROR(__xludf.DUMMYFUNCTION("""COMPUTED_VALUE"""),"P-51743-00")</f>
        <v>P-51743-00</v>
      </c>
      <c r="B2255" s="14" t="str">
        <f>IFERROR(__xludf.DUMMYFUNCTION("""COMPUTED_VALUE"""),"Capasitor bulat 5 mF; 400 V; ; ;")</f>
        <v>Capasitor bulat 5 mF; 400 V; ; ;</v>
      </c>
      <c r="C2255" s="14" t="str">
        <f>IFERROR(__xludf.DUMMYFUNCTION("""COMPUTED_VALUE"""),"P-51743-00")</f>
        <v>P-51743-00</v>
      </c>
    </row>
    <row r="2256">
      <c r="A2256" s="14" t="str">
        <f>IFERROR(__xludf.DUMMYFUNCTION("""COMPUTED_VALUE"""),"P-51744-00")</f>
        <v>P-51744-00</v>
      </c>
      <c r="B2256" s="14" t="str">
        <f>IFERROR(__xludf.DUMMYFUNCTION("""COMPUTED_VALUE"""),"Exhaust Fan; SUNON; 12 VDC, KD 1205; ; ;")</f>
        <v>Exhaust Fan; SUNON; 12 VDC, KD 1205; ; ;</v>
      </c>
      <c r="C2256" s="14" t="str">
        <f>IFERROR(__xludf.DUMMYFUNCTION("""COMPUTED_VALUE"""),"P-51744-00")</f>
        <v>P-51744-00</v>
      </c>
    </row>
    <row r="2257">
      <c r="A2257" s="14" t="str">
        <f>IFERROR(__xludf.DUMMYFUNCTION("""COMPUTED_VALUE"""),"P-51745-00")</f>
        <v>P-51745-00</v>
      </c>
      <c r="B2257" s="14" t="str">
        <f>IFERROR(__xludf.DUMMYFUNCTION("""COMPUTED_VALUE"""),"MCB Schneider C60H 1 phase 1 pole 6A 10000A; ; ;")</f>
        <v>MCB Schneider C60H 1 phase 1 pole 6A 10000A; ; ;</v>
      </c>
      <c r="C2257" s="14" t="str">
        <f>IFERROR(__xludf.DUMMYFUNCTION("""COMPUTED_VALUE"""),"P-51745-00")</f>
        <v>P-51745-00</v>
      </c>
    </row>
    <row r="2258">
      <c r="A2258" s="14" t="str">
        <f>IFERROR(__xludf.DUMMYFUNCTION("""COMPUTED_VALUE"""),"P-51752-00")</f>
        <v>P-51752-00</v>
      </c>
      <c r="B2258" s="14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4" t="str">
        <f>IFERROR(__xludf.DUMMYFUNCTION("""COMPUTED_VALUE"""),"P-51752-00")</f>
        <v>P-51752-00</v>
      </c>
    </row>
    <row r="2259">
      <c r="A2259" s="14" t="str">
        <f>IFERROR(__xludf.DUMMYFUNCTION("""COMPUTED_VALUE"""),"P-51756-00")</f>
        <v>P-51756-00</v>
      </c>
      <c r="B2259" s="14" t="str">
        <f>IFERROR(__xludf.DUMMYFUNCTION("""COMPUTED_VALUE"""),"General - Kabel NYYHY 3 x 0.75mm; Jembo; -; 1 meter")</f>
        <v>General - Kabel NYYHY 3 x 0.75mm; Jembo; -; 1 meter</v>
      </c>
      <c r="C2259" s="14" t="str">
        <f>IFERROR(__xludf.DUMMYFUNCTION("""COMPUTED_VALUE"""),"P-51756-00")</f>
        <v>P-51756-00</v>
      </c>
    </row>
    <row r="2260">
      <c r="A2260" s="14" t="str">
        <f>IFERROR(__xludf.DUMMYFUNCTION("""COMPUTED_VALUE"""),"P-51760-00")</f>
        <v>P-51760-00</v>
      </c>
      <c r="B2260" s="14" t="str">
        <f>IFERROR(__xludf.DUMMYFUNCTION("""COMPUTED_VALUE"""),"UHI FINNED HEATER W FORM; DIA. 11X260X140MM; Power : 1,5KW - 240V; ; ;")</f>
        <v>UHI FINNED HEATER W FORM; DIA. 11X260X140MM; Power : 1,5KW - 240V; ; ;</v>
      </c>
      <c r="C2260" s="14" t="str">
        <f>IFERROR(__xludf.DUMMYFUNCTION("""COMPUTED_VALUE"""),"P-51760-00")</f>
        <v>P-51760-00</v>
      </c>
    </row>
    <row r="2261">
      <c r="A2261" s="14" t="str">
        <f>IFERROR(__xludf.DUMMYFUNCTION("""COMPUTED_VALUE"""),"P-51770-00")</f>
        <v>P-51770-00</v>
      </c>
      <c r="B2261" s="14" t="str">
        <f>IFERROR(__xludf.DUMMYFUNCTION("""COMPUTED_VALUE"""),"Digital Thermostat Type RCF230D/L20V REGIN pc")</f>
        <v>Digital Thermostat Type RCF230D/L20V REGIN pc</v>
      </c>
      <c r="C2261" s="14" t="str">
        <f>IFERROR(__xludf.DUMMYFUNCTION("""COMPUTED_VALUE"""),"P-51770-00")</f>
        <v>P-51770-00</v>
      </c>
    </row>
    <row r="2262">
      <c r="A2262" s="14" t="str">
        <f>IFERROR(__xludf.DUMMYFUNCTION("""COMPUTED_VALUE"""),"P-51779-00")</f>
        <v>P-51779-00</v>
      </c>
      <c r="B2262" s="14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4" t="str">
        <f>IFERROR(__xludf.DUMMYFUNCTION("""COMPUTED_VALUE"""),"P-51779-00")</f>
        <v>P-51779-00</v>
      </c>
    </row>
    <row r="2263">
      <c r="A2263" s="14" t="str">
        <f>IFERROR(__xludf.DUMMYFUNCTION("""COMPUTED_VALUE"""),"P-51780-00")</f>
        <v>P-51780-00</v>
      </c>
      <c r="B2263" s="14" t="str">
        <f>IFERROR(__xludf.DUMMYFUNCTION("""COMPUTED_VALUE"""),"Temperature Controller type E5CN; Merk Omron; ;")</f>
        <v>Temperature Controller type E5CN; Merk Omron; ;</v>
      </c>
      <c r="C2263" s="14" t="str">
        <f>IFERROR(__xludf.DUMMYFUNCTION("""COMPUTED_VALUE"""),"P-51780-00")</f>
        <v>P-51780-00</v>
      </c>
    </row>
    <row r="2264">
      <c r="A2264" s="14" t="str">
        <f>IFERROR(__xludf.DUMMYFUNCTION("""COMPUTED_VALUE"""),"P-51781-00")</f>
        <v>P-51781-00</v>
      </c>
      <c r="B2264" s="14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4" t="str">
        <f>IFERROR(__xludf.DUMMYFUNCTION("""COMPUTED_VALUE"""),"P-51781-00")</f>
        <v>P-51781-00</v>
      </c>
    </row>
    <row r="2265">
      <c r="A2265" s="14" t="str">
        <f>IFERROR(__xludf.DUMMYFUNCTION("""COMPUTED_VALUE"""),"P-51782-00")</f>
        <v>P-51782-00</v>
      </c>
      <c r="B2265" s="14" t="str">
        <f>IFERROR(__xludf.DUMMYFUNCTION("""COMPUTED_VALUE"""),"SRV66 MAINTENANCE KIT 1"" 1.0-5.0 BAR; 6404999UA; ; ;")</f>
        <v>SRV66 MAINTENANCE KIT 1" 1.0-5.0 BAR; 6404999UA; ; ;</v>
      </c>
      <c r="C2265" s="14" t="str">
        <f>IFERROR(__xludf.DUMMYFUNCTION("""COMPUTED_VALUE"""),"P-51782-00")</f>
        <v>P-51782-00</v>
      </c>
    </row>
    <row r="2266">
      <c r="A2266" s="14" t="str">
        <f>IFERROR(__xludf.DUMMYFUNCTION("""COMPUTED_VALUE"""),"P-51784-00")</f>
        <v>P-51784-00</v>
      </c>
      <c r="B2266" s="14" t="str">
        <f>IFERROR(__xludf.DUMMYFUNCTION("""COMPUTED_VALUE"""),"Acessoris GEMU 687; Type 1215 order No. 1215000Z1110X; ; ;")</f>
        <v>Acessoris GEMU 687; Type 1215 order No. 1215000Z1110X; ; ;</v>
      </c>
      <c r="C2266" s="14" t="str">
        <f>IFERROR(__xludf.DUMMYFUNCTION("""COMPUTED_VALUE"""),"P-51784-00")</f>
        <v>P-51784-00</v>
      </c>
    </row>
    <row r="2267">
      <c r="A2267" s="14" t="str">
        <f>IFERROR(__xludf.DUMMYFUNCTION("""COMPUTED_VALUE"""),"P-51785-00")</f>
        <v>P-51785-00</v>
      </c>
      <c r="B2267" s="14" t="str">
        <f>IFERROR(__xludf.DUMMYFUNCTION("""COMPUTED_VALUE"""),"Hour Meter LE8N-BF Autonics; ; ;")</f>
        <v>Hour Meter LE8N-BF Autonics; ; ;</v>
      </c>
      <c r="C2267" s="14" t="str">
        <f>IFERROR(__xludf.DUMMYFUNCTION("""COMPUTED_VALUE"""),"P-51785-00")</f>
        <v>P-51785-00</v>
      </c>
    </row>
    <row r="2268">
      <c r="A2268" s="14" t="str">
        <f>IFERROR(__xludf.DUMMYFUNCTION("""COMPUTED_VALUE"""),"P-51786-00")</f>
        <v>P-51786-00</v>
      </c>
      <c r="B2268" s="14" t="str">
        <f>IFERROR(__xludf.DUMMYFUNCTION("""COMPUTED_VALUE"""),"Jumper Terminal viking uk. 2,5 mm; ; ;")</f>
        <v>Jumper Terminal viking uk. 2,5 mm; ; ;</v>
      </c>
      <c r="C2268" s="14" t="str">
        <f>IFERROR(__xludf.DUMMYFUNCTION("""COMPUTED_VALUE"""),"P-51786-00")</f>
        <v>P-51786-00</v>
      </c>
    </row>
    <row r="2269">
      <c r="A2269" s="14" t="str">
        <f>IFERROR(__xludf.DUMMYFUNCTION("""COMPUTED_VALUE"""),"P-51793-00")</f>
        <v>P-51793-00</v>
      </c>
      <c r="B2269" s="14" t="str">
        <f>IFERROR(__xludf.DUMMYFUNCTION("""COMPUTED_VALUE"""),"General - Panel Box Uk. 20 x 30 x 15cm; No Brand; -; 1 pc")</f>
        <v>General - Panel Box Uk. 20 x 30 x 15cm; No Brand; -; 1 pc</v>
      </c>
      <c r="C2269" s="14" t="str">
        <f>IFERROR(__xludf.DUMMYFUNCTION("""COMPUTED_VALUE"""),"P-51793-00")</f>
        <v>P-51793-00</v>
      </c>
    </row>
    <row r="2270">
      <c r="A2270" s="14" t="str">
        <f>IFERROR(__xludf.DUMMYFUNCTION("""COMPUTED_VALUE"""),"P-51810-00")</f>
        <v>P-51810-00</v>
      </c>
      <c r="B2270" s="14" t="str">
        <f>IFERROR(__xludf.DUMMYFUNCTION("""COMPUTED_VALUE"""),"Key switch for On/ Off Indoor sirene; ; ;")</f>
        <v>Key switch for On/ Off Indoor sirene; ; ;</v>
      </c>
      <c r="C2270" s="14" t="str">
        <f>IFERROR(__xludf.DUMMYFUNCTION("""COMPUTED_VALUE"""),"P-51810-00")</f>
        <v>P-51810-00</v>
      </c>
    </row>
    <row r="2271">
      <c r="A2271" s="14" t="str">
        <f>IFERROR(__xludf.DUMMYFUNCTION("""COMPUTED_VALUE"""),"P-51811-00")</f>
        <v>P-51811-00</v>
      </c>
      <c r="B2271" s="14" t="str">
        <f>IFERROR(__xludf.DUMMYFUNCTION("""COMPUTED_VALUE"""),"Modul emergency exit; ; ;")</f>
        <v>Modul emergency exit; ; ;</v>
      </c>
      <c r="C2271" s="14" t="str">
        <f>IFERROR(__xludf.DUMMYFUNCTION("""COMPUTED_VALUE"""),"P-51811-00")</f>
        <v>P-51811-00</v>
      </c>
    </row>
    <row r="2272">
      <c r="A2272" s="14" t="str">
        <f>IFERROR(__xludf.DUMMYFUNCTION("""COMPUTED_VALUE"""),"P-51812-00")</f>
        <v>P-51812-00</v>
      </c>
      <c r="B2272" s="14" t="str">
        <f>IFERROR(__xludf.DUMMYFUNCTION("""COMPUTED_VALUE"""),"Indoor Sirene; ; ;")</f>
        <v>Indoor Sirene; ; ;</v>
      </c>
      <c r="C2272" s="14" t="str">
        <f>IFERROR(__xludf.DUMMYFUNCTION("""COMPUTED_VALUE"""),"P-51812-00")</f>
        <v>P-51812-00</v>
      </c>
    </row>
    <row r="2273">
      <c r="A2273" s="14" t="str">
        <f>IFERROR(__xludf.DUMMYFUNCTION("""COMPUTED_VALUE"""),"P-51813-00")</f>
        <v>P-51813-00</v>
      </c>
      <c r="B2273" s="14" t="str">
        <f>IFERROR(__xludf.DUMMYFUNCTION("""COMPUTED_VALUE"""),"Heavy Duty Door contact; ; ;")</f>
        <v>Heavy Duty Door contact; ; ;</v>
      </c>
      <c r="C2273" s="14" t="str">
        <f>IFERROR(__xludf.DUMMYFUNCTION("""COMPUTED_VALUE"""),"P-51813-00")</f>
        <v>P-51813-00</v>
      </c>
    </row>
    <row r="2274">
      <c r="A2274" s="14" t="str">
        <f>IFERROR(__xludf.DUMMYFUNCTION("""COMPUTED_VALUE"""),"P-51840-00")</f>
        <v>P-51840-00</v>
      </c>
      <c r="B2274" s="14" t="str">
        <f>IFERROR(__xludf.DUMMYFUNCTION("""COMPUTED_VALUE"""),"Button Box 3 hole dia 22 mm; ; ;")</f>
        <v>Button Box 3 hole dia 22 mm; ; ;</v>
      </c>
      <c r="C2274" s="14" t="str">
        <f>IFERROR(__xludf.DUMMYFUNCTION("""COMPUTED_VALUE"""),"P-51840-00")</f>
        <v>P-51840-00</v>
      </c>
    </row>
    <row r="2275">
      <c r="A2275" s="14" t="str">
        <f>IFERROR(__xludf.DUMMYFUNCTION("""COMPUTED_VALUE"""),"P-51841-00")</f>
        <v>P-51841-00</v>
      </c>
      <c r="B2275" s="14" t="str">
        <f>IFERROR(__xludf.DUMMYFUNCTION("""COMPUTED_VALUE"""),"Power Supply LED Rainproof 250W/12VDC")</f>
        <v>Power Supply LED Rainproof 250W/12VDC</v>
      </c>
      <c r="C2275" s="14" t="str">
        <f>IFERROR(__xludf.DUMMYFUNCTION("""COMPUTED_VALUE"""),"P-51841-00")</f>
        <v>P-51841-00</v>
      </c>
    </row>
    <row r="2276">
      <c r="A2276" s="14" t="str">
        <f>IFERROR(__xludf.DUMMYFUNCTION("""COMPUTED_VALUE"""),"P-51842-00")</f>
        <v>P-51842-00</v>
      </c>
      <c r="B2276" s="14" t="str">
        <f>IFERROR(__xludf.DUMMYFUNCTION("""COMPUTED_VALUE"""),"Lampu Pemanas/Heating Lamp Mesin Laminating")</f>
        <v>Lampu Pemanas/Heating Lamp Mesin Laminating</v>
      </c>
      <c r="C2276" s="14" t="str">
        <f>IFERROR(__xludf.DUMMYFUNCTION("""COMPUTED_VALUE"""),"P-51842-00")</f>
        <v>P-51842-00</v>
      </c>
    </row>
    <row r="2277">
      <c r="A2277" s="14" t="str">
        <f>IFERROR(__xludf.DUMMYFUNCTION("""COMPUTED_VALUE"""),"P-51843-00")</f>
        <v>P-51843-00</v>
      </c>
      <c r="B2277" s="14" t="str">
        <f>IFERROR(__xludf.DUMMYFUNCTION("""COMPUTED_VALUE"""),"Push Button /XA2EA42/240V/Merah Schneider")</f>
        <v>Push Button /XA2EA42/240V/Merah Schneider</v>
      </c>
      <c r="C2277" s="14" t="str">
        <f>IFERROR(__xludf.DUMMYFUNCTION("""COMPUTED_VALUE"""),"P-51843-00")</f>
        <v>P-51843-00</v>
      </c>
    </row>
    <row r="2278">
      <c r="A2278" s="14" t="str">
        <f>IFERROR(__xludf.DUMMYFUNCTION("""COMPUTED_VALUE"""),"P-51844-00")</f>
        <v>P-51844-00</v>
      </c>
      <c r="B2278" s="14" t="str">
        <f>IFERROR(__xludf.DUMMYFUNCTION("""COMPUTED_VALUE"""),"Push Button /XA2EA31/240V/Hijau Schneider")</f>
        <v>Push Button /XA2EA31/240V/Hijau Schneider</v>
      </c>
      <c r="C2278" s="14" t="str">
        <f>IFERROR(__xludf.DUMMYFUNCTION("""COMPUTED_VALUE"""),"P-51844-00")</f>
        <v>P-51844-00</v>
      </c>
    </row>
    <row r="2279">
      <c r="A2279" s="14" t="str">
        <f>IFERROR(__xludf.DUMMYFUNCTION("""COMPUTED_VALUE"""),"P-51851-00")</f>
        <v>P-51851-00</v>
      </c>
      <c r="B2279" s="14" t="str">
        <f>IFERROR(__xludf.DUMMYFUNCTION("""COMPUTED_VALUE"""),"Capasitor/Kapasitor 2 micro Farad 400 VAC; ; ; pc")</f>
        <v>Capasitor/Kapasitor 2 micro Farad 400 VAC; ; ; pc</v>
      </c>
      <c r="C2279" s="14" t="str">
        <f>IFERROR(__xludf.DUMMYFUNCTION("""COMPUTED_VALUE"""),"P-51851-00")</f>
        <v>P-51851-00</v>
      </c>
    </row>
    <row r="2280">
      <c r="A2280" s="14" t="str">
        <f>IFERROR(__xludf.DUMMYFUNCTION("""COMPUTED_VALUE"""),"P-51855-00")</f>
        <v>P-51855-00</v>
      </c>
      <c r="B2280" s="14" t="str">
        <f>IFERROR(__xludf.DUMMYFUNCTION("""COMPUTED_VALUE"""),"Switch Accessory SA-SB1 Autonics")</f>
        <v>Switch Accessory SA-SB1 Autonics</v>
      </c>
      <c r="C2280" s="14" t="str">
        <f>IFERROR(__xludf.DUMMYFUNCTION("""COMPUTED_VALUE"""),"P-51855-00")</f>
        <v>P-51855-00</v>
      </c>
    </row>
    <row r="2281">
      <c r="A2281" s="14" t="str">
        <f>IFERROR(__xludf.DUMMYFUNCTION("""COMPUTED_VALUE"""),"P-51856-00")</f>
        <v>P-51856-00</v>
      </c>
      <c r="B2281" s="14" t="str">
        <f>IFERROR(__xludf.DUMMYFUNCTION("""COMPUTED_VALUE"""),"General - Key Selector Switch; Autonics; S2KR-4CK2AM; 1 pc")</f>
        <v>General - Key Selector Switch; Autonics; S2KR-4CK2AM; 1 pc</v>
      </c>
      <c r="C2281" s="14" t="str">
        <f>IFERROR(__xludf.DUMMYFUNCTION("""COMPUTED_VALUE"""),"P-51856-00")</f>
        <v>P-51856-00</v>
      </c>
    </row>
    <row r="2282">
      <c r="A2282" s="14" t="str">
        <f>IFERROR(__xludf.DUMMYFUNCTION("""COMPUTED_VALUE"""),"P-51857-00")</f>
        <v>P-51857-00</v>
      </c>
      <c r="B2282" s="14" t="str">
        <f>IFERROR(__xludf.DUMMYFUNCTION("""COMPUTED_VALUE"""),"Contact Block SA-CBM Autonics")</f>
        <v>Contact Block SA-CBM Autonics</v>
      </c>
      <c r="C2282" s="14" t="str">
        <f>IFERROR(__xludf.DUMMYFUNCTION("""COMPUTED_VALUE"""),"P-51857-00")</f>
        <v>P-51857-00</v>
      </c>
    </row>
    <row r="2283">
      <c r="A2283" s="14" t="str">
        <f>IFERROR(__xludf.DUMMYFUNCTION("""COMPUTED_VALUE"""),"P-51865-00")</f>
        <v>P-51865-00</v>
      </c>
      <c r="B2283" s="14" t="str">
        <f>IFERROR(__xludf.DUMMYFUNCTION("""COMPUTED_VALUE"""),"Lampu LED Floodlight 50 watt")</f>
        <v>Lampu LED Floodlight 50 watt</v>
      </c>
      <c r="C2283" s="14" t="str">
        <f>IFERROR(__xludf.DUMMYFUNCTION("""COMPUTED_VALUE"""),"P-51865-00")</f>
        <v>P-51865-00</v>
      </c>
    </row>
    <row r="2284">
      <c r="A2284" s="14" t="str">
        <f>IFERROR(__xludf.DUMMYFUNCTION("""COMPUTED_VALUE"""),"P-51866-00")</f>
        <v>P-51866-00</v>
      </c>
      <c r="B2284" s="14" t="str">
        <f>IFERROR(__xludf.DUMMYFUNCTION("""COMPUTED_VALUE"""),"Adaptor 220 VAC - 12 VAC 3 A")</f>
        <v>Adaptor 220 VAC - 12 VAC 3 A</v>
      </c>
      <c r="C2284" s="14" t="str">
        <f>IFERROR(__xludf.DUMMYFUNCTION("""COMPUTED_VALUE"""),"P-51866-00")</f>
        <v>P-51866-00</v>
      </c>
    </row>
    <row r="2285">
      <c r="A2285" s="14" t="str">
        <f>IFERROR(__xludf.DUMMYFUNCTION("""COMPUTED_VALUE"""),"P-51867-00")</f>
        <v>P-51867-00</v>
      </c>
      <c r="B2285" s="14" t="str">
        <f>IFERROR(__xludf.DUMMYFUNCTION("""COMPUTED_VALUE"""),"Lampu Osram P-VIP 240/0.8 for Infocus IN124a")</f>
        <v>Lampu Osram P-VIP 240/0.8 for Infocus IN124a</v>
      </c>
      <c r="C2285" s="14" t="str">
        <f>IFERROR(__xludf.DUMMYFUNCTION("""COMPUTED_VALUE"""),"P-51867-00")</f>
        <v>P-51867-00</v>
      </c>
    </row>
    <row r="2286">
      <c r="A2286" s="14" t="str">
        <f>IFERROR(__xludf.DUMMYFUNCTION("""COMPUTED_VALUE"""),"P-51880-00")</f>
        <v>P-51880-00</v>
      </c>
      <c r="B2286" s="14" t="str">
        <f>IFERROR(__xludf.DUMMYFUNCTION("""COMPUTED_VALUE"""),"Battery 2500mAH 1.2V")</f>
        <v>Battery 2500mAH 1.2V</v>
      </c>
      <c r="C2286" s="14" t="str">
        <f>IFERROR(__xludf.DUMMYFUNCTION("""COMPUTED_VALUE"""),"P-51880-00")</f>
        <v>P-51880-00</v>
      </c>
    </row>
    <row r="2287">
      <c r="A2287" s="14" t="str">
        <f>IFERROR(__xludf.DUMMYFUNCTION("""COMPUTED_VALUE"""),"P-51883-00")</f>
        <v>P-51883-00</v>
      </c>
      <c r="B2287" s="14" t="str">
        <f>IFERROR(__xludf.DUMMYFUNCTION("""COMPUTED_VALUE"""),"Lampu LED Floodlight 100 watt")</f>
        <v>Lampu LED Floodlight 100 watt</v>
      </c>
      <c r="C2287" s="14" t="str">
        <f>IFERROR(__xludf.DUMMYFUNCTION("""COMPUTED_VALUE"""),"P-51883-00")</f>
        <v>P-51883-00</v>
      </c>
    </row>
    <row r="2288">
      <c r="A2288" s="14" t="str">
        <f>IFERROR(__xludf.DUMMYFUNCTION("""COMPUTED_VALUE"""),"P-51889-00")</f>
        <v>P-51889-00</v>
      </c>
      <c r="B2288" s="14" t="str">
        <f>IFERROR(__xludf.DUMMYFUNCTION("""COMPUTED_VALUE"""),"General - Power Supply SPA-050-24VDC; Autonics; -; 1 pc")</f>
        <v>General - Power Supply SPA-050-24VDC; Autonics; -; 1 pc</v>
      </c>
      <c r="C2288" s="14" t="str">
        <f>IFERROR(__xludf.DUMMYFUNCTION("""COMPUTED_VALUE"""),"P-51889-00")</f>
        <v>P-51889-00</v>
      </c>
    </row>
    <row r="2289">
      <c r="A2289" s="14" t="str">
        <f>IFERROR(__xludf.DUMMYFUNCTION("""COMPUTED_VALUE"""),"P-51891-00")</f>
        <v>P-51891-00</v>
      </c>
      <c r="B2289" s="14" t="str">
        <f>IFERROR(__xludf.DUMMYFUNCTION("""COMPUTED_VALUE"""),"General - Exhaust Fan Panel 240VAC; TW; -; 1 pc")</f>
        <v>General - Exhaust Fan Panel 240VAC; TW; -; 1 pc</v>
      </c>
      <c r="C2289" s="14" t="str">
        <f>IFERROR(__xludf.DUMMYFUNCTION("""COMPUTED_VALUE"""),"P-51891-00")</f>
        <v>P-51891-00</v>
      </c>
    </row>
    <row r="2290">
      <c r="A2290" s="14" t="str">
        <f>IFERROR(__xludf.DUMMYFUNCTION("""COMPUTED_VALUE"""),"P-51893-00")</f>
        <v>P-51893-00</v>
      </c>
      <c r="B2290" s="14" t="str">
        <f>IFERROR(__xludf.DUMMYFUNCTION("""COMPUTED_VALUE"""),"Power Supply TXS1.12F4 24VDC Siemens")</f>
        <v>Power Supply TXS1.12F4 24VDC Siemens</v>
      </c>
      <c r="C2290" s="14" t="str">
        <f>IFERROR(__xludf.DUMMYFUNCTION("""COMPUTED_VALUE"""),"P-51893-00")</f>
        <v>P-51893-00</v>
      </c>
    </row>
    <row r="2291">
      <c r="A2291" s="14" t="str">
        <f>IFERROR(__xludf.DUMMYFUNCTION("""COMPUTED_VALUE"""),"P-51894-00")</f>
        <v>P-51894-00</v>
      </c>
      <c r="B2291" s="14" t="str">
        <f>IFERROR(__xludf.DUMMYFUNCTION("""COMPUTED_VALUE"""),"General - Lampu TL LED Bright Boost 18 W; Philips; -; 1 unt")</f>
        <v>General - Lampu TL LED Bright Boost 18 W; Philips; -; 1 unt</v>
      </c>
      <c r="C2291" s="14" t="str">
        <f>IFERROR(__xludf.DUMMYFUNCTION("""COMPUTED_VALUE"""),"P-51894-00")</f>
        <v>P-51894-00</v>
      </c>
    </row>
    <row r="2292">
      <c r="A2292" s="14" t="str">
        <f>IFERROR(__xludf.DUMMYFUNCTION("""COMPUTED_VALUE"""),"P-51895-00")</f>
        <v>P-51895-00</v>
      </c>
      <c r="B2292" s="14" t="str">
        <f>IFERROR(__xludf.DUMMYFUNCTION("""COMPUTED_VALUE"""),"Pressure Switch 0-10 bar 1/4 inch Out: 4...20 mA In: 24(7...33) VDC")</f>
        <v>Pressure Switch 0-10 bar 1/4 inch Out: 4...20 mA In: 24(7...33) VDC</v>
      </c>
      <c r="C2292" s="14" t="str">
        <f>IFERROR(__xludf.DUMMYFUNCTION("""COMPUTED_VALUE"""),"P-51895-00")</f>
        <v>P-51895-00</v>
      </c>
    </row>
    <row r="2293">
      <c r="A2293" s="14" t="str">
        <f>IFERROR(__xludf.DUMMYFUNCTION("""COMPUTED_VALUE"""),"P-51896-00")</f>
        <v>P-51896-00</v>
      </c>
      <c r="B2293" s="14" t="str">
        <f>IFERROR(__xludf.DUMMYFUNCTION("""COMPUTED_VALUE"""),"Switch Lamp Hijau 220 VAC")</f>
        <v>Switch Lamp Hijau 220 VAC</v>
      </c>
      <c r="C2293" s="14" t="str">
        <f>IFERROR(__xludf.DUMMYFUNCTION("""COMPUTED_VALUE"""),"P-51896-00")</f>
        <v>P-51896-00</v>
      </c>
    </row>
    <row r="2294">
      <c r="A2294" s="14" t="str">
        <f>IFERROR(__xludf.DUMMYFUNCTION("""COMPUTED_VALUE"""),"P-51902-00")</f>
        <v>P-51902-00</v>
      </c>
      <c r="B2294" s="14" t="str">
        <f>IFERROR(__xludf.DUMMYFUNCTION("""COMPUTED_VALUE"""),"Saklar AC 13A 3 kaki")</f>
        <v>Saklar AC 13A 3 kaki</v>
      </c>
      <c r="C2294" s="14" t="str">
        <f>IFERROR(__xludf.DUMMYFUNCTION("""COMPUTED_VALUE"""),"P-51902-00")</f>
        <v>P-51902-00</v>
      </c>
    </row>
    <row r="2295">
      <c r="A2295" s="14" t="str">
        <f>IFERROR(__xludf.DUMMYFUNCTION("""COMPUTED_VALUE"""),"P-51903-00")</f>
        <v>P-51903-00</v>
      </c>
      <c r="B2295" s="14" t="str">
        <f>IFERROR(__xludf.DUMMYFUNCTION("""COMPUTED_VALUE"""),"UHI Band Heater dia.100x250 mm 220V-1000W")</f>
        <v>UHI Band Heater dia.100x250 mm 220V-1000W</v>
      </c>
      <c r="C2295" s="14" t="str">
        <f>IFERROR(__xludf.DUMMYFUNCTION("""COMPUTED_VALUE"""),"P-51903-00")</f>
        <v>P-51903-00</v>
      </c>
    </row>
    <row r="2296">
      <c r="A2296" s="14" t="str">
        <f>IFERROR(__xludf.DUMMYFUNCTION("""COMPUTED_VALUE"""),"P-51908-00")</f>
        <v>P-51908-00</v>
      </c>
      <c r="B2296" s="14" t="str">
        <f>IFERROR(__xludf.DUMMYFUNCTION("""COMPUTED_VALUE"""),"Control Switch Model: S2SR-S4W2A Autonics")</f>
        <v>Control Switch Model: S2SR-S4W2A Autonics</v>
      </c>
      <c r="C2296" s="14" t="str">
        <f>IFERROR(__xludf.DUMMYFUNCTION("""COMPUTED_VALUE"""),"P-51908-00")</f>
        <v>P-51908-00</v>
      </c>
    </row>
    <row r="2297">
      <c r="A2297" s="14" t="str">
        <f>IFERROR(__xludf.DUMMYFUNCTION("""COMPUTED_VALUE"""),"P-51912-00")</f>
        <v>P-51912-00</v>
      </c>
      <c r="B2297" s="14" t="str">
        <f>IFERROR(__xludf.DUMMYFUNCTION("""COMPUTED_VALUE"""),"Compressor CAJ4492Y")</f>
        <v>Compressor CAJ4492Y</v>
      </c>
      <c r="C2297" s="14" t="str">
        <f>IFERROR(__xludf.DUMMYFUNCTION("""COMPUTED_VALUE"""),"P-51912-00")</f>
        <v>P-51912-00</v>
      </c>
    </row>
    <row r="2298">
      <c r="A2298" s="14" t="str">
        <f>IFERROR(__xludf.DUMMYFUNCTION("""COMPUTED_VALUE"""),"P-51916-00")</f>
        <v>P-51916-00</v>
      </c>
      <c r="B2298" s="14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4" t="str">
        <f>IFERROR(__xludf.DUMMYFUNCTION("""COMPUTED_VALUE"""),"P-51916-00")</f>
        <v>P-51916-00</v>
      </c>
    </row>
    <row r="2299">
      <c r="A2299" s="14" t="str">
        <f>IFERROR(__xludf.DUMMYFUNCTION("""COMPUTED_VALUE"""),"P-51918-00")</f>
        <v>P-51918-00</v>
      </c>
      <c r="B2299" s="14" t="str">
        <f>IFERROR(__xludf.DUMMYFUNCTION("""COMPUTED_VALUE"""),"Inverter VLT Drive Danfoss-Type FC-302 7.5 Kw, 3x380-480 V 50/60Hz; ; ;")</f>
        <v>Inverter VLT Drive Danfoss-Type FC-302 7.5 Kw, 3x380-480 V 50/60Hz; ; ;</v>
      </c>
      <c r="C2299" s="14" t="str">
        <f>IFERROR(__xludf.DUMMYFUNCTION("""COMPUTED_VALUE"""),"P-51918-00")</f>
        <v>P-51918-00</v>
      </c>
    </row>
    <row r="2300">
      <c r="A2300" s="14" t="str">
        <f>IFERROR(__xludf.DUMMYFUNCTION("""COMPUTED_VALUE"""),"P-51920-00")</f>
        <v>P-51920-00</v>
      </c>
      <c r="B2300" s="14" t="str">
        <f>IFERROR(__xludf.DUMMYFUNCTION("""COMPUTED_VALUE"""),"Lampu LED 6.5W Putih 12 Vac 2700K Philips")</f>
        <v>Lampu LED 6.5W Putih 12 Vac 2700K Philips</v>
      </c>
      <c r="C2300" s="14" t="str">
        <f>IFERROR(__xludf.DUMMYFUNCTION("""COMPUTED_VALUE"""),"P-51920-00")</f>
        <v>P-51920-00</v>
      </c>
    </row>
    <row r="2301">
      <c r="A2301" s="14" t="str">
        <f>IFERROR(__xludf.DUMMYFUNCTION("""COMPUTED_VALUE"""),"P-51921-00")</f>
        <v>P-51921-00</v>
      </c>
      <c r="B2301" s="14" t="str">
        <f>IFERROR(__xludf.DUMMYFUNCTION("""COMPUTED_VALUE"""),"SSR RSO4890 Carlo Gavazzi")</f>
        <v>SSR RSO4890 Carlo Gavazzi</v>
      </c>
      <c r="C2301" s="14" t="str">
        <f>IFERROR(__xludf.DUMMYFUNCTION("""COMPUTED_VALUE"""),"P-51921-00")</f>
        <v>P-51921-00</v>
      </c>
    </row>
    <row r="2302">
      <c r="A2302" s="14" t="str">
        <f>IFERROR(__xludf.DUMMYFUNCTION("""COMPUTED_VALUE"""),"P-51928-00")</f>
        <v>P-51928-00</v>
      </c>
      <c r="B2302" s="14" t="str">
        <f>IFERROR(__xludf.DUMMYFUNCTION("""COMPUTED_VALUE"""),"Battery Lithium 3V CR2477N; ; ;")</f>
        <v>Battery Lithium 3V CR2477N; ; ;</v>
      </c>
      <c r="C2302" s="14" t="str">
        <f>IFERROR(__xludf.DUMMYFUNCTION("""COMPUTED_VALUE"""),"P-51928-00")</f>
        <v>P-51928-00</v>
      </c>
    </row>
    <row r="2303">
      <c r="A2303" s="14" t="str">
        <f>IFERROR(__xludf.DUMMYFUNCTION("""COMPUTED_VALUE"""),"P-51929-00")</f>
        <v>P-51929-00</v>
      </c>
      <c r="B2303" s="14" t="str">
        <f>IFERROR(__xludf.DUMMYFUNCTION("""COMPUTED_VALUE"""),"General - Lampu TL5 14 W G5; Philips; -; 1 unt")</f>
        <v>General - Lampu TL5 14 W G5; Philips; -; 1 unt</v>
      </c>
      <c r="C2303" s="14" t="str">
        <f>IFERROR(__xludf.DUMMYFUNCTION("""COMPUTED_VALUE"""),"P-51929-00")</f>
        <v>P-51929-00</v>
      </c>
    </row>
    <row r="2304">
      <c r="A2304" s="14" t="str">
        <f>IFERROR(__xludf.DUMMYFUNCTION("""COMPUTED_VALUE"""),"P-51930-00")</f>
        <v>P-51930-00</v>
      </c>
      <c r="B2304" s="14" t="str">
        <f>IFERROR(__xludf.DUMMYFUNCTION("""COMPUTED_VALUE"""),"Accu (Battery kering) 12V - 7Ah")</f>
        <v>Accu (Battery kering) 12V - 7Ah</v>
      </c>
      <c r="C2304" s="14" t="str">
        <f>IFERROR(__xludf.DUMMYFUNCTION("""COMPUTED_VALUE"""),"P-51930-00")</f>
        <v>P-51930-00</v>
      </c>
    </row>
    <row r="2305">
      <c r="A2305" s="14" t="str">
        <f>IFERROR(__xludf.DUMMYFUNCTION("""COMPUTED_VALUE"""),"P-51999-00")</f>
        <v>P-51999-00</v>
      </c>
      <c r="B2305" s="14" t="str">
        <f>IFERROR(__xludf.DUMMYFUNCTION("""COMPUTED_VALUE"""),"Manifold u/ R410 A dan R 32 Refco Refco")</f>
        <v>Manifold u/ R410 A dan R 32 Refco Refco</v>
      </c>
      <c r="C2305" s="14" t="str">
        <f>IFERROR(__xludf.DUMMYFUNCTION("""COMPUTED_VALUE"""),"P-51999-00")</f>
        <v>P-51999-00</v>
      </c>
    </row>
    <row r="2306">
      <c r="A2306" s="14" t="str">
        <f>IFERROR(__xludf.DUMMYFUNCTION("""COMPUTED_VALUE"""),"P-52000-00")</f>
        <v>P-52000-00</v>
      </c>
      <c r="B2306" s="14" t="str">
        <f>IFERROR(__xludf.DUMMYFUNCTION("""COMPUTED_VALUE"""),"Mata Solder")</f>
        <v>Mata Solder</v>
      </c>
      <c r="C2306" s="14" t="str">
        <f>IFERROR(__xludf.DUMMYFUNCTION("""COMPUTED_VALUE"""),"P-52000-00")</f>
        <v>P-52000-00</v>
      </c>
    </row>
    <row r="2307">
      <c r="A2307" s="14" t="str">
        <f>IFERROR(__xludf.DUMMYFUNCTION("""COMPUTED_VALUE"""),"P-52001-00")</f>
        <v>P-52001-00</v>
      </c>
      <c r="B2307" s="14" t="str">
        <f>IFERROR(__xludf.DUMMYFUNCTION("""COMPUTED_VALUE"""),"Switch Lamp Merah 220 VAC; ; ;")</f>
        <v>Switch Lamp Merah 220 VAC; ; ;</v>
      </c>
      <c r="C2307" s="14" t="str">
        <f>IFERROR(__xludf.DUMMYFUNCTION("""COMPUTED_VALUE"""),"P-52001-00")</f>
        <v>P-52001-00</v>
      </c>
    </row>
    <row r="2308">
      <c r="A2308" s="14" t="str">
        <f>IFERROR(__xludf.DUMMYFUNCTION("""COMPUTED_VALUE"""),"P-52003-00")</f>
        <v>P-52003-00</v>
      </c>
      <c r="B2308" s="14" t="str">
        <f>IFERROR(__xludf.DUMMYFUNCTION("""COMPUTED_VALUE"""),"Klem Pipa Conduit Merk. Clipsal Warna Putih Uk. 20 mm; Clipsal; ; pack")</f>
        <v>Klem Pipa Conduit Merk. Clipsal Warna Putih Uk. 20 mm; Clipsal; ; pack</v>
      </c>
      <c r="C2308" s="14" t="str">
        <f>IFERROR(__xludf.DUMMYFUNCTION("""COMPUTED_VALUE"""),"P-52003-00")</f>
        <v>P-52003-00</v>
      </c>
    </row>
    <row r="2309">
      <c r="A2309" s="14" t="str">
        <f>IFERROR(__xludf.DUMMYFUNCTION("""COMPUTED_VALUE"""),"P-52009-00")</f>
        <v>P-52009-00</v>
      </c>
      <c r="B2309" s="14" t="str">
        <f>IFERROR(__xludf.DUMMYFUNCTION("""COMPUTED_VALUE"""),"Limit Switch;; Omron; Part No. D4MC-1000; 1 pc/pack")</f>
        <v>Limit Switch;; Omron; Part No. D4MC-1000; 1 pc/pack</v>
      </c>
      <c r="C2309" s="14" t="str">
        <f>IFERROR(__xludf.DUMMYFUNCTION("""COMPUTED_VALUE"""),"P-52009-00")</f>
        <v>P-52009-00</v>
      </c>
    </row>
    <row r="2310">
      <c r="A2310" s="14" t="str">
        <f>IFERROR(__xludf.DUMMYFUNCTION("""COMPUTED_VALUE"""),"P-52017-00")</f>
        <v>P-52017-00</v>
      </c>
      <c r="B2310" s="14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4" t="str">
        <f>IFERROR(__xludf.DUMMYFUNCTION("""COMPUTED_VALUE"""),"P-52017-00")</f>
        <v>P-52017-00</v>
      </c>
    </row>
    <row r="2311">
      <c r="A2311" s="14" t="str">
        <f>IFERROR(__xludf.DUMMYFUNCTION("""COMPUTED_VALUE"""),"P-52033-00")</f>
        <v>P-52033-00</v>
      </c>
      <c r="B2311" s="14" t="str">
        <f>IFERROR(__xludf.DUMMYFUNCTION("""COMPUTED_VALUE"""),"Inverter HVAC Drives FC-102 2,2 kw 380-480 V Danfoss; ; ;")</f>
        <v>Inverter HVAC Drives FC-102 2,2 kw 380-480 V Danfoss; ; ;</v>
      </c>
      <c r="C2311" s="14" t="str">
        <f>IFERROR(__xludf.DUMMYFUNCTION("""COMPUTED_VALUE"""),"P-52033-00")</f>
        <v>P-52033-00</v>
      </c>
    </row>
    <row r="2312">
      <c r="A2312" s="14" t="str">
        <f>IFERROR(__xludf.DUMMYFUNCTION("""COMPUTED_VALUE"""),"P-52054-00")</f>
        <v>P-52054-00</v>
      </c>
      <c r="B2312" s="14" t="str">
        <f>IFERROR(__xludf.DUMMYFUNCTION("""COMPUTED_VALUE"""),"Fan Panel Oval 150x50mm 220 VAC")</f>
        <v>Fan Panel Oval 150x50mm 220 VAC</v>
      </c>
      <c r="C2312" s="14" t="str">
        <f>IFERROR(__xludf.DUMMYFUNCTION("""COMPUTED_VALUE"""),"P-52054-00")</f>
        <v>P-52054-00</v>
      </c>
    </row>
    <row r="2313">
      <c r="A2313" s="14" t="str">
        <f>IFERROR(__xludf.DUMMYFUNCTION("""COMPUTED_VALUE"""),"P-52064-00")</f>
        <v>P-52064-00</v>
      </c>
      <c r="B2313" s="14" t="str">
        <f>IFERROR(__xludf.DUMMYFUNCTION("""COMPUTED_VALUE"""),"SCHINDLER ELEVATOR - PCB SMIC 62.Q")</f>
        <v>SCHINDLER ELEVATOR - PCB SMIC 62.Q</v>
      </c>
      <c r="C2313" s="14" t="str">
        <f>IFERROR(__xludf.DUMMYFUNCTION("""COMPUTED_VALUE"""),"P-52064-00")</f>
        <v>P-52064-00</v>
      </c>
    </row>
    <row r="2314">
      <c r="A2314" s="14" t="str">
        <f>IFERROR(__xludf.DUMMYFUNCTION("""COMPUTED_VALUE"""),"P-52068-00")</f>
        <v>P-52068-00</v>
      </c>
      <c r="B2314" s="14" t="str">
        <f>IFERROR(__xludf.DUMMYFUNCTION("""COMPUTED_VALUE"""),"Regin Pulser Basic SCR Heater Controller 230/400 V 16 A; ; ; unit")</f>
        <v>Regin Pulser Basic SCR Heater Controller 230/400 V 16 A; ; ; unit</v>
      </c>
      <c r="C2314" s="14" t="str">
        <f>IFERROR(__xludf.DUMMYFUNCTION("""COMPUTED_VALUE"""),"P-52068-00")</f>
        <v>P-52068-00</v>
      </c>
    </row>
    <row r="2315">
      <c r="A2315" s="14" t="str">
        <f>IFERROR(__xludf.DUMMYFUNCTION("""COMPUTED_VALUE"""),"P-52069-00")</f>
        <v>P-52069-00</v>
      </c>
      <c r="B2315" s="14" t="str">
        <f>IFERROR(__xludf.DUMMYFUNCTION("""COMPUTED_VALUE"""),"Over Load Schneider LRD08; ; ; pcs")</f>
        <v>Over Load Schneider LRD08; ; ; pcs</v>
      </c>
      <c r="C2315" s="14" t="str">
        <f>IFERROR(__xludf.DUMMYFUNCTION("""COMPUTED_VALUE"""),"P-52069-00")</f>
        <v>P-52069-00</v>
      </c>
    </row>
    <row r="2316">
      <c r="A2316" s="14" t="str">
        <f>IFERROR(__xludf.DUMMYFUNCTION("""COMPUTED_VALUE"""),"P-52079-00")</f>
        <v>P-52079-00</v>
      </c>
      <c r="B2316" s="14" t="str">
        <f>IFERROR(__xludf.DUMMYFUNCTION("""COMPUTED_VALUE"""),"Temperature Tranducer For Flow Meter Ultrasonic SHM")</f>
        <v>Temperature Tranducer For Flow Meter Ultrasonic SHM</v>
      </c>
      <c r="C2316" s="14" t="str">
        <f>IFERROR(__xludf.DUMMYFUNCTION("""COMPUTED_VALUE"""),"P-52079-00")</f>
        <v>P-52079-00</v>
      </c>
    </row>
    <row r="2317">
      <c r="A2317" s="14" t="str">
        <f>IFERROR(__xludf.DUMMYFUNCTION("""COMPUTED_VALUE"""),"P-52080-00")</f>
        <v>P-52080-00</v>
      </c>
      <c r="B2317" s="14" t="str">
        <f>IFERROR(__xludf.DUMMYFUNCTION("""COMPUTED_VALUE"""),"USB Adapter Wifi Wireless TP LINK WN725N")</f>
        <v>USB Adapter Wifi Wireless TP LINK WN725N</v>
      </c>
      <c r="C2317" s="14" t="str">
        <f>IFERROR(__xludf.DUMMYFUNCTION("""COMPUTED_VALUE"""),"P-52080-00")</f>
        <v>P-52080-00</v>
      </c>
    </row>
    <row r="2318">
      <c r="A2318" s="14" t="str">
        <f>IFERROR(__xludf.DUMMYFUNCTION("""COMPUTED_VALUE"""),"P-52081-00")</f>
        <v>P-52081-00</v>
      </c>
      <c r="B2318" s="14" t="str">
        <f>IFERROR(__xludf.DUMMYFUNCTION("""COMPUTED_VALUE"""),"Reed Switch Magnetical")</f>
        <v>Reed Switch Magnetical</v>
      </c>
      <c r="C2318" s="14" t="str">
        <f>IFERROR(__xludf.DUMMYFUNCTION("""COMPUTED_VALUE"""),"P-52081-00")</f>
        <v>P-52081-00</v>
      </c>
    </row>
    <row r="2319">
      <c r="A2319" s="14" t="str">
        <f>IFERROR(__xludf.DUMMYFUNCTION("""COMPUTED_VALUE"""),"P-52082-00")</f>
        <v>P-52082-00</v>
      </c>
      <c r="B2319" s="14" t="str">
        <f>IFERROR(__xludf.DUMMYFUNCTION("""COMPUTED_VALUE"""),"Watt Meter (Pengukur Voltage,KWH dan Tegangan Arus Daya Listrik); ; ;")</f>
        <v>Watt Meter (Pengukur Voltage,KWH dan Tegangan Arus Daya Listrik); ; ;</v>
      </c>
      <c r="C2319" s="14" t="str">
        <f>IFERROR(__xludf.DUMMYFUNCTION("""COMPUTED_VALUE"""),"P-52082-00")</f>
        <v>P-52082-00</v>
      </c>
    </row>
    <row r="2320">
      <c r="A2320" s="14" t="str">
        <f>IFERROR(__xludf.DUMMYFUNCTION("""COMPUTED_VALUE"""),"P-52083-00")</f>
        <v>P-52083-00</v>
      </c>
      <c r="B2320" s="14" t="str">
        <f>IFERROR(__xludf.DUMMYFUNCTION("""COMPUTED_VALUE"""),"Kabel LeadProbe Multitester Universal")</f>
        <v>Kabel LeadProbe Multitester Universal</v>
      </c>
      <c r="C2320" s="14" t="str">
        <f>IFERROR(__xludf.DUMMYFUNCTION("""COMPUTED_VALUE"""),"P-52083-00")</f>
        <v>P-52083-00</v>
      </c>
    </row>
    <row r="2321">
      <c r="A2321" s="14" t="str">
        <f>IFERROR(__xludf.DUMMYFUNCTION("""COMPUTED_VALUE"""),"P-52084-00")</f>
        <v>P-52084-00</v>
      </c>
      <c r="B2321" s="14" t="str">
        <f>IFERROR(__xludf.DUMMYFUNCTION("""COMPUTED_VALUE"""),"Speaker Soundbar Mini Sonigrear")</f>
        <v>Speaker Soundbar Mini Sonigrear</v>
      </c>
      <c r="C2321" s="14" t="str">
        <f>IFERROR(__xludf.DUMMYFUNCTION("""COMPUTED_VALUE"""),"P-52084-00")</f>
        <v>P-52084-00</v>
      </c>
    </row>
    <row r="2322">
      <c r="A2322" s="14" t="str">
        <f>IFERROR(__xludf.DUMMYFUNCTION("""COMPUTED_VALUE"""),"P-52110-00")</f>
        <v>P-52110-00</v>
      </c>
      <c r="B2322" s="14" t="str">
        <f>IFERROR(__xludf.DUMMYFUNCTION("""COMPUTED_VALUE"""),"General - Capacitor, 5 uF, 500 V, 50/60 Hz; No Brand; -; 1 pcs")</f>
        <v>General - Capacitor, 5 uF, 500 V, 50/60 Hz; No Brand; -; 1 pcs</v>
      </c>
      <c r="C2322" s="14" t="str">
        <f>IFERROR(__xludf.DUMMYFUNCTION("""COMPUTED_VALUE"""),"P-52110-00")</f>
        <v>P-52110-00</v>
      </c>
    </row>
    <row r="2323">
      <c r="A2323" s="14" t="str">
        <f>IFERROR(__xludf.DUMMYFUNCTION("""COMPUTED_VALUE"""),"P-52119-00")</f>
        <v>P-52119-00</v>
      </c>
      <c r="B2323" s="14" t="str">
        <f>IFERROR(__xludf.DUMMYFUNCTION("""COMPUTED_VALUE"""),"General - Accu 6FM40, Baterai Kering, 12 V, 40 Ah; Vision; -; 1 pcs")</f>
        <v>General - Accu 6FM40, Baterai Kering, 12 V, 40 Ah; Vision; -; 1 pcs</v>
      </c>
      <c r="C2323" s="14" t="str">
        <f>IFERROR(__xludf.DUMMYFUNCTION("""COMPUTED_VALUE"""),"P-52119-00")</f>
        <v>P-52119-00</v>
      </c>
    </row>
    <row r="2324">
      <c r="A2324" s="14" t="str">
        <f>IFERROR(__xludf.DUMMYFUNCTION("""COMPUTED_VALUE"""),"P-52123-00")</f>
        <v>P-52123-00</v>
      </c>
      <c r="B2324" s="14" t="str">
        <f>IFERROR(__xludf.DUMMYFUNCTION("""COMPUTED_VALUE"""),"Selenoid Valve 2 Way , 24VDC, 1/8 inch; EMC; ;")</f>
        <v>Selenoid Valve 2 Way , 24VDC, 1/8 inch; EMC; ;</v>
      </c>
      <c r="C2324" s="14" t="str">
        <f>IFERROR(__xludf.DUMMYFUNCTION("""COMPUTED_VALUE"""),"P-52123-00")</f>
        <v>P-52123-00</v>
      </c>
    </row>
    <row r="2325">
      <c r="A2325" s="14" t="str">
        <f>IFERROR(__xludf.DUMMYFUNCTION("""COMPUTED_VALUE"""),"P-52160-00")</f>
        <v>P-52160-00</v>
      </c>
      <c r="B2325" s="14" t="str">
        <f>IFERROR(__xludf.DUMMYFUNCTION("""COMPUTED_VALUE"""),"Valve Actuator 1000N Stroke 20mm Siemens Type : SKD60")</f>
        <v>Valve Actuator 1000N Stroke 20mm Siemens Type : SKD60</v>
      </c>
      <c r="C2325" s="14" t="str">
        <f>IFERROR(__xludf.DUMMYFUNCTION("""COMPUTED_VALUE"""),"P-52160-00")</f>
        <v>P-52160-00</v>
      </c>
    </row>
    <row r="2326">
      <c r="A2326" s="14" t="str">
        <f>IFERROR(__xludf.DUMMYFUNCTION("""COMPUTED_VALUE"""),"P-52193-00")</f>
        <v>P-52193-00</v>
      </c>
      <c r="B2326" s="14" t="str">
        <f>IFERROR(__xludf.DUMMYFUNCTION("""COMPUTED_VALUE"""),"Lampu UV 8 Watt; ; ;")</f>
        <v>Lampu UV 8 Watt; ; ;</v>
      </c>
      <c r="C2326" s="14" t="str">
        <f>IFERROR(__xludf.DUMMYFUNCTION("""COMPUTED_VALUE"""),"P-52193-00")</f>
        <v>P-52193-00</v>
      </c>
    </row>
    <row r="2327">
      <c r="A2327" s="14" t="str">
        <f>IFERROR(__xludf.DUMMYFUNCTION("""COMPUTED_VALUE"""),"P-52202-00")</f>
        <v>P-52202-00</v>
      </c>
      <c r="B2327" s="14" t="str">
        <f>IFERROR(__xludf.DUMMYFUNCTION("""COMPUTED_VALUE"""),"Lampu TL5 21W/865 Philips")</f>
        <v>Lampu TL5 21W/865 Philips</v>
      </c>
      <c r="C2327" s="14" t="str">
        <f>IFERROR(__xludf.DUMMYFUNCTION("""COMPUTED_VALUE"""),"P-52202-00")</f>
        <v>P-52202-00</v>
      </c>
    </row>
    <row r="2328">
      <c r="A2328" s="14" t="str">
        <f>IFERROR(__xludf.DUMMYFUNCTION("""COMPUTED_VALUE"""),"P-52208-00")</f>
        <v>P-52208-00</v>
      </c>
      <c r="B2328" s="14" t="str">
        <f>IFERROR(__xludf.DUMMYFUNCTION("""COMPUTED_VALUE"""),"Solid State Relay SSR-150A 480VAC 3-32Vdc MaxWell")</f>
        <v>Solid State Relay SSR-150A 480VAC 3-32Vdc MaxWell</v>
      </c>
      <c r="C2328" s="14" t="str">
        <f>IFERROR(__xludf.DUMMYFUNCTION("""COMPUTED_VALUE"""),"P-52208-00")</f>
        <v>P-52208-00</v>
      </c>
    </row>
    <row r="2329">
      <c r="A2329" s="14" t="str">
        <f>IFERROR(__xludf.DUMMYFUNCTION("""COMPUTED_VALUE"""),"P-52214-00")</f>
        <v>P-52214-00</v>
      </c>
      <c r="B2329" s="14" t="str">
        <f>IFERROR(__xludf.DUMMYFUNCTION("""COMPUTED_VALUE"""),"Thermocouple Type PT100 dia. 6x1200mm")</f>
        <v>Thermocouple Type PT100 dia. 6x1200mm</v>
      </c>
      <c r="C2329" s="14" t="str">
        <f>IFERROR(__xludf.DUMMYFUNCTION("""COMPUTED_VALUE"""),"P-52214-00")</f>
        <v>P-52214-00</v>
      </c>
    </row>
    <row r="2330">
      <c r="A2330" s="14" t="str">
        <f>IFERROR(__xludf.DUMMYFUNCTION("""COMPUTED_VALUE"""),"P-52228-00")</f>
        <v>P-52228-00</v>
      </c>
      <c r="B2330" s="14" t="str">
        <f>IFERROR(__xludf.DUMMYFUNCTION("""COMPUTED_VALUE"""),"General - Inline Duct Fan 6""; CKE; CDI-150; 1 pcs")</f>
        <v>General - Inline Duct Fan 6"; CKE; CDI-150; 1 pcs</v>
      </c>
      <c r="C2330" s="14" t="str">
        <f>IFERROR(__xludf.DUMMYFUNCTION("""COMPUTED_VALUE"""),"P-52228-00")</f>
        <v>P-52228-00</v>
      </c>
    </row>
    <row r="2331">
      <c r="A2331" s="14" t="str">
        <f>IFERROR(__xludf.DUMMYFUNCTION("""COMPUTED_VALUE"""),"P-52229-00")</f>
        <v>P-52229-00</v>
      </c>
      <c r="B2331" s="14" t="str">
        <f>IFERROR(__xludf.DUMMYFUNCTION("""COMPUTED_VALUE"""),"Flow Sensor S401 Insertion Type Flow Sensor,220 mm; SUTO; ;")</f>
        <v>Flow Sensor S401 Insertion Type Flow Sensor,220 mm; SUTO; ;</v>
      </c>
      <c r="C2331" s="14" t="str">
        <f>IFERROR(__xludf.DUMMYFUNCTION("""COMPUTED_VALUE"""),"P-52229-00")</f>
        <v>P-52229-00</v>
      </c>
    </row>
    <row r="2332">
      <c r="A2332" s="14" t="str">
        <f>IFERROR(__xludf.DUMMYFUNCTION("""COMPUTED_VALUE"""),"P-52242-00")</f>
        <v>P-52242-00</v>
      </c>
      <c r="B2332" s="14" t="str">
        <f>IFERROR(__xludf.DUMMYFUNCTION("""COMPUTED_VALUE"""),"Inverter FC202 Aqua Drives 5.5KW 3x380 VAC Danfoss")</f>
        <v>Inverter FC202 Aqua Drives 5.5KW 3x380 VAC Danfoss</v>
      </c>
      <c r="C2332" s="14" t="str">
        <f>IFERROR(__xludf.DUMMYFUNCTION("""COMPUTED_VALUE"""),"P-52242-00")</f>
        <v>P-52242-00</v>
      </c>
    </row>
    <row r="2333">
      <c r="A2333" s="14" t="str">
        <f>IFERROR(__xludf.DUMMYFUNCTION("""COMPUTED_VALUE"""),"P-52254-00")</f>
        <v>P-52254-00</v>
      </c>
      <c r="B2333" s="14" t="str">
        <f>IFERROR(__xludf.DUMMYFUNCTION("""COMPUTED_VALUE"""),"General - Capacitor, 40 mF, 400/450 VAC; No Brand; -; 1 pcs")</f>
        <v>General - Capacitor, 40 mF, 400/450 VAC; No Brand; -; 1 pcs</v>
      </c>
      <c r="C2333" s="14" t="str">
        <f>IFERROR(__xludf.DUMMYFUNCTION("""COMPUTED_VALUE"""),"P-52254-00")</f>
        <v>P-52254-00</v>
      </c>
    </row>
    <row r="2334">
      <c r="A2334" s="14" t="str">
        <f>IFERROR(__xludf.DUMMYFUNCTION("""COMPUTED_VALUE"""),"P-52265-00")</f>
        <v>P-52265-00</v>
      </c>
      <c r="B2334" s="14" t="str">
        <f>IFERROR(__xludf.DUMMYFUNCTION("""COMPUTED_VALUE"""),"Flow Switch Model FS-1 Screw NPT 1 Inch Wingel")</f>
        <v>Flow Switch Model FS-1 Screw NPT 1 Inch Wingel</v>
      </c>
      <c r="C2334" s="14" t="str">
        <f>IFERROR(__xludf.DUMMYFUNCTION("""COMPUTED_VALUE"""),"P-52265-00")</f>
        <v>P-52265-00</v>
      </c>
    </row>
    <row r="2335">
      <c r="A2335" s="14" t="str">
        <f>IFERROR(__xludf.DUMMYFUNCTION("""COMPUTED_VALUE"""),"P-52267-00")</f>
        <v>P-52267-00</v>
      </c>
      <c r="B2335" s="14" t="str">
        <f>IFERROR(__xludf.DUMMYFUNCTION("""COMPUTED_VALUE"""),"Exhaust Fan NVF-BC1030 220-240V 30W Max Flow: 300CMH NICOTRA")</f>
        <v>Exhaust Fan NVF-BC1030 220-240V 30W Max Flow: 300CMH NICOTRA</v>
      </c>
      <c r="C2335" s="14" t="str">
        <f>IFERROR(__xludf.DUMMYFUNCTION("""COMPUTED_VALUE"""),"P-52267-00")</f>
        <v>P-52267-00</v>
      </c>
    </row>
    <row r="2336">
      <c r="A2336" s="14" t="str">
        <f>IFERROR(__xludf.DUMMYFUNCTION("""COMPUTED_VALUE"""),"P-52278-00")</f>
        <v>P-52278-00</v>
      </c>
      <c r="B2336" s="14" t="str">
        <f>IFERROR(__xludf.DUMMYFUNCTION("""COMPUTED_VALUE"""),"Capacitor 50F 250VAC 25A 5% Screw (KMT) P/N : 6R 01502010; ; ;")</f>
        <v>Capacitor 50F 250VAC 25A 5% Screw (KMT) P/N : 6R 01502010; ; ;</v>
      </c>
      <c r="C2336" s="14" t="str">
        <f>IFERROR(__xludf.DUMMYFUNCTION("""COMPUTED_VALUE"""),"P-52278-00")</f>
        <v>P-52278-00</v>
      </c>
    </row>
    <row r="2337">
      <c r="A2337" s="14" t="str">
        <f>IFERROR(__xludf.DUMMYFUNCTION("""COMPUTED_VALUE"""),"P-52328-00")</f>
        <v>P-52328-00</v>
      </c>
      <c r="B2337" s="14" t="str">
        <f>IFERROR(__xludf.DUMMYFUNCTION("""COMPUTED_VALUE"""),"Fan Panel 9x9x2 CM 12VDC + Adaptor; ; ;")</f>
        <v>Fan Panel 9x9x2 CM 12VDC + Adaptor; ; ;</v>
      </c>
      <c r="C2337" s="14" t="str">
        <f>IFERROR(__xludf.DUMMYFUNCTION("""COMPUTED_VALUE"""),"P-52328-00")</f>
        <v>P-52328-00</v>
      </c>
    </row>
    <row r="2338">
      <c r="A2338" s="14" t="str">
        <f>IFERROR(__xludf.DUMMYFUNCTION("""COMPUTED_VALUE"""),"P-52336-00")</f>
        <v>P-52336-00</v>
      </c>
      <c r="B2338" s="14" t="str">
        <f>IFERROR(__xludf.DUMMYFUNCTION("""COMPUTED_VALUE"""),"Saklar Lampu Sensor Gerak Motion Detector Plafon; ; ;")</f>
        <v>Saklar Lampu Sensor Gerak Motion Detector Plafon; ; ;</v>
      </c>
      <c r="C2338" s="14" t="str">
        <f>IFERROR(__xludf.DUMMYFUNCTION("""COMPUTED_VALUE"""),"P-52336-00")</f>
        <v>P-52336-00</v>
      </c>
    </row>
    <row r="2339">
      <c r="A2339" s="14" t="str">
        <f>IFERROR(__xludf.DUMMYFUNCTION("""COMPUTED_VALUE"""),"P-52359-00")</f>
        <v>P-52359-00</v>
      </c>
      <c r="B2339" s="14" t="str">
        <f>IFERROR(__xludf.DUMMYFUNCTION("""COMPUTED_VALUE"""),"PH Controller Industrial ORP Meter Monitor Digital")</f>
        <v>PH Controller Industrial ORP Meter Monitor Digital</v>
      </c>
      <c r="C2339" s="14" t="str">
        <f>IFERROR(__xludf.DUMMYFUNCTION("""COMPUTED_VALUE"""),"P-52359-00")</f>
        <v>P-52359-00</v>
      </c>
    </row>
    <row r="2340">
      <c r="A2340" s="14" t="str">
        <f>IFERROR(__xludf.DUMMYFUNCTION("""COMPUTED_VALUE"""),"P-52369-00")</f>
        <v>P-52369-00</v>
      </c>
      <c r="B2340" s="14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4" t="str">
        <f>IFERROR(__xludf.DUMMYFUNCTION("""COMPUTED_VALUE"""),"P-52369-00")</f>
        <v>P-52369-00</v>
      </c>
    </row>
    <row r="2341">
      <c r="A2341" s="14" t="str">
        <f>IFERROR(__xludf.DUMMYFUNCTION("""COMPUTED_VALUE"""),"P-52374-00")</f>
        <v>P-52374-00</v>
      </c>
      <c r="B2341" s="14" t="str">
        <f>IFERROR(__xludf.DUMMYFUNCTION("""COMPUTED_VALUE"""),"SCHNEIDER - MCB 4A 2Phase")</f>
        <v>SCHNEIDER - MCB 4A 2Phase</v>
      </c>
      <c r="C2341" s="14" t="str">
        <f>IFERROR(__xludf.DUMMYFUNCTION("""COMPUTED_VALUE"""),"P-52374-00")</f>
        <v>P-52374-00</v>
      </c>
    </row>
    <row r="2342">
      <c r="A2342" s="14" t="str">
        <f>IFERROR(__xludf.DUMMYFUNCTION("""COMPUTED_VALUE"""),"P-52375-00")</f>
        <v>P-52375-00</v>
      </c>
      <c r="B2342" s="14" t="str">
        <f>IFERROR(__xludf.DUMMYFUNCTION("""COMPUTED_VALUE"""),"SCHNEIDER - MCB 4A 1Phase; ; ;")</f>
        <v>SCHNEIDER - MCB 4A 1Phase; ; ;</v>
      </c>
      <c r="C2342" s="14" t="str">
        <f>IFERROR(__xludf.DUMMYFUNCTION("""COMPUTED_VALUE"""),"P-52375-00")</f>
        <v>P-52375-00</v>
      </c>
    </row>
    <row r="2343">
      <c r="A2343" s="14" t="str">
        <f>IFERROR(__xludf.DUMMYFUNCTION("""COMPUTED_VALUE"""),"P-52379-00")</f>
        <v>P-52379-00</v>
      </c>
      <c r="B2343" s="14" t="str">
        <f>IFERROR(__xludf.DUMMYFUNCTION("""COMPUTED_VALUE"""),"Selenoid Valve DS2120-5G-01 1/8inch 24VDC TPC")</f>
        <v>Selenoid Valve DS2120-5G-01 1/8inch 24VDC TPC</v>
      </c>
      <c r="C2343" s="14" t="str">
        <f>IFERROR(__xludf.DUMMYFUNCTION("""COMPUTED_VALUE"""),"P-52379-00")</f>
        <v>P-52379-00</v>
      </c>
    </row>
    <row r="2344">
      <c r="A2344" s="14" t="str">
        <f>IFERROR(__xludf.DUMMYFUNCTION("""COMPUTED_VALUE"""),"P-52380-00")</f>
        <v>P-52380-00</v>
      </c>
      <c r="B2344" s="14" t="str">
        <f>IFERROR(__xludf.DUMMYFUNCTION("""COMPUTED_VALUE"""),"Adaptor AC Universal Power Supply 12VDC s/d 24VDC; ; ;")</f>
        <v>Adaptor AC Universal Power Supply 12VDC s/d 24VDC; ; ;</v>
      </c>
      <c r="C2344" s="14" t="str">
        <f>IFERROR(__xludf.DUMMYFUNCTION("""COMPUTED_VALUE"""),"P-52380-00")</f>
        <v>P-52380-00</v>
      </c>
    </row>
    <row r="2345">
      <c r="A2345" s="14" t="str">
        <f>IFERROR(__xludf.DUMMYFUNCTION("""COMPUTED_VALUE"""),"P-52388-00")</f>
        <v>P-52388-00</v>
      </c>
      <c r="B2345" s="14" t="str">
        <f>IFERROR(__xludf.DUMMYFUNCTION("""COMPUTED_VALUE"""),"Camera Endoscope Wifi Wireles Android Kabel 5M")</f>
        <v>Camera Endoscope Wifi Wireles Android Kabel 5M</v>
      </c>
      <c r="C2345" s="14" t="str">
        <f>IFERROR(__xludf.DUMMYFUNCTION("""COMPUTED_VALUE"""),"P-52388-00")</f>
        <v>P-52388-00</v>
      </c>
    </row>
    <row r="2346">
      <c r="A2346" s="14" t="str">
        <f>IFERROR(__xludf.DUMMYFUNCTION("""COMPUTED_VALUE"""),"P-52420-00")</f>
        <v>P-52420-00</v>
      </c>
      <c r="B2346" s="14" t="str">
        <f>IFERROR(__xludf.DUMMYFUNCTION("""COMPUTED_VALUE"""),"General - Ceiling Exhaust Fan; KDK; FV-25TGU5; 1 Pc")</f>
        <v>General - Ceiling Exhaust Fan; KDK; FV-25TGU5; 1 Pc</v>
      </c>
      <c r="C2346" s="14" t="str">
        <f>IFERROR(__xludf.DUMMYFUNCTION("""COMPUTED_VALUE"""),"P-52420-00")</f>
        <v>P-52420-00</v>
      </c>
    </row>
    <row r="2347">
      <c r="A2347" s="14" t="str">
        <f>IFERROR(__xludf.DUMMYFUNCTION("""COMPUTED_VALUE"""),"P-52421-00")</f>
        <v>P-52421-00</v>
      </c>
      <c r="B2347" s="14" t="str">
        <f>IFERROR(__xludf.DUMMYFUNCTION("""COMPUTED_VALUE"""),"Heater Cold Storage Door 4 mtr 300 Watt 220V")</f>
        <v>Heater Cold Storage Door 4 mtr 300 Watt 220V</v>
      </c>
      <c r="C2347" s="14" t="str">
        <f>IFERROR(__xludf.DUMMYFUNCTION("""COMPUTED_VALUE"""),"P-52421-00")</f>
        <v>P-52421-00</v>
      </c>
    </row>
    <row r="2348">
      <c r="A2348" s="14" t="str">
        <f>IFERROR(__xludf.DUMMYFUNCTION("""COMPUTED_VALUE"""),"P-52422-00")</f>
        <v>P-52422-00</v>
      </c>
      <c r="B2348" s="14" t="str">
        <f>IFERROR(__xludf.DUMMYFUNCTION("""COMPUTED_VALUE"""),"Thermostat 0 - 100 derajat C")</f>
        <v>Thermostat 0 - 100 derajat C</v>
      </c>
      <c r="C2348" s="14" t="str">
        <f>IFERROR(__xludf.DUMMYFUNCTION("""COMPUTED_VALUE"""),"P-52422-00")</f>
        <v>P-52422-00</v>
      </c>
    </row>
    <row r="2349">
      <c r="A2349" s="14" t="str">
        <f>IFERROR(__xludf.DUMMYFUNCTION("""COMPUTED_VALUE"""),"P-52436-00")</f>
        <v>P-52436-00</v>
      </c>
      <c r="B2349" s="14" t="str">
        <f>IFERROR(__xludf.DUMMYFUNCTION("""COMPUTED_VALUE"""),"General - Kabel NYYHY 4 x 1.5mm; SUPREME; -; 1 meter")</f>
        <v>General - Kabel NYYHY 4 x 1.5mm; SUPREME; -; 1 meter</v>
      </c>
      <c r="C2349" s="14" t="str">
        <f>IFERROR(__xludf.DUMMYFUNCTION("""COMPUTED_VALUE"""),"P-52436-00")</f>
        <v>P-52436-00</v>
      </c>
    </row>
    <row r="2350">
      <c r="A2350" s="14" t="str">
        <f>IFERROR(__xludf.DUMMYFUNCTION("""COMPUTED_VALUE"""),"P-52477-00")</f>
        <v>P-52477-00</v>
      </c>
      <c r="B2350" s="14" t="str">
        <f>IFERROR(__xludf.DUMMYFUNCTION("""COMPUTED_VALUE"""),"Battery Walkie Talkie Motorola Type IXNN4002B, 4.8V 600 mAh; ; ;")</f>
        <v>Battery Walkie Talkie Motorola Type IXNN4002B, 4.8V 600 mAh; ; ;</v>
      </c>
      <c r="C2350" s="14" t="str">
        <f>IFERROR(__xludf.DUMMYFUNCTION("""COMPUTED_VALUE"""),"P-52477-00")</f>
        <v>P-52477-00</v>
      </c>
    </row>
    <row r="2351">
      <c r="A2351" s="14" t="str">
        <f>IFERROR(__xludf.DUMMYFUNCTION("""COMPUTED_VALUE"""),"P-52488-00")</f>
        <v>P-52488-00</v>
      </c>
      <c r="B2351" s="14" t="str">
        <f>IFERROR(__xludf.DUMMYFUNCTION("""COMPUTED_VALUE"""),"Clean Phone Room SHP")</f>
        <v>Clean Phone Room SHP</v>
      </c>
      <c r="C2351" s="14" t="str">
        <f>IFERROR(__xludf.DUMMYFUNCTION("""COMPUTED_VALUE"""),"P-52488-00")</f>
        <v>P-52488-00</v>
      </c>
    </row>
    <row r="2352">
      <c r="A2352" s="14" t="str">
        <f>IFERROR(__xludf.DUMMYFUNCTION("""COMPUTED_VALUE"""),"P-52489-00")</f>
        <v>P-52489-00</v>
      </c>
      <c r="B2352" s="14" t="str">
        <f>IFERROR(__xludf.DUMMYFUNCTION("""COMPUTED_VALUE"""),"Converter Cleanphone Phone; Yeastar; ;")</f>
        <v>Converter Cleanphone Phone; Yeastar; ;</v>
      </c>
      <c r="C2352" s="14" t="str">
        <f>IFERROR(__xludf.DUMMYFUNCTION("""COMPUTED_VALUE"""),"P-52489-00")</f>
        <v>P-52489-00</v>
      </c>
    </row>
    <row r="2353">
      <c r="A2353" s="14" t="str">
        <f>IFERROR(__xludf.DUMMYFUNCTION("""COMPUTED_VALUE"""),"P-52501-00")</f>
        <v>P-52501-00</v>
      </c>
      <c r="B2353" s="14" t="str">
        <f>IFERROR(__xludf.DUMMYFUNCTION("""COMPUTED_VALUE"""),"OMRON - TIMER H3CR- A8 220 VAC; ; ;")</f>
        <v>OMRON - TIMER H3CR- A8 220 VAC; ; ;</v>
      </c>
      <c r="C2353" s="14" t="str">
        <f>IFERROR(__xludf.DUMMYFUNCTION("""COMPUTED_VALUE"""),"P-52501-00")</f>
        <v>P-52501-00</v>
      </c>
    </row>
    <row r="2354">
      <c r="A2354" s="14" t="str">
        <f>IFERROR(__xludf.DUMMYFUNCTION("""COMPUTED_VALUE"""),"P-52513-00")</f>
        <v>P-52513-00</v>
      </c>
      <c r="B2354" s="14" t="str">
        <f>IFERROR(__xludf.DUMMYFUNCTION("""COMPUTED_VALUE"""),"General - Emergency Stop 22mm; IDEC; -; 1 pc")</f>
        <v>General - Emergency Stop 22mm; IDEC; -; 1 pc</v>
      </c>
      <c r="C2354" s="14" t="str">
        <f>IFERROR(__xludf.DUMMYFUNCTION("""COMPUTED_VALUE"""),"P-52513-00")</f>
        <v>P-52513-00</v>
      </c>
    </row>
    <row r="2355">
      <c r="A2355" s="14" t="str">
        <f>IFERROR(__xludf.DUMMYFUNCTION("""COMPUTED_VALUE"""),"P-52514-00")</f>
        <v>P-52514-00</v>
      </c>
      <c r="B2355" s="14" t="str">
        <f>IFERROR(__xludf.DUMMYFUNCTION("""COMPUTED_VALUE"""),"Flow Transmitter Type 8025 (Remote/Panel Version); Burkert; ;")</f>
        <v>Flow Transmitter Type 8025 (Remote/Panel Version); Burkert; ;</v>
      </c>
      <c r="C2355" s="14" t="str">
        <f>IFERROR(__xludf.DUMMYFUNCTION("""COMPUTED_VALUE"""),"P-52514-00")</f>
        <v>P-52514-00</v>
      </c>
    </row>
    <row r="2356">
      <c r="A2356" s="14" t="str">
        <f>IFERROR(__xludf.DUMMYFUNCTION("""COMPUTED_VALUE"""),"P-52515-00")</f>
        <v>P-52515-00</v>
      </c>
      <c r="B2356" s="14" t="str">
        <f>IFERROR(__xludf.DUMMYFUNCTION("""COMPUTED_VALUE"""),"Flow Sensor Type SE30-HT (High Temperature Version); Burkert; ;")</f>
        <v>Flow Sensor Type SE30-HT (High Temperature Version); Burkert; ;</v>
      </c>
      <c r="C2356" s="14" t="str">
        <f>IFERROR(__xludf.DUMMYFUNCTION("""COMPUTED_VALUE"""),"P-52515-00")</f>
        <v>P-52515-00</v>
      </c>
    </row>
    <row r="2357">
      <c r="A2357" s="14" t="str">
        <f>IFERROR(__xludf.DUMMYFUNCTION("""COMPUTED_VALUE"""),"P-52519-00")</f>
        <v>P-52519-00</v>
      </c>
      <c r="B2357" s="14" t="str">
        <f>IFERROR(__xludf.DUMMYFUNCTION("""COMPUTED_VALUE"""),"CAPACITOR 3.5 uF, 450V, 2 kutub; ; ;")</f>
        <v>CAPACITOR 3.5 uF, 450V, 2 kutub; ; ;</v>
      </c>
      <c r="C2357" s="14" t="str">
        <f>IFERROR(__xludf.DUMMYFUNCTION("""COMPUTED_VALUE"""),"P-52519-00")</f>
        <v>P-52519-00</v>
      </c>
    </row>
    <row r="2358">
      <c r="A2358" s="14" t="str">
        <f>IFERROR(__xludf.DUMMYFUNCTION("""COMPUTED_VALUE"""),"P-52529-00")</f>
        <v>P-52529-00</v>
      </c>
      <c r="B2358" s="14" t="str">
        <f>IFERROR(__xludf.DUMMYFUNCTION("""COMPUTED_VALUE"""),"HDMI NSH-35 s/n 1308744 P/n: PWS6A00T-P; ; ;")</f>
        <v>HDMI NSH-35 s/n 1308744 P/n: PWS6A00T-P; ; ;</v>
      </c>
      <c r="C2358" s="14" t="str">
        <f>IFERROR(__xludf.DUMMYFUNCTION("""COMPUTED_VALUE"""),"P-52529-00")</f>
        <v>P-52529-00</v>
      </c>
    </row>
    <row r="2359">
      <c r="A2359" s="14" t="str">
        <f>IFERROR(__xludf.DUMMYFUNCTION("""COMPUTED_VALUE"""),"P-52569-00")</f>
        <v>P-52569-00</v>
      </c>
      <c r="B2359" s="14" t="str">
        <f>IFERROR(__xludf.DUMMYFUNCTION("""COMPUTED_VALUE"""),"Limit Switch LX19-001  250 VAC; ; ;")</f>
        <v>Limit Switch LX19-001  250 VAC; ; ;</v>
      </c>
      <c r="C2359" s="14" t="str">
        <f>IFERROR(__xludf.DUMMYFUNCTION("""COMPUTED_VALUE"""),"P-52569-00")</f>
        <v>P-52569-00</v>
      </c>
    </row>
    <row r="2360">
      <c r="A2360" s="14" t="str">
        <f>IFERROR(__xludf.DUMMYFUNCTION("""COMPUTED_VALUE"""),"P-52579-00")</f>
        <v>P-52579-00</v>
      </c>
      <c r="B2360" s="14" t="str">
        <f>IFERROR(__xludf.DUMMYFUNCTION("""COMPUTED_VALUE"""),"Dosing Pump (Peristaltic Pump) 24 VDC 0-19 ml/min RZ1030-BX; ; ;")</f>
        <v>Dosing Pump (Peristaltic Pump) 24 VDC 0-19 ml/min RZ1030-BX; ; ;</v>
      </c>
      <c r="C2360" s="14" t="str">
        <f>IFERROR(__xludf.DUMMYFUNCTION("""COMPUTED_VALUE"""),"P-52579-00")</f>
        <v>P-52579-00</v>
      </c>
    </row>
    <row r="2361">
      <c r="A2361" s="14" t="str">
        <f>IFERROR(__xludf.DUMMYFUNCTION("""COMPUTED_VALUE"""),"P-52590-00")</f>
        <v>P-52590-00</v>
      </c>
      <c r="B2361" s="14" t="str">
        <f>IFERROR(__xludf.DUMMYFUNCTION("""COMPUTED_VALUE"""),"General - Heater Ducting Dia. 11.2 x 300mm 220V 5000W; No Brand; -; 1 Pc")</f>
        <v>General - Heater Ducting Dia. 11.2 x 300mm 220V 5000W; No Brand; -; 1 Pc</v>
      </c>
      <c r="C2361" s="14" t="str">
        <f>IFERROR(__xludf.DUMMYFUNCTION("""COMPUTED_VALUE"""),"P-52590-00")</f>
        <v>P-52590-00</v>
      </c>
    </row>
    <row r="2362">
      <c r="A2362" s="14" t="str">
        <f>IFERROR(__xludf.DUMMYFUNCTION("""COMPUTED_VALUE"""),"P-52591-00")</f>
        <v>P-52591-00</v>
      </c>
      <c r="B2362" s="14" t="str">
        <f>IFERROR(__xludf.DUMMYFUNCTION("""COMPUTED_VALUE"""),"Relay APF 30324; Panasonic; ;")</f>
        <v>Relay APF 30324; Panasonic; ;</v>
      </c>
      <c r="C2362" s="14" t="str">
        <f>IFERROR(__xludf.DUMMYFUNCTION("""COMPUTED_VALUE"""),"P-52591-00")</f>
        <v>P-52591-00</v>
      </c>
    </row>
    <row r="2363">
      <c r="A2363" s="14" t="str">
        <f>IFERROR(__xludf.DUMMYFUNCTION("""COMPUTED_VALUE"""),"P-52639-00")</f>
        <v>P-52639-00</v>
      </c>
      <c r="B2363" s="14" t="str">
        <f>IFERROR(__xludf.DUMMYFUNCTION("""COMPUTED_VALUE"""),"ELCB 40A 4P; Schneider; ;")</f>
        <v>ELCB 40A 4P; Schneider; ;</v>
      </c>
      <c r="C2363" s="14" t="str">
        <f>IFERROR(__xludf.DUMMYFUNCTION("""COMPUTED_VALUE"""),"P-52639-00")</f>
        <v>P-52639-00</v>
      </c>
    </row>
    <row r="2364">
      <c r="A2364" s="14" t="str">
        <f>IFERROR(__xludf.DUMMYFUNCTION("""COMPUTED_VALUE"""),"P-52640-00")</f>
        <v>P-52640-00</v>
      </c>
      <c r="B2364" s="14" t="str">
        <f>IFERROR(__xludf.DUMMYFUNCTION("""COMPUTED_VALUE"""),"Bola lampu 220 V 5 Watt for Cartoning Machine; ; ;")</f>
        <v>Bola lampu 220 V 5 Watt for Cartoning Machine; ; ;</v>
      </c>
      <c r="C2364" s="14" t="str">
        <f>IFERROR(__xludf.DUMMYFUNCTION("""COMPUTED_VALUE"""),"P-52640-00")</f>
        <v>P-52640-00</v>
      </c>
    </row>
    <row r="2365">
      <c r="A2365" s="14" t="str">
        <f>IFERROR(__xludf.DUMMYFUNCTION("""COMPUTED_VALUE"""),"P-52642-00")</f>
        <v>P-52642-00</v>
      </c>
      <c r="B2365" s="14" t="str">
        <f>IFERROR(__xludf.DUMMYFUNCTION("""COMPUTED_VALUE"""),"General - Kabel NYYHY 2 x 0.75mm; SUPREME; -; 1 meter")</f>
        <v>General - Kabel NYYHY 2 x 0.75mm; SUPREME; -; 1 meter</v>
      </c>
      <c r="C2365" s="14" t="str">
        <f>IFERROR(__xludf.DUMMYFUNCTION("""COMPUTED_VALUE"""),"P-52642-00")</f>
        <v>P-52642-00</v>
      </c>
    </row>
    <row r="2366">
      <c r="A2366" s="14" t="str">
        <f>IFERROR(__xludf.DUMMYFUNCTION("""COMPUTED_VALUE"""),"P-52651-00")</f>
        <v>P-52651-00</v>
      </c>
      <c r="B2366" s="14" t="str">
        <f>IFERROR(__xludf.DUMMYFUNCTION("""COMPUTED_VALUE"""),"Selenoid Valve 1 inch, 220VAC; UNI-D; ;")</f>
        <v>Selenoid Valve 1 inch, 220VAC; UNI-D; ;</v>
      </c>
      <c r="C2366" s="14" t="str">
        <f>IFERROR(__xludf.DUMMYFUNCTION("""COMPUTED_VALUE"""),"P-52651-00")</f>
        <v>P-52651-00</v>
      </c>
    </row>
    <row r="2367">
      <c r="A2367" s="14" t="str">
        <f>IFERROR(__xludf.DUMMYFUNCTION("""COMPUTED_VALUE"""),"P-52662-00")</f>
        <v>P-52662-00</v>
      </c>
      <c r="B2367" s="14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4" t="str">
        <f>IFERROR(__xludf.DUMMYFUNCTION("""COMPUTED_VALUE"""),"P-52662-00")</f>
        <v>P-52662-00</v>
      </c>
    </row>
    <row r="2368">
      <c r="A2368" s="14" t="str">
        <f>IFERROR(__xludf.DUMMYFUNCTION("""COMPUTED_VALUE"""),"P-52663-00")</f>
        <v>P-52663-00</v>
      </c>
      <c r="B2368" s="14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4" t="str">
        <f>IFERROR(__xludf.DUMMYFUNCTION("""COMPUTED_VALUE"""),"P-52663-00")</f>
        <v>P-52663-00</v>
      </c>
    </row>
    <row r="2369">
      <c r="A2369" s="14" t="str">
        <f>IFERROR(__xludf.DUMMYFUNCTION("""COMPUTED_VALUE"""),"P-52664-00")</f>
        <v>P-52664-00</v>
      </c>
      <c r="B2369" s="14" t="str">
        <f>IFERROR(__xludf.DUMMYFUNCTION("""COMPUTED_VALUE"""),"General - Pelampung Air Radar Float Switch 2m; No Brand; -; 1 Pc")</f>
        <v>General - Pelampung Air Radar Float Switch 2m; No Brand; -; 1 Pc</v>
      </c>
      <c r="C2369" s="14" t="str">
        <f>IFERROR(__xludf.DUMMYFUNCTION("""COMPUTED_VALUE"""),"P-52664-00")</f>
        <v>P-52664-00</v>
      </c>
    </row>
    <row r="2370">
      <c r="A2370" s="14" t="str">
        <f>IFERROR(__xludf.DUMMYFUNCTION("""COMPUTED_VALUE"""),"P-52665-00")</f>
        <v>P-52665-00</v>
      </c>
      <c r="B2370" s="14" t="str">
        <f>IFERROR(__xludf.DUMMYFUNCTION("""COMPUTED_VALUE"""),"Buzzer Electronic Siren PW-235; TAB; ;")</f>
        <v>Buzzer Electronic Siren PW-235; TAB; ;</v>
      </c>
      <c r="C2370" s="14" t="str">
        <f>IFERROR(__xludf.DUMMYFUNCTION("""COMPUTED_VALUE"""),"P-52665-00")</f>
        <v>P-52665-00</v>
      </c>
    </row>
    <row r="2371">
      <c r="A2371" s="14" t="str">
        <f>IFERROR(__xludf.DUMMYFUNCTION("""COMPUTED_VALUE"""),"P-52685-00")</f>
        <v>P-52685-00</v>
      </c>
      <c r="B2371" s="14" t="str">
        <f>IFERROR(__xludf.DUMMYFUNCTION("""COMPUTED_VALUE"""),"General - Power Supply 24VDC, 6A; Fort; S-145-24; 1 pc")</f>
        <v>General - Power Supply 24VDC, 6A; Fort; S-145-24; 1 pc</v>
      </c>
      <c r="C2371" s="14" t="str">
        <f>IFERROR(__xludf.DUMMYFUNCTION("""COMPUTED_VALUE"""),"P-52685-00")</f>
        <v>P-52685-00</v>
      </c>
    </row>
    <row r="2372">
      <c r="A2372" s="14" t="str">
        <f>IFERROR(__xludf.DUMMYFUNCTION("""COMPUTED_VALUE"""),"P-52694-00")</f>
        <v>P-52694-00</v>
      </c>
      <c r="B2372" s="14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4" t="str">
        <f>IFERROR(__xludf.DUMMYFUNCTION("""COMPUTED_VALUE"""),"P-52694-00")</f>
        <v>P-52694-00</v>
      </c>
    </row>
    <row r="2373">
      <c r="A2373" s="14" t="str">
        <f>IFERROR(__xludf.DUMMYFUNCTION("""COMPUTED_VALUE"""),"P-52695-00")</f>
        <v>P-52695-00</v>
      </c>
      <c r="B2373" s="14" t="str">
        <f>IFERROR(__xludf.DUMMYFUNCTION("""COMPUTED_VALUE"""),"ORP Electrode Type: 201027/10-22-07-82-120/000; JUMO; ;")</f>
        <v>ORP Electrode Type: 201027/10-22-07-82-120/000; JUMO; ;</v>
      </c>
      <c r="C2373" s="14" t="str">
        <f>IFERROR(__xludf.DUMMYFUNCTION("""COMPUTED_VALUE"""),"P-52695-00")</f>
        <v>P-52695-00</v>
      </c>
    </row>
    <row r="2374">
      <c r="A2374" s="14" t="str">
        <f>IFERROR(__xludf.DUMMYFUNCTION("""COMPUTED_VALUE"""),"P-52696-00")</f>
        <v>P-52696-00</v>
      </c>
      <c r="B2374" s="14" t="str">
        <f>IFERROR(__xludf.DUMMYFUNCTION("""COMPUTED_VALUE"""),"ORP Cable Type: 202990/02; JUMO; ;")</f>
        <v>ORP Cable Type: 202990/02; JUMO; ;</v>
      </c>
      <c r="C2374" s="14" t="str">
        <f>IFERROR(__xludf.DUMMYFUNCTION("""COMPUTED_VALUE"""),"P-52696-00")</f>
        <v>P-52696-00</v>
      </c>
    </row>
    <row r="2375">
      <c r="A2375" s="14" t="str">
        <f>IFERROR(__xludf.DUMMYFUNCTION("""COMPUTED_VALUE"""),"P-52708-00")</f>
        <v>P-52708-00</v>
      </c>
      <c r="B2375" s="14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4" t="str">
        <f>IFERROR(__xludf.DUMMYFUNCTION("""COMPUTED_VALUE"""),"P-52708-00")</f>
        <v>P-52708-00</v>
      </c>
    </row>
    <row r="2376">
      <c r="A2376" s="14" t="str">
        <f>IFERROR(__xludf.DUMMYFUNCTION("""COMPUTED_VALUE"""),"P-52709-00")</f>
        <v>P-52709-00</v>
      </c>
      <c r="B2376" s="14" t="str">
        <f>IFERROR(__xludf.DUMMYFUNCTION("""COMPUTED_VALUE"""),"General - Pressure Transmitter TPS30-G27AR2-00; Autonics; -; 1 pc")</f>
        <v>General - Pressure Transmitter TPS30-G27AR2-00; Autonics; -; 1 pc</v>
      </c>
      <c r="C2376" s="14" t="str">
        <f>IFERROR(__xludf.DUMMYFUNCTION("""COMPUTED_VALUE"""),"P-52709-00")</f>
        <v>P-52709-00</v>
      </c>
    </row>
    <row r="2377">
      <c r="A2377" s="14" t="str">
        <f>IFERROR(__xludf.DUMMYFUNCTION("""COMPUTED_VALUE"""),"P-52710-00")</f>
        <v>P-52710-00</v>
      </c>
      <c r="B2377" s="14" t="str">
        <f>IFERROR(__xludf.DUMMYFUNCTION("""COMPUTED_VALUE"""),"USB Extension Cable Waterproof IP6; ; ;")</f>
        <v>USB Extension Cable Waterproof IP6; ; ;</v>
      </c>
      <c r="C2377" s="14" t="str">
        <f>IFERROR(__xludf.DUMMYFUNCTION("""COMPUTED_VALUE"""),"P-52710-00")</f>
        <v>P-52710-00</v>
      </c>
    </row>
    <row r="2378">
      <c r="A2378" s="14" t="str">
        <f>IFERROR(__xludf.DUMMYFUNCTION("""COMPUTED_VALUE"""),"P-52711-00")</f>
        <v>P-52711-00</v>
      </c>
      <c r="B2378" s="14" t="str">
        <f>IFERROR(__xludf.DUMMYFUNCTION("""COMPUTED_VALUE"""),"General - Accu NS70, Baterai Kering, 12 V, 65 Ah; GS Astra; -; 1 pcs")</f>
        <v>General - Accu NS70, Baterai Kering, 12 V, 65 Ah; GS Astra; -; 1 pcs</v>
      </c>
      <c r="C2378" s="14" t="str">
        <f>IFERROR(__xludf.DUMMYFUNCTION("""COMPUTED_VALUE"""),"P-52711-00")</f>
        <v>P-52711-00</v>
      </c>
    </row>
    <row r="2379">
      <c r="A2379" s="14" t="str">
        <f>IFERROR(__xludf.DUMMYFUNCTION("""COMPUTED_VALUE"""),"P-52713-00")</f>
        <v>P-52713-00</v>
      </c>
      <c r="B2379" s="14" t="str">
        <f>IFERROR(__xludf.DUMMYFUNCTION("""COMPUTED_VALUE"""),"Sensor Ammonia 0-50/500 PPM (200 PPM Standard) Type : 00-1010; ATI; ;")</f>
        <v>Sensor Ammonia 0-50/500 PPM (200 PPM Standard) Type : 00-1010; ATI; ;</v>
      </c>
      <c r="C2379" s="14" t="str">
        <f>IFERROR(__xludf.DUMMYFUNCTION("""COMPUTED_VALUE"""),"P-52713-00")</f>
        <v>P-52713-00</v>
      </c>
    </row>
    <row r="2380">
      <c r="A2380" s="14" t="str">
        <f>IFERROR(__xludf.DUMMYFUNCTION("""COMPUTED_VALUE"""),"P-52731-00")</f>
        <v>P-52731-00</v>
      </c>
      <c r="B2380" s="14" t="str">
        <f>IFERROR(__xludf.DUMMYFUNCTION("""COMPUTED_VALUE"""),"Spliter CN-6100-C2 AUTONICS; ; ;")</f>
        <v>Spliter CN-6100-C2 AUTONICS; ; ;</v>
      </c>
      <c r="C2380" s="14" t="str">
        <f>IFERROR(__xludf.DUMMYFUNCTION("""COMPUTED_VALUE"""),"P-52731-00")</f>
        <v>P-52731-00</v>
      </c>
    </row>
    <row r="2381">
      <c r="A2381" s="14" t="str">
        <f>IFERROR(__xludf.DUMMYFUNCTION("""COMPUTED_VALUE"""),"P-52766-00")</f>
        <v>P-52766-00</v>
      </c>
      <c r="B2381" s="14" t="str">
        <f>IFERROR(__xludf.DUMMYFUNCTION("""COMPUTED_VALUE"""),"Drain Pump AC M1 Merk Value; ; -; 1 pcs")</f>
        <v>Drain Pump AC M1 Merk Value; ; -; 1 pcs</v>
      </c>
      <c r="C2381" s="14" t="str">
        <f>IFERROR(__xludf.DUMMYFUNCTION("""COMPUTED_VALUE"""),"P-52766-00")</f>
        <v>P-52766-00</v>
      </c>
    </row>
    <row r="2382">
      <c r="A2382" s="14" t="str">
        <f>IFERROR(__xludf.DUMMYFUNCTION("""COMPUTED_VALUE"""),"P-52767-00")</f>
        <v>P-52767-00</v>
      </c>
      <c r="B2382" s="14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4" t="str">
        <f>IFERROR(__xludf.DUMMYFUNCTION("""COMPUTED_VALUE"""),"P-52767-00")</f>
        <v>P-52767-00</v>
      </c>
    </row>
    <row r="2383">
      <c r="A2383" s="14" t="str">
        <f>IFERROR(__xludf.DUMMYFUNCTION("""COMPUTED_VALUE"""),"P-52791-00")</f>
        <v>P-52791-00</v>
      </c>
      <c r="B2383" s="14" t="str">
        <f>IFERROR(__xludf.DUMMYFUNCTION("""COMPUTED_VALUE"""),"IC Components LTC2411IMS; ; ;")</f>
        <v>IC Components LTC2411IMS; ; ;</v>
      </c>
      <c r="C2383" s="14" t="str">
        <f>IFERROR(__xludf.DUMMYFUNCTION("""COMPUTED_VALUE"""),"P-52791-00")</f>
        <v>P-52791-00</v>
      </c>
    </row>
    <row r="2384">
      <c r="A2384" s="14" t="str">
        <f>IFERROR(__xludf.DUMMYFUNCTION("""COMPUTED_VALUE"""),"P-52807-00")</f>
        <v>P-52807-00</v>
      </c>
      <c r="B2384" s="14" t="str">
        <f>IFERROR(__xludf.DUMMYFUNCTION("""COMPUTED_VALUE"""),"4"" Inline Hydrophonic Fan 0,04kw 220V; ; ;")</f>
        <v>4" Inline Hydrophonic Fan 0,04kw 220V; ; ;</v>
      </c>
      <c r="C2384" s="14" t="str">
        <f>IFERROR(__xludf.DUMMYFUNCTION("""COMPUTED_VALUE"""),"P-52807-00")</f>
        <v>P-52807-00</v>
      </c>
    </row>
    <row r="2385">
      <c r="A2385" s="14" t="str">
        <f>IFERROR(__xludf.DUMMYFUNCTION("""COMPUTED_VALUE"""),"P-52833-00")</f>
        <v>P-52833-00</v>
      </c>
      <c r="B2385" s="14" t="str">
        <f>IFERROR(__xludf.DUMMYFUNCTION("""COMPUTED_VALUE"""),"MCB Merek Schneider Type : IC60H 25A 3 Phase; ; ;")</f>
        <v>MCB Merek Schneider Type : IC60H 25A 3 Phase; ; ;</v>
      </c>
      <c r="C2385" s="14" t="str">
        <f>IFERROR(__xludf.DUMMYFUNCTION("""COMPUTED_VALUE"""),"P-52833-00")</f>
        <v>P-52833-00</v>
      </c>
    </row>
    <row r="2386">
      <c r="A2386" s="14" t="str">
        <f>IFERROR(__xludf.DUMMYFUNCTION("""COMPUTED_VALUE"""),"P-52844-00")</f>
        <v>P-52844-00</v>
      </c>
      <c r="B2386" s="14" t="str">
        <f>IFERROR(__xludf.DUMMYFUNCTION("""COMPUTED_VALUE"""),"Doshing Pump BT4B Merk Prominent; ; ;")</f>
        <v>Doshing Pump BT4B Merk Prominent; ; ;</v>
      </c>
      <c r="C2386" s="14" t="str">
        <f>IFERROR(__xludf.DUMMYFUNCTION("""COMPUTED_VALUE"""),"P-52844-00")</f>
        <v>P-52844-00</v>
      </c>
    </row>
    <row r="2387">
      <c r="A2387" s="14" t="str">
        <f>IFERROR(__xludf.DUMMYFUNCTION("""COMPUTED_VALUE"""),"P-52854-00")</f>
        <v>P-52854-00</v>
      </c>
      <c r="B2387" s="14" t="str">
        <f>IFERROR(__xludf.DUMMYFUNCTION("""COMPUTED_VALUE"""),"General - Socket RJ45 Cat 6; Belden; -; 50pcs/pack")</f>
        <v>General - Socket RJ45 Cat 6; Belden; -; 50pcs/pack</v>
      </c>
      <c r="C2387" s="14" t="str">
        <f>IFERROR(__xludf.DUMMYFUNCTION("""COMPUTED_VALUE"""),"P-52854-00")</f>
        <v>P-52854-00</v>
      </c>
    </row>
    <row r="2388">
      <c r="A2388" s="14" t="str">
        <f>IFERROR(__xludf.DUMMYFUNCTION("""COMPUTED_VALUE"""),"P-52865-00")</f>
        <v>P-52865-00</v>
      </c>
      <c r="B2388" s="14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4" t="str">
        <f>IFERROR(__xludf.DUMMYFUNCTION("""COMPUTED_VALUE"""),"P-52865-00")</f>
        <v>P-52865-00</v>
      </c>
    </row>
    <row r="2389">
      <c r="A2389" s="14" t="str">
        <f>IFERROR(__xludf.DUMMYFUNCTION("""COMPUTED_VALUE"""),"P-52903-00")</f>
        <v>P-52903-00</v>
      </c>
      <c r="B2389" s="14" t="str">
        <f>IFERROR(__xludf.DUMMYFUNCTION("""COMPUTED_VALUE"""),"Vacuum Pump LiquidRing 1,1kW 1,5HP; ROTOR; CDF 120-0;")</f>
        <v>Vacuum Pump LiquidRing 1,1kW 1,5HP; ROTOR; CDF 120-0;</v>
      </c>
      <c r="C2389" s="14" t="str">
        <f>IFERROR(__xludf.DUMMYFUNCTION("""COMPUTED_VALUE"""),"P-52903-00")</f>
        <v>P-52903-00</v>
      </c>
    </row>
    <row r="2390">
      <c r="A2390" s="14" t="str">
        <f>IFERROR(__xludf.DUMMYFUNCTION("""COMPUTED_VALUE"""),"P-52928-00")</f>
        <v>P-52928-00</v>
      </c>
      <c r="B2390" s="14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4" t="str">
        <f>IFERROR(__xludf.DUMMYFUNCTION("""COMPUTED_VALUE"""),"P-52928-00")</f>
        <v>P-52928-00</v>
      </c>
    </row>
    <row r="2391">
      <c r="A2391" s="14" t="str">
        <f>IFERROR(__xludf.DUMMYFUNCTION("""COMPUTED_VALUE"""),"P-52964-00")</f>
        <v>P-52964-00</v>
      </c>
      <c r="B2391" s="14" t="str">
        <f>IFERROR(__xludf.DUMMYFUNCTION("""COMPUTED_VALUE"""),"Temperatur Control Continuous Sealer FRB-700; MC; TEQD-2301B;")</f>
        <v>Temperatur Control Continuous Sealer FRB-700; MC; TEQD-2301B;</v>
      </c>
      <c r="C2391" s="14" t="str">
        <f>IFERROR(__xludf.DUMMYFUNCTION("""COMPUTED_VALUE"""),"P-52964-00")</f>
        <v>P-52964-00</v>
      </c>
    </row>
    <row r="2392">
      <c r="A2392" s="14" t="str">
        <f>IFERROR(__xludf.DUMMYFUNCTION("""COMPUTED_VALUE"""),"P-52975-00")</f>
        <v>P-52975-00</v>
      </c>
      <c r="B2392" s="14" t="str">
        <f>IFERROR(__xludf.DUMMYFUNCTION("""COMPUTED_VALUE"""),"General - Limit Switch IP65; EWIG; E8108; 1 pc")</f>
        <v>General - Limit Switch IP65; EWIG; E8108; 1 pc</v>
      </c>
      <c r="C2392" s="14" t="str">
        <f>IFERROR(__xludf.DUMMYFUNCTION("""COMPUTED_VALUE"""),"P-52975-00")</f>
        <v>P-52975-00</v>
      </c>
    </row>
    <row r="2393">
      <c r="A2393" s="14" t="str">
        <f>IFERROR(__xludf.DUMMYFUNCTION("""COMPUTED_VALUE"""),"P-52990-00")</f>
        <v>P-52990-00</v>
      </c>
      <c r="B2393" s="14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4" t="str">
        <f>IFERROR(__xludf.DUMMYFUNCTION("""COMPUTED_VALUE"""),"P-52990-00")</f>
        <v>P-52990-00</v>
      </c>
    </row>
    <row r="2394">
      <c r="A2394" s="14" t="str">
        <f>IFERROR(__xludf.DUMMYFUNCTION("""COMPUTED_VALUE"""),"P-52991-00")</f>
        <v>P-52991-00</v>
      </c>
      <c r="B2394" s="14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4" t="str">
        <f>IFERROR(__xludf.DUMMYFUNCTION("""COMPUTED_VALUE"""),"P-52991-00")</f>
        <v>P-52991-00</v>
      </c>
    </row>
    <row r="2395">
      <c r="A2395" s="14" t="str">
        <f>IFERROR(__xludf.DUMMYFUNCTION("""COMPUTED_VALUE"""),"P-52992-00")</f>
        <v>P-52992-00</v>
      </c>
      <c r="B2395" s="14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4" t="str">
        <f>IFERROR(__xludf.DUMMYFUNCTION("""COMPUTED_VALUE"""),"P-52992-00")</f>
        <v>P-52992-00</v>
      </c>
    </row>
    <row r="2396">
      <c r="A2396" s="14" t="str">
        <f>IFERROR(__xludf.DUMMYFUNCTION("""COMPUTED_VALUE"""),"P-52994-00")</f>
        <v>P-52994-00</v>
      </c>
      <c r="B2396" s="14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4" t="str">
        <f>IFERROR(__xludf.DUMMYFUNCTION("""COMPUTED_VALUE"""),"P-52994-00")</f>
        <v>P-52994-00</v>
      </c>
    </row>
    <row r="2397">
      <c r="A2397" s="14" t="str">
        <f>IFERROR(__xludf.DUMMYFUNCTION("""COMPUTED_VALUE"""),"P-52999-00")</f>
        <v>P-52999-00</v>
      </c>
      <c r="B2397" s="14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4" t="str">
        <f>IFERROR(__xludf.DUMMYFUNCTION("""COMPUTED_VALUE"""),"P-52999-00")</f>
        <v>P-52999-00</v>
      </c>
    </row>
    <row r="2398">
      <c r="A2398" s="14" t="str">
        <f>IFERROR(__xludf.DUMMYFUNCTION("""COMPUTED_VALUE"""),"P-53000-00")</f>
        <v>P-53000-00</v>
      </c>
      <c r="B2398" s="14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4" t="str">
        <f>IFERROR(__xludf.DUMMYFUNCTION("""COMPUTED_VALUE"""),"P-53000-00")</f>
        <v>P-53000-00</v>
      </c>
    </row>
    <row r="2399">
      <c r="A2399" s="14" t="str">
        <f>IFERROR(__xludf.DUMMYFUNCTION("""COMPUTED_VALUE"""),"P-53023-00")</f>
        <v>P-53023-00</v>
      </c>
      <c r="B2399" s="14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4" t="str">
        <f>IFERROR(__xludf.DUMMYFUNCTION("""COMPUTED_VALUE"""),"P-53023-00")</f>
        <v>P-53023-00</v>
      </c>
    </row>
    <row r="2400">
      <c r="A2400" s="14" t="str">
        <f>IFERROR(__xludf.DUMMYFUNCTION("""COMPUTED_VALUE"""),"P-53031-00")</f>
        <v>P-53031-00</v>
      </c>
      <c r="B2400" s="14" t="str">
        <f>IFERROR(__xludf.DUMMYFUNCTION("""COMPUTED_VALUE"""),"General - Cooling Fan; Fulltech; UF15AC23-BTH; 1 Pc")</f>
        <v>General - Cooling Fan; Fulltech; UF15AC23-BTH; 1 Pc</v>
      </c>
      <c r="C2400" s="14" t="str">
        <f>IFERROR(__xludf.DUMMYFUNCTION("""COMPUTED_VALUE"""),"P-53031-00")</f>
        <v>P-53031-00</v>
      </c>
    </row>
    <row r="2401">
      <c r="A2401" s="14" t="str">
        <f>IFERROR(__xludf.DUMMYFUNCTION("""COMPUTED_VALUE"""),"P-53050-00")</f>
        <v>P-53050-00</v>
      </c>
      <c r="B2401" s="14" t="str">
        <f>IFERROR(__xludf.DUMMYFUNCTION("""COMPUTED_VALUE"""),"General - Pompa Magnetik 150W 1 phase; Sanso; PMD 1564; 1 Unit")</f>
        <v>General - Pompa Magnetik 150W 1 phase; Sanso; PMD 1564; 1 Unit</v>
      </c>
      <c r="C2401" s="14" t="str">
        <f>IFERROR(__xludf.DUMMYFUNCTION("""COMPUTED_VALUE"""),"P-53050-00")</f>
        <v>P-53050-00</v>
      </c>
    </row>
    <row r="2402">
      <c r="A2402" s="14" t="str">
        <f>IFERROR(__xludf.DUMMYFUNCTION("""COMPUTED_VALUE"""),"P-53051-00")</f>
        <v>P-53051-00</v>
      </c>
      <c r="B2402" s="14" t="str">
        <f>IFERROR(__xludf.DUMMYFUNCTION("""COMPUTED_VALUE"""),"General - Baterai NiCad Emergency TL 6V; Hokistar; BT-006; 1 Pc")</f>
        <v>General - Baterai NiCad Emergency TL 6V; Hokistar; BT-006; 1 Pc</v>
      </c>
      <c r="C2402" s="14" t="str">
        <f>IFERROR(__xludf.DUMMYFUNCTION("""COMPUTED_VALUE"""),"P-53051-00")</f>
        <v>P-53051-00</v>
      </c>
    </row>
    <row r="2403">
      <c r="A2403" s="14" t="str">
        <f>IFERROR(__xludf.DUMMYFUNCTION("""COMPUTED_VALUE"""),"P-53055-00")</f>
        <v>P-53055-00</v>
      </c>
      <c r="B2403" s="14" t="str">
        <f>IFERROR(__xludf.DUMMYFUNCTION("""COMPUTED_VALUE"""),"General - Fuse Keramik Double 160A 690VAC Bussman FEE160")</f>
        <v>General - Fuse Keramik Double 160A 690VAC Bussman FEE160</v>
      </c>
      <c r="C2403" s="14" t="str">
        <f>IFERROR(__xludf.DUMMYFUNCTION("""COMPUTED_VALUE"""),"P-53055-00")</f>
        <v>P-53055-00</v>
      </c>
    </row>
    <row r="2404">
      <c r="A2404" s="14" t="str">
        <f>IFERROR(__xludf.DUMMYFUNCTION("""COMPUTED_VALUE"""),"P-53059-00")</f>
        <v>P-53059-00</v>
      </c>
      <c r="B2404" s="14" t="str">
        <f>IFERROR(__xludf.DUMMYFUNCTION("""COMPUTED_VALUE"""),"General - Mainboard Photometer 2I SN 23425 ATI P/N : 0400170")</f>
        <v>General - Mainboard Photometer 2I SN 23425 ATI P/N : 0400170</v>
      </c>
      <c r="C2404" s="14" t="str">
        <f>IFERROR(__xludf.DUMMYFUNCTION("""COMPUTED_VALUE"""),"P-53059-00")</f>
        <v>P-53059-00</v>
      </c>
    </row>
    <row r="2405">
      <c r="A2405" s="14" t="str">
        <f>IFERROR(__xludf.DUMMYFUNCTION("""COMPUTED_VALUE"""),"P-53094-00")</f>
        <v>P-53094-00</v>
      </c>
      <c r="B2405" s="14" t="str">
        <f>IFERROR(__xludf.DUMMYFUNCTION("""COMPUTED_VALUE"""),"General - Actuator; Belimo; GMX120-3; 1 pcs")</f>
        <v>General - Actuator; Belimo; GMX120-3; 1 pcs</v>
      </c>
      <c r="C2405" s="14" t="str">
        <f>IFERROR(__xludf.DUMMYFUNCTION("""COMPUTED_VALUE"""),"P-53094-00")</f>
        <v>P-53094-00</v>
      </c>
    </row>
    <row r="2406">
      <c r="A2406" s="14" t="str">
        <f>IFERROR(__xludf.DUMMYFUNCTION("""COMPUTED_VALUE"""),"P-53102-00")</f>
        <v>P-53102-00</v>
      </c>
      <c r="B2406" s="14" t="str">
        <f>IFERROR(__xludf.DUMMYFUNCTION("""COMPUTED_VALUE"""),"Lampu PLC 13watt/E27 Putih; Phillips; ;")</f>
        <v>Lampu PLC 13watt/E27 Putih; Phillips; ;</v>
      </c>
      <c r="C2406" s="14" t="str">
        <f>IFERROR(__xludf.DUMMYFUNCTION("""COMPUTED_VALUE"""),"P-53102-00")</f>
        <v>P-53102-00</v>
      </c>
    </row>
    <row r="2407">
      <c r="A2407" s="14" t="str">
        <f>IFERROR(__xludf.DUMMYFUNCTION("""COMPUTED_VALUE"""),"P-53104-00")</f>
        <v>P-53104-00</v>
      </c>
      <c r="B2407" s="14" t="str">
        <f>IFERROR(__xludf.DUMMYFUNCTION("""COMPUTED_VALUE"""),"Fitting Keramik Lampu Mercury SON-T 70W PHILIPS")</f>
        <v>Fitting Keramik Lampu Mercury SON-T 70W PHILIPS</v>
      </c>
      <c r="C2407" s="14" t="str">
        <f>IFERROR(__xludf.DUMMYFUNCTION("""COMPUTED_VALUE"""),"P-53104-00")</f>
        <v>P-53104-00</v>
      </c>
    </row>
    <row r="2408">
      <c r="A2408" s="14" t="str">
        <f>IFERROR(__xludf.DUMMYFUNCTION("""COMPUTED_VALUE"""),"P-53133-00")</f>
        <v>P-53133-00</v>
      </c>
      <c r="B2408" s="14" t="str">
        <f>IFERROR(__xludf.DUMMYFUNCTION("""COMPUTED_VALUE"""),"General - Kabel Belden AWG 22 2 Pair; Belden; 8723; 305m/roll")</f>
        <v>General - Kabel Belden AWG 22 2 Pair; Belden; 8723; 305m/roll</v>
      </c>
      <c r="C2408" s="14" t="str">
        <f>IFERROR(__xludf.DUMMYFUNCTION("""COMPUTED_VALUE"""),"P-53133-00")</f>
        <v>P-53133-00</v>
      </c>
    </row>
    <row r="2409">
      <c r="A2409" s="14" t="str">
        <f>IFERROR(__xludf.DUMMYFUNCTION("""COMPUTED_VALUE"""),"P-53149-00")</f>
        <v>P-53149-00</v>
      </c>
      <c r="B2409" s="14" t="str">
        <f>IFERROR(__xludf.DUMMYFUNCTION("""COMPUTED_VALUE"""),"General - Kabel NYAF 3 x 2.5mm; Jembo; -; 1 meter")</f>
        <v>General - Kabel NYAF 3 x 2.5mm; Jembo; -; 1 meter</v>
      </c>
      <c r="C2409" s="14" t="str">
        <f>IFERROR(__xludf.DUMMYFUNCTION("""COMPUTED_VALUE"""),"P-53149-00")</f>
        <v>P-53149-00</v>
      </c>
    </row>
    <row r="2410">
      <c r="A2410" s="14" t="str">
        <f>IFERROR(__xludf.DUMMYFUNCTION("""COMPUTED_VALUE"""),"P-53167-00")</f>
        <v>P-53167-00</v>
      </c>
      <c r="B2410" s="14" t="str">
        <f>IFERROR(__xludf.DUMMYFUNCTION("""COMPUTED_VALUE"""),"Ballast Electronic EB-C 236 TL5, 2x36W; Phillips; ;")</f>
        <v>Ballast Electronic EB-C 236 TL5, 2x36W; Phillips; ;</v>
      </c>
      <c r="C2410" s="14" t="str">
        <f>IFERROR(__xludf.DUMMYFUNCTION("""COMPUTED_VALUE"""),"P-53167-00")</f>
        <v>P-53167-00</v>
      </c>
    </row>
    <row r="2411">
      <c r="A2411" s="14" t="str">
        <f>IFERROR(__xludf.DUMMYFUNCTION("""COMPUTED_VALUE"""),"P-53168-00")</f>
        <v>P-53168-00</v>
      </c>
      <c r="B2411" s="14" t="str">
        <f>IFERROR(__xludf.DUMMYFUNCTION("""COMPUTED_VALUE"""),"Ballast Electronic EB-C 136 TL5, 1x36W; Phillips; ;")</f>
        <v>Ballast Electronic EB-C 136 TL5, 1x36W; Phillips; ;</v>
      </c>
      <c r="C2411" s="14" t="str">
        <f>IFERROR(__xludf.DUMMYFUNCTION("""COMPUTED_VALUE"""),"P-53168-00")</f>
        <v>P-53168-00</v>
      </c>
    </row>
    <row r="2412">
      <c r="A2412" s="14" t="str">
        <f>IFERROR(__xludf.DUMMYFUNCTION("""COMPUTED_VALUE"""),"P-53169-00")</f>
        <v>P-53169-00</v>
      </c>
      <c r="B2412" s="14" t="str">
        <f>IFERROR(__xludf.DUMMYFUNCTION("""COMPUTED_VALUE"""),"Ballast Electronic EB-C 228 TL5, 2x28W; Phillips; ;")</f>
        <v>Ballast Electronic EB-C 228 TL5, 2x28W; Phillips; ;</v>
      </c>
      <c r="C2412" s="14" t="str">
        <f>IFERROR(__xludf.DUMMYFUNCTION("""COMPUTED_VALUE"""),"P-53169-00")</f>
        <v>P-53169-00</v>
      </c>
    </row>
    <row r="2413">
      <c r="A2413" s="14" t="str">
        <f>IFERROR(__xludf.DUMMYFUNCTION("""COMPUTED_VALUE"""),"P-53170-00")</f>
        <v>P-53170-00</v>
      </c>
      <c r="B2413" s="14" t="str">
        <f>IFERROR(__xludf.DUMMYFUNCTION("""COMPUTED_VALUE"""),"Ballast Electronic EB-C 128 TL5, 1x28W; Phillips; ;")</f>
        <v>Ballast Electronic EB-C 128 TL5, 1x28W; Phillips; ;</v>
      </c>
      <c r="C2413" s="14" t="str">
        <f>IFERROR(__xludf.DUMMYFUNCTION("""COMPUTED_VALUE"""),"P-53170-00")</f>
        <v>P-53170-00</v>
      </c>
    </row>
    <row r="2414">
      <c r="A2414" s="14" t="str">
        <f>IFERROR(__xludf.DUMMYFUNCTION("""COMPUTED_VALUE"""),"P-53171-00")</f>
        <v>P-53171-00</v>
      </c>
      <c r="B2414" s="14" t="str">
        <f>IFERROR(__xludf.DUMMYFUNCTION("""COMPUTED_VALUE"""),"Ballast Electronic EB-C 218 TL5, 2x18W; Phillips; ;")</f>
        <v>Ballast Electronic EB-C 218 TL5, 2x18W; Phillips; ;</v>
      </c>
      <c r="C2414" s="14" t="str">
        <f>IFERROR(__xludf.DUMMYFUNCTION("""COMPUTED_VALUE"""),"P-53171-00")</f>
        <v>P-53171-00</v>
      </c>
    </row>
    <row r="2415">
      <c r="A2415" s="14" t="str">
        <f>IFERROR(__xludf.DUMMYFUNCTION("""COMPUTED_VALUE"""),"P-53173-00")</f>
        <v>P-53173-00</v>
      </c>
      <c r="B2415" s="14" t="str">
        <f>IFERROR(__xludf.DUMMYFUNCTION("""COMPUTED_VALUE"""),"Ballast Electronic EB-C 214 TL5, 2x14W; Phillips; ;")</f>
        <v>Ballast Electronic EB-C 214 TL5, 2x14W; Phillips; ;</v>
      </c>
      <c r="C2415" s="14" t="str">
        <f>IFERROR(__xludf.DUMMYFUNCTION("""COMPUTED_VALUE"""),"P-53173-00")</f>
        <v>P-53173-00</v>
      </c>
    </row>
    <row r="2416">
      <c r="A2416" s="14" t="str">
        <f>IFERROR(__xludf.DUMMYFUNCTION("""COMPUTED_VALUE"""),"P-53174-00")</f>
        <v>P-53174-00</v>
      </c>
      <c r="B2416" s="14" t="str">
        <f>IFERROR(__xludf.DUMMYFUNCTION("""COMPUTED_VALUE"""),"Ballast Electronic EB-C 114 TL5, 1x14W; Phillips; ;")</f>
        <v>Ballast Electronic EB-C 114 TL5, 1x14W; Phillips; ;</v>
      </c>
      <c r="C2416" s="14" t="str">
        <f>IFERROR(__xludf.DUMMYFUNCTION("""COMPUTED_VALUE"""),"P-53174-00")</f>
        <v>P-53174-00</v>
      </c>
    </row>
    <row r="2417">
      <c r="A2417" s="14" t="str">
        <f>IFERROR(__xludf.DUMMYFUNCTION("""COMPUTED_VALUE"""),"P-53180-00")</f>
        <v>P-53180-00</v>
      </c>
      <c r="B2417" s="14" t="str">
        <f>IFERROR(__xludf.DUMMYFUNCTION("""COMPUTED_VALUE"""),"Ballast Hanovia UV System; HANOVIA; p/n 27010400G;")</f>
        <v>Ballast Hanovia UV System; HANOVIA; p/n 27010400G;</v>
      </c>
      <c r="C2417" s="14" t="str">
        <f>IFERROR(__xludf.DUMMYFUNCTION("""COMPUTED_VALUE"""),"P-53180-00")</f>
        <v>P-53180-00</v>
      </c>
    </row>
    <row r="2418">
      <c r="A2418" s="14" t="str">
        <f>IFERROR(__xludf.DUMMYFUNCTION("""COMPUTED_VALUE"""),"P-53181-00")</f>
        <v>P-53181-00</v>
      </c>
      <c r="B2418" s="14" t="str">
        <f>IFERROR(__xludf.DUMMYFUNCTION("""COMPUTED_VALUE"""),"UV Sensor Hanovia UV System; HANOVIA; p/n 270264040;")</f>
        <v>UV Sensor Hanovia UV System; HANOVIA; p/n 270264040;</v>
      </c>
      <c r="C2418" s="14" t="str">
        <f>IFERROR(__xludf.DUMMYFUNCTION("""COMPUTED_VALUE"""),"P-53181-00")</f>
        <v>P-53181-00</v>
      </c>
    </row>
    <row r="2419">
      <c r="A2419" s="14" t="str">
        <f>IFERROR(__xludf.DUMMYFUNCTION("""COMPUTED_VALUE"""),"P-53182-00")</f>
        <v>P-53182-00</v>
      </c>
      <c r="B2419" s="14" t="str">
        <f>IFERROR(__xludf.DUMMYFUNCTION("""COMPUTED_VALUE"""),"Arc tube Hanovia UV System; HANOVIA; p/n 130071 - 0320 - 01;")</f>
        <v>Arc tube Hanovia UV System; HANOVIA; p/n 130071 - 0320 - 01;</v>
      </c>
      <c r="C2419" s="14" t="str">
        <f>IFERROR(__xludf.DUMMYFUNCTION("""COMPUTED_VALUE"""),"P-53182-00")</f>
        <v>P-53182-00</v>
      </c>
    </row>
    <row r="2420">
      <c r="A2420" s="14" t="str">
        <f>IFERROR(__xludf.DUMMYFUNCTION("""COMPUTED_VALUE"""),"P-53202-00")</f>
        <v>P-53202-00</v>
      </c>
      <c r="B2420" s="14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4" t="str">
        <f>IFERROR(__xludf.DUMMYFUNCTION("""COMPUTED_VALUE"""),"P-53202-00")</f>
        <v>P-53202-00</v>
      </c>
    </row>
    <row r="2421">
      <c r="A2421" s="14" t="str">
        <f>IFERROR(__xludf.DUMMYFUNCTION("""COMPUTED_VALUE"""),"P-53209-00")</f>
        <v>P-53209-00</v>
      </c>
      <c r="B2421" s="14" t="str">
        <f>IFERROR(__xludf.DUMMYFUNCTION("""COMPUTED_VALUE"""),"CAPACITOR 3 uF, 220 V, 2 kutub; ; ;")</f>
        <v>CAPACITOR 3 uF, 220 V, 2 kutub; ; ;</v>
      </c>
      <c r="C2421" s="14" t="str">
        <f>IFERROR(__xludf.DUMMYFUNCTION("""COMPUTED_VALUE"""),"P-53209-00")</f>
        <v>P-53209-00</v>
      </c>
    </row>
    <row r="2422">
      <c r="A2422" s="14" t="str">
        <f>IFERROR(__xludf.DUMMYFUNCTION("""COMPUTED_VALUE"""),"P-53210-00")</f>
        <v>P-53210-00</v>
      </c>
      <c r="B2422" s="14" t="str">
        <f>IFERROR(__xludf.DUMMYFUNCTION("""COMPUTED_VALUE"""),"General - Capacitor, 5 uF, 220 V, 2 kutub; No Brand; -; 1 pcs")</f>
        <v>General - Capacitor, 5 uF, 220 V, 2 kutub; No Brand; -; 1 pcs</v>
      </c>
      <c r="C2422" s="14" t="str">
        <f>IFERROR(__xludf.DUMMYFUNCTION("""COMPUTED_VALUE"""),"P-53210-00")</f>
        <v>P-53210-00</v>
      </c>
    </row>
    <row r="2423">
      <c r="A2423" s="14" t="str">
        <f>IFERROR(__xludf.DUMMYFUNCTION("""COMPUTED_VALUE"""),"P-53211-00")</f>
        <v>P-53211-00</v>
      </c>
      <c r="B2423" s="14" t="str">
        <f>IFERROR(__xludf.DUMMYFUNCTION("""COMPUTED_VALUE"""),"LOCTITE High Temperature @ 50 ml")</f>
        <v>LOCTITE High Temperature @ 50 ml</v>
      </c>
      <c r="C2423" s="14" t="str">
        <f>IFERROR(__xludf.DUMMYFUNCTION("""COMPUTED_VALUE"""),"P-53211-00")</f>
        <v>P-53211-00</v>
      </c>
    </row>
    <row r="2424">
      <c r="A2424" s="14" t="str">
        <f>IFERROR(__xludf.DUMMYFUNCTION("""COMPUTED_VALUE"""),"P-53212-00")</f>
        <v>P-53212-00</v>
      </c>
      <c r="B2424" s="14" t="str">
        <f>IFERROR(__xludf.DUMMYFUNCTION("""COMPUTED_VALUE"""),"Ballast PHILIPS TL-D 1x36 Watt")</f>
        <v>Ballast PHILIPS TL-D 1x36 Watt</v>
      </c>
      <c r="C2424" s="14" t="str">
        <f>IFERROR(__xludf.DUMMYFUNCTION("""COMPUTED_VALUE"""),"P-53212-00")</f>
        <v>P-53212-00</v>
      </c>
    </row>
    <row r="2425">
      <c r="A2425" s="14" t="str">
        <f>IFERROR(__xludf.DUMMYFUNCTION("""COMPUTED_VALUE"""),"P-53213-00")</f>
        <v>P-53213-00</v>
      </c>
      <c r="B2425" s="14" t="str">
        <f>IFERROR(__xludf.DUMMYFUNCTION("""COMPUTED_VALUE"""),"Lem Pipa PVC")</f>
        <v>Lem Pipa PVC</v>
      </c>
      <c r="C2425" s="14" t="str">
        <f>IFERROR(__xludf.DUMMYFUNCTION("""COMPUTED_VALUE"""),"P-53213-00")</f>
        <v>P-53213-00</v>
      </c>
    </row>
    <row r="2426">
      <c r="A2426" s="14" t="str">
        <f>IFERROR(__xludf.DUMMYFUNCTION("""COMPUTED_VALUE"""),"P-53214-00")</f>
        <v>P-53214-00</v>
      </c>
      <c r="B2426" s="14" t="str">
        <f>IFERROR(__xludf.DUMMYFUNCTION("""COMPUTED_VALUE"""),"Epoxy Adhesive DEXTONE; ; ;")</f>
        <v>Epoxy Adhesive DEXTONE; ; ;</v>
      </c>
      <c r="C2426" s="14" t="str">
        <f>IFERROR(__xludf.DUMMYFUNCTION("""COMPUTED_VALUE"""),"P-53214-00")</f>
        <v>P-53214-00</v>
      </c>
    </row>
    <row r="2427">
      <c r="A2427" s="14" t="str">
        <f>IFERROR(__xludf.DUMMYFUNCTION("""COMPUTED_VALUE"""),"P-53215-00")</f>
        <v>P-53215-00</v>
      </c>
      <c r="B2427" s="14" t="str">
        <f>IFERROR(__xludf.DUMMYFUNCTION("""COMPUTED_VALUE"""),"Silicon Lembaran, tebal 5 mm, size: 1 meter X 1 meter; ; ;")</f>
        <v>Silicon Lembaran, tebal 5 mm, size: 1 meter X 1 meter; ; ;</v>
      </c>
      <c r="C2427" s="14" t="str">
        <f>IFERROR(__xludf.DUMMYFUNCTION("""COMPUTED_VALUE"""),"P-53215-00")</f>
        <v>P-53215-00</v>
      </c>
    </row>
    <row r="2428">
      <c r="A2428" s="14" t="str">
        <f>IFERROR(__xludf.DUMMYFUNCTION("""COMPUTED_VALUE"""),"P-53216-00")</f>
        <v>P-53216-00</v>
      </c>
      <c r="B2428" s="14" t="str">
        <f>IFERROR(__xludf.DUMMYFUNCTION("""COMPUTED_VALUE"""),"Silicon Lembaran, tebal 3 mm, size: 1 meter X 1 meter; ; ;")</f>
        <v>Silicon Lembaran, tebal 3 mm, size: 1 meter X 1 meter; ; ;</v>
      </c>
      <c r="C2428" s="14" t="str">
        <f>IFERROR(__xludf.DUMMYFUNCTION("""COMPUTED_VALUE"""),"P-53216-00")</f>
        <v>P-53216-00</v>
      </c>
    </row>
    <row r="2429">
      <c r="A2429" s="14" t="str">
        <f>IFERROR(__xludf.DUMMYFUNCTION("""COMPUTED_VALUE"""),"P-53217-00")</f>
        <v>P-53217-00</v>
      </c>
      <c r="B2429" s="14" t="str">
        <f>IFERROR(__xludf.DUMMYFUNCTION("""COMPUTED_VALUE"""),"Sealent Gun PROHEX")</f>
        <v>Sealent Gun PROHEX</v>
      </c>
      <c r="C2429" s="14" t="str">
        <f>IFERROR(__xludf.DUMMYFUNCTION("""COMPUTED_VALUE"""),"P-53217-00")</f>
        <v>P-53217-00</v>
      </c>
    </row>
    <row r="2430">
      <c r="A2430" s="14" t="str">
        <f>IFERROR(__xludf.DUMMYFUNCTION("""COMPUTED_VALUE"""),"P-53218-00")</f>
        <v>P-53218-00</v>
      </c>
      <c r="B2430" s="14" t="str">
        <f>IFERROR(__xludf.DUMMYFUNCTION("""COMPUTED_VALUE"""),"Ballast PHILIPS TL-D 1x10 Watt; ; ;")</f>
        <v>Ballast PHILIPS TL-D 1x10 Watt; ; ;</v>
      </c>
      <c r="C2430" s="14" t="str">
        <f>IFERROR(__xludf.DUMMYFUNCTION("""COMPUTED_VALUE"""),"P-53218-00")</f>
        <v>P-53218-00</v>
      </c>
    </row>
    <row r="2431">
      <c r="A2431" s="14" t="str">
        <f>IFERROR(__xludf.DUMMYFUNCTION("""COMPUTED_VALUE"""),"P-53221-00")</f>
        <v>P-53221-00</v>
      </c>
      <c r="B2431" s="14" t="str">
        <f>IFERROR(__xludf.DUMMYFUNCTION("""COMPUTED_VALUE"""),"Ball Float Steam Trap 3/4 inch connection : Screwed BSP")</f>
        <v>Ball Float Steam Trap 3/4 inch connection : Screwed BSP</v>
      </c>
      <c r="C2431" s="14" t="str">
        <f>IFERROR(__xludf.DUMMYFUNCTION("""COMPUTED_VALUE"""),"P-53221-00")</f>
        <v>P-53221-00</v>
      </c>
    </row>
    <row r="2432">
      <c r="A2432" s="14" t="str">
        <f>IFERROR(__xludf.DUMMYFUNCTION("""COMPUTED_VALUE"""),"P-53222-00")</f>
        <v>P-53222-00</v>
      </c>
      <c r="B2432" s="14" t="str">
        <f>IFERROR(__xludf.DUMMYFUNCTION("""COMPUTED_VALUE"""),"Ball Float Steam Trap 1/2 inch connection : Screwed BSP")</f>
        <v>Ball Float Steam Trap 1/2 inch connection : Screwed BSP</v>
      </c>
      <c r="C2432" s="14" t="str">
        <f>IFERROR(__xludf.DUMMYFUNCTION("""COMPUTED_VALUE"""),"P-53222-00")</f>
        <v>P-53222-00</v>
      </c>
    </row>
    <row r="2433">
      <c r="A2433" s="14" t="str">
        <f>IFERROR(__xludf.DUMMYFUNCTION("""COMPUTED_VALUE"""),"P-53259-00")</f>
        <v>P-53259-00</v>
      </c>
      <c r="B2433" s="14" t="str">
        <f>IFERROR(__xludf.DUMMYFUNCTION("""COMPUTED_VALUE"""),"UV Sensor PIN : 270264040; Hanovia; ;")</f>
        <v>UV Sensor PIN : 270264040; Hanovia; ;</v>
      </c>
      <c r="C2433" s="14" t="str">
        <f>IFERROR(__xludf.DUMMYFUNCTION("""COMPUTED_VALUE"""),"P-53259-00")</f>
        <v>P-53259-00</v>
      </c>
    </row>
    <row r="2434">
      <c r="A2434" s="14" t="str">
        <f>IFERROR(__xludf.DUMMYFUNCTION("""COMPUTED_VALUE"""),"P-53260-00")</f>
        <v>P-53260-00</v>
      </c>
      <c r="B2434" s="14" t="str">
        <f>IFERROR(__xludf.DUMMYFUNCTION("""COMPUTED_VALUE"""),"Ballast P/N : 270104006 Hanovia")</f>
        <v>Ballast P/N : 270104006 Hanovia</v>
      </c>
      <c r="C2434" s="14" t="str">
        <f>IFERROR(__xludf.DUMMYFUNCTION("""COMPUTED_VALUE"""),"P-53260-00")</f>
        <v>P-53260-00</v>
      </c>
    </row>
    <row r="2435">
      <c r="A2435" s="14" t="str">
        <f>IFERROR(__xludf.DUMMYFUNCTION("""COMPUTED_VALUE"""),"P-53261-00")</f>
        <v>P-53261-00</v>
      </c>
      <c r="B2435" s="14" t="str">
        <f>IFERROR(__xludf.DUMMYFUNCTION("""COMPUTED_VALUE"""),"Junction Box uk 30x40x20cm; ; ;")</f>
        <v>Junction Box uk 30x40x20cm; ; ;</v>
      </c>
      <c r="C2435" s="14" t="str">
        <f>IFERROR(__xludf.DUMMYFUNCTION("""COMPUTED_VALUE"""),"P-53261-00")</f>
        <v>P-53261-00</v>
      </c>
    </row>
    <row r="2436">
      <c r="A2436" s="14" t="str">
        <f>IFERROR(__xludf.DUMMYFUNCTION("""COMPUTED_VALUE"""),"P-53262-00")</f>
        <v>P-53262-00</v>
      </c>
      <c r="B2436" s="14" t="str">
        <f>IFERROR(__xludf.DUMMYFUNCTION("""COMPUTED_VALUE"""),"General - Din Rail MCB; No Brand; -; 1 pc")</f>
        <v>General - Din Rail MCB; No Brand; -; 1 pc</v>
      </c>
      <c r="C2436" s="14" t="str">
        <f>IFERROR(__xludf.DUMMYFUNCTION("""COMPUTED_VALUE"""),"P-53262-00")</f>
        <v>P-53262-00</v>
      </c>
    </row>
    <row r="2437">
      <c r="A2437" s="14" t="str">
        <f>IFERROR(__xludf.DUMMYFUNCTION("""COMPUTED_VALUE"""),"P-53263-00")</f>
        <v>P-53263-00</v>
      </c>
      <c r="B2437" s="14" t="str">
        <f>IFERROR(__xludf.DUMMYFUNCTION("""COMPUTED_VALUE"""),"General - Terminal Block, 4 mm; No Brand; -; 1 pcs")</f>
        <v>General - Terminal Block, 4 mm; No Brand; -; 1 pcs</v>
      </c>
      <c r="C2437" s="14" t="str">
        <f>IFERROR(__xludf.DUMMYFUNCTION("""COMPUTED_VALUE"""),"P-53263-00")</f>
        <v>P-53263-00</v>
      </c>
    </row>
    <row r="2438">
      <c r="A2438" s="14" t="str">
        <f>IFERROR(__xludf.DUMMYFUNCTION("""COMPUTED_VALUE"""),"P-53293-00")</f>
        <v>P-53293-00</v>
      </c>
      <c r="B2438" s="14" t="str">
        <f>IFERROR(__xludf.DUMMYFUNCTION("""COMPUTED_VALUE"""),"General - Lampu Emergency TL LED 16W Waterproof IP65; Briliant; -; 1 pc")</f>
        <v>General - Lampu Emergency TL LED 16W Waterproof IP65; Briliant; -; 1 pc</v>
      </c>
      <c r="C2438" s="14" t="str">
        <f>IFERROR(__xludf.DUMMYFUNCTION("""COMPUTED_VALUE"""),"P-53293-00")</f>
        <v>P-53293-00</v>
      </c>
    </row>
    <row r="2439">
      <c r="A2439" s="14" t="str">
        <f>IFERROR(__xludf.DUMMYFUNCTION("""COMPUTED_VALUE"""),"P-53294-00")</f>
        <v>P-53294-00</v>
      </c>
      <c r="B2439" s="14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4" t="str">
        <f>IFERROR(__xludf.DUMMYFUNCTION("""COMPUTED_VALUE"""),"P-53294-00")</f>
        <v>P-53294-00</v>
      </c>
    </row>
    <row r="2440">
      <c r="A2440" s="14" t="str">
        <f>IFERROR(__xludf.DUMMYFUNCTION("""COMPUTED_VALUE"""),"P-53298-00")</f>
        <v>P-53298-00</v>
      </c>
      <c r="B2440" s="14" t="str">
        <f>IFERROR(__xludf.DUMMYFUNCTION("""COMPUTED_VALUE"""),"General - Solenoid Valve DP-10; Yoshitake; -; 1 pc")</f>
        <v>General - Solenoid Valve DP-10; Yoshitake; -; 1 pc</v>
      </c>
      <c r="C2440" s="14" t="str">
        <f>IFERROR(__xludf.DUMMYFUNCTION("""COMPUTED_VALUE"""),"P-53298-00")</f>
        <v>P-53298-00</v>
      </c>
    </row>
    <row r="2441">
      <c r="A2441" s="14" t="str">
        <f>IFERROR(__xludf.DUMMYFUNCTION("""COMPUTED_VALUE"""),"P-53357-00")</f>
        <v>P-53357-00</v>
      </c>
      <c r="B2441" s="14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4" t="str">
        <f>IFERROR(__xludf.DUMMYFUNCTION("""COMPUTED_VALUE"""),"P-53357-00")</f>
        <v>P-53357-00</v>
      </c>
    </row>
    <row r="2442">
      <c r="A2442" s="14" t="str">
        <f>IFERROR(__xludf.DUMMYFUNCTION("""COMPUTED_VALUE"""),"P-53362-00")</f>
        <v>P-53362-00</v>
      </c>
      <c r="B2442" s="14" t="str">
        <f>IFERROR(__xludf.DUMMYFUNCTION("""COMPUTED_VALUE"""),"Contactor Schneider LC1D09M7 Coil 220 VAC; ; ;")</f>
        <v>Contactor Schneider LC1D09M7 Coil 220 VAC; ; ;</v>
      </c>
      <c r="C2442" s="14" t="str">
        <f>IFERROR(__xludf.DUMMYFUNCTION("""COMPUTED_VALUE"""),"P-53362-00")</f>
        <v>P-53362-00</v>
      </c>
    </row>
    <row r="2443">
      <c r="A2443" s="14" t="str">
        <f>IFERROR(__xludf.DUMMYFUNCTION("""COMPUTED_VALUE"""),"P-53363-00")</f>
        <v>P-53363-00</v>
      </c>
      <c r="B2443" s="14" t="str">
        <f>IFERROR(__xludf.DUMMYFUNCTION("""COMPUTED_VALUE"""),"Contactor Schneider LC1D12M7 Coil 220 VAC; ; ;")</f>
        <v>Contactor Schneider LC1D12M7 Coil 220 VAC; ; ;</v>
      </c>
      <c r="C2443" s="14" t="str">
        <f>IFERROR(__xludf.DUMMYFUNCTION("""COMPUTED_VALUE"""),"P-53363-00")</f>
        <v>P-53363-00</v>
      </c>
    </row>
    <row r="2444">
      <c r="A2444" s="14" t="str">
        <f>IFERROR(__xludf.DUMMYFUNCTION("""COMPUTED_VALUE"""),"P-53381-00")</f>
        <v>P-53381-00</v>
      </c>
      <c r="B2444" s="14" t="str">
        <f>IFERROR(__xludf.DUMMYFUNCTION("""COMPUTED_VALUE"""),"General - Display Inverter LCP 02; Danfoss; 130B1107; 1 pc")</f>
        <v>General - Display Inverter LCP 02; Danfoss; 130B1107; 1 pc</v>
      </c>
      <c r="C2444" s="14" t="str">
        <f>IFERROR(__xludf.DUMMYFUNCTION("""COMPUTED_VALUE"""),"P-53381-00")</f>
        <v>P-53381-00</v>
      </c>
    </row>
    <row r="2445">
      <c r="A2445" s="14" t="str">
        <f>IFERROR(__xludf.DUMMYFUNCTION("""COMPUTED_VALUE"""),"P-53382-00")</f>
        <v>P-53382-00</v>
      </c>
      <c r="B2445" s="14" t="str">
        <f>IFERROR(__xludf.DUMMYFUNCTION("""COMPUTED_VALUE"""),"General - Exhaust Fan; KDK; 24CDQNA; 1 unit")</f>
        <v>General - Exhaust Fan; KDK; 24CDQNA; 1 unit</v>
      </c>
      <c r="C2445" s="14" t="str">
        <f>IFERROR(__xludf.DUMMYFUNCTION("""COMPUTED_VALUE"""),"P-53382-00")</f>
        <v>P-53382-00</v>
      </c>
    </row>
    <row r="2446">
      <c r="A2446" s="14" t="str">
        <f>IFERROR(__xludf.DUMMYFUNCTION("""COMPUTED_VALUE"""),"P-53383-00")</f>
        <v>P-53383-00</v>
      </c>
      <c r="B2446" s="14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4" t="str">
        <f>IFERROR(__xludf.DUMMYFUNCTION("""COMPUTED_VALUE"""),"P-53383-00")</f>
        <v>P-53383-00</v>
      </c>
    </row>
    <row r="2447">
      <c r="A2447" s="14" t="str">
        <f>IFERROR(__xludf.DUMMYFUNCTION("""COMPUTED_VALUE"""),"P-53398-00")</f>
        <v>P-53398-00</v>
      </c>
      <c r="B2447" s="14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4" t="str">
        <f>IFERROR(__xludf.DUMMYFUNCTION("""COMPUTED_VALUE"""),"P-53398-00")</f>
        <v>P-53398-00</v>
      </c>
    </row>
    <row r="2448">
      <c r="A2448" s="14" t="str">
        <f>IFERROR(__xludf.DUMMYFUNCTION("""COMPUTED_VALUE"""),"P-53399-00")</f>
        <v>P-53399-00</v>
      </c>
      <c r="B2448" s="14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4" t="str">
        <f>IFERROR(__xludf.DUMMYFUNCTION("""COMPUTED_VALUE"""),"P-53399-00")</f>
        <v>P-53399-00</v>
      </c>
    </row>
    <row r="2449">
      <c r="A2449" s="14" t="str">
        <f>IFERROR(__xludf.DUMMYFUNCTION("""COMPUTED_VALUE"""),"P-53400-00")</f>
        <v>P-53400-00</v>
      </c>
      <c r="B2449" s="14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4" t="str">
        <f>IFERROR(__xludf.DUMMYFUNCTION("""COMPUTED_VALUE"""),"P-53400-00")</f>
        <v>P-53400-00</v>
      </c>
    </row>
    <row r="2450">
      <c r="A2450" s="14" t="str">
        <f>IFERROR(__xludf.DUMMYFUNCTION("""COMPUTED_VALUE"""),"P-53401-00")</f>
        <v>P-53401-00</v>
      </c>
      <c r="B2450" s="14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4" t="str">
        <f>IFERROR(__xludf.DUMMYFUNCTION("""COMPUTED_VALUE"""),"P-53401-00")</f>
        <v>P-53401-00</v>
      </c>
    </row>
    <row r="2451">
      <c r="A2451" s="14" t="str">
        <f>IFERROR(__xludf.DUMMYFUNCTION("""COMPUTED_VALUE"""),"P-53404-00")</f>
        <v>P-53404-00</v>
      </c>
      <c r="B2451" s="14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4" t="str">
        <f>IFERROR(__xludf.DUMMYFUNCTION("""COMPUTED_VALUE"""),"P-53404-00")</f>
        <v>P-53404-00</v>
      </c>
    </row>
    <row r="2452">
      <c r="A2452" s="14" t="str">
        <f>IFERROR(__xludf.DUMMYFUNCTION("""COMPUTED_VALUE"""),"P-53411-00")</f>
        <v>P-53411-00</v>
      </c>
      <c r="B2452" s="14" t="str">
        <f>IFERROR(__xludf.DUMMYFUNCTION("""COMPUTED_VALUE"""),"General - Power Supply ECO 1-PH 24VDC 5A; Wago; 787-722; 1 pc")</f>
        <v>General - Power Supply ECO 1-PH 24VDC 5A; Wago; 787-722; 1 pc</v>
      </c>
      <c r="C2452" s="14" t="str">
        <f>IFERROR(__xludf.DUMMYFUNCTION("""COMPUTED_VALUE"""),"P-53411-00")</f>
        <v>P-53411-00</v>
      </c>
    </row>
    <row r="2453">
      <c r="A2453" s="14" t="str">
        <f>IFERROR(__xludf.DUMMYFUNCTION("""COMPUTED_VALUE"""),"P-53415-00")</f>
        <v>P-53415-00</v>
      </c>
      <c r="B2453" s="14" t="str">
        <f>IFERROR(__xludf.DUMMYFUNCTION("""COMPUTED_VALUE"""),"General - LED Module 5730 SMD; Samsung; -; 1 pc")</f>
        <v>General - LED Module 5730 SMD; Samsung; -; 1 pc</v>
      </c>
      <c r="C2453" s="14" t="str">
        <f>IFERROR(__xludf.DUMMYFUNCTION("""COMPUTED_VALUE"""),"P-53415-00")</f>
        <v>P-53415-00</v>
      </c>
    </row>
    <row r="2454">
      <c r="A2454" s="14" t="str">
        <f>IFERROR(__xludf.DUMMYFUNCTION("""COMPUTED_VALUE"""),"P-53416-00")</f>
        <v>P-53416-00</v>
      </c>
      <c r="B2454" s="14" t="str">
        <f>IFERROR(__xludf.DUMMYFUNCTION("""COMPUTED_VALUE"""),"General - Ballast SMPS 300 TLD Driver LED 12VDC IP68; Talled; -; 1 pc")</f>
        <v>General - Ballast SMPS 300 TLD Driver LED 12VDC IP68; Talled; -; 1 pc</v>
      </c>
      <c r="C2454" s="14" t="str">
        <f>IFERROR(__xludf.DUMMYFUNCTION("""COMPUTED_VALUE"""),"P-53416-00")</f>
        <v>P-53416-00</v>
      </c>
    </row>
    <row r="2455">
      <c r="A2455" s="14" t="str">
        <f>IFERROR(__xludf.DUMMYFUNCTION("""COMPUTED_VALUE"""),"P-53417-00")</f>
        <v>P-53417-00</v>
      </c>
      <c r="B2455" s="14" t="str">
        <f>IFERROR(__xludf.DUMMYFUNCTION("""COMPUTED_VALUE"""),"General - Kabel Audio 8471 Shielded; Belden; -; 1 pc")</f>
        <v>General - Kabel Audio 8471 Shielded; Belden; -; 1 pc</v>
      </c>
      <c r="C2455" s="14" t="str">
        <f>IFERROR(__xludf.DUMMYFUNCTION("""COMPUTED_VALUE"""),"P-53417-00")</f>
        <v>P-53417-00</v>
      </c>
    </row>
    <row r="2456">
      <c r="A2456" s="14" t="str">
        <f>IFERROR(__xludf.DUMMYFUNCTION("""COMPUTED_VALUE"""),"P-53418-00")</f>
        <v>P-53418-00</v>
      </c>
      <c r="B2456" s="14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4" t="str">
        <f>IFERROR(__xludf.DUMMYFUNCTION("""COMPUTED_VALUE"""),"P-53418-00")</f>
        <v>P-53418-00</v>
      </c>
    </row>
    <row r="2457">
      <c r="A2457" s="14" t="str">
        <f>IFERROR(__xludf.DUMMYFUNCTION("""COMPUTED_VALUE"""),"P-53660-00")</f>
        <v>P-53660-00</v>
      </c>
      <c r="B2457" s="14" t="str">
        <f>IFERROR(__xludf.DUMMYFUNCTION("""COMPUTED_VALUE"""),"Heat Shrink dia. 3 mm Warna Hitam (1 roll = 100 mtr)")</f>
        <v>Heat Shrink dia. 3 mm Warna Hitam (1 roll = 100 mtr)</v>
      </c>
      <c r="C2457" s="14" t="str">
        <f>IFERROR(__xludf.DUMMYFUNCTION("""COMPUTED_VALUE"""),"P-53660-00")</f>
        <v>P-53660-00</v>
      </c>
    </row>
    <row r="2458">
      <c r="A2458" s="14" t="str">
        <f>IFERROR(__xludf.DUMMYFUNCTION("""COMPUTED_VALUE"""),"P-53661-00")</f>
        <v>P-53661-00</v>
      </c>
      <c r="B2458" s="14" t="str">
        <f>IFERROR(__xludf.DUMMYFUNCTION("""COMPUTED_VALUE"""),"Heat Shrink dia. 4 mm Warna Hitam (1 roll = 100 mtr)")</f>
        <v>Heat Shrink dia. 4 mm Warna Hitam (1 roll = 100 mtr)</v>
      </c>
      <c r="C2458" s="14" t="str">
        <f>IFERROR(__xludf.DUMMYFUNCTION("""COMPUTED_VALUE"""),"P-53661-00")</f>
        <v>P-53661-00</v>
      </c>
    </row>
    <row r="2459">
      <c r="A2459" s="14" t="str">
        <f>IFERROR(__xludf.DUMMYFUNCTION("""COMPUTED_VALUE"""),"P-53663-00")</f>
        <v>P-53663-00</v>
      </c>
      <c r="B2459" s="14" t="str">
        <f>IFERROR(__xludf.DUMMYFUNCTION("""COMPUTED_VALUE"""),"Heat Shrink dia. 6 mm Warna Hitam (1 roll = 100 mtr)")</f>
        <v>Heat Shrink dia. 6 mm Warna Hitam (1 roll = 100 mtr)</v>
      </c>
      <c r="C2459" s="14" t="str">
        <f>IFERROR(__xludf.DUMMYFUNCTION("""COMPUTED_VALUE"""),"P-53663-00")</f>
        <v>P-53663-00</v>
      </c>
    </row>
    <row r="2460">
      <c r="A2460" s="14" t="str">
        <f>IFERROR(__xludf.DUMMYFUNCTION("""COMPUTED_VALUE"""),"P-53976-00")</f>
        <v>P-53976-00</v>
      </c>
      <c r="B2460" s="14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4" t="str">
        <f>IFERROR(__xludf.DUMMYFUNCTION("""COMPUTED_VALUE"""),"P-53976-00")</f>
        <v>P-53976-00</v>
      </c>
    </row>
    <row r="2461">
      <c r="A2461" s="14" t="str">
        <f>IFERROR(__xludf.DUMMYFUNCTION("""COMPUTED_VALUE"""),"P-54065-00")</f>
        <v>P-54065-00</v>
      </c>
      <c r="B2461" s="14" t="str">
        <f>IFERROR(__xludf.DUMMYFUNCTION("""COMPUTED_VALUE"""),"Flow Switch Stainless 1/8 inch Kabel Tahan Panas @4mtr")</f>
        <v>Flow Switch Stainless 1/8 inch Kabel Tahan Panas @4mtr</v>
      </c>
      <c r="C2461" s="14" t="str">
        <f>IFERROR(__xludf.DUMMYFUNCTION("""COMPUTED_VALUE"""),"P-54065-00")</f>
        <v>P-54065-00</v>
      </c>
    </row>
    <row r="2462">
      <c r="A2462" s="14" t="str">
        <f>IFERROR(__xludf.DUMMYFUNCTION("""COMPUTED_VALUE"""),"P-54066-00")</f>
        <v>P-54066-00</v>
      </c>
      <c r="B2462" s="14" t="str">
        <f>IFERROR(__xludf.DUMMYFUNCTION("""COMPUTED_VALUE"""),"Junction Panel Box Ukuran 150x150x150 mm")</f>
        <v>Junction Panel Box Ukuran 150x150x150 mm</v>
      </c>
      <c r="C2462" s="14" t="str">
        <f>IFERROR(__xludf.DUMMYFUNCTION("""COMPUTED_VALUE"""),"P-54066-00")</f>
        <v>P-54066-00</v>
      </c>
    </row>
    <row r="2463">
      <c r="A2463" s="14" t="str">
        <f>IFERROR(__xludf.DUMMYFUNCTION("""COMPUTED_VALUE"""),"P-54094-00")</f>
        <v>P-54094-00</v>
      </c>
      <c r="B2463" s="14" t="str">
        <f>IFERROR(__xludf.DUMMYFUNCTION("""COMPUTED_VALUE"""),"Hepa Filter - H14 ( 99.999% ) size: 610x610x70 mm Hencolin")</f>
        <v>Hepa Filter - H14 ( 99.999% ) size: 610x610x70 mm Hencolin</v>
      </c>
      <c r="C2463" s="14" t="str">
        <f>IFERROR(__xludf.DUMMYFUNCTION("""COMPUTED_VALUE"""),"P-54094-00")</f>
        <v>P-54094-00</v>
      </c>
    </row>
    <row r="2464">
      <c r="A2464" s="14" t="str">
        <f>IFERROR(__xludf.DUMMYFUNCTION("""COMPUTED_VALUE"""),"P-54158-00")</f>
        <v>P-54158-00</v>
      </c>
      <c r="B2464" s="14" t="str">
        <f>IFERROR(__xludf.DUMMYFUNCTION("""COMPUTED_VALUE"""),"Float Level Switch VSS-2FJ-S3-L900-FS40S-0 Flange 2 inch; WINGEL; ;")</f>
        <v>Float Level Switch VSS-2FJ-S3-L900-FS40S-0 Flange 2 inch; WINGEL; ;</v>
      </c>
      <c r="C2464" s="14" t="str">
        <f>IFERROR(__xludf.DUMMYFUNCTION("""COMPUTED_VALUE"""),"P-54158-00")</f>
        <v>P-54158-00</v>
      </c>
    </row>
    <row r="2465">
      <c r="A2465" s="14" t="str">
        <f>IFERROR(__xludf.DUMMYFUNCTION("""COMPUTED_VALUE"""),"P-54159-00")</f>
        <v>P-54159-00</v>
      </c>
      <c r="B2465" s="14" t="str">
        <f>IFERROR(__xludf.DUMMYFUNCTION("""COMPUTED_VALUE"""),"Digital Controller CU-3 WINGEL")</f>
        <v>Digital Controller CU-3 WINGEL</v>
      </c>
      <c r="C2465" s="14" t="str">
        <f>IFERROR(__xludf.DUMMYFUNCTION("""COMPUTED_VALUE"""),"P-54159-00")</f>
        <v>P-54159-00</v>
      </c>
    </row>
    <row r="2466">
      <c r="A2466" s="14" t="str">
        <f>IFERROR(__xludf.DUMMYFUNCTION("""COMPUTED_VALUE"""),"P-54174-00")</f>
        <v>P-54174-00</v>
      </c>
      <c r="B2466" s="14" t="str">
        <f>IFERROR(__xludf.DUMMYFUNCTION("""COMPUTED_VALUE"""),"Switch Hub SF95D-16 Cisco")</f>
        <v>Switch Hub SF95D-16 Cisco</v>
      </c>
      <c r="C2466" s="14" t="str">
        <f>IFERROR(__xludf.DUMMYFUNCTION("""COMPUTED_VALUE"""),"P-54174-00")</f>
        <v>P-54174-00</v>
      </c>
    </row>
    <row r="2467">
      <c r="A2467" s="14" t="str">
        <f>IFERROR(__xludf.DUMMYFUNCTION("""COMPUTED_VALUE"""),"P-54181-00")</f>
        <v>P-54181-00</v>
      </c>
      <c r="B2467" s="14" t="str">
        <f>IFERROR(__xludf.DUMMYFUNCTION("""COMPUTED_VALUE"""),"UV lamp for TOC Sievers M500; TOC Sievers; ; pack size per pc")</f>
        <v>UV lamp for TOC Sievers M500; TOC Sievers; ; pack size per pc</v>
      </c>
      <c r="C2467" s="14" t="str">
        <f>IFERROR(__xludf.DUMMYFUNCTION("""COMPUTED_VALUE"""),"P-54181-00")</f>
        <v>P-54181-00</v>
      </c>
    </row>
    <row r="2468">
      <c r="A2468" s="14" t="str">
        <f>IFERROR(__xludf.DUMMYFUNCTION("""COMPUTED_VALUE"""),"P-54185-00")</f>
        <v>P-54185-00</v>
      </c>
      <c r="B2468" s="14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4" t="str">
        <f>IFERROR(__xludf.DUMMYFUNCTION("""COMPUTED_VALUE"""),"P-54185-00")</f>
        <v>P-54185-00</v>
      </c>
    </row>
    <row r="2469">
      <c r="A2469" s="14" t="str">
        <f>IFERROR(__xludf.DUMMYFUNCTION("""COMPUTED_VALUE"""),"P-54186-00")</f>
        <v>P-54186-00</v>
      </c>
      <c r="B2469" s="14" t="str">
        <f>IFERROR(__xludf.DUMMYFUNCTION("""COMPUTED_VALUE"""),"Vacuum Pump 1HP 220V 12CFM; Value; ;")</f>
        <v>Vacuum Pump 1HP 220V 12CFM; Value; ;</v>
      </c>
      <c r="C2469" s="14" t="str">
        <f>IFERROR(__xludf.DUMMYFUNCTION("""COMPUTED_VALUE"""),"P-54186-00")</f>
        <v>P-54186-00</v>
      </c>
    </row>
    <row r="2470">
      <c r="A2470" s="14" t="str">
        <f>IFERROR(__xludf.DUMMYFUNCTION("""COMPUTED_VALUE"""),"P-54190-00")</f>
        <v>P-54190-00</v>
      </c>
      <c r="B2470" s="14" t="str">
        <f>IFERROR(__xludf.DUMMYFUNCTION("""COMPUTED_VALUE"""),"Stop Kontak IP55 16A; Legrand; ;")</f>
        <v>Stop Kontak IP55 16A; Legrand; ;</v>
      </c>
      <c r="C2470" s="14" t="str">
        <f>IFERROR(__xludf.DUMMYFUNCTION("""COMPUTED_VALUE"""),"P-54190-00")</f>
        <v>P-54190-00</v>
      </c>
    </row>
    <row r="2471">
      <c r="A2471" s="14" t="str">
        <f>IFERROR(__xludf.DUMMYFUNCTION("""COMPUTED_VALUE"""),"P-54199-00")</f>
        <v>P-54199-00</v>
      </c>
      <c r="B2471" s="14" t="str">
        <f>IFERROR(__xludf.DUMMYFUNCTION("""COMPUTED_VALUE"""),"Stop Kontak AC Kaki 3 Broco; Broco; ;")</f>
        <v>Stop Kontak AC Kaki 3 Broco; Broco; ;</v>
      </c>
      <c r="C2471" s="14" t="str">
        <f>IFERROR(__xludf.DUMMYFUNCTION("""COMPUTED_VALUE"""),"P-54199-00")</f>
        <v>P-54199-00</v>
      </c>
    </row>
    <row r="2472">
      <c r="A2472" s="14" t="str">
        <f>IFERROR(__xludf.DUMMYFUNCTION("""COMPUTED_VALUE"""),"P-54210-00")</f>
        <v>P-54210-00</v>
      </c>
      <c r="B2472" s="14" t="str">
        <f>IFERROR(__xludf.DUMMYFUNCTION("""COMPUTED_VALUE"""),"General - Cover Stop Kontak; Schneider; IEC 60529 BS5733; 1 pcs")</f>
        <v>General - Cover Stop Kontak; Schneider; IEC 60529 BS5733; 1 pcs</v>
      </c>
      <c r="C2472" s="14" t="str">
        <f>IFERROR(__xludf.DUMMYFUNCTION("""COMPUTED_VALUE"""),"P-54210-00")</f>
        <v>P-54210-00</v>
      </c>
    </row>
    <row r="2473">
      <c r="A2473" s="14" t="str">
        <f>IFERROR(__xludf.DUMMYFUNCTION("""COMPUTED_VALUE"""),"P-54214-00")</f>
        <v>P-54214-00</v>
      </c>
      <c r="B2473" s="14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4" t="str">
        <f>IFERROR(__xludf.DUMMYFUNCTION("""COMPUTED_VALUE"""),"P-54214-00")</f>
        <v>P-54214-00</v>
      </c>
    </row>
    <row r="2474">
      <c r="A2474" s="14" t="str">
        <f>IFERROR(__xludf.DUMMYFUNCTION("""COMPUTED_VALUE"""),"P-54218-00")</f>
        <v>P-54218-00</v>
      </c>
      <c r="B2474" s="14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4" t="str">
        <f>IFERROR(__xludf.DUMMYFUNCTION("""COMPUTED_VALUE"""),"P-54218-00")</f>
        <v>P-54218-00</v>
      </c>
    </row>
    <row r="2475">
      <c r="A2475" s="14" t="str">
        <f>IFERROR(__xludf.DUMMYFUNCTION("""COMPUTED_VALUE"""),"P-54221-00")</f>
        <v>P-54221-00</v>
      </c>
      <c r="B2475" s="14" t="str">
        <f>IFERROR(__xludf.DUMMYFUNCTION("""COMPUTED_VALUE"""),"Oxygen Sensor PPM - IGS N2 SMC; Nexuz; OC 300-7;")</f>
        <v>Oxygen Sensor PPM - IGS N2 SMC; Nexuz; OC 300-7;</v>
      </c>
      <c r="C2475" s="14" t="str">
        <f>IFERROR(__xludf.DUMMYFUNCTION("""COMPUTED_VALUE"""),"P-54221-00")</f>
        <v>P-54221-00</v>
      </c>
    </row>
    <row r="2476">
      <c r="A2476" s="14" t="str">
        <f>IFERROR(__xludf.DUMMYFUNCTION("""COMPUTED_VALUE"""),"P-54222-00")</f>
        <v>P-54222-00</v>
      </c>
      <c r="B2476" s="14" t="str">
        <f>IFERROR(__xludf.DUMMYFUNCTION("""COMPUTED_VALUE"""),"Module Voltage Monitoring Relay; Siemens; 3UG4512-1AR20;")</f>
        <v>Module Voltage Monitoring Relay; Siemens; 3UG4512-1AR20;</v>
      </c>
      <c r="C2476" s="14" t="str">
        <f>IFERROR(__xludf.DUMMYFUNCTION("""COMPUTED_VALUE"""),"P-54222-00")</f>
        <v>P-54222-00</v>
      </c>
    </row>
    <row r="2477">
      <c r="A2477" s="14" t="str">
        <f>IFERROR(__xludf.DUMMYFUNCTION("""COMPUTED_VALUE"""),"P-54223-00")</f>
        <v>P-54223-00</v>
      </c>
      <c r="B2477" s="14" t="str">
        <f>IFERROR(__xludf.DUMMYFUNCTION("""COMPUTED_VALUE"""),"Socket Charger SB175A grey; Anderson; ;")</f>
        <v>Socket Charger SB175A grey; Anderson; ;</v>
      </c>
      <c r="C2477" s="14" t="str">
        <f>IFERROR(__xludf.DUMMYFUNCTION("""COMPUTED_VALUE"""),"P-54223-00")</f>
        <v>P-54223-00</v>
      </c>
    </row>
    <row r="2478">
      <c r="A2478" s="14" t="str">
        <f>IFERROR(__xludf.DUMMYFUNCTION("""COMPUTED_VALUE"""),"P-54224-00")</f>
        <v>P-54224-00</v>
      </c>
      <c r="B2478" s="14" t="str">
        <f>IFERROR(__xludf.DUMMYFUNCTION("""COMPUTED_VALUE"""),"Lampu TL Emergency 18W; Custom; ;")</f>
        <v>Lampu TL Emergency 18W; Custom; ;</v>
      </c>
      <c r="C2478" s="14" t="str">
        <f>IFERROR(__xludf.DUMMYFUNCTION("""COMPUTED_VALUE"""),"P-54224-00")</f>
        <v>P-54224-00</v>
      </c>
    </row>
    <row r="2479">
      <c r="A2479" s="14" t="str">
        <f>IFERROR(__xludf.DUMMYFUNCTION("""COMPUTED_VALUE"""),"P-54225-00")</f>
        <v>P-54225-00</v>
      </c>
      <c r="B2479" s="14" t="str">
        <f>IFERROR(__xludf.DUMMYFUNCTION("""COMPUTED_VALUE"""),"Face Plate HDMI to VGA Skrup; AMP; AMP; ;")</f>
        <v>Face Plate HDMI to VGA Skrup; AMP; AMP; ;</v>
      </c>
      <c r="C2479" s="14" t="str">
        <f>IFERROR(__xludf.DUMMYFUNCTION("""COMPUTED_VALUE"""),"P-54225-00")</f>
        <v>P-54225-00</v>
      </c>
    </row>
    <row r="2480">
      <c r="A2480" s="14" t="str">
        <f>IFERROR(__xludf.DUMMYFUNCTION("""COMPUTED_VALUE"""),"P-54226-00")</f>
        <v>P-54226-00</v>
      </c>
      <c r="B2480" s="14" t="str">
        <f>IFERROR(__xludf.DUMMYFUNCTION("""COMPUTED_VALUE"""),"Pompa Celup SS SE-268 San-Ei; San-Ei; ;")</f>
        <v>Pompa Celup SS SE-268 San-Ei; San-Ei; ;</v>
      </c>
      <c r="C2480" s="14" t="str">
        <f>IFERROR(__xludf.DUMMYFUNCTION("""COMPUTED_VALUE"""),"P-54226-00")</f>
        <v>P-54226-00</v>
      </c>
    </row>
    <row r="2481">
      <c r="A2481" s="14" t="str">
        <f>IFERROR(__xludf.DUMMYFUNCTION("""COMPUTED_VALUE"""),"P-54254-00")</f>
        <v>P-54254-00</v>
      </c>
      <c r="B2481" s="14" t="str">
        <f>IFERROR(__xludf.DUMMYFUNCTION("""COMPUTED_VALUE"""),"General - Control Valve DN20 with Actuator; Regin; DFCM-220X; 1 pcs")</f>
        <v>General - Control Valve DN20 with Actuator; Regin; DFCM-220X; 1 pcs</v>
      </c>
      <c r="C2481" s="14" t="str">
        <f>IFERROR(__xludf.DUMMYFUNCTION("""COMPUTED_VALUE"""),"P-54254-00")</f>
        <v>P-54254-00</v>
      </c>
    </row>
    <row r="2482">
      <c r="A2482" s="14" t="str">
        <f>IFERROR(__xludf.DUMMYFUNCTION("""COMPUTED_VALUE"""),"P-54256-00")</f>
        <v>P-54256-00</v>
      </c>
      <c r="B2482" s="14" t="str">
        <f>IFERROR(__xludf.DUMMYFUNCTION("""COMPUTED_VALUE"""),"General - Centrifugal Fan R3G220-RD53-03; EBMPAST; 8115613807; 1 unit")</f>
        <v>General - Centrifugal Fan R3G220-RD53-03; EBMPAST; 8115613807; 1 unit</v>
      </c>
      <c r="C2482" s="14" t="str">
        <f>IFERROR(__xludf.DUMMYFUNCTION("""COMPUTED_VALUE"""),"P-54256-00")</f>
        <v>P-54256-00</v>
      </c>
    </row>
    <row r="2483">
      <c r="A2483" s="14" t="str">
        <f>IFERROR(__xludf.DUMMYFUNCTION("""COMPUTED_VALUE"""),"P-54257-00")</f>
        <v>P-54257-00</v>
      </c>
      <c r="B2483" s="14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4" t="str">
        <f>IFERROR(__xludf.DUMMYFUNCTION("""COMPUTED_VALUE"""),"P-54257-00")</f>
        <v>P-54257-00</v>
      </c>
    </row>
    <row r="2484">
      <c r="A2484" s="14" t="str">
        <f>IFERROR(__xludf.DUMMYFUNCTION("""COMPUTED_VALUE"""),"P-54269-00")</f>
        <v>P-54269-00</v>
      </c>
      <c r="B2484" s="14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4" t="str">
        <f>IFERROR(__xludf.DUMMYFUNCTION("""COMPUTED_VALUE"""),"P-54269-00")</f>
        <v>P-54269-00</v>
      </c>
    </row>
    <row r="2485">
      <c r="A2485" s="14" t="str">
        <f>IFERROR(__xludf.DUMMYFUNCTION("""COMPUTED_VALUE"""),"P-54284-00")</f>
        <v>P-54284-00</v>
      </c>
      <c r="B2485" s="14" t="str">
        <f>IFERROR(__xludf.DUMMYFUNCTION("""COMPUTED_VALUE"""),"SCHINDLER ELEVATOR - Interphone; Schindler; -; 1 pc")</f>
        <v>SCHINDLER ELEVATOR - Interphone; Schindler; -; 1 pc</v>
      </c>
      <c r="C2485" s="14" t="str">
        <f>IFERROR(__xludf.DUMMYFUNCTION("""COMPUTED_VALUE"""),"P-54284-00")</f>
        <v>P-54284-00</v>
      </c>
    </row>
    <row r="2486">
      <c r="A2486" s="14" t="str">
        <f>IFERROR(__xludf.DUMMYFUNCTION("""COMPUTED_VALUE"""),"P-54306-00")</f>
        <v>P-54306-00</v>
      </c>
      <c r="B2486" s="14" t="str">
        <f>IFERROR(__xludf.DUMMYFUNCTION("""COMPUTED_VALUE"""),"General - Kapacitor AC 40+2uF; Philips; 3PN15960-4; 1 pc")</f>
        <v>General - Kapacitor AC 40+2uF; Philips; 3PN15960-4; 1 pc</v>
      </c>
      <c r="C2486" s="14" t="str">
        <f>IFERROR(__xludf.DUMMYFUNCTION("""COMPUTED_VALUE"""),"P-54306-00")</f>
        <v>P-54306-00</v>
      </c>
    </row>
    <row r="2487">
      <c r="A2487" s="14" t="str">
        <f>IFERROR(__xludf.DUMMYFUNCTION("""COMPUTED_VALUE"""),"P-54311-00")</f>
        <v>P-54311-00</v>
      </c>
      <c r="B2487" s="14" t="str">
        <f>IFERROR(__xludf.DUMMYFUNCTION("""COMPUTED_VALUE"""),"General - Selenoid 1/8inch, 24VDC; Airtac; 4V210-06; 1 pc")</f>
        <v>General - Selenoid 1/8inch, 24VDC; Airtac; 4V210-06; 1 pc</v>
      </c>
      <c r="C2487" s="14" t="str">
        <f>IFERROR(__xludf.DUMMYFUNCTION("""COMPUTED_VALUE"""),"P-54311-00")</f>
        <v>P-54311-00</v>
      </c>
    </row>
    <row r="2488">
      <c r="A2488" s="14" t="str">
        <f>IFERROR(__xludf.DUMMYFUNCTION("""COMPUTED_VALUE"""),"P-54312-00")</f>
        <v>P-54312-00</v>
      </c>
      <c r="B2488" s="14" t="str">
        <f>IFERROR(__xludf.DUMMYFUNCTION("""COMPUTED_VALUE"""),"General - Level Switch ERV 1/8 Inch Steris; Austar; -; 1 pc")</f>
        <v>General - Level Switch ERV 1/8 Inch Steris; Austar; -; 1 pc</v>
      </c>
      <c r="C2488" s="14" t="str">
        <f>IFERROR(__xludf.DUMMYFUNCTION("""COMPUTED_VALUE"""),"P-54312-00")</f>
        <v>P-54312-00</v>
      </c>
    </row>
    <row r="2489">
      <c r="A2489" s="14" t="str">
        <f>IFERROR(__xludf.DUMMYFUNCTION("""COMPUTED_VALUE"""),"P-54327-00")</f>
        <v>P-54327-00</v>
      </c>
      <c r="B2489" s="14" t="str">
        <f>IFERROR(__xludf.DUMMYFUNCTION("""COMPUTED_VALUE"""),"General - Kap Lampu Waterptoof T8 1x18 IP65; No Brand; -; 1 pc")</f>
        <v>General - Kap Lampu Waterptoof T8 1x18 IP65; No Brand; -; 1 pc</v>
      </c>
      <c r="C2489" s="14" t="str">
        <f>IFERROR(__xludf.DUMMYFUNCTION("""COMPUTED_VALUE"""),"P-54327-00")</f>
        <v>P-54327-00</v>
      </c>
    </row>
    <row r="2490">
      <c r="A2490" s="14" t="str">
        <f>IFERROR(__xludf.DUMMYFUNCTION("""COMPUTED_VALUE"""),"P-54328-00")</f>
        <v>P-54328-00</v>
      </c>
      <c r="B2490" s="14" t="str">
        <f>IFERROR(__xludf.DUMMYFUNCTION("""COMPUTED_VALUE"""),"General - Lampu LED T8 9W Kuning 3000K; Hannochs; -; 1 pc")</f>
        <v>General - Lampu LED T8 9W Kuning 3000K; Hannochs; -; 1 pc</v>
      </c>
      <c r="C2490" s="14" t="str">
        <f>IFERROR(__xludf.DUMMYFUNCTION("""COMPUTED_VALUE"""),"P-54328-00")</f>
        <v>P-54328-00</v>
      </c>
    </row>
    <row r="2491">
      <c r="A2491" s="14" t="str">
        <f>IFERROR(__xludf.DUMMYFUNCTION("""COMPUTED_VALUE"""),"P-54334-00")</f>
        <v>P-54334-00</v>
      </c>
      <c r="B2491" s="14" t="str">
        <f>IFERROR(__xludf.DUMMYFUNCTION("""COMPUTED_VALUE"""),"General - Socket Relay PYFZ-14-E; Omron; -; 1 pc")</f>
        <v>General - Socket Relay PYFZ-14-E; Omron; -; 1 pc</v>
      </c>
      <c r="C2491" s="14" t="str">
        <f>IFERROR(__xludf.DUMMYFUNCTION("""COMPUTED_VALUE"""),"P-54334-00")</f>
        <v>P-54334-00</v>
      </c>
    </row>
    <row r="2492">
      <c r="A2492" s="14" t="str">
        <f>IFERROR(__xludf.DUMMYFUNCTION("""COMPUTED_VALUE"""),"P-54348-00")</f>
        <v>P-54348-00</v>
      </c>
      <c r="B2492" s="14" t="str">
        <f>IFERROR(__xludf.DUMMYFUNCTION("""COMPUTED_VALUE"""),"General - Exhaust Fan 4414M; EBMPast; -; 1 pc")</f>
        <v>General - Exhaust Fan 4414M; EBMPast; -; 1 pc</v>
      </c>
      <c r="C2492" s="14" t="str">
        <f>IFERROR(__xludf.DUMMYFUNCTION("""COMPUTED_VALUE"""),"P-54348-00")</f>
        <v>P-54348-00</v>
      </c>
    </row>
    <row r="2493">
      <c r="A2493" s="14" t="str">
        <f>IFERROR(__xludf.DUMMYFUNCTION("""COMPUTED_VALUE"""),"P-54349-00")</f>
        <v>P-54349-00</v>
      </c>
      <c r="B2493" s="14" t="str">
        <f>IFERROR(__xludf.DUMMYFUNCTION("""COMPUTED_VALUE"""),"General - Threaded 3 Port Valve; Siemens; VXG44.32-16; 1 pc")</f>
        <v>General - Threaded 3 Port Valve; Siemens; VXG44.32-16; 1 pc</v>
      </c>
      <c r="C2493" s="14" t="str">
        <f>IFERROR(__xludf.DUMMYFUNCTION("""COMPUTED_VALUE"""),"P-54349-00")</f>
        <v>P-54349-00</v>
      </c>
    </row>
    <row r="2494">
      <c r="A2494" s="14" t="str">
        <f>IFERROR(__xludf.DUMMYFUNCTION("""COMPUTED_VALUE"""),"P-54351-00")</f>
        <v>P-54351-00</v>
      </c>
      <c r="B2494" s="14" t="str">
        <f>IFERROR(__xludf.DUMMYFUNCTION("""COMPUTED_VALUE"""),"General - Carbon Brush Set Mini Grinder MG005; No Brand; -; 1 set")</f>
        <v>General - Carbon Brush Set Mini Grinder MG005; No Brand; -; 1 set</v>
      </c>
      <c r="C2494" s="14" t="str">
        <f>IFERROR(__xludf.DUMMYFUNCTION("""COMPUTED_VALUE"""),"P-54351-00")</f>
        <v>P-54351-00</v>
      </c>
    </row>
    <row r="2495">
      <c r="A2495" s="14" t="str">
        <f>IFERROR(__xludf.DUMMYFUNCTION("""COMPUTED_VALUE"""),"P-54352-00")</f>
        <v>P-54352-00</v>
      </c>
      <c r="B2495" s="14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4" t="str">
        <f>IFERROR(__xludf.DUMMYFUNCTION("""COMPUTED_VALUE"""),"P-54352-00")</f>
        <v>P-54352-00</v>
      </c>
    </row>
    <row r="2496">
      <c r="A2496" s="14" t="str">
        <f>IFERROR(__xludf.DUMMYFUNCTION("""COMPUTED_VALUE"""),"P-54353-00")</f>
        <v>P-54353-00</v>
      </c>
      <c r="B2496" s="14" t="str">
        <f>IFERROR(__xludf.DUMMYFUNCTION("""COMPUTED_VALUE"""),"General - Relay MKS2P + Socket; Omron; -; 1 set")</f>
        <v>General - Relay MKS2P + Socket; Omron; -; 1 set</v>
      </c>
      <c r="C2496" s="14" t="str">
        <f>IFERROR(__xludf.DUMMYFUNCTION("""COMPUTED_VALUE"""),"P-54353-00")</f>
        <v>P-54353-00</v>
      </c>
    </row>
    <row r="2497">
      <c r="A2497" s="14" t="str">
        <f>IFERROR(__xludf.DUMMYFUNCTION("""COMPUTED_VALUE"""),"P-54354-00")</f>
        <v>P-54354-00</v>
      </c>
      <c r="B2497" s="14" t="str">
        <f>IFERROR(__xludf.DUMMYFUNCTION("""COMPUTED_VALUE"""),"General - UX52 Variable Speed Controller 90W; Houle; -; 1 pc")</f>
        <v>General - UX52 Variable Speed Controller 90W; Houle; -; 1 pc</v>
      </c>
      <c r="C2497" s="14" t="str">
        <f>IFERROR(__xludf.DUMMYFUNCTION("""COMPUTED_VALUE"""),"P-54354-00")</f>
        <v>P-54354-00</v>
      </c>
    </row>
    <row r="2498">
      <c r="A2498" s="14" t="str">
        <f>IFERROR(__xludf.DUMMYFUNCTION("""COMPUTED_VALUE"""),"P-54355-00")</f>
        <v>P-54355-00</v>
      </c>
      <c r="B2498" s="14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4" t="str">
        <f>IFERROR(__xludf.DUMMYFUNCTION("""COMPUTED_VALUE"""),"P-54355-00")</f>
        <v>P-54355-00</v>
      </c>
    </row>
    <row r="2499">
      <c r="A2499" s="14" t="str">
        <f>IFERROR(__xludf.DUMMYFUNCTION("""COMPUTED_VALUE"""),"P-54357-00")</f>
        <v>P-54357-00</v>
      </c>
      <c r="B2499" s="14" t="str">
        <f>IFERROR(__xludf.DUMMYFUNCTION("""COMPUTED_VALUE"""),"General - Battery Rechargeable 6V 6000mAh; NI-MH Battery; -; 1 pc")</f>
        <v>General - Battery Rechargeable 6V 6000mAh; NI-MH Battery; -; 1 pc</v>
      </c>
      <c r="C2499" s="14" t="str">
        <f>IFERROR(__xludf.DUMMYFUNCTION("""COMPUTED_VALUE"""),"P-54357-00")</f>
        <v>P-54357-00</v>
      </c>
    </row>
    <row r="2500">
      <c r="A2500" s="14" t="str">
        <f>IFERROR(__xludf.DUMMYFUNCTION("""COMPUTED_VALUE"""),"P-54370-00")</f>
        <v>P-54370-00</v>
      </c>
      <c r="B2500" s="14" t="str">
        <f>IFERROR(__xludf.DUMMYFUNCTION("""COMPUTED_VALUE"""),"General - Lampu Indikator 24V 5W 1kaki; Hella; -; 10pcs/box")</f>
        <v>General - Lampu Indikator 24V 5W 1kaki; Hella; -; 10pcs/box</v>
      </c>
      <c r="C2500" s="14" t="str">
        <f>IFERROR(__xludf.DUMMYFUNCTION("""COMPUTED_VALUE"""),"P-54370-00")</f>
        <v>P-54370-00</v>
      </c>
    </row>
    <row r="2501">
      <c r="A2501" s="14" t="str">
        <f>IFERROR(__xludf.DUMMYFUNCTION("""COMPUTED_VALUE"""),"P-54372-00")</f>
        <v>P-54372-00</v>
      </c>
      <c r="B2501" s="14" t="str">
        <f>IFERROR(__xludf.DUMMYFUNCTION("""COMPUTED_VALUE"""),"General - Fuse Holder 10 x 38, 32A; Fort; -; 1 pc")</f>
        <v>General - Fuse Holder 10 x 38, 32A; Fort; -; 1 pc</v>
      </c>
      <c r="C2501" s="14" t="str">
        <f>IFERROR(__xludf.DUMMYFUNCTION("""COMPUTED_VALUE"""),"P-54372-00")</f>
        <v>P-54372-00</v>
      </c>
    </row>
    <row r="2502">
      <c r="A2502" s="14" t="str">
        <f>IFERROR(__xludf.DUMMYFUNCTION("""COMPUTED_VALUE"""),"P-54402-00")</f>
        <v>P-54402-00</v>
      </c>
      <c r="B2502" s="14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4" t="str">
        <f>IFERROR(__xludf.DUMMYFUNCTION("""COMPUTED_VALUE"""),"P-54402-00")</f>
        <v>P-54402-00</v>
      </c>
    </row>
    <row r="2503">
      <c r="A2503" s="14" t="str">
        <f>IFERROR(__xludf.DUMMYFUNCTION("""COMPUTED_VALUE"""),"P-54410-00")</f>
        <v>P-54410-00</v>
      </c>
      <c r="B2503" s="14" t="str">
        <f>IFERROR(__xludf.DUMMYFUNCTION("""COMPUTED_VALUE"""),"General - Fuse Kaca 1.5A, 250V, 5 x 20mm; No Brand; -; 1 pc")</f>
        <v>General - Fuse Kaca 1.5A, 250V, 5 x 20mm; No Brand; -; 1 pc</v>
      </c>
      <c r="C2503" s="14" t="str">
        <f>IFERROR(__xludf.DUMMYFUNCTION("""COMPUTED_VALUE"""),"P-54410-00")</f>
        <v>P-54410-00</v>
      </c>
    </row>
    <row r="2504">
      <c r="A2504" s="14" t="str">
        <f>IFERROR(__xludf.DUMMYFUNCTION("""COMPUTED_VALUE"""),"P-54446-00")</f>
        <v>P-54446-00</v>
      </c>
      <c r="B2504" s="14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4" t="str">
        <f>IFERROR(__xludf.DUMMYFUNCTION("""COMPUTED_VALUE"""),"P-54446-00")</f>
        <v>P-54446-00</v>
      </c>
    </row>
    <row r="2505">
      <c r="A2505" s="14" t="str">
        <f>IFERROR(__xludf.DUMMYFUNCTION("""COMPUTED_VALUE"""),"P-54447-00")</f>
        <v>P-54447-00</v>
      </c>
      <c r="B2505" s="14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4" t="str">
        <f>IFERROR(__xludf.DUMMYFUNCTION("""COMPUTED_VALUE"""),"P-54447-00")</f>
        <v>P-54447-00</v>
      </c>
    </row>
    <row r="2506">
      <c r="A2506" s="14" t="str">
        <f>IFERROR(__xludf.DUMMYFUNCTION("""COMPUTED_VALUE"""),"P-54462-00")</f>
        <v>P-54462-00</v>
      </c>
      <c r="B2506" s="14" t="str">
        <f>IFERROR(__xludf.DUMMYFUNCTION("""COMPUTED_VALUE"""),"General - MCB 6A 1Phase Domae; Schneider; DOMF01106; 1 pc")</f>
        <v>General - MCB 6A 1Phase Domae; Schneider; DOMF01106; 1 pc</v>
      </c>
      <c r="C2506" s="14" t="str">
        <f>IFERROR(__xludf.DUMMYFUNCTION("""COMPUTED_VALUE"""),"P-54462-00")</f>
        <v>P-54462-00</v>
      </c>
    </row>
    <row r="2507">
      <c r="A2507" s="14" t="str">
        <f>IFERROR(__xludf.DUMMYFUNCTION("""COMPUTED_VALUE"""),"P-54463-00")</f>
        <v>P-54463-00</v>
      </c>
      <c r="B2507" s="14" t="str">
        <f>IFERROR(__xludf.DUMMYFUNCTION("""COMPUTED_VALUE"""),"General - MCB 4A 1Phase Domae; Schneider; DOMF01104; 1 pc")</f>
        <v>General - MCB 4A 1Phase Domae; Schneider; DOMF01104; 1 pc</v>
      </c>
      <c r="C2507" s="14" t="str">
        <f>IFERROR(__xludf.DUMMYFUNCTION("""COMPUTED_VALUE"""),"P-54463-00")</f>
        <v>P-54463-00</v>
      </c>
    </row>
    <row r="2508">
      <c r="A2508" s="14" t="str">
        <f>IFERROR(__xludf.DUMMYFUNCTION("""COMPUTED_VALUE"""),"P-54464-00")</f>
        <v>P-54464-00</v>
      </c>
      <c r="B2508" s="14" t="str">
        <f>IFERROR(__xludf.DUMMYFUNCTION("""COMPUTED_VALUE"""),"General - MCB 32A 3Phase Domae; Schneider; DOMF01332; 1 pc")</f>
        <v>General - MCB 32A 3Phase Domae; Schneider; DOMF01332; 1 pc</v>
      </c>
      <c r="C2508" s="14" t="str">
        <f>IFERROR(__xludf.DUMMYFUNCTION("""COMPUTED_VALUE"""),"P-54464-00")</f>
        <v>P-54464-00</v>
      </c>
    </row>
    <row r="2509">
      <c r="A2509" s="14" t="str">
        <f>IFERROR(__xludf.DUMMYFUNCTION("""COMPUTED_VALUE"""),"P-54465-00")</f>
        <v>P-54465-00</v>
      </c>
      <c r="B2509" s="14" t="str">
        <f>IFERROR(__xludf.DUMMYFUNCTION("""COMPUTED_VALUE"""),"General - MCB 6A 3Phase C 6000A Domae; Schneider; -; 1 pc")</f>
        <v>General - MCB 6A 3Phase C 6000A Domae; Schneider; -; 1 pc</v>
      </c>
      <c r="C2509" s="14" t="str">
        <f>IFERROR(__xludf.DUMMYFUNCTION("""COMPUTED_VALUE"""),"P-54465-00")</f>
        <v>P-54465-00</v>
      </c>
    </row>
    <row r="2510">
      <c r="A2510" s="14" t="str">
        <f>IFERROR(__xludf.DUMMYFUNCTION("""COMPUTED_VALUE"""),"P-54466-00")</f>
        <v>P-54466-00</v>
      </c>
      <c r="B2510" s="14" t="str">
        <f>IFERROR(__xludf.DUMMYFUNCTION("""COMPUTED_VALUE"""),"General - MCB 10A 1Phase Domae; Schneider; DOMF01110; 1 pc")</f>
        <v>General - MCB 10A 1Phase Domae; Schneider; DOMF01110; 1 pc</v>
      </c>
      <c r="C2510" s="14" t="str">
        <f>IFERROR(__xludf.DUMMYFUNCTION("""COMPUTED_VALUE"""),"P-54466-00")</f>
        <v>P-54466-00</v>
      </c>
    </row>
    <row r="2511">
      <c r="A2511" s="14" t="str">
        <f>IFERROR(__xludf.DUMMYFUNCTION("""COMPUTED_VALUE"""),"P-54467-00")</f>
        <v>P-54467-00</v>
      </c>
      <c r="B2511" s="14" t="str">
        <f>IFERROR(__xludf.DUMMYFUNCTION("""COMPUTED_VALUE"""),"General - Selector Switch 3 Posisi 22mm; Idec; YW1S-3E20; 1 pc")</f>
        <v>General - Selector Switch 3 Posisi 22mm; Idec; YW1S-3E20; 1 pc</v>
      </c>
      <c r="C2511" s="14" t="str">
        <f>IFERROR(__xludf.DUMMYFUNCTION("""COMPUTED_VALUE"""),"P-54467-00")</f>
        <v>P-54467-00</v>
      </c>
    </row>
    <row r="2512">
      <c r="A2512" s="14" t="str">
        <f>IFERROR(__xludf.DUMMYFUNCTION("""COMPUTED_VALUE"""),"P-54468-00")</f>
        <v>P-54468-00</v>
      </c>
      <c r="B2512" s="14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4" t="str">
        <f>IFERROR(__xludf.DUMMYFUNCTION("""COMPUTED_VALUE"""),"P-54468-00")</f>
        <v>P-54468-00</v>
      </c>
    </row>
    <row r="2513">
      <c r="A2513" s="14" t="str">
        <f>IFERROR(__xludf.DUMMYFUNCTION("""COMPUTED_VALUE"""),"P-54491-00")</f>
        <v>P-54491-00</v>
      </c>
      <c r="B2513" s="14" t="str">
        <f>IFERROR(__xludf.DUMMYFUNCTION("""COMPUTED_VALUE"""),"Lift Schindler - LOP Button Set; Schindler; IWU-000869; 1 set")</f>
        <v>Lift Schindler - LOP Button Set; Schindler; IWU-000869; 1 set</v>
      </c>
      <c r="C2513" s="14" t="str">
        <f>IFERROR(__xludf.DUMMYFUNCTION("""COMPUTED_VALUE"""),"P-54491-00")</f>
        <v>P-54491-00</v>
      </c>
    </row>
    <row r="2514">
      <c r="A2514" s="14" t="str">
        <f>IFERROR(__xludf.DUMMYFUNCTION("""COMPUTED_VALUE"""),"P-54505-00")</f>
        <v>P-54505-00</v>
      </c>
      <c r="B2514" s="14" t="str">
        <f>IFERROR(__xludf.DUMMYFUNCTION("""COMPUTED_VALUE"""),"General - Lampu LED Downlight DN027B G3 D125 6W; Phillips; -; 1 pc")</f>
        <v>General - Lampu LED Downlight DN027B G3 D125 6W; Phillips; -; 1 pc</v>
      </c>
      <c r="C2514" s="14" t="str">
        <f>IFERROR(__xludf.DUMMYFUNCTION("""COMPUTED_VALUE"""),"P-54505-00")</f>
        <v>P-54505-00</v>
      </c>
    </row>
    <row r="2515">
      <c r="A2515" s="14" t="str">
        <f>IFERROR(__xludf.DUMMYFUNCTION("""COMPUTED_VALUE"""),"P-54506-00")</f>
        <v>P-54506-00</v>
      </c>
      <c r="B2515" s="14" t="str">
        <f>IFERROR(__xludf.DUMMYFUNCTION("""COMPUTED_VALUE"""),"General - Sensor Stick Flow Probe MFS-R-500; Micatrone; -; 1 unit")</f>
        <v>General - Sensor Stick Flow Probe MFS-R-500; Micatrone; -; 1 unit</v>
      </c>
      <c r="C2515" s="14" t="str">
        <f>IFERROR(__xludf.DUMMYFUNCTION("""COMPUTED_VALUE"""),"P-54506-00")</f>
        <v>P-54506-00</v>
      </c>
    </row>
    <row r="2516">
      <c r="A2516" s="14" t="str">
        <f>IFERROR(__xludf.DUMMYFUNCTION("""COMPUTED_VALUE"""),"P-54507-00")</f>
        <v>P-54507-00</v>
      </c>
      <c r="B2516" s="14" t="str">
        <f>IFERROR(__xludf.DUMMYFUNCTION("""COMPUTED_VALUE"""),"General - Relay MY2N-GS-R AC24 BY OMZ; Omron; -; 1 pc")</f>
        <v>General - Relay MY2N-GS-R AC24 BY OMZ; Omron; -; 1 pc</v>
      </c>
      <c r="C2516" s="14" t="str">
        <f>IFERROR(__xludf.DUMMYFUNCTION("""COMPUTED_VALUE"""),"P-54507-00")</f>
        <v>P-54507-00</v>
      </c>
    </row>
    <row r="2517">
      <c r="A2517" s="14" t="str">
        <f>IFERROR(__xludf.DUMMYFUNCTION("""COMPUTED_VALUE"""),"P-54508-00")</f>
        <v>P-54508-00</v>
      </c>
      <c r="B2517" s="14" t="str">
        <f>IFERROR(__xludf.DUMMYFUNCTION("""COMPUTED_VALUE"""),"General - Comb Busbar Sisir, 3 Phase, 63A, 10391; Schneider; -; 1 pc")</f>
        <v>General - Comb Busbar Sisir, 3 Phase, 63A, 10391; Schneider; -; 1 pc</v>
      </c>
      <c r="C2517" s="14" t="str">
        <f>IFERROR(__xludf.DUMMYFUNCTION("""COMPUTED_VALUE"""),"P-54508-00")</f>
        <v>P-54508-00</v>
      </c>
    </row>
    <row r="2518">
      <c r="A2518" s="14" t="str">
        <f>IFERROR(__xludf.DUMMYFUNCTION("""COMPUTED_VALUE"""),"P-54509-00")</f>
        <v>P-54509-00</v>
      </c>
      <c r="B2518" s="14" t="str">
        <f>IFERROR(__xludf.DUMMYFUNCTION("""COMPUTED_VALUE"""),"General - Buzzer Panel, 12VDC, 22mm, SCB-22; Shemco; -; 1 pc")</f>
        <v>General - Buzzer Panel, 12VDC, 22mm, SCB-22; Shemco; -; 1 pc</v>
      </c>
      <c r="C2518" s="14" t="str">
        <f>IFERROR(__xludf.DUMMYFUNCTION("""COMPUTED_VALUE"""),"P-54509-00")</f>
        <v>P-54509-00</v>
      </c>
    </row>
    <row r="2519">
      <c r="A2519" s="14" t="str">
        <f>IFERROR(__xludf.DUMMYFUNCTION("""COMPUTED_VALUE"""),"P-54510-00")</f>
        <v>P-54510-00</v>
      </c>
      <c r="B2519" s="14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4" t="str">
        <f>IFERROR(__xludf.DUMMYFUNCTION("""COMPUTED_VALUE"""),"P-54510-00")</f>
        <v>P-54510-00</v>
      </c>
    </row>
    <row r="2520">
      <c r="A2520" s="14" t="str">
        <f>IFERROR(__xludf.DUMMYFUNCTION("""COMPUTED_VALUE"""),"P-54512-00")</f>
        <v>P-54512-00</v>
      </c>
      <c r="B2520" s="14" t="str">
        <f>IFERROR(__xludf.DUMMYFUNCTION("""COMPUTED_VALUE"""),"General - Kabel Duct PVC, Lubang, Uk. 32 x 32mm; No Brand; -; 1 pc")</f>
        <v>General - Kabel Duct PVC, Lubang, Uk. 32 x 32mm; No Brand; -; 1 pc</v>
      </c>
      <c r="C2520" s="14" t="str">
        <f>IFERROR(__xludf.DUMMYFUNCTION("""COMPUTED_VALUE"""),"P-54512-00")</f>
        <v>P-54512-00</v>
      </c>
    </row>
    <row r="2521">
      <c r="A2521" s="14" t="str">
        <f>IFERROR(__xludf.DUMMYFUNCTION("""COMPUTED_VALUE"""),"P-54513-00")</f>
        <v>P-54513-00</v>
      </c>
      <c r="B2521" s="14" t="str">
        <f>IFERROR(__xludf.DUMMYFUNCTION("""COMPUTED_VALUE"""),"General - Kabel Gland PG25; No Brand; -; 1 pc")</f>
        <v>General - Kabel Gland PG25; No Brand; -; 1 pc</v>
      </c>
      <c r="C2521" s="14" t="str">
        <f>IFERROR(__xludf.DUMMYFUNCTION("""COMPUTED_VALUE"""),"P-54513-00")</f>
        <v>P-54513-00</v>
      </c>
    </row>
    <row r="2522">
      <c r="A2522" s="14" t="str">
        <f>IFERROR(__xludf.DUMMYFUNCTION("""COMPUTED_VALUE"""),"P-54514-00")</f>
        <v>P-54514-00</v>
      </c>
      <c r="B2522" s="14" t="str">
        <f>IFERROR(__xludf.DUMMYFUNCTION("""COMPUTED_VALUE"""),"General - Skun Y, 2.5mm, Hijau; Ewig; -; 100pcs/pack")</f>
        <v>General - Skun Y, 2.5mm, Hijau; Ewig; -; 100pcs/pack</v>
      </c>
      <c r="C2522" s="14" t="str">
        <f>IFERROR(__xludf.DUMMYFUNCTION("""COMPUTED_VALUE"""),"P-54514-00")</f>
        <v>P-54514-00</v>
      </c>
    </row>
    <row r="2523">
      <c r="A2523" s="14" t="str">
        <f>IFERROR(__xludf.DUMMYFUNCTION("""COMPUTED_VALUE"""),"P-54515-00")</f>
        <v>P-54515-00</v>
      </c>
      <c r="B2523" s="14" t="str">
        <f>IFERROR(__xludf.DUMMYFUNCTION("""COMPUTED_VALUE"""),"General - Skun Y, 2.5mm, Kuning; Ewig; -; 100pcs/pack")</f>
        <v>General - Skun Y, 2.5mm, Kuning; Ewig; -; 100pcs/pack</v>
      </c>
      <c r="C2523" s="14" t="str">
        <f>IFERROR(__xludf.DUMMYFUNCTION("""COMPUTED_VALUE"""),"P-54515-00")</f>
        <v>P-54515-00</v>
      </c>
    </row>
    <row r="2524">
      <c r="A2524" s="14" t="str">
        <f>IFERROR(__xludf.DUMMYFUNCTION("""COMPUTED_VALUE"""),"P-54516-00")</f>
        <v>P-54516-00</v>
      </c>
      <c r="B2524" s="14" t="str">
        <f>IFERROR(__xludf.DUMMYFUNCTION("""COMPUTED_VALUE"""),"General - Skun Y, 2.5mm, Merah; Ewig; -; 100pcs/pack")</f>
        <v>General - Skun Y, 2.5mm, Merah; Ewig; -; 100pcs/pack</v>
      </c>
      <c r="C2524" s="14" t="str">
        <f>IFERROR(__xludf.DUMMYFUNCTION("""COMPUTED_VALUE"""),"P-54516-00")</f>
        <v>P-54516-00</v>
      </c>
    </row>
    <row r="2525">
      <c r="A2525" s="14" t="str">
        <f>IFERROR(__xludf.DUMMYFUNCTION("""COMPUTED_VALUE"""),"P-54517-00")</f>
        <v>P-54517-00</v>
      </c>
      <c r="B2525" s="14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4" t="str">
        <f>IFERROR(__xludf.DUMMYFUNCTION("""COMPUTED_VALUE"""),"P-54517-00")</f>
        <v>P-54517-00</v>
      </c>
    </row>
    <row r="2526">
      <c r="A2526" s="14" t="str">
        <f>IFERROR(__xludf.DUMMYFUNCTION("""COMPUTED_VALUE"""),"P-54518-00")</f>
        <v>P-54518-00</v>
      </c>
      <c r="B2526" s="14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4" t="str">
        <f>IFERROR(__xludf.DUMMYFUNCTION("""COMPUTED_VALUE"""),"P-54518-00")</f>
        <v>P-54518-00</v>
      </c>
    </row>
    <row r="2527">
      <c r="A2527" s="14" t="str">
        <f>IFERROR(__xludf.DUMMYFUNCTION("""COMPUTED_VALUE"""),"P-54519-00")</f>
        <v>P-54519-00</v>
      </c>
      <c r="B2527" s="14" t="str">
        <f>IFERROR(__xludf.DUMMYFUNCTION("""COMPUTED_VALUE"""),"General - Terminal Block TBR20; Fort; -; 50pcs/pack")</f>
        <v>General - Terminal Block TBR20; Fort; -; 50pcs/pack</v>
      </c>
      <c r="C2527" s="14" t="str">
        <f>IFERROR(__xludf.DUMMYFUNCTION("""COMPUTED_VALUE"""),"P-54519-00")</f>
        <v>P-54519-00</v>
      </c>
    </row>
    <row r="2528">
      <c r="A2528" s="14" t="str">
        <f>IFERROR(__xludf.DUMMYFUNCTION("""COMPUTED_VALUE"""),"P-54535-00")</f>
        <v>P-54535-00</v>
      </c>
      <c r="B2528" s="14" t="str">
        <f>IFERROR(__xludf.DUMMYFUNCTION("""COMPUTED_VALUE"""),"General - Stopper Din Rail 20mm; No Brand; -; 1 pc")</f>
        <v>General - Stopper Din Rail 20mm; No Brand; -; 1 pc</v>
      </c>
      <c r="C2528" s="14" t="str">
        <f>IFERROR(__xludf.DUMMYFUNCTION("""COMPUTED_VALUE"""),"P-54535-00")</f>
        <v>P-54535-00</v>
      </c>
    </row>
    <row r="2529">
      <c r="A2529" s="14" t="str">
        <f>IFERROR(__xludf.DUMMYFUNCTION("""COMPUTED_VALUE"""),"P-54536-00")</f>
        <v>P-54536-00</v>
      </c>
      <c r="B2529" s="14" t="str">
        <f>IFERROR(__xludf.DUMMYFUNCTION("""COMPUTED_VALUE"""),"General - Lampu TL-D 58W 6500K 1500mm; Philips; -; 1 pc")</f>
        <v>General - Lampu TL-D 58W 6500K 1500mm; Philips; -; 1 pc</v>
      </c>
      <c r="C2529" s="14" t="str">
        <f>IFERROR(__xludf.DUMMYFUNCTION("""COMPUTED_VALUE"""),"P-54536-00")</f>
        <v>P-54536-00</v>
      </c>
    </row>
    <row r="2530">
      <c r="A2530" s="14" t="str">
        <f>IFERROR(__xludf.DUMMYFUNCTION("""COMPUTED_VALUE"""),"P-54543-00")</f>
        <v>P-54543-00</v>
      </c>
      <c r="B2530" s="14" t="str">
        <f>IFERROR(__xludf.DUMMYFUNCTION("""COMPUTED_VALUE"""),"General - Junction Box MG 33 x 22 x 12cm; Duradus; -; 1 pc")</f>
        <v>General - Junction Box MG 33 x 22 x 12cm; Duradus; -; 1 pc</v>
      </c>
      <c r="C2530" s="14" t="str">
        <f>IFERROR(__xludf.DUMMYFUNCTION("""COMPUTED_VALUE"""),"P-54543-00")</f>
        <v>P-54543-00</v>
      </c>
    </row>
    <row r="2531">
      <c r="A2531" s="14" t="str">
        <f>IFERROR(__xludf.DUMMYFUNCTION("""COMPUTED_VALUE"""),"P-54550-00")</f>
        <v>P-54550-00</v>
      </c>
      <c r="B2531" s="14" t="str">
        <f>IFERROR(__xludf.DUMMYFUNCTION("""COMPUTED_VALUE"""),"General - Inline Fan Duct Size 6,4 Inch 755CMH; CKE; CI CDI160AZ; 1 pc")</f>
        <v>General - Inline Fan Duct Size 6,4 Inch 755CMH; CKE; CI CDI160AZ; 1 pc</v>
      </c>
      <c r="C2531" s="14" t="str">
        <f>IFERROR(__xludf.DUMMYFUNCTION("""COMPUTED_VALUE"""),"P-54550-00")</f>
        <v>P-54550-00</v>
      </c>
    </row>
    <row r="2532">
      <c r="A2532" s="14" t="str">
        <f>IFERROR(__xludf.DUMMYFUNCTION("""COMPUTED_VALUE"""),"P-54554-00")</f>
        <v>P-54554-00</v>
      </c>
      <c r="B2532" s="14" t="str">
        <f>IFERROR(__xludf.DUMMYFUNCTION("""COMPUTED_VALUE"""),"General - Lampu Tl LED Slimliner II T5 10W Cool Light; Hannoch; -; 1 pc")</f>
        <v>General - Lampu Tl LED Slimliner II T5 10W Cool Light; Hannoch; -; 1 pc</v>
      </c>
      <c r="C2532" s="14" t="str">
        <f>IFERROR(__xludf.DUMMYFUNCTION("""COMPUTED_VALUE"""),"P-54554-00")</f>
        <v>P-54554-00</v>
      </c>
    </row>
    <row r="2533">
      <c r="A2533" s="14" t="str">
        <f>IFERROR(__xludf.DUMMYFUNCTION("""COMPUTED_VALUE"""),"P-54557-00")</f>
        <v>P-54557-00</v>
      </c>
      <c r="B2533" s="14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4" t="str">
        <f>IFERROR(__xludf.DUMMYFUNCTION("""COMPUTED_VALUE"""),"P-54557-00")</f>
        <v>P-54557-00</v>
      </c>
    </row>
    <row r="2534">
      <c r="A2534" s="14" t="str">
        <f>IFERROR(__xludf.DUMMYFUNCTION("""COMPUTED_VALUE"""),"P-54558-00")</f>
        <v>P-54558-00</v>
      </c>
      <c r="B2534" s="14" t="str">
        <f>IFERROR(__xludf.DUMMYFUNCTION("""COMPUTED_VALUE"""),"General - Trafo Step Up Down 5A Nol B; Kurae; -; 1 pc")</f>
        <v>General - Trafo Step Up Down 5A Nol B; Kurae; -; 1 pc</v>
      </c>
      <c r="C2534" s="14" t="str">
        <f>IFERROR(__xludf.DUMMYFUNCTION("""COMPUTED_VALUE"""),"P-54558-00")</f>
        <v>P-54558-00</v>
      </c>
    </row>
    <row r="2535">
      <c r="A2535" s="14" t="str">
        <f>IFERROR(__xludf.DUMMYFUNCTION("""COMPUTED_VALUE"""),"P-54559-00")</f>
        <v>P-54559-00</v>
      </c>
      <c r="B2535" s="14" t="str">
        <f>IFERROR(__xludf.DUMMYFUNCTION("""COMPUTED_VALUE"""),"General - Automatic Circuit Breaker Finder; Nofaya; NF-827S; 1 pc")</f>
        <v>General - Automatic Circuit Breaker Finder; Nofaya; NF-827S; 1 pc</v>
      </c>
      <c r="C2535" s="14" t="str">
        <f>IFERROR(__xludf.DUMMYFUNCTION("""COMPUTED_VALUE"""),"P-54559-00")</f>
        <v>P-54559-00</v>
      </c>
    </row>
    <row r="2536">
      <c r="A2536" s="14" t="str">
        <f>IFERROR(__xludf.DUMMYFUNCTION("""COMPUTED_VALUE"""),"P-54575-00")</f>
        <v>P-54575-00</v>
      </c>
      <c r="B2536" s="14" t="str">
        <f>IFERROR(__xludf.DUMMYFUNCTION("""COMPUTED_VALUE"""),"General - Fitting Lampu Halogen MR16 Socket GY5.3; No Brand; -; 1 pc")</f>
        <v>General - Fitting Lampu Halogen MR16 Socket GY5.3; No Brand; -; 1 pc</v>
      </c>
      <c r="C2536" s="14" t="str">
        <f>IFERROR(__xludf.DUMMYFUNCTION("""COMPUTED_VALUE"""),"P-54575-00")</f>
        <v>P-54575-00</v>
      </c>
    </row>
    <row r="2537">
      <c r="A2537" s="14" t="str">
        <f>IFERROR(__xludf.DUMMYFUNCTION("""COMPUTED_VALUE"""),"P-54576-00")</f>
        <v>P-54576-00</v>
      </c>
      <c r="B2537" s="14" t="str">
        <f>IFERROR(__xludf.DUMMYFUNCTION("""COMPUTED_VALUE"""),"General - End Plate for Terminal Blok TBR20; No Brand; -; 1 pc")</f>
        <v>General - End Plate for Terminal Blok TBR20; No Brand; -; 1 pc</v>
      </c>
      <c r="C2537" s="14" t="str">
        <f>IFERROR(__xludf.DUMMYFUNCTION("""COMPUTED_VALUE"""),"P-54576-00")</f>
        <v>P-54576-00</v>
      </c>
    </row>
    <row r="2538">
      <c r="A2538" s="14" t="str">
        <f>IFERROR(__xludf.DUMMYFUNCTION("""COMPUTED_VALUE"""),"P-54577-00")</f>
        <v>P-54577-00</v>
      </c>
      <c r="B2538" s="14" t="str">
        <f>IFERROR(__xludf.DUMMYFUNCTION("""COMPUTED_VALUE"""),"General - Lampu Neon LED Silinder II T5 16W Putih; Hannochs; -; 1 pc")</f>
        <v>General - Lampu Neon LED Silinder II T5 16W Putih; Hannochs; -; 1 pc</v>
      </c>
      <c r="C2538" s="14" t="str">
        <f>IFERROR(__xludf.DUMMYFUNCTION("""COMPUTED_VALUE"""),"P-54577-00")</f>
        <v>P-54577-00</v>
      </c>
    </row>
    <row r="2539">
      <c r="A2539" s="14" t="str">
        <f>IFERROR(__xludf.DUMMYFUNCTION("""COMPUTED_VALUE"""),"P-54584-00")</f>
        <v>P-54584-00</v>
      </c>
      <c r="B2539" s="14" t="str">
        <f>IFERROR(__xludf.DUMMYFUNCTION("""COMPUTED_VALUE"""),"AHU - Centrifugal Duct Inline Blower 8inch; Nicotra; GCIL 200; 1 unit")</f>
        <v>AHU - Centrifugal Duct Inline Blower 8inch; Nicotra; GCIL 200; 1 unit</v>
      </c>
      <c r="C2539" s="14" t="str">
        <f>IFERROR(__xludf.DUMMYFUNCTION("""COMPUTED_VALUE"""),"P-54584-00")</f>
        <v>P-54584-00</v>
      </c>
    </row>
    <row r="2540">
      <c r="A2540" s="14" t="str">
        <f>IFERROR(__xludf.DUMMYFUNCTION("""COMPUTED_VALUE"""),"P-54592-00")</f>
        <v>P-54592-00</v>
      </c>
      <c r="B2540" s="14" t="str">
        <f>IFERROR(__xludf.DUMMYFUNCTION("""COMPUTED_VALUE"""),"General - Fan Motor F61-10; Polytron; -; 1 unit")</f>
        <v>General - Fan Motor F61-10; Polytron; -; 1 unit</v>
      </c>
      <c r="C2540" s="14" t="str">
        <f>IFERROR(__xludf.DUMMYFUNCTION("""COMPUTED_VALUE"""),"P-54592-00")</f>
        <v>P-54592-00</v>
      </c>
    </row>
    <row r="2541">
      <c r="A2541" s="14" t="str">
        <f>IFERROR(__xludf.DUMMYFUNCTION("""COMPUTED_VALUE"""),"P-54610-00")</f>
        <v>P-54610-00</v>
      </c>
      <c r="B2541" s="14" t="str">
        <f>IFERROR(__xludf.DUMMYFUNCTION("""COMPUTED_VALUE"""),"Liebherr - Programmed Electronic for LGPv 6520; Liebherr; 9290451; 1 pc")</f>
        <v>Liebherr - Programmed Electronic for LGPv 6520; Liebherr; 9290451; 1 pc</v>
      </c>
      <c r="C2541" s="14" t="str">
        <f>IFERROR(__xludf.DUMMYFUNCTION("""COMPUTED_VALUE"""),"P-54610-00")</f>
        <v>P-54610-00</v>
      </c>
    </row>
    <row r="2542">
      <c r="A2542" s="14" t="str">
        <f>IFERROR(__xludf.DUMMYFUNCTION("""COMPUTED_VALUE"""),"P-54627-00")</f>
        <v>P-54627-00</v>
      </c>
      <c r="B2542" s="14" t="str">
        <f>IFERROR(__xludf.DUMMYFUNCTION("""COMPUTED_VALUE"""),"General - Solenoid Valve Welded EVR3 1/4 Inch; Danfoss; -; 1 pc")</f>
        <v>General - Solenoid Valve Welded EVR3 1/4 Inch; Danfoss; -; 1 pc</v>
      </c>
      <c r="C2542" s="14" t="str">
        <f>IFERROR(__xludf.DUMMYFUNCTION("""COMPUTED_VALUE"""),"P-54627-00")</f>
        <v>P-54627-00</v>
      </c>
    </row>
    <row r="2543">
      <c r="A2543" s="14" t="str">
        <f>IFERROR(__xludf.DUMMYFUNCTION("""COMPUTED_VALUE"""),"P-54628-00")</f>
        <v>P-54628-00</v>
      </c>
      <c r="B2543" s="14" t="str">
        <f>IFERROR(__xludf.DUMMYFUNCTION("""COMPUTED_VALUE"""),"General - Solenoid Coil 018F6282 220V; No Brand; -; 1 pc")</f>
        <v>General - Solenoid Coil 018F6282 220V; No Brand; -; 1 pc</v>
      </c>
      <c r="C2543" s="14" t="str">
        <f>IFERROR(__xludf.DUMMYFUNCTION("""COMPUTED_VALUE"""),"P-54628-00")</f>
        <v>P-54628-00</v>
      </c>
    </row>
    <row r="2544">
      <c r="A2544" s="14" t="str">
        <f>IFERROR(__xludf.DUMMYFUNCTION("""COMPUTED_VALUE"""),"P-54634-00")</f>
        <v>P-54634-00</v>
      </c>
      <c r="B2544" s="14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4" t="str">
        <f>IFERROR(__xludf.DUMMYFUNCTION("""COMPUTED_VALUE"""),"P-54634-00")</f>
        <v>P-54634-00</v>
      </c>
    </row>
    <row r="2545">
      <c r="A2545" s="14" t="str">
        <f>IFERROR(__xludf.DUMMYFUNCTION("""COMPUTED_VALUE"""),"P-54651-00")</f>
        <v>P-54651-00</v>
      </c>
      <c r="B2545" s="14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4" t="str">
        <f>IFERROR(__xludf.DUMMYFUNCTION("""COMPUTED_VALUE"""),"P-54651-00")</f>
        <v>P-54651-00</v>
      </c>
    </row>
    <row r="2546">
      <c r="A2546" s="14" t="str">
        <f>IFERROR(__xludf.DUMMYFUNCTION("""COMPUTED_VALUE"""),"P-54652-00")</f>
        <v>P-54652-00</v>
      </c>
      <c r="B2546" s="14" t="str">
        <f>IFERROR(__xludf.DUMMYFUNCTION("""COMPUTED_VALUE"""),"General - Power Supply Switching 24VDC; Autonics; SPA-075-24; 1 pc")</f>
        <v>General - Power Supply Switching 24VDC; Autonics; SPA-075-24; 1 pc</v>
      </c>
      <c r="C2546" s="14" t="str">
        <f>IFERROR(__xludf.DUMMYFUNCTION("""COMPUTED_VALUE"""),"P-54652-00")</f>
        <v>P-54652-00</v>
      </c>
    </row>
    <row r="2547">
      <c r="A2547" s="14" t="str">
        <f>IFERROR(__xludf.DUMMYFUNCTION("""COMPUTED_VALUE"""),"P-54672-00")</f>
        <v>P-54672-00</v>
      </c>
      <c r="B2547" s="14" t="str">
        <f>IFERROR(__xludf.DUMMYFUNCTION("""COMPUTED_VALUE"""),"General - Box Panel 950 x 600 x 300mm Tebal 1mm; No Brand; -; 1 pc")</f>
        <v>General - Box Panel 950 x 600 x 300mm Tebal 1mm; No Brand; -; 1 pc</v>
      </c>
      <c r="C2547" s="14" t="str">
        <f>IFERROR(__xludf.DUMMYFUNCTION("""COMPUTED_VALUE"""),"P-54672-00")</f>
        <v>P-54672-00</v>
      </c>
    </row>
    <row r="2548">
      <c r="A2548" s="14" t="str">
        <f>IFERROR(__xludf.DUMMYFUNCTION("""COMPUTED_VALUE"""),"P-54685-00")</f>
        <v>P-54685-00</v>
      </c>
      <c r="B2548" s="14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4" t="str">
        <f>IFERROR(__xludf.DUMMYFUNCTION("""COMPUTED_VALUE"""),"P-54685-00")</f>
        <v>P-54685-00</v>
      </c>
    </row>
    <row r="2549">
      <c r="A2549" s="14" t="str">
        <f>IFERROR(__xludf.DUMMYFUNCTION("""COMPUTED_VALUE"""),"P-54688-00")</f>
        <v>P-54688-00</v>
      </c>
      <c r="B2549" s="14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4" t="str">
        <f>IFERROR(__xludf.DUMMYFUNCTION("""COMPUTED_VALUE"""),"P-54688-00")</f>
        <v>P-54688-00</v>
      </c>
    </row>
    <row r="2550">
      <c r="A2550" s="14" t="str">
        <f>IFERROR(__xludf.DUMMYFUNCTION("""COMPUTED_VALUE"""),"P-54699-00")</f>
        <v>P-54699-00</v>
      </c>
      <c r="B2550" s="14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4" t="str">
        <f>IFERROR(__xludf.DUMMYFUNCTION("""COMPUTED_VALUE"""),"P-54699-00")</f>
        <v>P-54699-00</v>
      </c>
    </row>
    <row r="2551">
      <c r="A2551" s="14" t="str">
        <f>IFERROR(__xludf.DUMMYFUNCTION("""COMPUTED_VALUE"""),"P-54703-00")</f>
        <v>P-54703-00</v>
      </c>
      <c r="B2551" s="14" t="str">
        <f>IFERROR(__xludf.DUMMYFUNCTION("""COMPUTED_VALUE"""),"General - Pompa Submersible V750; York; -; 1 pc")</f>
        <v>General - Pompa Submersible V750; York; -; 1 pc</v>
      </c>
      <c r="C2551" s="14" t="str">
        <f>IFERROR(__xludf.DUMMYFUNCTION("""COMPUTED_VALUE"""),"P-54703-00")</f>
        <v>P-54703-00</v>
      </c>
    </row>
    <row r="2552">
      <c r="A2552" s="14" t="str">
        <f>IFERROR(__xludf.DUMMYFUNCTION("""COMPUTED_VALUE"""),"P-54704-00")</f>
        <v>P-54704-00</v>
      </c>
      <c r="B2552" s="14" t="str">
        <f>IFERROR(__xludf.DUMMYFUNCTION("""COMPUTED_VALUE"""),"General - Saklar Emergency Stop Panel Box 1NC + 1NO; Fort; -; 1 set")</f>
        <v>General - Saklar Emergency Stop Panel Box 1NC + 1NO; Fort; -; 1 set</v>
      </c>
      <c r="C2552" s="14" t="str">
        <f>IFERROR(__xludf.DUMMYFUNCTION("""COMPUTED_VALUE"""),"P-54704-00")</f>
        <v>P-54704-00</v>
      </c>
    </row>
    <row r="2553">
      <c r="A2553" s="14" t="str">
        <f>IFERROR(__xludf.DUMMYFUNCTION("""COMPUTED_VALUE"""),"P-54707-00")</f>
        <v>P-54707-00</v>
      </c>
      <c r="B2553" s="14" t="str">
        <f>IFERROR(__xludf.DUMMYFUNCTION("""COMPUTED_VALUE"""),"General - Lampu Panel LED 30 x 120cm; Philips; RC081VLED30S/865; 1 pc")</f>
        <v>General - Lampu Panel LED 30 x 120cm; Philips; RC081VLED30S/865; 1 pc</v>
      </c>
      <c r="C2553" s="14" t="str">
        <f>IFERROR(__xludf.DUMMYFUNCTION("""COMPUTED_VALUE"""),"P-54707-00")</f>
        <v>P-54707-00</v>
      </c>
    </row>
    <row r="2554">
      <c r="A2554" s="14" t="str">
        <f>IFERROR(__xludf.DUMMYFUNCTION("""COMPUTED_VALUE"""),"P-54712-00")</f>
        <v>P-54712-00</v>
      </c>
      <c r="B2554" s="14" t="str">
        <f>IFERROR(__xludf.DUMMYFUNCTION("""COMPUTED_VALUE"""),"General - Mesin Drain Cleaner 30 Meter; STG; GQ75; 1 unit")</f>
        <v>General - Mesin Drain Cleaner 30 Meter; STG; GQ75; 1 unit</v>
      </c>
      <c r="C2554" s="14" t="str">
        <f>IFERROR(__xludf.DUMMYFUNCTION("""COMPUTED_VALUE"""),"P-54712-00")</f>
        <v>P-54712-00</v>
      </c>
    </row>
    <row r="2555">
      <c r="A2555" s="14" t="str">
        <f>IFERROR(__xludf.DUMMYFUNCTION("""COMPUTED_VALUE"""),"P-54713-00")</f>
        <v>P-54713-00</v>
      </c>
      <c r="B2555" s="14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4" t="str">
        <f>IFERROR(__xludf.DUMMYFUNCTION("""COMPUTED_VALUE"""),"P-54713-00")</f>
        <v>P-54713-00</v>
      </c>
    </row>
    <row r="2556">
      <c r="A2556" s="14" t="str">
        <f>IFERROR(__xludf.DUMMYFUNCTION("""COMPUTED_VALUE"""),"P-60000-00")</f>
        <v>P-60000-00</v>
      </c>
      <c r="B2556" s="14" t="str">
        <f>IFERROR(__xludf.DUMMYFUNCTION("""COMPUTED_VALUE"""),"Pembuatan Port terminal BIBO (Integrity)")</f>
        <v>Pembuatan Port terminal BIBO (Integrity)</v>
      </c>
      <c r="C2556" s="14" t="str">
        <f>IFERROR(__xludf.DUMMYFUNCTION("""COMPUTED_VALUE"""),"P-60000-00")</f>
        <v>P-60000-00</v>
      </c>
    </row>
    <row r="2557">
      <c r="A2557" s="14" t="str">
        <f>IFERROR(__xludf.DUMMYFUNCTION("""COMPUTED_VALUE"""),"P-70002-00")</f>
        <v>P-70002-00</v>
      </c>
      <c r="B2557" s="14" t="str">
        <f>IFERROR(__xludf.DUMMYFUNCTION("""COMPUTED_VALUE"""),"Forklift Jungheinrich - Filter Cartridge; Jungheinrich; 5140412; 1 pc")</f>
        <v>Forklift Jungheinrich - Filter Cartridge; Jungheinrich; 5140412; 1 pc</v>
      </c>
      <c r="C2557" s="14" t="str">
        <f>IFERROR(__xludf.DUMMYFUNCTION("""COMPUTED_VALUE"""),"P-70002-00")</f>
        <v>P-70002-00</v>
      </c>
    </row>
    <row r="2558">
      <c r="A2558" s="14" t="str">
        <f>IFERROR(__xludf.DUMMYFUNCTION("""COMPUTED_VALUE"""),"P-70003-00")</f>
        <v>P-70003-00</v>
      </c>
      <c r="B2558" s="14" t="str">
        <f>IFERROR(__xludf.DUMMYFUNCTION("""COMPUTED_VALUE"""),"Forklift Jungheinrich - Filter Air; Jungheinrich; 51440858; 1 pc")</f>
        <v>Forklift Jungheinrich - Filter Air; Jungheinrich; 51440858; 1 pc</v>
      </c>
      <c r="C2558" s="14" t="str">
        <f>IFERROR(__xludf.DUMMYFUNCTION("""COMPUTED_VALUE"""),"P-70003-00")</f>
        <v>P-70003-00</v>
      </c>
    </row>
    <row r="2559">
      <c r="A2559" s="14" t="str">
        <f>IFERROR(__xludf.DUMMYFUNCTION("""COMPUTED_VALUE"""),"P-70004-00")</f>
        <v>P-70004-00</v>
      </c>
      <c r="B2559" s="14" t="str">
        <f>IFERROR(__xludf.DUMMYFUNCTION("""COMPUTED_VALUE"""),"Forklift Jungheinrich - Oil Hidraulic UG 46 (C); Jungheinrich; -; 1 pc")</f>
        <v>Forklift Jungheinrich - Oil Hidraulic UG 46 (C); Jungheinrich; -; 1 pc</v>
      </c>
      <c r="C2559" s="14" t="str">
        <f>IFERROR(__xludf.DUMMYFUNCTION("""COMPUTED_VALUE"""),"P-70004-00")</f>
        <v>P-70004-00</v>
      </c>
    </row>
    <row r="2560">
      <c r="A2560" s="14" t="str">
        <f>IFERROR(__xludf.DUMMYFUNCTION("""COMPUTED_VALUE"""),"P-70005-00")</f>
        <v>P-70005-00</v>
      </c>
      <c r="B2560" s="14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4" t="str">
        <f>IFERROR(__xludf.DUMMYFUNCTION("""COMPUTED_VALUE"""),"P-70005-00")</f>
        <v>P-70005-00</v>
      </c>
    </row>
    <row r="2561">
      <c r="A2561" s="14" t="str">
        <f>IFERROR(__xludf.DUMMYFUNCTION("""COMPUTED_VALUE"""),"Q-10005-00")</f>
        <v>Q-10005-00</v>
      </c>
      <c r="B2561" s="14" t="str">
        <f>IFERROR(__xludf.DUMMYFUNCTION("""COMPUTED_VALUE"""),"Polyfloor PFT-213 Ivory @ 20 KG")</f>
        <v>Polyfloor PFT-213 Ivory @ 20 KG</v>
      </c>
      <c r="C2561" s="14" t="str">
        <f>IFERROR(__xludf.DUMMYFUNCTION("""COMPUTED_VALUE"""),"Q-10005-00")</f>
        <v>Q-10005-00</v>
      </c>
    </row>
    <row r="2562">
      <c r="A2562" s="14" t="str">
        <f>IFERROR(__xludf.DUMMYFUNCTION("""COMPUTED_VALUE"""),"Q-10012-00")</f>
        <v>Q-10012-00</v>
      </c>
      <c r="B2562" s="14" t="str">
        <f>IFERROR(__xludf.DUMMYFUNCTION("""COMPUTED_VALUE"""),"Multipox MX-94 White @ 20 KG")</f>
        <v>Multipox MX-94 White @ 20 KG</v>
      </c>
      <c r="C2562" s="14" t="str">
        <f>IFERROR(__xludf.DUMMYFUNCTION("""COMPUTED_VALUE"""),"Q-10012-00")</f>
        <v>Q-10012-00</v>
      </c>
    </row>
    <row r="2563">
      <c r="A2563" s="14" t="str">
        <f>IFERROR(__xludf.DUMMYFUNCTION("""COMPUTED_VALUE"""),"Q-10042-00")</f>
        <v>Q-10042-00</v>
      </c>
      <c r="B2563" s="14" t="str">
        <f>IFERROR(__xludf.DUMMYFUNCTION("""COMPUTED_VALUE"""),"Thiner Epoxy @ 1 galon")</f>
        <v>Thiner Epoxy @ 1 galon</v>
      </c>
      <c r="C2563" s="14" t="str">
        <f>IFERROR(__xludf.DUMMYFUNCTION("""COMPUTED_VALUE"""),"Q-10042-00")</f>
        <v>Q-10042-00</v>
      </c>
    </row>
    <row r="2564">
      <c r="A2564" s="14" t="str">
        <f>IFERROR(__xludf.DUMMYFUNCTION("""COMPUTED_VALUE"""),"Q-10064-00")</f>
        <v>Q-10064-00</v>
      </c>
      <c r="B2564" s="14" t="str">
        <f>IFERROR(__xludf.DUMMYFUNCTION("""COMPUTED_VALUE"""),"Cat Ftalit 113 Primrose @1kg")</f>
        <v>Cat Ftalit 113 Primrose @1kg</v>
      </c>
      <c r="C2564" s="14" t="str">
        <f>IFERROR(__xludf.DUMMYFUNCTION("""COMPUTED_VALUE"""),"Q-10064-00")</f>
        <v>Q-10064-00</v>
      </c>
    </row>
    <row r="2565">
      <c r="A2565" s="14" t="str">
        <f>IFERROR(__xludf.DUMMYFUNCTION("""COMPUTED_VALUE"""),"Q-10090-00")</f>
        <v>Q-10090-00</v>
      </c>
      <c r="B2565" s="14" t="str">
        <f>IFERROR(__xludf.DUMMYFUNCTION("""COMPUTED_VALUE"""),"GypsumJaya Board")</f>
        <v>GypsumJaya Board</v>
      </c>
      <c r="C2565" s="14" t="str">
        <f>IFERROR(__xludf.DUMMYFUNCTION("""COMPUTED_VALUE"""),"Q-10090-00")</f>
        <v>Q-10090-00</v>
      </c>
    </row>
    <row r="2566">
      <c r="A2566" s="14" t="str">
        <f>IFERROR(__xludf.DUMMYFUNCTION("""COMPUTED_VALUE"""),"Q-10128-00")</f>
        <v>Q-10128-00</v>
      </c>
      <c r="B2566" s="14" t="str">
        <f>IFERROR(__xludf.DUMMYFUNCTION("""COMPUTED_VALUE"""),"Thinner Super End/Impala @ 1 Liter")</f>
        <v>Thinner Super End/Impala @ 1 Liter</v>
      </c>
      <c r="C2566" s="14" t="str">
        <f>IFERROR(__xludf.DUMMYFUNCTION("""COMPUTED_VALUE"""),"Q-10128-00")</f>
        <v>Q-10128-00</v>
      </c>
    </row>
    <row r="2567">
      <c r="A2567" s="14" t="str">
        <f>IFERROR(__xludf.DUMMYFUNCTION("""COMPUTED_VALUE"""),"Q-10130-00")</f>
        <v>Q-10130-00</v>
      </c>
      <c r="B2567" s="14" t="str">
        <f>IFERROR(__xludf.DUMMYFUNCTION("""COMPUTED_VALUE"""),"TOTO - Kran Wastafel Faucet TX 126 LE")</f>
        <v>TOTO - Kran Wastafel Faucet TX 126 LE</v>
      </c>
      <c r="C2567" s="14" t="str">
        <f>IFERROR(__xludf.DUMMYFUNCTION("""COMPUTED_VALUE"""),"Q-10130-00")</f>
        <v>Q-10130-00</v>
      </c>
    </row>
    <row r="2568">
      <c r="A2568" s="14" t="str">
        <f>IFERROR(__xludf.DUMMYFUNCTION("""COMPUTED_VALUE"""),"Q-10134-00")</f>
        <v>Q-10134-00</v>
      </c>
      <c r="B2568" s="14" t="str">
        <f>IFERROR(__xludf.DUMMYFUNCTION("""COMPUTED_VALUE"""),"TOTO - Jet Shower spray TX 403S")</f>
        <v>TOTO - Jet Shower spray TX 403S</v>
      </c>
      <c r="C2568" s="14" t="str">
        <f>IFERROR(__xludf.DUMMYFUNCTION("""COMPUTED_VALUE"""),"Q-10134-00")</f>
        <v>Q-10134-00</v>
      </c>
    </row>
    <row r="2569">
      <c r="A2569" s="14" t="str">
        <f>IFERROR(__xludf.DUMMYFUNCTION("""COMPUTED_VALUE"""),"Q-10136-00")</f>
        <v>Q-10136-00</v>
      </c>
      <c r="B2569" s="14" t="str">
        <f>IFERROR(__xludf.DUMMYFUNCTION("""COMPUTED_VALUE"""),"TOTO - Kran T23BQ13N")</f>
        <v>TOTO - Kran T23BQ13N</v>
      </c>
      <c r="C2569" s="14" t="str">
        <f>IFERROR(__xludf.DUMMYFUNCTION("""COMPUTED_VALUE"""),"Q-10136-00")</f>
        <v>Q-10136-00</v>
      </c>
    </row>
    <row r="2570">
      <c r="A2570" s="14" t="str">
        <f>IFERROR(__xludf.DUMMYFUNCTION("""COMPUTED_VALUE"""),"Q-10153-00")</f>
        <v>Q-10153-00</v>
      </c>
      <c r="B2570" s="14" t="str">
        <f>IFERROR(__xludf.DUMMYFUNCTION("""COMPUTED_VALUE"""),"Kuas Cat Roller uk. 110 mm;No Brand;;pack size per set")</f>
        <v>Kuas Cat Roller uk. 110 mm;No Brand;;pack size per set</v>
      </c>
      <c r="C2570" s="14" t="str">
        <f>IFERROR(__xludf.DUMMYFUNCTION("""COMPUTED_VALUE"""),"Q-10153-00")</f>
        <v>Q-10153-00</v>
      </c>
    </row>
    <row r="2571">
      <c r="A2571" s="14" t="str">
        <f>IFERROR(__xludf.DUMMYFUNCTION("""COMPUTED_VALUE"""),"Q-10154-00")</f>
        <v>Q-10154-00</v>
      </c>
      <c r="B2571" s="14" t="str">
        <f>IFERROR(__xludf.DUMMYFUNCTION("""COMPUTED_VALUE"""),"Kuas Cat Roller uk. 230 mm;No Brand;;pack size per set")</f>
        <v>Kuas Cat Roller uk. 230 mm;No Brand;;pack size per set</v>
      </c>
      <c r="C2571" s="14" t="str">
        <f>IFERROR(__xludf.DUMMYFUNCTION("""COMPUTED_VALUE"""),"Q-10154-00")</f>
        <v>Q-10154-00</v>
      </c>
    </row>
    <row r="2572">
      <c r="A2572" s="14" t="str">
        <f>IFERROR(__xludf.DUMMYFUNCTION("""COMPUTED_VALUE"""),"Q-10172-00")</f>
        <v>Q-10172-00</v>
      </c>
      <c r="B2572" s="14" t="str">
        <f>IFERROR(__xludf.DUMMYFUNCTION("""COMPUTED_VALUE"""),"Polyfloor PFT-213 Light blue @ 20 KG")</f>
        <v>Polyfloor PFT-213 Light blue @ 20 KG</v>
      </c>
      <c r="C2572" s="14" t="str">
        <f>IFERROR(__xludf.DUMMYFUNCTION("""COMPUTED_VALUE"""),"Q-10172-00")</f>
        <v>Q-10172-00</v>
      </c>
    </row>
    <row r="2573">
      <c r="A2573" s="14" t="str">
        <f>IFERROR(__xludf.DUMMYFUNCTION("""COMPUTED_VALUE"""),"Q-10192-00")</f>
        <v>Q-10192-00</v>
      </c>
      <c r="B2573" s="14" t="str">
        <f>IFERROR(__xludf.DUMMYFUNCTION("""COMPUTED_VALUE"""),"Dynabolt 8 X 40; ; ;")</f>
        <v>Dynabolt 8 X 40; ; ;</v>
      </c>
      <c r="C2573" s="14" t="str">
        <f>IFERROR(__xludf.DUMMYFUNCTION("""COMPUTED_VALUE"""),"Q-10192-00")</f>
        <v>Q-10192-00</v>
      </c>
    </row>
    <row r="2574">
      <c r="A2574" s="14" t="str">
        <f>IFERROR(__xludf.DUMMYFUNCTION("""COMPUTED_VALUE"""),"Q-10207-00")</f>
        <v>Q-10207-00</v>
      </c>
      <c r="B2574" s="14" t="str">
        <f>IFERROR(__xludf.DUMMYFUNCTION("""COMPUTED_VALUE"""),"Keramik Roman Warna Putih 40 x 40 cm;Roman;CN: 447106;pack size per pack")</f>
        <v>Keramik Roman Warna Putih 40 x 40 cm;Roman;CN: 447106;pack size per pack</v>
      </c>
      <c r="C2574" s="14" t="str">
        <f>IFERROR(__xludf.DUMMYFUNCTION("""COMPUTED_VALUE"""),"Q-10207-00")</f>
        <v>Q-10207-00</v>
      </c>
    </row>
    <row r="2575">
      <c r="A2575" s="14" t="str">
        <f>IFERROR(__xludf.DUMMYFUNCTION("""COMPUTED_VALUE"""),"Q-10232-00")</f>
        <v>Q-10232-00</v>
      </c>
      <c r="B2575" s="14" t="str">
        <f>IFERROR(__xludf.DUMMYFUNCTION("""COMPUTED_VALUE"""),"Silicone Sealant N10 White")</f>
        <v>Silicone Sealant N10 White</v>
      </c>
      <c r="C2575" s="14" t="str">
        <f>IFERROR(__xludf.DUMMYFUNCTION("""COMPUTED_VALUE"""),"Q-10232-00")</f>
        <v>Q-10232-00</v>
      </c>
    </row>
    <row r="2576">
      <c r="A2576" s="14" t="str">
        <f>IFERROR(__xludf.DUMMYFUNCTION("""COMPUTED_VALUE"""),"Q-10233-00")</f>
        <v>Q-10233-00</v>
      </c>
      <c r="B2576" s="14" t="str">
        <f>IFERROR(__xludf.DUMMYFUNCTION("""COMPUTED_VALUE"""),"Silicone Sealant N10 Clear")</f>
        <v>Silicone Sealant N10 Clear</v>
      </c>
      <c r="C2576" s="14" t="str">
        <f>IFERROR(__xludf.DUMMYFUNCTION("""COMPUTED_VALUE"""),"Q-10233-00")</f>
        <v>Q-10233-00</v>
      </c>
    </row>
    <row r="2577">
      <c r="A2577" s="14" t="str">
        <f>IFERROR(__xludf.DUMMYFUNCTION("""COMPUTED_VALUE"""),"Q-10234-00")</f>
        <v>Q-10234-00</v>
      </c>
      <c r="B2577" s="14" t="str">
        <f>IFERROR(__xludf.DUMMYFUNCTION("""COMPUTED_VALUE"""),"Silicone Sealant N10 Grey")</f>
        <v>Silicone Sealant N10 Grey</v>
      </c>
      <c r="C2577" s="14" t="str">
        <f>IFERROR(__xludf.DUMMYFUNCTION("""COMPUTED_VALUE"""),"Q-10234-00")</f>
        <v>Q-10234-00</v>
      </c>
    </row>
    <row r="2578">
      <c r="A2578" s="14" t="str">
        <f>IFERROR(__xludf.DUMMYFUNCTION("""COMPUTED_VALUE"""),"Q-10236-00")</f>
        <v>Q-10236-00</v>
      </c>
      <c r="B2578" s="14" t="str">
        <f>IFERROR(__xludf.DUMMYFUNCTION("""COMPUTED_VALUE"""),"Door Closer Dekson 302 NHO")</f>
        <v>Door Closer Dekson 302 NHO</v>
      </c>
      <c r="C2578" s="14" t="str">
        <f>IFERROR(__xludf.DUMMYFUNCTION("""COMPUTED_VALUE"""),"Q-10236-00")</f>
        <v>Q-10236-00</v>
      </c>
    </row>
    <row r="2579">
      <c r="A2579" s="14" t="str">
        <f>IFERROR(__xludf.DUMMYFUNCTION("""COMPUTED_VALUE"""),"Q-10249-00")</f>
        <v>Q-10249-00</v>
      </c>
      <c r="B2579" s="14" t="str">
        <f>IFERROR(__xludf.DUMMYFUNCTION("""COMPUTED_VALUE"""),"Lem Power Glue; ; ;")</f>
        <v>Lem Power Glue; ; ;</v>
      </c>
      <c r="C2579" s="14" t="str">
        <f>IFERROR(__xludf.DUMMYFUNCTION("""COMPUTED_VALUE"""),"Q-10249-00")</f>
        <v>Q-10249-00</v>
      </c>
    </row>
    <row r="2580">
      <c r="A2580" s="14" t="str">
        <f>IFERROR(__xludf.DUMMYFUNCTION("""COMPUTED_VALUE"""),"Q-10271-00")</f>
        <v>Q-10271-00</v>
      </c>
      <c r="B2580" s="14" t="str">
        <f>IFERROR(__xludf.DUMMYFUNCTION("""COMPUTED_VALUE"""),"Kuas 3 inch")</f>
        <v>Kuas 3 inch</v>
      </c>
      <c r="C2580" s="14" t="str">
        <f>IFERROR(__xludf.DUMMYFUNCTION("""COMPUTED_VALUE"""),"Q-10271-00")</f>
        <v>Q-10271-00</v>
      </c>
    </row>
    <row r="2581">
      <c r="A2581" s="14" t="str">
        <f>IFERROR(__xludf.DUMMYFUNCTION("""COMPUTED_VALUE"""),"Q-10272-00")</f>
        <v>Q-10272-00</v>
      </c>
      <c r="B2581" s="14" t="str">
        <f>IFERROR(__xludf.DUMMYFUNCTION("""COMPUTED_VALUE"""),"Cat epoxy Polyfloor PFT 253 Propan")</f>
        <v>Cat epoxy Polyfloor PFT 253 Propan</v>
      </c>
      <c r="C2581" s="14" t="str">
        <f>IFERROR(__xludf.DUMMYFUNCTION("""COMPUTED_VALUE"""),"Q-10272-00")</f>
        <v>Q-10272-00</v>
      </c>
    </row>
    <row r="2582">
      <c r="A2582" s="14" t="str">
        <f>IFERROR(__xludf.DUMMYFUNCTION("""COMPUTED_VALUE"""),"Q-10282-00")</f>
        <v>Q-10282-00</v>
      </c>
      <c r="B2582" s="14" t="str">
        <f>IFERROR(__xludf.DUMMYFUNCTION("""COMPUTED_VALUE"""),"Semen MU Perekat Bata Ringan Mortar Utama 1zak")</f>
        <v>Semen MU Perekat Bata Ringan Mortar Utama 1zak</v>
      </c>
      <c r="C2582" s="14" t="str">
        <f>IFERROR(__xludf.DUMMYFUNCTION("""COMPUTED_VALUE"""),"Q-10282-00")</f>
        <v>Q-10282-00</v>
      </c>
    </row>
    <row r="2583">
      <c r="A2583" s="14" t="str">
        <f>IFERROR(__xludf.DUMMYFUNCTION("""COMPUTED_VALUE"""),"Q-10284-00")</f>
        <v>Q-10284-00</v>
      </c>
      <c r="B2583" s="14" t="str">
        <f>IFERROR(__xludf.DUMMYFUNCTION("""COMPUTED_VALUE"""),"Tile Grout AM 54; ; ;")</f>
        <v>Tile Grout AM 54; ; ;</v>
      </c>
      <c r="C2583" s="14" t="str">
        <f>IFERROR(__xludf.DUMMYFUNCTION("""COMPUTED_VALUE"""),"Q-10284-00")</f>
        <v>Q-10284-00</v>
      </c>
    </row>
    <row r="2584">
      <c r="A2584" s="14" t="str">
        <f>IFERROR(__xludf.DUMMYFUNCTION("""COMPUTED_VALUE"""),"Q-10302-00")</f>
        <v>Q-10302-00</v>
      </c>
      <c r="B2584" s="14" t="str">
        <f>IFERROR(__xludf.DUMMYFUNCTION("""COMPUTED_VALUE"""),"Compound / Kompon Gypsum;No Brand;;pack size 20 kg per pck")</f>
        <v>Compound / Kompon Gypsum;No Brand;;pack size 20 kg per pck</v>
      </c>
      <c r="C2584" s="14" t="str">
        <f>IFERROR(__xludf.DUMMYFUNCTION("""COMPUTED_VALUE"""),"Q-10302-00")</f>
        <v>Q-10302-00</v>
      </c>
    </row>
    <row r="2585">
      <c r="A2585" s="14" t="str">
        <f>IFERROR(__xludf.DUMMYFUNCTION("""COMPUTED_VALUE"""),"Q-10305-00")</f>
        <v>Q-10305-00</v>
      </c>
      <c r="B2585" s="14" t="str">
        <f>IFERROR(__xludf.DUMMYFUNCTION("""COMPUTED_VALUE"""),"Raven Door Seal (balon) RP48 Brown/White 50mtr x 2; ; ;")</f>
        <v>Raven Door Seal (balon) RP48 Brown/White 50mtr x 2; ; ;</v>
      </c>
      <c r="C2585" s="14" t="str">
        <f>IFERROR(__xludf.DUMMYFUNCTION("""COMPUTED_VALUE"""),"Q-10305-00")</f>
        <v>Q-10305-00</v>
      </c>
    </row>
    <row r="2586">
      <c r="A2586" s="14" t="str">
        <f>IFERROR(__xludf.DUMMYFUNCTION("""COMPUTED_VALUE"""),"Q-10331-00")</f>
        <v>Q-10331-00</v>
      </c>
      <c r="B2586" s="14" t="str">
        <f>IFERROR(__xludf.DUMMYFUNCTION("""COMPUTED_VALUE"""),"Cat F-Talit Hella Grey KF-611 Netto : 1 kg")</f>
        <v>Cat F-Talit Hella Grey KF-611 Netto : 1 kg</v>
      </c>
      <c r="C2586" s="14" t="str">
        <f>IFERROR(__xludf.DUMMYFUNCTION("""COMPUTED_VALUE"""),"Q-10331-00")</f>
        <v>Q-10331-00</v>
      </c>
    </row>
    <row r="2587">
      <c r="A2587" s="14" t="str">
        <f>IFERROR(__xludf.DUMMYFUNCTION("""COMPUTED_VALUE"""),"Q-10377-00")</f>
        <v>Q-10377-00</v>
      </c>
      <c r="B2587" s="14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4" t="str">
        <f>IFERROR(__xludf.DUMMYFUNCTION("""COMPUTED_VALUE"""),"Q-10377-00")</f>
        <v>Q-10377-00</v>
      </c>
    </row>
    <row r="2588">
      <c r="A2588" s="14" t="str">
        <f>IFERROR(__xludf.DUMMYFUNCTION("""COMPUTED_VALUE"""),"Q-10378-00")</f>
        <v>Q-10378-00</v>
      </c>
      <c r="B2588" s="14" t="str">
        <f>IFERROR(__xludf.DUMMYFUNCTION("""COMPUTED_VALUE"""),"Kunci Laci Cam Lock;Huben;PN: HL 103-25 mm;pack size per pcs")</f>
        <v>Kunci Laci Cam Lock;Huben;PN: HL 103-25 mm;pack size per pcs</v>
      </c>
      <c r="C2588" s="14" t="str">
        <f>IFERROR(__xludf.DUMMYFUNCTION("""COMPUTED_VALUE"""),"Q-10378-00")</f>
        <v>Q-10378-00</v>
      </c>
    </row>
    <row r="2589">
      <c r="A2589" s="14" t="str">
        <f>IFERROR(__xludf.DUMMYFUNCTION("""COMPUTED_VALUE"""),"Q-10379-00")</f>
        <v>Q-10379-00</v>
      </c>
      <c r="B2589" s="14" t="str">
        <f>IFERROR(__xludf.DUMMYFUNCTION("""COMPUTED_VALUE"""),"Bak Cat")</f>
        <v>Bak Cat</v>
      </c>
      <c r="C2589" s="14" t="str">
        <f>IFERROR(__xludf.DUMMYFUNCTION("""COMPUTED_VALUE"""),"Q-10379-00")</f>
        <v>Q-10379-00</v>
      </c>
    </row>
    <row r="2590">
      <c r="A2590" s="14" t="str">
        <f>IFERROR(__xludf.DUMMYFUNCTION("""COMPUTED_VALUE"""),"Q-10401-00")</f>
        <v>Q-10401-00</v>
      </c>
      <c r="B2590" s="14" t="str">
        <f>IFERROR(__xludf.DUMMYFUNCTION("""COMPUTED_VALUE"""),"Kuas Cat Uk. 3 inch;Eterna;Tipe 611;pack size per pcs")</f>
        <v>Kuas Cat Uk. 3 inch;Eterna;Tipe 611;pack size per pcs</v>
      </c>
      <c r="C2590" s="14" t="str">
        <f>IFERROR(__xludf.DUMMYFUNCTION("""COMPUTED_VALUE"""),"Q-10401-00")</f>
        <v>Q-10401-00</v>
      </c>
    </row>
    <row r="2591">
      <c r="A2591" s="14" t="str">
        <f>IFERROR(__xludf.DUMMYFUNCTION("""COMPUTED_VALUE"""),"Q-10410-00")</f>
        <v>Q-10410-00</v>
      </c>
      <c r="B2591" s="14" t="str">
        <f>IFERROR(__xludf.DUMMYFUNCTION("""COMPUTED_VALUE"""),"Roll Epoxy dia. 9")</f>
        <v>Roll Epoxy dia. 9</v>
      </c>
      <c r="C2591" s="14" t="str">
        <f>IFERROR(__xludf.DUMMYFUNCTION("""COMPUTED_VALUE"""),"Q-10410-00")</f>
        <v>Q-10410-00</v>
      </c>
    </row>
    <row r="2592">
      <c r="A2592" s="14" t="str">
        <f>IFERROR(__xludf.DUMMYFUNCTION("""COMPUTED_VALUE"""),"Q-10429-00")</f>
        <v>Q-10429-00</v>
      </c>
      <c r="B2592" s="14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4" t="str">
        <f>IFERROR(__xludf.DUMMYFUNCTION("""COMPUTED_VALUE"""),"Q-10429-00")</f>
        <v>Q-10429-00</v>
      </c>
    </row>
    <row r="2593">
      <c r="A2593" s="14" t="str">
        <f>IFERROR(__xludf.DUMMYFUNCTION("""COMPUTED_VALUE"""),"Q-10433-00")</f>
        <v>Q-10433-00</v>
      </c>
      <c r="B2593" s="14" t="str">
        <f>IFERROR(__xludf.DUMMYFUNCTION("""COMPUTED_VALUE"""),"Lampu Neon Philips TLD 15W/54-765 Cool Daylight; PHILIPS; TLD15W/54-765;")</f>
        <v>Lampu Neon Philips TLD 15W/54-765 Cool Daylight; PHILIPS; TLD15W/54-765;</v>
      </c>
      <c r="C2593" s="14" t="str">
        <f>IFERROR(__xludf.DUMMYFUNCTION("""COMPUTED_VALUE"""),"Q-10433-00")</f>
        <v>Q-10433-00</v>
      </c>
    </row>
    <row r="2594">
      <c r="A2594" s="14" t="str">
        <f>IFERROR(__xludf.DUMMYFUNCTION("""COMPUTED_VALUE"""),"Q-10434-00")</f>
        <v>Q-10434-00</v>
      </c>
      <c r="B2594" s="14" t="str">
        <f>IFERROR(__xludf.DUMMYFUNCTION("""COMPUTED_VALUE"""),"Lampu Tornado Philips 27 W Cool Daylight; PHILIPS; 27WATTS;")</f>
        <v>Lampu Tornado Philips 27 W Cool Daylight; PHILIPS; 27WATTS;</v>
      </c>
      <c r="C2594" s="14" t="str">
        <f>IFERROR(__xludf.DUMMYFUNCTION("""COMPUTED_VALUE"""),"Q-10434-00")</f>
        <v>Q-10434-00</v>
      </c>
    </row>
    <row r="2595">
      <c r="A2595" s="14" t="str">
        <f>IFERROR(__xludf.DUMMYFUNCTION("""COMPUTED_VALUE"""),"Q-10460-00")</f>
        <v>Q-10460-00</v>
      </c>
      <c r="B2595" s="14" t="str">
        <f>IFERROR(__xludf.DUMMYFUNCTION("""COMPUTED_VALUE"""),"Magnetic door stopper; Dekson; Part No. MDS 889 SN;")</f>
        <v>Magnetic door stopper; Dekson; Part No. MDS 889 SN;</v>
      </c>
      <c r="C2595" s="14" t="str">
        <f>IFERROR(__xludf.DUMMYFUNCTION("""COMPUTED_VALUE"""),"Q-10460-00")</f>
        <v>Q-10460-00</v>
      </c>
    </row>
    <row r="2596">
      <c r="A2596" s="14" t="str">
        <f>IFERROR(__xludf.DUMMYFUNCTION("""COMPUTED_VALUE"""),"Q-10471-00")</f>
        <v>Q-10471-00</v>
      </c>
      <c r="B2596" s="14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4" t="str">
        <f>IFERROR(__xludf.DUMMYFUNCTION("""COMPUTED_VALUE"""),"Q-10471-00")</f>
        <v>Q-10471-00</v>
      </c>
    </row>
    <row r="2597">
      <c r="A2597" s="14" t="str">
        <f>IFERROR(__xludf.DUMMYFUNCTION("""COMPUTED_VALUE"""),"Q-10472-00")</f>
        <v>Q-10472-00</v>
      </c>
      <c r="B2597" s="14" t="str">
        <f>IFERROR(__xludf.DUMMYFUNCTION("""COMPUTED_VALUE"""),"Kunci Loker Huben HL-103 30mm; ; ;")</f>
        <v>Kunci Loker Huben HL-103 30mm; ; ;</v>
      </c>
      <c r="C2597" s="14" t="str">
        <f>IFERROR(__xludf.DUMMYFUNCTION("""COMPUTED_VALUE"""),"Q-10472-00")</f>
        <v>Q-10472-00</v>
      </c>
    </row>
    <row r="2598">
      <c r="A2598" s="14" t="str">
        <f>IFERROR(__xludf.DUMMYFUNCTION("""COMPUTED_VALUE"""),"Q-10475-00")</f>
        <v>Q-10475-00</v>
      </c>
      <c r="B2598" s="14" t="str">
        <f>IFERROR(__xludf.DUMMYFUNCTION("""COMPUTED_VALUE"""),"Cat Tembok; ; ; - Cat Dulux Ambiance Brilliant White @ 20 Ltr")</f>
        <v>Cat Tembok; ; ; - Cat Dulux Ambiance Brilliant White @ 20 Ltr</v>
      </c>
      <c r="C2598" s="14" t="str">
        <f>IFERROR(__xludf.DUMMYFUNCTION("""COMPUTED_VALUE"""),"Q-10475-00")</f>
        <v>Q-10475-00</v>
      </c>
    </row>
    <row r="2599">
      <c r="A2599" s="14" t="str">
        <f>IFERROR(__xludf.DUMMYFUNCTION("""COMPUTED_VALUE"""),"Q-10485-00")</f>
        <v>Q-10485-00</v>
      </c>
      <c r="B2599" s="14" t="str">
        <f>IFERROR(__xludf.DUMMYFUNCTION("""COMPUTED_VALUE"""),"Ball Valve Kuningan 1/2 inch Kitz; ; ;")</f>
        <v>Ball Valve Kuningan 1/2 inch Kitz; ; ;</v>
      </c>
      <c r="C2599" s="14" t="str">
        <f>IFERROR(__xludf.DUMMYFUNCTION("""COMPUTED_VALUE"""),"Q-10485-00")</f>
        <v>Q-10485-00</v>
      </c>
    </row>
    <row r="2600">
      <c r="A2600" s="14" t="str">
        <f>IFERROR(__xludf.DUMMYFUNCTION("""COMPUTED_VALUE"""),"Q-10486-00")</f>
        <v>Q-10486-00</v>
      </c>
      <c r="B2600" s="14" t="str">
        <f>IFERROR(__xludf.DUMMYFUNCTION("""COMPUTED_VALUE"""),"Neple selang Kuningan 1/2 inch x 1/2 inch")</f>
        <v>Neple selang Kuningan 1/2 inch x 1/2 inch</v>
      </c>
      <c r="C2600" s="14" t="str">
        <f>IFERROR(__xludf.DUMMYFUNCTION("""COMPUTED_VALUE"""),"Q-10486-00")</f>
        <v>Q-10486-00</v>
      </c>
    </row>
    <row r="2601">
      <c r="A2601" s="14" t="str">
        <f>IFERROR(__xludf.DUMMYFUNCTION("""COMPUTED_VALUE"""),"Q-10487-00")</f>
        <v>Q-10487-00</v>
      </c>
      <c r="B2601" s="14" t="str">
        <f>IFERROR(__xludf.DUMMYFUNCTION("""COMPUTED_VALUE"""),"Tutup Wastafel TOTO; ; ;")</f>
        <v>Tutup Wastafel TOTO; ; ;</v>
      </c>
      <c r="C2601" s="14" t="str">
        <f>IFERROR(__xludf.DUMMYFUNCTION("""COMPUTED_VALUE"""),"Q-10487-00")</f>
        <v>Q-10487-00</v>
      </c>
    </row>
    <row r="2602">
      <c r="A2602" s="14" t="str">
        <f>IFERROR(__xludf.DUMMYFUNCTION("""COMPUTED_VALUE"""),"Q-10488-00")</f>
        <v>Q-10488-00</v>
      </c>
      <c r="B2602" s="14" t="str">
        <f>IFERROR(__xludf.DUMMYFUNCTION("""COMPUTED_VALUE"""),"Selang Wastafel TOTO; ; ;")</f>
        <v>Selang Wastafel TOTO; ; ;</v>
      </c>
      <c r="C2602" s="14" t="str">
        <f>IFERROR(__xludf.DUMMYFUNCTION("""COMPUTED_VALUE"""),"Q-10488-00")</f>
        <v>Q-10488-00</v>
      </c>
    </row>
    <row r="2603">
      <c r="A2603" s="14" t="str">
        <f>IFERROR(__xludf.DUMMYFUNCTION("""COMPUTED_VALUE"""),"Q-10489-00")</f>
        <v>Q-10489-00</v>
      </c>
      <c r="B2603" s="14" t="str">
        <f>IFERROR(__xludf.DUMMYFUNCTION("""COMPUTED_VALUE"""),"AM 54 CAIRAN; ; ; Can")</f>
        <v>AM 54 CAIRAN; ; ; Can</v>
      </c>
      <c r="C2603" s="14" t="str">
        <f>IFERROR(__xludf.DUMMYFUNCTION("""COMPUTED_VALUE"""),"Q-10489-00")</f>
        <v>Q-10489-00</v>
      </c>
    </row>
    <row r="2604">
      <c r="A2604" s="14" t="str">
        <f>IFERROR(__xludf.DUMMYFUNCTION("""COMPUTED_VALUE"""),"Q-10492-00")</f>
        <v>Q-10492-00</v>
      </c>
      <c r="B2604" s="14" t="str">
        <f>IFERROR(__xludf.DUMMYFUNCTION("""COMPUTED_VALUE"""),"Amplas")</f>
        <v>Amplas</v>
      </c>
      <c r="C2604" s="14" t="str">
        <f>IFERROR(__xludf.DUMMYFUNCTION("""COMPUTED_VALUE"""),"Q-10492-00")</f>
        <v>Q-10492-00</v>
      </c>
    </row>
    <row r="2605">
      <c r="A2605" s="14" t="str">
        <f>IFERROR(__xludf.DUMMYFUNCTION("""COMPUTED_VALUE"""),"Q-10493-00")</f>
        <v>Q-10493-00</v>
      </c>
      <c r="B2605" s="14" t="str">
        <f>IFERROR(__xludf.DUMMYFUNCTION("""COMPUTED_VALUE"""),"Tile Grout AM 53")</f>
        <v>Tile Grout AM 53</v>
      </c>
      <c r="C2605" s="14" t="str">
        <f>IFERROR(__xludf.DUMMYFUNCTION("""COMPUTED_VALUE"""),"Q-10493-00")</f>
        <v>Q-10493-00</v>
      </c>
    </row>
    <row r="2606">
      <c r="A2606" s="14" t="str">
        <f>IFERROR(__xludf.DUMMYFUNCTION("""COMPUTED_VALUE"""),"Q-10496-00")</f>
        <v>Q-10496-00</v>
      </c>
      <c r="B2606" s="14" t="str">
        <f>IFERROR(__xludf.DUMMYFUNCTION("""COMPUTED_VALUE"""),"Sirocco Ventilating Fan 24CHF KDK; ; ;")</f>
        <v>Sirocco Ventilating Fan 24CHF KDK; ; ;</v>
      </c>
      <c r="C2606" s="14" t="str">
        <f>IFERROR(__xludf.DUMMYFUNCTION("""COMPUTED_VALUE"""),"Q-10496-00")</f>
        <v>Q-10496-00</v>
      </c>
    </row>
    <row r="2607">
      <c r="A2607" s="14" t="str">
        <f>IFERROR(__xludf.DUMMYFUNCTION("""COMPUTED_VALUE"""),"Q-10509-00")</f>
        <v>Q-10509-00</v>
      </c>
      <c r="B2607" s="14" t="str">
        <f>IFERROR(__xludf.DUMMYFUNCTION("""COMPUTED_VALUE"""),"Cable Ducting")</f>
        <v>Cable Ducting</v>
      </c>
      <c r="C2607" s="14" t="str">
        <f>IFERROR(__xludf.DUMMYFUNCTION("""COMPUTED_VALUE"""),"Q-10509-00")</f>
        <v>Q-10509-00</v>
      </c>
    </row>
    <row r="2608">
      <c r="A2608" s="14" t="str">
        <f>IFERROR(__xludf.DUMMYFUNCTION("""COMPUTED_VALUE"""),"Q-10510-00")</f>
        <v>Q-10510-00</v>
      </c>
      <c r="B2608" s="14" t="str">
        <f>IFERROR(__xludf.DUMMYFUNCTION("""COMPUTED_VALUE"""),"Junction Box Plastik 12x12x10 cm; ; ;")</f>
        <v>Junction Box Plastik 12x12x10 cm; ; ;</v>
      </c>
      <c r="C2608" s="14" t="str">
        <f>IFERROR(__xludf.DUMMYFUNCTION("""COMPUTED_VALUE"""),"Q-10510-00")</f>
        <v>Q-10510-00</v>
      </c>
    </row>
    <row r="2609">
      <c r="A2609" s="14" t="str">
        <f>IFERROR(__xludf.DUMMYFUNCTION("""COMPUTED_VALUE"""),"Q-10511-00")</f>
        <v>Q-10511-00</v>
      </c>
      <c r="B2609" s="14" t="str">
        <f>IFERROR(__xludf.DUMMYFUNCTION("""COMPUTED_VALUE"""),"Probe Sensor Temperatur PT100 3 wire; range -15 degC sampai 150 degC; ; ;")</f>
        <v>Probe Sensor Temperatur PT100 3 wire; range -15 degC sampai 150 degC; ; ;</v>
      </c>
      <c r="C2609" s="14" t="str">
        <f>IFERROR(__xludf.DUMMYFUNCTION("""COMPUTED_VALUE"""),"Q-10511-00")</f>
        <v>Q-10511-00</v>
      </c>
    </row>
    <row r="2610">
      <c r="A2610" s="14" t="str">
        <f>IFERROR(__xludf.DUMMYFUNCTION("""COMPUTED_VALUE"""),"Q-10514-00")</f>
        <v>Q-10514-00</v>
      </c>
      <c r="B2610" s="14" t="str">
        <f>IFERROR(__xludf.DUMMYFUNCTION("""COMPUTED_VALUE"""),"Hollow SUS304 30x30x3.0mm")</f>
        <v>Hollow SUS304 30x30x3.0mm</v>
      </c>
      <c r="C2610" s="14" t="str">
        <f>IFERROR(__xludf.DUMMYFUNCTION("""COMPUTED_VALUE"""),"Q-10514-00")</f>
        <v>Q-10514-00</v>
      </c>
    </row>
    <row r="2611">
      <c r="A2611" s="14" t="str">
        <f>IFERROR(__xludf.DUMMYFUNCTION("""COMPUTED_VALUE"""),"Q-10516-00")</f>
        <v>Q-10516-00</v>
      </c>
      <c r="B2611" s="14" t="str">
        <f>IFERROR(__xludf.DUMMYFUNCTION("""COMPUTED_VALUE"""),"Pahat Besi / Cold Chisel")</f>
        <v>Pahat Besi / Cold Chisel</v>
      </c>
      <c r="C2611" s="14" t="str">
        <f>IFERROR(__xludf.DUMMYFUNCTION("""COMPUTED_VALUE"""),"Q-10516-00")</f>
        <v>Q-10516-00</v>
      </c>
    </row>
    <row r="2612">
      <c r="A2612" s="14" t="str">
        <f>IFERROR(__xludf.DUMMYFUNCTION("""COMPUTED_VALUE"""),"Q-10517-00")</f>
        <v>Q-10517-00</v>
      </c>
      <c r="B2612" s="14" t="str">
        <f>IFERROR(__xludf.DUMMYFUNCTION("""COMPUTED_VALUE"""),"Kape Besi / Scraper / Skrap Besi;No Brand;;pack size per pcs")</f>
        <v>Kape Besi / Scraper / Skrap Besi;No Brand;;pack size per pcs</v>
      </c>
      <c r="C2612" s="14" t="str">
        <f>IFERROR(__xludf.DUMMYFUNCTION("""COMPUTED_VALUE"""),"Q-10517-00")</f>
        <v>Q-10517-00</v>
      </c>
    </row>
    <row r="2613">
      <c r="A2613" s="14" t="str">
        <f>IFERROR(__xludf.DUMMYFUNCTION("""COMPUTED_VALUE"""),"Q-10518-00")</f>
        <v>Q-10518-00</v>
      </c>
      <c r="B2613" s="14" t="str">
        <f>IFERROR(__xludf.DUMMYFUNCTION("""COMPUTED_VALUE"""),"Dempul")</f>
        <v>Dempul</v>
      </c>
      <c r="C2613" s="14" t="str">
        <f>IFERROR(__xludf.DUMMYFUNCTION("""COMPUTED_VALUE"""),"Q-10518-00")</f>
        <v>Q-10518-00</v>
      </c>
    </row>
    <row r="2614">
      <c r="A2614" s="14" t="str">
        <f>IFERROR(__xludf.DUMMYFUNCTION("""COMPUTED_VALUE"""),"Q-10523-00")</f>
        <v>Q-10523-00</v>
      </c>
      <c r="B2614" s="14" t="str">
        <f>IFERROR(__xludf.DUMMYFUNCTION("""COMPUTED_VALUE"""),"Cat Nippon Paint Nippe 2000 318T; Nipon; ;")</f>
        <v>Cat Nippon Paint Nippe 2000 318T; Nipon; ;</v>
      </c>
      <c r="C2614" s="14" t="str">
        <f>IFERROR(__xludf.DUMMYFUNCTION("""COMPUTED_VALUE"""),"Q-10523-00")</f>
        <v>Q-10523-00</v>
      </c>
    </row>
    <row r="2615">
      <c r="A2615" s="14" t="str">
        <f>IFERROR(__xludf.DUMMYFUNCTION("""COMPUTED_VALUE"""),"Q-10524-00")</f>
        <v>Q-10524-00</v>
      </c>
      <c r="B2615" s="14" t="str">
        <f>IFERROR(__xludf.DUMMYFUNCTION("""COMPUTED_VALUE"""),"Dulux Wallfiller; Dulux; ;")</f>
        <v>Dulux Wallfiller; Dulux; ;</v>
      </c>
      <c r="C2615" s="14" t="str">
        <f>IFERROR(__xludf.DUMMYFUNCTION("""COMPUTED_VALUE"""),"Q-10524-00")</f>
        <v>Q-10524-00</v>
      </c>
    </row>
    <row r="2616">
      <c r="A2616" s="14" t="str">
        <f>IFERROR(__xludf.DUMMYFUNCTION("""COMPUTED_VALUE"""),"Q-10525-00")</f>
        <v>Q-10525-00</v>
      </c>
      <c r="B2616" s="14" t="str">
        <f>IFERROR(__xludf.DUMMYFUNCTION("""COMPUTED_VALUE"""),"Waterpass Magnet 9 inch; ; ;")</f>
        <v>Waterpass Magnet 9 inch; ; ;</v>
      </c>
      <c r="C2616" s="14" t="str">
        <f>IFERROR(__xludf.DUMMYFUNCTION("""COMPUTED_VALUE"""),"Q-10525-00")</f>
        <v>Q-10525-00</v>
      </c>
    </row>
    <row r="2617">
      <c r="A2617" s="14" t="str">
        <f>IFERROR(__xludf.DUMMYFUNCTION("""COMPUTED_VALUE"""),"Q-10526-00")</f>
        <v>Q-10526-00</v>
      </c>
      <c r="B2617" s="14" t="str">
        <f>IFERROR(__xludf.DUMMYFUNCTION("""COMPUTED_VALUE"""),"Cat Dustproof Propan Decor DAE 550 Peacock Blue; ; ; - TEAL-5412")</f>
        <v>Cat Dustproof Propan Decor DAE 550 Peacock Blue; ; ; - TEAL-5412</v>
      </c>
      <c r="C2617" s="14" t="str">
        <f>IFERROR(__xludf.DUMMYFUNCTION("""COMPUTED_VALUE"""),"Q-10526-00")</f>
        <v>Q-10526-00</v>
      </c>
    </row>
    <row r="2618">
      <c r="A2618" s="14" t="str">
        <f>IFERROR(__xludf.DUMMYFUNCTION("""COMPUTED_VALUE"""),"Q-10528-00")</f>
        <v>Q-10528-00</v>
      </c>
      <c r="B2618" s="14" t="str">
        <f>IFERROR(__xludf.DUMMYFUNCTION("""COMPUTED_VALUE"""),"Kaca Cermin; Lokal; Ukuran custom; pack size per pcs")</f>
        <v>Kaca Cermin; Lokal; Ukuran custom; pack size per pcs</v>
      </c>
      <c r="C2618" s="14" t="str">
        <f>IFERROR(__xludf.DUMMYFUNCTION("""COMPUTED_VALUE"""),"Q-10528-00")</f>
        <v>Q-10528-00</v>
      </c>
    </row>
    <row r="2619">
      <c r="A2619" s="14" t="str">
        <f>IFERROR(__xludf.DUMMYFUNCTION("""COMPUTED_VALUE"""),"Q-10549-00")</f>
        <v>Q-10549-00</v>
      </c>
      <c r="B2619" s="14" t="str">
        <f>IFERROR(__xludf.DUMMYFUNCTION("""COMPUTED_VALUE"""),"TOTO - Piston Flush Valve Closet Type T150NL / TV150NSJ")</f>
        <v>TOTO - Piston Flush Valve Closet Type T150NL / TV150NSJ</v>
      </c>
      <c r="C2619" s="14" t="str">
        <f>IFERROR(__xludf.DUMMYFUNCTION("""COMPUTED_VALUE"""),"Q-10549-00")</f>
        <v>Q-10549-00</v>
      </c>
    </row>
    <row r="2620">
      <c r="A2620" s="14" t="str">
        <f>IFERROR(__xludf.DUMMYFUNCTION("""COMPUTED_VALUE"""),"Q-10550-00")</f>
        <v>Q-10550-00</v>
      </c>
      <c r="B2620" s="14" t="str">
        <f>IFERROR(__xludf.DUMMYFUNCTION("""COMPUTED_VALUE"""),"Door Closer TS 2000V Hold Open GEZE; ; ;")</f>
        <v>Door Closer TS 2000V Hold Open GEZE; ; ;</v>
      </c>
      <c r="C2620" s="14" t="str">
        <f>IFERROR(__xludf.DUMMYFUNCTION("""COMPUTED_VALUE"""),"Q-10550-00")</f>
        <v>Q-10550-00</v>
      </c>
    </row>
    <row r="2621">
      <c r="A2621" s="14" t="str">
        <f>IFERROR(__xludf.DUMMYFUNCTION("""COMPUTED_VALUE"""),"Q-10552-00")</f>
        <v>Q-10552-00</v>
      </c>
      <c r="B2621" s="14" t="str">
        <f>IFERROR(__xludf.DUMMYFUNCTION("""COMPUTED_VALUE"""),"Stiker Kaca Sandblast")</f>
        <v>Stiker Kaca Sandblast</v>
      </c>
      <c r="C2621" s="14" t="str">
        <f>IFERROR(__xludf.DUMMYFUNCTION("""COMPUTED_VALUE"""),"Q-10552-00")</f>
        <v>Q-10552-00</v>
      </c>
    </row>
    <row r="2622">
      <c r="A2622" s="14" t="str">
        <f>IFERROR(__xludf.DUMMYFUNCTION("""COMPUTED_VALUE"""),"Q-10562-00")</f>
        <v>Q-10562-00</v>
      </c>
      <c r="B2622" s="14" t="str">
        <f>IFERROR(__xludf.DUMMYFUNCTION("""COMPUTED_VALUE"""),"Proseal PAS-100 White Propan")</f>
        <v>Proseal PAS-100 White Propan</v>
      </c>
      <c r="C2622" s="14" t="str">
        <f>IFERROR(__xludf.DUMMYFUNCTION("""COMPUTED_VALUE"""),"Q-10562-00")</f>
        <v>Q-10562-00</v>
      </c>
    </row>
    <row r="2623">
      <c r="A2623" s="14" t="str">
        <f>IFERROR(__xludf.DUMMYFUNCTION("""COMPUTED_VALUE"""),"Q-10563-00")</f>
        <v>Q-10563-00</v>
      </c>
      <c r="B2623" s="14" t="str">
        <f>IFERROR(__xludf.DUMMYFUNCTION("""COMPUTED_VALUE"""),"Cat Weathershield Merlin;Dulux;Type 40156M Merlin;pack size per 20L pail")</f>
        <v>Cat Weathershield Merlin;Dulux;Type 40156M Merlin;pack size per 20L pail</v>
      </c>
      <c r="C2623" s="14" t="str">
        <f>IFERROR(__xludf.DUMMYFUNCTION("""COMPUTED_VALUE"""),"Q-10563-00")</f>
        <v>Q-10563-00</v>
      </c>
    </row>
    <row r="2624">
      <c r="A2624" s="14" t="str">
        <f>IFERROR(__xludf.DUMMYFUNCTION("""COMPUTED_VALUE"""),"Q-10569-00")</f>
        <v>Q-10569-00</v>
      </c>
      <c r="B2624" s="14" t="str">
        <f>IFERROR(__xludf.DUMMYFUNCTION("""COMPUTED_VALUE"""),"Lampu LED Emergency 6 Watt Hannoch Genius")</f>
        <v>Lampu LED Emergency 6 Watt Hannoch Genius</v>
      </c>
      <c r="C2624" s="14" t="str">
        <f>IFERROR(__xludf.DUMMYFUNCTION("""COMPUTED_VALUE"""),"Q-10569-00")</f>
        <v>Q-10569-00</v>
      </c>
    </row>
    <row r="2625">
      <c r="A2625" s="14" t="str">
        <f>IFERROR(__xludf.DUMMYFUNCTION("""COMPUTED_VALUE"""),"Q-10570-00")</f>
        <v>Q-10570-00</v>
      </c>
      <c r="B2625" s="14" t="str">
        <f>IFERROR(__xludf.DUMMYFUNCTION("""COMPUTED_VALUE"""),"Kap Lampu TL RM 2X18 Watt")</f>
        <v>Kap Lampu TL RM 2X18 Watt</v>
      </c>
      <c r="C2625" s="14" t="str">
        <f>IFERROR(__xludf.DUMMYFUNCTION("""COMPUTED_VALUE"""),"Q-10570-00")</f>
        <v>Q-10570-00</v>
      </c>
    </row>
    <row r="2626">
      <c r="A2626" s="14" t="str">
        <f>IFERROR(__xludf.DUMMYFUNCTION("""COMPUTED_VALUE"""),"Q-10571-00")</f>
        <v>Q-10571-00</v>
      </c>
      <c r="B2626" s="14" t="str">
        <f>IFERROR(__xludf.DUMMYFUNCTION("""COMPUTED_VALUE"""),"PHILIPS - Kap Lampu Waterproof TCW 060 2X36 Watt")</f>
        <v>PHILIPS - Kap Lampu Waterproof TCW 060 2X36 Watt</v>
      </c>
      <c r="C2626" s="14" t="str">
        <f>IFERROR(__xludf.DUMMYFUNCTION("""COMPUTED_VALUE"""),"Q-10571-00")</f>
        <v>Q-10571-00</v>
      </c>
    </row>
    <row r="2627">
      <c r="A2627" s="14" t="str">
        <f>IFERROR(__xludf.DUMMYFUNCTION("""COMPUTED_VALUE"""),"Q-10572-00")</f>
        <v>Q-10572-00</v>
      </c>
      <c r="B2627" s="14" t="str">
        <f>IFERROR(__xludf.DUMMYFUNCTION("""COMPUTED_VALUE"""),"PHILIPS - Lampu LED TL T8 120 Cm 16 Watt; ; ;")</f>
        <v>PHILIPS - Lampu LED TL T8 120 Cm 16 Watt; ; ;</v>
      </c>
      <c r="C2627" s="14" t="str">
        <f>IFERROR(__xludf.DUMMYFUNCTION("""COMPUTED_VALUE"""),"Q-10572-00")</f>
        <v>Q-10572-00</v>
      </c>
    </row>
    <row r="2628">
      <c r="A2628" s="14" t="str">
        <f>IFERROR(__xludf.DUMMYFUNCTION("""COMPUTED_VALUE"""),"Q-10573-00")</f>
        <v>Q-10573-00</v>
      </c>
      <c r="B2628" s="14" t="str">
        <f>IFERROR(__xludf.DUMMYFUNCTION("""COMPUTED_VALUE"""),"PHILIPS - Lampu Emergency TWS 200; ; ;")</f>
        <v>PHILIPS - Lampu Emergency TWS 200; ; ;</v>
      </c>
      <c r="C2628" s="14" t="str">
        <f>IFERROR(__xludf.DUMMYFUNCTION("""COMPUTED_VALUE"""),"Q-10573-00")</f>
        <v>Q-10573-00</v>
      </c>
    </row>
    <row r="2629">
      <c r="A2629" s="14" t="str">
        <f>IFERROR(__xludf.DUMMYFUNCTION("""COMPUTED_VALUE"""),"Q-10580-00")</f>
        <v>Q-10580-00</v>
      </c>
      <c r="B2629" s="14" t="str">
        <f>IFERROR(__xludf.DUMMYFUNCTION("""COMPUTED_VALUE"""),"Cat Ftalit 444 Banana Yellow; ; ; 1 Kg per Can")</f>
        <v>Cat Ftalit 444 Banana Yellow; ; ; 1 Kg per Can</v>
      </c>
      <c r="C2629" s="14" t="str">
        <f>IFERROR(__xludf.DUMMYFUNCTION("""COMPUTED_VALUE"""),"Q-10580-00")</f>
        <v>Q-10580-00</v>
      </c>
    </row>
    <row r="2630">
      <c r="A2630" s="14" t="str">
        <f>IFERROR(__xludf.DUMMYFUNCTION("""COMPUTED_VALUE"""),"Q-10581-00")</f>
        <v>Q-10581-00</v>
      </c>
      <c r="B2630" s="14" t="str">
        <f>IFERROR(__xludf.DUMMYFUNCTION("""COMPUTED_VALUE"""),"Cat Ftalit 272 Antique Grey 1 Kg per Can")</f>
        <v>Cat Ftalit 272 Antique Grey 1 Kg per Can</v>
      </c>
      <c r="C2630" s="14" t="str">
        <f>IFERROR(__xludf.DUMMYFUNCTION("""COMPUTED_VALUE"""),"Q-10581-00")</f>
        <v>Q-10581-00</v>
      </c>
    </row>
    <row r="2631">
      <c r="A2631" s="14" t="str">
        <f>IFERROR(__xludf.DUMMYFUNCTION("""COMPUTED_VALUE"""),"Q-10585-00")</f>
        <v>Q-10585-00</v>
      </c>
      <c r="B2631" s="14" t="str">
        <f>IFERROR(__xludf.DUMMYFUNCTION("""COMPUTED_VALUE"""),"Lampu LED T5-18W-1200mm")</f>
        <v>Lampu LED T5-18W-1200mm</v>
      </c>
      <c r="C2631" s="14" t="str">
        <f>IFERROR(__xludf.DUMMYFUNCTION("""COMPUTED_VALUE"""),"Q-10585-00")</f>
        <v>Q-10585-00</v>
      </c>
    </row>
    <row r="2632">
      <c r="A2632" s="14" t="str">
        <f>IFERROR(__xludf.DUMMYFUNCTION("""COMPUTED_VALUE"""),"Q-10586-00")</f>
        <v>Q-10586-00</v>
      </c>
      <c r="B2632" s="14" t="str">
        <f>IFERROR(__xludf.DUMMYFUNCTION("""COMPUTED_VALUE"""),"Lampu LED T5-9W-600mm; ; ;")</f>
        <v>Lampu LED T5-9W-600mm; ; ;</v>
      </c>
      <c r="C2632" s="14" t="str">
        <f>IFERROR(__xludf.DUMMYFUNCTION("""COMPUTED_VALUE"""),"Q-10586-00")</f>
        <v>Q-10586-00</v>
      </c>
    </row>
    <row r="2633">
      <c r="A2633" s="14" t="str">
        <f>IFERROR(__xludf.DUMMYFUNCTION("""COMPUTED_VALUE"""),"Q-10588-00")</f>
        <v>Q-10588-00</v>
      </c>
      <c r="B2633" s="14" t="str">
        <f>IFERROR(__xludf.DUMMYFUNCTION("""COMPUTED_VALUE"""),"Sika Boom @750 ml")</f>
        <v>Sika Boom @750 ml</v>
      </c>
      <c r="C2633" s="14" t="str">
        <f>IFERROR(__xludf.DUMMYFUNCTION("""COMPUTED_VALUE"""),"Q-10588-00")</f>
        <v>Q-10588-00</v>
      </c>
    </row>
    <row r="2634">
      <c r="A2634" s="14" t="str">
        <f>IFERROR(__xludf.DUMMYFUNCTION("""COMPUTED_VALUE"""),"Q-10621-00")</f>
        <v>Q-10621-00</v>
      </c>
      <c r="B2634" s="14" t="str">
        <f>IFERROR(__xludf.DUMMYFUNCTION("""COMPUTED_VALUE"""),"Kap Downlight 5inch Osiwa")</f>
        <v>Kap Downlight 5inch Osiwa</v>
      </c>
      <c r="C2634" s="14" t="str">
        <f>IFERROR(__xludf.DUMMYFUNCTION("""COMPUTED_VALUE"""),"Q-10621-00")</f>
        <v>Q-10621-00</v>
      </c>
    </row>
    <row r="2635">
      <c r="A2635" s="14" t="str">
        <f>IFERROR(__xludf.DUMMYFUNCTION("""COMPUTED_VALUE"""),"Q-10623-00")</f>
        <v>Q-10623-00</v>
      </c>
      <c r="B2635" s="14" t="str">
        <f>IFERROR(__xludf.DUMMYFUNCTION("""COMPUTED_VALUE"""),"Engsel Spring SS304 4x3x3ml Dekson")</f>
        <v>Engsel Spring SS304 4x3x3ml Dekson</v>
      </c>
      <c r="C2635" s="14" t="str">
        <f>IFERROR(__xludf.DUMMYFUNCTION("""COMPUTED_VALUE"""),"Q-10623-00")</f>
        <v>Q-10623-00</v>
      </c>
    </row>
    <row r="2636">
      <c r="A2636" s="14" t="str">
        <f>IFERROR(__xludf.DUMMYFUNCTION("""COMPUTED_VALUE"""),"Q-10629-00")</f>
        <v>Q-10629-00</v>
      </c>
      <c r="B2636" s="14" t="str">
        <f>IFERROR(__xludf.DUMMYFUNCTION("""COMPUTED_VALUE"""),"Cat Lantai Light Blue BAP338 BITAFLOOR")</f>
        <v>Cat Lantai Light Blue BAP338 BITAFLOOR</v>
      </c>
      <c r="C2636" s="14" t="str">
        <f>IFERROR(__xludf.DUMMYFUNCTION("""COMPUTED_VALUE"""),"Q-10629-00")</f>
        <v>Q-10629-00</v>
      </c>
    </row>
    <row r="2637">
      <c r="A2637" s="14" t="str">
        <f>IFERROR(__xludf.DUMMYFUNCTION("""COMPUTED_VALUE"""),"Q-10630-00")</f>
        <v>Q-10630-00</v>
      </c>
      <c r="B2637" s="14" t="str">
        <f>IFERROR(__xludf.DUMMYFUNCTION("""COMPUTED_VALUE"""),"Pompa KP250A Grundfos")</f>
        <v>Pompa KP250A Grundfos</v>
      </c>
      <c r="C2637" s="14" t="str">
        <f>IFERROR(__xludf.DUMMYFUNCTION("""COMPUTED_VALUE"""),"Q-10630-00")</f>
        <v>Q-10630-00</v>
      </c>
    </row>
    <row r="2638">
      <c r="A2638" s="14" t="str">
        <f>IFERROR(__xludf.DUMMYFUNCTION("""COMPUTED_VALUE"""),"Q-10631-00")</f>
        <v>Q-10631-00</v>
      </c>
      <c r="B2638" s="14" t="str">
        <f>IFERROR(__xludf.DUMMYFUNCTION("""COMPUTED_VALUE"""),"Mesh 8 SS 304")</f>
        <v>Mesh 8 SS 304</v>
      </c>
      <c r="C2638" s="14" t="str">
        <f>IFERROR(__xludf.DUMMYFUNCTION("""COMPUTED_VALUE"""),"Q-10631-00")</f>
        <v>Q-10631-00</v>
      </c>
    </row>
    <row r="2639">
      <c r="A2639" s="14" t="str">
        <f>IFERROR(__xludf.DUMMYFUNCTION("""COMPUTED_VALUE"""),"Q-10633-00")</f>
        <v>Q-10633-00</v>
      </c>
      <c r="B2639" s="14" t="str">
        <f>IFERROR(__xludf.DUMMYFUNCTION("""COMPUTED_VALUE"""),"Tali Tambang")</f>
        <v>Tali Tambang</v>
      </c>
      <c r="C2639" s="14" t="str">
        <f>IFERROR(__xludf.DUMMYFUNCTION("""COMPUTED_VALUE"""),"Q-10633-00")</f>
        <v>Q-10633-00</v>
      </c>
    </row>
    <row r="2640">
      <c r="A2640" s="14" t="str">
        <f>IFERROR(__xludf.DUMMYFUNCTION("""COMPUTED_VALUE"""),"Q-10650-00")</f>
        <v>Q-10650-00</v>
      </c>
      <c r="B2640" s="14" t="str">
        <f>IFERROR(__xludf.DUMMYFUNCTION("""COMPUTED_VALUE"""),"Aquaproof Abu-Abu @4 Kg; ; ;")</f>
        <v>Aquaproof Abu-Abu @4 Kg; ; ;</v>
      </c>
      <c r="C2640" s="14" t="str">
        <f>IFERROR(__xludf.DUMMYFUNCTION("""COMPUTED_VALUE"""),"Q-10650-00")</f>
        <v>Q-10650-00</v>
      </c>
    </row>
    <row r="2641">
      <c r="A2641" s="14" t="str">
        <f>IFERROR(__xludf.DUMMYFUNCTION("""COMPUTED_VALUE"""),"Q-10651-00")</f>
        <v>Q-10651-00</v>
      </c>
      <c r="B2641" s="14" t="str">
        <f>IFERROR(__xludf.DUMMYFUNCTION("""COMPUTED_VALUE"""),"Aquaproof Putih @4 Kg")</f>
        <v>Aquaproof Putih @4 Kg</v>
      </c>
      <c r="C2641" s="14" t="str">
        <f>IFERROR(__xludf.DUMMYFUNCTION("""COMPUTED_VALUE"""),"Q-10651-00")</f>
        <v>Q-10651-00</v>
      </c>
    </row>
    <row r="2642">
      <c r="A2642" s="14" t="str">
        <f>IFERROR(__xludf.DUMMYFUNCTION("""COMPUTED_VALUE"""),"Q-10652-00")</f>
        <v>Q-10652-00</v>
      </c>
      <c r="B2642" s="14" t="str">
        <f>IFERROR(__xludf.DUMMYFUNCTION("""COMPUTED_VALUE"""),"Cat Multipurpose PU Acrylic Orange 101-1 Propan")</f>
        <v>Cat Multipurpose PU Acrylic Orange 101-1 Propan</v>
      </c>
      <c r="C2642" s="14" t="str">
        <f>IFERROR(__xludf.DUMMYFUNCTION("""COMPUTED_VALUE"""),"Q-10652-00")</f>
        <v>Q-10652-00</v>
      </c>
    </row>
    <row r="2643">
      <c r="A2643" s="14" t="str">
        <f>IFERROR(__xludf.DUMMYFUNCTION("""COMPUTED_VALUE"""),"Q-10655-00")</f>
        <v>Q-10655-00</v>
      </c>
      <c r="B2643" s="14" t="str">
        <f>IFERROR(__xludf.DUMMYFUNCTION("""COMPUTED_VALUE"""),"Cat Anti Karat dan Anti Bocor Seiv Flinkote 007")</f>
        <v>Cat Anti Karat dan Anti Bocor Seiv Flinkote 007</v>
      </c>
      <c r="C2643" s="14" t="str">
        <f>IFERROR(__xludf.DUMMYFUNCTION("""COMPUTED_VALUE"""),"Q-10655-00")</f>
        <v>Q-10655-00</v>
      </c>
    </row>
    <row r="2644">
      <c r="A2644" s="14" t="str">
        <f>IFERROR(__xludf.DUMMYFUNCTION("""COMPUTED_VALUE"""),"Q-10656-00")</f>
        <v>Q-10656-00</v>
      </c>
      <c r="B2644" s="14" t="str">
        <f>IFERROR(__xludf.DUMMYFUNCTION("""COMPUTED_VALUE"""),"Kuas Cat Uk. 5 inch;No Brand;;pack size per pcs")</f>
        <v>Kuas Cat Uk. 5 inch;No Brand;;pack size per pcs</v>
      </c>
      <c r="C2644" s="14" t="str">
        <f>IFERROR(__xludf.DUMMYFUNCTION("""COMPUTED_VALUE"""),"Q-10656-00")</f>
        <v>Q-10656-00</v>
      </c>
    </row>
    <row r="2645">
      <c r="A2645" s="14" t="str">
        <f>IFERROR(__xludf.DUMMYFUNCTION("""COMPUTED_VALUE"""),"Q-10657-00")</f>
        <v>Q-10657-00</v>
      </c>
      <c r="B2645" s="14" t="str">
        <f>IFERROR(__xludf.DUMMYFUNCTION("""COMPUTED_VALUE"""),"Mata Gerinda Amplas Poles Epoxy @11 pcs")</f>
        <v>Mata Gerinda Amplas Poles Epoxy @11 pcs</v>
      </c>
      <c r="C2645" s="14" t="str">
        <f>IFERROR(__xludf.DUMMYFUNCTION("""COMPUTED_VALUE"""),"Q-10657-00")</f>
        <v>Q-10657-00</v>
      </c>
    </row>
    <row r="2646">
      <c r="A2646" s="14" t="str">
        <f>IFERROR(__xludf.DUMMYFUNCTION("""COMPUTED_VALUE"""),"Q-10662-00")</f>
        <v>Q-10662-00</v>
      </c>
      <c r="B2646" s="14" t="str">
        <f>IFERROR(__xludf.DUMMYFUNCTION("""COMPUTED_VALUE"""),"Capit Udang Laci Solid")</f>
        <v>Capit Udang Laci Solid</v>
      </c>
      <c r="C2646" s="14" t="str">
        <f>IFERROR(__xludf.DUMMYFUNCTION("""COMPUTED_VALUE"""),"Q-10662-00")</f>
        <v>Q-10662-00</v>
      </c>
    </row>
    <row r="2647">
      <c r="A2647" s="14" t="str">
        <f>IFERROR(__xludf.DUMMYFUNCTION("""COMPUTED_VALUE"""),"Q-10683-00")</f>
        <v>Q-10683-00</v>
      </c>
      <c r="B2647" s="14" t="str">
        <f>IFERROR(__xludf.DUMMYFUNCTION("""COMPUTED_VALUE"""),"Stiker Vinil A3")</f>
        <v>Stiker Vinil A3</v>
      </c>
      <c r="C2647" s="14" t="str">
        <f>IFERROR(__xludf.DUMMYFUNCTION("""COMPUTED_VALUE"""),"Q-10683-00")</f>
        <v>Q-10683-00</v>
      </c>
    </row>
    <row r="2648">
      <c r="A2648" s="14" t="str">
        <f>IFERROR(__xludf.DUMMYFUNCTION("""COMPUTED_VALUE"""),"Q-10711-00")</f>
        <v>Q-10711-00</v>
      </c>
      <c r="B2648" s="14" t="str">
        <f>IFERROR(__xludf.DUMMYFUNCTION("""COMPUTED_VALUE"""),"Pipa PVC Abu Abu AW 4"" Rucika; ; ;")</f>
        <v>Pipa PVC Abu Abu AW 4" Rucika; ; ;</v>
      </c>
      <c r="C2648" s="14" t="str">
        <f>IFERROR(__xludf.DUMMYFUNCTION("""COMPUTED_VALUE"""),"Q-10711-00")</f>
        <v>Q-10711-00</v>
      </c>
    </row>
    <row r="2649">
      <c r="A2649" s="14" t="str">
        <f>IFERROR(__xludf.DUMMYFUNCTION("""COMPUTED_VALUE"""),"Q-10712-00")</f>
        <v>Q-10712-00</v>
      </c>
      <c r="B2649" s="14" t="str">
        <f>IFERROR(__xludf.DUMMYFUNCTION("""COMPUTED_VALUE"""),"Elbow PVC Abu Abu AW 4"" Rucika; ; ;")</f>
        <v>Elbow PVC Abu Abu AW 4" Rucika; ; ;</v>
      </c>
      <c r="C2649" s="14" t="str">
        <f>IFERROR(__xludf.DUMMYFUNCTION("""COMPUTED_VALUE"""),"Q-10712-00")</f>
        <v>Q-10712-00</v>
      </c>
    </row>
    <row r="2650">
      <c r="A2650" s="14" t="str">
        <f>IFERROR(__xludf.DUMMYFUNCTION("""COMPUTED_VALUE"""),"Q-10715-00")</f>
        <v>Q-10715-00</v>
      </c>
      <c r="B2650" s="14" t="str">
        <f>IFERROR(__xludf.DUMMYFUNCTION("""COMPUTED_VALUE"""),"Lem PVC Isarplas Kuas @400gr; ; ;")</f>
        <v>Lem PVC Isarplas Kuas @400gr; ; ;</v>
      </c>
      <c r="C2650" s="14" t="str">
        <f>IFERROR(__xludf.DUMMYFUNCTION("""COMPUTED_VALUE"""),"Q-10715-00")</f>
        <v>Q-10715-00</v>
      </c>
    </row>
    <row r="2651">
      <c r="A2651" s="14" t="str">
        <f>IFERROR(__xludf.DUMMYFUNCTION("""COMPUTED_VALUE"""),"Q-10724-00")</f>
        <v>Q-10724-00</v>
      </c>
      <c r="B2651" s="14" t="str">
        <f>IFERROR(__xludf.DUMMYFUNCTION("""COMPUTED_VALUE"""),"Semen MU 301 Plester Plus; ; ;")</f>
        <v>Semen MU 301 Plester Plus; ; ;</v>
      </c>
      <c r="C2651" s="14" t="str">
        <f>IFERROR(__xludf.DUMMYFUNCTION("""COMPUTED_VALUE"""),"Q-10724-00")</f>
        <v>Q-10724-00</v>
      </c>
    </row>
    <row r="2652">
      <c r="A2652" s="14" t="str">
        <f>IFERROR(__xludf.DUMMYFUNCTION("""COMPUTED_VALUE"""),"Q-10731-00")</f>
        <v>Q-10731-00</v>
      </c>
      <c r="B2652" s="14" t="str">
        <f>IFERROR(__xludf.DUMMYFUNCTION("""COMPUTED_VALUE"""),"Kunci Lemari Arsip Lion L33/ELITE LION")</f>
        <v>Kunci Lemari Arsip Lion L33/ELITE LION</v>
      </c>
      <c r="C2652" s="14" t="str">
        <f>IFERROR(__xludf.DUMMYFUNCTION("""COMPUTED_VALUE"""),"Q-10731-00")</f>
        <v>Q-10731-00</v>
      </c>
    </row>
    <row r="2653">
      <c r="A2653" s="14" t="str">
        <f>IFERROR(__xludf.DUMMYFUNCTION("""COMPUTED_VALUE"""),"Q-10745-00")</f>
        <v>Q-10745-00</v>
      </c>
      <c r="B2653" s="14" t="str">
        <f>IFERROR(__xludf.DUMMYFUNCTION("""COMPUTED_VALUE"""),"Lem ZAMITEX 500 gr")</f>
        <v>Lem ZAMITEX 500 gr</v>
      </c>
      <c r="C2653" s="14" t="str">
        <f>IFERROR(__xludf.DUMMYFUNCTION("""COMPUTED_VALUE"""),"Q-10745-00")</f>
        <v>Q-10745-00</v>
      </c>
    </row>
    <row r="2654">
      <c r="A2654" s="14" t="str">
        <f>IFERROR(__xludf.DUMMYFUNCTION("""COMPUTED_VALUE"""),"Q-10746-00")</f>
        <v>Q-10746-00</v>
      </c>
      <c r="B2654" s="14" t="str">
        <f>IFERROR(__xludf.DUMMYFUNCTION("""COMPUTED_VALUE"""),"Cat Tembok WeatherShield 40544M Day Break Dulux")</f>
        <v>Cat Tembok WeatherShield 40544M Day Break Dulux</v>
      </c>
      <c r="C2654" s="14" t="str">
        <f>IFERROR(__xludf.DUMMYFUNCTION("""COMPUTED_VALUE"""),"Q-10746-00")</f>
        <v>Q-10746-00</v>
      </c>
    </row>
    <row r="2655">
      <c r="A2655" s="14" t="str">
        <f>IFERROR(__xludf.DUMMYFUNCTION("""COMPUTED_VALUE"""),"Q-10750-00")</f>
        <v>Q-10750-00</v>
      </c>
      <c r="B2655" s="14" t="str">
        <f>IFERROR(__xludf.DUMMYFUNCTION("""COMPUTED_VALUE"""),"Hollow Baja Ringan 4x4cm, Tebal 0.5mm, Panjang 4m; ; ;")</f>
        <v>Hollow Baja Ringan 4x4cm, Tebal 0.5mm, Panjang 4m; ; ;</v>
      </c>
      <c r="C2655" s="14" t="str">
        <f>IFERROR(__xludf.DUMMYFUNCTION("""COMPUTED_VALUE"""),"Q-10750-00")</f>
        <v>Q-10750-00</v>
      </c>
    </row>
    <row r="2656">
      <c r="A2656" s="14" t="str">
        <f>IFERROR(__xludf.DUMMYFUNCTION("""COMPUTED_VALUE"""),"Q-10752-00")</f>
        <v>Q-10752-00</v>
      </c>
      <c r="B2656" s="14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4" t="str">
        <f>IFERROR(__xludf.DUMMYFUNCTION("""COMPUTED_VALUE"""),"Q-10752-00")</f>
        <v>Q-10752-00</v>
      </c>
    </row>
    <row r="2657">
      <c r="A2657" s="14" t="str">
        <f>IFERROR(__xludf.DUMMYFUNCTION("""COMPUTED_VALUE"""),"Q-10774-00")</f>
        <v>Q-10774-00</v>
      </c>
      <c r="B2657" s="14" t="str">
        <f>IFERROR(__xludf.DUMMYFUNCTION("""COMPUTED_VALUE"""),"Kansai Zinc Phospate Primer Light Grey @ 20 KG")</f>
        <v>Kansai Zinc Phospate Primer Light Grey @ 20 KG</v>
      </c>
      <c r="C2657" s="14" t="str">
        <f>IFERROR(__xludf.DUMMYFUNCTION("""COMPUTED_VALUE"""),"Q-10774-00")</f>
        <v>Q-10774-00</v>
      </c>
    </row>
    <row r="2658">
      <c r="A2658" s="14" t="str">
        <f>IFERROR(__xludf.DUMMYFUNCTION("""COMPUTED_VALUE"""),"Q-10775-00")</f>
        <v>Q-10775-00</v>
      </c>
      <c r="B2658" s="14" t="str">
        <f>IFERROR(__xludf.DUMMYFUNCTION("""COMPUTED_VALUE"""),"Metalkote Anti Karat Epoxy Primer EDP-551 @ 20 KG")</f>
        <v>Metalkote Anti Karat Epoxy Primer EDP-551 @ 20 KG</v>
      </c>
      <c r="C2658" s="14" t="str">
        <f>IFERROR(__xludf.DUMMYFUNCTION("""COMPUTED_VALUE"""),"Q-10775-00")</f>
        <v>Q-10775-00</v>
      </c>
    </row>
    <row r="2659">
      <c r="A2659" s="14" t="str">
        <f>IFERROR(__xludf.DUMMYFUNCTION("""COMPUTED_VALUE"""),"Q-10783-00")</f>
        <v>Q-10783-00</v>
      </c>
      <c r="B2659" s="14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4" t="str">
        <f>IFERROR(__xludf.DUMMYFUNCTION("""COMPUTED_VALUE"""),"Q-10783-00")</f>
        <v>Q-10783-00</v>
      </c>
    </row>
    <row r="2660">
      <c r="A2660" s="14" t="str">
        <f>IFERROR(__xludf.DUMMYFUNCTION("""COMPUTED_VALUE"""),"Q-10784-00")</f>
        <v>Q-10784-00</v>
      </c>
      <c r="B2660" s="14" t="str">
        <f>IFERROR(__xludf.DUMMYFUNCTION("""COMPUTED_VALUE"""),"Convex Mirror 80 CM (Cermin Cembung)")</f>
        <v>Convex Mirror 80 CM (Cermin Cembung)</v>
      </c>
      <c r="C2660" s="14" t="str">
        <f>IFERROR(__xludf.DUMMYFUNCTION("""COMPUTED_VALUE"""),"Q-10784-00")</f>
        <v>Q-10784-00</v>
      </c>
    </row>
    <row r="2661">
      <c r="A2661" s="14" t="str">
        <f>IFERROR(__xludf.DUMMYFUNCTION("""COMPUTED_VALUE"""),"Q-10785-00")</f>
        <v>Q-10785-00</v>
      </c>
      <c r="B2661" s="14" t="str">
        <f>IFERROR(__xludf.DUMMYFUNCTION("""COMPUTED_VALUE"""),"Hardisk Enclosure Case 3.5 Inch")</f>
        <v>Hardisk Enclosure Case 3.5 Inch</v>
      </c>
      <c r="C2661" s="14" t="str">
        <f>IFERROR(__xludf.DUMMYFUNCTION("""COMPUTED_VALUE"""),"Q-10785-00")</f>
        <v>Q-10785-00</v>
      </c>
    </row>
    <row r="2662">
      <c r="A2662" s="14" t="str">
        <f>IFERROR(__xludf.DUMMYFUNCTION("""COMPUTED_VALUE"""),"Q-10805-00")</f>
        <v>Q-10805-00</v>
      </c>
      <c r="B2662" s="14" t="str">
        <f>IFERROR(__xludf.DUMMYFUNCTION("""COMPUTED_VALUE"""),"Multipox MX-98-2K SB White;Propan;Type White;pack size per 20 kg pail")</f>
        <v>Multipox MX-98-2K SB White;Propan;Type White;pack size per 20 kg pail</v>
      </c>
      <c r="C2662" s="14" t="str">
        <f>IFERROR(__xludf.DUMMYFUNCTION("""COMPUTED_VALUE"""),"Q-10805-00")</f>
        <v>Q-10805-00</v>
      </c>
    </row>
    <row r="2663">
      <c r="A2663" s="14" t="str">
        <f>IFERROR(__xludf.DUMMYFUNCTION("""COMPUTED_VALUE"""),"Q-10817-00")</f>
        <v>Q-10817-00</v>
      </c>
      <c r="B2663" s="14" t="str">
        <f>IFERROR(__xludf.DUMMYFUNCTION("""COMPUTED_VALUE"""),"Door Closer Type: TS77 Hold Open; DORMA; ;")</f>
        <v>Door Closer Type: TS77 Hold Open; DORMA; ;</v>
      </c>
      <c r="C2663" s="14" t="str">
        <f>IFERROR(__xludf.DUMMYFUNCTION("""COMPUTED_VALUE"""),"Q-10817-00")</f>
        <v>Q-10817-00</v>
      </c>
    </row>
    <row r="2664">
      <c r="A2664" s="14" t="str">
        <f>IFERROR(__xludf.DUMMYFUNCTION("""COMPUTED_VALUE"""),"Q-10825-00")</f>
        <v>Q-10825-00</v>
      </c>
      <c r="B2664" s="14" t="str">
        <f>IFERROR(__xludf.DUMMYFUNCTION("""COMPUTED_VALUE"""),"Tali Karet Ban;No Brand;;pack size per pcs")</f>
        <v>Tali Karet Ban;No Brand;;pack size per pcs</v>
      </c>
      <c r="C2664" s="14" t="str">
        <f>IFERROR(__xludf.DUMMYFUNCTION("""COMPUTED_VALUE"""),"Q-10825-00")</f>
        <v>Q-10825-00</v>
      </c>
    </row>
    <row r="2665">
      <c r="A2665" s="14" t="str">
        <f>IFERROR(__xludf.DUMMYFUNCTION("""COMPUTED_VALUE"""),"Q-10827-00")</f>
        <v>Q-10827-00</v>
      </c>
      <c r="B2665" s="14" t="str">
        <f>IFERROR(__xludf.DUMMYFUNCTION("""COMPUTED_VALUE"""),"Jet Gun For Cleaning AC")</f>
        <v>Jet Gun For Cleaning AC</v>
      </c>
      <c r="C2665" s="14" t="str">
        <f>IFERROR(__xludf.DUMMYFUNCTION("""COMPUTED_VALUE"""),"Q-10827-00")</f>
        <v>Q-10827-00</v>
      </c>
    </row>
    <row r="2666">
      <c r="A2666" s="14" t="str">
        <f>IFERROR(__xludf.DUMMYFUNCTION("""COMPUTED_VALUE"""),"Q-10828-00")</f>
        <v>Q-10828-00</v>
      </c>
      <c r="B2666" s="14" t="str">
        <f>IFERROR(__xludf.DUMMYFUNCTION("""COMPUTED_VALUE"""),"Plastik AC 0,5-2 PK @5 meter; ; ;")</f>
        <v>Plastik AC 0,5-2 PK @5 meter; ; ;</v>
      </c>
      <c r="C2666" s="14" t="str">
        <f>IFERROR(__xludf.DUMMYFUNCTION("""COMPUTED_VALUE"""),"Q-10828-00")</f>
        <v>Q-10828-00</v>
      </c>
    </row>
    <row r="2667">
      <c r="A2667" s="14" t="str">
        <f>IFERROR(__xludf.DUMMYFUNCTION("""COMPUTED_VALUE"""),"Q-10829-00")</f>
        <v>Q-10829-00</v>
      </c>
      <c r="B2667" s="14" t="str">
        <f>IFERROR(__xludf.DUMMYFUNCTION("""COMPUTED_VALUE"""),"Cat Ambiance Lakestone 44537M Tinting; Dulux; ;")</f>
        <v>Cat Ambiance Lakestone 44537M Tinting; Dulux; ;</v>
      </c>
      <c r="C2667" s="14" t="str">
        <f>IFERROR(__xludf.DUMMYFUNCTION("""COMPUTED_VALUE"""),"Q-10829-00")</f>
        <v>Q-10829-00</v>
      </c>
    </row>
    <row r="2668">
      <c r="A2668" s="14" t="str">
        <f>IFERROR(__xludf.DUMMYFUNCTION("""COMPUTED_VALUE"""),"Q-10845-00")</f>
        <v>Q-10845-00</v>
      </c>
      <c r="B2668" s="14" t="str">
        <f>IFERROR(__xludf.DUMMYFUNCTION("""COMPUTED_VALUE"""),"Fitting Lampu Bholam E27; ; ; pcs")</f>
        <v>Fitting Lampu Bholam E27; ; ; pcs</v>
      </c>
      <c r="C2668" s="14" t="str">
        <f>IFERROR(__xludf.DUMMYFUNCTION("""COMPUTED_VALUE"""),"Q-10845-00")</f>
        <v>Q-10845-00</v>
      </c>
    </row>
    <row r="2669">
      <c r="A2669" s="14" t="str">
        <f>IFERROR(__xludf.DUMMYFUNCTION("""COMPUTED_VALUE"""),"Q-10855-00")</f>
        <v>Q-10855-00</v>
      </c>
      <c r="B2669" s="14" t="str">
        <f>IFERROR(__xludf.DUMMYFUNCTION("""COMPUTED_VALUE"""),"Apar Termatic Powder")</f>
        <v>Apar Termatic Powder</v>
      </c>
      <c r="C2669" s="14" t="str">
        <f>IFERROR(__xludf.DUMMYFUNCTION("""COMPUTED_VALUE"""),"Q-10855-00")</f>
        <v>Q-10855-00</v>
      </c>
    </row>
    <row r="2670">
      <c r="A2670" s="14" t="str">
        <f>IFERROR(__xludf.DUMMYFUNCTION("""COMPUTED_VALUE"""),"Q-10856-00")</f>
        <v>Q-10856-00</v>
      </c>
      <c r="B2670" s="14" t="str">
        <f>IFERROR(__xludf.DUMMYFUNCTION("""COMPUTED_VALUE"""),"SCHINDLER ELEVATOR - Guide Shoe Oil Box")</f>
        <v>SCHINDLER ELEVATOR - Guide Shoe Oil Box</v>
      </c>
      <c r="C2670" s="14" t="str">
        <f>IFERROR(__xludf.DUMMYFUNCTION("""COMPUTED_VALUE"""),"Q-10856-00")</f>
        <v>Q-10856-00</v>
      </c>
    </row>
    <row r="2671">
      <c r="A2671" s="14" t="str">
        <f>IFERROR(__xludf.DUMMYFUNCTION("""COMPUTED_VALUE"""),"Q-10857-00")</f>
        <v>Q-10857-00</v>
      </c>
      <c r="B2671" s="14" t="str">
        <f>IFERROR(__xludf.DUMMYFUNCTION("""COMPUTED_VALUE"""),"Nitric Acid (HNO3) 68 %")</f>
        <v>Nitric Acid (HNO3) 68 %</v>
      </c>
      <c r="C2671" s="14" t="str">
        <f>IFERROR(__xludf.DUMMYFUNCTION("""COMPUTED_VALUE"""),"Q-10857-00")</f>
        <v>Q-10857-00</v>
      </c>
    </row>
    <row r="2672">
      <c r="A2672" s="14" t="str">
        <f>IFERROR(__xludf.DUMMYFUNCTION("""COMPUTED_VALUE"""),"Q-10859-00")</f>
        <v>Q-10859-00</v>
      </c>
      <c r="B2672" s="14" t="str">
        <f>IFERROR(__xludf.DUMMYFUNCTION("""COMPUTED_VALUE"""),"Gembok 40 mm;No Brand;;pack size per pcs")</f>
        <v>Gembok 40 mm;No Brand;;pack size per pcs</v>
      </c>
      <c r="C2672" s="14" t="str">
        <f>IFERROR(__xludf.DUMMYFUNCTION("""COMPUTED_VALUE"""),"Q-10859-00")</f>
        <v>Q-10859-00</v>
      </c>
    </row>
    <row r="2673">
      <c r="A2673" s="14" t="str">
        <f>IFERROR(__xludf.DUMMYFUNCTION("""COMPUTED_VALUE"""),"Q-10860-00")</f>
        <v>Q-10860-00</v>
      </c>
      <c r="B2673" s="14" t="str">
        <f>IFERROR(__xludf.DUMMYFUNCTION("""COMPUTED_VALUE"""),"SCHINDLER ELEVATOR - Chime Bell")</f>
        <v>SCHINDLER ELEVATOR - Chime Bell</v>
      </c>
      <c r="C2673" s="14" t="str">
        <f>IFERROR(__xludf.DUMMYFUNCTION("""COMPUTED_VALUE"""),"Q-10860-00")</f>
        <v>Q-10860-00</v>
      </c>
    </row>
    <row r="2674">
      <c r="A2674" s="14" t="str">
        <f>IFERROR(__xludf.DUMMYFUNCTION("""COMPUTED_VALUE"""),"Q-10862-00")</f>
        <v>Q-10862-00</v>
      </c>
      <c r="B2674" s="14" t="str">
        <f>IFERROR(__xludf.DUMMYFUNCTION("""COMPUTED_VALUE"""),"Bracket TV Monitor LED 32-51 inch")</f>
        <v>Bracket TV Monitor LED 32-51 inch</v>
      </c>
      <c r="C2674" s="14" t="str">
        <f>IFERROR(__xludf.DUMMYFUNCTION("""COMPUTED_VALUE"""),"Q-10862-00")</f>
        <v>Q-10862-00</v>
      </c>
    </row>
    <row r="2675">
      <c r="A2675" s="14" t="str">
        <f>IFERROR(__xludf.DUMMYFUNCTION("""COMPUTED_VALUE"""),"Q-10863-00")</f>
        <v>Q-10863-00</v>
      </c>
      <c r="B2675" s="14" t="str">
        <f>IFERROR(__xludf.DUMMYFUNCTION("""COMPUTED_VALUE"""),"Wallmount Indorack WR5004S 4U 500MM Singel Door Rack Server")</f>
        <v>Wallmount Indorack WR5004S 4U 500MM Singel Door Rack Server</v>
      </c>
      <c r="C2675" s="14" t="str">
        <f>IFERROR(__xludf.DUMMYFUNCTION("""COMPUTED_VALUE"""),"Q-10863-00")</f>
        <v>Q-10863-00</v>
      </c>
    </row>
    <row r="2676">
      <c r="A2676" s="14" t="str">
        <f>IFERROR(__xludf.DUMMYFUNCTION("""COMPUTED_VALUE"""),"Q-10880-00")</f>
        <v>Q-10880-00</v>
      </c>
      <c r="B2676" s="14" t="str">
        <f>IFERROR(__xludf.DUMMYFUNCTION("""COMPUTED_VALUE"""),"Holder Vertical Blind Hanger 127 mm")</f>
        <v>Holder Vertical Blind Hanger 127 mm</v>
      </c>
      <c r="C2676" s="14" t="str">
        <f>IFERROR(__xludf.DUMMYFUNCTION("""COMPUTED_VALUE"""),"Q-10880-00")</f>
        <v>Q-10880-00</v>
      </c>
    </row>
    <row r="2677">
      <c r="A2677" s="14" t="str">
        <f>IFERROR(__xludf.DUMMYFUNCTION("""COMPUTED_VALUE"""),"Q-10885-00")</f>
        <v>Q-10885-00</v>
      </c>
      <c r="B2677" s="14" t="str">
        <f>IFERROR(__xludf.DUMMYFUNCTION("""COMPUTED_VALUE"""),"Kunci Grendel SS 1 1/2 Inch")</f>
        <v>Kunci Grendel SS 1 1/2 Inch</v>
      </c>
      <c r="C2677" s="14" t="str">
        <f>IFERROR(__xludf.DUMMYFUNCTION("""COMPUTED_VALUE"""),"Q-10885-00")</f>
        <v>Q-10885-00</v>
      </c>
    </row>
    <row r="2678">
      <c r="A2678" s="14" t="str">
        <f>IFERROR(__xludf.DUMMYFUNCTION("""COMPUTED_VALUE"""),"Q-10900-00")</f>
        <v>Q-10900-00</v>
      </c>
      <c r="B2678" s="14" t="str">
        <f>IFERROR(__xludf.DUMMYFUNCTION("""COMPUTED_VALUE"""),"Skrup Baja Hitam;No Brand;;pack size per pack")</f>
        <v>Skrup Baja Hitam;No Brand;;pack size per pack</v>
      </c>
      <c r="C2678" s="14" t="str">
        <f>IFERROR(__xludf.DUMMYFUNCTION("""COMPUTED_VALUE"""),"Q-10900-00")</f>
        <v>Q-10900-00</v>
      </c>
    </row>
    <row r="2679">
      <c r="A2679" s="14" t="str">
        <f>IFERROR(__xludf.DUMMYFUNCTION("""COMPUTED_VALUE"""),"Q-10901-00")</f>
        <v>Q-10901-00</v>
      </c>
      <c r="B2679" s="14" t="str">
        <f>IFERROR(__xludf.DUMMYFUNCTION("""COMPUTED_VALUE"""),"Lem Fox Kayu Putih")</f>
        <v>Lem Fox Kayu Putih</v>
      </c>
      <c r="C2679" s="14" t="str">
        <f>IFERROR(__xludf.DUMMYFUNCTION("""COMPUTED_VALUE"""),"Q-10901-00")</f>
        <v>Q-10901-00</v>
      </c>
    </row>
    <row r="2680">
      <c r="A2680" s="14" t="str">
        <f>IFERROR(__xludf.DUMMYFUNCTION("""COMPUTED_VALUE"""),"Q-10902-00")</f>
        <v>Q-10902-00</v>
      </c>
      <c r="B2680" s="14" t="str">
        <f>IFERROR(__xludf.DUMMYFUNCTION("""COMPUTED_VALUE"""),"Gypsum 9 mm;No Brand;;pack size per lembar")</f>
        <v>Gypsum 9 mm;No Brand;;pack size per lembar</v>
      </c>
      <c r="C2680" s="14" t="str">
        <f>IFERROR(__xludf.DUMMYFUNCTION("""COMPUTED_VALUE"""),"Q-10902-00")</f>
        <v>Q-10902-00</v>
      </c>
    </row>
    <row r="2681">
      <c r="A2681" s="14" t="str">
        <f>IFERROR(__xludf.DUMMYFUNCTION("""COMPUTED_VALUE"""),"Q-10903-00")</f>
        <v>Q-10903-00</v>
      </c>
      <c r="B2681" s="14" t="str">
        <f>IFERROR(__xludf.DUMMYFUNCTION("""COMPUTED_VALUE"""),"Lem Wall Papper BOSTIK")</f>
        <v>Lem Wall Papper BOSTIK</v>
      </c>
      <c r="C2681" s="14" t="str">
        <f>IFERROR(__xludf.DUMMYFUNCTION("""COMPUTED_VALUE"""),"Q-10903-00")</f>
        <v>Q-10903-00</v>
      </c>
    </row>
    <row r="2682">
      <c r="A2682" s="14" t="str">
        <f>IFERROR(__xludf.DUMMYFUNCTION("""COMPUTED_VALUE"""),"Q-10904-00")</f>
        <v>Q-10904-00</v>
      </c>
      <c r="B2682" s="14" t="str">
        <f>IFERROR(__xludf.DUMMYFUNCTION("""COMPUTED_VALUE"""),"Handle Pintu Kaca Deksson DK 82801; ; ;")</f>
        <v>Handle Pintu Kaca Deksson DK 82801; ; ;</v>
      </c>
      <c r="C2682" s="14" t="str">
        <f>IFERROR(__xludf.DUMMYFUNCTION("""COMPUTED_VALUE"""),"Q-10904-00")</f>
        <v>Q-10904-00</v>
      </c>
    </row>
    <row r="2683">
      <c r="A2683" s="14" t="str">
        <f>IFERROR(__xludf.DUMMYFUNCTION("""COMPUTED_VALUE"""),"Q-10905-00")</f>
        <v>Q-10905-00</v>
      </c>
      <c r="B2683" s="14" t="str">
        <f>IFERROR(__xludf.DUMMYFUNCTION("""COMPUTED_VALUE"""),"Kanal C Galvalum Baja Ringan 0.75")</f>
        <v>Kanal C Galvalum Baja Ringan 0.75</v>
      </c>
      <c r="C2683" s="14" t="str">
        <f>IFERROR(__xludf.DUMMYFUNCTION("""COMPUTED_VALUE"""),"Q-10905-00")</f>
        <v>Q-10905-00</v>
      </c>
    </row>
    <row r="2684">
      <c r="A2684" s="14" t="str">
        <f>IFERROR(__xludf.DUMMYFUNCTION("""COMPUTED_VALUE"""),"Q-10908-00")</f>
        <v>Q-10908-00</v>
      </c>
      <c r="B2684" s="14" t="str">
        <f>IFERROR(__xludf.DUMMYFUNCTION("""COMPUTED_VALUE"""),"Lan Card PCI Express TG-3468 Gigabit 10/100/1000 Mbps TG-3468 TP-Link")</f>
        <v>Lan Card PCI Express TG-3468 Gigabit 10/100/1000 Mbps TG-3468 TP-Link</v>
      </c>
      <c r="C2684" s="14" t="str">
        <f>IFERROR(__xludf.DUMMYFUNCTION("""COMPUTED_VALUE"""),"Q-10908-00")</f>
        <v>Q-10908-00</v>
      </c>
    </row>
    <row r="2685">
      <c r="A2685" s="14" t="str">
        <f>IFERROR(__xludf.DUMMYFUNCTION("""COMPUTED_VALUE"""),"Q-10909-00")</f>
        <v>Q-10909-00</v>
      </c>
      <c r="B2685" s="14" t="str">
        <f>IFERROR(__xludf.DUMMYFUNCTION("""COMPUTED_VALUE"""),"Cat Epoxy JOTAFLOOR TC RAL 5012 JOTUN")</f>
        <v>Cat Epoxy JOTAFLOOR TC RAL 5012 JOTUN</v>
      </c>
      <c r="C2685" s="14" t="str">
        <f>IFERROR(__xludf.DUMMYFUNCTION("""COMPUTED_VALUE"""),"Q-10909-00")</f>
        <v>Q-10909-00</v>
      </c>
    </row>
    <row r="2686">
      <c r="A2686" s="14" t="str">
        <f>IFERROR(__xludf.DUMMYFUNCTION("""COMPUTED_VALUE"""),"Q-10910-00")</f>
        <v>Q-10910-00</v>
      </c>
      <c r="B2686" s="14" t="str">
        <f>IFERROR(__xludf.DUMMYFUNCTION("""COMPUTED_VALUE"""),"Cat Epoxy JOTAFLOOR TC RAL 7035 JOTUN")</f>
        <v>Cat Epoxy JOTAFLOOR TC RAL 7035 JOTUN</v>
      </c>
      <c r="C2686" s="14" t="str">
        <f>IFERROR(__xludf.DUMMYFUNCTION("""COMPUTED_VALUE"""),"Q-10910-00")</f>
        <v>Q-10910-00</v>
      </c>
    </row>
    <row r="2687">
      <c r="A2687" s="14" t="str">
        <f>IFERROR(__xludf.DUMMYFUNCTION("""COMPUTED_VALUE"""),"Q-10911-00")</f>
        <v>Q-10911-00</v>
      </c>
      <c r="B2687" s="14" t="str">
        <f>IFERROR(__xludf.DUMMYFUNCTION("""COMPUTED_VALUE"""),"Cat Epoxy JOTAFLOOR TC SEALER CLEAR JOTUN")</f>
        <v>Cat Epoxy JOTAFLOOR TC SEALER CLEAR JOTUN</v>
      </c>
      <c r="C2687" s="14" t="str">
        <f>IFERROR(__xludf.DUMMYFUNCTION("""COMPUTED_VALUE"""),"Q-10911-00")</f>
        <v>Q-10911-00</v>
      </c>
    </row>
    <row r="2688">
      <c r="A2688" s="14" t="str">
        <f>IFERROR(__xludf.DUMMYFUNCTION("""COMPUTED_VALUE"""),"Q-10912-00")</f>
        <v>Q-10912-00</v>
      </c>
      <c r="B2688" s="14" t="str">
        <f>IFERROR(__xludf.DUMMYFUNCTION("""COMPUTED_VALUE"""),"Pompa Oil Manual Drum")</f>
        <v>Pompa Oil Manual Drum</v>
      </c>
      <c r="C2688" s="14" t="str">
        <f>IFERROR(__xludf.DUMMYFUNCTION("""COMPUTED_VALUE"""),"Q-10912-00")</f>
        <v>Q-10912-00</v>
      </c>
    </row>
    <row r="2689">
      <c r="A2689" s="14" t="str">
        <f>IFERROR(__xludf.DUMMYFUNCTION("""COMPUTED_VALUE"""),"Q-10924-00")</f>
        <v>Q-10924-00</v>
      </c>
      <c r="B2689" s="14" t="str">
        <f>IFERROR(__xludf.DUMMYFUNCTION("""COMPUTED_VALUE"""),"Cat Hardtop XP RAL 5018 Turquois Blue Jotun")</f>
        <v>Cat Hardtop XP RAL 5018 Turquois Blue Jotun</v>
      </c>
      <c r="C2689" s="14" t="str">
        <f>IFERROR(__xludf.DUMMYFUNCTION("""COMPUTED_VALUE"""),"Q-10924-00")</f>
        <v>Q-10924-00</v>
      </c>
    </row>
    <row r="2690">
      <c r="A2690" s="14" t="str">
        <f>IFERROR(__xludf.DUMMYFUNCTION("""COMPUTED_VALUE"""),"Q-10930-00")</f>
        <v>Q-10930-00</v>
      </c>
      <c r="B2690" s="14" t="str">
        <f>IFERROR(__xludf.DUMMYFUNCTION("""COMPUTED_VALUE"""),"PCI Usb Card 4 port usb 2.0 Konektor Panjang")</f>
        <v>PCI Usb Card 4 port usb 2.0 Konektor Panjang</v>
      </c>
      <c r="C2690" s="14" t="str">
        <f>IFERROR(__xludf.DUMMYFUNCTION("""COMPUTED_VALUE"""),"Q-10930-00")</f>
        <v>Q-10930-00</v>
      </c>
    </row>
    <row r="2691">
      <c r="A2691" s="14" t="str">
        <f>IFERROR(__xludf.DUMMYFUNCTION("""COMPUTED_VALUE"""),"Q-10931-00")</f>
        <v>Q-10931-00</v>
      </c>
      <c r="B2691" s="14" t="str">
        <f>IFERROR(__xludf.DUMMYFUNCTION("""COMPUTED_VALUE"""),"Grendel Slot Pintu Geser")</f>
        <v>Grendel Slot Pintu Geser</v>
      </c>
      <c r="C2691" s="14" t="str">
        <f>IFERROR(__xludf.DUMMYFUNCTION("""COMPUTED_VALUE"""),"Q-10931-00")</f>
        <v>Q-10931-00</v>
      </c>
    </row>
    <row r="2692">
      <c r="A2692" s="14" t="str">
        <f>IFERROR(__xludf.DUMMYFUNCTION("""COMPUTED_VALUE"""),"Q-10933-00")</f>
        <v>Q-10933-00</v>
      </c>
      <c r="B2692" s="14" t="str">
        <f>IFERROR(__xludf.DUMMYFUNCTION("""COMPUTED_VALUE"""),"Mesin Amplas GSS-1400 BOSCH")</f>
        <v>Mesin Amplas GSS-1400 BOSCH</v>
      </c>
      <c r="C2692" s="14" t="str">
        <f>IFERROR(__xludf.DUMMYFUNCTION("""COMPUTED_VALUE"""),"Q-10933-00")</f>
        <v>Q-10933-00</v>
      </c>
    </row>
    <row r="2693">
      <c r="A2693" s="14" t="str">
        <f>IFERROR(__xludf.DUMMYFUNCTION("""COMPUTED_VALUE"""),"Q-10946-00")</f>
        <v>Q-10946-00</v>
      </c>
      <c r="B2693" s="14" t="str">
        <f>IFERROR(__xludf.DUMMYFUNCTION("""COMPUTED_VALUE"""),"Silicone Sealant;Silglaze;Type N10 Light Grey;pack size per pcs")</f>
        <v>Silicone Sealant;Silglaze;Type N10 Light Grey;pack size per pcs</v>
      </c>
      <c r="C2693" s="14" t="str">
        <f>IFERROR(__xludf.DUMMYFUNCTION("""COMPUTED_VALUE"""),"Q-10946-00")</f>
        <v>Q-10946-00</v>
      </c>
    </row>
    <row r="2694">
      <c r="A2694" s="14" t="str">
        <f>IFERROR(__xludf.DUMMYFUNCTION("""COMPUTED_VALUE"""),"Q-10947-00")</f>
        <v>Q-10947-00</v>
      </c>
      <c r="B2694" s="14" t="str">
        <f>IFERROR(__xludf.DUMMYFUNCTION("""COMPUTED_VALUE"""),"Plastik Cor Bagunan;No Brand;;pack size per pcs - Per 10kg")</f>
        <v>Plastik Cor Bagunan;No Brand;;pack size per pcs - Per 10kg</v>
      </c>
      <c r="C2694" s="14" t="str">
        <f>IFERROR(__xludf.DUMMYFUNCTION("""COMPUTED_VALUE"""),"Q-10947-00")</f>
        <v>Q-10947-00</v>
      </c>
    </row>
    <row r="2695">
      <c r="A2695" s="14" t="str">
        <f>IFERROR(__xludf.DUMMYFUNCTION("""COMPUTED_VALUE"""),"Q-10949-00")</f>
        <v>Q-10949-00</v>
      </c>
      <c r="B2695" s="14" t="str">
        <f>IFERROR(__xludf.DUMMYFUNCTION("""COMPUTED_VALUE"""),"SCHINDLER ELEVATOR - Ceiling Lamp Cover; ; ;")</f>
        <v>SCHINDLER ELEVATOR - Ceiling Lamp Cover; ; ;</v>
      </c>
      <c r="C2695" s="14" t="str">
        <f>IFERROR(__xludf.DUMMYFUNCTION("""COMPUTED_VALUE"""),"Q-10949-00")</f>
        <v>Q-10949-00</v>
      </c>
    </row>
    <row r="2696">
      <c r="A2696" s="14" t="str">
        <f>IFERROR(__xludf.DUMMYFUNCTION("""COMPUTED_VALUE"""),"Q-10952-00")</f>
        <v>Q-10952-00</v>
      </c>
      <c r="B2696" s="14" t="str">
        <f>IFERROR(__xludf.DUMMYFUNCTION("""COMPUTED_VALUE"""),"Mesh Uk. 18x0.28mmx1000mm Material SS 304; ; ;")</f>
        <v>Mesh Uk. 18x0.28mmx1000mm Material SS 304; ; ;</v>
      </c>
      <c r="C2696" s="14" t="str">
        <f>IFERROR(__xludf.DUMMYFUNCTION("""COMPUTED_VALUE"""),"Q-10952-00")</f>
        <v>Q-10952-00</v>
      </c>
    </row>
    <row r="2697">
      <c r="A2697" s="14" t="str">
        <f>IFERROR(__xludf.DUMMYFUNCTION("""COMPUTED_VALUE"""),"Q-10963-00")</f>
        <v>Q-10963-00</v>
      </c>
      <c r="B2697" s="14" t="str">
        <f>IFERROR(__xludf.DUMMYFUNCTION("""COMPUTED_VALUE"""),"Keramik Granito Salsa Oasis Warna Ivory 40x40mm; Granito; ;")</f>
        <v>Keramik Granito Salsa Oasis Warna Ivory 40x40mm; Granito; ;</v>
      </c>
      <c r="C2697" s="14" t="str">
        <f>IFERROR(__xludf.DUMMYFUNCTION("""COMPUTED_VALUE"""),"Q-10963-00")</f>
        <v>Q-10963-00</v>
      </c>
    </row>
    <row r="2698">
      <c r="A2698" s="14" t="str">
        <f>IFERROR(__xludf.DUMMYFUNCTION("""COMPUTED_VALUE"""),"Q-10967-00")</f>
        <v>Q-10967-00</v>
      </c>
      <c r="B2698" s="14" t="str">
        <f>IFERROR(__xludf.DUMMYFUNCTION("""COMPUTED_VALUE"""),"Nat Keramik AM 53 Cream Lotus; ; ;")</f>
        <v>Nat Keramik AM 53 Cream Lotus; ; ;</v>
      </c>
      <c r="C2698" s="14" t="str">
        <f>IFERROR(__xludf.DUMMYFUNCTION("""COMPUTED_VALUE"""),"Q-10967-00")</f>
        <v>Q-10967-00</v>
      </c>
    </row>
    <row r="2699">
      <c r="A2699" s="14" t="str">
        <f>IFERROR(__xludf.DUMMYFUNCTION("""COMPUTED_VALUE"""),"Q-10971-00")</f>
        <v>Q-10971-00</v>
      </c>
      <c r="B2699" s="14" t="str">
        <f>IFERROR(__xludf.DUMMYFUNCTION("""COMPUTED_VALUE"""),"Magnet Kotak Pintu Lemari Small Stainless Steel 1.5x3.6cm; ; ;")</f>
        <v>Magnet Kotak Pintu Lemari Small Stainless Steel 1.5x3.6cm; ; ;</v>
      </c>
      <c r="C2699" s="14" t="str">
        <f>IFERROR(__xludf.DUMMYFUNCTION("""COMPUTED_VALUE"""),"Q-10971-00")</f>
        <v>Q-10971-00</v>
      </c>
    </row>
    <row r="2700">
      <c r="A2700" s="14" t="str">
        <f>IFERROR(__xludf.DUMMYFUNCTION("""COMPUTED_VALUE"""),"Q-10972-00")</f>
        <v>Q-10972-00</v>
      </c>
      <c r="B2700" s="14" t="str">
        <f>IFERROR(__xludf.DUMMYFUNCTION("""COMPUTED_VALUE"""),"Koper Penyimpan Alat Cashing Aluminium Uk. 215x215x655mm; ; ;")</f>
        <v>Koper Penyimpan Alat Cashing Aluminium Uk. 215x215x655mm; ; ;</v>
      </c>
      <c r="C2700" s="14" t="str">
        <f>IFERROR(__xludf.DUMMYFUNCTION("""COMPUTED_VALUE"""),"Q-10972-00")</f>
        <v>Q-10972-00</v>
      </c>
    </row>
    <row r="2701">
      <c r="A2701" s="14" t="str">
        <f>IFERROR(__xludf.DUMMYFUNCTION("""COMPUTED_VALUE"""),"Q-10982-00")</f>
        <v>Q-10982-00</v>
      </c>
      <c r="B2701" s="14" t="str">
        <f>IFERROR(__xludf.DUMMYFUNCTION("""COMPUTED_VALUE"""),"Spray Gun CSGLI2001 800cc; INGCO; ;")</f>
        <v>Spray Gun CSGLI2001 800cc; INGCO; ;</v>
      </c>
      <c r="C2701" s="14" t="str">
        <f>IFERROR(__xludf.DUMMYFUNCTION("""COMPUTED_VALUE"""),"Q-10982-00")</f>
        <v>Q-10982-00</v>
      </c>
    </row>
    <row r="2702">
      <c r="A2702" s="14" t="str">
        <f>IFERROR(__xludf.DUMMYFUNCTION("""COMPUTED_VALUE"""),"Q-10983-00")</f>
        <v>Q-10983-00</v>
      </c>
      <c r="B2702" s="14" t="str">
        <f>IFERROR(__xludf.DUMMYFUNCTION("""COMPUTED_VALUE"""),"Isolator Keramik Busbar Silinder 50x40; ; ;")</f>
        <v>Isolator Keramik Busbar Silinder 50x40; ; ;</v>
      </c>
      <c r="C2702" s="14" t="str">
        <f>IFERROR(__xludf.DUMMYFUNCTION("""COMPUTED_VALUE"""),"Q-10983-00")</f>
        <v>Q-10983-00</v>
      </c>
    </row>
    <row r="2703">
      <c r="A2703" s="14" t="str">
        <f>IFERROR(__xludf.DUMMYFUNCTION("""COMPUTED_VALUE"""),"Q-10984-00")</f>
        <v>Q-10984-00</v>
      </c>
      <c r="B2703" s="14" t="str">
        <f>IFERROR(__xludf.DUMMYFUNCTION("""COMPUTED_VALUE"""),"Door Seal Karet Penutup Bawah Pintu Abu 2,5 cm x 1 M; ; ;")</f>
        <v>Door Seal Karet Penutup Bawah Pintu Abu 2,5 cm x 1 M; ; ;</v>
      </c>
      <c r="C2703" s="14" t="str">
        <f>IFERROR(__xludf.DUMMYFUNCTION("""COMPUTED_VALUE"""),"Q-10984-00")</f>
        <v>Q-10984-00</v>
      </c>
    </row>
    <row r="2704">
      <c r="A2704" s="14" t="str">
        <f>IFERROR(__xludf.DUMMYFUNCTION("""COMPUTED_VALUE"""),"Q-10985-00")</f>
        <v>Q-10985-00</v>
      </c>
      <c r="B2704" s="14" t="str">
        <f>IFERROR(__xludf.DUMMYFUNCTION("""COMPUTED_VALUE"""),"Keramik Granito Warna Crystal White Sand 60x60; Granito; ;")</f>
        <v>Keramik Granito Warna Crystal White Sand 60x60; Granito; ;</v>
      </c>
      <c r="C2704" s="14" t="str">
        <f>IFERROR(__xludf.DUMMYFUNCTION("""COMPUTED_VALUE"""),"Q-10985-00")</f>
        <v>Q-10985-00</v>
      </c>
    </row>
    <row r="2705">
      <c r="A2705" s="14" t="str">
        <f>IFERROR(__xludf.DUMMYFUNCTION("""COMPUTED_VALUE"""),"Q-10986-00")</f>
        <v>Q-10986-00</v>
      </c>
      <c r="B2705" s="14" t="str">
        <f>IFERROR(__xludf.DUMMYFUNCTION("""COMPUTED_VALUE"""),"Face Plate HDMI to VGA Skrup; AMP; ;")</f>
        <v>Face Plate HDMI to VGA Skrup; AMP; ;</v>
      </c>
      <c r="C2705" s="14" t="str">
        <f>IFERROR(__xludf.DUMMYFUNCTION("""COMPUTED_VALUE"""),"Q-10986-00")</f>
        <v>Q-10986-00</v>
      </c>
    </row>
    <row r="2706">
      <c r="A2706" s="14" t="str">
        <f>IFERROR(__xludf.DUMMYFUNCTION("""COMPUTED_VALUE"""),"Q-10987-00")</f>
        <v>Q-10987-00</v>
      </c>
      <c r="B2706" s="14" t="str">
        <f>IFERROR(__xludf.DUMMYFUNCTION("""COMPUTED_VALUE"""),"HPL Edging Abu 2.2cm; Taco; ;")</f>
        <v>HPL Edging Abu 2.2cm; Taco; ;</v>
      </c>
      <c r="C2706" s="14" t="str">
        <f>IFERROR(__xludf.DUMMYFUNCTION("""COMPUTED_VALUE"""),"Q-10987-00")</f>
        <v>Q-10987-00</v>
      </c>
    </row>
    <row r="2707">
      <c r="A2707" s="14" t="str">
        <f>IFERROR(__xludf.DUMMYFUNCTION("""COMPUTED_VALUE"""),"Q-11000-00")</f>
        <v>Q-11000-00</v>
      </c>
      <c r="B2707" s="14" t="str">
        <f>IFERROR(__xludf.DUMMYFUNCTION("""COMPUTED_VALUE"""),"Jasa Perbaikan Gedung; ; ;")</f>
        <v>Jasa Perbaikan Gedung; ; ;</v>
      </c>
      <c r="C2707" s="14" t="str">
        <f>IFERROR(__xludf.DUMMYFUNCTION("""COMPUTED_VALUE"""),"Q-11000-00")</f>
        <v>Q-11000-00</v>
      </c>
    </row>
    <row r="2708">
      <c r="A2708" s="14" t="str">
        <f>IFERROR(__xludf.DUMMYFUNCTION("""COMPUTED_VALUE"""),"Q-11002-00")</f>
        <v>Q-11002-00</v>
      </c>
      <c r="B2708" s="14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4" t="str">
        <f>IFERROR(__xludf.DUMMYFUNCTION("""COMPUTED_VALUE"""),"Q-11002-00")</f>
        <v>Q-11002-00</v>
      </c>
    </row>
    <row r="2709">
      <c r="A2709" s="14" t="str">
        <f>IFERROR(__xludf.DUMMYFUNCTION("""COMPUTED_VALUE"""),"Q-12033-00")</f>
        <v>Q-12033-00</v>
      </c>
      <c r="B2709" s="14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4" t="str">
        <f>IFERROR(__xludf.DUMMYFUNCTION("""COMPUTED_VALUE"""),"Q-12033-00")</f>
        <v>Q-12033-00</v>
      </c>
    </row>
    <row r="2710">
      <c r="A2710" s="14" t="str">
        <f>IFERROR(__xludf.DUMMYFUNCTION("""COMPUTED_VALUE"""),"Q-12047-00")</f>
        <v>Q-12047-00</v>
      </c>
      <c r="B2710" s="14" t="str">
        <f>IFERROR(__xludf.DUMMYFUNCTION("""COMPUTED_VALUE"""),"Kape PVC / Scraper / Skrap PVC Ukuran 5 Inch;; Lokal; ; pc")</f>
        <v>Kape PVC / Scraper / Skrap PVC Ukuran 5 Inch;; Lokal; ; pc</v>
      </c>
      <c r="C2710" s="14" t="str">
        <f>IFERROR(__xludf.DUMMYFUNCTION("""COMPUTED_VALUE"""),"Q-12047-00")</f>
        <v>Q-12047-00</v>
      </c>
    </row>
    <row r="2711">
      <c r="A2711" s="14" t="str">
        <f>IFERROR(__xludf.DUMMYFUNCTION("""COMPUTED_VALUE"""),"Q-12050-00")</f>
        <v>Q-12050-00</v>
      </c>
      <c r="B2711" s="14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4" t="str">
        <f>IFERROR(__xludf.DUMMYFUNCTION("""COMPUTED_VALUE"""),"Q-12050-00")</f>
        <v>Q-12050-00</v>
      </c>
    </row>
    <row r="2712">
      <c r="A2712" s="14" t="str">
        <f>IFERROR(__xludf.DUMMYFUNCTION("""COMPUTED_VALUE"""),"Q-12060-00")</f>
        <v>Q-12060-00</v>
      </c>
      <c r="B2712" s="14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4" t="str">
        <f>IFERROR(__xludf.DUMMYFUNCTION("""COMPUTED_VALUE"""),"Q-12060-00")</f>
        <v>Q-12060-00</v>
      </c>
    </row>
    <row r="2713">
      <c r="A2713" s="14" t="str">
        <f>IFERROR(__xludf.DUMMYFUNCTION("""COMPUTED_VALUE"""),"Q-12073-00")</f>
        <v>Q-12073-00</v>
      </c>
      <c r="B2713" s="14" t="str">
        <f>IFERROR(__xludf.DUMMYFUNCTION("""COMPUTED_VALUE"""),"Door Seal Brush Alumunium; Lokal; Ukuran 100 cm x 3,5 cm; pc")</f>
        <v>Door Seal Brush Alumunium; Lokal; Ukuran 100 cm x 3,5 cm; pc</v>
      </c>
      <c r="C2713" s="14" t="str">
        <f>IFERROR(__xludf.DUMMYFUNCTION("""COMPUTED_VALUE"""),"Q-12073-00")</f>
        <v>Q-12073-00</v>
      </c>
    </row>
    <row r="2714">
      <c r="A2714" s="14" t="str">
        <f>IFERROR(__xludf.DUMMYFUNCTION("""COMPUTED_VALUE"""),"Q-12076-00")</f>
        <v>Q-12076-00</v>
      </c>
      <c r="B2714" s="14" t="str">
        <f>IFERROR(__xludf.DUMMYFUNCTION("""COMPUTED_VALUE"""),"Kunci Laci Lemari Loker Slide; Huben; HL-505; per set")</f>
        <v>Kunci Laci Lemari Loker Slide; Huben; HL-505; per set</v>
      </c>
      <c r="C2714" s="14" t="str">
        <f>IFERROR(__xludf.DUMMYFUNCTION("""COMPUTED_VALUE"""),"Q-12076-00")</f>
        <v>Q-12076-00</v>
      </c>
    </row>
    <row r="2715">
      <c r="A2715" s="14" t="str">
        <f>IFERROR(__xludf.DUMMYFUNCTION("""COMPUTED_VALUE"""),"Q-12077-00")</f>
        <v>Q-12077-00</v>
      </c>
      <c r="B2715" s="14" t="str">
        <f>IFERROR(__xludf.DUMMYFUNCTION("""COMPUTED_VALUE"""),"Piston Valve; Toto; S302; pc")</f>
        <v>Piston Valve; Toto; S302; pc</v>
      </c>
      <c r="C2715" s="14" t="str">
        <f>IFERROR(__xludf.DUMMYFUNCTION("""COMPUTED_VALUE"""),"Q-12077-00")</f>
        <v>Q-12077-00</v>
      </c>
    </row>
    <row r="2716">
      <c r="A2716" s="14" t="str">
        <f>IFERROR(__xludf.DUMMYFUNCTION("""COMPUTED_VALUE"""),"Q-12105-00")</f>
        <v>Q-12105-00</v>
      </c>
      <c r="B2716" s="14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4" t="str">
        <f>IFERROR(__xludf.DUMMYFUNCTION("""COMPUTED_VALUE"""),"Q-12105-00")</f>
        <v>Q-12105-00</v>
      </c>
    </row>
    <row r="2717">
      <c r="A2717" s="14" t="str">
        <f>IFERROR(__xludf.DUMMYFUNCTION("""COMPUTED_VALUE"""),"Q-12117-00")</f>
        <v>Q-12117-00</v>
      </c>
      <c r="B2717" s="14" t="str">
        <f>IFERROR(__xludf.DUMMYFUNCTION("""COMPUTED_VALUE"""),"Lem Anti Bocor Waterproof Nano Transparan; Aqualuxe; ; 1 kg")</f>
        <v>Lem Anti Bocor Waterproof Nano Transparan; Aqualuxe; ; 1 kg</v>
      </c>
      <c r="C2717" s="14" t="str">
        <f>IFERROR(__xludf.DUMMYFUNCTION("""COMPUTED_VALUE"""),"Q-12117-00")</f>
        <v>Q-12117-00</v>
      </c>
    </row>
    <row r="2718">
      <c r="A2718" s="14" t="str">
        <f>IFERROR(__xludf.DUMMYFUNCTION("""COMPUTED_VALUE"""),"Q-12123-00")</f>
        <v>Q-12123-00</v>
      </c>
      <c r="B2718" s="14" t="str">
        <f>IFERROR(__xludf.DUMMYFUNCTION("""COMPUTED_VALUE"""),"Lis Strip Pintu Seal Peredam Suara 6M; Lokal; 6M-SD6-Hitam; 6 meter/roll")</f>
        <v>Lis Strip Pintu Seal Peredam Suara 6M; Lokal; 6M-SD6-Hitam; 6 meter/roll</v>
      </c>
      <c r="C2718" s="14" t="str">
        <f>IFERROR(__xludf.DUMMYFUNCTION("""COMPUTED_VALUE"""),"Q-12123-00")</f>
        <v>Q-12123-00</v>
      </c>
    </row>
    <row r="2719">
      <c r="A2719" s="14" t="str">
        <f>IFERROR(__xludf.DUMMYFUNCTION("""COMPUTED_VALUE"""),"Q-12140-00")</f>
        <v>Q-12140-00</v>
      </c>
      <c r="B2719" s="14" t="str">
        <f>IFERROR(__xludf.DUMMYFUNCTION("""COMPUTED_VALUE"""),"Cat Semprot Signal Red 23; Samurai Paint; Signal Red 23; 400 ml per can")</f>
        <v>Cat Semprot Signal Red 23; Samurai Paint; Signal Red 23; 400 ml per can</v>
      </c>
      <c r="C2719" s="14" t="str">
        <f>IFERROR(__xludf.DUMMYFUNCTION("""COMPUTED_VALUE"""),"Q-12140-00")</f>
        <v>Q-12140-00</v>
      </c>
    </row>
    <row r="2720">
      <c r="A2720" s="14" t="str">
        <f>IFERROR(__xludf.DUMMYFUNCTION("""COMPUTED_VALUE"""),"Q-12141-00")</f>
        <v>Q-12141-00</v>
      </c>
      <c r="B2720" s="14" t="str">
        <f>IFERROR(__xludf.DUMMYFUNCTION("""COMPUTED_VALUE"""),"Cat Semprot Blue 312; Samurai Paint; Blue 312; 400 ml per can")</f>
        <v>Cat Semprot Blue 312; Samurai Paint; Blue 312; 400 ml per can</v>
      </c>
      <c r="C2720" s="14" t="str">
        <f>IFERROR(__xludf.DUMMYFUNCTION("""COMPUTED_VALUE"""),"Q-12141-00")</f>
        <v>Q-12141-00</v>
      </c>
    </row>
    <row r="2721">
      <c r="A2721" s="14" t="str">
        <f>IFERROR(__xludf.DUMMYFUNCTION("""COMPUTED_VALUE"""),"Q-12142-00")</f>
        <v>Q-12142-00</v>
      </c>
      <c r="B2721" s="14" t="str">
        <f>IFERROR(__xludf.DUMMYFUNCTION("""COMPUTED_VALUE"""),"Cat Semprot Grey 104; Samurai Paint; Grey 104; 400 ml per can")</f>
        <v>Cat Semprot Grey 104; Samurai Paint; Grey 104; 400 ml per can</v>
      </c>
      <c r="C2721" s="14" t="str">
        <f>IFERROR(__xludf.DUMMYFUNCTION("""COMPUTED_VALUE"""),"Q-12142-00")</f>
        <v>Q-12142-00</v>
      </c>
    </row>
    <row r="2722">
      <c r="A2722" s="14" t="str">
        <f>IFERROR(__xludf.DUMMYFUNCTION("""COMPUTED_VALUE"""),"Q-12143-00")</f>
        <v>Q-12143-00</v>
      </c>
      <c r="B2722" s="14" t="str">
        <f>IFERROR(__xludf.DUMMYFUNCTION("""COMPUTED_VALUE"""),"Cat Semprot Chrome Yellow; Samurai Paint; Chrome Yellow; 400 ml per can")</f>
        <v>Cat Semprot Chrome Yellow; Samurai Paint; Chrome Yellow; 400 ml per can</v>
      </c>
      <c r="C2722" s="14" t="str">
        <f>IFERROR(__xludf.DUMMYFUNCTION("""COMPUTED_VALUE"""),"Q-12143-00")</f>
        <v>Q-12143-00</v>
      </c>
    </row>
    <row r="2723">
      <c r="A2723" s="14" t="str">
        <f>IFERROR(__xludf.DUMMYFUNCTION("""COMPUTED_VALUE"""),"Q-12145-00")</f>
        <v>Q-12145-00</v>
      </c>
      <c r="B2723" s="14" t="str">
        <f>IFERROR(__xludf.DUMMYFUNCTION("""COMPUTED_VALUE"""),"Kasa Gypsum Tanpa Lem Ukuran 1 inch; Lokal; ; 20 meter per roll")</f>
        <v>Kasa Gypsum Tanpa Lem Ukuran 1 inch; Lokal; ; 20 meter per roll</v>
      </c>
      <c r="C2723" s="14" t="str">
        <f>IFERROR(__xludf.DUMMYFUNCTION("""COMPUTED_VALUE"""),"Q-12145-00")</f>
        <v>Q-12145-00</v>
      </c>
    </row>
    <row r="2724">
      <c r="A2724" s="14" t="str">
        <f>IFERROR(__xludf.DUMMYFUNCTION("""COMPUTED_VALUE"""),"Q-12150-00")</f>
        <v>Q-12150-00</v>
      </c>
      <c r="B2724" s="14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4" t="str">
        <f>IFERROR(__xludf.DUMMYFUNCTION("""COMPUTED_VALUE"""),"Q-12150-00")</f>
        <v>Q-12150-00</v>
      </c>
    </row>
    <row r="2725">
      <c r="A2725" s="14" t="str">
        <f>IFERROR(__xludf.DUMMYFUNCTION("""COMPUTED_VALUE"""),"Q-12151-00")</f>
        <v>Q-12151-00</v>
      </c>
      <c r="B2725" s="14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4" t="str">
        <f>IFERROR(__xludf.DUMMYFUNCTION("""COMPUTED_VALUE"""),"Q-12151-00")</f>
        <v>Q-12151-00</v>
      </c>
    </row>
    <row r="2726">
      <c r="A2726" s="14" t="str">
        <f>IFERROR(__xludf.DUMMYFUNCTION("""COMPUTED_VALUE"""),"Q-12152-00")</f>
        <v>Q-12152-00</v>
      </c>
      <c r="B2726" s="14" t="str">
        <f>IFERROR(__xludf.DUMMYFUNCTION("""COMPUTED_VALUE"""),"Lem Kayu Putih 350 gram; Fox; ; 350 gram per pack")</f>
        <v>Lem Kayu Putih 350 gram; Fox; ; 350 gram per pack</v>
      </c>
      <c r="C2726" s="14" t="str">
        <f>IFERROR(__xludf.DUMMYFUNCTION("""COMPUTED_VALUE"""),"Q-12152-00")</f>
        <v>Q-12152-00</v>
      </c>
    </row>
    <row r="2727">
      <c r="A2727" s="14" t="str">
        <f>IFERROR(__xludf.DUMMYFUNCTION("""COMPUTED_VALUE"""),"Q-12153-00")</f>
        <v>Q-12153-00</v>
      </c>
      <c r="B2727" s="14" t="str">
        <f>IFERROR(__xludf.DUMMYFUNCTION("""COMPUTED_VALUE"""),"Door Seal Karet Penutup Bawah Pintu Hitam uk. 5 cm x 1 M; Lokal; ; pc")</f>
        <v>Door Seal Karet Penutup Bawah Pintu Hitam uk. 5 cm x 1 M; Lokal; ; pc</v>
      </c>
      <c r="C2727" s="14" t="str">
        <f>IFERROR(__xludf.DUMMYFUNCTION("""COMPUTED_VALUE"""),"Q-12153-00")</f>
        <v>Q-12153-00</v>
      </c>
    </row>
    <row r="2728">
      <c r="A2728" s="14" t="str">
        <f>IFERROR(__xludf.DUMMYFUNCTION("""COMPUTED_VALUE"""),"Q-12166-00")</f>
        <v>Q-12166-00</v>
      </c>
      <c r="B2728" s="14" t="str">
        <f>IFERROR(__xludf.DUMMYFUNCTION("""COMPUTED_VALUE"""),"Sandblast JT215 Buram 122cmx50m; Ruisitu; -; 1 Roll")</f>
        <v>Sandblast JT215 Buram 122cmx50m; Ruisitu; -; 1 Roll</v>
      </c>
      <c r="C2728" s="14" t="str">
        <f>IFERROR(__xludf.DUMMYFUNCTION("""COMPUTED_VALUE"""),"Q-12166-00")</f>
        <v>Q-12166-00</v>
      </c>
    </row>
    <row r="2729">
      <c r="A2729" s="14" t="str">
        <f>IFERROR(__xludf.DUMMYFUNCTION("""COMPUTED_VALUE"""),"Q-12181-00")</f>
        <v>Q-12181-00</v>
      </c>
      <c r="B2729" s="14" t="str">
        <f>IFERROR(__xludf.DUMMYFUNCTION("""COMPUTED_VALUE"""),"Flush Bolt 1625 + Stang; Griff; -; 1 Pc")</f>
        <v>Flush Bolt 1625 + Stang; Griff; -; 1 Pc</v>
      </c>
      <c r="C2729" s="14" t="str">
        <f>IFERROR(__xludf.DUMMYFUNCTION("""COMPUTED_VALUE"""),"Q-12181-00")</f>
        <v>Q-12181-00</v>
      </c>
    </row>
    <row r="2730">
      <c r="A2730" s="14" t="str">
        <f>IFERROR(__xludf.DUMMYFUNCTION("""COMPUTED_VALUE"""),"Q-20010-00")</f>
        <v>Q-20010-00</v>
      </c>
      <c r="B2730" s="14" t="str">
        <f>IFERROR(__xludf.DUMMYFUNCTION("""COMPUTED_VALUE"""),"Keramik Granito Warna Ivory")</f>
        <v>Keramik Granito Warna Ivory</v>
      </c>
      <c r="C2730" s="14" t="str">
        <f>IFERROR(__xludf.DUMMYFUNCTION("""COMPUTED_VALUE"""),"Q-20010-00")</f>
        <v>Q-20010-00</v>
      </c>
    </row>
    <row r="2731">
      <c r="A2731" s="14" t="str">
        <f>IFERROR(__xludf.DUMMYFUNCTION("""COMPUTED_VALUE"""),"Q-30005-00")</f>
        <v>Q-30005-00</v>
      </c>
      <c r="B2731" s="14" t="str">
        <f>IFERROR(__xludf.DUMMYFUNCTION("""COMPUTED_VALUE"""),"Lampu Highbay 150 Watt LED; Ecolink; ; pack size per pcs")</f>
        <v>Lampu Highbay 150 Watt LED; Ecolink; ; pack size per pcs</v>
      </c>
      <c r="C2731" s="14" t="str">
        <f>IFERROR(__xludf.DUMMYFUNCTION("""COMPUTED_VALUE"""),"Q-30005-00")</f>
        <v>Q-30005-00</v>
      </c>
    </row>
    <row r="2732">
      <c r="A2732" s="14" t="str">
        <f>IFERROR(__xludf.DUMMYFUNCTION("""COMPUTED_VALUE"""),"Q-50000-00")</f>
        <v>Q-50000-00</v>
      </c>
      <c r="B2732" s="14" t="str">
        <f>IFERROR(__xludf.DUMMYFUNCTION("""COMPUTED_VALUE"""),"Engsel Pintu SS")</f>
        <v>Engsel Pintu SS</v>
      </c>
      <c r="C2732" s="14" t="str">
        <f>IFERROR(__xludf.DUMMYFUNCTION("""COMPUTED_VALUE"""),"Q-50000-00")</f>
        <v>Q-50000-00</v>
      </c>
    </row>
    <row r="2733">
      <c r="A2733" s="14" t="str">
        <f>IFERROR(__xludf.DUMMYFUNCTION("""COMPUTED_VALUE"""),"Q-50012-00")</f>
        <v>Q-50012-00</v>
      </c>
      <c r="B2733" s="14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4" t="str">
        <f>IFERROR(__xludf.DUMMYFUNCTION("""COMPUTED_VALUE"""),"Q-50012-00")</f>
        <v>Q-50012-00</v>
      </c>
    </row>
    <row r="2734">
      <c r="A2734" s="14" t="str">
        <f>IFERROR(__xludf.DUMMYFUNCTION("""COMPUTED_VALUE"""),"Q-50013-00")</f>
        <v>Q-50013-00</v>
      </c>
      <c r="B2734" s="14" t="str">
        <f>IFERROR(__xludf.DUMMYFUNCTION("""COMPUTED_VALUE"""),"Frame or Perimeter Seal RP48 White; Raven; R48W6; 6 meter/pck")</f>
        <v>Frame or Perimeter Seal RP48 White; Raven; R48W6; 6 meter/pck</v>
      </c>
      <c r="C2734" s="14" t="str">
        <f>IFERROR(__xludf.DUMMYFUNCTION("""COMPUTED_VALUE"""),"Q-50013-00")</f>
        <v>Q-50013-00</v>
      </c>
    </row>
    <row r="2735">
      <c r="A2735" s="14" t="str">
        <f>IFERROR(__xludf.DUMMYFUNCTION("""COMPUTED_VALUE"""),"Q-50020-00")</f>
        <v>Q-50020-00</v>
      </c>
      <c r="B2735" s="14" t="str">
        <f>IFERROR(__xludf.DUMMYFUNCTION("""COMPUTED_VALUE"""),"Engsel Tanam Pintu D40; Dekkson; Type D40; pc")</f>
        <v>Engsel Tanam Pintu D40; Dekkson; Type D40; pc</v>
      </c>
      <c r="C2735" s="14" t="str">
        <f>IFERROR(__xludf.DUMMYFUNCTION("""COMPUTED_VALUE"""),"Q-50020-00")</f>
        <v>Q-50020-00</v>
      </c>
    </row>
    <row r="2736">
      <c r="A2736" s="14" t="str">
        <f>IFERROR(__xludf.DUMMYFUNCTION("""COMPUTED_VALUE"""),"Q-50025-00")</f>
        <v>Q-50025-00</v>
      </c>
      <c r="B2736" s="14" t="str">
        <f>IFERROR(__xludf.DUMMYFUNCTION("""COMPUTED_VALUE"""),"Flush Bolt 370mm; Dekkson; FB SQ 501; pc")</f>
        <v>Flush Bolt 370mm; Dekkson; FB SQ 501; pc</v>
      </c>
      <c r="C2736" s="14" t="str">
        <f>IFERROR(__xludf.DUMMYFUNCTION("""COMPUTED_VALUE"""),"Q-50025-00")</f>
        <v>Q-50025-00</v>
      </c>
    </row>
    <row r="2737">
      <c r="A2737" s="14" t="str">
        <f>IFERROR(__xludf.DUMMYFUNCTION("""COMPUTED_VALUE"""),"Q-50026-00")</f>
        <v>Q-50026-00</v>
      </c>
      <c r="B2737" s="14" t="str">
        <f>IFERROR(__xludf.DUMMYFUNCTION("""COMPUTED_VALUE"""),"Electric Dropbolt Lock door access 5 Kabel Delay; Lokal; ; pc")</f>
        <v>Electric Dropbolt Lock door access 5 Kabel Delay; Lokal; ; pc</v>
      </c>
      <c r="C2737" s="14" t="str">
        <f>IFERROR(__xludf.DUMMYFUNCTION("""COMPUTED_VALUE"""),"Q-50026-00")</f>
        <v>Q-50026-00</v>
      </c>
    </row>
    <row r="2738">
      <c r="A2738" s="14" t="str">
        <f>IFERROR(__xludf.DUMMYFUNCTION("""COMPUTED_VALUE"""),"Q-50027-00")</f>
        <v>Q-50027-00</v>
      </c>
      <c r="B2738" s="14" t="str">
        <f>IFERROR(__xludf.DUMMYFUNCTION("""COMPUTED_VALUE"""),"Glass Lock atau Grendel Pintu Kaca Tanpa Bingkai; Dekkson; GL621CP; pc")</f>
        <v>Glass Lock atau Grendel Pintu Kaca Tanpa Bingkai; Dekkson; GL621CP; pc</v>
      </c>
      <c r="C2738" s="14" t="str">
        <f>IFERROR(__xludf.DUMMYFUNCTION("""COMPUTED_VALUE"""),"Q-50027-00")</f>
        <v>Q-50027-00</v>
      </c>
    </row>
    <row r="2739">
      <c r="A2739" s="14" t="str">
        <f>IFERROR(__xludf.DUMMYFUNCTION("""COMPUTED_VALUE"""),"Q-50028-00")</f>
        <v>Q-50028-00</v>
      </c>
      <c r="B2739" s="14" t="str">
        <f>IFERROR(__xludf.DUMMYFUNCTION("""COMPUTED_VALUE"""),"Engsel Sendok Profil Hinge 40 mm; Ferrari; ; pc")</f>
        <v>Engsel Sendok Profil Hinge 40 mm; Ferrari; ; pc</v>
      </c>
      <c r="C2739" s="14" t="str">
        <f>IFERROR(__xludf.DUMMYFUNCTION("""COMPUTED_VALUE"""),"Q-50028-00")</f>
        <v>Q-50028-00</v>
      </c>
    </row>
    <row r="2740">
      <c r="A2740" s="14" t="str">
        <f>IFERROR(__xludf.DUMMYFUNCTION("""COMPUTED_VALUE"""),"Q-50029-00")</f>
        <v>Q-50029-00</v>
      </c>
      <c r="B2740" s="14" t="str">
        <f>IFERROR(__xludf.DUMMYFUNCTION("""COMPUTED_VALUE"""),"Kunci Tusuk Laci / Kunci Tekan (Push Lock) HL105; Huben; HL105; pc")</f>
        <v>Kunci Tusuk Laci / Kunci Tekan (Push Lock) HL105; Huben; HL105; pc</v>
      </c>
      <c r="C2740" s="14" t="str">
        <f>IFERROR(__xludf.DUMMYFUNCTION("""COMPUTED_VALUE"""),"Q-50029-00")</f>
        <v>Q-50029-00</v>
      </c>
    </row>
    <row r="2741">
      <c r="A2741" s="14" t="str">
        <f>IFERROR(__xludf.DUMMYFUNCTION("""COMPUTED_VALUE"""),"Q-54119-00")</f>
        <v>Q-54119-00</v>
      </c>
      <c r="B2741" s="14" t="str">
        <f>IFERROR(__xludf.DUMMYFUNCTION("""COMPUTED_VALUE"""),"Paint Remover;No Brand;;pack size per can - Kemasan 20L")</f>
        <v>Paint Remover;No Brand;;pack size per can - Kemasan 20L</v>
      </c>
      <c r="C2741" s="14" t="str">
        <f>IFERROR(__xludf.DUMMYFUNCTION("""COMPUTED_VALUE"""),"Q-54119-00")</f>
        <v>Q-54119-00</v>
      </c>
    </row>
    <row r="2742">
      <c r="A2742" s="14" t="str">
        <f>IFERROR(__xludf.DUMMYFUNCTION("""COMPUTED_VALUE"""),"Q-54128-00")</f>
        <v>Q-54128-00</v>
      </c>
      <c r="B2742" s="14" t="str">
        <f>IFERROR(__xludf.DUMMYFUNCTION("""COMPUTED_VALUE"""),"Kuas uk. 2.5 inch; No Brand; ; pack size per pc")</f>
        <v>Kuas uk. 2.5 inch; No Brand; ; pack size per pc</v>
      </c>
      <c r="C2742" s="14" t="str">
        <f>IFERROR(__xludf.DUMMYFUNCTION("""COMPUTED_VALUE"""),"Q-54128-00")</f>
        <v>Q-54128-00</v>
      </c>
    </row>
    <row r="2743">
      <c r="A2743" s="14" t="str">
        <f>IFERROR(__xludf.DUMMYFUNCTION("""COMPUTED_VALUE"""),"Q-54156-00")</f>
        <v>Q-54156-00</v>
      </c>
      <c r="B2743" s="14" t="str">
        <f>IFERROR(__xludf.DUMMYFUNCTION("""COMPUTED_VALUE"""),"PCB SCOPMA 5.Q; ; ;")</f>
        <v>PCB SCOPMA 5.Q; ; ;</v>
      </c>
      <c r="C2743" s="14" t="str">
        <f>IFERROR(__xludf.DUMMYFUNCTION("""COMPUTED_VALUE"""),"Q-54156-00")</f>
        <v>Q-54156-00</v>
      </c>
    </row>
    <row r="2744">
      <c r="A2744" s="14" t="str">
        <f>IFERROR(__xludf.DUMMYFUNCTION("""COMPUTED_VALUE"""),"Q-54157-00")</f>
        <v>Q-54157-00</v>
      </c>
      <c r="B2744" s="14" t="str">
        <f>IFERROR(__xludf.DUMMYFUNCTION("""COMPUTED_VALUE"""),"PCBA LIFT SCOPCA 5.Q;Schindler Elevator;;pack size per unit")</f>
        <v>PCBA LIFT SCOPCA 5.Q;Schindler Elevator;;pack size per unit</v>
      </c>
      <c r="C2744" s="14" t="str">
        <f>IFERROR(__xludf.DUMMYFUNCTION("""COMPUTED_VALUE"""),"Q-54157-00")</f>
        <v>Q-54157-00</v>
      </c>
    </row>
    <row r="2745">
      <c r="A2745" s="14" t="str">
        <f>IFERROR(__xludf.DUMMYFUNCTION("""COMPUTED_VALUE"""),"Q-60003-00")</f>
        <v>Q-60003-00</v>
      </c>
      <c r="B2745" s="14" t="str">
        <f>IFERROR(__xludf.DUMMYFUNCTION("""COMPUTED_VALUE"""),"Plakband Kertas")</f>
        <v>Plakband Kertas</v>
      </c>
      <c r="C2745" s="14" t="str">
        <f>IFERROR(__xludf.DUMMYFUNCTION("""COMPUTED_VALUE"""),"Q-60003-00")</f>
        <v>Q-60003-00</v>
      </c>
    </row>
    <row r="2746">
      <c r="A2746" s="14" t="str">
        <f>IFERROR(__xludf.DUMMYFUNCTION("""COMPUTED_VALUE"""),"Q-60006-00")</f>
        <v>Q-60006-00</v>
      </c>
      <c r="B2746" s="14" t="str">
        <f>IFERROR(__xludf.DUMMYFUNCTION("""COMPUTED_VALUE"""),"Dempul kayu sanpolac @ 1kg")</f>
        <v>Dempul kayu sanpolac @ 1kg</v>
      </c>
      <c r="C2746" s="14" t="str">
        <f>IFERROR(__xludf.DUMMYFUNCTION("""COMPUTED_VALUE"""),"Q-60006-00")</f>
        <v>Q-60006-00</v>
      </c>
    </row>
    <row r="2747">
      <c r="A2747" s="14" t="str">
        <f>IFERROR(__xludf.DUMMYFUNCTION("""COMPUTED_VALUE"""),"Q-60025-00")</f>
        <v>Q-60025-00</v>
      </c>
      <c r="B2747" s="14" t="str">
        <f>IFERROR(__xludf.DUMMYFUNCTION("""COMPUTED_VALUE"""),"Kuas Cat Uk. 1 inch;Eterna;Tipe 611;pack size per pcs")</f>
        <v>Kuas Cat Uk. 1 inch;Eterna;Tipe 611;pack size per pcs</v>
      </c>
      <c r="C2747" s="14" t="str">
        <f>IFERROR(__xludf.DUMMYFUNCTION("""COMPUTED_VALUE"""),"Q-60025-00")</f>
        <v>Q-60025-00</v>
      </c>
    </row>
    <row r="2748">
      <c r="A2748" s="14" t="str">
        <f>IFERROR(__xludf.DUMMYFUNCTION("""COMPUTED_VALUE"""),"Q-60026-00")</f>
        <v>Q-60026-00</v>
      </c>
      <c r="B2748" s="14" t="str">
        <f>IFERROR(__xludf.DUMMYFUNCTION("""COMPUTED_VALUE"""),"Kuas Cat Uk. 2 inch;Eterna;Tipe 611;pack size per pcs")</f>
        <v>Kuas Cat Uk. 2 inch;Eterna;Tipe 611;pack size per pcs</v>
      </c>
      <c r="C2748" s="14" t="str">
        <f>IFERROR(__xludf.DUMMYFUNCTION("""COMPUTED_VALUE"""),"Q-60026-00")</f>
        <v>Q-60026-00</v>
      </c>
    </row>
    <row r="2749">
      <c r="A2749" s="14" t="str">
        <f>IFERROR(__xludf.DUMMYFUNCTION("""COMPUTED_VALUE"""),"Q-60036-00")</f>
        <v>Q-60036-00</v>
      </c>
      <c r="B2749" s="14" t="str">
        <f>IFERROR(__xludf.DUMMYFUNCTION("""COMPUTED_VALUE"""),"Cat F-Talit KF-611 / Hellay Grey / 115-611 @ 1 KG")</f>
        <v>Cat F-Talit KF-611 / Hellay Grey / 115-611 @ 1 KG</v>
      </c>
      <c r="C2749" s="14" t="str">
        <f>IFERROR(__xludf.DUMMYFUNCTION("""COMPUTED_VALUE"""),"Q-60036-00")</f>
        <v>Q-60036-00</v>
      </c>
    </row>
    <row r="2750">
      <c r="A2750" s="14" t="str">
        <f>IFERROR(__xludf.DUMMYFUNCTION("""COMPUTED_VALUE"""),"Q-60061-00")</f>
        <v>Q-60061-00</v>
      </c>
      <c r="B2750" s="14" t="str">
        <f>IFERROR(__xludf.DUMMYFUNCTION("""COMPUTED_VALUE"""),"Cat Pilox 109 - Black")</f>
        <v>Cat Pilox 109 - Black</v>
      </c>
      <c r="C2750" s="14" t="str">
        <f>IFERROR(__xludf.DUMMYFUNCTION("""COMPUTED_VALUE"""),"Q-60061-00")</f>
        <v>Q-60061-00</v>
      </c>
    </row>
    <row r="2751">
      <c r="A2751" s="14" t="str">
        <f>IFERROR(__xludf.DUMMYFUNCTION("""COMPUTED_VALUE"""),"Q-60063-00")</f>
        <v>Q-60063-00</v>
      </c>
      <c r="B2751" s="14" t="str">
        <f>IFERROR(__xludf.DUMMYFUNCTION("""COMPUTED_VALUE"""),"Cat Pilox 102 - White")</f>
        <v>Cat Pilox 102 - White</v>
      </c>
      <c r="C2751" s="14" t="str">
        <f>IFERROR(__xludf.DUMMYFUNCTION("""COMPUTED_VALUE"""),"Q-60063-00")</f>
        <v>Q-60063-00</v>
      </c>
    </row>
    <row r="2752">
      <c r="A2752" s="14" t="str">
        <f>IFERROR(__xludf.DUMMYFUNCTION("""COMPUTED_VALUE"""),"Q-60067-00")</f>
        <v>Q-60067-00</v>
      </c>
      <c r="B2752" s="14" t="str">
        <f>IFERROR(__xludf.DUMMYFUNCTION("""COMPUTED_VALUE"""),"Cat Pilox 124 - Silver")</f>
        <v>Cat Pilox 124 - Silver</v>
      </c>
      <c r="C2752" s="14" t="str">
        <f>IFERROR(__xludf.DUMMYFUNCTION("""COMPUTED_VALUE"""),"Q-60067-00")</f>
        <v>Q-60067-00</v>
      </c>
    </row>
    <row r="2753">
      <c r="A2753" s="14" t="str">
        <f>IFERROR(__xludf.DUMMYFUNCTION("""COMPUTED_VALUE"""),"Q-60104-00")</f>
        <v>Q-60104-00</v>
      </c>
      <c r="B2753" s="14" t="str">
        <f>IFERROR(__xludf.DUMMYFUNCTION("""COMPUTED_VALUE"""),"Cat Hardtop XP PU Jotun")</f>
        <v>Cat Hardtop XP PU Jotun</v>
      </c>
      <c r="C2753" s="14" t="str">
        <f>IFERROR(__xludf.DUMMYFUNCTION("""COMPUTED_VALUE"""),"Q-60104-00")</f>
        <v>Q-60104-00</v>
      </c>
    </row>
    <row r="2754">
      <c r="A2754" s="14" t="str">
        <f>IFERROR(__xludf.DUMMYFUNCTION("""COMPUTED_VALUE"""),"Q-60105-00")</f>
        <v>Q-60105-00</v>
      </c>
      <c r="B2754" s="14" t="str">
        <f>IFERROR(__xludf.DUMMYFUNCTION("""COMPUTED_VALUE"""),"Cat Dulux Ambiance Brilliant White; Dulux; 2290; pack size per 20L")</f>
        <v>Cat Dulux Ambiance Brilliant White; Dulux; 2290; pack size per 20L</v>
      </c>
      <c r="C2754" s="14" t="str">
        <f>IFERROR(__xludf.DUMMYFUNCTION("""COMPUTED_VALUE"""),"Q-60105-00")</f>
        <v>Q-60105-00</v>
      </c>
    </row>
    <row r="2755">
      <c r="A2755" s="14" t="str">
        <f>IFERROR(__xludf.DUMMYFUNCTION("""COMPUTED_VALUE"""),"Q-60107-00")</f>
        <v>Q-60107-00</v>
      </c>
      <c r="B2755" s="14" t="str">
        <f>IFERROR(__xludf.DUMMYFUNCTION("""COMPUTED_VALUE"""),"Hardener / Obat dempul sanpolac; ; ; pack size per tube")</f>
        <v>Hardener / Obat dempul sanpolac; ; ; pack size per tube</v>
      </c>
      <c r="C2755" s="14" t="str">
        <f>IFERROR(__xludf.DUMMYFUNCTION("""COMPUTED_VALUE"""),"Q-60107-00")</f>
        <v>Q-60107-00</v>
      </c>
    </row>
    <row r="2756">
      <c r="A2756" s="14" t="str">
        <f>IFERROR(__xludf.DUMMYFUNCTION("""COMPUTED_VALUE"""),"Q-60113-00")</f>
        <v>Q-60113-00</v>
      </c>
      <c r="B2756" s="14" t="str">
        <f>IFERROR(__xludf.DUMMYFUNCTION("""COMPUTED_VALUE"""),"Cat Ambiance Base; Dulux; Type T914A Grey Universal; 20L/pail")</f>
        <v>Cat Ambiance Base; Dulux; Type T914A Grey Universal; 20L/pail</v>
      </c>
      <c r="C2756" s="14" t="str">
        <f>IFERROR(__xludf.DUMMYFUNCTION("""COMPUTED_VALUE"""),"Q-60113-00")</f>
        <v>Q-60113-00</v>
      </c>
    </row>
    <row r="2757">
      <c r="A2757" s="14" t="str">
        <f>IFERROR(__xludf.DUMMYFUNCTION("""COMPUTED_VALUE"""),"Q-60117-00")</f>
        <v>Q-60117-00</v>
      </c>
      <c r="B2757" s="14" t="str">
        <f>IFERROR(__xludf.DUMMYFUNCTION("""COMPUTED_VALUE"""),"Cat Epoxy PU-Crete Flowfresh MF Type Light Grey; Flowcrete; ; 20 kg/set")</f>
        <v>Cat Epoxy PU-Crete Flowfresh MF Type Light Grey; Flowcrete; ; 20 kg/set</v>
      </c>
      <c r="C2757" s="14" t="str">
        <f>IFERROR(__xludf.DUMMYFUNCTION("""COMPUTED_VALUE"""),"Q-60117-00")</f>
        <v>Q-60117-00</v>
      </c>
    </row>
    <row r="2758">
      <c r="A2758" s="14" t="str">
        <f>IFERROR(__xludf.DUMMYFUNCTION("""COMPUTED_VALUE"""),"Q-60213-00")</f>
        <v>Q-60213-00</v>
      </c>
      <c r="B2758" s="14" t="str">
        <f>IFERROR(__xludf.DUMMYFUNCTION("""COMPUTED_VALUE"""),"Cat F-Talit KF 125, F-Talit, Type Grass Green, pack size per 1 kg")</f>
        <v>Cat F-Talit KF 125, F-Talit, Type Grass Green, pack size per 1 kg</v>
      </c>
      <c r="C2758" s="14" t="str">
        <f>IFERROR(__xludf.DUMMYFUNCTION("""COMPUTED_VALUE"""),"Q-60213-00")</f>
        <v>Q-60213-00</v>
      </c>
    </row>
    <row r="2759">
      <c r="A2759" s="14" t="str">
        <f>IFERROR(__xludf.DUMMYFUNCTION("""COMPUTED_VALUE"""),"Q-60226-00")</f>
        <v>Q-60226-00</v>
      </c>
      <c r="B2759" s="14" t="str">
        <f>IFERROR(__xludf.DUMMYFUNCTION("""COMPUTED_VALUE"""),"Cat F-Talit KF 731, F-Talit, Type Super White 115-00, pack size per 1 kg")</f>
        <v>Cat F-Talit KF 731, F-Talit, Type Super White 115-00, pack size per 1 kg</v>
      </c>
      <c r="C2759" s="14" t="str">
        <f>IFERROR(__xludf.DUMMYFUNCTION("""COMPUTED_VALUE"""),"Q-60226-00")</f>
        <v>Q-60226-00</v>
      </c>
    </row>
    <row r="2760">
      <c r="A2760" s="14" t="str">
        <f>IFERROR(__xludf.DUMMYFUNCTION("""COMPUTED_VALUE"""),"Q-60234-00")</f>
        <v>Q-60234-00</v>
      </c>
      <c r="B2760" s="14" t="str">
        <f>IFERROR(__xludf.DUMMYFUNCTION("""COMPUTED_VALUE"""),"Cat F-Talit KF 582, F-Talit, Type Black, pack size per 1 kg")</f>
        <v>Cat F-Talit KF 582, F-Talit, Type Black, pack size per 1 kg</v>
      </c>
      <c r="C2760" s="14" t="str">
        <f>IFERROR(__xludf.DUMMYFUNCTION("""COMPUTED_VALUE"""),"Q-60234-00")</f>
        <v>Q-60234-00</v>
      </c>
    </row>
    <row r="2761">
      <c r="A2761" s="14" t="str">
        <f>IFERROR(__xludf.DUMMYFUNCTION("""COMPUTED_VALUE"""),"Q-60242-00")</f>
        <v>Q-60242-00</v>
      </c>
      <c r="B2761" s="14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4" t="str">
        <f>IFERROR(__xludf.DUMMYFUNCTION("""COMPUTED_VALUE"""),"Q-60242-00")</f>
        <v>Q-60242-00</v>
      </c>
    </row>
    <row r="2762">
      <c r="A2762" s="14" t="str">
        <f>IFERROR(__xludf.DUMMYFUNCTION("""COMPUTED_VALUE"""),"Q-60328-00")</f>
        <v>Q-60328-00</v>
      </c>
      <c r="B2762" s="14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4" t="str">
        <f>IFERROR(__xludf.DUMMYFUNCTION("""COMPUTED_VALUE"""),"Q-60328-00")</f>
        <v>Q-60328-00</v>
      </c>
    </row>
    <row r="2763">
      <c r="A2763" s="14" t="str">
        <f>IFERROR(__xludf.DUMMYFUNCTION("""COMPUTED_VALUE"""),"Q-60340-00")</f>
        <v>Q-60340-00</v>
      </c>
      <c r="B2763" s="14" t="str">
        <f>IFERROR(__xludf.DUMMYFUNCTION("""COMPUTED_VALUE"""),"Cat Semprot Chrome Stainless 360ml; No Brand; ; can")</f>
        <v>Cat Semprot Chrome Stainless 360ml; No Brand; ; can</v>
      </c>
      <c r="C2763" s="14" t="str">
        <f>IFERROR(__xludf.DUMMYFUNCTION("""COMPUTED_VALUE"""),"Q-60340-00")</f>
        <v>Q-60340-00</v>
      </c>
    </row>
    <row r="2764">
      <c r="A2764" s="14" t="str">
        <f>IFERROR(__xludf.DUMMYFUNCTION("""COMPUTED_VALUE"""),"Q-60342-00")</f>
        <v>Q-60342-00</v>
      </c>
      <c r="B2764" s="14" t="str">
        <f>IFERROR(__xludf.DUMMYFUNCTION("""COMPUTED_VALUE"""),"Cat Semprot Green Relax (V9488); Diton Premium; V9488; 400 ml")</f>
        <v>Cat Semprot Green Relax (V9488); Diton Premium; V9488; 400 ml</v>
      </c>
      <c r="C2764" s="14" t="str">
        <f>IFERROR(__xludf.DUMMYFUNCTION("""COMPUTED_VALUE"""),"Q-60342-00")</f>
        <v>Q-60342-00</v>
      </c>
    </row>
    <row r="2765">
      <c r="A2765" s="14" t="str">
        <f>IFERROR(__xludf.DUMMYFUNCTION("""COMPUTED_VALUE"""),"Q-60401-00")</f>
        <v>Q-60401-00</v>
      </c>
      <c r="B2765" s="14" t="str">
        <f>IFERROR(__xludf.DUMMYFUNCTION("""COMPUTED_VALUE"""),"Handle Pintu Bulat, Elbow Press Lock; Meroni; N13NE TB127;")</f>
        <v>Handle Pintu Bulat, Elbow Press Lock; Meroni; N13NE TB127;</v>
      </c>
      <c r="C2765" s="14" t="str">
        <f>IFERROR(__xludf.DUMMYFUNCTION("""COMPUTED_VALUE"""),"Q-60401-00")</f>
        <v>Q-60401-00</v>
      </c>
    </row>
    <row r="2766">
      <c r="A2766" s="14" t="str">
        <f>IFERROR(__xludf.DUMMYFUNCTION("""COMPUTED_VALUE"""),"Q-60402-00")</f>
        <v>Q-60402-00</v>
      </c>
      <c r="B2766" s="14" t="str">
        <f>IFERROR(__xludf.DUMMYFUNCTION("""COMPUTED_VALUE"""),"Aquaproof Abu Abu; Aquaproof; Type 061 Abu Abu; 20 liter/pail")</f>
        <v>Aquaproof Abu Abu; Aquaproof; Type 061 Abu Abu; 20 liter/pail</v>
      </c>
      <c r="C2766" s="14" t="str">
        <f>IFERROR(__xludf.DUMMYFUNCTION("""COMPUTED_VALUE"""),"Q-60402-00")</f>
        <v>Q-60402-00</v>
      </c>
    </row>
    <row r="2767">
      <c r="A2767" s="14" t="str">
        <f>IFERROR(__xludf.DUMMYFUNCTION("""COMPUTED_VALUE"""),"Q-60403-00")</f>
        <v>Q-60403-00</v>
      </c>
      <c r="B2767" s="14" t="str">
        <f>IFERROR(__xludf.DUMMYFUNCTION("""COMPUTED_VALUE"""),"Serat Fiber / Fiber Glass Matt; Aquaproof; ; 1 kg/pack")</f>
        <v>Serat Fiber / Fiber Glass Matt; Aquaproof; ; 1 kg/pack</v>
      </c>
      <c r="C2767" s="14" t="str">
        <f>IFERROR(__xludf.DUMMYFUNCTION("""COMPUTED_VALUE"""),"Q-60403-00")</f>
        <v>Q-60403-00</v>
      </c>
    </row>
    <row r="2768">
      <c r="A2768" s="14" t="str">
        <f>IFERROR(__xludf.DUMMYFUNCTION("""COMPUTED_VALUE"""),"Q-60404-00")</f>
        <v>Q-60404-00</v>
      </c>
      <c r="B2768" s="14" t="str">
        <f>IFERROR(__xludf.DUMMYFUNCTION("""COMPUTED_VALUE"""),"Cat Interior Catylac; Dulux; Type Putih 1501N; 25 kg/pail")</f>
        <v>Cat Interior Catylac; Dulux; Type Putih 1501N; 25 kg/pail</v>
      </c>
      <c r="C2768" s="14" t="str">
        <f>IFERROR(__xludf.DUMMYFUNCTION("""COMPUTED_VALUE"""),"Q-60404-00")</f>
        <v>Q-60404-00</v>
      </c>
    </row>
    <row r="2769">
      <c r="A2769" s="14" t="str">
        <f>IFERROR(__xludf.DUMMYFUNCTION("""COMPUTED_VALUE"""),"Q-60405-00")</f>
        <v>Q-60405-00</v>
      </c>
      <c r="B2769" s="14" t="str">
        <f>IFERROR(__xludf.DUMMYFUNCTION("""COMPUTED_VALUE"""),"Cat Durogloss DR-2000; Propan; Type Spiders Web 90YY 73/040; 0,9 L/can")</f>
        <v>Cat Durogloss DR-2000; Propan; Type Spiders Web 90YY 73/040; 0,9 L/can</v>
      </c>
      <c r="C2769" s="14" t="str">
        <f>IFERROR(__xludf.DUMMYFUNCTION("""COMPUTED_VALUE"""),"Q-60405-00")</f>
        <v>Q-60405-00</v>
      </c>
    </row>
    <row r="2770">
      <c r="A2770" s="14" t="str">
        <f>IFERROR(__xludf.DUMMYFUNCTION("""COMPUTED_VALUE"""),"Q-60406-00")</f>
        <v>Q-60406-00</v>
      </c>
      <c r="B2770" s="14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4" t="str">
        <f>IFERROR(__xludf.DUMMYFUNCTION("""COMPUTED_VALUE"""),"Q-60406-00")</f>
        <v>Q-60406-00</v>
      </c>
    </row>
    <row r="2771">
      <c r="A2771" s="14" t="str">
        <f>IFERROR(__xludf.DUMMYFUNCTION("""COMPUTED_VALUE"""),"Q-60434-00")</f>
        <v>Q-60434-00</v>
      </c>
      <c r="B2771" s="14" t="str">
        <f>IFERROR(__xludf.DUMMYFUNCTION("""COMPUTED_VALUE"""),"Semen putih / Acian Putih; Tiga Roda; TR-30; 40 kg/zak")</f>
        <v>Semen putih / Acian Putih; Tiga Roda; TR-30; 40 kg/zak</v>
      </c>
      <c r="C2771" s="14" t="str">
        <f>IFERROR(__xludf.DUMMYFUNCTION("""COMPUTED_VALUE"""),"Q-60434-00")</f>
        <v>Q-60434-00</v>
      </c>
    </row>
    <row r="2772">
      <c r="A2772" s="14" t="str">
        <f>IFERROR(__xludf.DUMMYFUNCTION("""COMPUTED_VALUE"""),"Q-60500-00")</f>
        <v>Q-60500-00</v>
      </c>
      <c r="B2772" s="14" t="str">
        <f>IFERROR(__xludf.DUMMYFUNCTION("""COMPUTED_VALUE"""),"Silicone Sealant, Silglaze, Type N10 Grey, pack size per pcs")</f>
        <v>Silicone Sealant, Silglaze, Type N10 Grey, pack size per pcs</v>
      </c>
      <c r="C2772" s="14" t="str">
        <f>IFERROR(__xludf.DUMMYFUNCTION("""COMPUTED_VALUE"""),"Q-60500-00")</f>
        <v>Q-60500-00</v>
      </c>
    </row>
    <row r="2773">
      <c r="A2773" s="14" t="str">
        <f>IFERROR(__xludf.DUMMYFUNCTION("""COMPUTED_VALUE"""),"Q-60501-00")</f>
        <v>Q-60501-00</v>
      </c>
      <c r="B2773" s="14" t="str">
        <f>IFERROR(__xludf.DUMMYFUNCTION("""COMPUTED_VALUE"""),"Silicone Sealant, Silglaze, Type N10 Clear, pack size per pcs")</f>
        <v>Silicone Sealant, Silglaze, Type N10 Clear, pack size per pcs</v>
      </c>
      <c r="C2773" s="14" t="str">
        <f>IFERROR(__xludf.DUMMYFUNCTION("""COMPUTED_VALUE"""),"Q-60501-00")</f>
        <v>Q-60501-00</v>
      </c>
    </row>
    <row r="2774">
      <c r="A2774" s="14" t="str">
        <f>IFERROR(__xludf.DUMMYFUNCTION("""COMPUTED_VALUE"""),"Q-60502-00")</f>
        <v>Q-60502-00</v>
      </c>
      <c r="B2774" s="14" t="str">
        <f>IFERROR(__xludf.DUMMYFUNCTION("""COMPUTED_VALUE"""),"Silicone Sealant;Silglaze;Type N10 White;pack size per pcs")</f>
        <v>Silicone Sealant;Silglaze;Type N10 White;pack size per pcs</v>
      </c>
      <c r="C2774" s="14" t="str">
        <f>IFERROR(__xludf.DUMMYFUNCTION("""COMPUTED_VALUE"""),"Q-60502-00")</f>
        <v>Q-60502-00</v>
      </c>
    </row>
    <row r="2775">
      <c r="A2775" s="14" t="str">
        <f>IFERROR(__xludf.DUMMYFUNCTION("""COMPUTED_VALUE"""),"Q-60503-00")</f>
        <v>Q-60503-00</v>
      </c>
      <c r="B2775" s="14" t="str">
        <f>IFERROR(__xludf.DUMMYFUNCTION("""COMPUTED_VALUE"""),"Silicone Sealant;Silglaze;Type N10 Grey;pack size per pcs")</f>
        <v>Silicone Sealant;Silglaze;Type N10 Grey;pack size per pcs</v>
      </c>
      <c r="C2775" s="14" t="str">
        <f>IFERROR(__xludf.DUMMYFUNCTION("""COMPUTED_VALUE"""),"Q-60503-00")</f>
        <v>Q-60503-00</v>
      </c>
    </row>
    <row r="2776">
      <c r="A2776" s="14" t="str">
        <f>IFERROR(__xludf.DUMMYFUNCTION("""COMPUTED_VALUE"""),"Q-70026-00")</f>
        <v>Q-70026-00</v>
      </c>
      <c r="B2776" s="14" t="str">
        <f>IFERROR(__xludf.DUMMYFUNCTION("""COMPUTED_VALUE"""),"Baterai Tester Micro 200 Pro; Lancol; ;")</f>
        <v>Baterai Tester Micro 200 Pro; Lancol; ;</v>
      </c>
      <c r="C2776" s="14" t="str">
        <f>IFERROR(__xludf.DUMMYFUNCTION("""COMPUTED_VALUE"""),"Q-70026-00")</f>
        <v>Q-70026-00</v>
      </c>
    </row>
    <row r="2777">
      <c r="A2777" s="14" t="str">
        <f>IFERROR(__xludf.DUMMYFUNCTION("""COMPUTED_VALUE"""),"Q-70039-00")</f>
        <v>Q-70039-00</v>
      </c>
      <c r="B2777" s="14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4" t="str">
        <f>IFERROR(__xludf.DUMMYFUNCTION("""COMPUTED_VALUE"""),"Q-70039-00")</f>
        <v>Q-70039-00</v>
      </c>
    </row>
    <row r="2778">
      <c r="A2778" s="14" t="str">
        <f>IFERROR(__xludf.DUMMYFUNCTION("""COMPUTED_VALUE"""),"Q-70040-00")</f>
        <v>Q-70040-00</v>
      </c>
      <c r="B2778" s="14" t="str">
        <f>IFERROR(__xludf.DUMMYFUNCTION("""COMPUTED_VALUE"""),"Tang Potong ukuran 6 inch, Merk : Tekiro; ; ;")</f>
        <v>Tang Potong ukuran 6 inch, Merk : Tekiro; ; ;</v>
      </c>
      <c r="C2778" s="14" t="str">
        <f>IFERROR(__xludf.DUMMYFUNCTION("""COMPUTED_VALUE"""),"Q-70040-00")</f>
        <v>Q-70040-00</v>
      </c>
    </row>
    <row r="2779">
      <c r="A2779" s="14" t="str">
        <f>IFERROR(__xludf.DUMMYFUNCTION("""COMPUTED_VALUE"""),"Q-70054-00")</f>
        <v>Q-70054-00</v>
      </c>
      <c r="B2779" s="14" t="str">
        <f>IFERROR(__xludf.DUMMYFUNCTION("""COMPUTED_VALUE"""),"Isi Kuas Cat Epoxy Roll; Rollset; Ukuran 4 Inch; pack size per pcs")</f>
        <v>Isi Kuas Cat Epoxy Roll; Rollset; Ukuran 4 Inch; pack size per pcs</v>
      </c>
      <c r="C2779" s="14" t="str">
        <f>IFERROR(__xludf.DUMMYFUNCTION("""COMPUTED_VALUE"""),"Q-70054-00")</f>
        <v>Q-70054-00</v>
      </c>
    </row>
    <row r="2780">
      <c r="A2780" s="14" t="str">
        <f>IFERROR(__xludf.DUMMYFUNCTION("""COMPUTED_VALUE"""),"Q-70055-00")</f>
        <v>Q-70055-00</v>
      </c>
      <c r="B2780" s="14" t="str">
        <f>IFERROR(__xludf.DUMMYFUNCTION("""COMPUTED_VALUE"""),"Isi Kuas Cat Epoxy Roll; Rollset; Ukuran 9 Inch; pack size per pcs")</f>
        <v>Isi Kuas Cat Epoxy Roll; Rollset; Ukuran 9 Inch; pack size per pcs</v>
      </c>
      <c r="C2780" s="14" t="str">
        <f>IFERROR(__xludf.DUMMYFUNCTION("""COMPUTED_VALUE"""),"Q-70055-00")</f>
        <v>Q-70055-00</v>
      </c>
    </row>
    <row r="2781">
      <c r="A2781" s="14" t="str">
        <f>IFERROR(__xludf.DUMMYFUNCTION("""COMPUTED_VALUE"""),"Q-70065-00")</f>
        <v>Q-70065-00</v>
      </c>
      <c r="B2781" s="14" t="str">
        <f>IFERROR(__xludf.DUMMYFUNCTION("""COMPUTED_VALUE"""),"Dynabolt Beton M8x60; M8; M8x60;")</f>
        <v>Dynabolt Beton M8x60; M8; M8x60;</v>
      </c>
      <c r="C2781" s="14" t="str">
        <f>IFERROR(__xludf.DUMMYFUNCTION("""COMPUTED_VALUE"""),"Q-70065-00")</f>
        <v>Q-70065-00</v>
      </c>
    </row>
    <row r="2782">
      <c r="A2782" s="14" t="str">
        <f>IFERROR(__xludf.DUMMYFUNCTION("""COMPUTED_VALUE"""),"Q-70066-00")</f>
        <v>Q-70066-00</v>
      </c>
      <c r="B2782" s="14" t="str">
        <f>IFERROR(__xludf.DUMMYFUNCTION("""COMPUTED_VALUE"""),"Dynabolt Beton M8x70; M8; M8x70;")</f>
        <v>Dynabolt Beton M8x70; M8; M8x70;</v>
      </c>
      <c r="C2782" s="14" t="str">
        <f>IFERROR(__xludf.DUMMYFUNCTION("""COMPUTED_VALUE"""),"Q-70066-00")</f>
        <v>Q-70066-00</v>
      </c>
    </row>
    <row r="2783">
      <c r="A2783" s="14" t="str">
        <f>IFERROR(__xludf.DUMMYFUNCTION("""COMPUTED_VALUE"""),"Q-70068-00")</f>
        <v>Q-70068-00</v>
      </c>
      <c r="B2783" s="14" t="str">
        <f>IFERROR(__xludf.DUMMYFUNCTION("""COMPUTED_VALUE"""),"Dynabolt Beton M10x60; M10; M10x60;")</f>
        <v>Dynabolt Beton M10x60; M10; M10x60;</v>
      </c>
      <c r="C2783" s="14" t="str">
        <f>IFERROR(__xludf.DUMMYFUNCTION("""COMPUTED_VALUE"""),"Q-70068-00")</f>
        <v>Q-70068-00</v>
      </c>
    </row>
    <row r="2784">
      <c r="A2784" s="14" t="str">
        <f>IFERROR(__xludf.DUMMYFUNCTION("""COMPUTED_VALUE"""),"Q-70069-00")</f>
        <v>Q-70069-00</v>
      </c>
      <c r="B2784" s="14" t="str">
        <f>IFERROR(__xludf.DUMMYFUNCTION("""COMPUTED_VALUE"""),"Dynabolt Beton M10x70; M10; M10x70;")</f>
        <v>Dynabolt Beton M10x70; M10; M10x70;</v>
      </c>
      <c r="C2784" s="14" t="str">
        <f>IFERROR(__xludf.DUMMYFUNCTION("""COMPUTED_VALUE"""),"Q-70069-00")</f>
        <v>Q-70069-00</v>
      </c>
    </row>
    <row r="2785">
      <c r="A2785" s="14" t="str">
        <f>IFERROR(__xludf.DUMMYFUNCTION("""COMPUTED_VALUE"""),"Q-70072-00")</f>
        <v>Q-70072-00</v>
      </c>
      <c r="B2785" s="14" t="str">
        <f>IFERROR(__xludf.DUMMYFUNCTION("""COMPUTED_VALUE"""),"Dynabolt Beton M12x70; M12; M12x70;")</f>
        <v>Dynabolt Beton M12x70; M12; M12x70;</v>
      </c>
      <c r="C2785" s="14" t="str">
        <f>IFERROR(__xludf.DUMMYFUNCTION("""COMPUTED_VALUE"""),"Q-70072-00")</f>
        <v>Q-70072-00</v>
      </c>
    </row>
    <row r="2786">
      <c r="A2786" s="14" t="str">
        <f>IFERROR(__xludf.DUMMYFUNCTION("""COMPUTED_VALUE"""),"Q-70084-00")</f>
        <v>Q-70084-00</v>
      </c>
      <c r="B2786" s="14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4" t="str">
        <f>IFERROR(__xludf.DUMMYFUNCTION("""COMPUTED_VALUE"""),"Q-70084-00")</f>
        <v>Q-70084-00</v>
      </c>
    </row>
    <row r="2787">
      <c r="A2787" s="14" t="str">
        <f>IFERROR(__xludf.DUMMYFUNCTION("""COMPUTED_VALUE"""),"Q-70085-00")</f>
        <v>Q-70085-00</v>
      </c>
      <c r="B2787" s="14" t="str">
        <f>IFERROR(__xludf.DUMMYFUNCTION("""COMPUTED_VALUE"""),"Super Wire Stripper; Kennedy; KEN5147970K; pack size per pcs")</f>
        <v>Super Wire Stripper; Kennedy; KEN5147970K; pack size per pcs</v>
      </c>
      <c r="C2787" s="14" t="str">
        <f>IFERROR(__xludf.DUMMYFUNCTION("""COMPUTED_VALUE"""),"Q-70085-00")</f>
        <v>Q-70085-00</v>
      </c>
    </row>
    <row r="2788">
      <c r="A2788" s="14" t="str">
        <f>IFERROR(__xludf.DUMMYFUNCTION("""COMPUTED_VALUE"""),"Q-70086-00")</f>
        <v>Q-70086-00</v>
      </c>
      <c r="B2788" s="14" t="str">
        <f>IFERROR(__xludf.DUMMYFUNCTION("""COMPUTED_VALUE"""),"8x200mm Engineers Screwdriver; Kennedy; KEN5723080K; pack size per pcs")</f>
        <v>8x200mm Engineers Screwdriver; Kennedy; KEN5723080K; pack size per pcs</v>
      </c>
      <c r="C2788" s="14" t="str">
        <f>IFERROR(__xludf.DUMMYFUNCTION("""COMPUTED_VALUE"""),"Q-70086-00")</f>
        <v>Q-70086-00</v>
      </c>
    </row>
    <row r="2789">
      <c r="A2789" s="14" t="str">
        <f>IFERROR(__xludf.DUMMYFUNCTION("""COMPUTED_VALUE"""),"Q-70087-00")</f>
        <v>Q-70087-00</v>
      </c>
      <c r="B2789" s="14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4" t="str">
        <f>IFERROR(__xludf.DUMMYFUNCTION("""COMPUTED_VALUE"""),"Q-70087-00")</f>
        <v>Q-70087-00</v>
      </c>
    </row>
    <row r="2790">
      <c r="A2790" s="14" t="str">
        <f>IFERROR(__xludf.DUMMYFUNCTION("""COMPUTED_VALUE"""),"Q-70088-00")</f>
        <v>Q-70088-00</v>
      </c>
      <c r="B2790" s="14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4" t="str">
        <f>IFERROR(__xludf.DUMMYFUNCTION("""COMPUTED_VALUE"""),"Q-70088-00")</f>
        <v>Q-70088-00</v>
      </c>
    </row>
    <row r="2791">
      <c r="A2791" s="14" t="str">
        <f>IFERROR(__xludf.DUMMYFUNCTION("""COMPUTED_VALUE"""),"Q-70089-00")</f>
        <v>Q-70089-00</v>
      </c>
      <c r="B2791" s="14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4" t="str">
        <f>IFERROR(__xludf.DUMMYFUNCTION("""COMPUTED_VALUE"""),"Q-70089-00")</f>
        <v>Q-70089-00</v>
      </c>
    </row>
    <row r="2792">
      <c r="A2792" s="14" t="str">
        <f>IFERROR(__xludf.DUMMYFUNCTION("""COMPUTED_VALUE"""),"Q-70090-00")</f>
        <v>Q-70090-00</v>
      </c>
      <c r="B2792" s="14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4" t="str">
        <f>IFERROR(__xludf.DUMMYFUNCTION("""COMPUTED_VALUE"""),"Q-70090-00")</f>
        <v>Q-70090-00</v>
      </c>
    </row>
    <row r="2793">
      <c r="A2793" s="14" t="str">
        <f>IFERROR(__xludf.DUMMYFUNCTION("""COMPUTED_VALUE"""),"Q-70091-00")</f>
        <v>Q-70091-00</v>
      </c>
      <c r="B2793" s="14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4" t="str">
        <f>IFERROR(__xludf.DUMMYFUNCTION("""COMPUTED_VALUE"""),"Q-70091-00")</f>
        <v>Q-70091-00</v>
      </c>
    </row>
    <row r="2794">
      <c r="A2794" s="14" t="str">
        <f>IFERROR(__xludf.DUMMYFUNCTION("""COMPUTED_VALUE"""),"Q-70092-00")</f>
        <v>Q-70092-00</v>
      </c>
      <c r="B2794" s="14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4" t="str">
        <f>IFERROR(__xludf.DUMMYFUNCTION("""COMPUTED_VALUE"""),"Q-70092-00")</f>
        <v>Q-70092-00</v>
      </c>
    </row>
    <row r="2795">
      <c r="A2795" s="14" t="str">
        <f>IFERROR(__xludf.DUMMYFUNCTION("""COMPUTED_VALUE"""),"Q-70093-00")</f>
        <v>Q-70093-00</v>
      </c>
      <c r="B2795" s="14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4" t="str">
        <f>IFERROR(__xludf.DUMMYFUNCTION("""COMPUTED_VALUE"""),"Q-70093-00")</f>
        <v>Q-70093-00</v>
      </c>
    </row>
    <row r="2796">
      <c r="A2796" s="14" t="str">
        <f>IFERROR(__xludf.DUMMYFUNCTION("""COMPUTED_VALUE"""),"Q-70095-00")</f>
        <v>Q-70095-00</v>
      </c>
      <c r="B2796" s="14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4" t="str">
        <f>IFERROR(__xludf.DUMMYFUNCTION("""COMPUTED_VALUE"""),"Q-70095-00")</f>
        <v>Q-70095-00</v>
      </c>
    </row>
    <row r="2797">
      <c r="A2797" s="14" t="str">
        <f>IFERROR(__xludf.DUMMYFUNCTION("""COMPUTED_VALUE"""),"Q-70096-00")</f>
        <v>Q-70096-00</v>
      </c>
      <c r="B2797" s="14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4" t="str">
        <f>IFERROR(__xludf.DUMMYFUNCTION("""COMPUTED_VALUE"""),"Q-70096-00")</f>
        <v>Q-70096-00</v>
      </c>
    </row>
    <row r="2798">
      <c r="A2798" s="14" t="str">
        <f>IFERROR(__xludf.DUMMYFUNCTION("""COMPUTED_VALUE"""),"Q-70097-00")</f>
        <v>Q-70097-00</v>
      </c>
      <c r="B2798" s="14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4" t="str">
        <f>IFERROR(__xludf.DUMMYFUNCTION("""COMPUTED_VALUE"""),"Q-70097-00")</f>
        <v>Q-70097-00</v>
      </c>
    </row>
    <row r="2799">
      <c r="A2799" s="14" t="str">
        <f>IFERROR(__xludf.DUMMYFUNCTION("""COMPUTED_VALUE"""),"Q-70098-00")</f>
        <v>Q-70098-00</v>
      </c>
      <c r="B2799" s="14" t="str">
        <f>IFERROR(__xludf.DUMMYFUNCTION("""COMPUTED_VALUE"""),"Kunci Torsi Momen 20-120 Nm; Lakoni; 800422; pack size per set")</f>
        <v>Kunci Torsi Momen 20-120 Nm; Lakoni; 800422; pack size per set</v>
      </c>
      <c r="C2799" s="14" t="str">
        <f>IFERROR(__xludf.DUMMYFUNCTION("""COMPUTED_VALUE"""),"Q-70098-00")</f>
        <v>Q-70098-00</v>
      </c>
    </row>
    <row r="2800">
      <c r="A2800" s="14" t="str">
        <f>IFERROR(__xludf.DUMMYFUNCTION("""COMPUTED_VALUE"""),"Q-70103-00")</f>
        <v>Q-70103-00</v>
      </c>
      <c r="B2800" s="14" t="str">
        <f>IFERROR(__xludf.DUMMYFUNCTION("""COMPUTED_VALUE"""),"Mata Sock L Set 11 Pcs Dr.1/2 Inch; Tekiro; SC-HB0638; 11 pcs per set")</f>
        <v>Mata Sock L Set 11 Pcs Dr.1/2 Inch; Tekiro; SC-HB0638; 11 pcs per set</v>
      </c>
      <c r="C2800" s="14" t="str">
        <f>IFERROR(__xludf.DUMMYFUNCTION("""COMPUTED_VALUE"""),"Q-70103-00")</f>
        <v>Q-70103-00</v>
      </c>
    </row>
    <row r="2801">
      <c r="A2801" s="14" t="str">
        <f>IFERROR(__xludf.DUMMYFUNCTION("""COMPUTED_VALUE"""),"Q-70104-00")</f>
        <v>Q-70104-00</v>
      </c>
      <c r="B2801" s="14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4" t="str">
        <f>IFERROR(__xludf.DUMMYFUNCTION("""COMPUTED_VALUE"""),"Q-70104-00")</f>
        <v>Q-70104-00</v>
      </c>
    </row>
    <row r="2802">
      <c r="A2802" s="14" t="str">
        <f>IFERROR(__xludf.DUMMYFUNCTION("""COMPUTED_VALUE"""),"Q-70125-00")</f>
        <v>Q-70125-00</v>
      </c>
      <c r="B2802" s="14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4" t="str">
        <f>IFERROR(__xludf.DUMMYFUNCTION("""COMPUTED_VALUE"""),"Q-70125-00")</f>
        <v>Q-70125-00</v>
      </c>
    </row>
    <row r="2803">
      <c r="A2803" s="14" t="str">
        <f>IFERROR(__xludf.DUMMYFUNCTION("""COMPUTED_VALUE"""),"Q-70135-00")</f>
        <v>Q-70135-00</v>
      </c>
      <c r="B2803" s="14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4" t="str">
        <f>IFERROR(__xludf.DUMMYFUNCTION("""COMPUTED_VALUE"""),"Q-70135-00")</f>
        <v>Q-70135-00</v>
      </c>
    </row>
    <row r="2804">
      <c r="A2804" s="14" t="str">
        <f>IFERROR(__xludf.DUMMYFUNCTION("""COMPUTED_VALUE"""),"Q-70137-00")</f>
        <v>Q-70137-00</v>
      </c>
      <c r="B2804" s="14" t="str">
        <f>IFERROR(__xludf.DUMMYFUNCTION("""COMPUTED_VALUE"""),"Pipe Wrench 14 Inch LRPW14; Krisbow; KW0100366; pack size per pcs")</f>
        <v>Pipe Wrench 14 Inch LRPW14; Krisbow; KW0100366; pack size per pcs</v>
      </c>
      <c r="C2804" s="14" t="str">
        <f>IFERROR(__xludf.DUMMYFUNCTION("""COMPUTED_VALUE"""),"Q-70137-00")</f>
        <v>Q-70137-00</v>
      </c>
    </row>
    <row r="2805">
      <c r="A2805" s="14" t="str">
        <f>IFERROR(__xludf.DUMMYFUNCTION("""COMPUTED_VALUE"""),"Q-70148-00")</f>
        <v>Q-70148-00</v>
      </c>
      <c r="B2805" s="14" t="str">
        <f>IFERROR(__xludf.DUMMYFUNCTION("""COMPUTED_VALUE"""),"Kunci L Bintang / Tamper Torx Key; Tekiro; HK-TA1206; 9 pc/set")</f>
        <v>Kunci L Bintang / Tamper Torx Key; Tekiro; HK-TA1206; 9 pc/set</v>
      </c>
      <c r="C2805" s="14" t="str">
        <f>IFERROR(__xludf.DUMMYFUNCTION("""COMPUTED_VALUE"""),"Q-70148-00")</f>
        <v>Q-70148-00</v>
      </c>
    </row>
    <row r="2806">
      <c r="A2806" s="14" t="str">
        <f>IFERROR(__xludf.DUMMYFUNCTION("""COMPUTED_VALUE"""),"Q-70149-00")</f>
        <v>Q-70149-00</v>
      </c>
      <c r="B2806" s="14" t="str">
        <f>IFERROR(__xludf.DUMMYFUNCTION("""COMPUTED_VALUE"""),"Jangka Sorong Digital / Digital Caliper; Mitutoyo; CN: 500-197-30; pc")</f>
        <v>Jangka Sorong Digital / Digital Caliper; Mitutoyo; CN: 500-197-30; pc</v>
      </c>
      <c r="C2806" s="14" t="str">
        <f>IFERROR(__xludf.DUMMYFUNCTION("""COMPUTED_VALUE"""),"Q-70149-00")</f>
        <v>Q-70149-00</v>
      </c>
    </row>
    <row r="2807">
      <c r="A2807" s="14" t="str">
        <f>IFERROR(__xludf.DUMMYFUNCTION("""COMPUTED_VALUE"""),"Q-70156-00")</f>
        <v>Q-70156-00</v>
      </c>
      <c r="B2807" s="14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4" t="str">
        <f>IFERROR(__xludf.DUMMYFUNCTION("""COMPUTED_VALUE"""),"Q-70156-00")</f>
        <v>Q-70156-00</v>
      </c>
    </row>
    <row r="2808">
      <c r="A2808" s="14" t="str">
        <f>IFERROR(__xludf.DUMMYFUNCTION("""COMPUTED_VALUE"""),"Q-70158-00")</f>
        <v>Q-70158-00</v>
      </c>
      <c r="B2808" s="14" t="str">
        <f>IFERROR(__xludf.DUMMYFUNCTION("""COMPUTED_VALUE"""),"Bor Impact Drill GSB 600; Bosch; 06011A03K2; set")</f>
        <v>Bor Impact Drill GSB 600; Bosch; 06011A03K2; set</v>
      </c>
      <c r="C2808" s="14" t="str">
        <f>IFERROR(__xludf.DUMMYFUNCTION("""COMPUTED_VALUE"""),"Q-70158-00")</f>
        <v>Q-70158-00</v>
      </c>
    </row>
    <row r="2809">
      <c r="A2809" s="14" t="str">
        <f>IFERROR(__xludf.DUMMYFUNCTION("""COMPUTED_VALUE"""),"Q-70159-00")</f>
        <v>Q-70159-00</v>
      </c>
      <c r="B2809" s="14" t="str">
        <f>IFERROR(__xludf.DUMMYFUNCTION("""COMPUTED_VALUE"""),"Buckle CB5 Galvanized Steel 16mm; Lokal; ; pcs")</f>
        <v>Buckle CB5 Galvanized Steel 16mm; Lokal; ; pcs</v>
      </c>
      <c r="C2809" s="14" t="str">
        <f>IFERROR(__xludf.DUMMYFUNCTION("""COMPUTED_VALUE"""),"Q-70159-00")</f>
        <v>Q-70159-00</v>
      </c>
    </row>
    <row r="2810">
      <c r="A2810" s="14" t="str">
        <f>IFERROR(__xludf.DUMMYFUNCTION("""COMPUTED_VALUE"""),"Q-70160-00")</f>
        <v>Q-70160-00</v>
      </c>
      <c r="B2810" s="14" t="str">
        <f>IFERROR(__xludf.DUMMYFUNCTION("""COMPUTED_VALUE"""),"Tali Webbing 4mm; Lokal; ; 50 meter/rol")</f>
        <v>Tali Webbing 4mm; Lokal; ; 50 meter/rol</v>
      </c>
      <c r="C2810" s="14" t="str">
        <f>IFERROR(__xludf.DUMMYFUNCTION("""COMPUTED_VALUE"""),"Q-70160-00")</f>
        <v>Q-70160-00</v>
      </c>
    </row>
    <row r="2811">
      <c r="A2811" s="14" t="str">
        <f>IFERROR(__xludf.DUMMYFUNCTION("""COMPUTED_VALUE"""),"Q-70163-00")</f>
        <v>Q-70163-00</v>
      </c>
      <c r="B2811" s="14" t="str">
        <f>IFERROR(__xludf.DUMMYFUNCTION("""COMPUTED_VALUE"""),"Handle Tap Balik / Handle Tap M3-M12 mm; Tekiro; GT-TH1864; pc")</f>
        <v>Handle Tap Balik / Handle Tap M3-M12 mm; Tekiro; GT-TH1864; pc</v>
      </c>
      <c r="C2811" s="14" t="str">
        <f>IFERROR(__xludf.DUMMYFUNCTION("""COMPUTED_VALUE"""),"Q-70163-00")</f>
        <v>Q-70163-00</v>
      </c>
    </row>
    <row r="2812">
      <c r="A2812" s="14" t="str">
        <f>IFERROR(__xludf.DUMMYFUNCTION("""COMPUTED_VALUE"""),"Q-70167-00")</f>
        <v>Q-70167-00</v>
      </c>
      <c r="B2812" s="14" t="str">
        <f>IFERROR(__xludf.DUMMYFUNCTION("""COMPUTED_VALUE"""),"Kunci L Bintang / Torx Key Uk. 10 mm; Tekiro; HK-TL1221; pc")</f>
        <v>Kunci L Bintang / Torx Key Uk. 10 mm; Tekiro; HK-TL1221; pc</v>
      </c>
      <c r="C2812" s="14" t="str">
        <f>IFERROR(__xludf.DUMMYFUNCTION("""COMPUTED_VALUE"""),"Q-70167-00")</f>
        <v>Q-70167-00</v>
      </c>
    </row>
    <row r="2813">
      <c r="A2813" s="14" t="str">
        <f>IFERROR(__xludf.DUMMYFUNCTION("""COMPUTED_VALUE"""),"Q-70168-00")</f>
        <v>Q-70168-00</v>
      </c>
      <c r="B2813" s="14" t="str">
        <f>IFERROR(__xludf.DUMMYFUNCTION("""COMPUTED_VALUE"""),"Adjustable Wrench / Kunci Inggris Uk. 12 Inch; Krisbow; KW0101965; pc")</f>
        <v>Adjustable Wrench / Kunci Inggris Uk. 12 Inch; Krisbow; KW0101965; pc</v>
      </c>
      <c r="C2813" s="14" t="str">
        <f>IFERROR(__xludf.DUMMYFUNCTION("""COMPUTED_VALUE"""),"Q-70168-00")</f>
        <v>Q-70168-00</v>
      </c>
    </row>
    <row r="2814">
      <c r="A2814" s="14" t="str">
        <f>IFERROR(__xludf.DUMMYFUNCTION("""COMPUTED_VALUE"""),"Q-70169-00")</f>
        <v>Q-70169-00</v>
      </c>
      <c r="B2814" s="14" t="str">
        <f>IFERROR(__xludf.DUMMYFUNCTION("""COMPUTED_VALUE"""),"Kunci L Hex Key Stubby Uk. 1,5 - 10 mm; Tekiro; HK-ST1210 ; 9 pc/set")</f>
        <v>Kunci L Hex Key Stubby Uk. 1,5 - 10 mm; Tekiro; HK-ST1210 ; 9 pc/set</v>
      </c>
      <c r="C2814" s="14" t="str">
        <f>IFERROR(__xludf.DUMMYFUNCTION("""COMPUTED_VALUE"""),"Q-70169-00")</f>
        <v>Q-70169-00</v>
      </c>
    </row>
    <row r="2815">
      <c r="A2815" s="14" t="str">
        <f>IFERROR(__xludf.DUMMYFUNCTION("""COMPUTED_VALUE"""),"Q-70170-00")</f>
        <v>Q-70170-00</v>
      </c>
      <c r="B2815" s="14" t="str">
        <f>IFERROR(__xludf.DUMMYFUNCTION("""COMPUTED_VALUE"""),"Kunci L Uk. 1,5 mm; Tekiro; HK-LO1164; pc")</f>
        <v>Kunci L Uk. 1,5 mm; Tekiro; HK-LO1164; pc</v>
      </c>
      <c r="C2815" s="14" t="str">
        <f>IFERROR(__xludf.DUMMYFUNCTION("""COMPUTED_VALUE"""),"Q-70170-00")</f>
        <v>Q-70170-00</v>
      </c>
    </row>
    <row r="2816">
      <c r="A2816" s="14" t="str">
        <f>IFERROR(__xludf.DUMMYFUNCTION("""COMPUTED_VALUE"""),"Q-70171-00")</f>
        <v>Q-70171-00</v>
      </c>
      <c r="B2816" s="14" t="str">
        <f>IFERROR(__xludf.DUMMYFUNCTION("""COMPUTED_VALUE"""),"Kunci L Uk 2 mm; Tekiro; HK-LO1165; pc")</f>
        <v>Kunci L Uk 2 mm; Tekiro; HK-LO1165; pc</v>
      </c>
      <c r="C2816" s="14" t="str">
        <f>IFERROR(__xludf.DUMMYFUNCTION("""COMPUTED_VALUE"""),"Q-70171-00")</f>
        <v>Q-70171-00</v>
      </c>
    </row>
    <row r="2817">
      <c r="A2817" s="14" t="str">
        <f>IFERROR(__xludf.DUMMYFUNCTION("""COMPUTED_VALUE"""),"Q-70172-00")</f>
        <v>Q-70172-00</v>
      </c>
      <c r="B2817" s="14" t="str">
        <f>IFERROR(__xludf.DUMMYFUNCTION("""COMPUTED_VALUE"""),"Kunci L uk. 3 mm; Tekiro; HK-LO1166; pc")</f>
        <v>Kunci L uk. 3 mm; Tekiro; HK-LO1166; pc</v>
      </c>
      <c r="C2817" s="14" t="str">
        <f>IFERROR(__xludf.DUMMYFUNCTION("""COMPUTED_VALUE"""),"Q-70172-00")</f>
        <v>Q-70172-00</v>
      </c>
    </row>
    <row r="2818">
      <c r="A2818" s="14" t="str">
        <f>IFERROR(__xludf.DUMMYFUNCTION("""COMPUTED_VALUE"""),"Q-70173-00")</f>
        <v>Q-70173-00</v>
      </c>
      <c r="B2818" s="14" t="str">
        <f>IFERROR(__xludf.DUMMYFUNCTION("""COMPUTED_VALUE"""),"Kunci L Bintang / Torx Key Uk. 20 mm; Tekiro; HK-TL1223; pc")</f>
        <v>Kunci L Bintang / Torx Key Uk. 20 mm; Tekiro; HK-TL1223; pc</v>
      </c>
      <c r="C2818" s="14" t="str">
        <f>IFERROR(__xludf.DUMMYFUNCTION("""COMPUTED_VALUE"""),"Q-70173-00")</f>
        <v>Q-70173-00</v>
      </c>
    </row>
    <row r="2819">
      <c r="A2819" s="14" t="str">
        <f>IFERROR(__xludf.DUMMYFUNCTION("""COMPUTED_VALUE"""),"Q-70174-00")</f>
        <v>Q-70174-00</v>
      </c>
      <c r="B2819" s="14" t="str">
        <f>IFERROR(__xludf.DUMMYFUNCTION("""COMPUTED_VALUE"""),"Kunci L Bintang / Torx Key Uk. 25 mm; Tekiro; HK-TL1224; pc")</f>
        <v>Kunci L Bintang / Torx Key Uk. 25 mm; Tekiro; HK-TL1224; pc</v>
      </c>
      <c r="C2819" s="14" t="str">
        <f>IFERROR(__xludf.DUMMYFUNCTION("""COMPUTED_VALUE"""),"Q-70174-00")</f>
        <v>Q-70174-00</v>
      </c>
    </row>
    <row r="2820">
      <c r="A2820" s="14" t="str">
        <f>IFERROR(__xludf.DUMMYFUNCTION("""COMPUTED_VALUE"""),"Q-70175-00")</f>
        <v>Q-70175-00</v>
      </c>
      <c r="B2820" s="14" t="str">
        <f>IFERROR(__xludf.DUMMYFUNCTION("""COMPUTED_VALUE"""),"Kunci L Bintang / Torx Key Uk. 50 mm; Tekiro; HK-TL1228; pc")</f>
        <v>Kunci L Bintang / Torx Key Uk. 50 mm; Tekiro; HK-TL1228; pc</v>
      </c>
      <c r="C2820" s="14" t="str">
        <f>IFERROR(__xludf.DUMMYFUNCTION("""COMPUTED_VALUE"""),"Q-70175-00")</f>
        <v>Q-70175-00</v>
      </c>
    </row>
    <row r="2821">
      <c r="A2821" s="14" t="str">
        <f>IFERROR(__xludf.DUMMYFUNCTION("""COMPUTED_VALUE"""),"Q-70176-00")</f>
        <v>Q-70176-00</v>
      </c>
      <c r="B2821" s="14" t="str">
        <f>IFERROR(__xludf.DUMMYFUNCTION("""COMPUTED_VALUE"""),"Kunci Pas No 21 &amp; 23; Tekiro; WR-OE0086; pc")</f>
        <v>Kunci Pas No 21 &amp; 23; Tekiro; WR-OE0086; pc</v>
      </c>
      <c r="C2821" s="14" t="str">
        <f>IFERROR(__xludf.DUMMYFUNCTION("""COMPUTED_VALUE"""),"Q-70176-00")</f>
        <v>Q-70176-00</v>
      </c>
    </row>
    <row r="2822">
      <c r="A2822" s="14" t="str">
        <f>IFERROR(__xludf.DUMMYFUNCTION("""COMPUTED_VALUE"""),"Q-70177-00")</f>
        <v>Q-70177-00</v>
      </c>
      <c r="B2822" s="14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4" t="str">
        <f>IFERROR(__xludf.DUMMYFUNCTION("""COMPUTED_VALUE"""),"Q-70177-00")</f>
        <v>Q-70177-00</v>
      </c>
    </row>
    <row r="2823">
      <c r="A2823" s="14" t="str">
        <f>IFERROR(__xludf.DUMMYFUNCTION("""COMPUTED_VALUE"""),"Q-70178-00")</f>
        <v>Q-70178-00</v>
      </c>
      <c r="B2823" s="14" t="str">
        <f>IFERROR(__xludf.DUMMYFUNCTION("""COMPUTED_VALUE"""),"Tang Potong Uk. 5 Inch; SATA; CN: 05522; pc")</f>
        <v>Tang Potong Uk. 5 Inch; SATA; CN: 05522; pc</v>
      </c>
      <c r="C2823" s="14" t="str">
        <f>IFERROR(__xludf.DUMMYFUNCTION("""COMPUTED_VALUE"""),"Q-70178-00")</f>
        <v>Q-70178-00</v>
      </c>
    </row>
    <row r="2824">
      <c r="A2824" s="14" t="str">
        <f>IFERROR(__xludf.DUMMYFUNCTION("""COMPUTED_VALUE"""),"Q-70181-00")</f>
        <v>Q-70181-00</v>
      </c>
      <c r="B2824" s="14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4" t="str">
        <f>IFERROR(__xludf.DUMMYFUNCTION("""COMPUTED_VALUE"""),"Q-70181-00")</f>
        <v>Q-70181-00</v>
      </c>
    </row>
    <row r="2825">
      <c r="A2825" s="14" t="str">
        <f>IFERROR(__xludf.DUMMYFUNCTION("""COMPUTED_VALUE"""),"Q-70184-00")</f>
        <v>Q-70184-00</v>
      </c>
      <c r="B2825" s="14" t="str">
        <f>IFERROR(__xludf.DUMMYFUNCTION("""COMPUTED_VALUE"""),"Obeng Listrik / Insulated Screwdriver Plus 2x100mm PH2; SATA; 61223; pc")</f>
        <v>Obeng Listrik / Insulated Screwdriver Plus 2x100mm PH2; SATA; 61223; pc</v>
      </c>
      <c r="C2825" s="14" t="str">
        <f>IFERROR(__xludf.DUMMYFUNCTION("""COMPUTED_VALUE"""),"Q-70184-00")</f>
        <v>Q-70184-00</v>
      </c>
    </row>
    <row r="2826">
      <c r="A2826" s="14" t="str">
        <f>IFERROR(__xludf.DUMMYFUNCTION("""COMPUTED_VALUE"""),"Q-70201-00")</f>
        <v>Q-70201-00</v>
      </c>
      <c r="B2826" s="14" t="str">
        <f>IFERROR(__xludf.DUMMYFUNCTION("""COMPUTED_VALUE"""),"Tang Kombinasi / Linesman Pliers Uk 7 inch; Tekiro; PL-LM0758; pc")</f>
        <v>Tang Kombinasi / Linesman Pliers Uk 7 inch; Tekiro; PL-LM0758; pc</v>
      </c>
      <c r="C2826" s="14" t="str">
        <f>IFERROR(__xludf.DUMMYFUNCTION("""COMPUTED_VALUE"""),"Q-70201-00")</f>
        <v>Q-70201-00</v>
      </c>
    </row>
    <row r="2827">
      <c r="A2827" s="14" t="str">
        <f>IFERROR(__xludf.DUMMYFUNCTION("""COMPUTED_VALUE"""),"Q-70222-00")</f>
        <v>Q-70222-00</v>
      </c>
      <c r="B2827" s="14" t="str">
        <f>IFERROR(__xludf.DUMMYFUNCTION("""COMPUTED_VALUE"""),"Insulated Screwdriver LPISS7; Krisbow; 10002071; 7 pc/set")</f>
        <v>Insulated Screwdriver LPISS7; Krisbow; 10002071; 7 pc/set</v>
      </c>
      <c r="C2827" s="14" t="str">
        <f>IFERROR(__xludf.DUMMYFUNCTION("""COMPUTED_VALUE"""),"Q-70222-00")</f>
        <v>Q-70222-00</v>
      </c>
    </row>
    <row r="2828">
      <c r="A2828" s="14" t="str">
        <f>IFERROR(__xludf.DUMMYFUNCTION("""COMPUTED_VALUE"""),"Q-70224-00")</f>
        <v>Q-70224-00</v>
      </c>
      <c r="B2828" s="14" t="str">
        <f>IFERROR(__xludf.DUMMYFUNCTION("""COMPUTED_VALUE"""),"Kunci L Mini Set; Tekiro; HK-EL1198; 7 pc/set")</f>
        <v>Kunci L Mini Set; Tekiro; HK-EL1198; 7 pc/set</v>
      </c>
      <c r="C2828" s="14" t="str">
        <f>IFERROR(__xludf.DUMMYFUNCTION("""COMPUTED_VALUE"""),"Q-70224-00")</f>
        <v>Q-70224-00</v>
      </c>
    </row>
    <row r="2829">
      <c r="A2829" s="14" t="str">
        <f>IFERROR(__xludf.DUMMYFUNCTION("""COMPUTED_VALUE"""),"Q-70238-00")</f>
        <v>Q-70238-00</v>
      </c>
      <c r="B2829" s="14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4" t="str">
        <f>IFERROR(__xludf.DUMMYFUNCTION("""COMPUTED_VALUE"""),"Q-70238-00")</f>
        <v>Q-70238-00</v>
      </c>
    </row>
    <row r="2830">
      <c r="A2830" s="14" t="str">
        <f>IFERROR(__xludf.DUMMYFUNCTION("""COMPUTED_VALUE"""),"Q-70239-00")</f>
        <v>Q-70239-00</v>
      </c>
      <c r="B2830" s="14" t="str">
        <f>IFERROR(__xludf.DUMMYFUNCTION("""COMPUTED_VALUE"""),"Tang Buaya Bengkok 10 Inch (Curved Jaw); Tekiro; PL-LG0770; pc")</f>
        <v>Tang Buaya Bengkok 10 Inch (Curved Jaw); Tekiro; PL-LG0770; pc</v>
      </c>
      <c r="C2830" s="14" t="str">
        <f>IFERROR(__xludf.DUMMYFUNCTION("""COMPUTED_VALUE"""),"Q-70239-00")</f>
        <v>Q-70239-00</v>
      </c>
    </row>
    <row r="2831">
      <c r="A2831" s="14" t="str">
        <f>IFERROR(__xludf.DUMMYFUNCTION("""COMPUTED_VALUE"""),"Q-70240-00")</f>
        <v>Q-70240-00</v>
      </c>
      <c r="B2831" s="14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4" t="str">
        <f>IFERROR(__xludf.DUMMYFUNCTION("""COMPUTED_VALUE"""),"Q-70240-00")</f>
        <v>Q-70240-00</v>
      </c>
    </row>
    <row r="2832">
      <c r="A2832" s="14" t="str">
        <f>IFERROR(__xludf.DUMMYFUNCTION("""COMPUTED_VALUE"""),"Q-70249-00")</f>
        <v>Q-70249-00</v>
      </c>
      <c r="B2832" s="14" t="str">
        <f>IFERROR(__xludf.DUMMYFUNCTION("""COMPUTED_VALUE"""),"Mata Kunci Impact Set 8-32mm (1/2"" Dr); Ecosen; ; 20 pc/set")</f>
        <v>Mata Kunci Impact Set 8-32mm (1/2" Dr); Ecosen; ; 20 pc/set</v>
      </c>
      <c r="C2832" s="14" t="str">
        <f>IFERROR(__xludf.DUMMYFUNCTION("""COMPUTED_VALUE"""),"Q-70249-00")</f>
        <v>Q-70249-00</v>
      </c>
    </row>
    <row r="2833">
      <c r="A2833" s="14" t="str">
        <f>IFERROR(__xludf.DUMMYFUNCTION("""COMPUTED_VALUE"""),"Q-70253-00")</f>
        <v>Q-70253-00</v>
      </c>
      <c r="B2833" s="14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4" t="str">
        <f>IFERROR(__xludf.DUMMYFUNCTION("""COMPUTED_VALUE"""),"Q-70253-00")</f>
        <v>Q-70253-00</v>
      </c>
    </row>
    <row r="2834">
      <c r="A2834" s="14" t="str">
        <f>IFERROR(__xludf.DUMMYFUNCTION("""COMPUTED_VALUE"""),"Q-70254-00")</f>
        <v>Q-70254-00</v>
      </c>
      <c r="B2834" s="14" t="str">
        <f>IFERROR(__xludf.DUMMYFUNCTION("""COMPUTED_VALUE"""),"Obeng Ketok/Impact Driver Set; Tekiro; SD-IM0921; 11 pc per set")</f>
        <v>Obeng Ketok/Impact Driver Set; Tekiro; SD-IM0921; 11 pc per set</v>
      </c>
      <c r="C2834" s="14" t="str">
        <f>IFERROR(__xludf.DUMMYFUNCTION("""COMPUTED_VALUE"""),"Q-70254-00")</f>
        <v>Q-70254-00</v>
      </c>
    </row>
    <row r="2835">
      <c r="A2835" s="14" t="str">
        <f>IFERROR(__xludf.DUMMYFUNCTION("""COMPUTED_VALUE"""),"Q-70255-00")</f>
        <v>Q-70255-00</v>
      </c>
      <c r="B2835" s="14" t="str">
        <f>IFERROR(__xludf.DUMMYFUNCTION("""COMPUTED_VALUE"""),"Kunci Sock T 13 mm; Tekiro; WR-TT0237; pc")</f>
        <v>Kunci Sock T 13 mm; Tekiro; WR-TT0237; pc</v>
      </c>
      <c r="C2835" s="14" t="str">
        <f>IFERROR(__xludf.DUMMYFUNCTION("""COMPUTED_VALUE"""),"Q-70255-00")</f>
        <v>Q-70255-00</v>
      </c>
    </row>
    <row r="2836">
      <c r="A2836" s="14" t="str">
        <f>IFERROR(__xludf.DUMMYFUNCTION("""COMPUTED_VALUE"""),"Q-90010-00")</f>
        <v>Q-90010-00</v>
      </c>
      <c r="B2836" s="14" t="str">
        <f>IFERROR(__xludf.DUMMYFUNCTION("""COMPUTED_VALUE"""),"Sendok Semen")</f>
        <v>Sendok Semen</v>
      </c>
      <c r="C2836" s="14" t="str">
        <f>IFERROR(__xludf.DUMMYFUNCTION("""COMPUTED_VALUE"""),"Q-90010-00")</f>
        <v>Q-90010-00</v>
      </c>
    </row>
    <row r="2837">
      <c r="A2837" s="14" t="str">
        <f>IFERROR(__xludf.DUMMYFUNCTION("""COMPUTED_VALUE"""),"Q-90013-00")</f>
        <v>Q-90013-00</v>
      </c>
      <c r="B2837" s="14" t="str">
        <f>IFERROR(__xludf.DUMMYFUNCTION("""COMPUTED_VALUE"""),"Apar CO2")</f>
        <v>Apar CO2</v>
      </c>
      <c r="C2837" s="14" t="str">
        <f>IFERROR(__xludf.DUMMYFUNCTION("""COMPUTED_VALUE"""),"Q-90013-00")</f>
        <v>Q-90013-00</v>
      </c>
    </row>
    <row r="2838">
      <c r="A2838" s="14" t="str">
        <f>IFERROR(__xludf.DUMMYFUNCTION("""COMPUTED_VALUE"""),"Q-90025-00")</f>
        <v>Q-90025-00</v>
      </c>
      <c r="B2838" s="14" t="str">
        <f>IFERROR(__xludf.DUMMYFUNCTION("""COMPUTED_VALUE"""),"SCHINDLER ELEVATOR - PCB SDIC; P/N: 591886; ; ;")</f>
        <v>SCHINDLER ELEVATOR - PCB SDIC; P/N: 591886; ; ;</v>
      </c>
      <c r="C2838" s="14" t="str">
        <f>IFERROR(__xludf.DUMMYFUNCTION("""COMPUTED_VALUE"""),"Q-90025-00")</f>
        <v>Q-90025-00</v>
      </c>
    </row>
    <row r="2839">
      <c r="A2839" s="14" t="str">
        <f>IFERROR(__xludf.DUMMYFUNCTION("""COMPUTED_VALUE"""),"Q-90026-00")</f>
        <v>Q-90026-00</v>
      </c>
      <c r="B2839" s="14" t="str">
        <f>IFERROR(__xludf.DUMMYFUNCTION("""COMPUTED_VALUE"""),"SCHINDLER ELEVATOR - Sensor PHS; Cedes, GLS 126 NT; ; ;")</f>
        <v>SCHINDLER ELEVATOR - Sensor PHS; Cedes, GLS 126 NT; ; ;</v>
      </c>
      <c r="C2839" s="14" t="str">
        <f>IFERROR(__xludf.DUMMYFUNCTION("""COMPUTED_VALUE"""),"Q-90026-00")</f>
        <v>Q-90026-00</v>
      </c>
    </row>
    <row r="2840">
      <c r="A2840" s="14" t="str">
        <f>IFERROR(__xludf.DUMMYFUNCTION("""COMPUTED_VALUE"""),"Q-90767-00")</f>
        <v>Q-90767-00</v>
      </c>
      <c r="B2840" s="14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4" t="str">
        <f>IFERROR(__xludf.DUMMYFUNCTION("""COMPUTED_VALUE"""),"Q-90767-00")</f>
        <v>Q-90767-00</v>
      </c>
    </row>
    <row r="2841">
      <c r="A2841" s="14" t="str">
        <f>IFERROR(__xludf.DUMMYFUNCTION("""COMPUTED_VALUE"""),"R-20023-00")</f>
        <v>R-20023-00</v>
      </c>
      <c r="B2841" s="14" t="str">
        <f>IFERROR(__xludf.DUMMYFUNCTION("""COMPUTED_VALUE"""),"Machine Change Parts; ; ;")</f>
        <v>Machine Change Parts; ; ;</v>
      </c>
      <c r="C2841" s="14" t="str">
        <f>IFERROR(__xludf.DUMMYFUNCTION("""COMPUTED_VALUE"""),"R-20023-00")</f>
        <v>R-20023-00</v>
      </c>
    </row>
    <row r="2842">
      <c r="A2842" s="14" t="str">
        <f>IFERROR(__xludf.DUMMYFUNCTION("""COMPUTED_VALUE"""),"R-22006-00")</f>
        <v>R-22006-00</v>
      </c>
      <c r="B2842" s="14" t="str">
        <f>IFERROR(__xludf.DUMMYFUNCTION("""COMPUTED_VALUE"""),"Racking")</f>
        <v>Racking</v>
      </c>
      <c r="C2842" s="14" t="str">
        <f>IFERROR(__xludf.DUMMYFUNCTION("""COMPUTED_VALUE"""),"R-22006-00")</f>
        <v>R-22006-00</v>
      </c>
    </row>
    <row r="2843">
      <c r="A2843" s="14" t="str">
        <f>IFERROR(__xludf.DUMMYFUNCTION("""COMPUTED_VALUE"""),"S-11400-00")</f>
        <v>S-11400-00</v>
      </c>
      <c r="B2843" s="14" t="str">
        <f>IFERROR(__xludf.DUMMYFUNCTION("""COMPUTED_VALUE"""),"Majun AA, No Brand, Budhi Supplies, pack size per kg")</f>
        <v>Majun AA, No Brand, Budhi Supplies, pack size per kg</v>
      </c>
      <c r="C2843" s="14" t="str">
        <f>IFERROR(__xludf.DUMMYFUNCTION("""COMPUTED_VALUE"""),"S-11400-00")</f>
        <v>S-11400-00</v>
      </c>
    </row>
    <row r="2844">
      <c r="A2844" s="14" t="str">
        <f>IFERROR(__xludf.DUMMYFUNCTION("""COMPUTED_VALUE"""),"S-11816-00")</f>
        <v>S-11816-00</v>
      </c>
      <c r="B2844" s="14" t="str">
        <f>IFERROR(__xludf.DUMMYFUNCTION("""COMPUTED_VALUE"""),"Cable Ties Nylon reusable (Colour Black) Lenght 20cm")</f>
        <v>Cable Ties Nylon reusable (Colour Black) Lenght 20cm</v>
      </c>
      <c r="C2844" s="14" t="str">
        <f>IFERROR(__xludf.DUMMYFUNCTION("""COMPUTED_VALUE"""),"S-11816-00")</f>
        <v>S-11816-00</v>
      </c>
    </row>
    <row r="2845">
      <c r="A2845" s="14" t="str">
        <f>IFERROR(__xludf.DUMMYFUNCTION("""COMPUTED_VALUE"""),"S-11976-00")</f>
        <v>S-11976-00</v>
      </c>
      <c r="B2845" s="14" t="str">
        <f>IFERROR(__xludf.DUMMYFUNCTION("""COMPUTED_VALUE"""),"Selang Hydrant")</f>
        <v>Selang Hydrant</v>
      </c>
      <c r="C2845" s="14" t="str">
        <f>IFERROR(__xludf.DUMMYFUNCTION("""COMPUTED_VALUE"""),"S-11976-00")</f>
        <v>S-11976-00</v>
      </c>
    </row>
    <row r="2846">
      <c r="A2846" s="14" t="str">
        <f>IFERROR(__xludf.DUMMYFUNCTION("""COMPUTED_VALUE"""),"S-20055-00")</f>
        <v>S-20055-00</v>
      </c>
      <c r="B2846" s="14" t="str">
        <f>IFERROR(__xludf.DUMMYFUNCTION("""COMPUTED_VALUE"""),"Safety Gloves; Promaster; pack size 10 pcs per box")</f>
        <v>Safety Gloves; Promaster; pack size 10 pcs per box</v>
      </c>
      <c r="C2846" s="14" t="str">
        <f>IFERROR(__xludf.DUMMYFUNCTION("""COMPUTED_VALUE"""),"S-20055-00")</f>
        <v>S-20055-00</v>
      </c>
    </row>
    <row r="2847">
      <c r="A2847" s="14" t="str">
        <f>IFERROR(__xludf.DUMMYFUNCTION("""COMPUTED_VALUE"""),"S-20105-00")</f>
        <v>S-20105-00</v>
      </c>
      <c r="B2847" s="14" t="str">
        <f>IFERROR(__xludf.DUMMYFUNCTION("""COMPUTED_VALUE"""),"Full Facepiece Reusable Respirator; 3M; 6800 Medium; pc")</f>
        <v>Full Facepiece Reusable Respirator; 3M; 6800 Medium; pc</v>
      </c>
      <c r="C2847" s="14" t="str">
        <f>IFERROR(__xludf.DUMMYFUNCTION("""COMPUTED_VALUE"""),"S-20105-00")</f>
        <v>S-20105-00</v>
      </c>
    </row>
    <row r="2848">
      <c r="A2848" s="14" t="str">
        <f>IFERROR(__xludf.DUMMYFUNCTION("""COMPUTED_VALUE"""),"S-20268-00")</f>
        <v>S-20268-00</v>
      </c>
      <c r="B2848" s="14" t="str">
        <f>IFERROR(__xludf.DUMMYFUNCTION("""COMPUTED_VALUE"""),"Face Shield Head Gear With Clear Visor; KW1000315; ; ;")</f>
        <v>Face Shield Head Gear With Clear Visor; KW1000315; ; ;</v>
      </c>
      <c r="C2848" s="14" t="str">
        <f>IFERROR(__xludf.DUMMYFUNCTION("""COMPUTED_VALUE"""),"S-20268-00")</f>
        <v>S-20268-00</v>
      </c>
    </row>
    <row r="2849">
      <c r="A2849" s="14" t="str">
        <f>IFERROR(__xludf.DUMMYFUNCTION("""COMPUTED_VALUE"""),"S-20499-00")</f>
        <v>S-20499-00</v>
      </c>
      <c r="B2849" s="14" t="str">
        <f>IFERROR(__xludf.DUMMYFUNCTION("""COMPUTED_VALUE"""),"Filter Retainer 501 (Plastik Penutup Prefilter 5N11); 3M; 501; 10 pc/pck")</f>
        <v>Filter Retainer 501 (Plastik Penutup Prefilter 5N11); 3M; 501; 10 pc/pck</v>
      </c>
      <c r="C2849" s="14" t="str">
        <f>IFERROR(__xludf.DUMMYFUNCTION("""COMPUTED_VALUE"""),"S-20499-00")</f>
        <v>S-20499-00</v>
      </c>
    </row>
    <row r="2850">
      <c r="A2850" s="14" t="str">
        <f>IFERROR(__xludf.DUMMYFUNCTION("""COMPUTED_VALUE"""),"S-20669-00")</f>
        <v>S-20669-00</v>
      </c>
      <c r="B2850" s="14" t="str">
        <f>IFERROR(__xludf.DUMMYFUNCTION("""COMPUTED_VALUE"""),"Multi Gas &amp; Vapor Cartridge; 3M; 6006M; pc")</f>
        <v>Multi Gas &amp; Vapor Cartridge; 3M; 6006M; pc</v>
      </c>
      <c r="C2850" s="14" t="str">
        <f>IFERROR(__xludf.DUMMYFUNCTION("""COMPUTED_VALUE"""),"S-20669-00")</f>
        <v>S-20669-00</v>
      </c>
    </row>
    <row r="2851">
      <c r="A2851" s="14" t="str">
        <f>IFERROR(__xludf.DUMMYFUNCTION("""COMPUTED_VALUE"""),"S-40009-00")</f>
        <v>S-40009-00</v>
      </c>
      <c r="B2851" s="14" t="str">
        <f>IFERROR(__xludf.DUMMYFUNCTION("""COMPUTED_VALUE"""),"Battery CR 2032 Maxell")</f>
        <v>Battery CR 2032 Maxell</v>
      </c>
      <c r="C2851" s="14" t="str">
        <f>IFERROR(__xludf.DUMMYFUNCTION("""COMPUTED_VALUE"""),"S-40009-00")</f>
        <v>S-40009-00</v>
      </c>
    </row>
    <row r="2852">
      <c r="A2852" s="14" t="str">
        <f>IFERROR(__xludf.DUMMYFUNCTION("""COMPUTED_VALUE"""),"S-40011-00")</f>
        <v>S-40011-00</v>
      </c>
      <c r="B2852" s="14" t="str">
        <f>IFERROR(__xludf.DUMMYFUNCTION("""COMPUTED_VALUE"""),"Battery Lithium 3,6 V LS 14250, Shaft")</f>
        <v>Battery Lithium 3,6 V LS 14250, Shaft</v>
      </c>
      <c r="C2852" s="14" t="str">
        <f>IFERROR(__xludf.DUMMYFUNCTION("""COMPUTED_VALUE"""),"S-40011-00")</f>
        <v>S-40011-00</v>
      </c>
    </row>
    <row r="2853">
      <c r="A2853" s="14" t="str">
        <f>IFERROR(__xludf.DUMMYFUNCTION("""COMPUTED_VALUE"""),"S-40335-00")</f>
        <v>S-40335-00</v>
      </c>
      <c r="B2853" s="14" t="str">
        <f>IFERROR(__xludf.DUMMYFUNCTION("""COMPUTED_VALUE"""),"Lem Insuflex Insulation; ; ;")</f>
        <v>Lem Insuflex Insulation; ; ;</v>
      </c>
      <c r="C2853" s="14" t="str">
        <f>IFERROR(__xludf.DUMMYFUNCTION("""COMPUTED_VALUE"""),"S-40335-00")</f>
        <v>S-40335-00</v>
      </c>
    </row>
    <row r="2854">
      <c r="A2854" s="14" t="str">
        <f>IFERROR(__xludf.DUMMYFUNCTION("""COMPUTED_VALUE"""),"S-40586-00")</f>
        <v>S-40586-00</v>
      </c>
      <c r="B2854" s="14" t="str">
        <f>IFERROR(__xludf.DUMMYFUNCTION("""COMPUTED_VALUE"""),"Container Box; Claris; ;")</f>
        <v>Container Box; Claris; ;</v>
      </c>
      <c r="C2854" s="14" t="str">
        <f>IFERROR(__xludf.DUMMYFUNCTION("""COMPUTED_VALUE"""),"S-40586-00")</f>
        <v>S-40586-00</v>
      </c>
    </row>
    <row r="2855">
      <c r="A2855" s="14" t="str">
        <f>IFERROR(__xludf.DUMMYFUNCTION("""COMPUTED_VALUE"""),"S-40640-00")</f>
        <v>S-40640-00</v>
      </c>
      <c r="B2855" s="14" t="str">
        <f>IFERROR(__xludf.DUMMYFUNCTION("""COMPUTED_VALUE"""),"Cable Ties, 150 x 3.6 mm; SIGMA; CS 150T; Putih;100 pcs/pack")</f>
        <v>Cable Ties, 150 x 3.6 mm; SIGMA; CS 150T; Putih;100 pcs/pack</v>
      </c>
      <c r="C2855" s="14" t="str">
        <f>IFERROR(__xludf.DUMMYFUNCTION("""COMPUTED_VALUE"""),"S-40640-00")</f>
        <v>S-40640-00</v>
      </c>
    </row>
    <row r="2856">
      <c r="A2856" s="14" t="str">
        <f>IFERROR(__xludf.DUMMYFUNCTION("""COMPUTED_VALUE"""),"S-40645-00")</f>
        <v>S-40645-00</v>
      </c>
      <c r="B2856" s="14" t="str">
        <f>IFERROR(__xludf.DUMMYFUNCTION("""COMPUTED_VALUE"""),"Cable Ties, 200 x 4.8 mm; SIGMA; CS 200L; Putih;100 pcs/pack")</f>
        <v>Cable Ties, 200 x 4.8 mm; SIGMA; CS 200L; Putih;100 pcs/pack</v>
      </c>
      <c r="C2856" s="14" t="str">
        <f>IFERROR(__xludf.DUMMYFUNCTION("""COMPUTED_VALUE"""),"S-40645-00")</f>
        <v>S-40645-00</v>
      </c>
    </row>
    <row r="2857">
      <c r="A2857" s="14" t="str">
        <f>IFERROR(__xludf.DUMMYFUNCTION("""COMPUTED_VALUE"""),"S-40760-00")</f>
        <v>S-40760-00</v>
      </c>
      <c r="B2857" s="14" t="str">
        <f>IFERROR(__xludf.DUMMYFUNCTION("""COMPUTED_VALUE"""),"Dry Fog - Oring Spray; P/N. 43100-097")</f>
        <v>Dry Fog - Oring Spray; P/N. 43100-097</v>
      </c>
      <c r="C2857" s="14" t="str">
        <f>IFERROR(__xludf.DUMMYFUNCTION("""COMPUTED_VALUE"""),"S-40760-00")</f>
        <v>S-40760-00</v>
      </c>
    </row>
    <row r="2858">
      <c r="A2858" s="14" t="str">
        <f>IFERROR(__xludf.DUMMYFUNCTION("""COMPUTED_VALUE"""),"S-40851-00")</f>
        <v>S-40851-00</v>
      </c>
      <c r="B2858" s="14" t="str">
        <f>IFERROR(__xludf.DUMMYFUNCTION("""COMPUTED_VALUE"""),"Flashdisk 4GB; Sandisk; ;")</f>
        <v>Flashdisk 4GB; Sandisk; ;</v>
      </c>
      <c r="C2858" s="14" t="str">
        <f>IFERROR(__xludf.DUMMYFUNCTION("""COMPUTED_VALUE"""),"S-40851-00")</f>
        <v>S-40851-00</v>
      </c>
    </row>
    <row r="2859">
      <c r="A2859" s="14" t="str">
        <f>IFERROR(__xludf.DUMMYFUNCTION("""COMPUTED_VALUE"""),"S-42148-00")</f>
        <v>S-42148-00</v>
      </c>
      <c r="B2859" s="14" t="str">
        <f>IFERROR(__xludf.DUMMYFUNCTION("""COMPUTED_VALUE"""),"Plakban Kuning Size 1""")</f>
        <v>Plakban Kuning Size 1"</v>
      </c>
      <c r="C2859" s="14" t="str">
        <f>IFERROR(__xludf.DUMMYFUNCTION("""COMPUTED_VALUE"""),"S-42148-00")</f>
        <v>S-42148-00</v>
      </c>
    </row>
    <row r="2860">
      <c r="A2860" s="14" t="str">
        <f>IFERROR(__xludf.DUMMYFUNCTION("""COMPUTED_VALUE"""),"S-44000-00")</f>
        <v>S-44000-00</v>
      </c>
      <c r="B2860" s="14" t="str">
        <f>IFERROR(__xludf.DUMMYFUNCTION("""COMPUTED_VALUE"""),"Packing &amp; Other Charges; ; ;")</f>
        <v>Packing &amp; Other Charges; ; ;</v>
      </c>
      <c r="C2860" s="14" t="str">
        <f>IFERROR(__xludf.DUMMYFUNCTION("""COMPUTED_VALUE"""),"S-44000-00")</f>
        <v>S-44000-00</v>
      </c>
    </row>
    <row r="2861">
      <c r="A2861" s="14" t="str">
        <f>IFERROR(__xludf.DUMMYFUNCTION("""COMPUTED_VALUE"""),"S-46129-00")</f>
        <v>S-46129-00</v>
      </c>
      <c r="B2861" s="14" t="str">
        <f>IFERROR(__xludf.DUMMYFUNCTION("""COMPUTED_VALUE"""),"Plastik Wrap Roll,  Size 50 x 200 cm x 17 micron")</f>
        <v>Plastik Wrap Roll,  Size 50 x 200 cm x 17 micron</v>
      </c>
      <c r="C2861" s="14" t="str">
        <f>IFERROR(__xludf.DUMMYFUNCTION("""COMPUTED_VALUE"""),"S-46129-00")</f>
        <v>S-46129-00</v>
      </c>
    </row>
    <row r="2862">
      <c r="A2862" s="14" t="str">
        <f>IFERROR(__xludf.DUMMYFUNCTION("""COMPUTED_VALUE"""),"S-46149-00")</f>
        <v>S-46149-00</v>
      </c>
      <c r="B2862" s="14" t="str">
        <f>IFERROR(__xludf.DUMMYFUNCTION("""COMPUTED_VALUE"""),"Plastik PE Murni Polos 75 cmx100cmx 0.08mm; No Brand; ; pack size per kg")</f>
        <v>Plastik PE Murni Polos 75 cmx100cmx 0.08mm; No Brand; ; pack size per kg</v>
      </c>
      <c r="C2862" s="14" t="str">
        <f>IFERROR(__xludf.DUMMYFUNCTION("""COMPUTED_VALUE"""),"S-46149-00")</f>
        <v>S-46149-00</v>
      </c>
    </row>
    <row r="2863">
      <c r="A2863" s="14" t="str">
        <f>IFERROR(__xludf.DUMMYFUNCTION("""COMPUTED_VALUE"""),"S-46525-00")</f>
        <v>S-46525-00</v>
      </c>
      <c r="B2863" s="14" t="str">
        <f>IFERROR(__xludf.DUMMYFUNCTION("""COMPUTED_VALUE"""),"Jolly Box ; JX-3 No. 300; Lion Star; ;")</f>
        <v>Jolly Box ; JX-3 No. 300; Lion Star; ;</v>
      </c>
      <c r="C2863" s="14" t="str">
        <f>IFERROR(__xludf.DUMMYFUNCTION("""COMPUTED_VALUE"""),"S-46525-00")</f>
        <v>S-46525-00</v>
      </c>
    </row>
    <row r="2864">
      <c r="A2864" s="14" t="str">
        <f>IFERROR(__xludf.DUMMYFUNCTION("""COMPUTED_VALUE"""),"S-46550-00")</f>
        <v>S-46550-00</v>
      </c>
      <c r="B2864" s="14" t="str">
        <f>IFERROR(__xludf.DUMMYFUNCTION("""COMPUTED_VALUE"""),"Ladder with Cushion Foam 4 Step BLKYS2462P; Krisbow; 294499;")</f>
        <v>Ladder with Cushion Foam 4 Step BLKYS2462P; Krisbow; 294499;</v>
      </c>
      <c r="C2864" s="14" t="str">
        <f>IFERROR(__xludf.DUMMYFUNCTION("""COMPUTED_VALUE"""),"S-46550-00")</f>
        <v>S-46550-00</v>
      </c>
    </row>
    <row r="2865">
      <c r="A2865" s="14" t="str">
        <f>IFERROR(__xludf.DUMMYFUNCTION("""COMPUTED_VALUE"""),"S-50264-00")</f>
        <v>S-50264-00</v>
      </c>
      <c r="B2865" s="14" t="str">
        <f>IFERROR(__xludf.DUMMYFUNCTION("""COMPUTED_VALUE"""),"Gelas Ukur 1000 ml Class A ; Brand : Iwaki ; CN : 3022-1000-N")</f>
        <v>Gelas Ukur 1000 ml Class A ; Brand : Iwaki ; CN : 3022-1000-N</v>
      </c>
      <c r="C2865" s="14" t="str">
        <f>IFERROR(__xludf.DUMMYFUNCTION("""COMPUTED_VALUE"""),"S-50264-00")</f>
        <v>S-50264-00</v>
      </c>
    </row>
    <row r="2866">
      <c r="A2866" s="14" t="str">
        <f>IFERROR(__xludf.DUMMYFUNCTION("""COMPUTED_VALUE"""),"S-50953-00")</f>
        <v>S-50953-00</v>
      </c>
      <c r="B2866" s="14" t="str">
        <f>IFERROR(__xludf.DUMMYFUNCTION("""COMPUTED_VALUE"""),"Silica Gel curah; ; ; pck")</f>
        <v>Silica Gel curah; ; ; pck</v>
      </c>
      <c r="C2866" s="14" t="str">
        <f>IFERROR(__xludf.DUMMYFUNCTION("""COMPUTED_VALUE"""),"S-50953-00")</f>
        <v>S-50953-00</v>
      </c>
    </row>
    <row r="2867">
      <c r="A2867" s="14" t="str">
        <f>IFERROR(__xludf.DUMMYFUNCTION("""COMPUTED_VALUE"""),"S-51937-00")</f>
        <v>S-51937-00</v>
      </c>
      <c r="B2867" s="14" t="str">
        <f>IFERROR(__xludf.DUMMYFUNCTION("""COMPUTED_VALUE"""),"Lid for Desicator, with Stopcock, dor ID 200mm; Normax; 4906324; pieces")</f>
        <v>Lid for Desicator, with Stopcock, dor ID 200mm; Normax; 4906324; pieces</v>
      </c>
      <c r="C2867" s="14" t="str">
        <f>IFERROR(__xludf.DUMMYFUNCTION("""COMPUTED_VALUE"""),"S-51937-00")</f>
        <v>S-51937-00</v>
      </c>
    </row>
    <row r="2868">
      <c r="A2868" s="14" t="str">
        <f>IFERROR(__xludf.DUMMYFUNCTION("""COMPUTED_VALUE"""),"S-62005-00")</f>
        <v>S-62005-00</v>
      </c>
      <c r="B2868" s="14" t="str">
        <f>IFERROR(__xludf.DUMMYFUNCTION("""COMPUTED_VALUE"""),"Gas Oksigen (O2) ; 6 M3; Refill; Industrial Grade; Purity ? 99.95%")</f>
        <v>Gas Oksigen (O2) ; 6 M3; Refill; Industrial Grade; Purity ? 99.95%</v>
      </c>
      <c r="C2868" s="14" t="str">
        <f>IFERROR(__xludf.DUMMYFUNCTION("""COMPUTED_VALUE"""),"S-62005-00")</f>
        <v>S-62005-00</v>
      </c>
    </row>
    <row r="2869">
      <c r="A2869" s="14" t="str">
        <f>IFERROR(__xludf.DUMMYFUNCTION("""COMPUTED_VALUE"""),"S-62027-00")</f>
        <v>S-62027-00</v>
      </c>
      <c r="B2869" s="14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4" t="str">
        <f>IFERROR(__xludf.DUMMYFUNCTION("""COMPUTED_VALUE"""),"S-62027-00")</f>
        <v>S-62027-00</v>
      </c>
    </row>
    <row r="2870">
      <c r="A2870" s="14" t="str">
        <f>IFERROR(__xludf.DUMMYFUNCTION("""COMPUTED_VALUE"""),"S-62027-00")</f>
        <v>S-62027-00</v>
      </c>
      <c r="B2870" s="14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4" t="str">
        <f>IFERROR(__xludf.DUMMYFUNCTION("""COMPUTED_VALUE"""),"S-62027-00")</f>
        <v>S-62027-00</v>
      </c>
    </row>
    <row r="2871">
      <c r="A2871" s="14" t="str">
        <f>IFERROR(__xludf.DUMMYFUNCTION("""COMPUTED_VALUE"""),"S-62032-00")</f>
        <v>S-62032-00</v>
      </c>
      <c r="B2871" s="14" t="str">
        <f>IFERROR(__xludf.DUMMYFUNCTION("""COMPUTED_VALUE"""),"Gas Argon (Ar); 1.5 M3; Refill;  Industrial Grade; Purity ? 99.95%")</f>
        <v>Gas Argon (Ar); 1.5 M3; Refill;  Industrial Grade; Purity ? 99.95%</v>
      </c>
      <c r="C2871" s="14" t="str">
        <f>IFERROR(__xludf.DUMMYFUNCTION("""COMPUTED_VALUE"""),"S-62032-00")</f>
        <v>S-62032-00</v>
      </c>
    </row>
    <row r="2872">
      <c r="A2872" s="14" t="str">
        <f>IFERROR(__xludf.DUMMYFUNCTION("""COMPUTED_VALUE"""),"S-62036-00")</f>
        <v>S-62036-00</v>
      </c>
      <c r="B2872" s="14" t="str">
        <f>IFERROR(__xludf.DUMMYFUNCTION("""COMPUTED_VALUE"""),"Gas Argon (Ar); 6 M3; Refill; High Purity (HP); Purity ? 99.995%")</f>
        <v>Gas Argon (Ar); 6 M3; Refill; High Purity (HP); Purity ? 99.995%</v>
      </c>
      <c r="C2872" s="14" t="str">
        <f>IFERROR(__xludf.DUMMYFUNCTION("""COMPUTED_VALUE"""),"S-62036-00")</f>
        <v>S-62036-00</v>
      </c>
    </row>
    <row r="2873">
      <c r="A2873" s="14" t="str">
        <f>IFERROR(__xludf.DUMMYFUNCTION("""COMPUTED_VALUE"""),"S-62052-00")</f>
        <v>S-62052-00</v>
      </c>
      <c r="B2873" s="14" t="str">
        <f>IFERROR(__xludf.DUMMYFUNCTION("""COMPUTED_VALUE"""),"Gas Acetylene (C2H2), Industrial Grade, 2kg; ; ;")</f>
        <v>Gas Acetylene (C2H2), Industrial Grade, 2kg; ; ;</v>
      </c>
      <c r="C2873" s="14" t="str">
        <f>IFERROR(__xludf.DUMMYFUNCTION("""COMPUTED_VALUE"""),"S-62052-00")</f>
        <v>S-62052-00</v>
      </c>
    </row>
    <row r="2874">
      <c r="A2874" s="14" t="str">
        <f>IFERROR(__xludf.DUMMYFUNCTION("""COMPUTED_VALUE"""),"S-62063-00")</f>
        <v>S-62063-00</v>
      </c>
      <c r="B2874" s="14" t="str">
        <f>IFERROR(__xludf.DUMMYFUNCTION("""COMPUTED_VALUE"""),"General - Helium Gas + Cylinder 1m3; No Brand; -; pcs")</f>
        <v>General - Helium Gas + Cylinder 1m3; No Brand; -; pcs</v>
      </c>
      <c r="C2874" s="14" t="str">
        <f>IFERROR(__xludf.DUMMYFUNCTION("""COMPUTED_VALUE"""),"S-62063-00")</f>
        <v>S-62063-00</v>
      </c>
    </row>
    <row r="2875">
      <c r="A2875" s="14" t="str">
        <f>IFERROR(__xludf.DUMMYFUNCTION("""COMPUTED_VALUE"""),"S-63035-00")</f>
        <v>S-63035-00</v>
      </c>
      <c r="B2875" s="14" t="str">
        <f>IFERROR(__xludf.DUMMYFUNCTION("""COMPUTED_VALUE"""),"Cover Penutup Saklar")</f>
        <v>Cover Penutup Saklar</v>
      </c>
      <c r="C2875" s="14" t="str">
        <f>IFERROR(__xludf.DUMMYFUNCTION("""COMPUTED_VALUE"""),"S-63035-00")</f>
        <v>S-63035-00</v>
      </c>
    </row>
    <row r="2876">
      <c r="A2876" s="14" t="str">
        <f>IFERROR(__xludf.DUMMYFUNCTION("""COMPUTED_VALUE"""),"T-10000-00")</f>
        <v>T-10000-00</v>
      </c>
      <c r="B2876" s="14" t="str">
        <f>IFERROR(__xludf.DUMMYFUNCTION("""COMPUTED_VALUE"""),"Motherboard Lenovo IS6XM Rev1.0")</f>
        <v>Motherboard Lenovo IS6XM Rev1.0</v>
      </c>
      <c r="C2876" s="14" t="str">
        <f>IFERROR(__xludf.DUMMYFUNCTION("""COMPUTED_VALUE"""),"T-10000-00")</f>
        <v>T-10000-00</v>
      </c>
    </row>
    <row r="2877">
      <c r="A2877" s="14" t="str">
        <f>IFERROR(__xludf.DUMMYFUNCTION("""COMPUTED_VALUE"""),"T-10005-00")</f>
        <v>T-10005-00</v>
      </c>
      <c r="B2877" s="14" t="str">
        <f>IFERROR(__xludf.DUMMYFUNCTION("""COMPUTED_VALUE"""),"Mouse; Logitech; M331 Silent Plus")</f>
        <v>Mouse; Logitech; M331 Silent Plus</v>
      </c>
      <c r="C2877" s="14" t="str">
        <f>IFERROR(__xludf.DUMMYFUNCTION("""COMPUTED_VALUE"""),"T-10005-00")</f>
        <v>T-10005-00</v>
      </c>
    </row>
    <row r="2878">
      <c r="A2878" s="14" t="str">
        <f>IFERROR(__xludf.DUMMYFUNCTION("""COMPUTED_VALUE"""),"T-10087-00")</f>
        <v>T-10087-00</v>
      </c>
      <c r="B2878" s="14" t="str">
        <f>IFERROR(__xludf.DUMMYFUNCTION("""COMPUTED_VALUE"""),"HDD Internal PC 500 GB")</f>
        <v>HDD Internal PC 500 GB</v>
      </c>
      <c r="C2878" s="14" t="str">
        <f>IFERROR(__xludf.DUMMYFUNCTION("""COMPUTED_VALUE"""),"T-10087-00")</f>
        <v>T-10087-00</v>
      </c>
    </row>
    <row r="2879">
      <c r="A2879" s="14" t="str">
        <f>IFERROR(__xludf.DUMMYFUNCTION("""COMPUTED_VALUE"""),"T-12000-00")</f>
        <v>T-12000-00</v>
      </c>
      <c r="B2879" s="14" t="str">
        <f>IFERROR(__xludf.DUMMYFUNCTION("""COMPUTED_VALUE"""),"HDD Internal - 4TB SATA Seagate SKYHAWK Surveilance 3.5 inch")</f>
        <v>HDD Internal - 4TB SATA Seagate SKYHAWK Surveilance 3.5 inch</v>
      </c>
      <c r="C2879" s="14" t="str">
        <f>IFERROR(__xludf.DUMMYFUNCTION("""COMPUTED_VALUE"""),"T-12000-00")</f>
        <v>T-12000-00</v>
      </c>
    </row>
    <row r="2880">
      <c r="A2880" s="14" t="str">
        <f>IFERROR(__xludf.DUMMYFUNCTION("""COMPUTED_VALUE"""),"T-12025-00")</f>
        <v>T-12025-00</v>
      </c>
      <c r="B2880" s="14" t="str">
        <f>IFERROR(__xludf.DUMMYFUNCTION("""COMPUTED_VALUE"""),"HDD Internal Notebook 500 GB Seagate")</f>
        <v>HDD Internal Notebook 500 GB Seagate</v>
      </c>
      <c r="C2880" s="14" t="str">
        <f>IFERROR(__xludf.DUMMYFUNCTION("""COMPUTED_VALUE"""),"T-12025-00")</f>
        <v>T-12025-00</v>
      </c>
    </row>
    <row r="2881">
      <c r="A2881" s="14" t="str">
        <f>IFERROR(__xludf.DUMMYFUNCTION("""COMPUTED_VALUE"""),"T-12045-00")</f>
        <v>T-12045-00</v>
      </c>
      <c r="B2881" s="14" t="str">
        <f>IFERROR(__xludf.DUMMYFUNCTION("""COMPUTED_VALUE"""),"Hard disk Desktop Internal Seagate 1TB SATA; Seagate; ;")</f>
        <v>Hard disk Desktop Internal Seagate 1TB SATA; Seagate; ;</v>
      </c>
      <c r="C2881" s="14" t="str">
        <f>IFERROR(__xludf.DUMMYFUNCTION("""COMPUTED_VALUE"""),"T-12045-00")</f>
        <v>T-12045-00</v>
      </c>
    </row>
    <row r="2882">
      <c r="A2882" s="14" t="str">
        <f>IFERROR(__xludf.DUMMYFUNCTION("""COMPUTED_VALUE"""),"T-12078-00")</f>
        <v>T-12078-00</v>
      </c>
      <c r="B2882" s="14" t="str">
        <f>IFERROR(__xludf.DUMMYFUNCTION("""COMPUTED_VALUE"""),"Belden RJ45 Connector CAT6/Kon")</f>
        <v>Belden RJ45 Connector CAT6/Kon</v>
      </c>
      <c r="C2882" s="14" t="str">
        <f>IFERROR(__xludf.DUMMYFUNCTION("""COMPUTED_VALUE"""),"T-12078-00")</f>
        <v>T-12078-00</v>
      </c>
    </row>
    <row r="2883">
      <c r="A2883" s="14" t="str">
        <f>IFERROR(__xludf.DUMMYFUNCTION("""COMPUTED_VALUE"""),"T-12097-00")</f>
        <v>T-12097-00</v>
      </c>
      <c r="B2883" s="14" t="str">
        <f>IFERROR(__xludf.DUMMYFUNCTION("""COMPUTED_VALUE"""),"SSD VGEN 128GB 2.5"" SATA; ; ;")</f>
        <v>SSD VGEN 128GB 2.5" SATA; ; ;</v>
      </c>
      <c r="C2883" s="14" t="str">
        <f>IFERROR(__xludf.DUMMYFUNCTION("""COMPUTED_VALUE"""),"T-12097-00")</f>
        <v>T-12097-00</v>
      </c>
    </row>
    <row r="2884">
      <c r="A2884" s="14" t="str">
        <f>IFERROR(__xludf.DUMMYFUNCTION("""COMPUTED_VALUE"""),"T-12099-00")</f>
        <v>T-12099-00</v>
      </c>
      <c r="B2884" s="14" t="str">
        <f>IFERROR(__xludf.DUMMYFUNCTION("""COMPUTED_VALUE"""),"Seagate BarraCuda Harddisk Internal PC 500GB SATA; ; ;")</f>
        <v>Seagate BarraCuda Harddisk Internal PC 500GB SATA; ; ;</v>
      </c>
      <c r="C2884" s="14" t="str">
        <f>IFERROR(__xludf.DUMMYFUNCTION("""COMPUTED_VALUE"""),"T-12099-00")</f>
        <v>T-12099-00</v>
      </c>
    </row>
    <row r="2885">
      <c r="A2885" s="14" t="str">
        <f>IFERROR(__xludf.DUMMYFUNCTION("""COMPUTED_VALUE"""),"T-12105-00")</f>
        <v>T-12105-00</v>
      </c>
      <c r="B2885" s="14" t="str">
        <f>IFERROR(__xludf.DUMMYFUNCTION("""COMPUTED_VALUE"""),"SSD SP 256GB 2.5 Inch SATA")</f>
        <v>SSD SP 256GB 2.5 Inch SATA</v>
      </c>
      <c r="C2885" s="14" t="str">
        <f>IFERROR(__xludf.DUMMYFUNCTION("""COMPUTED_VALUE"""),"T-12105-00")</f>
        <v>T-12105-00</v>
      </c>
    </row>
    <row r="2886">
      <c r="A2886" s="14" t="str">
        <f>IFERROR(__xludf.DUMMYFUNCTION("""COMPUTED_VALUE"""),"T-12106-00")</f>
        <v>T-12106-00</v>
      </c>
      <c r="B2886" s="14" t="str">
        <f>IFERROR(__xludf.DUMMYFUNCTION("""COMPUTED_VALUE"""),"HDD Internal 6 TB WD Purple")</f>
        <v>HDD Internal 6 TB WD Purple</v>
      </c>
      <c r="C2886" s="14" t="str">
        <f>IFERROR(__xludf.DUMMYFUNCTION("""COMPUTED_VALUE"""),"T-12106-00")</f>
        <v>T-12106-00</v>
      </c>
    </row>
    <row r="2887">
      <c r="A2887" s="14" t="str">
        <f>IFERROR(__xludf.DUMMYFUNCTION("""COMPUTED_VALUE"""),"T-12185-00")</f>
        <v>T-12185-00</v>
      </c>
      <c r="B2887" s="14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4" t="str">
        <f>IFERROR(__xludf.DUMMYFUNCTION("""COMPUTED_VALUE"""),"T-12185-00")</f>
        <v>T-12185-00</v>
      </c>
    </row>
    <row r="2888">
      <c r="A2888" s="14" t="str">
        <f>IFERROR(__xludf.DUMMYFUNCTION("""COMPUTED_VALUE"""),"T-12200-00")</f>
        <v>T-12200-00</v>
      </c>
      <c r="B2888" s="14" t="str">
        <f>IFERROR(__xludf.DUMMYFUNCTION("""COMPUTED_VALUE"""),"WD BLUE SSD 500GB 3D NAND SATA SSD; ; ;")</f>
        <v>WD BLUE SSD 500GB 3D NAND SATA SSD; ; ;</v>
      </c>
      <c r="C2888" s="14" t="str">
        <f>IFERROR(__xludf.DUMMYFUNCTION("""COMPUTED_VALUE"""),"T-12200-00")</f>
        <v>T-12200-00</v>
      </c>
    </row>
    <row r="2889">
      <c r="A2889" s="14" t="str">
        <f>IFERROR(__xludf.DUMMYFUNCTION("""COMPUTED_VALUE"""),"T-12204-00")</f>
        <v>T-12204-00</v>
      </c>
      <c r="B2889" s="14" t="str">
        <f>IFERROR(__xludf.DUMMYFUNCTION("""COMPUTED_VALUE"""),"Keyboard Wireless K270 Logitech; ; ;")</f>
        <v>Keyboard Wireless K270 Logitech; ; ;</v>
      </c>
      <c r="C2889" s="14" t="str">
        <f>IFERROR(__xludf.DUMMYFUNCTION("""COMPUTED_VALUE"""),"T-12204-00")</f>
        <v>T-12204-00</v>
      </c>
    </row>
    <row r="2890">
      <c r="A2890" s="14" t="str">
        <f>IFERROR(__xludf.DUMMYFUNCTION("""COMPUTED_VALUE"""),"T-12225-00")</f>
        <v>T-12225-00</v>
      </c>
      <c r="B2890" s="14" t="str">
        <f>IFERROR(__xludf.DUMMYFUNCTION("""COMPUTED_VALUE"""),"SSD 1TB WD Blue SA510 1,5 Inch; SATA; ;")</f>
        <v>SSD 1TB WD Blue SA510 1,5 Inch; SATA; ;</v>
      </c>
      <c r="C2890" s="14" t="str">
        <f>IFERROR(__xludf.DUMMYFUNCTION("""COMPUTED_VALUE"""),"T-12225-00")</f>
        <v>T-12225-00</v>
      </c>
    </row>
    <row r="2891">
      <c r="A2891" s="14" t="str">
        <f>IFERROR(__xludf.DUMMYFUNCTION("""COMPUTED_VALUE"""),"T-12277-00")</f>
        <v>T-12277-00</v>
      </c>
      <c r="B2891" s="14" t="str">
        <f>IFERROR(__xludf.DUMMYFUNCTION("""COMPUTED_VALUE"""),"Seagate One Touch 5TB External Hardisk; ; ;")</f>
        <v>Seagate One Touch 5TB External Hardisk; ; ;</v>
      </c>
      <c r="C2891" s="14" t="str">
        <f>IFERROR(__xludf.DUMMYFUNCTION("""COMPUTED_VALUE"""),"T-12277-00")</f>
        <v>T-12277-00</v>
      </c>
    </row>
    <row r="2892">
      <c r="A2892" s="14" t="str">
        <f>IFERROR(__xludf.DUMMYFUNCTION("""COMPUTED_VALUE"""),"T-12301-00")</f>
        <v>T-12301-00</v>
      </c>
      <c r="B2892" s="14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4" t="str">
        <f>IFERROR(__xludf.DUMMYFUNCTION("""COMPUTED_VALUE"""),"T-12301-00")</f>
        <v>T-12301-00</v>
      </c>
    </row>
    <row r="2893">
      <c r="A2893" s="14" t="str">
        <f>IFERROR(__xludf.DUMMYFUNCTION("""COMPUTED_VALUE"""),"T-12311-00")</f>
        <v>T-12311-00</v>
      </c>
      <c r="B2893" s="14" t="str">
        <f>IFERROR(__xludf.DUMMYFUNCTION("""COMPUTED_VALUE"""),"Thermal Paste for Processor/CPU; ; ;")</f>
        <v>Thermal Paste for Processor/CPU; ; ;</v>
      </c>
      <c r="C2893" s="14" t="str">
        <f>IFERROR(__xludf.DUMMYFUNCTION("""COMPUTED_VALUE"""),"T-12311-00")</f>
        <v>T-12311-00</v>
      </c>
    </row>
    <row r="2894">
      <c r="A2894" s="14" t="str">
        <f>IFERROR(__xludf.DUMMYFUNCTION("""COMPUTED_VALUE"""),"T-12314-00")</f>
        <v>T-12314-00</v>
      </c>
      <c r="B2894" s="14" t="str">
        <f>IFERROR(__xludf.DUMMYFUNCTION("""COMPUTED_VALUE"""),"Converter USB to RS232 UC232A; ; ;")</f>
        <v>Converter USB to RS232 UC232A; ; ;</v>
      </c>
      <c r="C2894" s="14" t="str">
        <f>IFERROR(__xludf.DUMMYFUNCTION("""COMPUTED_VALUE"""),"T-12314-00")</f>
        <v>T-12314-00</v>
      </c>
    </row>
    <row r="2895">
      <c r="A2895" s="14" t="str">
        <f>IFERROR(__xludf.DUMMYFUNCTION("""COMPUTED_VALUE"""),"T-12348-00")</f>
        <v>T-12348-00</v>
      </c>
      <c r="B2895" s="14" t="str">
        <f>IFERROR(__xludf.DUMMYFUNCTION("""COMPUTED_VALUE"""),"Kabel Power CPU Cord 1,5m; ; ;")</f>
        <v>Kabel Power CPU Cord 1,5m; ; ;</v>
      </c>
      <c r="C2895" s="14" t="str">
        <f>IFERROR(__xludf.DUMMYFUNCTION("""COMPUTED_VALUE"""),"T-12348-00")</f>
        <v>T-12348-00</v>
      </c>
    </row>
    <row r="2896">
      <c r="A2896" s="14" t="str">
        <f>IFERROR(__xludf.DUMMYFUNCTION("""COMPUTED_VALUE"""),"T-12352-00")</f>
        <v>T-12352-00</v>
      </c>
      <c r="B2896" s="14" t="str">
        <f>IFERROR(__xludf.DUMMYFUNCTION("""COMPUTED_VALUE"""),"Adapter converter LAN to Type C with Ethernet; UGREEN; ;")</f>
        <v>Adapter converter LAN to Type C with Ethernet; UGREEN; ;</v>
      </c>
      <c r="C2896" s="14" t="str">
        <f>IFERROR(__xludf.DUMMYFUNCTION("""COMPUTED_VALUE"""),"T-12352-00")</f>
        <v>T-12352-00</v>
      </c>
    </row>
    <row r="2897">
      <c r="A2897" s="14" t="str">
        <f>IFERROR(__xludf.DUMMYFUNCTION("""COMPUTED_VALUE"""),"T-20002-00")</f>
        <v>T-20002-00</v>
      </c>
      <c r="B2897" s="14" t="str">
        <f>IFERROR(__xludf.DUMMYFUNCTION("""COMPUTED_VALUE"""),"Jasa Perbaikan Alat Lab - Perbaikan Timbangan Lab")</f>
        <v>Jasa Perbaikan Alat Lab - Perbaikan Timbangan Lab</v>
      </c>
      <c r="C2897" s="14" t="str">
        <f>IFERROR(__xludf.DUMMYFUNCTION("""COMPUTED_VALUE"""),"T-20002-00")</f>
        <v>T-20002-00</v>
      </c>
    </row>
    <row r="2898">
      <c r="A2898" s="14" t="str">
        <f>IFERROR(__xludf.DUMMYFUNCTION("""COMPUTED_VALUE"""),"T-20041-00")</f>
        <v>T-20041-00</v>
      </c>
      <c r="B2898" s="14" t="str">
        <f>IFERROR(__xludf.DUMMYFUNCTION("""COMPUTED_VALUE"""),"Fitting SS; WATERS; c/n WAT025604; 5pc per pack")</f>
        <v>Fitting SS; WATERS; c/n WAT025604; 5pc per pack</v>
      </c>
      <c r="C2898" s="14" t="str">
        <f>IFERROR(__xludf.DUMMYFUNCTION("""COMPUTED_VALUE"""),"T-20041-00")</f>
        <v>T-20041-00</v>
      </c>
    </row>
    <row r="2899">
      <c r="A2899" s="14" t="str">
        <f>IFERROR(__xludf.DUMMYFUNCTION("""COMPUTED_VALUE"""),"T-20044-00")</f>
        <v>T-20044-00</v>
      </c>
      <c r="B2899" s="14" t="str">
        <f>IFERROR(__xludf.DUMMYFUNCTION("""COMPUTED_VALUE"""),"PEEK Tough Connector GL Sciences c/n 6010-48600 5 pcs per pack")</f>
        <v>PEEK Tough Connector GL Sciences c/n 6010-48600 5 pcs per pack</v>
      </c>
      <c r="C2899" s="14" t="str">
        <f>IFERROR(__xludf.DUMMYFUNCTION("""COMPUTED_VALUE"""),"T-20044-00")</f>
        <v>T-20044-00</v>
      </c>
    </row>
    <row r="2900">
      <c r="A2900" s="14" t="str">
        <f>IFERROR(__xludf.DUMMYFUNCTION("""COMPUTED_VALUE"""),"T-20055-00")</f>
        <v>T-20055-00</v>
      </c>
      <c r="B2900" s="14" t="str">
        <f>IFERROR(__xludf.DUMMYFUNCTION("""COMPUTED_VALUE"""),"PerformancePlus Check Valve Cartridge; Waters; p/n 700002399;")</f>
        <v>PerformancePlus Check Valve Cartridge; Waters; p/n 700002399;</v>
      </c>
      <c r="C2900" s="14" t="str">
        <f>IFERROR(__xludf.DUMMYFUNCTION("""COMPUTED_VALUE"""),"T-20055-00")</f>
        <v>T-20055-00</v>
      </c>
    </row>
    <row r="2901">
      <c r="A2901" s="14" t="str">
        <f>IFERROR(__xludf.DUMMYFUNCTION("""COMPUTED_VALUE"""),"T-20100-00")</f>
        <v>T-20100-00</v>
      </c>
      <c r="B2901" s="14" t="str">
        <f>IFERROR(__xludf.DUMMYFUNCTION("""COMPUTED_VALUE"""),"900 UV LAMP-SIEVERS 900 TOC part; SIEVERS 900; ;")</f>
        <v>900 UV LAMP-SIEVERS 900 TOC part; SIEVERS 900; ;</v>
      </c>
      <c r="C2901" s="14" t="str">
        <f>IFERROR(__xludf.DUMMYFUNCTION("""COMPUTED_VALUE"""),"T-20100-00")</f>
        <v>T-20100-00</v>
      </c>
    </row>
    <row r="2902">
      <c r="A2902" s="14" t="str">
        <f>IFERROR(__xludf.DUMMYFUNCTION("""COMPUTED_VALUE"""),"T-20105-00")</f>
        <v>T-20105-00</v>
      </c>
      <c r="B2902" s="14" t="str">
        <f>IFERROR(__xludf.DUMMYFUNCTION("""COMPUTED_VALUE"""),"900 Resin Bed for TOC Sievers; ; ;")</f>
        <v>900 Resin Bed for TOC Sievers; ; ;</v>
      </c>
      <c r="C2902" s="14" t="str">
        <f>IFERROR(__xludf.DUMMYFUNCTION("""COMPUTED_VALUE"""),"T-20105-00")</f>
        <v>T-20105-00</v>
      </c>
    </row>
    <row r="2903">
      <c r="A2903" s="14" t="str">
        <f>IFERROR(__xludf.DUMMYFUNCTION("""COMPUTED_VALUE"""),"T-20112-00")</f>
        <v>T-20112-00</v>
      </c>
      <c r="B2903" s="14" t="str">
        <f>IFERROR(__xludf.DUMMYFUNCTION("""COMPUTED_VALUE"""),"900 Sample pump tubing; Sievers; P/N CATU 96200; 1 pc")</f>
        <v>900 Sample pump tubing; Sievers; P/N CATU 96200; 1 pc</v>
      </c>
      <c r="C2903" s="14" t="str">
        <f>IFERROR(__xludf.DUMMYFUNCTION("""COMPUTED_VALUE"""),"T-20112-00")</f>
        <v>T-20112-00</v>
      </c>
    </row>
    <row r="2904">
      <c r="A2904" s="14" t="str">
        <f>IFERROR(__xludf.DUMMYFUNCTION("""COMPUTED_VALUE"""),"T-20113-00")</f>
        <v>T-20113-00</v>
      </c>
      <c r="B2904" s="14" t="str">
        <f>IFERROR(__xludf.DUMMYFUNCTION("""COMPUTED_VALUE"""),"900 UV lamp; Sievers; P/N CARK35010-01; 1 pc")</f>
        <v>900 UV lamp; Sievers; P/N CARK35010-01; 1 pc</v>
      </c>
      <c r="C2904" s="14" t="str">
        <f>IFERROR(__xludf.DUMMYFUNCTION("""COMPUTED_VALUE"""),"T-20113-00")</f>
        <v>T-20113-00</v>
      </c>
    </row>
    <row r="2905">
      <c r="A2905" s="14" t="str">
        <f>IFERROR(__xludf.DUMMYFUNCTION("""COMPUTED_VALUE"""),"T-20118-00")</f>
        <v>T-20118-00</v>
      </c>
      <c r="B2905" s="14" t="str">
        <f>IFERROR(__xludf.DUMMYFUNCTION("""COMPUTED_VALUE"""),"FILTER INSERT ASSY; Waters; P/N WAT088084; 1 pc")</f>
        <v>FILTER INSERT ASSY; Waters; P/N WAT088084; 1 pc</v>
      </c>
      <c r="C2905" s="14" t="str">
        <f>IFERROR(__xludf.DUMMYFUNCTION("""COMPUTED_VALUE"""),"T-20118-00")</f>
        <v>T-20118-00</v>
      </c>
    </row>
    <row r="2906">
      <c r="A2906" s="14" t="str">
        <f>IFERROR(__xludf.DUMMYFUNCTION("""COMPUTED_VALUE"""),"T-20123-00")</f>
        <v>T-20123-00</v>
      </c>
      <c r="B2906" s="14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4" t="str">
        <f>IFERROR(__xludf.DUMMYFUNCTION("""COMPUTED_VALUE"""),"T-20123-00")</f>
        <v>T-20123-00</v>
      </c>
    </row>
    <row r="2907">
      <c r="A2907" s="14" t="str">
        <f>IFERROR(__xludf.DUMMYFUNCTION("""COMPUTED_VALUE"""),"T-20127-00")</f>
        <v>T-20127-00</v>
      </c>
      <c r="B2907" s="14" t="str">
        <f>IFERROR(__xludf.DUMMYFUNCTION("""COMPUTED_VALUE"""),"High Pressure Motorized Valve Rebuild Kit Waters P/N : WAT045424")</f>
        <v>High Pressure Motorized Valve Rebuild Kit Waters P/N : WAT045424</v>
      </c>
      <c r="C2907" s="14" t="str">
        <f>IFERROR(__xludf.DUMMYFUNCTION("""COMPUTED_VALUE"""),"T-20127-00")</f>
        <v>T-20127-00</v>
      </c>
    </row>
    <row r="2908">
      <c r="A2908" s="14" t="str">
        <f>IFERROR(__xludf.DUMMYFUNCTION("""COMPUTED_VALUE"""),"T-20129-00")</f>
        <v>T-20129-00</v>
      </c>
      <c r="B2908" s="14" t="str">
        <f>IFERROR(__xludf.DUMMYFUNCTION("""COMPUTED_VALUE"""),"Deuterium Lamp L6380 80V; Shimadzu; c/n 062-65055-05; 1 pc")</f>
        <v>Deuterium Lamp L6380 80V; Shimadzu; c/n 062-65055-05; 1 pc</v>
      </c>
      <c r="C2908" s="14" t="str">
        <f>IFERROR(__xludf.DUMMYFUNCTION("""COMPUTED_VALUE"""),"T-20129-00")</f>
        <v>T-20129-00</v>
      </c>
    </row>
    <row r="2909">
      <c r="A2909" s="14" t="str">
        <f>IFERROR(__xludf.DUMMYFUNCTION("""COMPUTED_VALUE"""),"T-20134-00")</f>
        <v>T-20134-00</v>
      </c>
      <c r="B2909" s="14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4" t="str">
        <f>IFERROR(__xludf.DUMMYFUNCTION("""COMPUTED_VALUE"""),"T-20134-00")</f>
        <v>T-20134-00</v>
      </c>
    </row>
    <row r="2910">
      <c r="A2910" s="14" t="str">
        <f>IFERROR(__xludf.DUMMYFUNCTION("""COMPUTED_VALUE"""),"T-20135-00")</f>
        <v>T-20135-00</v>
      </c>
      <c r="B2910" s="14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4" t="str">
        <f>IFERROR(__xludf.DUMMYFUNCTION("""COMPUTED_VALUE"""),"T-20135-00")</f>
        <v>T-20135-00</v>
      </c>
    </row>
    <row r="2911">
      <c r="A2911" s="14" t="str">
        <f>IFERROR(__xludf.DUMMYFUNCTION("""COMPUTED_VALUE"""),"T-20136-00")</f>
        <v>T-20136-00</v>
      </c>
      <c r="B2911" s="14" t="str">
        <f>IFERROR(__xludf.DUMMYFUNCTION("""COMPUTED_VALUE"""),"2690 SEAL PACK REBUILD PKG; Waters; c/n WAT271019;")</f>
        <v>2690 SEAL PACK REBUILD PKG; Waters; c/n WAT271019;</v>
      </c>
      <c r="C2911" s="14" t="str">
        <f>IFERROR(__xludf.DUMMYFUNCTION("""COMPUTED_VALUE"""),"T-20136-00")</f>
        <v>T-20136-00</v>
      </c>
    </row>
    <row r="2912">
      <c r="A2912" s="14" t="str">
        <f>IFERROR(__xludf.DUMMYFUNCTION("""COMPUTED_VALUE"""),"T-20137-00")</f>
        <v>T-20137-00</v>
      </c>
      <c r="B2912" s="14" t="str">
        <f>IFERROR(__xludf.DUMMYFUNCTION("""COMPUTED_VALUE"""),"PRINTER/PCINTERFACE-TEMPERATURE-G02A01; 0202PPCT01; HSN # 90268090;; ; ;")</f>
        <v>PRINTER/PCINTERFACE-TEMPERATURE-G02A01; 0202PPCT01; HSN # 90268090;; ; ;</v>
      </c>
      <c r="C2912" s="14" t="str">
        <f>IFERROR(__xludf.DUMMYFUNCTION("""COMPUTED_VALUE"""),"T-20137-00")</f>
        <v>T-20137-00</v>
      </c>
    </row>
    <row r="2913">
      <c r="A2913" s="14" t="str">
        <f>IFERROR(__xludf.DUMMYFUNCTION("""COMPUTED_VALUE"""),"T-20138-00")</f>
        <v>T-20138-00</v>
      </c>
      <c r="B2913" s="14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4" t="str">
        <f>IFERROR(__xludf.DUMMYFUNCTION("""COMPUTED_VALUE"""),"T-20138-00")</f>
        <v>T-20138-00</v>
      </c>
    </row>
    <row r="2914">
      <c r="A2914" s="14" t="str">
        <f>IFERROR(__xludf.DUMMYFUNCTION("""COMPUTED_VALUE"""),"T-20139-00")</f>
        <v>T-20139-00</v>
      </c>
      <c r="B2914" s="14" t="str">
        <f>IFERROR(__xludf.DUMMYFUNCTION("""COMPUTED_VALUE"""),"Pump, Vacuum, Degasser; Waters; PN : 700001352; 1 pc")</f>
        <v>Pump, Vacuum, Degasser; Waters; PN : 700001352; 1 pc</v>
      </c>
      <c r="C2914" s="14" t="str">
        <f>IFERROR(__xludf.DUMMYFUNCTION("""COMPUTED_VALUE"""),"T-20139-00")</f>
        <v>T-20139-00</v>
      </c>
    </row>
    <row r="2915">
      <c r="A2915" s="14" t="str">
        <f>IFERROR(__xludf.DUMMYFUNCTION("""COMPUTED_VALUE"""),"T-20146-00")</f>
        <v>T-20146-00</v>
      </c>
      <c r="B2915" s="14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4" t="str">
        <f>IFERROR(__xludf.DUMMYFUNCTION("""COMPUTED_VALUE"""),"T-20146-00")</f>
        <v>T-20146-00</v>
      </c>
    </row>
    <row r="2916">
      <c r="A2916" s="14" t="str">
        <f>IFERROR(__xludf.DUMMYFUNCTION("""COMPUTED_VALUE"""),"T-20148-00")</f>
        <v>T-20148-00</v>
      </c>
      <c r="B2916" s="14" t="str">
        <f>IFERROR(__xludf.DUMMYFUNCTION("""COMPUTED_VALUE"""),"Replacement Filter 60 Micron; Sievers; c/n CHTF94402; 1 pc")</f>
        <v>Replacement Filter 60 Micron; Sievers; c/n CHTF94402; 1 pc</v>
      </c>
      <c r="C2916" s="14" t="str">
        <f>IFERROR(__xludf.DUMMYFUNCTION("""COMPUTED_VALUE"""),"T-20148-00")</f>
        <v>T-20148-00</v>
      </c>
    </row>
    <row r="2917">
      <c r="A2917" s="14" t="str">
        <f>IFERROR(__xludf.DUMMYFUNCTION("""COMPUTED_VALUE"""),"T-20177-00")</f>
        <v>T-20177-00</v>
      </c>
      <c r="B2917" s="14" t="str">
        <f>IFERROR(__xludf.DUMMYFUNCTION("""COMPUTED_VALUE"""),"2690/95 PERFORMANCE MAINTENANCE KIT., Waters, Part No. WAT270944")</f>
        <v>2690/95 PERFORMANCE MAINTENANCE KIT., Waters, Part No. WAT270944</v>
      </c>
      <c r="C2917" s="14" t="str">
        <f>IFERROR(__xludf.DUMMYFUNCTION("""COMPUTED_VALUE"""),"T-20177-00")</f>
        <v>T-20177-00</v>
      </c>
    </row>
    <row r="2918">
      <c r="A2918" s="14" t="str">
        <f>IFERROR(__xludf.DUMMYFUNCTION("""COMPUTED_VALUE"""),"T-20201-00")</f>
        <v>T-20201-00</v>
      </c>
      <c r="B2918" s="14" t="str">
        <f>IFERROR(__xludf.DUMMYFUNCTION("""COMPUTED_VALUE"""),"ASSY,SOLVENT FILTER., Waters, Part No. WAT025531")</f>
        <v>ASSY,SOLVENT FILTER., Waters, Part No. WAT025531</v>
      </c>
      <c r="C2918" s="14" t="str">
        <f>IFERROR(__xludf.DUMMYFUNCTION("""COMPUTED_VALUE"""),"T-20201-00")</f>
        <v>T-20201-00</v>
      </c>
    </row>
    <row r="2919">
      <c r="A2919" s="14" t="str">
        <f>IFERROR(__xludf.DUMMYFUNCTION("""COMPUTED_VALUE"""),"T-20203-00")</f>
        <v>T-20203-00</v>
      </c>
      <c r="B2919" s="14" t="str">
        <f>IFERROR(__xludf.DUMMYFUNCTION("""COMPUTED_VALUE"""),"SEAL, FACE, SEALWASH, PKG (1) 2690, WAT271017")</f>
        <v>SEAL, FACE, SEALWASH, PKG (1) 2690, WAT271017</v>
      </c>
      <c r="C2919" s="14" t="str">
        <f>IFERROR(__xludf.DUMMYFUNCTION("""COMPUTED_VALUE"""),"T-20203-00")</f>
        <v>T-20203-00</v>
      </c>
    </row>
    <row r="2920">
      <c r="A2920" s="14" t="str">
        <f>IFERROR(__xludf.DUMMYFUNCTION("""COMPUTED_VALUE"""),"T-20210-00")</f>
        <v>T-20210-00</v>
      </c>
      <c r="B2920" s="14" t="str">
        <f>IFERROR(__xludf.DUMMYFUNCTION("""COMPUTED_VALUE"""),"SEAL FACE 2690, Waters, Part No. WAT270939, PKG (4)")</f>
        <v>SEAL FACE 2690, Waters, Part No. WAT270939, PKG (4)</v>
      </c>
      <c r="C2920" s="14" t="str">
        <f>IFERROR(__xludf.DUMMYFUNCTION("""COMPUTED_VALUE"""),"T-20210-00")</f>
        <v>T-20210-00</v>
      </c>
    </row>
    <row r="2921">
      <c r="A2921" s="14" t="str">
        <f>IFERROR(__xludf.DUMMYFUNCTION("""COMPUTED_VALUE"""),"T-20212-00")</f>
        <v>T-20212-00</v>
      </c>
      <c r="B2921" s="14" t="str">
        <f>IFERROR(__xludf.DUMMYFUNCTION("""COMPUTED_VALUE"""),"SEAL PLUNGER 2690, Waters, Part No. WAT270938, PKG (2)")</f>
        <v>SEAL PLUNGER 2690, Waters, Part No. WAT270938, PKG (2)</v>
      </c>
      <c r="C2921" s="14" t="str">
        <f>IFERROR(__xludf.DUMMYFUNCTION("""COMPUTED_VALUE"""),"T-20212-00")</f>
        <v>T-20212-00</v>
      </c>
    </row>
    <row r="2922">
      <c r="A2922" s="14" t="str">
        <f>IFERROR(__xludf.DUMMYFUNCTION("""COMPUTED_VALUE"""),"T-20215-00")</f>
        <v>T-20215-00</v>
      </c>
      <c r="B2922" s="14" t="str">
        <f>IFERROR(__xludf.DUMMYFUNCTION("""COMPUTED_VALUE"""),"ASSY PCB DEGASSER QSPI MULTI-PERS, Waters, Part No. 700002511")</f>
        <v>ASSY PCB DEGASSER QSPI MULTI-PERS, Waters, Part No. 700002511</v>
      </c>
      <c r="C2922" s="14" t="str">
        <f>IFERROR(__xludf.DUMMYFUNCTION("""COMPUTED_VALUE"""),"T-20215-00")</f>
        <v>T-20215-00</v>
      </c>
    </row>
    <row r="2923">
      <c r="A2923" s="14" t="str">
        <f>IFERROR(__xludf.DUMMYFUNCTION("""COMPUTED_VALUE"""),"T-20218-00")</f>
        <v>T-20218-00</v>
      </c>
      <c r="B2923" s="14" t="str">
        <f>IFERROR(__xludf.DUMMYFUNCTION("""COMPUTED_VALUE"""),"Plunger Seal wash 2690, Waters, Part No. WAT271018, PKG (2 )")</f>
        <v>Plunger Seal wash 2690, Waters, Part No. WAT271018, PKG (2 )</v>
      </c>
      <c r="C2923" s="14" t="str">
        <f>IFERROR(__xludf.DUMMYFUNCTION("""COMPUTED_VALUE"""),"T-20218-00")</f>
        <v>T-20218-00</v>
      </c>
    </row>
    <row r="2924">
      <c r="A2924" s="14" t="str">
        <f>IFERROR(__xludf.DUMMYFUNCTION("""COMPUTED_VALUE"""),"T-20219-00")</f>
        <v>T-20219-00</v>
      </c>
      <c r="B2924" s="14" t="str">
        <f>IFERROR(__xludf.DUMMYFUNCTION("""COMPUTED_VALUE"""),"2690 WASH TUBE, Waters, Part No. WAT270940, PKG (4)")</f>
        <v>2690 WASH TUBE, Waters, Part No. WAT270940, PKG (4)</v>
      </c>
      <c r="C2924" s="14" t="str">
        <f>IFERROR(__xludf.DUMMYFUNCTION("""COMPUTED_VALUE"""),"T-20219-00")</f>
        <v>T-20219-00</v>
      </c>
    </row>
    <row r="2925">
      <c r="A2925" s="14" t="str">
        <f>IFERROR(__xludf.DUMMYFUNCTION("""COMPUTED_VALUE"""),"T-20287-00")</f>
        <v>T-20287-00</v>
      </c>
      <c r="B2925" s="14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4" t="str">
        <f>IFERROR(__xludf.DUMMYFUNCTION("""COMPUTED_VALUE"""),"T-20287-00")</f>
        <v>T-20287-00</v>
      </c>
    </row>
    <row r="2926">
      <c r="A2926" s="14" t="str">
        <f>IFERROR(__xludf.DUMMYFUNCTION("""COMPUTED_VALUE"""),"T-20289-00")</f>
        <v>T-20289-00</v>
      </c>
      <c r="B2926" s="14" t="str">
        <f>IFERROR(__xludf.DUMMYFUNCTION("""COMPUTED_VALUE"""),"Ferrule, 1.0 mm graphite 0.53 Col; Agilent; Part No. 5080-8773; 10/pk")</f>
        <v>Ferrule, 1.0 mm graphite 0.53 Col; Agilent; Part No. 5080-8773; 10/pk</v>
      </c>
      <c r="C2926" s="14" t="str">
        <f>IFERROR(__xludf.DUMMYFUNCTION("""COMPUTED_VALUE"""),"T-20289-00")</f>
        <v>T-20289-00</v>
      </c>
    </row>
    <row r="2927">
      <c r="A2927" s="14" t="str">
        <f>IFERROR(__xludf.DUMMYFUNCTION("""COMPUTED_VALUE"""),"T-20320-00")</f>
        <v>T-20320-00</v>
      </c>
      <c r="B2927" s="14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4" t="str">
        <f>IFERROR(__xludf.DUMMYFUNCTION("""COMPUTED_VALUE"""),"T-20320-00")</f>
        <v>T-20320-00</v>
      </c>
    </row>
    <row r="2928">
      <c r="A2928" s="14" t="str">
        <f>IFERROR(__xludf.DUMMYFUNCTION("""COMPUTED_VALUE"""),"T-20348-00")</f>
        <v>T-20348-00</v>
      </c>
      <c r="B2928" s="14" t="str">
        <f>IFERROR(__xludf.DUMMYFUNCTION("""COMPUTED_VALUE"""),"Non-Stick Liner O-Ring,; Agilent; Part No. 5188-6405; 5/pk")</f>
        <v>Non-Stick Liner O-Ring,; Agilent; Part No. 5188-6405; 5/pk</v>
      </c>
      <c r="C2928" s="14" t="str">
        <f>IFERROR(__xludf.DUMMYFUNCTION("""COMPUTED_VALUE"""),"T-20348-00")</f>
        <v>T-20348-00</v>
      </c>
    </row>
    <row r="2929">
      <c r="A2929" s="14" t="str">
        <f>IFERROR(__xludf.DUMMYFUNCTION("""COMPUTED_VALUE"""),"T-20381-00")</f>
        <v>T-20381-00</v>
      </c>
      <c r="B2929" s="14" t="str">
        <f>IFERROR(__xludf.DUMMYFUNCTION("""COMPUTED_VALUE"""),"Halogen Lamp NA55917 12V; Shimadzu; Part No. 062-65005; 1")</f>
        <v>Halogen Lamp NA55917 12V; Shimadzu; Part No. 062-65005; 1</v>
      </c>
      <c r="C2929" s="14" t="str">
        <f>IFERROR(__xludf.DUMMYFUNCTION("""COMPUTED_VALUE"""),"T-20381-00")</f>
        <v>T-20381-00</v>
      </c>
    </row>
    <row r="2930">
      <c r="A2930" s="14" t="str">
        <f>IFERROR(__xludf.DUMMYFUNCTION("""COMPUTED_VALUE"""),"T-20398-00")</f>
        <v>T-20398-00</v>
      </c>
      <c r="B2930" s="14" t="str">
        <f>IFERROR(__xludf.DUMMYFUNCTION("""COMPUTED_VALUE"""),"In-Line Filter Assembly; Waters; Part No. WAT035190; 1pc")</f>
        <v>In-Line Filter Assembly; Waters; Part No. WAT035190; 1pc</v>
      </c>
      <c r="C2930" s="14" t="str">
        <f>IFERROR(__xludf.DUMMYFUNCTION("""COMPUTED_VALUE"""),"T-20398-00")</f>
        <v>T-20398-00</v>
      </c>
    </row>
    <row r="2931">
      <c r="A2931" s="14" t="str">
        <f>IFERROR(__xludf.DUMMYFUNCTION("""COMPUTED_VALUE"""),"T-20427-00")</f>
        <v>T-20427-00</v>
      </c>
      <c r="B2931" s="14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4" t="str">
        <f>IFERROR(__xludf.DUMMYFUNCTION("""COMPUTED_VALUE"""),"T-20427-00")</f>
        <v>T-20427-00</v>
      </c>
    </row>
    <row r="2932">
      <c r="A2932" s="14" t="str">
        <f>IFERROR(__xludf.DUMMYFUNCTION("""COMPUTED_VALUE"""),"T-20447-00")</f>
        <v>T-20447-00</v>
      </c>
      <c r="B2932" s="14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4" t="str">
        <f>IFERROR(__xludf.DUMMYFUNCTION("""COMPUTED_VALUE"""),"T-20447-00")</f>
        <v>T-20447-00</v>
      </c>
    </row>
    <row r="2933">
      <c r="A2933" s="14" t="str">
        <f>IFERROR(__xludf.DUMMYFUNCTION("""COMPUTED_VALUE"""),"T-20449-00")</f>
        <v>T-20449-00</v>
      </c>
      <c r="B2933" s="14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4" t="str">
        <f>IFERROR(__xludf.DUMMYFUNCTION("""COMPUTED_VALUE"""),"T-20449-00")</f>
        <v>T-20449-00</v>
      </c>
    </row>
    <row r="2934">
      <c r="A2934" s="14" t="str">
        <f>IFERROR(__xludf.DUMMYFUNCTION("""COMPUTED_VALUE"""),"T-20457-00")</f>
        <v>T-20457-00</v>
      </c>
      <c r="B2934" s="14" t="str">
        <f>IFERROR(__xludf.DUMMYFUNCTION("""COMPUTED_VALUE"""),"Piston Rod TI p/n: 51107594 Mettler Toldeo")</f>
        <v>Piston Rod TI p/n: 51107594 Mettler Toldeo</v>
      </c>
      <c r="C2934" s="14" t="str">
        <f>IFERROR(__xludf.DUMMYFUNCTION("""COMPUTED_VALUE"""),"T-20457-00")</f>
        <v>T-20457-00</v>
      </c>
    </row>
    <row r="2935">
      <c r="A2935" s="14" t="str">
        <f>IFERROR(__xludf.DUMMYFUNCTION("""COMPUTED_VALUE"""),"T-20473-00")</f>
        <v>T-20473-00</v>
      </c>
      <c r="B2935" s="14" t="str">
        <f>IFERROR(__xludf.DUMMYFUNCTION("""COMPUTED_VALUE"""),"1/16"" OD SS TUBING CUTTER +3; Waters; Part No. WAT022384; 1 pc/pack")</f>
        <v>1/16" OD SS TUBING CUTTER +3; Waters; Part No. WAT022384; 1 pc/pack</v>
      </c>
      <c r="C2935" s="14" t="str">
        <f>IFERROR(__xludf.DUMMYFUNCTION("""COMPUTED_VALUE"""),"T-20473-00")</f>
        <v>T-20473-00</v>
      </c>
    </row>
    <row r="2936">
      <c r="A2936" s="14" t="str">
        <f>IFERROR(__xludf.DUMMYFUNCTION("""COMPUTED_VALUE"""),"T-20532-00")</f>
        <v>T-20532-00</v>
      </c>
      <c r="B2936" s="14" t="str">
        <f>IFERROR(__xludf.DUMMYFUNCTION("""COMPUTED_VALUE"""),"Silica Gel 10GRMSX30PCS; Shimadzu; Part No. 200-53655; 10 gr per pack")</f>
        <v>Silica Gel 10GRMSX30PCS; Shimadzu; Part No. 200-53655; 10 gr per pack</v>
      </c>
      <c r="C2936" s="14" t="str">
        <f>IFERROR(__xludf.DUMMYFUNCTION("""COMPUTED_VALUE"""),"T-20532-00")</f>
        <v>T-20532-00</v>
      </c>
    </row>
    <row r="2937">
      <c r="A2937" s="14" t="str">
        <f>IFERROR(__xludf.DUMMYFUNCTION("""COMPUTED_VALUE"""),"T-20540-00")</f>
        <v>T-20540-00</v>
      </c>
      <c r="B2937" s="14" t="str">
        <f>IFERROR(__xludf.DUMMYFUNCTION("""COMPUTED_VALUE"""),"Kit,Housing,HPMV,Molded p/n: 700010588; Waters; ;")</f>
        <v>Kit,Housing,HPMV,Molded p/n: 700010588; Waters; ;</v>
      </c>
      <c r="C2937" s="14" t="str">
        <f>IFERROR(__xludf.DUMMYFUNCTION("""COMPUTED_VALUE"""),"T-20540-00")</f>
        <v>T-20540-00</v>
      </c>
    </row>
    <row r="2938">
      <c r="A2938" s="14" t="str">
        <f>IFERROR(__xludf.DUMMYFUNCTION("""COMPUTED_VALUE"""),"T-20549-00")</f>
        <v>T-20549-00</v>
      </c>
      <c r="B2938" s="14" t="str">
        <f>IFERROR(__xludf.DUMMYFUNCTION("""COMPUTED_VALUE"""),"pH electrode InLab Expert Pro; Mettler Toledo; PN : 51343101; Pcs")</f>
        <v>pH electrode InLab Expert Pro; Mettler Toledo; PN : 51343101; Pcs</v>
      </c>
      <c r="C2938" s="14" t="str">
        <f>IFERROR(__xludf.DUMMYFUNCTION("""COMPUTED_VALUE"""),"T-20549-00")</f>
        <v>T-20549-00</v>
      </c>
    </row>
    <row r="2939">
      <c r="A2939" s="14" t="str">
        <f>IFERROR(__xludf.DUMMYFUNCTION("""COMPUTED_VALUE"""),"T-20572-00")</f>
        <v>T-20572-00</v>
      </c>
      <c r="B2939" s="14" t="str">
        <f>IFERROR(__xludf.DUMMYFUNCTION("""COMPUTED_VALUE"""),"Furnitures - Potong bondor sesuai lemari")</f>
        <v>Furnitures - Potong bondor sesuai lemari</v>
      </c>
      <c r="C2939" s="14" t="str">
        <f>IFERROR(__xludf.DUMMYFUNCTION("""COMPUTED_VALUE"""),"T-20572-00")</f>
        <v>T-20572-00</v>
      </c>
    </row>
    <row r="2940">
      <c r="A2940" s="14" t="str">
        <f>IFERROR(__xludf.DUMMYFUNCTION("""COMPUTED_VALUE"""),"T-20591-00")</f>
        <v>T-20591-00</v>
      </c>
      <c r="B2940" s="14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4" t="str">
        <f>IFERROR(__xludf.DUMMYFUNCTION("""COMPUTED_VALUE"""),"T-20591-00")</f>
        <v>T-20591-00</v>
      </c>
    </row>
    <row r="2941">
      <c r="A2941" s="14" t="str">
        <f>IFERROR(__xludf.DUMMYFUNCTION("""COMPUTED_VALUE"""),"T-20592-00")</f>
        <v>T-20592-00</v>
      </c>
      <c r="B2941" s="14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4" t="str">
        <f>IFERROR(__xludf.DUMMYFUNCTION("""COMPUTED_VALUE"""),"T-20592-00")</f>
        <v>T-20592-00</v>
      </c>
    </row>
    <row r="2942">
      <c r="A2942" s="14" t="str">
        <f>IFERROR(__xludf.DUMMYFUNCTION("""COMPUTED_VALUE"""),"T-20601-00")</f>
        <v>T-20601-00</v>
      </c>
      <c r="B2942" s="14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4" t="str">
        <f>IFERROR(__xludf.DUMMYFUNCTION("""COMPUTED_VALUE"""),"T-20601-00")</f>
        <v>T-20601-00</v>
      </c>
    </row>
    <row r="2943">
      <c r="A2943" s="14" t="str">
        <f>IFERROR(__xludf.DUMMYFUNCTION("""COMPUTED_VALUE"""),"T-20646-00")</f>
        <v>T-20646-00</v>
      </c>
      <c r="B2943" s="14" t="str">
        <f>IFERROR(__xludf.DUMMYFUNCTION("""COMPUTED_VALUE"""),"Performanceplus Vacdeg Chamber Stented p/n: 700011709 Waters700011709")</f>
        <v>Performanceplus Vacdeg Chamber Stented p/n: 700011709 Waters700011709</v>
      </c>
      <c r="C2943" s="14" t="str">
        <f>IFERROR(__xludf.DUMMYFUNCTION("""COMPUTED_VALUE"""),"T-20646-00")</f>
        <v>T-20646-00</v>
      </c>
    </row>
    <row r="2944">
      <c r="A2944" s="14" t="str">
        <f>IFERROR(__xludf.DUMMYFUNCTION("""COMPUTED_VALUE"""),"T-20715-00")</f>
        <v>T-20715-00</v>
      </c>
      <c r="B2944" s="14" t="str">
        <f>IFERROR(__xludf.DUMMYFUNCTION("""COMPUTED_VALUE"""),"SYRINGE, 250 ML. WISP. WATERS; WATERS; PN: WAT073109; PCS")</f>
        <v>SYRINGE, 250 ML. WISP. WATERS; WATERS; PN: WAT073109; PCS</v>
      </c>
      <c r="C2944" s="14" t="str">
        <f>IFERROR(__xludf.DUMMYFUNCTION("""COMPUTED_VALUE"""),"T-20715-00")</f>
        <v>T-20715-00</v>
      </c>
    </row>
    <row r="2945">
      <c r="A2945" s="14" t="str">
        <f>IFERROR(__xludf.DUMMYFUNCTION("""COMPUTED_VALUE"""),"T-20725-00")</f>
        <v>T-20725-00</v>
      </c>
      <c r="B2945" s="14" t="str">
        <f>IFERROR(__xludf.DUMMYFUNCTION("""COMPUTED_VALUE"""),"Performance Plus Check Valve Housing; Waters; 700002332;")</f>
        <v>Performance Plus Check Valve Housing; Waters; 700002332;</v>
      </c>
      <c r="C2945" s="14" t="str">
        <f>IFERROR(__xludf.DUMMYFUNCTION("""COMPUTED_VALUE"""),"T-20725-00")</f>
        <v>T-20725-00</v>
      </c>
    </row>
    <row r="2946">
      <c r="A2946" s="14" t="str">
        <f>IFERROR(__xludf.DUMMYFUNCTION("""COMPUTED_VALUE"""),"T-20791-00")</f>
        <v>T-20791-00</v>
      </c>
      <c r="B2946" s="14" t="str">
        <f>IFERROR(__xludf.DUMMYFUNCTION("""COMPUTED_VALUE"""),"Heater/Cooler Engine 2690; Waters; 700001066;")</f>
        <v>Heater/Cooler Engine 2690; Waters; 700001066;</v>
      </c>
      <c r="C2946" s="14" t="str">
        <f>IFERROR(__xludf.DUMMYFUNCTION("""COMPUTED_VALUE"""),"T-20791-00")</f>
        <v>T-20791-00</v>
      </c>
    </row>
    <row r="2947">
      <c r="A2947" s="14" t="str">
        <f>IFERROR(__xludf.DUMMYFUNCTION("""COMPUTED_VALUE"""),"T-20841-00")</f>
        <v>T-20841-00</v>
      </c>
      <c r="B2947" s="14" t="str">
        <f>IFERROR(__xludf.DUMMYFUNCTION("""COMPUTED_VALUE"""),"Lasser Assy (S) Shimadzu 206-71580-91")</f>
        <v>Lasser Assy (S) Shimadzu 206-71580-91</v>
      </c>
      <c r="C2947" s="14" t="str">
        <f>IFERROR(__xludf.DUMMYFUNCTION("""COMPUTED_VALUE"""),"T-20841-00")</f>
        <v>T-20841-00</v>
      </c>
    </row>
    <row r="2948">
      <c r="A2948" s="14" t="str">
        <f>IFERROR(__xludf.DUMMYFUNCTION("""COMPUTED_VALUE"""),"T-20842-00")</f>
        <v>T-20842-00</v>
      </c>
      <c r="B2948" s="14" t="str">
        <f>IFERROR(__xludf.DUMMYFUNCTION("""COMPUTED_VALUE"""),"Dricabi TS-51-D.U.S Shimadzu 206-71946")</f>
        <v>Dricabi TS-51-D.U.S Shimadzu 206-71946</v>
      </c>
      <c r="C2948" s="14" t="str">
        <f>IFERROR(__xludf.DUMMYFUNCTION("""COMPUTED_VALUE"""),"T-20842-00")</f>
        <v>T-20842-00</v>
      </c>
    </row>
    <row r="2949">
      <c r="A2949" s="14" t="str">
        <f>IFERROR(__xludf.DUMMYFUNCTION("""COMPUTED_VALUE"""),"T-20851-00")</f>
        <v>T-20851-00</v>
      </c>
      <c r="B2949" s="14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4" t="str">
        <f>IFERROR(__xludf.DUMMYFUNCTION("""COMPUTED_VALUE"""),"T-20851-00")</f>
        <v>T-20851-00</v>
      </c>
    </row>
    <row r="2950">
      <c r="A2950" s="14" t="str">
        <f>IFERROR(__xludf.DUMMYFUNCTION("""COMPUTED_VALUE"""),"T-20858-00")</f>
        <v>T-20858-00</v>
      </c>
      <c r="B2950" s="14" t="str">
        <f>IFERROR(__xludf.DUMMYFUNCTION("""COMPUTED_VALUE"""),"Kit, e2695 Performance Maintenace; Waters; 201000313; 1")</f>
        <v>Kit, e2695 Performance Maintenace; Waters; 201000313; 1</v>
      </c>
      <c r="C2950" s="14" t="str">
        <f>IFERROR(__xludf.DUMMYFUNCTION("""COMPUTED_VALUE"""),"T-20858-00")</f>
        <v>T-20858-00</v>
      </c>
    </row>
    <row r="2951">
      <c r="A2951" s="14" t="str">
        <f>IFERROR(__xludf.DUMMYFUNCTION("""COMPUTED_VALUE"""),"T-20859-00")</f>
        <v>T-20859-00</v>
      </c>
      <c r="B2951" s="14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4" t="str">
        <f>IFERROR(__xludf.DUMMYFUNCTION("""COMPUTED_VALUE"""),"T-20859-00")</f>
        <v>T-20859-00</v>
      </c>
    </row>
    <row r="2952">
      <c r="A2952" s="14" t="str">
        <f>IFERROR(__xludf.DUMMYFUNCTION("""COMPUTED_VALUE"""),"T-20860-00")</f>
        <v>T-20860-00</v>
      </c>
      <c r="B2952" s="14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4" t="str">
        <f>IFERROR(__xludf.DUMMYFUNCTION("""COMPUTED_VALUE"""),"T-20860-00")</f>
        <v>T-20860-00</v>
      </c>
    </row>
    <row r="2953">
      <c r="A2953" s="14" t="str">
        <f>IFERROR(__xludf.DUMMYFUNCTION("""COMPUTED_VALUE"""),"T-20860-00")</f>
        <v>T-20860-00</v>
      </c>
      <c r="B2953" s="14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4" t="str">
        <f>IFERROR(__xludf.DUMMYFUNCTION("""COMPUTED_VALUE"""),"T-20860-00")</f>
        <v>T-20860-00</v>
      </c>
    </row>
    <row r="2954">
      <c r="A2954" s="14" t="str">
        <f>IFERROR(__xludf.DUMMYFUNCTION("""COMPUTED_VALUE"""),"T-20926-00")</f>
        <v>T-20926-00</v>
      </c>
      <c r="B2954" s="14" t="str">
        <f>IFERROR(__xludf.DUMMYFUNCTION("""COMPUTED_VALUE"""),"Micro fuel Cell, B2C Class ; Teledyne; 1 pcs; Teledyne; ;")</f>
        <v>Micro fuel Cell, B2C Class ; Teledyne; 1 pcs; Teledyne; ;</v>
      </c>
      <c r="C2954" s="14" t="str">
        <f>IFERROR(__xludf.DUMMYFUNCTION("""COMPUTED_VALUE"""),"T-20926-00")</f>
        <v>T-20926-00</v>
      </c>
    </row>
    <row r="2955">
      <c r="A2955" s="14" t="str">
        <f>IFERROR(__xludf.DUMMYFUNCTION("""COMPUTED_VALUE"""),"T-20947-00")</f>
        <v>T-20947-00</v>
      </c>
      <c r="B2955" s="14" t="str">
        <f>IFERROR(__xludf.DUMMYFUNCTION("""COMPUTED_VALUE"""),"Electroda Inlab 741 ISM; Mettler Toledo; 30014094; 1 unit")</f>
        <v>Electroda Inlab 741 ISM; Mettler Toledo; 30014094; 1 unit</v>
      </c>
      <c r="C2955" s="14" t="str">
        <f>IFERROR(__xludf.DUMMYFUNCTION("""COMPUTED_VALUE"""),"T-20947-00")</f>
        <v>T-20947-00</v>
      </c>
    </row>
    <row r="2956">
      <c r="A2956" s="14" t="str">
        <f>IFERROR(__xludf.DUMMYFUNCTION("""COMPUTED_VALUE"""),"T-20975-00")</f>
        <v>T-20975-00</v>
      </c>
      <c r="B2956" s="14" t="str">
        <f>IFERROR(__xludf.DUMMYFUNCTION("""COMPUTED_VALUE"""),"ASSY, FILTER WHEEL,ACQUITY TUV;; Waters; 700005266; 1 pcs/pack")</f>
        <v>ASSY, FILTER WHEEL,ACQUITY TUV;; Waters; 700005266; 1 pcs/pack</v>
      </c>
      <c r="C2956" s="14" t="str">
        <f>IFERROR(__xludf.DUMMYFUNCTION("""COMPUTED_VALUE"""),"T-20975-00")</f>
        <v>T-20975-00</v>
      </c>
    </row>
    <row r="2957">
      <c r="A2957" s="14" t="str">
        <f>IFERROR(__xludf.DUMMYFUNCTION("""COMPUTED_VALUE"""),"T-21028-00")</f>
        <v>T-21028-00</v>
      </c>
      <c r="B2957" s="14" t="str">
        <f>IFERROR(__xludf.DUMMYFUNCTION("""COMPUTED_VALUE"""),"Gas Clean hydrocarbon purifier; Agilent; Part No. CP17972; 1/pk")</f>
        <v>Gas Clean hydrocarbon purifier; Agilent; Part No. CP17972; 1/pk</v>
      </c>
      <c r="C2957" s="14" t="str">
        <f>IFERROR(__xludf.DUMMYFUNCTION("""COMPUTED_VALUE"""),"T-21028-00")</f>
        <v>T-21028-00</v>
      </c>
    </row>
    <row r="2958">
      <c r="A2958" s="14" t="str">
        <f>IFERROR(__xludf.DUMMYFUNCTION("""COMPUTED_VALUE"""),"T-21029-00")</f>
        <v>T-21029-00</v>
      </c>
      <c r="B2958" s="14" t="str">
        <f>IFERROR(__xludf.DUMMYFUNCTION("""COMPUTED_VALUE"""),"Gas Clean moisture purifier; Agilent; Part No. CP17971; 1/pk")</f>
        <v>Gas Clean moisture purifier; Agilent; Part No. CP17971; 1/pk</v>
      </c>
      <c r="C2958" s="14" t="str">
        <f>IFERROR(__xludf.DUMMYFUNCTION("""COMPUTED_VALUE"""),"T-21029-00")</f>
        <v>T-21029-00</v>
      </c>
    </row>
    <row r="2959">
      <c r="A2959" s="14" t="str">
        <f>IFERROR(__xludf.DUMMYFUNCTION("""COMPUTED_VALUE"""),"T-21030-00")</f>
        <v>T-21030-00</v>
      </c>
      <c r="B2959" s="14" t="str">
        <f>IFERROR(__xludf.DUMMYFUNCTION("""COMPUTED_VALUE"""),"Gas Clean oxygen purifier; Agilent; Part No. CP17970; 1/pk")</f>
        <v>Gas Clean oxygen purifier; Agilent; Part No. CP17970; 1/pk</v>
      </c>
      <c r="C2959" s="14" t="str">
        <f>IFERROR(__xludf.DUMMYFUNCTION("""COMPUTED_VALUE"""),"T-21030-00")</f>
        <v>T-21030-00</v>
      </c>
    </row>
    <row r="2960">
      <c r="A2960" s="14" t="str">
        <f>IFERROR(__xludf.DUMMYFUNCTION("""COMPUTED_VALUE"""),"T-21034-00")</f>
        <v>T-21034-00</v>
      </c>
      <c r="B2960" s="14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4" t="str">
        <f>IFERROR(__xludf.DUMMYFUNCTION("""COMPUTED_VALUE"""),"T-21034-00")</f>
        <v>T-21034-00</v>
      </c>
    </row>
    <row r="2961">
      <c r="A2961" s="14" t="str">
        <f>IFERROR(__xludf.DUMMYFUNCTION("""COMPUTED_VALUE"""),"T-21161-00")</f>
        <v>T-21161-00</v>
      </c>
      <c r="B2961" s="14" t="str">
        <f>IFERROR(__xludf.DUMMYFUNCTION("""COMPUTED_VALUE"""),"Kalibrasi Furnace; Vulcan; Type : D-550 - Kalibrasi Furnance")</f>
        <v>Kalibrasi Furnace; Vulcan; Type : D-550 - Kalibrasi Furnance</v>
      </c>
      <c r="C2961" s="14" t="str">
        <f>IFERROR(__xludf.DUMMYFUNCTION("""COMPUTED_VALUE"""),"T-21161-00")</f>
        <v>T-21161-00</v>
      </c>
    </row>
    <row r="2962">
      <c r="A2962" s="14" t="str">
        <f>IFERROR(__xludf.DUMMYFUNCTION("""COMPUTED_VALUE"""),"T-21619-00")</f>
        <v>T-21619-00</v>
      </c>
      <c r="B2962" s="14" t="str">
        <f>IFERROR(__xludf.DUMMYFUNCTION("""COMPUTED_VALUE"""),"Biaya Transportasi / Insitu / Onsite kalibrasi; ; ; pcs")</f>
        <v>Biaya Transportasi / Insitu / Onsite kalibrasi; ; ; pcs</v>
      </c>
      <c r="C2962" s="14" t="str">
        <f>IFERROR(__xludf.DUMMYFUNCTION("""COMPUTED_VALUE"""),"T-21619-00")</f>
        <v>T-21619-00</v>
      </c>
    </row>
    <row r="2963">
      <c r="A2963" s="14" t="str">
        <f>IFERROR(__xludf.DUMMYFUNCTION("""COMPUTED_VALUE"""),"T-22069-00")</f>
        <v>T-22069-00</v>
      </c>
      <c r="B2963" s="14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4" t="str">
        <f>IFERROR(__xludf.DUMMYFUNCTION("""COMPUTED_VALUE"""),"T-22069-00")</f>
        <v>T-22069-00</v>
      </c>
    </row>
    <row r="2964">
      <c r="A2964" s="14" t="str">
        <f>IFERROR(__xludf.DUMMYFUNCTION("""COMPUTED_VALUE"""),"T-22174-00")</f>
        <v>T-22174-00</v>
      </c>
      <c r="B2964" s="14" t="str">
        <f>IFERROR(__xludf.DUMMYFUNCTION("""COMPUTED_VALUE"""),"AHM Board MT 50; Sotax; 3003482; unt")</f>
        <v>AHM Board MT 50; Sotax; 3003482; unt</v>
      </c>
      <c r="C2964" s="14" t="str">
        <f>IFERROR(__xludf.DUMMYFUNCTION("""COMPUTED_VALUE"""),"T-22174-00")</f>
        <v>T-22174-00</v>
      </c>
    </row>
    <row r="2965">
      <c r="A2965" s="14" t="str">
        <f>IFERROR(__xludf.DUMMYFUNCTION("""COMPUTED_VALUE"""),"T-22314-00")</f>
        <v>T-22314-00</v>
      </c>
      <c r="B2965" s="14" t="str">
        <f>IFERROR(__xludf.DUMMYFUNCTION("""COMPUTED_VALUE"""),"Refill Board DSR Autosampler.; Pharma Test; 317-0133; unit")</f>
        <v>Refill Board DSR Autosampler.; Pharma Test; 317-0133; unit</v>
      </c>
      <c r="C2965" s="14" t="str">
        <f>IFERROR(__xludf.DUMMYFUNCTION("""COMPUTED_VALUE"""),"T-22314-00")</f>
        <v>T-22314-00</v>
      </c>
    </row>
    <row r="2966">
      <c r="A2966" s="14" t="str">
        <f>IFERROR(__xludf.DUMMYFUNCTION("""COMPUTED_VALUE"""),"T-22337-00")</f>
        <v>T-22337-00</v>
      </c>
      <c r="B2966" s="14" t="str">
        <f>IFERROR(__xludf.DUMMYFUNCTION("""COMPUTED_VALUE"""),"Moisture Trap for Rocker 300; Rocker; 167301-64; piece")</f>
        <v>Moisture Trap for Rocker 300; Rocker; 167301-64; piece</v>
      </c>
      <c r="C2966" s="14" t="str">
        <f>IFERROR(__xludf.DUMMYFUNCTION("""COMPUTED_VALUE"""),"T-22337-00")</f>
        <v>T-22337-00</v>
      </c>
    </row>
    <row r="2967">
      <c r="A2967" s="14" t="str">
        <f>IFERROR(__xludf.DUMMYFUNCTION("""COMPUTED_VALUE"""),"T-22339-00")</f>
        <v>T-22339-00</v>
      </c>
      <c r="B2967" s="14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4" t="str">
        <f>IFERROR(__xludf.DUMMYFUNCTION("""COMPUTED_VALUE"""),"T-22339-00")</f>
        <v>T-22339-00</v>
      </c>
    </row>
    <row r="2968">
      <c r="A2968" s="14" t="str">
        <f>IFERROR(__xludf.DUMMYFUNCTION("""COMPUTED_VALUE"""),"T-22348-00")</f>
        <v>T-22348-00</v>
      </c>
      <c r="B2968" s="14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4" t="str">
        <f>IFERROR(__xludf.DUMMYFUNCTION("""COMPUTED_VALUE"""),"T-22348-00")</f>
        <v>T-22348-00</v>
      </c>
    </row>
    <row r="2969">
      <c r="A2969" s="14" t="str">
        <f>IFERROR(__xludf.DUMMYFUNCTION("""COMPUTED_VALUE"""),"T-22349-00")</f>
        <v>T-22349-00</v>
      </c>
      <c r="B2969" s="14" t="str">
        <f>IFERROR(__xludf.DUMMYFUNCTION("""COMPUTED_VALUE"""),"Replacement Pump Tubing for Sievers Model 900; HART; A-2101-TUB; pack")</f>
        <v>Replacement Pump Tubing for Sievers Model 900; HART; A-2101-TUB; pack</v>
      </c>
      <c r="C2969" s="14" t="str">
        <f>IFERROR(__xludf.DUMMYFUNCTION("""COMPUTED_VALUE"""),"T-22349-00")</f>
        <v>T-22349-00</v>
      </c>
    </row>
    <row r="2970">
      <c r="A2970" s="14" t="str">
        <f>IFERROR(__xludf.DUMMYFUNCTION("""COMPUTED_VALUE"""),"T-22350-00")</f>
        <v>T-22350-00</v>
      </c>
      <c r="B2970" s="14" t="str">
        <f>IFERROR(__xludf.DUMMYFUNCTION("""COMPUTED_VALUE"""),"Replacement Resin Bed for Sievers Model 900; HART; A-2890-RES; pack")</f>
        <v>Replacement Resin Bed for Sievers Model 900; HART; A-2890-RES; pack</v>
      </c>
      <c r="C2970" s="14" t="str">
        <f>IFERROR(__xludf.DUMMYFUNCTION("""COMPUTED_VALUE"""),"T-22350-00")</f>
        <v>T-22350-00</v>
      </c>
    </row>
    <row r="2971">
      <c r="A2971" s="14" t="str">
        <f>IFERROR(__xludf.DUMMYFUNCTION("""COMPUTED_VALUE"""),"T-22394-00")</f>
        <v>T-22394-00</v>
      </c>
      <c r="B2971" s="14" t="str">
        <f>IFERROR(__xludf.DUMMYFUNCTION("""COMPUTED_VALUE"""),"Vision Sensor Monitor USB Memory Stick (1GB); Keyence; OP-87502; pieces")</f>
        <v>Vision Sensor Monitor USB Memory Stick (1GB); Keyence; OP-87502; pieces</v>
      </c>
      <c r="C2971" s="14" t="str">
        <f>IFERROR(__xludf.DUMMYFUNCTION("""COMPUTED_VALUE"""),"T-22394-00")</f>
        <v>T-22394-00</v>
      </c>
    </row>
    <row r="2972">
      <c r="A2972" s="14" t="str">
        <f>IFERROR(__xludf.DUMMYFUNCTION("""COMPUTED_VALUE"""),"T-22395-00")</f>
        <v>T-22395-00</v>
      </c>
      <c r="B2972" s="14" t="str">
        <f>IFERROR(__xludf.DUMMYFUNCTION("""COMPUTED_VALUE"""),"Memory Card for KV Series (1GB); Keyence; KV-M4G; pc")</f>
        <v>Memory Card for KV Series (1GB); Keyence; KV-M4G; pc</v>
      </c>
      <c r="C2972" s="14" t="str">
        <f>IFERROR(__xludf.DUMMYFUNCTION("""COMPUTED_VALUE"""),"T-22395-00")</f>
        <v>T-22395-00</v>
      </c>
    </row>
    <row r="2973">
      <c r="A2973" s="14" t="str">
        <f>IFERROR(__xludf.DUMMYFUNCTION("""COMPUTED_VALUE"""),"T-22505-00")</f>
        <v>T-22505-00</v>
      </c>
      <c r="B2973" s="14" t="str">
        <f>IFERROR(__xludf.DUMMYFUNCTION("""COMPUTED_VALUE"""),"Calibration drive PCB XS; Mettler Toledo; 11106836; piece")</f>
        <v>Calibration drive PCB XS; Mettler Toledo; 11106836; piece</v>
      </c>
      <c r="C2973" s="14" t="str">
        <f>IFERROR(__xludf.DUMMYFUNCTION("""COMPUTED_VALUE"""),"T-22505-00")</f>
        <v>T-22505-00</v>
      </c>
    </row>
    <row r="2974">
      <c r="A2974" s="14" t="str">
        <f>IFERROR(__xludf.DUMMYFUNCTION("""COMPUTED_VALUE"""),"T-22513-00")</f>
        <v>T-22513-00</v>
      </c>
      <c r="B2974" s="14" t="str">
        <f>IFERROR(__xludf.DUMMYFUNCTION("""COMPUTED_VALUE"""),"Oven Heater Shround; Agilent; G1530-61630; piece")</f>
        <v>Oven Heater Shround; Agilent; G1530-61630; piece</v>
      </c>
      <c r="C2974" s="14" t="str">
        <f>IFERROR(__xludf.DUMMYFUNCTION("""COMPUTED_VALUE"""),"T-22513-00")</f>
        <v>T-22513-00</v>
      </c>
    </row>
    <row r="2975">
      <c r="A2975" s="14" t="str">
        <f>IFERROR(__xludf.DUMMYFUNCTION("""COMPUTED_VALUE"""),"T-25027-00")</f>
        <v>T-25027-00</v>
      </c>
      <c r="B2975" s="14" t="str">
        <f>IFERROR(__xludf.DUMMYFUNCTION("""COMPUTED_VALUE"""),"Fitting, Internal Reducer, 1/16 to 1/32 inch; Agilent; p/n: 0100-2594;")</f>
        <v>Fitting, Internal Reducer, 1/16 to 1/32 inch; Agilent; p/n: 0100-2594;</v>
      </c>
      <c r="C2975" s="14" t="str">
        <f>IFERROR(__xludf.DUMMYFUNCTION("""COMPUTED_VALUE"""),"T-25027-00")</f>
        <v>T-25027-00</v>
      </c>
    </row>
    <row r="2976">
      <c r="A2976" s="14" t="str">
        <f>IFERROR(__xludf.DUMMYFUNCTION("""COMPUTED_VALUE"""),"T-25092-00")</f>
        <v>T-25092-00</v>
      </c>
      <c r="B2976" s="14" t="str">
        <f>IFERROR(__xludf.DUMMYFUNCTION("""COMPUTED_VALUE"""),"TSF Battery without Activator for TrackSense Frigo35900061")</f>
        <v>TSF Battery without Activator for TrackSense Frigo35900061</v>
      </c>
      <c r="C2976" s="14" t="str">
        <f>IFERROR(__xludf.DUMMYFUNCTION("""COMPUTED_VALUE"""),"T-25092-00")</f>
        <v>T-25092-00</v>
      </c>
    </row>
    <row r="2977">
      <c r="A2977" s="14" t="str">
        <f>IFERROR(__xludf.DUMMYFUNCTION("""COMPUTED_VALUE"""),"T-25289-00")</f>
        <v>T-25289-00</v>
      </c>
      <c r="B2977" s="14" t="str">
        <f>IFERROR(__xludf.DUMMYFUNCTION("""COMPUTED_VALUE"""),"IGNITER GLOW PLUG ASSEMBLY; AGILENT; 19231-60680; 1 PC PER PACK")</f>
        <v>IGNITER GLOW PLUG ASSEMBLY; AGILENT; 19231-60680; 1 PC PER PACK</v>
      </c>
      <c r="C2977" s="14" t="str">
        <f>IFERROR(__xludf.DUMMYFUNCTION("""COMPUTED_VALUE"""),"T-25289-00")</f>
        <v>T-25289-00</v>
      </c>
    </row>
    <row r="2978">
      <c r="A2978" s="14" t="str">
        <f>IFERROR(__xludf.DUMMYFUNCTION("""COMPUTED_VALUE"""),"T-25372-00")</f>
        <v>T-25372-00</v>
      </c>
      <c r="B2978" s="14" t="str">
        <f>IFERROR(__xludf.DUMMYFUNCTION("""COMPUTED_VALUE"""),"Electrode holder uPlace; Mettler Toledo; 30019823;")</f>
        <v>Electrode holder uPlace; Mettler Toledo; 30019823;</v>
      </c>
      <c r="C2978" s="14" t="str">
        <f>IFERROR(__xludf.DUMMYFUNCTION("""COMPUTED_VALUE"""),"T-25372-00")</f>
        <v>T-25372-00</v>
      </c>
    </row>
    <row r="2979">
      <c r="A2979" s="14" t="str">
        <f>IFERROR(__xludf.DUMMYFUNCTION("""COMPUTED_VALUE"""),"T-25417-00")</f>
        <v>T-25417-00</v>
      </c>
      <c r="B2979" s="14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4" t="str">
        <f>IFERROR(__xludf.DUMMYFUNCTION("""COMPUTED_VALUE"""),"T-25417-00")</f>
        <v>T-25417-00</v>
      </c>
    </row>
    <row r="2980">
      <c r="A2980" s="14" t="str">
        <f>IFERROR(__xludf.DUMMYFUNCTION("""COMPUTED_VALUE"""),"T-25454-00")</f>
        <v>T-25454-00</v>
      </c>
      <c r="B2980" s="14" t="str">
        <f>IFERROR(__xludf.DUMMYFUNCTION("""COMPUTED_VALUE"""),"Filter Flag, 2998, Classic; Waters; 700003767;")</f>
        <v>Filter Flag, 2998, Classic; Waters; 700003767;</v>
      </c>
      <c r="C2980" s="14" t="str">
        <f>IFERROR(__xludf.DUMMYFUNCTION("""COMPUTED_VALUE"""),"T-25454-00")</f>
        <v>T-25454-00</v>
      </c>
    </row>
    <row r="2981">
      <c r="A2981" s="14" t="str">
        <f>IFERROR(__xludf.DUMMYFUNCTION("""COMPUTED_VALUE"""),"T-25481-00")</f>
        <v>T-25481-00</v>
      </c>
      <c r="B2981" s="14" t="str">
        <f>IFERROR(__xludf.DUMMYFUNCTION("""COMPUTED_VALUE"""),"Seal Wash Priming Adapter; Waters; WAT270586; pieces")</f>
        <v>Seal Wash Priming Adapter; Waters; WAT270586; pieces</v>
      </c>
      <c r="C2981" s="14" t="str">
        <f>IFERROR(__xludf.DUMMYFUNCTION("""COMPUTED_VALUE"""),"T-25481-00")</f>
        <v>T-25481-00</v>
      </c>
    </row>
    <row r="2982">
      <c r="A2982" s="14" t="str">
        <f>IFERROR(__xludf.DUMMYFUNCTION("""COMPUTED_VALUE"""),"T-25577-00")</f>
        <v>T-25577-00</v>
      </c>
      <c r="B2982" s="14" t="str">
        <f>IFERROR(__xludf.DUMMYFUNCTION("""COMPUTED_VALUE"""),"UV LAMP FOR M500 TOC Analyzer; Sievers; TOC M500; 1 pc")</f>
        <v>UV LAMP FOR M500 TOC Analyzer; Sievers; TOC M500; 1 pc</v>
      </c>
      <c r="C2982" s="14" t="str">
        <f>IFERROR(__xludf.DUMMYFUNCTION("""COMPUTED_VALUE"""),"T-25577-00")</f>
        <v>T-25577-00</v>
      </c>
    </row>
    <row r="2983">
      <c r="A2983" s="14" t="str">
        <f>IFERROR(__xludf.DUMMYFUNCTION("""COMPUTED_VALUE"""),"T-25578-00")</f>
        <v>T-25578-00</v>
      </c>
      <c r="B2983" s="14" t="str">
        <f>IFERROR(__xludf.DUMMYFUNCTION("""COMPUTED_VALUE"""),"SAMPLE PUMP HEAD FOR M500 TOC Analyzer; Sievers; TOC M500; 1 pc")</f>
        <v>SAMPLE PUMP HEAD FOR M500 TOC Analyzer; Sievers; TOC M500; 1 pc</v>
      </c>
      <c r="C2983" s="14" t="str">
        <f>IFERROR(__xludf.DUMMYFUNCTION("""COMPUTED_VALUE"""),"T-25578-00")</f>
        <v>T-25578-00</v>
      </c>
    </row>
    <row r="2984">
      <c r="A2984" s="14" t="str">
        <f>IFERROR(__xludf.DUMMYFUNCTION("""COMPUTED_VALUE"""),"T-25579-00")</f>
        <v>T-25579-00</v>
      </c>
      <c r="B2984" s="14" t="str">
        <f>IFERROR(__xludf.DUMMYFUNCTION("""COMPUTED_VALUE"""),"RESIN BED REPLACEMENT FOR M500 TOC Analyzer; Sievers; TOC M500; 1 pc")</f>
        <v>RESIN BED REPLACEMENT FOR M500 TOC Analyzer; Sievers; TOC M500; 1 pc</v>
      </c>
      <c r="C2984" s="14" t="str">
        <f>IFERROR(__xludf.DUMMYFUNCTION("""COMPUTED_VALUE"""),"T-25579-00")</f>
        <v>T-25579-00</v>
      </c>
    </row>
    <row r="2985">
      <c r="A2985" s="14" t="str">
        <f>IFERROR(__xludf.DUMMYFUNCTION("""COMPUTED_VALUE"""),"T-26629-00")</f>
        <v>T-26629-00</v>
      </c>
      <c r="B2985" s="14" t="str">
        <f>IFERROR(__xludf.DUMMYFUNCTION("""COMPUTED_VALUE"""),"Engine, Heater/Cooler; Waters; 700002139; piece")</f>
        <v>Engine, Heater/Cooler; Waters; 700002139; piece</v>
      </c>
      <c r="C2985" s="14" t="str">
        <f>IFERROR(__xludf.DUMMYFUNCTION("""COMPUTED_VALUE"""),"T-26629-00")</f>
        <v>T-26629-00</v>
      </c>
    </row>
    <row r="2986">
      <c r="A2986" s="14" t="str">
        <f>IFERROR(__xludf.DUMMYFUNCTION("""COMPUTED_VALUE"""),"T-30000-00")</f>
        <v>T-30000-00</v>
      </c>
      <c r="B2986" s="14" t="str">
        <f>IFERROR(__xludf.DUMMYFUNCTION("""COMPUTED_VALUE"""),"Office Equipment Maintenance")</f>
        <v>Office Equipment Maintenance</v>
      </c>
      <c r="C2986" s="14" t="str">
        <f>IFERROR(__xludf.DUMMYFUNCTION("""COMPUTED_VALUE"""),"T-30000-00")</f>
        <v>T-30000-00</v>
      </c>
    </row>
    <row r="2987">
      <c r="A2987" s="14" t="str">
        <f>IFERROR(__xludf.DUMMYFUNCTION("""COMPUTED_VALUE"""),"T-30012-00")</f>
        <v>T-30012-00</v>
      </c>
      <c r="B2987" s="14" t="str">
        <f>IFERROR(__xludf.DUMMYFUNCTION("""COMPUTED_VALUE"""),"Bracket Proyektor Gantung Universal 80cm; ; ;")</f>
        <v>Bracket Proyektor Gantung Universal 80cm; ; ;</v>
      </c>
      <c r="C2987" s="14" t="str">
        <f>IFERROR(__xludf.DUMMYFUNCTION("""COMPUTED_VALUE"""),"T-30012-00")</f>
        <v>T-30012-00</v>
      </c>
    </row>
    <row r="2988">
      <c r="A2988" s="14" t="str">
        <f>IFERROR(__xludf.DUMMYFUNCTION("""COMPUTED_VALUE"""),"T-30015-00")</f>
        <v>T-30015-00</v>
      </c>
      <c r="B2988" s="14" t="str">
        <f>IFERROR(__xludf.DUMMYFUNCTION("""COMPUTED_VALUE"""),"CPU Case Bracket Stand CPB5; Orico; ;")</f>
        <v>CPU Case Bracket Stand CPB5; Orico; ;</v>
      </c>
      <c r="C2988" s="14" t="str">
        <f>IFERROR(__xludf.DUMMYFUNCTION("""COMPUTED_VALUE"""),"T-30015-00")</f>
        <v>T-30015-00</v>
      </c>
    </row>
    <row r="2989">
      <c r="A2989" s="14" t="str">
        <f>IFERROR(__xludf.DUMMYFUNCTION("""COMPUTED_VALUE"""),"T-80028-00")</f>
        <v>T-80028-00</v>
      </c>
      <c r="B2989" s="14" t="str">
        <f>IFERROR(__xludf.DUMMYFUNCTION("""COMPUTED_VALUE"""),"Pena Hitam; Snowman V1; pc - Ballpoint Snowman V5 BIRU")</f>
        <v>Pena Hitam; Snowman V1; pc - Ballpoint Snowman V5 BIRU</v>
      </c>
      <c r="C2989" s="14" t="str">
        <f>IFERROR(__xludf.DUMMYFUNCTION("""COMPUTED_VALUE"""),"T-80028-00")</f>
        <v>T-80028-00</v>
      </c>
    </row>
    <row r="2990">
      <c r="A2990" s="14" t="str">
        <f>IFERROR(__xludf.DUMMYFUNCTION("""COMPUTED_VALUE"""),"T-80037-00")</f>
        <v>T-80037-00</v>
      </c>
      <c r="B2990" s="14" t="str">
        <f>IFERROR(__xludf.DUMMYFUNCTION("""COMPUTED_VALUE"""),"Batterai Size AA")</f>
        <v>Batterai Size AA</v>
      </c>
      <c r="C2990" s="14" t="str">
        <f>IFERROR(__xludf.DUMMYFUNCTION("""COMPUTED_VALUE"""),"T-80037-00")</f>
        <v>T-80037-00</v>
      </c>
    </row>
    <row r="2991">
      <c r="A2991" s="14" t="str">
        <f>IFERROR(__xludf.DUMMYFUNCTION("""COMPUTED_VALUE"""),"T-80043-00")</f>
        <v>T-80043-00</v>
      </c>
      <c r="B2991" s="14" t="str">
        <f>IFERROR(__xludf.DUMMYFUNCTION("""COMPUTED_VALUE"""),"Battery ABC Kotak 9V")</f>
        <v>Battery ABC Kotak 9V</v>
      </c>
      <c r="C2991" s="14" t="str">
        <f>IFERROR(__xludf.DUMMYFUNCTION("""COMPUTED_VALUE"""),"T-80043-00")</f>
        <v>T-80043-00</v>
      </c>
    </row>
    <row r="2992">
      <c r="A2992" s="14" t="str">
        <f>IFERROR(__xludf.DUMMYFUNCTION("""COMPUTED_VALUE"""),"T-80046-00")</f>
        <v>T-80046-00</v>
      </c>
      <c r="B2992" s="14" t="str">
        <f>IFERROR(__xludf.DUMMYFUNCTION("""COMPUTED_VALUE"""),"Baterai AA; Alkaline; Isi 6pc/pck")</f>
        <v>Baterai AA; Alkaline; Isi 6pc/pck</v>
      </c>
      <c r="C2992" s="14" t="str">
        <f>IFERROR(__xludf.DUMMYFUNCTION("""COMPUTED_VALUE"""),"T-80046-00")</f>
        <v>T-80046-00</v>
      </c>
    </row>
    <row r="2993">
      <c r="A2993" s="14" t="str">
        <f>IFERROR(__xludf.DUMMYFUNCTION("""COMPUTED_VALUE"""),"T-80047-00")</f>
        <v>T-80047-00</v>
      </c>
      <c r="B2993" s="14" t="str">
        <f>IFERROR(__xludf.DUMMYFUNCTION("""COMPUTED_VALUE"""),"Baterai AAA; Alkaline; Isi 6pc/pck")</f>
        <v>Baterai AAA; Alkaline; Isi 6pc/pck</v>
      </c>
      <c r="C2993" s="14" t="str">
        <f>IFERROR(__xludf.DUMMYFUNCTION("""COMPUTED_VALUE"""),"T-80047-00")</f>
        <v>T-80047-00</v>
      </c>
    </row>
    <row r="2994">
      <c r="A2994" s="14" t="str">
        <f>IFERROR(__xludf.DUMMYFUNCTION("""COMPUTED_VALUE"""),"T-80053-00")</f>
        <v>T-80053-00</v>
      </c>
      <c r="B2994" s="14" t="str">
        <f>IFERROR(__xludf.DUMMYFUNCTION("""COMPUTED_VALUE"""),"Binder CLIP 107 - 19 mm")</f>
        <v>Binder CLIP 107 - 19 mm</v>
      </c>
      <c r="C2994" s="14" t="str">
        <f>IFERROR(__xludf.DUMMYFUNCTION("""COMPUTED_VALUE"""),"T-80053-00")</f>
        <v>T-80053-00</v>
      </c>
    </row>
    <row r="2995">
      <c r="A2995" s="14" t="str">
        <f>IFERROR(__xludf.DUMMYFUNCTION("""COMPUTED_VALUE"""),"T-80054-00")</f>
        <v>T-80054-00</v>
      </c>
      <c r="B2995" s="14" t="str">
        <f>IFERROR(__xludf.DUMMYFUNCTION("""COMPUTED_VALUE"""),"Binder CLIP 111 - 25 mm")</f>
        <v>Binder CLIP 111 - 25 mm</v>
      </c>
      <c r="C2995" s="14" t="str">
        <f>IFERROR(__xludf.DUMMYFUNCTION("""COMPUTED_VALUE"""),"T-80054-00")</f>
        <v>T-80054-00</v>
      </c>
    </row>
    <row r="2996">
      <c r="A2996" s="14" t="str">
        <f>IFERROR(__xludf.DUMMYFUNCTION("""COMPUTED_VALUE"""),"T-80055-00")</f>
        <v>T-80055-00</v>
      </c>
      <c r="B2996" s="14" t="str">
        <f>IFERROR(__xludf.DUMMYFUNCTION("""COMPUTED_VALUE"""),"Binder CLIP 155 - 32 mm")</f>
        <v>Binder CLIP 155 - 32 mm</v>
      </c>
      <c r="C2996" s="14" t="str">
        <f>IFERROR(__xludf.DUMMYFUNCTION("""COMPUTED_VALUE"""),"T-80055-00")</f>
        <v>T-80055-00</v>
      </c>
    </row>
    <row r="2997">
      <c r="A2997" s="14" t="str">
        <f>IFERROR(__xludf.DUMMYFUNCTION("""COMPUTED_VALUE"""),"T-80057-00")</f>
        <v>T-80057-00</v>
      </c>
      <c r="B2997" s="14" t="str">
        <f>IFERROR(__xludf.DUMMYFUNCTION("""COMPUTED_VALUE"""),"Binder CLIP 260 - 51 mm")</f>
        <v>Binder CLIP 260 - 51 mm</v>
      </c>
      <c r="C2997" s="14" t="str">
        <f>IFERROR(__xludf.DUMMYFUNCTION("""COMPUTED_VALUE"""),"T-80057-00")</f>
        <v>T-80057-00</v>
      </c>
    </row>
    <row r="2998">
      <c r="A2998" s="14" t="str">
        <f>IFERROR(__xludf.DUMMYFUNCTION("""COMPUTED_VALUE"""),"T-80060-00")</f>
        <v>T-80060-00</v>
      </c>
      <c r="B2998" s="14" t="str">
        <f>IFERROR(__xludf.DUMMYFUNCTION("""COMPUTED_VALUE"""),"Box file F4 4011-01")</f>
        <v>Box file F4 4011-01</v>
      </c>
      <c r="C2998" s="14" t="str">
        <f>IFERROR(__xludf.DUMMYFUNCTION("""COMPUTED_VALUE"""),"T-80060-00")</f>
        <v>T-80060-00</v>
      </c>
    </row>
    <row r="2999">
      <c r="A2999" s="14" t="str">
        <f>IFERROR(__xludf.DUMMYFUNCTION("""COMPUTED_VALUE"""),"T-80108-00")</f>
        <v>T-80108-00</v>
      </c>
      <c r="B2999" s="14" t="str">
        <f>IFERROR(__xludf.DUMMYFUNCTION("""COMPUTED_VALUE"""),"Cellotape Kertas 2 inch warna Putih")</f>
        <v>Cellotape Kertas 2 inch warna Putih</v>
      </c>
      <c r="C2999" s="14" t="str">
        <f>IFERROR(__xludf.DUMMYFUNCTION("""COMPUTED_VALUE"""),"T-80108-00")</f>
        <v>T-80108-00</v>
      </c>
    </row>
    <row r="3000">
      <c r="A3000" s="14" t="str">
        <f>IFERROR(__xludf.DUMMYFUNCTION("""COMPUTED_VALUE"""),"T-80109-00")</f>
        <v>T-80109-00</v>
      </c>
      <c r="B3000" s="14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4" t="str">
        <f>IFERROR(__xludf.DUMMYFUNCTION("""COMPUTED_VALUE"""),"T-80109-00")</f>
        <v>T-80109-00</v>
      </c>
    </row>
    <row r="3001">
      <c r="A3001" s="14" t="str">
        <f>IFERROR(__xludf.DUMMYFUNCTION("""COMPUTED_VALUE"""),"T-80110-00")</f>
        <v>T-80110-00</v>
      </c>
      <c r="B3001" s="14" t="str">
        <f>IFERROR(__xludf.DUMMYFUNCTION("""COMPUTED_VALUE"""),"Clear Holder A4 Bening")</f>
        <v>Clear Holder A4 Bening</v>
      </c>
      <c r="C3001" s="14" t="str">
        <f>IFERROR(__xludf.DUMMYFUNCTION("""COMPUTED_VALUE"""),"T-80110-00")</f>
        <v>T-80110-00</v>
      </c>
    </row>
    <row r="3002">
      <c r="A3002" s="14" t="str">
        <f>IFERROR(__xludf.DUMMYFUNCTION("""COMPUTED_VALUE"""),"T-80145-00")</f>
        <v>T-80145-00</v>
      </c>
      <c r="B3002" s="14" t="str">
        <f>IFERROR(__xludf.DUMMYFUNCTION("""COMPUTED_VALUE"""),"Cutter Besar L-500 (18 mm); 5 pc/pck")</f>
        <v>Cutter Besar L-500 (18 mm); 5 pc/pck</v>
      </c>
      <c r="C3002" s="14" t="str">
        <f>IFERROR(__xludf.DUMMYFUNCTION("""COMPUTED_VALUE"""),"T-80145-00")</f>
        <v>T-80145-00</v>
      </c>
    </row>
    <row r="3003">
      <c r="A3003" s="14" t="str">
        <f>IFERROR(__xludf.DUMMYFUNCTION("""COMPUTED_VALUE"""),"T-80149-00")</f>
        <v>T-80149-00</v>
      </c>
      <c r="B3003" s="14" t="str">
        <f>IFERROR(__xludf.DUMMYFUNCTION("""COMPUTED_VALUE"""),"Cutter Kenko L-150 (besar) - refill")</f>
        <v>Cutter Kenko L-150 (besar) - refill</v>
      </c>
      <c r="C3003" s="14" t="str">
        <f>IFERROR(__xludf.DUMMYFUNCTION("""COMPUTED_VALUE"""),"T-80149-00")</f>
        <v>T-80149-00</v>
      </c>
    </row>
    <row r="3004">
      <c r="A3004" s="14" t="str">
        <f>IFERROR(__xludf.DUMMYFUNCTION("""COMPUTED_VALUE"""),"T-80159-00")</f>
        <v>T-80159-00</v>
      </c>
      <c r="B3004" s="14" t="str">
        <f>IFERROR(__xludf.DUMMYFUNCTION("""COMPUTED_VALUE"""),"Divider Bulan Jan - Dec")</f>
        <v>Divider Bulan Jan - Dec</v>
      </c>
      <c r="C3004" s="14" t="str">
        <f>IFERROR(__xludf.DUMMYFUNCTION("""COMPUTED_VALUE"""),"T-80159-00")</f>
        <v>T-80159-00</v>
      </c>
    </row>
    <row r="3005">
      <c r="A3005" s="14" t="str">
        <f>IFERROR(__xludf.DUMMYFUNCTION("""COMPUTED_VALUE"""),"T-80168-00")</f>
        <v>T-80168-00</v>
      </c>
      <c r="B3005" s="14" t="str">
        <f>IFERROR(__xludf.DUMMYFUNCTION("""COMPUTED_VALUE"""),"Double Tape 1/2 inch")</f>
        <v>Double Tape 1/2 inch</v>
      </c>
      <c r="C3005" s="14" t="str">
        <f>IFERROR(__xludf.DUMMYFUNCTION("""COMPUTED_VALUE"""),"T-80168-00")</f>
        <v>T-80168-00</v>
      </c>
    </row>
    <row r="3006">
      <c r="A3006" s="14" t="str">
        <f>IFERROR(__xludf.DUMMYFUNCTION("""COMPUTED_VALUE"""),"T-80169-00")</f>
        <v>T-80169-00</v>
      </c>
      <c r="B3006" s="14" t="str">
        <f>IFERROR(__xludf.DUMMYFUNCTION("""COMPUTED_VALUE"""),"Double Tape 1 inch")</f>
        <v>Double Tape 1 inch</v>
      </c>
      <c r="C3006" s="14" t="str">
        <f>IFERROR(__xludf.DUMMYFUNCTION("""COMPUTED_VALUE"""),"T-80169-00")</f>
        <v>T-80169-00</v>
      </c>
    </row>
    <row r="3007">
      <c r="A3007" s="14" t="str">
        <f>IFERROR(__xludf.DUMMYFUNCTION("""COMPUTED_VALUE"""),"T-80184-00")</f>
        <v>T-80184-00</v>
      </c>
      <c r="B3007" s="14" t="str">
        <f>IFERROR(__xludf.DUMMYFUNCTION("""COMPUTED_VALUE"""),"Gunting Besar (8,5 Inch); pc")</f>
        <v>Gunting Besar (8,5 Inch); pc</v>
      </c>
      <c r="C3007" s="14" t="str">
        <f>IFERROR(__xludf.DUMMYFUNCTION("""COMPUTED_VALUE"""),"T-80184-00")</f>
        <v>T-80184-00</v>
      </c>
    </row>
    <row r="3008">
      <c r="A3008" s="14" t="str">
        <f>IFERROR(__xludf.DUMMYFUNCTION("""COMPUTED_VALUE"""),"T-80198-00")</f>
        <v>T-80198-00</v>
      </c>
      <c r="B3008" s="14" t="str">
        <f>IFERROR(__xludf.DUMMYFUNCTION("""COMPUTED_VALUE"""),"Isi Stapler Besar NO 3 + 24/6")</f>
        <v>Isi Stapler Besar NO 3 + 24/6</v>
      </c>
      <c r="C3008" s="14" t="str">
        <f>IFERROR(__xludf.DUMMYFUNCTION("""COMPUTED_VALUE"""),"T-80198-00")</f>
        <v>T-80198-00</v>
      </c>
    </row>
    <row r="3009">
      <c r="A3009" s="14" t="str">
        <f>IFERROR(__xludf.DUMMYFUNCTION("""COMPUTED_VALUE"""),"T-80199-00")</f>
        <v>T-80199-00</v>
      </c>
      <c r="B3009" s="14" t="str">
        <f>IFERROR(__xludf.DUMMYFUNCTION("""COMPUTED_VALUE"""),"Isi Stapler Kecil NO 10")</f>
        <v>Isi Stapler Kecil NO 10</v>
      </c>
      <c r="C3009" s="14" t="str">
        <f>IFERROR(__xludf.DUMMYFUNCTION("""COMPUTED_VALUE"""),"T-80199-00")</f>
        <v>T-80199-00</v>
      </c>
    </row>
    <row r="3010">
      <c r="A3010" s="14" t="str">
        <f>IFERROR(__xludf.DUMMYFUNCTION("""COMPUTED_VALUE"""),"T-80242-00")</f>
        <v>T-80242-00</v>
      </c>
      <c r="B3010" s="14" t="str">
        <f>IFERROR(__xludf.DUMMYFUNCTION("""COMPUTED_VALUE"""),"Label Stiker Tom &amp; Jerry No. 103")</f>
        <v>Label Stiker Tom &amp; Jerry No. 103</v>
      </c>
      <c r="C3010" s="14" t="str">
        <f>IFERROR(__xludf.DUMMYFUNCTION("""COMPUTED_VALUE"""),"T-80242-00")</f>
        <v>T-80242-00</v>
      </c>
    </row>
    <row r="3011">
      <c r="A3011" s="14" t="str">
        <f>IFERROR(__xludf.DUMMYFUNCTION("""COMPUTED_VALUE"""),"T-80337-00")</f>
        <v>T-80337-00</v>
      </c>
      <c r="B3011" s="14" t="str">
        <f>IFERROR(__xludf.DUMMYFUNCTION("""COMPUTED_VALUE"""),"Paper Clips Trigonal No. 1")</f>
        <v>Paper Clips Trigonal No. 1</v>
      </c>
      <c r="C3011" s="14" t="str">
        <f>IFERROR(__xludf.DUMMYFUNCTION("""COMPUTED_VALUE"""),"T-80337-00")</f>
        <v>T-80337-00</v>
      </c>
    </row>
    <row r="3012">
      <c r="A3012" s="14" t="str">
        <f>IFERROR(__xludf.DUMMYFUNCTION("""COMPUTED_VALUE"""),"T-80344-00")</f>
        <v>T-80344-00</v>
      </c>
      <c r="B3012" s="14" t="str">
        <f>IFERROR(__xludf.DUMMYFUNCTION("""COMPUTED_VALUE"""),"Penggaris  Besi 30cm")</f>
        <v>Penggaris  Besi 30cm</v>
      </c>
      <c r="C3012" s="14" t="str">
        <f>IFERROR(__xludf.DUMMYFUNCTION("""COMPUTED_VALUE"""),"T-80344-00")</f>
        <v>T-80344-00</v>
      </c>
    </row>
    <row r="3013">
      <c r="A3013" s="14" t="str">
        <f>IFERROR(__xludf.DUMMYFUNCTION("""COMPUTED_VALUE"""),"T-80372-00")</f>
        <v>T-80372-00</v>
      </c>
      <c r="B3013" s="14" t="str">
        <f>IFERROR(__xludf.DUMMYFUNCTION("""COMPUTED_VALUE"""),"Plakban Kertas 1""")</f>
        <v>Plakban Kertas 1"</v>
      </c>
      <c r="C3013" s="14" t="str">
        <f>IFERROR(__xludf.DUMMYFUNCTION("""COMPUTED_VALUE"""),"T-80372-00")</f>
        <v>T-80372-00</v>
      </c>
    </row>
    <row r="3014">
      <c r="A3014" s="14" t="str">
        <f>IFERROR(__xludf.DUMMYFUNCTION("""COMPUTED_VALUE"""),"T-80373-00")</f>
        <v>T-80373-00</v>
      </c>
      <c r="B3014" s="14" t="str">
        <f>IFERROR(__xludf.DUMMYFUNCTION("""COMPUTED_VALUE"""),"Plakband Bening 2 inch")</f>
        <v>Plakband Bening 2 inch</v>
      </c>
      <c r="C3014" s="14" t="str">
        <f>IFERROR(__xludf.DUMMYFUNCTION("""COMPUTED_VALUE"""),"T-80373-00")</f>
        <v>T-80373-00</v>
      </c>
    </row>
    <row r="3015">
      <c r="A3015" s="14" t="str">
        <f>IFERROR(__xludf.DUMMYFUNCTION("""COMPUTED_VALUE"""),"T-80376-00")</f>
        <v>T-80376-00</v>
      </c>
      <c r="B3015" s="14" t="str">
        <f>IFERROR(__xludf.DUMMYFUNCTION("""COMPUTED_VALUE"""),"Plakband Hitam 2 inch")</f>
        <v>Plakband Hitam 2 inch</v>
      </c>
      <c r="C3015" s="14" t="str">
        <f>IFERROR(__xludf.DUMMYFUNCTION("""COMPUTED_VALUE"""),"T-80376-00")</f>
        <v>T-80376-00</v>
      </c>
    </row>
    <row r="3016">
      <c r="A3016" s="14" t="str">
        <f>IFERROR(__xludf.DUMMYFUNCTION("""COMPUTED_VALUE"""),"T-80386-00")</f>
        <v>T-80386-00</v>
      </c>
      <c r="B3016" s="14" t="str">
        <f>IFERROR(__xludf.DUMMYFUNCTION("""COMPUTED_VALUE"""),"Post-It 3M Sign Here")</f>
        <v>Post-It 3M Sign Here</v>
      </c>
      <c r="C3016" s="14" t="str">
        <f>IFERROR(__xludf.DUMMYFUNCTION("""COMPUTED_VALUE"""),"T-80386-00")</f>
        <v>T-80386-00</v>
      </c>
    </row>
    <row r="3017">
      <c r="A3017" s="14" t="str">
        <f>IFERROR(__xludf.DUMMYFUNCTION("""COMPUTED_VALUE"""),"T-80387-00")</f>
        <v>T-80387-00</v>
      </c>
      <c r="B3017" s="14" t="str">
        <f>IFERROR(__xludf.DUMMYFUNCTION("""COMPUTED_VALUE"""),"Post-It 3M Yellow 653")</f>
        <v>Post-It 3M Yellow 653</v>
      </c>
      <c r="C3017" s="14" t="str">
        <f>IFERROR(__xludf.DUMMYFUNCTION("""COMPUTED_VALUE"""),"T-80387-00")</f>
        <v>T-80387-00</v>
      </c>
    </row>
    <row r="3018">
      <c r="A3018" s="14" t="str">
        <f>IFERROR(__xludf.DUMMYFUNCTION("""COMPUTED_VALUE"""),"T-80391-00")</f>
        <v>T-80391-00</v>
      </c>
      <c r="B3018" s="14" t="str">
        <f>IFERROR(__xludf.DUMMYFUNCTION("""COMPUTED_VALUE"""),"Post-It Kecil PRONTO warna warni")</f>
        <v>Post-It Kecil PRONTO warna warni</v>
      </c>
      <c r="C3018" s="14" t="str">
        <f>IFERROR(__xludf.DUMMYFUNCTION("""COMPUTED_VALUE"""),"T-80391-00")</f>
        <v>T-80391-00</v>
      </c>
    </row>
    <row r="3019">
      <c r="A3019" s="14" t="str">
        <f>IFERROR(__xludf.DUMMYFUNCTION("""COMPUTED_VALUE"""),"T-80394-00")</f>
        <v>T-80394-00</v>
      </c>
      <c r="B3019" s="14" t="str">
        <f>IFERROR(__xludf.DUMMYFUNCTION("""COMPUTED_VALUE"""),"PVC Pocket BANTEX 2040/A4 - Clear")</f>
        <v>PVC Pocket BANTEX 2040/A4 - Clear</v>
      </c>
      <c r="C3019" s="14" t="str">
        <f>IFERROR(__xludf.DUMMYFUNCTION("""COMPUTED_VALUE"""),"T-80394-00")</f>
        <v>T-80394-00</v>
      </c>
    </row>
    <row r="3020">
      <c r="A3020" s="14" t="str">
        <f>IFERROR(__xludf.DUMMYFUNCTION("""COMPUTED_VALUE"""),"T-80429-00")</f>
        <v>T-80429-00</v>
      </c>
      <c r="B3020" s="14" t="str">
        <f>IFERROR(__xludf.DUMMYFUNCTION("""COMPUTED_VALUE"""),"Spidol Permanent Biru")</f>
        <v>Spidol Permanent Biru</v>
      </c>
      <c r="C3020" s="14" t="str">
        <f>IFERROR(__xludf.DUMMYFUNCTION("""COMPUTED_VALUE"""),"T-80429-00")</f>
        <v>T-80429-00</v>
      </c>
    </row>
    <row r="3021">
      <c r="A3021" s="14" t="str">
        <f>IFERROR(__xludf.DUMMYFUNCTION("""COMPUTED_VALUE"""),"T-80458-00")</f>
        <v>T-80458-00</v>
      </c>
      <c r="B3021" s="14" t="str">
        <f>IFERROR(__xludf.DUMMYFUNCTION("""COMPUTED_VALUE"""),"Stapler MAX HD - 50/50R")</f>
        <v>Stapler MAX HD - 50/50R</v>
      </c>
      <c r="C3021" s="14" t="str">
        <f>IFERROR(__xludf.DUMMYFUNCTION("""COMPUTED_VALUE"""),"T-80458-00")</f>
        <v>T-80458-00</v>
      </c>
    </row>
    <row r="3022">
      <c r="A3022" s="14" t="str">
        <f>IFERROR(__xludf.DUMMYFUNCTION("""COMPUTED_VALUE"""),"T-80635-00")</f>
        <v>T-80635-00</v>
      </c>
      <c r="B3022" s="14" t="str">
        <f>IFERROR(__xludf.DUMMYFUNCTION("""COMPUTED_VALUE"""),"Kertas HVS Putih A4 70 gram;")</f>
        <v>Kertas HVS Putih A4 70 gram;</v>
      </c>
      <c r="C3022" s="14" t="str">
        <f>IFERROR(__xludf.DUMMYFUNCTION("""COMPUTED_VALUE"""),"T-80635-00")</f>
        <v>T-80635-00</v>
      </c>
    </row>
    <row r="3023">
      <c r="A3023" s="14" t="str">
        <f>IFERROR(__xludf.DUMMYFUNCTION("""COMPUTED_VALUE"""),"T-80635-00")</f>
        <v>T-80635-00</v>
      </c>
      <c r="B3023" s="14" t="str">
        <f>IFERROR(__xludf.DUMMYFUNCTION("""COMPUTED_VALUE"""),"Kertas HVS Putih A4 70 gram;")</f>
        <v>Kertas HVS Putih A4 70 gram;</v>
      </c>
      <c r="C3023" s="14" t="str">
        <f>IFERROR(__xludf.DUMMYFUNCTION("""COMPUTED_VALUE"""),"T-80635-00")</f>
        <v>T-80635-00</v>
      </c>
    </row>
    <row r="3024">
      <c r="A3024" s="14" t="str">
        <f>IFERROR(__xludf.DUMMYFUNCTION("""COMPUTED_VALUE"""),"T-80681-00")</f>
        <v>T-80681-00</v>
      </c>
      <c r="B3024" s="14" t="str">
        <f>IFERROR(__xludf.DUMMYFUNCTION("""COMPUTED_VALUE"""),"Battery Kancing Energizer CR2032  3V Lithium; ; ;")</f>
        <v>Battery Kancing Energizer CR2032  3V Lithium; ; ;</v>
      </c>
      <c r="C3024" s="14" t="str">
        <f>IFERROR(__xludf.DUMMYFUNCTION("""COMPUTED_VALUE"""),"T-80681-00")</f>
        <v>T-80681-00</v>
      </c>
    </row>
    <row r="3025">
      <c r="A3025" s="14" t="str">
        <f>IFERROR(__xludf.DUMMYFUNCTION("""COMPUTED_VALUE"""),"T-80686-00")</f>
        <v>T-80686-00</v>
      </c>
      <c r="B3025" s="14" t="str">
        <f>IFERROR(__xludf.DUMMYFUNCTION("""COMPUTED_VALUE"""),"Spidol OHP uk. Fine (satuan) - OPF Biru; Snowman; ; Pcs")</f>
        <v>Spidol OHP uk. Fine (satuan) - OPF Biru; Snowman; ; Pcs</v>
      </c>
      <c r="C3025" s="14" t="str">
        <f>IFERROR(__xludf.DUMMYFUNCTION("""COMPUTED_VALUE"""),"T-80686-00")</f>
        <v>T-80686-00</v>
      </c>
    </row>
    <row r="3026">
      <c r="A3026" s="14" t="str">
        <f>IFERROR(__xludf.DUMMYFUNCTION("""COMPUTED_VALUE"""),"T-80708-00")</f>
        <v>T-80708-00</v>
      </c>
      <c r="B3026" s="14" t="str">
        <f>IFERROR(__xludf.DUMMYFUNCTION("""COMPUTED_VALUE"""),"Tinta HP 955 Black; HP; N9H85A;")</f>
        <v>Tinta HP 955 Black; HP; N9H85A;</v>
      </c>
      <c r="C3026" s="14" t="str">
        <f>IFERROR(__xludf.DUMMYFUNCTION("""COMPUTED_VALUE"""),"T-80708-00")</f>
        <v>T-80708-00</v>
      </c>
    </row>
    <row r="3027">
      <c r="A3027" s="14" t="str">
        <f>IFERROR(__xludf.DUMMYFUNCTION("""COMPUTED_VALUE"""),"T-80709-00")</f>
        <v>T-80709-00</v>
      </c>
      <c r="B3027" s="14" t="str">
        <f>IFERROR(__xludf.DUMMYFUNCTION("""COMPUTED_VALUE"""),"Tinta HP 955 Cyan; HP; H9H73A;")</f>
        <v>Tinta HP 955 Cyan; HP; H9H73A;</v>
      </c>
      <c r="C3027" s="14" t="str">
        <f>IFERROR(__xludf.DUMMYFUNCTION("""COMPUTED_VALUE"""),"T-80709-00")</f>
        <v>T-80709-00</v>
      </c>
    </row>
    <row r="3028">
      <c r="A3028" s="14" t="str">
        <f>IFERROR(__xludf.DUMMYFUNCTION("""COMPUTED_VALUE"""),"T-80710-00")</f>
        <v>T-80710-00</v>
      </c>
      <c r="B3028" s="14" t="str">
        <f>IFERROR(__xludf.DUMMYFUNCTION("""COMPUTED_VALUE"""),"Tinta HP 955 Magenta; HP; N9H77A;")</f>
        <v>Tinta HP 955 Magenta; HP; N9H77A;</v>
      </c>
      <c r="C3028" s="14" t="str">
        <f>IFERROR(__xludf.DUMMYFUNCTION("""COMPUTED_VALUE"""),"T-80710-00")</f>
        <v>T-80710-00</v>
      </c>
    </row>
    <row r="3029">
      <c r="A3029" s="14" t="str">
        <f>IFERROR(__xludf.DUMMYFUNCTION("""COMPUTED_VALUE"""),"T-80711-00")</f>
        <v>T-80711-00</v>
      </c>
      <c r="B3029" s="14" t="str">
        <f>IFERROR(__xludf.DUMMYFUNCTION("""COMPUTED_VALUE"""),"Tinta HP 955 Yellow; HP; N9H81A;")</f>
        <v>Tinta HP 955 Yellow; HP; N9H81A;</v>
      </c>
      <c r="C3029" s="14" t="str">
        <f>IFERROR(__xludf.DUMMYFUNCTION("""COMPUTED_VALUE"""),"T-80711-00")</f>
        <v>T-80711-00</v>
      </c>
    </row>
    <row r="3030">
      <c r="A3030" s="14" t="str">
        <f>IFERROR(__xludf.DUMMYFUNCTION("""COMPUTED_VALUE"""),"T-80731-00")</f>
        <v>T-80731-00</v>
      </c>
      <c r="B3030" s="14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4" t="str">
        <f>IFERROR(__xludf.DUMMYFUNCTION("""COMPUTED_VALUE"""),"T-80731-00")</f>
        <v>T-80731-00</v>
      </c>
    </row>
    <row r="3031">
      <c r="A3031" s="14" t="str">
        <f>IFERROR(__xludf.DUMMYFUNCTION("""COMPUTED_VALUE"""),"T-80732-00")</f>
        <v>T-80732-00</v>
      </c>
      <c r="B3031" s="14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4" t="str">
        <f>IFERROR(__xludf.DUMMYFUNCTION("""COMPUTED_VALUE"""),"T-80732-00")</f>
        <v>T-80732-00</v>
      </c>
    </row>
    <row r="3032">
      <c r="A3032" s="14" t="str">
        <f>IFERROR(__xludf.DUMMYFUNCTION("""COMPUTED_VALUE"""),"T-80794-00")</f>
        <v>T-80794-00</v>
      </c>
      <c r="B3032" s="14" t="str">
        <f>IFERROR(__xludf.DUMMYFUNCTION("""COMPUTED_VALUE"""),"Snowman Permanent Paint Marker CP-12 Warna Hitam - Merah")</f>
        <v>Snowman Permanent Paint Marker CP-12 Warna Hitam - Merah</v>
      </c>
      <c r="C3032" s="14" t="str">
        <f>IFERROR(__xludf.DUMMYFUNCTION("""COMPUTED_VALUE"""),"T-80794-00")</f>
        <v>T-80794-00</v>
      </c>
    </row>
    <row r="3033">
      <c r="A3033" s="14" t="str">
        <f>IFERROR(__xludf.DUMMYFUNCTION("""COMPUTED_VALUE"""),"T-80965-00")</f>
        <v>T-80965-00</v>
      </c>
      <c r="B3033" s="14" t="str">
        <f>IFERROR(__xludf.DUMMYFUNCTION("""COMPUTED_VALUE"""),"Epson Tinta 003 black for Epson L3110; Epson; ; pc")</f>
        <v>Epson Tinta 003 black for Epson L3110; Epson; ; pc</v>
      </c>
      <c r="C3033" s="14" t="str">
        <f>IFERROR(__xludf.DUMMYFUNCTION("""COMPUTED_VALUE"""),"T-80965-00")</f>
        <v>T-80965-00</v>
      </c>
    </row>
    <row r="3034">
      <c r="A3034" s="14" t="str">
        <f>IFERROR(__xludf.DUMMYFUNCTION("""COMPUTED_VALUE"""),"T-81109-00")</f>
        <v>T-81109-00</v>
      </c>
      <c r="B3034" s="14" t="str">
        <f>IFERROR(__xludf.DUMMYFUNCTION("""COMPUTED_VALUE"""),"Epson Tinta 003 Blue for Epson; Epson; ; pieces")</f>
        <v>Epson Tinta 003 Blue for Epson; Epson; ; pieces</v>
      </c>
      <c r="C3034" s="14" t="str">
        <f>IFERROR(__xludf.DUMMYFUNCTION("""COMPUTED_VALUE"""),"T-81109-00")</f>
        <v>T-81109-00</v>
      </c>
    </row>
    <row r="3035">
      <c r="A3035" s="14" t="str">
        <f>IFERROR(__xludf.DUMMYFUNCTION("""COMPUTED_VALUE"""),"T-81111-00")</f>
        <v>T-81111-00</v>
      </c>
      <c r="B3035" s="14" t="str">
        <f>IFERROR(__xludf.DUMMYFUNCTION("""COMPUTED_VALUE"""),"Epson Tinta 003 Magenta for Epson L3110; Epson; ;")</f>
        <v>Epson Tinta 003 Magenta for Epson L3110; Epson; ;</v>
      </c>
      <c r="C3035" s="14" t="str">
        <f>IFERROR(__xludf.DUMMYFUNCTION("""COMPUTED_VALUE"""),"T-81111-00")</f>
        <v>T-81111-00</v>
      </c>
    </row>
    <row r="3036">
      <c r="A3036" s="14" t="str">
        <f>IFERROR(__xludf.DUMMYFUNCTION("""COMPUTED_VALUE"""),"T-81150-00")</f>
        <v>T-81150-00</v>
      </c>
      <c r="B3036" s="14" t="str">
        <f>IFERROR(__xludf.DUMMYFUNCTION("""COMPUTED_VALUE"""),"Joyko Permanent Marker dual TIP PM 32 Warna Biru - Merah")</f>
        <v>Joyko Permanent Marker dual TIP PM 32 Warna Biru - Merah</v>
      </c>
      <c r="C3036" s="14" t="str">
        <f>IFERROR(__xludf.DUMMYFUNCTION("""COMPUTED_VALUE"""),"T-81150-00")</f>
        <v>T-81150-00</v>
      </c>
    </row>
  </sheetData>
  <drawing r:id="rId1"/>
</worksheet>
</file>